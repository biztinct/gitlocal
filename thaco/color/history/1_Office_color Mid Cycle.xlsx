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8_{907DF117-4311-4D46-BF7D-3ACB76A30752}" xr6:coauthVersionLast="47" xr6:coauthVersionMax="47" xr10:uidLastSave="{00000000-0000-0000-0000-000000000000}"/>
  <bookViews>
    <workbookView xWindow="3840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5" i="3" l="1"/>
  <c r="BF16" i="3" l="1"/>
  <c r="BF17" i="3"/>
  <c r="BF18" i="3"/>
  <c r="BF19" i="3"/>
  <c r="BF20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A21" i="3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A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A19" i="3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A17" i="3"/>
  <c r="BY16" i="3"/>
  <c r="BZ16" i="3" s="1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A16" i="3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AO17" i="3"/>
  <c r="AV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S17" i="3"/>
  <c r="BT17" i="3" s="1"/>
  <c r="BG17" i="3"/>
  <c r="BI17" i="3" s="1"/>
  <c r="BJ17" i="3" s="1"/>
  <c r="BB14" i="4"/>
  <c r="BB20" i="3"/>
  <c r="AV13" i="2"/>
  <c r="BF15" i="3" l="1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<sst xmlns="http://schemas.openxmlformats.org/spreadsheetml/2006/main" count="712" uniqueCount="162">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</sst>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  <font>
      <b/>
      <sz val="8"/>
      <color rgb="FF00B0F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7" fillId="0" borderId="0"/>
    <xf numFmtId="0" fontId="27" fillId="0" borderId="0"/>
    <xf numFmtId="9" fontId="27" fillId="0" borderId="0"/>
  </cellStyleXfs>
  <cellXfs count="481">
    <xf numFmtId="0" fontId="0" fillId="0" borderId="0" xfId="0"/>
    <xf numFmtId="164" fontId="4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 wrapText="1"/>
    </xf>
    <xf numFmtId="0" fontId="17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166" fontId="18" fillId="0" borderId="0" xfId="1" applyNumberFormat="1" applyFont="1" applyAlignment="1">
      <alignment horizontal="center"/>
    </xf>
    <xf numFmtId="165" fontId="18" fillId="0" borderId="0" xfId="1" applyFont="1" applyAlignment="1">
      <alignment horizontal="center"/>
    </xf>
    <xf numFmtId="0" fontId="20" fillId="0" borderId="8" xfId="0" applyFont="1" applyBorder="1" applyAlignment="1">
      <alignment horizontal="center"/>
    </xf>
    <xf numFmtId="14" fontId="18" fillId="0" borderId="0" xfId="0" applyNumberFormat="1" applyFont="1"/>
    <xf numFmtId="164" fontId="18" fillId="0" borderId="0" xfId="1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6" fontId="21" fillId="0" borderId="0" xfId="1" applyNumberFormat="1" applyFont="1" applyAlignment="1">
      <alignment horizontal="center"/>
    </xf>
    <xf numFmtId="165" fontId="21" fillId="0" borderId="0" xfId="1" applyFont="1" applyAlignment="1">
      <alignment horizontal="center"/>
    </xf>
    <xf numFmtId="164" fontId="21" fillId="0" borderId="0" xfId="0" applyNumberFormat="1" applyFont="1"/>
    <xf numFmtId="14" fontId="21" fillId="0" borderId="0" xfId="0" applyNumberFormat="1" applyFont="1"/>
    <xf numFmtId="164" fontId="21" fillId="0" borderId="0" xfId="1" applyNumberFormat="1" applyFont="1"/>
    <xf numFmtId="49" fontId="21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8" fillId="0" borderId="9" xfId="3" applyFont="1" applyBorder="1" applyAlignment="1">
      <alignment horizontal="center" vertical="center" shrinkToFit="1"/>
    </xf>
    <xf numFmtId="9" fontId="24" fillId="0" borderId="17" xfId="1" applyNumberFormat="1" applyFont="1" applyBorder="1" applyAlignment="1">
      <alignment horizontal="center" vertical="center"/>
    </xf>
    <xf numFmtId="164" fontId="24" fillId="0" borderId="17" xfId="1" applyNumberFormat="1" applyFont="1" applyBorder="1" applyAlignment="1">
      <alignment horizontal="left" vertical="center"/>
    </xf>
    <xf numFmtId="164" fontId="11" fillId="3" borderId="1" xfId="1" applyNumberFormat="1" applyFont="1" applyFill="1" applyBorder="1" applyAlignment="1">
      <alignment horizontal="center" vertical="center" wrapText="1"/>
    </xf>
    <xf numFmtId="49" fontId="11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8" fillId="0" borderId="0" xfId="3" applyFont="1" applyAlignment="1">
      <alignment vertical="center"/>
    </xf>
    <xf numFmtId="164" fontId="11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9" fillId="0" borderId="0" xfId="3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center"/>
    </xf>
    <xf numFmtId="0" fontId="28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30" fillId="0" borderId="17" xfId="3" applyFont="1" applyBorder="1" applyAlignment="1">
      <alignment horizontal="center" vertical="center"/>
    </xf>
    <xf numFmtId="164" fontId="30" fillId="0" borderId="17" xfId="1" applyNumberFormat="1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167" fontId="30" fillId="0" borderId="17" xfId="1" applyNumberFormat="1" applyFont="1" applyBorder="1" applyAlignment="1">
      <alignment horizontal="left" vertical="center"/>
    </xf>
    <xf numFmtId="167" fontId="30" fillId="2" borderId="17" xfId="1" applyNumberFormat="1" applyFont="1" applyFill="1" applyBorder="1" applyAlignment="1">
      <alignment horizontal="left" vertical="center"/>
    </xf>
    <xf numFmtId="164" fontId="30" fillId="0" borderId="19" xfId="1" applyNumberFormat="1" applyFont="1" applyBorder="1" applyAlignment="1">
      <alignment horizontal="left" vertical="center"/>
    </xf>
    <xf numFmtId="164" fontId="28" fillId="0" borderId="21" xfId="1" applyNumberFormat="1" applyFont="1" applyBorder="1" applyAlignment="1">
      <alignment horizontal="left" vertical="center"/>
    </xf>
    <xf numFmtId="164" fontId="28" fillId="0" borderId="12" xfId="1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8" fillId="0" borderId="17" xfId="3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9" fontId="9" fillId="0" borderId="17" xfId="1" applyNumberFormat="1" applyFont="1" applyBorder="1" applyAlignment="1">
      <alignment horizontal="center" vertical="center"/>
    </xf>
    <xf numFmtId="165" fontId="28" fillId="0" borderId="17" xfId="1" applyFont="1" applyBorder="1" applyAlignment="1">
      <alignment horizontal="left" vertical="center"/>
    </xf>
    <xf numFmtId="165" fontId="28" fillId="2" borderId="17" xfId="1" applyFont="1" applyFill="1" applyBorder="1" applyAlignment="1">
      <alignment horizontal="left" vertical="center"/>
    </xf>
    <xf numFmtId="164" fontId="9" fillId="0" borderId="17" xfId="1" applyNumberFormat="1" applyFont="1" applyBorder="1" applyAlignment="1">
      <alignment horizontal="left" vertical="center"/>
    </xf>
    <xf numFmtId="164" fontId="28" fillId="0" borderId="1" xfId="1" applyNumberFormat="1" applyFont="1" applyBorder="1" applyAlignment="1">
      <alignment horizontal="left" vertical="center"/>
    </xf>
    <xf numFmtId="164" fontId="28" fillId="0" borderId="4" xfId="1" applyNumberFormat="1" applyFont="1" applyBorder="1" applyAlignment="1">
      <alignment horizontal="left" vertical="center"/>
    </xf>
    <xf numFmtId="164" fontId="31" fillId="0" borderId="0" xfId="2" applyNumberFormat="1" applyFont="1" applyAlignment="1">
      <alignment horizontal="left" vertical="center"/>
    </xf>
    <xf numFmtId="14" fontId="31" fillId="0" borderId="0" xfId="2" applyNumberFormat="1" applyFont="1" applyAlignment="1">
      <alignment horizontal="left" vertical="center"/>
    </xf>
    <xf numFmtId="164" fontId="28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9" fontId="28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49" fontId="32" fillId="0" borderId="0" xfId="1" applyNumberFormat="1" applyFont="1" applyAlignment="1">
      <alignment horizontal="center"/>
    </xf>
    <xf numFmtId="164" fontId="32" fillId="0" borderId="0" xfId="1" applyNumberFormat="1" applyFont="1" applyAlignment="1">
      <alignment wrapText="1"/>
    </xf>
    <xf numFmtId="164" fontId="28" fillId="0" borderId="0" xfId="1" applyNumberFormat="1" applyFont="1" applyAlignment="1">
      <alignment horizontal="center"/>
    </xf>
    <xf numFmtId="164" fontId="12" fillId="0" borderId="0" xfId="1" applyNumberFormat="1" applyFont="1" applyAlignment="1">
      <alignment horizontal="center"/>
    </xf>
    <xf numFmtId="164" fontId="32" fillId="0" borderId="0" xfId="1" applyNumberFormat="1" applyFont="1"/>
    <xf numFmtId="0" fontId="33" fillId="0" borderId="0" xfId="0" applyFont="1"/>
    <xf numFmtId="165" fontId="28" fillId="0" borderId="0" xfId="1" applyFont="1" applyAlignment="1">
      <alignment horizontal="center"/>
    </xf>
    <xf numFmtId="164" fontId="28" fillId="0" borderId="0" xfId="1" applyNumberFormat="1" applyFont="1"/>
    <xf numFmtId="165" fontId="32" fillId="0" borderId="0" xfId="1" applyFont="1"/>
    <xf numFmtId="0" fontId="32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49" fontId="9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wrapText="1"/>
    </xf>
    <xf numFmtId="164" fontId="9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9" fillId="0" borderId="0" xfId="1" applyNumberFormat="1" applyFont="1"/>
    <xf numFmtId="0" fontId="34" fillId="0" borderId="0" xfId="0" applyFont="1"/>
    <xf numFmtId="165" fontId="9" fillId="0" borderId="0" xfId="1" applyFont="1" applyAlignment="1">
      <alignment horizontal="center"/>
    </xf>
    <xf numFmtId="165" fontId="9" fillId="0" borderId="0" xfId="1" applyFont="1"/>
    <xf numFmtId="0" fontId="9" fillId="0" borderId="0" xfId="0" applyFont="1"/>
    <xf numFmtId="0" fontId="28" fillId="0" borderId="17" xfId="1" applyNumberFormat="1" applyFont="1" applyBorder="1" applyAlignment="1">
      <alignment horizontal="left" vertical="center" wrapText="1"/>
    </xf>
    <xf numFmtId="0" fontId="28" fillId="0" borderId="1" xfId="1" applyNumberFormat="1" applyFont="1" applyBorder="1" applyAlignment="1">
      <alignment horizontal="left" vertical="center" wrapText="1"/>
    </xf>
    <xf numFmtId="0" fontId="28" fillId="0" borderId="1" xfId="3" applyFont="1" applyBorder="1" applyAlignment="1">
      <alignment horizontal="center" vertical="center" wrapText="1"/>
    </xf>
    <xf numFmtId="0" fontId="28" fillId="0" borderId="1" xfId="0" quotePrefix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 vertical="center" wrapText="1"/>
    </xf>
    <xf numFmtId="0" fontId="28" fillId="2" borderId="1" xfId="1" applyNumberFormat="1" applyFont="1" applyFill="1" applyBorder="1" applyAlignment="1">
      <alignment horizontal="left" vertical="center" wrapText="1"/>
    </xf>
    <xf numFmtId="0" fontId="9" fillId="0" borderId="1" xfId="1" applyNumberFormat="1" applyFont="1" applyBorder="1" applyAlignment="1">
      <alignment horizontal="left" vertical="center" wrapText="1"/>
    </xf>
    <xf numFmtId="0" fontId="31" fillId="0" borderId="0" xfId="2" applyNumberFormat="1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8" fillId="3" borderId="1" xfId="1" applyNumberFormat="1" applyFont="1" applyFill="1" applyBorder="1" applyAlignment="1">
      <alignment horizontal="left" vertical="center" wrapText="1"/>
    </xf>
    <xf numFmtId="0" fontId="33" fillId="0" borderId="0" xfId="0" applyFont="1" applyAlignment="1">
      <alignment vertical="center"/>
    </xf>
    <xf numFmtId="0" fontId="17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49" fontId="32" fillId="0" borderId="0" xfId="1" applyNumberFormat="1" applyFont="1" applyAlignment="1">
      <alignment horizontal="center" vertical="center"/>
    </xf>
    <xf numFmtId="164" fontId="32" fillId="0" borderId="0" xfId="1" applyNumberFormat="1" applyFont="1" applyAlignment="1">
      <alignment vertical="center" wrapText="1"/>
    </xf>
    <xf numFmtId="164" fontId="28" fillId="0" borderId="0" xfId="1" applyNumberFormat="1" applyFont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164" fontId="32" fillId="0" borderId="0" xfId="1" applyNumberFormat="1" applyFont="1" applyAlignment="1">
      <alignment vertical="center"/>
    </xf>
    <xf numFmtId="165" fontId="28" fillId="0" borderId="0" xfId="1" applyFont="1" applyAlignment="1">
      <alignment horizontal="center" vertical="center"/>
    </xf>
    <xf numFmtId="164" fontId="28" fillId="0" borderId="0" xfId="1" applyNumberFormat="1" applyFont="1" applyAlignment="1">
      <alignment vertical="center"/>
    </xf>
    <xf numFmtId="165" fontId="32" fillId="0" borderId="0" xfId="1" applyFont="1" applyAlignment="1">
      <alignment vertical="center"/>
    </xf>
    <xf numFmtId="0" fontId="32" fillId="0" borderId="0" xfId="0" applyFont="1" applyAlignment="1">
      <alignment vertical="center"/>
    </xf>
    <xf numFmtId="0" fontId="28" fillId="0" borderId="17" xfId="3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/>
    </xf>
    <xf numFmtId="0" fontId="9" fillId="0" borderId="17" xfId="1" applyNumberFormat="1" applyFont="1" applyBorder="1" applyAlignment="1">
      <alignment horizontal="center" vertical="center" wrapText="1"/>
    </xf>
    <xf numFmtId="0" fontId="9" fillId="0" borderId="17" xfId="1" applyNumberFormat="1" applyFont="1" applyBorder="1" applyAlignment="1">
      <alignment horizontal="left" vertical="center" wrapText="1"/>
    </xf>
    <xf numFmtId="0" fontId="28" fillId="0" borderId="12" xfId="1" applyNumberFormat="1" applyFont="1" applyBorder="1" applyAlignment="1">
      <alignment horizontal="left" vertical="center" wrapText="1"/>
    </xf>
    <xf numFmtId="0" fontId="28" fillId="0" borderId="4" xfId="1" applyNumberFormat="1" applyFont="1" applyBorder="1" applyAlignment="1">
      <alignment horizontal="left" vertical="center" wrapText="1"/>
    </xf>
    <xf numFmtId="0" fontId="28" fillId="0" borderId="21" xfId="1" applyNumberFormat="1" applyFont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9" fontId="11" fillId="4" borderId="1" xfId="0" applyNumberFormat="1" applyFont="1" applyFill="1" applyBorder="1" applyAlignment="1">
      <alignment horizontal="center" vertical="center" wrapText="1"/>
    </xf>
    <xf numFmtId="43" fontId="11" fillId="4" borderId="1" xfId="0" applyNumberFormat="1" applyFont="1" applyFill="1" applyBorder="1" applyAlignment="1">
      <alignment horizontal="center" vertical="center" wrapText="1"/>
    </xf>
    <xf numFmtId="0" fontId="36" fillId="0" borderId="0" xfId="0" applyFont="1"/>
    <xf numFmtId="164" fontId="37" fillId="0" borderId="0" xfId="1" applyNumberFormat="1" applyFont="1"/>
    <xf numFmtId="0" fontId="20" fillId="0" borderId="0" xfId="0" applyFont="1" applyAlignment="1">
      <alignment horizontal="center"/>
    </xf>
    <xf numFmtId="1" fontId="24" fillId="0" borderId="0" xfId="0" applyNumberFormat="1" applyFont="1"/>
    <xf numFmtId="164" fontId="6" fillId="0" borderId="0" xfId="0" applyNumberFormat="1" applyFont="1"/>
    <xf numFmtId="0" fontId="38" fillId="0" borderId="0" xfId="3" applyFont="1" applyAlignment="1">
      <alignment vertical="center"/>
    </xf>
    <xf numFmtId="164" fontId="40" fillId="0" borderId="0" xfId="0" applyNumberFormat="1" applyFont="1" applyAlignment="1">
      <alignment horizontal="left" vertical="center" shrinkToFit="1"/>
    </xf>
    <xf numFmtId="164" fontId="24" fillId="0" borderId="21" xfId="1" applyNumberFormat="1" applyFont="1" applyBorder="1" applyAlignment="1">
      <alignment horizontal="left" vertical="center"/>
    </xf>
    <xf numFmtId="164" fontId="24" fillId="0" borderId="12" xfId="1" applyNumberFormat="1" applyFont="1" applyBorder="1" applyAlignment="1">
      <alignment horizontal="left" vertical="center"/>
    </xf>
    <xf numFmtId="0" fontId="24" fillId="0" borderId="17" xfId="3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165" fontId="24" fillId="0" borderId="17" xfId="1" applyFont="1" applyBorder="1" applyAlignment="1">
      <alignment horizontal="left" vertical="center"/>
    </xf>
    <xf numFmtId="164" fontId="24" fillId="0" borderId="1" xfId="1" applyNumberFormat="1" applyFont="1" applyBorder="1" applyAlignment="1">
      <alignment horizontal="left" vertical="center"/>
    </xf>
    <xf numFmtId="164" fontId="24" fillId="0" borderId="4" xfId="1" applyNumberFormat="1" applyFont="1" applyBorder="1" applyAlignment="1">
      <alignment horizontal="left" vertical="center"/>
    </xf>
    <xf numFmtId="164" fontId="24" fillId="0" borderId="0" xfId="1" applyNumberFormat="1" applyFont="1" applyAlignment="1">
      <alignment horizontal="left" vertical="center"/>
    </xf>
    <xf numFmtId="164" fontId="24" fillId="0" borderId="0" xfId="2" applyNumberFormat="1" applyFont="1" applyAlignment="1">
      <alignment horizontal="left" vertical="center"/>
    </xf>
    <xf numFmtId="14" fontId="24" fillId="0" borderId="0" xfId="2" applyNumberFormat="1" applyFont="1" applyAlignment="1">
      <alignment horizontal="left" vertical="center"/>
    </xf>
    <xf numFmtId="164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1" fillId="0" borderId="0" xfId="0" applyFont="1"/>
    <xf numFmtId="164" fontId="6" fillId="0" borderId="0" xfId="1" applyNumberFormat="1" applyFont="1" applyAlignment="1">
      <alignment wrapText="1"/>
    </xf>
    <xf numFmtId="164" fontId="6" fillId="0" borderId="0" xfId="1" applyNumberFormat="1" applyFont="1" applyAlignment="1">
      <alignment horizontal="center"/>
    </xf>
    <xf numFmtId="164" fontId="42" fillId="0" borderId="0" xfId="1" applyNumberFormat="1" applyFont="1" applyAlignment="1">
      <alignment horizontal="center"/>
    </xf>
    <xf numFmtId="164" fontId="6" fillId="0" borderId="0" xfId="1" applyNumberFormat="1" applyFont="1"/>
    <xf numFmtId="0" fontId="39" fillId="0" borderId="0" xfId="0" applyFont="1"/>
    <xf numFmtId="165" fontId="6" fillId="0" borderId="0" xfId="1" applyFont="1" applyAlignment="1">
      <alignment horizontal="center"/>
    </xf>
    <xf numFmtId="165" fontId="6" fillId="0" borderId="0" xfId="1" applyFont="1"/>
    <xf numFmtId="0" fontId="6" fillId="0" borderId="0" xfId="0" applyFont="1"/>
    <xf numFmtId="49" fontId="6" fillId="0" borderId="0" xfId="1" applyNumberFormat="1" applyFont="1" applyAlignment="1">
      <alignment horizontal="center"/>
    </xf>
    <xf numFmtId="0" fontId="24" fillId="3" borderId="1" xfId="0" applyFont="1" applyFill="1" applyBorder="1" applyAlignment="1">
      <alignment horizontal="center" vertical="center" wrapText="1"/>
    </xf>
    <xf numFmtId="0" fontId="24" fillId="5" borderId="17" xfId="3" applyFont="1" applyFill="1" applyBorder="1" applyAlignment="1">
      <alignment horizontal="center" vertical="center"/>
    </xf>
    <xf numFmtId="0" fontId="24" fillId="5" borderId="1" xfId="0" quotePrefix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24" fillId="5" borderId="17" xfId="0" applyFont="1" applyFill="1" applyBorder="1" applyAlignment="1">
      <alignment horizontal="left" vertical="center"/>
    </xf>
    <xf numFmtId="0" fontId="24" fillId="5" borderId="17" xfId="0" applyFont="1" applyFill="1" applyBorder="1" applyAlignment="1">
      <alignment horizontal="center" vertical="center"/>
    </xf>
    <xf numFmtId="164" fontId="24" fillId="5" borderId="17" xfId="1" applyNumberFormat="1" applyFont="1" applyFill="1" applyBorder="1" applyAlignment="1">
      <alignment horizontal="left" vertical="center"/>
    </xf>
    <xf numFmtId="9" fontId="24" fillId="5" borderId="17" xfId="1" applyNumberFormat="1" applyFont="1" applyFill="1" applyBorder="1" applyAlignment="1">
      <alignment horizontal="center" vertical="center"/>
    </xf>
    <xf numFmtId="165" fontId="24" fillId="5" borderId="17" xfId="1" applyFont="1" applyFill="1" applyBorder="1" applyAlignment="1">
      <alignment horizontal="left" vertical="center"/>
    </xf>
    <xf numFmtId="164" fontId="24" fillId="5" borderId="1" xfId="1" applyNumberFormat="1" applyFont="1" applyFill="1" applyBorder="1" applyAlignment="1">
      <alignment horizontal="left" vertical="center"/>
    </xf>
    <xf numFmtId="164" fontId="24" fillId="5" borderId="12" xfId="1" applyNumberFormat="1" applyFont="1" applyFill="1" applyBorder="1" applyAlignment="1">
      <alignment horizontal="left" vertical="center"/>
    </xf>
    <xf numFmtId="164" fontId="24" fillId="5" borderId="4" xfId="1" applyNumberFormat="1" applyFont="1" applyFill="1" applyBorder="1" applyAlignment="1">
      <alignment horizontal="left" vertical="center"/>
    </xf>
    <xf numFmtId="164" fontId="24" fillId="5" borderId="21" xfId="1" applyNumberFormat="1" applyFont="1" applyFill="1" applyBorder="1" applyAlignment="1">
      <alignment horizontal="left" vertical="center"/>
    </xf>
    <xf numFmtId="0" fontId="18" fillId="0" borderId="0" xfId="3" applyFont="1" applyAlignment="1">
      <alignment horizontal="left" vertical="center"/>
    </xf>
    <xf numFmtId="164" fontId="38" fillId="0" borderId="0" xfId="1" applyNumberFormat="1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164" fontId="38" fillId="0" borderId="0" xfId="1" applyNumberFormat="1" applyFont="1" applyAlignment="1">
      <alignment vertical="center"/>
    </xf>
    <xf numFmtId="164" fontId="24" fillId="0" borderId="0" xfId="1" applyNumberFormat="1" applyFont="1" applyAlignment="1">
      <alignment vertical="center" wrapText="1"/>
    </xf>
    <xf numFmtId="165" fontId="43" fillId="0" borderId="0" xfId="1" applyFont="1" applyAlignment="1">
      <alignment vertical="center"/>
    </xf>
    <xf numFmtId="164" fontId="43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44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44" fillId="0" borderId="0" xfId="3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0" fontId="46" fillId="0" borderId="0" xfId="3" applyFont="1" applyAlignment="1">
      <alignment horizontal="center" vertical="center"/>
    </xf>
    <xf numFmtId="164" fontId="47" fillId="0" borderId="0" xfId="1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164" fontId="48" fillId="0" borderId="0" xfId="1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165" fontId="48" fillId="0" borderId="0" xfId="1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9" fillId="0" borderId="9" xfId="3" applyFont="1" applyBorder="1" applyAlignment="1">
      <alignment horizontal="center" vertical="center" shrinkToFit="1"/>
    </xf>
    <xf numFmtId="49" fontId="9" fillId="0" borderId="9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horizontal="center" vertical="center" shrinkToFit="1"/>
    </xf>
    <xf numFmtId="49" fontId="9" fillId="0" borderId="11" xfId="1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shrinkToFit="1"/>
    </xf>
    <xf numFmtId="49" fontId="9" fillId="0" borderId="10" xfId="1" applyNumberFormat="1" applyFont="1" applyBorder="1" applyAlignment="1">
      <alignment horizontal="center" vertical="center" shrinkToFit="1"/>
    </xf>
    <xf numFmtId="167" fontId="24" fillId="0" borderId="17" xfId="1" applyNumberFormat="1" applyFont="1" applyBorder="1" applyAlignment="1">
      <alignment horizontal="left" vertical="center"/>
    </xf>
    <xf numFmtId="164" fontId="24" fillId="0" borderId="19" xfId="1" applyNumberFormat="1" applyFont="1" applyBorder="1" applyAlignment="1">
      <alignment horizontal="left" vertical="center"/>
    </xf>
    <xf numFmtId="165" fontId="18" fillId="0" borderId="0" xfId="1" applyFont="1"/>
    <xf numFmtId="165" fontId="18" fillId="0" borderId="0" xfId="0" applyNumberFormat="1" applyFont="1"/>
    <xf numFmtId="165" fontId="21" fillId="0" borderId="0" xfId="1" applyFont="1"/>
    <xf numFmtId="0" fontId="51" fillId="0" borderId="0" xfId="3" applyFont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49" fontId="52" fillId="0" borderId="1" xfId="1" applyNumberFormat="1" applyFont="1" applyBorder="1" applyAlignment="1">
      <alignment horizontal="center" vertical="center" wrapText="1"/>
    </xf>
    <xf numFmtId="0" fontId="48" fillId="0" borderId="0" xfId="3" applyFont="1" applyAlignment="1">
      <alignment horizontal="center" vertical="center"/>
    </xf>
    <xf numFmtId="164" fontId="48" fillId="0" borderId="0" xfId="1" applyNumberFormat="1" applyFont="1" applyAlignment="1">
      <alignment horizontal="center" vertical="center" wrapText="1"/>
    </xf>
    <xf numFmtId="164" fontId="53" fillId="0" borderId="0" xfId="1" applyNumberFormat="1" applyFont="1" applyAlignment="1">
      <alignment horizontal="center" vertical="center" wrapText="1"/>
    </xf>
    <xf numFmtId="164" fontId="48" fillId="0" borderId="0" xfId="1" applyNumberFormat="1" applyFont="1" applyAlignment="1">
      <alignment vertical="center" wrapText="1"/>
    </xf>
    <xf numFmtId="165" fontId="48" fillId="0" borderId="0" xfId="1" applyFont="1" applyAlignment="1">
      <alignment horizontal="center" vertical="center"/>
    </xf>
    <xf numFmtId="165" fontId="48" fillId="0" borderId="0" xfId="1" applyFont="1" applyAlignment="1">
      <alignment horizontal="center" vertical="center" wrapText="1"/>
    </xf>
    <xf numFmtId="164" fontId="48" fillId="0" borderId="0" xfId="0" applyNumberFormat="1" applyFont="1" applyAlignment="1">
      <alignment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9" fontId="8" fillId="3" borderId="12" xfId="2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7" fillId="0" borderId="0" xfId="3" applyFont="1" applyAlignment="1">
      <alignment horizontal="center" vertical="center"/>
    </xf>
    <xf numFmtId="164" fontId="13" fillId="0" borderId="0" xfId="0" applyNumberFormat="1" applyFont="1" applyAlignment="1">
      <alignment horizontal="left" vertical="center" shrinkToFit="1"/>
    </xf>
    <xf numFmtId="164" fontId="16" fillId="0" borderId="21" xfId="1" applyNumberFormat="1" applyFont="1" applyBorder="1" applyAlignment="1">
      <alignment horizontal="left" vertical="center"/>
    </xf>
    <xf numFmtId="164" fontId="16" fillId="0" borderId="12" xfId="1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7" xfId="0" applyFont="1" applyBorder="1" applyAlignment="1">
      <alignment horizontal="center" vertical="center"/>
    </xf>
    <xf numFmtId="164" fontId="16" fillId="0" borderId="17" xfId="1" applyNumberFormat="1" applyFont="1" applyBorder="1" applyAlignment="1">
      <alignment horizontal="left" vertical="center"/>
    </xf>
    <xf numFmtId="165" fontId="16" fillId="0" borderId="17" xfId="1" applyFont="1" applyBorder="1" applyAlignment="1">
      <alignment horizontal="left" vertical="center"/>
    </xf>
    <xf numFmtId="164" fontId="16" fillId="0" borderId="1" xfId="1" applyNumberFormat="1" applyFont="1" applyBorder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5" fontId="7" fillId="0" borderId="0" xfId="1" applyFont="1" applyAlignment="1">
      <alignment horizontal="center"/>
    </xf>
    <xf numFmtId="164" fontId="7" fillId="0" borderId="0" xfId="1" applyNumberFormat="1" applyFont="1"/>
    <xf numFmtId="0" fontId="59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60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49" fontId="28" fillId="0" borderId="9" xfId="1" applyNumberFormat="1" applyFont="1" applyBorder="1" applyAlignment="1">
      <alignment horizontal="center" vertical="center" shrinkToFit="1"/>
    </xf>
    <xf numFmtId="49" fontId="28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0" fontId="65" fillId="0" borderId="0" xfId="0" applyFont="1" applyAlignment="1">
      <alignment horizontal="center"/>
    </xf>
    <xf numFmtId="164" fontId="16" fillId="0" borderId="0" xfId="1" applyNumberFormat="1" applyFont="1" applyAlignment="1">
      <alignment vertical="center" wrapText="1"/>
    </xf>
    <xf numFmtId="164" fontId="28" fillId="0" borderId="0" xfId="1" applyNumberFormat="1" applyFont="1" applyAlignment="1">
      <alignment horizontal="center" vertical="center" wrapText="1"/>
    </xf>
    <xf numFmtId="164" fontId="12" fillId="0" borderId="0" xfId="1" applyNumberFormat="1" applyFont="1" applyAlignment="1">
      <alignment horizontal="center" vertical="center" wrapText="1"/>
    </xf>
    <xf numFmtId="165" fontId="28" fillId="0" borderId="0" xfId="1" applyFont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28" fillId="0" borderId="9" xfId="3" applyFont="1" applyBorder="1" applyAlignment="1">
      <alignment horizontal="center" vertical="center" shrinkToFit="1"/>
    </xf>
    <xf numFmtId="167" fontId="16" fillId="0" borderId="17" xfId="1" applyNumberFormat="1" applyFont="1" applyBorder="1" applyAlignment="1">
      <alignment horizontal="left" vertical="center"/>
    </xf>
    <xf numFmtId="9" fontId="16" fillId="0" borderId="17" xfId="1" applyNumberFormat="1" applyFont="1" applyBorder="1" applyAlignment="1">
      <alignment horizontal="center" vertical="center"/>
    </xf>
    <xf numFmtId="164" fontId="16" fillId="0" borderId="0" xfId="2" applyNumberFormat="1" applyFont="1" applyAlignment="1">
      <alignment horizontal="left" vertical="center"/>
    </xf>
    <xf numFmtId="14" fontId="16" fillId="0" borderId="0" xfId="2" applyNumberFormat="1" applyFont="1" applyAlignment="1">
      <alignment horizontal="left" vertic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8" fillId="0" borderId="0" xfId="0" applyFont="1"/>
    <xf numFmtId="166" fontId="59" fillId="0" borderId="0" xfId="1" applyNumberFormat="1" applyFont="1" applyAlignment="1">
      <alignment horizontal="center"/>
    </xf>
    <xf numFmtId="165" fontId="59" fillId="0" borderId="0" xfId="1" applyFont="1" applyAlignment="1">
      <alignment horizontal="center"/>
    </xf>
    <xf numFmtId="165" fontId="59" fillId="0" borderId="0" xfId="1" applyFont="1"/>
    <xf numFmtId="165" fontId="59" fillId="0" borderId="0" xfId="0" applyNumberFormat="1" applyFont="1"/>
    <xf numFmtId="0" fontId="69" fillId="0" borderId="8" xfId="0" applyFont="1" applyBorder="1" applyAlignment="1">
      <alignment horizontal="center"/>
    </xf>
    <xf numFmtId="164" fontId="59" fillId="0" borderId="0" xfId="1" applyNumberFormat="1" applyFont="1"/>
    <xf numFmtId="14" fontId="59" fillId="0" borderId="0" xfId="0" applyNumberFormat="1" applyFont="1"/>
    <xf numFmtId="0" fontId="60" fillId="0" borderId="0" xfId="0" applyFont="1"/>
    <xf numFmtId="0" fontId="60" fillId="0" borderId="0" xfId="0" applyFont="1" applyAlignment="1">
      <alignment horizontal="center"/>
    </xf>
    <xf numFmtId="0" fontId="70" fillId="0" borderId="0" xfId="0" applyFont="1"/>
    <xf numFmtId="166" fontId="60" fillId="0" borderId="0" xfId="1" applyNumberFormat="1" applyFont="1" applyAlignment="1">
      <alignment horizontal="center"/>
    </xf>
    <xf numFmtId="165" fontId="60" fillId="0" borderId="0" xfId="1" applyFont="1" applyAlignment="1">
      <alignment horizontal="center"/>
    </xf>
    <xf numFmtId="164" fontId="60" fillId="0" borderId="0" xfId="0" applyNumberFormat="1" applyFont="1"/>
    <xf numFmtId="164" fontId="60" fillId="0" borderId="0" xfId="1" applyNumberFormat="1" applyFont="1"/>
    <xf numFmtId="49" fontId="60" fillId="0" borderId="0" xfId="0" applyNumberFormat="1" applyFont="1" applyAlignment="1">
      <alignment horizontal="center"/>
    </xf>
    <xf numFmtId="165" fontId="60" fillId="0" borderId="0" xfId="1" applyFont="1"/>
    <xf numFmtId="14" fontId="60" fillId="0" borderId="0" xfId="0" applyNumberFormat="1" applyFont="1"/>
    <xf numFmtId="0" fontId="7" fillId="0" borderId="0" xfId="0" applyFont="1" applyAlignment="1">
      <alignment horizontal="center"/>
    </xf>
    <xf numFmtId="49" fontId="7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wrapText="1"/>
    </xf>
    <xf numFmtId="0" fontId="71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7" fillId="0" borderId="0" xfId="1" applyFont="1"/>
    <xf numFmtId="0" fontId="7" fillId="0" borderId="0" xfId="0" applyFont="1"/>
    <xf numFmtId="14" fontId="13" fillId="0" borderId="0" xfId="2" applyNumberFormat="1" applyFont="1" applyAlignment="1">
      <alignment horizontal="left" vertical="center" shrinkToFit="1"/>
    </xf>
    <xf numFmtId="0" fontId="16" fillId="5" borderId="17" xfId="3" applyFont="1" applyFill="1" applyBorder="1" applyAlignment="1">
      <alignment horizontal="center" vertical="center"/>
    </xf>
    <xf numFmtId="0" fontId="16" fillId="5" borderId="1" xfId="0" quotePrefix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17" xfId="0" applyFont="1" applyFill="1" applyBorder="1" applyAlignment="1">
      <alignment horizontal="left" vertical="center"/>
    </xf>
    <xf numFmtId="0" fontId="16" fillId="5" borderId="17" xfId="0" applyFont="1" applyFill="1" applyBorder="1" applyAlignment="1">
      <alignment horizontal="center" vertical="center"/>
    </xf>
    <xf numFmtId="164" fontId="16" fillId="5" borderId="17" xfId="1" applyNumberFormat="1" applyFont="1" applyFill="1" applyBorder="1" applyAlignment="1">
      <alignment horizontal="left" vertical="center"/>
    </xf>
    <xf numFmtId="9" fontId="16" fillId="5" borderId="17" xfId="1" applyNumberFormat="1" applyFont="1" applyFill="1" applyBorder="1" applyAlignment="1">
      <alignment horizontal="center" vertical="center"/>
    </xf>
    <xf numFmtId="165" fontId="16" fillId="5" borderId="17" xfId="1" applyFont="1" applyFill="1" applyBorder="1" applyAlignment="1">
      <alignment horizontal="left" vertical="center"/>
    </xf>
    <xf numFmtId="164" fontId="16" fillId="5" borderId="1" xfId="1" applyNumberFormat="1" applyFont="1" applyFill="1" applyBorder="1" applyAlignment="1">
      <alignment horizontal="left" vertical="center"/>
    </xf>
    <xf numFmtId="164" fontId="16" fillId="5" borderId="12" xfId="1" applyNumberFormat="1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center" vertical="center" wrapText="1"/>
    </xf>
    <xf numFmtId="49" fontId="76" fillId="0" borderId="1" xfId="1" applyNumberFormat="1" applyFont="1" applyBorder="1" applyAlignment="1">
      <alignment horizontal="center" vertical="center" wrapText="1"/>
    </xf>
    <xf numFmtId="164" fontId="16" fillId="5" borderId="21" xfId="1" applyNumberFormat="1" applyFont="1" applyFill="1" applyBorder="1" applyAlignment="1">
      <alignment horizontal="left" vertical="center"/>
    </xf>
    <xf numFmtId="164" fontId="11" fillId="3" borderId="12" xfId="1" applyNumberFormat="1" applyFont="1" applyFill="1" applyBorder="1" applyAlignment="1">
      <alignment horizontal="center" vertical="center" wrapText="1"/>
    </xf>
    <xf numFmtId="164" fontId="11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8" fillId="3" borderId="20" xfId="1" applyNumberFormat="1" applyFont="1" applyFill="1" applyBorder="1" applyAlignment="1">
      <alignment horizontal="center" vertical="center"/>
    </xf>
    <xf numFmtId="0" fontId="56" fillId="3" borderId="11" xfId="0" applyFont="1" applyFill="1" applyBorder="1"/>
    <xf numFmtId="0" fontId="56" fillId="3" borderId="15" xfId="0" applyFont="1" applyFill="1" applyBorder="1"/>
    <xf numFmtId="164" fontId="15" fillId="3" borderId="1" xfId="1" applyNumberFormat="1" applyFont="1" applyFill="1" applyBorder="1" applyAlignment="1">
      <alignment horizontal="center" vertical="center" wrapText="1"/>
    </xf>
    <xf numFmtId="164" fontId="11" fillId="3" borderId="1" xfId="1" applyNumberFormat="1" applyFont="1" applyFill="1" applyBorder="1" applyAlignment="1">
      <alignment horizontal="center" vertical="center"/>
    </xf>
    <xf numFmtId="0" fontId="11" fillId="3" borderId="1" xfId="1" applyNumberFormat="1" applyFont="1" applyFill="1" applyBorder="1" applyAlignment="1">
      <alignment horizontal="center" vertical="center" wrapText="1"/>
    </xf>
    <xf numFmtId="0" fontId="31" fillId="3" borderId="1" xfId="1" applyNumberFormat="1" applyFont="1" applyFill="1" applyBorder="1" applyAlignment="1">
      <alignment horizontal="center" vertical="center" wrapText="1"/>
    </xf>
    <xf numFmtId="0" fontId="57" fillId="3" borderId="17" xfId="0" applyFont="1" applyFill="1" applyBorder="1"/>
    <xf numFmtId="165" fontId="50" fillId="3" borderId="1" xfId="1" applyFont="1" applyFill="1" applyBorder="1" applyAlignment="1">
      <alignment horizontal="center" vertical="center" wrapText="1"/>
    </xf>
    <xf numFmtId="0" fontId="39" fillId="3" borderId="9" xfId="0" applyFont="1" applyFill="1" applyBorder="1"/>
    <xf numFmtId="0" fontId="39" fillId="3" borderId="17" xfId="0" applyFont="1" applyFill="1" applyBorder="1"/>
    <xf numFmtId="164" fontId="9" fillId="3" borderId="17" xfId="1" applyNumberFormat="1" applyFont="1" applyFill="1" applyBorder="1" applyAlignment="1">
      <alignment horizontal="center" vertical="center" wrapText="1"/>
    </xf>
    <xf numFmtId="164" fontId="25" fillId="3" borderId="1" xfId="1" applyNumberFormat="1" applyFont="1" applyFill="1" applyBorder="1" applyAlignment="1">
      <alignment horizontal="center" vertical="center" wrapText="1"/>
    </xf>
    <xf numFmtId="0" fontId="57" fillId="3" borderId="9" xfId="0" applyFont="1" applyFill="1" applyBorder="1"/>
    <xf numFmtId="0" fontId="9" fillId="3" borderId="1" xfId="1" applyNumberFormat="1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/>
    </xf>
    <xf numFmtId="164" fontId="48" fillId="0" borderId="0" xfId="1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5" fontId="28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31" fillId="3" borderId="1" xfId="1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64" fontId="14" fillId="3" borderId="1" xfId="1" applyNumberFormat="1" applyFont="1" applyFill="1" applyBorder="1" applyAlignment="1">
      <alignment horizontal="center" vertical="center" wrapText="1"/>
    </xf>
    <xf numFmtId="49" fontId="11" fillId="3" borderId="1" xfId="1" applyNumberFormat="1" applyFont="1" applyFill="1" applyBorder="1" applyAlignment="1">
      <alignment horizontal="center" vertical="center" wrapText="1"/>
    </xf>
    <xf numFmtId="9" fontId="9" fillId="6" borderId="7" xfId="2" applyFont="1" applyFill="1" applyBorder="1" applyAlignment="1">
      <alignment horizontal="center" vertical="center"/>
    </xf>
    <xf numFmtId="0" fontId="39" fillId="6" borderId="8" xfId="0" applyFont="1" applyFill="1" applyBorder="1"/>
    <xf numFmtId="0" fontId="39" fillId="6" borderId="2" xfId="0" applyFont="1" applyFill="1" applyBorder="1"/>
    <xf numFmtId="0" fontId="39" fillId="6" borderId="10" xfId="0" applyFont="1" applyFill="1" applyBorder="1"/>
    <xf numFmtId="0" fontId="47" fillId="6" borderId="0" xfId="0" applyFont="1" applyFill="1" applyAlignment="1">
      <alignment horizontal="center" vertical="center"/>
    </xf>
    <xf numFmtId="0" fontId="39" fillId="6" borderId="11" xfId="0" applyFont="1" applyFill="1" applyBorder="1"/>
    <xf numFmtId="0" fontId="39" fillId="6" borderId="13" xfId="0" applyFont="1" applyFill="1" applyBorder="1"/>
    <xf numFmtId="0" fontId="39" fillId="6" borderId="14" xfId="0" applyFont="1" applyFill="1" applyBorder="1"/>
    <xf numFmtId="0" fontId="39" fillId="6" borderId="15" xfId="0" applyFont="1" applyFill="1" applyBorder="1"/>
    <xf numFmtId="43" fontId="47" fillId="0" borderId="1" xfId="5" applyFont="1" applyBorder="1" applyAlignment="1">
      <alignment horizontal="center" vertical="center" wrapText="1"/>
    </xf>
    <xf numFmtId="0" fontId="39" fillId="0" borderId="2" xfId="0" applyFont="1" applyBorder="1"/>
    <xf numFmtId="0" fontId="39" fillId="0" borderId="19" xfId="0" applyFont="1" applyBorder="1"/>
    <xf numFmtId="0" fontId="39" fillId="0" borderId="16" xfId="0" applyFont="1" applyBorder="1"/>
    <xf numFmtId="0" fontId="8" fillId="3" borderId="3" xfId="1" applyNumberFormat="1" applyFont="1" applyFill="1" applyBorder="1" applyAlignment="1">
      <alignment horizontal="center" vertical="center" wrapText="1"/>
    </xf>
    <xf numFmtId="0" fontId="8" fillId="3" borderId="17" xfId="1" applyNumberFormat="1" applyFont="1" applyFill="1" applyBorder="1" applyAlignment="1">
      <alignment horizontal="center" vertical="center" wrapText="1"/>
    </xf>
    <xf numFmtId="165" fontId="24" fillId="6" borderId="4" xfId="1" applyFont="1" applyFill="1" applyBorder="1" applyAlignment="1">
      <alignment horizontal="center" vertical="center" wrapText="1"/>
    </xf>
    <xf numFmtId="0" fontId="39" fillId="6" borderId="5" xfId="0" applyFont="1" applyFill="1" applyBorder="1"/>
    <xf numFmtId="164" fontId="55" fillId="3" borderId="1" xfId="1" applyNumberFormat="1" applyFont="1" applyFill="1" applyBorder="1" applyAlignment="1">
      <alignment horizontal="center" vertical="center" wrapText="1"/>
    </xf>
    <xf numFmtId="0" fontId="56" fillId="3" borderId="9" xfId="0" applyFont="1" applyFill="1" applyBorder="1"/>
    <xf numFmtId="0" fontId="56" fillId="3" borderId="17" xfId="0" applyFont="1" applyFill="1" applyBorder="1"/>
    <xf numFmtId="164" fontId="24" fillId="3" borderId="1" xfId="1" applyNumberFormat="1" applyFont="1" applyFill="1" applyBorder="1" applyAlignment="1">
      <alignment horizontal="center" vertical="center" wrapText="1"/>
    </xf>
    <xf numFmtId="164" fontId="24" fillId="6" borderId="1" xfId="1" applyNumberFormat="1" applyFont="1" applyFill="1" applyBorder="1" applyAlignment="1">
      <alignment horizontal="center" vertical="center" wrapText="1"/>
    </xf>
    <xf numFmtId="0" fontId="39" fillId="6" borderId="6" xfId="0" applyFont="1" applyFill="1" applyBorder="1"/>
    <xf numFmtId="164" fontId="58" fillId="3" borderId="1" xfId="1" applyNumberFormat="1" applyFont="1" applyFill="1" applyBorder="1" applyAlignment="1">
      <alignment horizontal="center" vertical="center" wrapText="1"/>
    </xf>
    <xf numFmtId="164" fontId="9" fillId="6" borderId="1" xfId="1" applyNumberFormat="1" applyFont="1" applyFill="1" applyBorder="1" applyAlignment="1">
      <alignment horizontal="center" vertical="center" wrapText="1"/>
    </xf>
    <xf numFmtId="165" fontId="31" fillId="3" borderId="7" xfId="1" applyFont="1" applyFill="1" applyBorder="1" applyAlignment="1">
      <alignment horizontal="center" vertical="center" wrapText="1"/>
    </xf>
    <xf numFmtId="0" fontId="57" fillId="3" borderId="18" xfId="0" applyFont="1" applyFill="1" applyBorder="1"/>
    <xf numFmtId="164" fontId="11" fillId="3" borderId="4" xfId="1" applyNumberFormat="1" applyFont="1" applyFill="1" applyBorder="1" applyAlignment="1">
      <alignment horizontal="center" vertical="center" wrapText="1"/>
    </xf>
    <xf numFmtId="0" fontId="54" fillId="3" borderId="10" xfId="0" applyFont="1" applyFill="1" applyBorder="1"/>
    <xf numFmtId="0" fontId="54" fillId="3" borderId="19" xfId="0" applyFont="1" applyFill="1" applyBorder="1"/>
    <xf numFmtId="164" fontId="8" fillId="3" borderId="1" xfId="1" applyNumberFormat="1" applyFont="1" applyFill="1" applyBorder="1" applyAlignment="1">
      <alignment horizontal="center" vertical="center" wrapText="1"/>
    </xf>
    <xf numFmtId="164" fontId="9" fillId="0" borderId="3" xfId="1" applyNumberFormat="1" applyFont="1" applyBorder="1" applyAlignment="1">
      <alignment horizontal="center" vertical="center" wrapText="1"/>
    </xf>
    <xf numFmtId="165" fontId="11" fillId="3" borderId="7" xfId="1" applyFont="1" applyFill="1" applyBorder="1" applyAlignment="1">
      <alignment horizontal="center" vertical="center" wrapText="1"/>
    </xf>
    <xf numFmtId="0" fontId="54" fillId="3" borderId="18" xfId="0" applyFont="1" applyFill="1" applyBorder="1"/>
    <xf numFmtId="164" fontId="9" fillId="0" borderId="1" xfId="1" applyNumberFormat="1" applyFont="1" applyBorder="1" applyAlignment="1">
      <alignment horizontal="center" vertical="center" wrapText="1"/>
    </xf>
    <xf numFmtId="0" fontId="39" fillId="0" borderId="5" xfId="0" applyFont="1" applyBorder="1"/>
    <xf numFmtId="0" fontId="39" fillId="0" borderId="6" xfId="0" applyFont="1" applyBorder="1"/>
    <xf numFmtId="164" fontId="11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11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1" fillId="4" borderId="1" xfId="1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center" vertical="center"/>
    </xf>
    <xf numFmtId="164" fontId="11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11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center" vertical="center"/>
    </xf>
    <xf numFmtId="165" fontId="11" fillId="2" borderId="1" xfId="1" applyFont="1" applyFill="1" applyBorder="1" applyAlignment="1">
      <alignment horizontal="center" vertical="center" wrapText="1"/>
    </xf>
    <xf numFmtId="43" fontId="11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11" fillId="2" borderId="1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165" fontId="4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11" fillId="4" borderId="3" xfId="1" applyNumberFormat="1" applyFont="1" applyFill="1" applyBorder="1" applyAlignment="1">
      <alignment horizontal="center" vertical="center" wrapText="1"/>
    </xf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 wrapText="1"/>
    </xf>
    <xf numFmtId="164" fontId="11" fillId="4" borderId="4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/>
    </xf>
    <xf numFmtId="165" fontId="4" fillId="2" borderId="7" xfId="1" applyFont="1" applyFill="1" applyBorder="1" applyAlignment="1">
      <alignment horizontal="center" vertical="center" wrapText="1"/>
    </xf>
    <xf numFmtId="165" fontId="74" fillId="3" borderId="1" xfId="1" applyFont="1" applyFill="1" applyBorder="1" applyAlignment="1">
      <alignment horizontal="center" vertical="center" wrapText="1"/>
    </xf>
    <xf numFmtId="0" fontId="73" fillId="3" borderId="9" xfId="0" applyFont="1" applyFill="1" applyBorder="1"/>
    <xf numFmtId="0" fontId="73" fillId="3" borderId="17" xfId="0" applyFont="1" applyFill="1" applyBorder="1"/>
    <xf numFmtId="0" fontId="4" fillId="3" borderId="1" xfId="1" applyNumberFormat="1" applyFont="1" applyFill="1" applyBorder="1" applyAlignment="1">
      <alignment horizontal="center" vertical="top" wrapText="1"/>
    </xf>
    <xf numFmtId="164" fontId="75" fillId="3" borderId="1" xfId="1" applyNumberFormat="1" applyFont="1" applyFill="1" applyBorder="1" applyAlignment="1">
      <alignment horizontal="center" vertical="center" wrapText="1"/>
    </xf>
    <xf numFmtId="164" fontId="28" fillId="0" borderId="1" xfId="1" applyNumberFormat="1" applyFont="1" applyBorder="1" applyAlignment="1">
      <alignment horizontal="center" vertical="center" wrapText="1"/>
    </xf>
    <xf numFmtId="0" fontId="28" fillId="3" borderId="1" xfId="3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7" xfId="0" applyFill="1" applyBorder="1"/>
    <xf numFmtId="9" fontId="28" fillId="6" borderId="7" xfId="2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2" xfId="0" applyFill="1" applyBorder="1"/>
    <xf numFmtId="0" fontId="0" fillId="6" borderId="10" xfId="0" applyFill="1" applyBorder="1"/>
    <xf numFmtId="0" fontId="65" fillId="6" borderId="0" xfId="0" applyFont="1" applyFill="1" applyAlignment="1">
      <alignment horizontal="center" vertical="center"/>
    </xf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164" fontId="28" fillId="0" borderId="3" xfId="1" applyNumberFormat="1" applyFont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top" wrapText="1"/>
    </xf>
    <xf numFmtId="164" fontId="72" fillId="3" borderId="1" xfId="1" applyNumberFormat="1" applyFont="1" applyFill="1" applyBorder="1" applyAlignment="1">
      <alignment horizontal="center" vertical="center" wrapText="1"/>
    </xf>
    <xf numFmtId="0" fontId="73" fillId="3" borderId="18" xfId="0" applyFont="1" applyFill="1" applyBorder="1"/>
    <xf numFmtId="164" fontId="26" fillId="3" borderId="1" xfId="1" applyNumberFormat="1" applyFont="1" applyFill="1" applyBorder="1" applyAlignment="1">
      <alignment horizontal="center" vertical="center" wrapText="1"/>
    </xf>
    <xf numFmtId="0" fontId="8" fillId="3" borderId="1" xfId="1" applyNumberFormat="1" applyFont="1" applyFill="1" applyBorder="1" applyAlignment="1">
      <alignment horizontal="center" vertical="top" wrapText="1"/>
    </xf>
    <xf numFmtId="165" fontId="16" fillId="6" borderId="4" xfId="1" applyFont="1" applyFill="1" applyBorder="1" applyAlignment="1">
      <alignment horizontal="center" vertical="center" wrapText="1"/>
    </xf>
    <xf numFmtId="0" fontId="0" fillId="6" borderId="5" xfId="0" applyFill="1" applyBorder="1"/>
    <xf numFmtId="164" fontId="28" fillId="6" borderId="1" xfId="1" applyNumberFormat="1" applyFont="1" applyFill="1" applyBorder="1" applyAlignment="1">
      <alignment horizontal="center" vertical="center" wrapText="1"/>
    </xf>
    <xf numFmtId="0" fontId="0" fillId="6" borderId="6" xfId="0" applyFill="1" applyBorder="1"/>
    <xf numFmtId="164" fontId="66" fillId="0" borderId="0" xfId="1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164" fontId="74" fillId="3" borderId="1" xfId="1" applyNumberFormat="1" applyFont="1" applyFill="1" applyBorder="1" applyAlignment="1">
      <alignment horizontal="center" vertical="top" wrapText="1"/>
    </xf>
    <xf numFmtId="164" fontId="4" fillId="3" borderId="17" xfId="1" applyNumberFormat="1" applyFont="1" applyFill="1" applyBorder="1" applyAlignment="1">
      <alignment horizontal="center" vertical="center" wrapText="1"/>
    </xf>
    <xf numFmtId="43" fontId="5" fillId="0" borderId="1" xfId="5" applyFont="1" applyBorder="1" applyAlignment="1">
      <alignment horizontal="center" vertical="center" wrapText="1"/>
    </xf>
    <xf numFmtId="0" fontId="73" fillId="0" borderId="2" xfId="0" applyFont="1" applyBorder="1"/>
    <xf numFmtId="0" fontId="73" fillId="0" borderId="19" xfId="0" applyFont="1" applyBorder="1"/>
    <xf numFmtId="0" fontId="73" fillId="0" borderId="16" xfId="0" applyFont="1" applyBorder="1"/>
    <xf numFmtId="165" fontId="8" fillId="3" borderId="7" xfId="1" applyFont="1" applyFill="1" applyBorder="1" applyAlignment="1">
      <alignment horizontal="center" vertical="center" wrapText="1"/>
    </xf>
    <xf numFmtId="0" fontId="56" fillId="3" borderId="18" xfId="0" applyFont="1" applyFill="1" applyBorder="1"/>
    <xf numFmtId="164" fontId="16" fillId="6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BM1" zoomScale="130" zoomScaleNormal="130" zoomScaleSheetLayoutView="70" workbookViewId="0">
      <selection activeCell="BX15" sqref="BX15:BZ21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59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54"/>
      <c r="BH3" s="354"/>
      <c r="BI3" s="354"/>
      <c r="BJ3" s="354"/>
      <c r="BK3" s="354"/>
      <c r="BL3" s="354"/>
      <c r="BM3" s="354"/>
      <c r="BN3" s="354"/>
      <c r="BO3" s="354"/>
      <c r="BP3" s="354"/>
      <c r="BQ3" s="354"/>
      <c r="BR3" s="354"/>
      <c r="BS3" s="354"/>
      <c r="BT3" s="354"/>
      <c r="BU3" s="354"/>
      <c r="BV3" s="205"/>
      <c r="BW3" s="353" t="s">
        <v>2</v>
      </c>
      <c r="BX3" s="354"/>
      <c r="BY3" s="354"/>
      <c r="BZ3" s="354"/>
      <c r="CA3" s="354"/>
      <c r="CB3" s="354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54"/>
      <c r="BX4" s="354"/>
      <c r="BY4" s="354"/>
      <c r="BZ4" s="354"/>
      <c r="CA4" s="354"/>
      <c r="CB4" s="354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54"/>
      <c r="BX5" s="354"/>
      <c r="BY5" s="354"/>
      <c r="BZ5" s="354"/>
      <c r="CA5" s="354"/>
      <c r="CB5" s="354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54"/>
      <c r="BX6" s="354"/>
      <c r="BY6" s="354"/>
      <c r="BZ6" s="354"/>
      <c r="CA6" s="354"/>
      <c r="CB6" s="354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52" t="s">
        <v>4</v>
      </c>
      <c r="B8" s="361" t="s">
        <v>5</v>
      </c>
      <c r="C8" s="334" t="s">
        <v>6</v>
      </c>
      <c r="D8" s="341" t="s">
        <v>7</v>
      </c>
      <c r="E8" s="341" t="s">
        <v>8</v>
      </c>
      <c r="F8" s="334" t="s">
        <v>9</v>
      </c>
      <c r="G8" s="379" t="s">
        <v>10</v>
      </c>
      <c r="H8" s="382" t="s">
        <v>11</v>
      </c>
      <c r="I8" s="382" t="s">
        <v>12</v>
      </c>
      <c r="J8" s="349" t="s">
        <v>13</v>
      </c>
      <c r="K8" s="377" t="s">
        <v>14</v>
      </c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83" t="s">
        <v>15</v>
      </c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84"/>
      <c r="AP8" s="349" t="s">
        <v>16</v>
      </c>
      <c r="AQ8" s="349" t="s">
        <v>17</v>
      </c>
      <c r="AR8" s="349" t="s">
        <v>18</v>
      </c>
      <c r="AS8" s="349" t="s">
        <v>19</v>
      </c>
      <c r="AT8" s="349" t="s">
        <v>20</v>
      </c>
      <c r="AU8" s="349" t="s">
        <v>21</v>
      </c>
      <c r="AV8" s="334" t="s">
        <v>22</v>
      </c>
      <c r="AW8" s="358" t="s">
        <v>23</v>
      </c>
      <c r="AX8" s="392" t="s">
        <v>24</v>
      </c>
      <c r="AY8" s="386" t="s">
        <v>25</v>
      </c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84"/>
      <c r="BR8" s="393" t="s">
        <v>26</v>
      </c>
      <c r="BS8" s="372"/>
      <c r="BT8" s="334" t="s">
        <v>27</v>
      </c>
      <c r="BU8" s="389" t="s">
        <v>28</v>
      </c>
      <c r="BV8" s="3"/>
      <c r="BW8" s="337" t="s">
        <v>29</v>
      </c>
      <c r="BX8" s="362" t="s">
        <v>30</v>
      </c>
      <c r="BY8" s="363"/>
      <c r="BZ8" s="363"/>
      <c r="CA8" s="364"/>
      <c r="CB8" s="394" t="s">
        <v>31</v>
      </c>
      <c r="CC8" s="355" t="s">
        <v>32</v>
      </c>
      <c r="CD8" s="387" t="s">
        <v>33</v>
      </c>
      <c r="CH8" s="150"/>
      <c r="CI8" s="150"/>
    </row>
    <row r="9" spans="1:87" s="213" customFormat="1" ht="19.25" customHeight="1">
      <c r="A9" s="346"/>
      <c r="B9" s="335"/>
      <c r="C9" s="335"/>
      <c r="D9" s="335"/>
      <c r="E9" s="335"/>
      <c r="F9" s="335"/>
      <c r="G9" s="380"/>
      <c r="H9" s="346"/>
      <c r="I9" s="346"/>
      <c r="J9" s="350"/>
      <c r="K9" s="345" t="s">
        <v>34</v>
      </c>
      <c r="L9" s="345" t="s">
        <v>35</v>
      </c>
      <c r="M9" s="345" t="s">
        <v>36</v>
      </c>
      <c r="N9" s="345" t="s">
        <v>37</v>
      </c>
      <c r="O9" s="345" t="s">
        <v>38</v>
      </c>
      <c r="P9" s="345" t="s">
        <v>39</v>
      </c>
      <c r="Q9" s="345" t="s">
        <v>40</v>
      </c>
      <c r="R9" s="345" t="s">
        <v>41</v>
      </c>
      <c r="S9" s="345" t="s">
        <v>42</v>
      </c>
      <c r="T9" s="345" t="s">
        <v>43</v>
      </c>
      <c r="U9" s="345" t="s">
        <v>44</v>
      </c>
      <c r="V9" s="371" t="s">
        <v>45</v>
      </c>
      <c r="W9" s="372"/>
      <c r="X9" s="345" t="s">
        <v>46</v>
      </c>
      <c r="Y9" s="340" t="s">
        <v>154</v>
      </c>
      <c r="Z9" s="340" t="s">
        <v>48</v>
      </c>
      <c r="AA9" s="340" t="s">
        <v>49</v>
      </c>
      <c r="AB9" s="340" t="s">
        <v>50</v>
      </c>
      <c r="AC9" s="340" t="s">
        <v>51</v>
      </c>
      <c r="AD9" s="340" t="s">
        <v>52</v>
      </c>
      <c r="AE9" s="340" t="s">
        <v>53</v>
      </c>
      <c r="AF9" s="340" t="s">
        <v>54</v>
      </c>
      <c r="AG9" s="340" t="s">
        <v>55</v>
      </c>
      <c r="AH9" s="340" t="s">
        <v>56</v>
      </c>
      <c r="AI9" s="340" t="s">
        <v>57</v>
      </c>
      <c r="AJ9" s="385" t="s">
        <v>58</v>
      </c>
      <c r="AK9" s="389" t="s">
        <v>59</v>
      </c>
      <c r="AL9" s="392" t="s">
        <v>60</v>
      </c>
      <c r="AM9" s="340" t="s">
        <v>61</v>
      </c>
      <c r="AN9" s="334" t="s">
        <v>62</v>
      </c>
      <c r="AO9" s="334" t="s">
        <v>63</v>
      </c>
      <c r="AP9" s="350"/>
      <c r="AQ9" s="350"/>
      <c r="AR9" s="350"/>
      <c r="AS9" s="350"/>
      <c r="AT9" s="350"/>
      <c r="AU9" s="350"/>
      <c r="AV9" s="335"/>
      <c r="AW9" s="350"/>
      <c r="AX9" s="380"/>
      <c r="AY9" s="396" t="s">
        <v>25</v>
      </c>
      <c r="AZ9" s="397"/>
      <c r="BA9" s="397"/>
      <c r="BB9" s="397"/>
      <c r="BC9" s="397"/>
      <c r="BD9" s="397"/>
      <c r="BE9" s="397"/>
      <c r="BF9" s="397"/>
      <c r="BG9" s="397"/>
      <c r="BH9" s="397"/>
      <c r="BI9" s="397"/>
      <c r="BJ9" s="397"/>
      <c r="BK9" s="397"/>
      <c r="BL9" s="398"/>
      <c r="BM9" s="396" t="s">
        <v>64</v>
      </c>
      <c r="BN9" s="397"/>
      <c r="BO9" s="397"/>
      <c r="BP9" s="397"/>
      <c r="BQ9" s="398"/>
      <c r="BR9" s="348" t="s">
        <v>65</v>
      </c>
      <c r="BS9" s="348" t="s">
        <v>66</v>
      </c>
      <c r="BT9" s="335"/>
      <c r="BU9" s="390"/>
      <c r="BV9" s="3"/>
      <c r="BW9" s="338"/>
      <c r="BX9" s="365"/>
      <c r="BY9" s="366"/>
      <c r="BZ9" s="366"/>
      <c r="CA9" s="367"/>
      <c r="CB9" s="335"/>
      <c r="CC9" s="356"/>
      <c r="CD9" s="350"/>
      <c r="CH9" s="150"/>
      <c r="CI9" s="150"/>
    </row>
    <row r="10" spans="1:87" s="214" customFormat="1" ht="19.25" customHeight="1">
      <c r="A10" s="346"/>
      <c r="B10" s="335"/>
      <c r="C10" s="335"/>
      <c r="D10" s="335"/>
      <c r="E10" s="335"/>
      <c r="F10" s="335"/>
      <c r="G10" s="380"/>
      <c r="H10" s="346"/>
      <c r="I10" s="346"/>
      <c r="J10" s="350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73"/>
      <c r="W10" s="374"/>
      <c r="X10" s="346"/>
      <c r="Y10" s="335"/>
      <c r="Z10" s="335"/>
      <c r="AA10" s="335"/>
      <c r="AB10" s="335"/>
      <c r="AC10" s="335"/>
      <c r="AD10" s="335"/>
      <c r="AE10" s="335"/>
      <c r="AF10" s="335"/>
      <c r="AG10" s="335"/>
      <c r="AH10" s="335"/>
      <c r="AI10" s="335"/>
      <c r="AJ10" s="380"/>
      <c r="AK10" s="390"/>
      <c r="AL10" s="380"/>
      <c r="AM10" s="335"/>
      <c r="AN10" s="335"/>
      <c r="AO10" s="335"/>
      <c r="AP10" s="350"/>
      <c r="AQ10" s="350"/>
      <c r="AR10" s="350"/>
      <c r="AS10" s="350"/>
      <c r="AT10" s="350"/>
      <c r="AU10" s="350"/>
      <c r="AV10" s="335"/>
      <c r="AW10" s="350"/>
      <c r="AX10" s="380"/>
      <c r="AY10" s="29" t="s">
        <v>67</v>
      </c>
      <c r="AZ10" s="29" t="s">
        <v>68</v>
      </c>
      <c r="BA10" s="29" t="s">
        <v>69</v>
      </c>
      <c r="BB10" s="360" t="s">
        <v>70</v>
      </c>
      <c r="BC10" s="343" t="s">
        <v>71</v>
      </c>
      <c r="BD10" s="343" t="s">
        <v>72</v>
      </c>
      <c r="BE10" s="342" t="s">
        <v>73</v>
      </c>
      <c r="BF10" s="342" t="s">
        <v>74</v>
      </c>
      <c r="BG10" s="351" t="s">
        <v>75</v>
      </c>
      <c r="BH10" s="343" t="s">
        <v>76</v>
      </c>
      <c r="BI10" s="375" t="s">
        <v>77</v>
      </c>
      <c r="BJ10" s="342" t="s">
        <v>78</v>
      </c>
      <c r="BK10" s="342" t="s">
        <v>79</v>
      </c>
      <c r="BL10" s="334" t="s">
        <v>80</v>
      </c>
      <c r="BM10" s="343" t="s">
        <v>81</v>
      </c>
      <c r="BN10" s="358" t="s">
        <v>82</v>
      </c>
      <c r="BO10" s="343" t="s">
        <v>83</v>
      </c>
      <c r="BP10" s="358" t="s">
        <v>84</v>
      </c>
      <c r="BQ10" s="358" t="s">
        <v>85</v>
      </c>
      <c r="BR10" s="346"/>
      <c r="BS10" s="346"/>
      <c r="BT10" s="335"/>
      <c r="BU10" s="390"/>
      <c r="BV10" s="3"/>
      <c r="BW10" s="338"/>
      <c r="BX10" s="368"/>
      <c r="BY10" s="369"/>
      <c r="BZ10" s="369"/>
      <c r="CA10" s="370"/>
      <c r="CB10" s="335"/>
      <c r="CC10" s="356"/>
      <c r="CD10" s="350"/>
      <c r="CE10" s="228" t="s">
        <v>3</v>
      </c>
      <c r="CH10" s="150"/>
      <c r="CI10" s="150"/>
    </row>
    <row r="11" spans="1:87" s="214" customFormat="1" ht="38.25" customHeight="1">
      <c r="A11" s="347"/>
      <c r="B11" s="336"/>
      <c r="C11" s="336"/>
      <c r="D11" s="336"/>
      <c r="E11" s="336"/>
      <c r="F11" s="336"/>
      <c r="G11" s="381"/>
      <c r="H11" s="347"/>
      <c r="I11" s="347"/>
      <c r="J11" s="344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178" t="s">
        <v>86</v>
      </c>
      <c r="W11" s="178" t="s">
        <v>87</v>
      </c>
      <c r="X11" s="347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  <c r="AI11" s="336"/>
      <c r="AJ11" s="381"/>
      <c r="AK11" s="391"/>
      <c r="AL11" s="381"/>
      <c r="AM11" s="336"/>
      <c r="AN11" s="336"/>
      <c r="AO11" s="336"/>
      <c r="AP11" s="344"/>
      <c r="AQ11" s="344"/>
      <c r="AR11" s="344"/>
      <c r="AS11" s="344"/>
      <c r="AT11" s="344"/>
      <c r="AU11" s="344"/>
      <c r="AV11" s="336"/>
      <c r="AW11" s="344"/>
      <c r="AX11" s="381"/>
      <c r="AY11" s="229" t="s">
        <v>88</v>
      </c>
      <c r="AZ11" s="229" t="s">
        <v>89</v>
      </c>
      <c r="BA11" s="229" t="s">
        <v>90</v>
      </c>
      <c r="BB11" s="336"/>
      <c r="BC11" s="344"/>
      <c r="BD11" s="344"/>
      <c r="BE11" s="336"/>
      <c r="BF11" s="336"/>
      <c r="BG11" s="347"/>
      <c r="BH11" s="344"/>
      <c r="BI11" s="376"/>
      <c r="BJ11" s="336"/>
      <c r="BK11" s="336"/>
      <c r="BL11" s="336"/>
      <c r="BM11" s="344"/>
      <c r="BN11" s="344"/>
      <c r="BO11" s="344"/>
      <c r="BP11" s="344"/>
      <c r="BQ11" s="344"/>
      <c r="BR11" s="347"/>
      <c r="BS11" s="347"/>
      <c r="BT11" s="336"/>
      <c r="BU11" s="391"/>
      <c r="BV11" s="3"/>
      <c r="BW11" s="339"/>
      <c r="BX11" s="238" t="s">
        <v>91</v>
      </c>
      <c r="BY11" s="238" t="s">
        <v>92</v>
      </c>
      <c r="BZ11" s="238" t="s">
        <v>93</v>
      </c>
      <c r="CA11" s="333" t="s">
        <v>94</v>
      </c>
      <c r="CB11" s="395"/>
      <c r="CC11" s="357"/>
      <c r="CD11" s="388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E8:E11"/>
    <mergeCell ref="G8:G11"/>
    <mergeCell ref="H8:H11"/>
    <mergeCell ref="J8:J11"/>
    <mergeCell ref="I8:I11"/>
    <mergeCell ref="F8:F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AK1" zoomScale="85" zoomScaleNormal="85" zoomScaleSheetLayoutView="70" workbookViewId="0">
      <selection activeCell="AK19" sqref="AK19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2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W3" s="419" t="s">
        <v>2</v>
      </c>
      <c r="BX3" s="420"/>
      <c r="BY3" s="420"/>
      <c r="BZ3" s="420"/>
      <c r="CA3" s="420"/>
      <c r="CB3" s="420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20"/>
      <c r="BX4" s="420"/>
      <c r="BY4" s="420"/>
      <c r="BZ4" s="420"/>
      <c r="CA4" s="420"/>
      <c r="CB4" s="420"/>
      <c r="CC4" s="42"/>
      <c r="CD4" s="42"/>
    </row>
    <row r="5" spans="1:87" s="45" customFormat="1">
      <c r="A5" s="407" t="s">
        <v>4</v>
      </c>
      <c r="B5" s="418" t="s">
        <v>5</v>
      </c>
      <c r="C5" s="406" t="s">
        <v>6</v>
      </c>
      <c r="D5" s="413" t="s">
        <v>7</v>
      </c>
      <c r="E5" s="413" t="s">
        <v>8</v>
      </c>
      <c r="F5" s="406" t="s">
        <v>9</v>
      </c>
      <c r="G5" s="406" t="s">
        <v>10</v>
      </c>
      <c r="H5" s="334" t="s">
        <v>11</v>
      </c>
      <c r="I5" s="334" t="s">
        <v>12</v>
      </c>
      <c r="J5" s="406" t="s">
        <v>13</v>
      </c>
      <c r="K5" s="411" t="s">
        <v>14</v>
      </c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6" t="s">
        <v>15</v>
      </c>
      <c r="Z5" s="403"/>
      <c r="AA5" s="403"/>
      <c r="AB5" s="403"/>
      <c r="AC5" s="403"/>
      <c r="AD5" s="403"/>
      <c r="AE5" s="403"/>
      <c r="AF5" s="403"/>
      <c r="AG5" s="403"/>
      <c r="AH5" s="403"/>
      <c r="AI5" s="403"/>
      <c r="AJ5" s="403"/>
      <c r="AK5" s="403"/>
      <c r="AL5" s="403"/>
      <c r="AM5" s="403"/>
      <c r="AN5" s="403"/>
      <c r="AO5" s="404"/>
      <c r="AP5" s="406" t="s">
        <v>16</v>
      </c>
      <c r="AQ5" s="406" t="s">
        <v>17</v>
      </c>
      <c r="AR5" s="406" t="s">
        <v>18</v>
      </c>
      <c r="AS5" s="406" t="s">
        <v>19</v>
      </c>
      <c r="AT5" s="406" t="s">
        <v>20</v>
      </c>
      <c r="AU5" s="406" t="s">
        <v>21</v>
      </c>
      <c r="AV5" s="406" t="s">
        <v>22</v>
      </c>
      <c r="AW5" s="406" t="s">
        <v>23</v>
      </c>
      <c r="AX5" s="406" t="s">
        <v>24</v>
      </c>
      <c r="AY5" s="402" t="s">
        <v>25</v>
      </c>
      <c r="AZ5" s="403"/>
      <c r="BA5" s="403"/>
      <c r="BB5" s="403"/>
      <c r="BC5" s="403"/>
      <c r="BD5" s="403"/>
      <c r="BE5" s="403"/>
      <c r="BF5" s="403"/>
      <c r="BG5" s="403"/>
      <c r="BH5" s="403"/>
      <c r="BI5" s="403"/>
      <c r="BJ5" s="403"/>
      <c r="BK5" s="403"/>
      <c r="BL5" s="403"/>
      <c r="BM5" s="403"/>
      <c r="BN5" s="403"/>
      <c r="BO5" s="403"/>
      <c r="BP5" s="403"/>
      <c r="BQ5" s="404"/>
      <c r="BR5" s="423" t="s">
        <v>26</v>
      </c>
      <c r="BS5" s="416"/>
      <c r="BT5" s="402" t="s">
        <v>27</v>
      </c>
      <c r="BU5" s="434" t="s">
        <v>28</v>
      </c>
      <c r="BW5" s="435" t="s">
        <v>29</v>
      </c>
      <c r="BX5" s="424" t="s">
        <v>30</v>
      </c>
      <c r="BY5" s="425"/>
      <c r="BZ5" s="425"/>
      <c r="CA5" s="416"/>
      <c r="CB5" s="436" t="s">
        <v>31</v>
      </c>
      <c r="CC5" s="421" t="s">
        <v>32</v>
      </c>
      <c r="CD5" s="421" t="s">
        <v>33</v>
      </c>
      <c r="CH5" s="46"/>
      <c r="CI5" s="47"/>
    </row>
    <row r="6" spans="1:87" s="45" customFormat="1">
      <c r="A6" s="400"/>
      <c r="B6" s="400"/>
      <c r="C6" s="400"/>
      <c r="D6" s="400"/>
      <c r="E6" s="400"/>
      <c r="F6" s="400"/>
      <c r="G6" s="400"/>
      <c r="H6" s="400"/>
      <c r="I6" s="400"/>
      <c r="J6" s="400"/>
      <c r="K6" s="414" t="s">
        <v>34</v>
      </c>
      <c r="L6" s="414" t="s">
        <v>35</v>
      </c>
      <c r="M6" s="414" t="s">
        <v>36</v>
      </c>
      <c r="N6" s="414" t="s">
        <v>37</v>
      </c>
      <c r="O6" s="414" t="s">
        <v>38</v>
      </c>
      <c r="P6" s="414" t="s">
        <v>39</v>
      </c>
      <c r="Q6" s="414" t="s">
        <v>40</v>
      </c>
      <c r="R6" s="414" t="s">
        <v>41</v>
      </c>
      <c r="S6" s="414" t="s">
        <v>42</v>
      </c>
      <c r="T6" s="414" t="s">
        <v>43</v>
      </c>
      <c r="U6" s="414" t="s">
        <v>44</v>
      </c>
      <c r="V6" s="415" t="s">
        <v>45</v>
      </c>
      <c r="W6" s="416"/>
      <c r="X6" s="414" t="s">
        <v>46</v>
      </c>
      <c r="Y6" s="406" t="s">
        <v>47</v>
      </c>
      <c r="Z6" s="406" t="s">
        <v>48</v>
      </c>
      <c r="AA6" s="406" t="s">
        <v>49</v>
      </c>
      <c r="AB6" s="406" t="s">
        <v>50</v>
      </c>
      <c r="AC6" s="334" t="s">
        <v>51</v>
      </c>
      <c r="AD6" s="334" t="s">
        <v>52</v>
      </c>
      <c r="AE6" s="334" t="s">
        <v>53</v>
      </c>
      <c r="AF6" s="334" t="s">
        <v>54</v>
      </c>
      <c r="AG6" s="406" t="s">
        <v>55</v>
      </c>
      <c r="AH6" s="334" t="s">
        <v>56</v>
      </c>
      <c r="AI6" s="334" t="s">
        <v>57</v>
      </c>
      <c r="AJ6" s="406" t="s">
        <v>58</v>
      </c>
      <c r="AK6" s="408" t="s">
        <v>59</v>
      </c>
      <c r="AL6" s="406" t="s">
        <v>60</v>
      </c>
      <c r="AM6" s="406" t="s">
        <v>61</v>
      </c>
      <c r="AN6" s="412" t="s">
        <v>62</v>
      </c>
      <c r="AO6" s="406" t="s">
        <v>63</v>
      </c>
      <c r="AP6" s="400"/>
      <c r="AQ6" s="400"/>
      <c r="AR6" s="400"/>
      <c r="AS6" s="400"/>
      <c r="AT6" s="400"/>
      <c r="AU6" s="400"/>
      <c r="AV6" s="400"/>
      <c r="AW6" s="400"/>
      <c r="AX6" s="400"/>
      <c r="AY6" s="402" t="s">
        <v>25</v>
      </c>
      <c r="AZ6" s="403"/>
      <c r="BA6" s="403"/>
      <c r="BB6" s="403"/>
      <c r="BC6" s="403"/>
      <c r="BD6" s="403"/>
      <c r="BE6" s="403"/>
      <c r="BF6" s="403"/>
      <c r="BG6" s="403"/>
      <c r="BH6" s="403"/>
      <c r="BI6" s="403"/>
      <c r="BJ6" s="403"/>
      <c r="BK6" s="403"/>
      <c r="BL6" s="404"/>
      <c r="BM6" s="402" t="s">
        <v>64</v>
      </c>
      <c r="BN6" s="403"/>
      <c r="BO6" s="403"/>
      <c r="BP6" s="403"/>
      <c r="BQ6" s="404"/>
      <c r="BR6" s="399" t="s">
        <v>65</v>
      </c>
      <c r="BS6" s="399" t="s">
        <v>66</v>
      </c>
      <c r="BT6" s="400"/>
      <c r="BU6" s="409"/>
      <c r="BW6" s="427"/>
      <c r="BX6" s="409"/>
      <c r="BY6" s="426"/>
      <c r="BZ6" s="426"/>
      <c r="CA6" s="427"/>
      <c r="CB6" s="400"/>
      <c r="CC6" s="400"/>
      <c r="CD6" s="400"/>
      <c r="CH6" s="46"/>
      <c r="CI6" s="47"/>
    </row>
    <row r="7" spans="1:87" s="48" customFormat="1" ht="12">
      <c r="A7" s="400"/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10"/>
      <c r="W7" s="417"/>
      <c r="X7" s="400"/>
      <c r="Y7" s="400"/>
      <c r="Z7" s="400"/>
      <c r="AA7" s="400"/>
      <c r="AB7" s="400"/>
      <c r="AC7" s="400"/>
      <c r="AD7" s="400"/>
      <c r="AE7" s="400"/>
      <c r="AF7" s="400"/>
      <c r="AG7" s="400"/>
      <c r="AH7" s="400"/>
      <c r="AI7" s="400"/>
      <c r="AJ7" s="400"/>
      <c r="AK7" s="409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29" t="s">
        <v>67</v>
      </c>
      <c r="AZ7" s="29" t="s">
        <v>68</v>
      </c>
      <c r="BA7" s="29" t="s">
        <v>69</v>
      </c>
      <c r="BB7" s="402" t="s">
        <v>70</v>
      </c>
      <c r="BC7" s="405" t="s">
        <v>71</v>
      </c>
      <c r="BD7" s="405" t="s">
        <v>72</v>
      </c>
      <c r="BE7" s="431" t="s">
        <v>73</v>
      </c>
      <c r="BF7" s="405" t="s">
        <v>74</v>
      </c>
      <c r="BG7" s="405" t="s">
        <v>75</v>
      </c>
      <c r="BH7" s="405" t="s">
        <v>76</v>
      </c>
      <c r="BI7" s="405" t="s">
        <v>77</v>
      </c>
      <c r="BJ7" s="405" t="s">
        <v>78</v>
      </c>
      <c r="BK7" s="405" t="s">
        <v>79</v>
      </c>
      <c r="BL7" s="433" t="s">
        <v>80</v>
      </c>
      <c r="BM7" s="405" t="s">
        <v>81</v>
      </c>
      <c r="BN7" s="402" t="s">
        <v>82</v>
      </c>
      <c r="BO7" s="405" t="s">
        <v>83</v>
      </c>
      <c r="BP7" s="402" t="s">
        <v>84</v>
      </c>
      <c r="BQ7" s="402" t="s">
        <v>85</v>
      </c>
      <c r="BR7" s="400"/>
      <c r="BS7" s="400"/>
      <c r="BT7" s="400"/>
      <c r="BU7" s="409"/>
      <c r="BW7" s="427"/>
      <c r="BX7" s="428"/>
      <c r="BY7" s="429"/>
      <c r="BZ7" s="429"/>
      <c r="CA7" s="430"/>
      <c r="CB7" s="400"/>
      <c r="CC7" s="400"/>
      <c r="CD7" s="400"/>
      <c r="CH7" s="46"/>
      <c r="CI7" s="47"/>
    </row>
    <row r="8" spans="1:87" s="48" customFormat="1" ht="1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9" t="s">
        <v>86</v>
      </c>
      <c r="W8" s="49" t="s">
        <v>87</v>
      </c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10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  <c r="AX8" s="401"/>
      <c r="AY8" s="30" t="s">
        <v>88</v>
      </c>
      <c r="AZ8" s="30" t="s">
        <v>89</v>
      </c>
      <c r="BA8" s="30" t="s">
        <v>90</v>
      </c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1"/>
      <c r="BR8" s="401"/>
      <c r="BS8" s="401"/>
      <c r="BT8" s="401"/>
      <c r="BU8" s="410"/>
      <c r="BW8" s="430"/>
      <c r="BX8" s="23" t="s">
        <v>91</v>
      </c>
      <c r="BY8" s="23" t="s">
        <v>92</v>
      </c>
      <c r="BZ8" s="23" t="s">
        <v>93</v>
      </c>
      <c r="CA8" s="24" t="s">
        <v>94</v>
      </c>
      <c r="CB8" s="422"/>
      <c r="CC8" s="422"/>
      <c r="CD8" s="422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zoomScale="120" zoomScaleNormal="120" zoomScaleSheetLayoutView="70" workbookViewId="0">
      <pane xSplit="6" ySplit="14" topLeftCell="BS15" activePane="bottomRight" state="frozen"/>
      <selection pane="topRight" activeCell="E18" sqref="E18"/>
      <selection pane="bottomLeft" activeCell="E18" sqref="E18"/>
      <selection pane="bottomRight" activeCell="BW15" sqref="BW15"/>
    </sheetView>
  </sheetViews>
  <sheetFormatPr baseColWidth="10" defaultColWidth="9.1640625" defaultRowHeight="15" outlineLevelRow="1" outlineLevelCol="1"/>
  <cols>
    <col min="1" max="1" width="5.5" style="311" customWidth="1"/>
    <col min="2" max="2" width="8.5" style="312" customWidth="1"/>
    <col min="3" max="3" width="18.1640625" style="313" customWidth="1"/>
    <col min="4" max="4" width="5.5" style="255" bestFit="1" customWidth="1" outlineLevel="1"/>
    <col min="5" max="5" width="14.1640625" style="255" bestFit="1" customWidth="1" outlineLevel="1"/>
    <col min="6" max="6" width="5.6640625" style="256" bestFit="1" customWidth="1" outlineLevel="1"/>
    <col min="7" max="7" width="13.6640625" style="258" bestFit="1" customWidth="1"/>
    <col min="8" max="8" width="12.5" style="258" customWidth="1"/>
    <col min="9" max="9" width="12.5" style="316" customWidth="1"/>
    <col min="10" max="10" width="7.5" style="316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7" customWidth="1" outlineLevel="1"/>
    <col min="79" max="80" width="10.6640625" style="317" customWidth="1" outlineLevel="1"/>
    <col min="81" max="81" width="19.5" style="318" customWidth="1"/>
    <col min="82" max="82" width="12.33203125" style="318" customWidth="1"/>
    <col min="83" max="83" width="12.5" style="318" customWidth="1"/>
    <col min="84" max="84" width="11.6640625" style="318" customWidth="1"/>
    <col min="85" max="85" width="9.1640625" style="318" customWidth="1"/>
    <col min="86" max="16384" width="9.1640625" style="318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68"/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467"/>
      <c r="AJ3" s="467"/>
      <c r="AK3" s="467"/>
      <c r="AL3" s="467"/>
      <c r="AM3" s="467"/>
      <c r="AN3" s="467"/>
      <c r="AO3" s="467"/>
      <c r="AP3" s="467"/>
      <c r="AQ3" s="467"/>
      <c r="AR3" s="467"/>
      <c r="AS3" s="467"/>
      <c r="AT3" s="467"/>
      <c r="AU3" s="467"/>
      <c r="AV3" s="467"/>
      <c r="AW3" s="467"/>
      <c r="AX3" s="467"/>
      <c r="AY3" s="467"/>
      <c r="AZ3" s="467"/>
      <c r="BA3" s="467"/>
      <c r="BB3" s="467"/>
      <c r="BC3" s="467"/>
      <c r="BD3" s="467"/>
      <c r="BE3" s="467"/>
      <c r="BF3" s="467"/>
      <c r="BG3" s="467"/>
      <c r="BH3" s="467"/>
      <c r="BI3" s="467"/>
      <c r="BJ3" s="467"/>
      <c r="BK3" s="467"/>
      <c r="BL3" s="467"/>
      <c r="BM3" s="467"/>
      <c r="BN3" s="467"/>
      <c r="BO3" s="467"/>
      <c r="BP3" s="467"/>
      <c r="BQ3" s="467"/>
      <c r="BR3" s="467"/>
      <c r="BS3" s="467"/>
      <c r="BT3" s="467"/>
      <c r="BU3" s="466" t="s">
        <v>2</v>
      </c>
      <c r="BV3" s="467"/>
      <c r="BW3" s="467"/>
      <c r="BX3" s="467"/>
      <c r="BY3" s="467"/>
      <c r="BZ3" s="467"/>
      <c r="CA3" s="270"/>
      <c r="CB3" s="270"/>
    </row>
    <row r="4" spans="1:85" s="240" customFormat="1" ht="21.5" hidden="1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467"/>
      <c r="BV4" s="467"/>
      <c r="BW4" s="467"/>
      <c r="BX4" s="467"/>
      <c r="BY4" s="467"/>
      <c r="BZ4" s="467"/>
      <c r="CA4" s="270"/>
      <c r="CB4" s="270"/>
    </row>
    <row r="5" spans="1:85" s="240" customFormat="1" ht="20.25" hidden="1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467"/>
      <c r="BV5" s="467"/>
      <c r="BW5" s="467"/>
      <c r="BX5" s="467"/>
      <c r="BY5" s="467"/>
      <c r="BZ5" s="467"/>
      <c r="CA5" s="270"/>
      <c r="CB5" s="270"/>
    </row>
    <row r="6" spans="1:85" s="240" customFormat="1" ht="18.75" hidden="1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467"/>
      <c r="BV6" s="467"/>
      <c r="BW6" s="467"/>
      <c r="BX6" s="467"/>
      <c r="BY6" s="467"/>
      <c r="BZ6" s="467"/>
      <c r="CA6" s="270"/>
      <c r="CB6" s="270"/>
    </row>
    <row r="7" spans="1:85" s="240" customFormat="1" ht="12.75" hidden="1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281"/>
      <c r="AZ7" s="43"/>
      <c r="BA7" s="281"/>
      <c r="BB7" s="281"/>
      <c r="BC7" s="43"/>
      <c r="BD7" s="43"/>
      <c r="BE7" s="281"/>
      <c r="BF7" s="281"/>
      <c r="BG7" s="281"/>
      <c r="BH7" s="281"/>
      <c r="BI7" s="281"/>
      <c r="BJ7" s="43"/>
      <c r="BK7" s="43"/>
      <c r="BL7" s="281"/>
      <c r="BM7" s="43"/>
      <c r="BN7" s="281"/>
      <c r="BO7" s="281"/>
      <c r="BP7" s="43"/>
      <c r="BQ7" s="43"/>
      <c r="BR7" s="43"/>
      <c r="BS7" s="43"/>
      <c r="BT7" s="281"/>
      <c r="BU7" s="127"/>
      <c r="BV7" s="127"/>
      <c r="BW7" s="127"/>
      <c r="BX7" s="127"/>
      <c r="BY7" s="127"/>
      <c r="BZ7" s="283"/>
      <c r="CA7" s="283"/>
      <c r="CB7" s="283"/>
    </row>
    <row r="8" spans="1:85" s="284" customFormat="1" ht="19.25" customHeight="1">
      <c r="A8" s="443" t="s">
        <v>4</v>
      </c>
      <c r="B8" s="469" t="s">
        <v>5</v>
      </c>
      <c r="C8" s="412" t="s">
        <v>6</v>
      </c>
      <c r="D8" s="456" t="s">
        <v>141</v>
      </c>
      <c r="E8" s="456" t="s">
        <v>8</v>
      </c>
      <c r="F8" s="458" t="s">
        <v>142</v>
      </c>
      <c r="G8" s="379" t="s">
        <v>10</v>
      </c>
      <c r="H8" s="460" t="s">
        <v>11</v>
      </c>
      <c r="I8" s="460" t="s">
        <v>12</v>
      </c>
      <c r="J8" s="379" t="s">
        <v>13</v>
      </c>
      <c r="K8" s="462" t="s">
        <v>14</v>
      </c>
      <c r="L8" s="463"/>
      <c r="M8" s="463"/>
      <c r="N8" s="463"/>
      <c r="O8" s="463"/>
      <c r="P8" s="463"/>
      <c r="Q8" s="463"/>
      <c r="R8" s="463"/>
      <c r="S8" s="463"/>
      <c r="T8" s="463"/>
      <c r="U8" s="463"/>
      <c r="V8" s="463"/>
      <c r="W8" s="463"/>
      <c r="X8" s="463"/>
      <c r="Y8" s="478" t="s">
        <v>15</v>
      </c>
      <c r="Z8" s="463"/>
      <c r="AA8" s="463"/>
      <c r="AB8" s="463"/>
      <c r="AC8" s="463"/>
      <c r="AD8" s="463"/>
      <c r="AE8" s="463"/>
      <c r="AF8" s="463"/>
      <c r="AG8" s="463"/>
      <c r="AH8" s="463"/>
      <c r="AI8" s="463"/>
      <c r="AJ8" s="463"/>
      <c r="AK8" s="463"/>
      <c r="AL8" s="463"/>
      <c r="AM8" s="463"/>
      <c r="AN8" s="463"/>
      <c r="AO8" s="465"/>
      <c r="AP8" s="379" t="s">
        <v>16</v>
      </c>
      <c r="AQ8" s="379" t="s">
        <v>17</v>
      </c>
      <c r="AR8" s="379" t="s">
        <v>18</v>
      </c>
      <c r="AS8" s="379" t="s">
        <v>19</v>
      </c>
      <c r="AT8" s="379" t="s">
        <v>20</v>
      </c>
      <c r="AU8" s="379" t="s">
        <v>21</v>
      </c>
      <c r="AV8" s="334" t="s">
        <v>22</v>
      </c>
      <c r="AW8" s="392" t="s">
        <v>23</v>
      </c>
      <c r="AX8" s="334" t="s">
        <v>24</v>
      </c>
      <c r="AY8" s="464" t="s">
        <v>25</v>
      </c>
      <c r="AZ8" s="463"/>
      <c r="BA8" s="463"/>
      <c r="BB8" s="463"/>
      <c r="BC8" s="463"/>
      <c r="BD8" s="463"/>
      <c r="BE8" s="463"/>
      <c r="BF8" s="463"/>
      <c r="BG8" s="463"/>
      <c r="BH8" s="463"/>
      <c r="BI8" s="463"/>
      <c r="BJ8" s="463"/>
      <c r="BK8" s="463"/>
      <c r="BL8" s="463"/>
      <c r="BM8" s="463"/>
      <c r="BN8" s="463"/>
      <c r="BO8" s="463"/>
      <c r="BP8" s="465"/>
      <c r="BQ8" s="455" t="s">
        <v>26</v>
      </c>
      <c r="BR8" s="416"/>
      <c r="BS8" s="412" t="s">
        <v>143</v>
      </c>
      <c r="BT8" s="412" t="s">
        <v>27</v>
      </c>
      <c r="BU8" s="337" t="s">
        <v>29</v>
      </c>
      <c r="BV8" s="446" t="s">
        <v>30</v>
      </c>
      <c r="BW8" s="447"/>
      <c r="BX8" s="447"/>
      <c r="BY8" s="448"/>
      <c r="BZ8" s="421" t="s">
        <v>31</v>
      </c>
      <c r="CA8" s="421" t="s">
        <v>32</v>
      </c>
      <c r="CB8" s="476" t="s">
        <v>33</v>
      </c>
      <c r="CF8" s="241"/>
      <c r="CG8" s="241"/>
    </row>
    <row r="9" spans="1:85" s="284" customFormat="1" ht="19.25" customHeight="1">
      <c r="A9" s="444"/>
      <c r="B9" s="438"/>
      <c r="C9" s="438"/>
      <c r="D9" s="438"/>
      <c r="E9" s="438"/>
      <c r="F9" s="438"/>
      <c r="G9" s="380"/>
      <c r="H9" s="438"/>
      <c r="I9" s="438"/>
      <c r="J9" s="380"/>
      <c r="K9" s="437" t="s">
        <v>34</v>
      </c>
      <c r="L9" s="437" t="s">
        <v>35</v>
      </c>
      <c r="M9" s="437" t="s">
        <v>36</v>
      </c>
      <c r="N9" s="437" t="s">
        <v>37</v>
      </c>
      <c r="O9" s="437" t="s">
        <v>38</v>
      </c>
      <c r="P9" s="437" t="s">
        <v>39</v>
      </c>
      <c r="Q9" s="437" t="s">
        <v>40</v>
      </c>
      <c r="R9" s="437" t="s">
        <v>41</v>
      </c>
      <c r="S9" s="437" t="s">
        <v>42</v>
      </c>
      <c r="T9" s="437" t="s">
        <v>43</v>
      </c>
      <c r="U9" s="437" t="s">
        <v>44</v>
      </c>
      <c r="V9" s="472" t="s">
        <v>45</v>
      </c>
      <c r="W9" s="473"/>
      <c r="X9" s="437" t="s">
        <v>46</v>
      </c>
      <c r="Y9" s="441" t="s">
        <v>47</v>
      </c>
      <c r="Z9" s="441" t="s">
        <v>48</v>
      </c>
      <c r="AA9" s="441" t="s">
        <v>49</v>
      </c>
      <c r="AB9" s="441" t="s">
        <v>50</v>
      </c>
      <c r="AC9" s="441" t="s">
        <v>51</v>
      </c>
      <c r="AD9" s="441" t="s">
        <v>144</v>
      </c>
      <c r="AE9" s="441" t="s">
        <v>53</v>
      </c>
      <c r="AF9" s="441" t="s">
        <v>54</v>
      </c>
      <c r="AG9" s="441" t="s">
        <v>55</v>
      </c>
      <c r="AH9" s="441" t="s">
        <v>56</v>
      </c>
      <c r="AI9" s="441" t="s">
        <v>57</v>
      </c>
      <c r="AJ9" s="385" t="s">
        <v>58</v>
      </c>
      <c r="AK9" s="389" t="s">
        <v>59</v>
      </c>
      <c r="AL9" s="392" t="s">
        <v>60</v>
      </c>
      <c r="AM9" s="340" t="s">
        <v>61</v>
      </c>
      <c r="AN9" s="334" t="s">
        <v>62</v>
      </c>
      <c r="AO9" s="334" t="s">
        <v>63</v>
      </c>
      <c r="AP9" s="380"/>
      <c r="AQ9" s="380"/>
      <c r="AR9" s="380"/>
      <c r="AS9" s="380"/>
      <c r="AT9" s="380"/>
      <c r="AU9" s="380"/>
      <c r="AV9" s="335"/>
      <c r="AW9" s="380"/>
      <c r="AX9" s="335"/>
      <c r="AY9" s="442" t="s">
        <v>25</v>
      </c>
      <c r="AZ9" s="403"/>
      <c r="BA9" s="403"/>
      <c r="BB9" s="403"/>
      <c r="BC9" s="403"/>
      <c r="BD9" s="403"/>
      <c r="BE9" s="403"/>
      <c r="BF9" s="403"/>
      <c r="BG9" s="403"/>
      <c r="BH9" s="403"/>
      <c r="BI9" s="403"/>
      <c r="BJ9" s="404"/>
      <c r="BK9" s="442" t="s">
        <v>64</v>
      </c>
      <c r="BL9" s="403"/>
      <c r="BM9" s="403"/>
      <c r="BN9" s="403"/>
      <c r="BO9" s="403"/>
      <c r="BP9" s="404"/>
      <c r="BQ9" s="471" t="s">
        <v>65</v>
      </c>
      <c r="BR9" s="471" t="s">
        <v>66</v>
      </c>
      <c r="BS9" s="438"/>
      <c r="BT9" s="438"/>
      <c r="BU9" s="338"/>
      <c r="BV9" s="449"/>
      <c r="BW9" s="450"/>
      <c r="BX9" s="450"/>
      <c r="BY9" s="451"/>
      <c r="BZ9" s="438"/>
      <c r="CA9" s="438"/>
      <c r="CB9" s="380"/>
      <c r="CF9" s="241"/>
      <c r="CG9" s="241"/>
    </row>
    <row r="10" spans="1:85" s="279" customFormat="1" ht="19.25" customHeight="1">
      <c r="A10" s="444"/>
      <c r="B10" s="438"/>
      <c r="C10" s="438"/>
      <c r="D10" s="438"/>
      <c r="E10" s="438"/>
      <c r="F10" s="438"/>
      <c r="G10" s="380"/>
      <c r="H10" s="438"/>
      <c r="I10" s="438"/>
      <c r="J10" s="380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74"/>
      <c r="W10" s="475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380"/>
      <c r="AK10" s="390"/>
      <c r="AL10" s="380"/>
      <c r="AM10" s="335"/>
      <c r="AN10" s="335"/>
      <c r="AO10" s="335"/>
      <c r="AP10" s="380"/>
      <c r="AQ10" s="380"/>
      <c r="AR10" s="380"/>
      <c r="AS10" s="380"/>
      <c r="AT10" s="380"/>
      <c r="AU10" s="380"/>
      <c r="AV10" s="335"/>
      <c r="AW10" s="380"/>
      <c r="AX10" s="335"/>
      <c r="AY10" s="237" t="s">
        <v>67</v>
      </c>
      <c r="AZ10" s="237" t="s">
        <v>68</v>
      </c>
      <c r="BA10" s="237" t="s">
        <v>69</v>
      </c>
      <c r="BB10" s="470" t="s">
        <v>70</v>
      </c>
      <c r="BC10" s="461" t="s">
        <v>71</v>
      </c>
      <c r="BD10" s="461" t="s">
        <v>72</v>
      </c>
      <c r="BE10" s="440" t="s">
        <v>145</v>
      </c>
      <c r="BF10" s="440" t="s">
        <v>74</v>
      </c>
      <c r="BG10" s="440" t="s">
        <v>75</v>
      </c>
      <c r="BH10" s="461" t="s">
        <v>76</v>
      </c>
      <c r="BI10" s="440" t="s">
        <v>79</v>
      </c>
      <c r="BJ10" s="479" t="s">
        <v>80</v>
      </c>
      <c r="BK10" s="461" t="s">
        <v>81</v>
      </c>
      <c r="BL10" s="457" t="s">
        <v>82</v>
      </c>
      <c r="BM10" s="461" t="s">
        <v>83</v>
      </c>
      <c r="BN10" s="457" t="s">
        <v>84</v>
      </c>
      <c r="BO10" s="457" t="s">
        <v>146</v>
      </c>
      <c r="BP10" s="412" t="s">
        <v>85</v>
      </c>
      <c r="BQ10" s="438"/>
      <c r="BR10" s="438"/>
      <c r="BS10" s="438"/>
      <c r="BT10" s="438"/>
      <c r="BU10" s="338"/>
      <c r="BV10" s="452"/>
      <c r="BW10" s="453"/>
      <c r="BX10" s="453"/>
      <c r="BY10" s="454"/>
      <c r="BZ10" s="438"/>
      <c r="CA10" s="438"/>
      <c r="CB10" s="380"/>
      <c r="CC10" s="228" t="s">
        <v>3</v>
      </c>
      <c r="CF10" s="241"/>
      <c r="CG10" s="241"/>
    </row>
    <row r="11" spans="1:85" s="279" customFormat="1" ht="38.25" customHeight="1">
      <c r="A11" s="445"/>
      <c r="B11" s="439"/>
      <c r="C11" s="439"/>
      <c r="D11" s="439"/>
      <c r="E11" s="439"/>
      <c r="F11" s="439"/>
      <c r="G11" s="381"/>
      <c r="H11" s="439"/>
      <c r="I11" s="439"/>
      <c r="J11" s="381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330" t="s">
        <v>86</v>
      </c>
      <c r="W11" s="330" t="s">
        <v>87</v>
      </c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381"/>
      <c r="AK11" s="391"/>
      <c r="AL11" s="381"/>
      <c r="AM11" s="336"/>
      <c r="AN11" s="336"/>
      <c r="AO11" s="336"/>
      <c r="AP11" s="381"/>
      <c r="AQ11" s="381"/>
      <c r="AR11" s="381"/>
      <c r="AS11" s="381"/>
      <c r="AT11" s="381"/>
      <c r="AU11" s="381"/>
      <c r="AV11" s="336"/>
      <c r="AW11" s="381"/>
      <c r="AX11" s="336"/>
      <c r="AY11" s="331" t="s">
        <v>88</v>
      </c>
      <c r="AZ11" s="331" t="s">
        <v>89</v>
      </c>
      <c r="BA11" s="331" t="s">
        <v>90</v>
      </c>
      <c r="BB11" s="439"/>
      <c r="BC11" s="381"/>
      <c r="BD11" s="381"/>
      <c r="BE11" s="439"/>
      <c r="BF11" s="439"/>
      <c r="BG11" s="439"/>
      <c r="BH11" s="381"/>
      <c r="BI11" s="439"/>
      <c r="BJ11" s="439"/>
      <c r="BK11" s="381"/>
      <c r="BL11" s="381"/>
      <c r="BM11" s="381"/>
      <c r="BN11" s="381"/>
      <c r="BO11" s="381"/>
      <c r="BP11" s="439"/>
      <c r="BQ11" s="439"/>
      <c r="BR11" s="439"/>
      <c r="BS11" s="439"/>
      <c r="BT11" s="439"/>
      <c r="BU11" s="339"/>
      <c r="BV11" s="238" t="s">
        <v>91</v>
      </c>
      <c r="BW11" s="238" t="s">
        <v>92</v>
      </c>
      <c r="BX11" s="238" t="s">
        <v>93</v>
      </c>
      <c r="BY11" s="333" t="s">
        <v>94</v>
      </c>
      <c r="BZ11" s="459"/>
      <c r="CA11" s="459"/>
      <c r="CB11" s="477"/>
      <c r="CC11" s="227">
        <v>25</v>
      </c>
      <c r="CD11" s="285"/>
      <c r="CF11" s="241"/>
      <c r="CG11" s="241"/>
    </row>
    <row r="12" spans="1:85" s="278" customFormat="1" ht="15" customHeight="1">
      <c r="A12" s="286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6" t="s">
        <v>96</v>
      </c>
      <c r="B13" s="286" t="s">
        <v>96</v>
      </c>
      <c r="C13" s="286" t="s">
        <v>96</v>
      </c>
      <c r="D13" s="276"/>
      <c r="E13" s="276"/>
      <c r="F13" s="276"/>
      <c r="G13" s="286" t="s">
        <v>96</v>
      </c>
      <c r="H13" s="286" t="s">
        <v>96</v>
      </c>
      <c r="I13" s="286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173460000</v>
      </c>
      <c r="J14" s="249"/>
      <c r="K14" s="287">
        <f>SUM(K15:K21)</f>
        <v>75.5</v>
      </c>
      <c r="L14" s="287"/>
      <c r="M14" s="287"/>
      <c r="N14" s="287"/>
      <c r="O14" s="287"/>
      <c r="P14" s="287"/>
      <c r="Q14" s="287"/>
      <c r="R14" s="287">
        <f>SUM(R15:R21)</f>
        <v>12</v>
      </c>
      <c r="S14" s="287">
        <f>SUM(S15:S21)</f>
        <v>0</v>
      </c>
      <c r="T14" s="287"/>
      <c r="U14" s="287">
        <f>SUM(U15:U21)</f>
        <v>0</v>
      </c>
      <c r="V14" s="287">
        <f>SUM(V15:V21)</f>
        <v>0</v>
      </c>
      <c r="W14" s="287">
        <f>SUM(W15:W21)</f>
        <v>0</v>
      </c>
      <c r="X14" s="287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95587211.538461551</v>
      </c>
      <c r="AP14" s="249"/>
      <c r="AQ14" s="249"/>
      <c r="AR14" s="249"/>
      <c r="AS14" s="249"/>
      <c r="AT14" s="249"/>
      <c r="AU14" s="249"/>
      <c r="AV14" s="249">
        <f>SUM(AV15:AV21)</f>
        <v>130471826.92307691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2979196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105877076.92307696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20">
        <f>IF(B15=0,"",COUNTA($B$15:(B15)))</f>
        <v>1</v>
      </c>
      <c r="B15" s="321">
        <v>2405236</v>
      </c>
      <c r="C15" s="322" t="s">
        <v>97</v>
      </c>
      <c r="D15" s="323" t="s">
        <v>98</v>
      </c>
      <c r="E15" s="324" t="s">
        <v>113</v>
      </c>
      <c r="F15" s="324" t="s">
        <v>100</v>
      </c>
      <c r="G15" s="325">
        <v>9520000</v>
      </c>
      <c r="H15" s="325">
        <f t="shared" ref="H15:H21" si="4">+IF(OR(CA15="ĐT PCCC",CA15="ĐP PCCC"),780000,IF(CA15="AT-VSV",300000,0))</f>
        <v>0</v>
      </c>
      <c r="I15" s="325">
        <f t="shared" ref="I15:I21" si="5">BZ15-BX15-G15-H15</f>
        <v>53480000</v>
      </c>
      <c r="J15" s="326">
        <v>1</v>
      </c>
      <c r="K15" s="327">
        <v>11</v>
      </c>
      <c r="L15" s="327"/>
      <c r="M15" s="327"/>
      <c r="N15" s="327"/>
      <c r="O15" s="327">
        <v>2</v>
      </c>
      <c r="P15" s="327"/>
      <c r="Q15" s="327"/>
      <c r="R15" s="327">
        <v>0</v>
      </c>
      <c r="S15" s="327">
        <v>0</v>
      </c>
      <c r="T15" s="327"/>
      <c r="U15" s="327">
        <v>0</v>
      </c>
      <c r="V15" s="327">
        <v>0</v>
      </c>
      <c r="W15" s="327">
        <v>0</v>
      </c>
      <c r="X15" s="327">
        <v>0</v>
      </c>
      <c r="Y15" s="325">
        <f t="shared" ref="Y15:Y21" si="6">G15*(K15+L15)/26</f>
        <v>4027692.3076923075</v>
      </c>
      <c r="Z15" s="325">
        <f t="shared" ref="Z15:Z21" si="7">M15*G15/26</f>
        <v>0</v>
      </c>
      <c r="AA15" s="325">
        <f t="shared" ref="AA15:AA21" si="8">G15*N15/26</f>
        <v>0</v>
      </c>
      <c r="AB15" s="325">
        <f t="shared" ref="AB15:AB21" si="9">G15*O15/26</f>
        <v>732307.69230769225</v>
      </c>
      <c r="AC15" s="325">
        <f t="shared" ref="AC15:AC21" si="10">G15*P15*150%/26</f>
        <v>0</v>
      </c>
      <c r="AD15" s="325">
        <f t="shared" ref="AD15:AD21" si="11">G15*Q15/26*200%</f>
        <v>0</v>
      </c>
      <c r="AE15" s="325">
        <f t="shared" ref="AE15:AE21" si="12">G15*R15/26*300%</f>
        <v>0</v>
      </c>
      <c r="AF15" s="325">
        <f t="shared" ref="AF15:AF21" si="13">IF(F15="LT",0,(G15+H15)/26*S15*30%)</f>
        <v>0</v>
      </c>
      <c r="AG15" s="325">
        <f t="shared" ref="AG15:AG21" si="14">T15*G15/23/8</f>
        <v>0</v>
      </c>
      <c r="AH15" s="325">
        <f t="shared" ref="AH15:AH21" si="15">BZ15/26*U15</f>
        <v>0</v>
      </c>
      <c r="AI15" s="325">
        <f t="shared" ref="AI15:AI21" si="16">G15*V15/26</f>
        <v>0</v>
      </c>
      <c r="AJ15" s="325"/>
      <c r="AK15" s="325">
        <f t="shared" ref="AK15:AK21" si="17">BX15*L15/26</f>
        <v>0</v>
      </c>
      <c r="AL15" s="325"/>
      <c r="AM15" s="325">
        <f t="shared" ref="AM15:AM21" si="18">X15*CB15</f>
        <v>0</v>
      </c>
      <c r="AN15" s="325">
        <f>H15/26*(K15+L15)</f>
        <v>0</v>
      </c>
      <c r="AO15" s="325">
        <f t="shared" ref="AO15:AO21" si="19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5"/>
      <c r="AQ15" s="325"/>
      <c r="AR15" s="325"/>
      <c r="AS15" s="325"/>
      <c r="AT15" s="325"/>
      <c r="AU15" s="325"/>
      <c r="AV15" s="325">
        <f t="shared" ref="AV15:AV21" si="20">Y15+Z15+AA15+AB15+AC15+AD15+AE15+AF15+AG15+AI15+AJ15+AK15+AL15+AM15+AN15+AO15+AP15-AQ15+AR15+AS15+AT15+AU15</f>
        <v>33692307.692307696</v>
      </c>
      <c r="AW15" s="325"/>
      <c r="AX15" s="325" t="s">
        <v>101</v>
      </c>
      <c r="AY15" s="328">
        <f t="shared" ref="AY15:BA21" si="21">ROUND(IF($AX15="x",($G15+$H15)*AY$11,0),0)</f>
        <v>761600</v>
      </c>
      <c r="AZ15" s="328">
        <f t="shared" si="21"/>
        <v>142800</v>
      </c>
      <c r="BA15" s="328">
        <f t="shared" si="21"/>
        <v>95200</v>
      </c>
      <c r="BB15" s="328">
        <f t="shared" ref="BB15:BB21" si="22">SUM(AY15:BA15)</f>
        <v>999600</v>
      </c>
      <c r="BC15" s="328"/>
      <c r="BD15" s="328"/>
      <c r="BE15" s="328">
        <f t="shared" ref="BE15:BE21" si="23">IF(G15*1%&gt;=234000,234000,G15*1%)</f>
        <v>95200</v>
      </c>
      <c r="BF15" s="328">
        <f>AM15+IF(AR15&gt;=730000,730000,AR15)+IF(((AV15-AM15-IF(AR15&gt;=730000,730000,AR15)-AS15)*15%-AS15)&gt;0,((AV15-AM15-IF(AR15&gt;=730000,730000,AR15)-AS15)*15%-AS15),0)</f>
        <v>5053846.153846154</v>
      </c>
      <c r="BG15" s="328">
        <f t="shared" ref="BG15:BG21" si="24">AV15-BF15+AW15</f>
        <v>28638461.538461544</v>
      </c>
      <c r="BH15" s="328">
        <v>3</v>
      </c>
      <c r="BI15" s="328">
        <f t="shared" ref="BI15:BI21" si="25">BG15-BB15-BC15+BD15-BH15*4400000-IF(E15="CT",11000000,0)</f>
        <v>14438861.538461544</v>
      </c>
      <c r="BJ15" s="329">
        <f t="shared" ref="BJ15:BJ21" si="26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1415829</v>
      </c>
      <c r="BK15" s="328"/>
      <c r="BL15" s="328"/>
      <c r="BM15" s="328">
        <v>0</v>
      </c>
      <c r="BN15" s="328"/>
      <c r="BO15" s="328"/>
      <c r="BP15" s="328"/>
      <c r="BQ15" s="328"/>
      <c r="BR15" s="328"/>
      <c r="BS15" s="328" t="str">
        <f t="shared" ref="BS15:BS21" si="27">IF(AV15&gt;=11000000,"80%","100%")</f>
        <v>80%</v>
      </c>
      <c r="BT15" s="328">
        <f>AV15*BS15-BN15-BK15-BP15-BO15</f>
        <v>26953846.15384616</v>
      </c>
      <c r="BU15" s="332">
        <v>60000000</v>
      </c>
      <c r="BV15" s="329">
        <v>0</v>
      </c>
      <c r="BW15" s="329"/>
      <c r="BX15" s="329"/>
      <c r="BY15" s="329">
        <f t="shared" ref="BY15:BY21" si="28">+BU15*5%</f>
        <v>3000000</v>
      </c>
      <c r="BZ15" s="329">
        <f t="shared" ref="BZ15:BZ21" si="29">SUM(BU15:BY15)</f>
        <v>63000000</v>
      </c>
      <c r="CA15" s="329" t="s">
        <v>122</v>
      </c>
      <c r="CB15" s="329"/>
      <c r="CC15" s="289"/>
      <c r="CD15" s="290"/>
      <c r="CE15" s="290"/>
      <c r="CF15" s="252"/>
      <c r="CG15" s="252"/>
    </row>
    <row r="16" spans="1:85" s="253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33520000</v>
      </c>
      <c r="J16" s="288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si="6"/>
        <v>3424615.3846153845</v>
      </c>
      <c r="Z16" s="249">
        <f t="shared" si="7"/>
        <v>163076.92307692306</v>
      </c>
      <c r="AA16" s="249">
        <f t="shared" si="8"/>
        <v>0</v>
      </c>
      <c r="AB16" s="249">
        <f t="shared" si="9"/>
        <v>652307.69230769225</v>
      </c>
      <c r="AC16" s="249">
        <f t="shared" si="10"/>
        <v>0</v>
      </c>
      <c r="AD16" s="249">
        <f t="shared" si="11"/>
        <v>0</v>
      </c>
      <c r="AE16" s="249">
        <f t="shared" si="12"/>
        <v>0</v>
      </c>
      <c r="AF16" s="249">
        <f t="shared" si="13"/>
        <v>0</v>
      </c>
      <c r="AG16" s="249">
        <f t="shared" si="14"/>
        <v>0</v>
      </c>
      <c r="AH16" s="249">
        <f t="shared" si="15"/>
        <v>0</v>
      </c>
      <c r="AI16" s="249">
        <f t="shared" si="16"/>
        <v>0</v>
      </c>
      <c r="AJ16" s="249"/>
      <c r="AK16" s="249">
        <f t="shared" si="17"/>
        <v>0</v>
      </c>
      <c r="AL16" s="249"/>
      <c r="AM16" s="249">
        <f t="shared" si="18"/>
        <v>0</v>
      </c>
      <c r="AN16" s="249">
        <f t="shared" ref="AN16:AN21" si="30">H16/26*K16</f>
        <v>0</v>
      </c>
      <c r="AO16" s="249">
        <f t="shared" si="19"/>
        <v>17899230.769230772</v>
      </c>
      <c r="AP16" s="249"/>
      <c r="AQ16" s="249"/>
      <c r="AR16" s="249"/>
      <c r="AS16" s="249"/>
      <c r="AT16" s="249"/>
      <c r="AU16" s="249"/>
      <c r="AV16" s="249">
        <f t="shared" si="20"/>
        <v>22139230.769230772</v>
      </c>
      <c r="AW16" s="249"/>
      <c r="AX16" s="249" t="s">
        <v>101</v>
      </c>
      <c r="AY16" s="251">
        <f t="shared" si="21"/>
        <v>678400</v>
      </c>
      <c r="AZ16" s="251">
        <f t="shared" si="21"/>
        <v>127200</v>
      </c>
      <c r="BA16" s="251">
        <f t="shared" si="21"/>
        <v>84800</v>
      </c>
      <c r="BB16" s="251">
        <f t="shared" si="22"/>
        <v>890400</v>
      </c>
      <c r="BC16" s="251"/>
      <c r="BD16" s="251"/>
      <c r="BE16" s="251">
        <f t="shared" si="23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3320884.6153846155</v>
      </c>
      <c r="BG16" s="251">
        <f t="shared" si="24"/>
        <v>18818346.153846156</v>
      </c>
      <c r="BH16" s="251"/>
      <c r="BI16" s="251">
        <f t="shared" si="25"/>
        <v>6927946.1538461559</v>
      </c>
      <c r="BJ16" s="243">
        <f t="shared" si="26"/>
        <v>442795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7"/>
        <v>80%</v>
      </c>
      <c r="BT16" s="251">
        <f t="shared" ref="BT16:BT21" si="32">AV16*BS16-BN16-BK16-BP16-BO16</f>
        <v>17711384.61538462</v>
      </c>
      <c r="BU16" s="242">
        <v>40000000</v>
      </c>
      <c r="BV16" s="243">
        <v>0</v>
      </c>
      <c r="BW16" s="243">
        <v>0</v>
      </c>
      <c r="BX16" s="243"/>
      <c r="BY16" s="243">
        <f t="shared" si="28"/>
        <v>2000000</v>
      </c>
      <c r="BZ16" s="243">
        <f t="shared" si="29"/>
        <v>42000000</v>
      </c>
      <c r="CA16" s="243" t="s">
        <v>114</v>
      </c>
      <c r="CB16" s="243"/>
      <c r="CC16" s="289"/>
      <c r="CD16" s="290"/>
      <c r="CE16" s="290"/>
      <c r="CF16" s="252"/>
      <c r="CG16" s="252"/>
    </row>
    <row r="17" spans="1:85" s="253" customFormat="1" ht="30.5" customHeight="1">
      <c r="A17" s="244">
        <f>IF(B17=0,"",COUNTA($B$15:(B17)))</f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8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6"/>
        <v>3308461.5384615385</v>
      </c>
      <c r="Z17" s="249">
        <f t="shared" si="7"/>
        <v>0</v>
      </c>
      <c r="AA17" s="249">
        <f t="shared" si="8"/>
        <v>0</v>
      </c>
      <c r="AB17" s="249">
        <f t="shared" si="9"/>
        <v>601538.4615384615</v>
      </c>
      <c r="AC17" s="249">
        <f t="shared" si="10"/>
        <v>0</v>
      </c>
      <c r="AD17" s="249">
        <f t="shared" si="11"/>
        <v>0</v>
      </c>
      <c r="AE17" s="249">
        <f t="shared" si="12"/>
        <v>3609230.769230769</v>
      </c>
      <c r="AF17" s="249">
        <f t="shared" si="13"/>
        <v>0</v>
      </c>
      <c r="AG17" s="249">
        <f t="shared" si="14"/>
        <v>0</v>
      </c>
      <c r="AH17" s="249">
        <f t="shared" si="15"/>
        <v>0</v>
      </c>
      <c r="AI17" s="249">
        <f t="shared" si="16"/>
        <v>0</v>
      </c>
      <c r="AJ17" s="249"/>
      <c r="AK17" s="249">
        <f t="shared" si="17"/>
        <v>0</v>
      </c>
      <c r="AL17" s="249"/>
      <c r="AM17" s="249">
        <f t="shared" si="18"/>
        <v>0</v>
      </c>
      <c r="AN17" s="249">
        <f t="shared" si="30"/>
        <v>126923.07692307694</v>
      </c>
      <c r="AO17" s="249">
        <f t="shared" si="19"/>
        <v>20969230.769230772</v>
      </c>
      <c r="AP17" s="249"/>
      <c r="AQ17" s="249"/>
      <c r="AR17" s="249"/>
      <c r="AS17" s="249"/>
      <c r="AT17" s="249"/>
      <c r="AU17" s="249"/>
      <c r="AV17" s="249">
        <f t="shared" si="20"/>
        <v>28615384.615384616</v>
      </c>
      <c r="AW17" s="249"/>
      <c r="AX17" s="249" t="s">
        <v>101</v>
      </c>
      <c r="AY17" s="251">
        <f t="shared" si="21"/>
        <v>649600</v>
      </c>
      <c r="AZ17" s="251">
        <f t="shared" si="21"/>
        <v>121800</v>
      </c>
      <c r="BA17" s="251">
        <f t="shared" si="21"/>
        <v>81200</v>
      </c>
      <c r="BB17" s="251">
        <f t="shared" si="22"/>
        <v>852600</v>
      </c>
      <c r="BC17" s="251"/>
      <c r="BD17" s="251"/>
      <c r="BE17" s="251">
        <f t="shared" si="23"/>
        <v>78200</v>
      </c>
      <c r="BF17" s="251">
        <f t="shared" si="31"/>
        <v>4292307.692307692</v>
      </c>
      <c r="BG17" s="251">
        <f t="shared" si="24"/>
        <v>24323076.923076924</v>
      </c>
      <c r="BH17" s="251"/>
      <c r="BI17" s="251">
        <f t="shared" si="25"/>
        <v>12470476.923076924</v>
      </c>
      <c r="BJ17" s="243">
        <f t="shared" si="26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7"/>
        <v>80%</v>
      </c>
      <c r="BT17" s="251">
        <f t="shared" si="32"/>
        <v>22892307.692307696</v>
      </c>
      <c r="BU17" s="242">
        <v>40000000</v>
      </c>
      <c r="BV17" s="243">
        <v>0</v>
      </c>
      <c r="BW17" s="243">
        <v>0</v>
      </c>
      <c r="BX17" s="243"/>
      <c r="BY17" s="243">
        <f t="shared" si="28"/>
        <v>2000000</v>
      </c>
      <c r="BZ17" s="243">
        <f t="shared" si="29"/>
        <v>42000000</v>
      </c>
      <c r="CA17" s="243" t="s">
        <v>118</v>
      </c>
      <c r="CB17" s="243"/>
      <c r="CC17" s="289"/>
      <c r="CD17" s="290"/>
      <c r="CE17" s="290"/>
      <c r="CF17" s="252"/>
      <c r="CG17" s="252"/>
    </row>
    <row r="18" spans="1:85" s="253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17160000</v>
      </c>
      <c r="J18" s="288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6"/>
        <v>2822884.6153846155</v>
      </c>
      <c r="Z18" s="249">
        <f t="shared" si="7"/>
        <v>134423.07692307694</v>
      </c>
      <c r="AA18" s="249">
        <f t="shared" si="8"/>
        <v>0</v>
      </c>
      <c r="AB18" s="249">
        <f t="shared" si="9"/>
        <v>537692.30769230775</v>
      </c>
      <c r="AC18" s="249">
        <f t="shared" si="10"/>
        <v>0</v>
      </c>
      <c r="AD18" s="249">
        <f t="shared" si="11"/>
        <v>0</v>
      </c>
      <c r="AE18" s="249">
        <f t="shared" si="12"/>
        <v>0</v>
      </c>
      <c r="AF18" s="249">
        <f t="shared" si="13"/>
        <v>0</v>
      </c>
      <c r="AG18" s="249">
        <f t="shared" si="14"/>
        <v>0</v>
      </c>
      <c r="AH18" s="249">
        <f t="shared" si="15"/>
        <v>0</v>
      </c>
      <c r="AI18" s="249">
        <f t="shared" si="16"/>
        <v>0</v>
      </c>
      <c r="AJ18" s="249"/>
      <c r="AK18" s="249">
        <f t="shared" si="17"/>
        <v>0</v>
      </c>
      <c r="AL18" s="249"/>
      <c r="AM18" s="249">
        <f t="shared" si="18"/>
        <v>0</v>
      </c>
      <c r="AN18" s="249">
        <f t="shared" si="30"/>
        <v>0</v>
      </c>
      <c r="AO18" s="249">
        <f t="shared" si="19"/>
        <v>9255384.615384616</v>
      </c>
      <c r="AP18" s="249"/>
      <c r="AQ18" s="249"/>
      <c r="AR18" s="249"/>
      <c r="AS18" s="249"/>
      <c r="AT18" s="249"/>
      <c r="AU18" s="249"/>
      <c r="AV18" s="249">
        <f t="shared" si="20"/>
        <v>12750384.615384616</v>
      </c>
      <c r="AW18" s="249"/>
      <c r="AX18" s="249" t="s">
        <v>101</v>
      </c>
      <c r="AY18" s="251">
        <f t="shared" si="21"/>
        <v>559200</v>
      </c>
      <c r="AZ18" s="251">
        <f t="shared" si="21"/>
        <v>104850</v>
      </c>
      <c r="BA18" s="251">
        <f t="shared" si="21"/>
        <v>69900</v>
      </c>
      <c r="BB18" s="251">
        <f t="shared" si="22"/>
        <v>733950</v>
      </c>
      <c r="BC18" s="251"/>
      <c r="BD18" s="251"/>
      <c r="BE18" s="251">
        <f t="shared" si="23"/>
        <v>69900</v>
      </c>
      <c r="BF18" s="251">
        <f t="shared" si="31"/>
        <v>1912557.6923076923</v>
      </c>
      <c r="BG18" s="251">
        <f t="shared" si="24"/>
        <v>10837826.923076924</v>
      </c>
      <c r="BH18" s="251"/>
      <c r="BI18" s="251">
        <f t="shared" si="25"/>
        <v>-896123.07692307606</v>
      </c>
      <c r="BJ18" s="243">
        <f t="shared" si="26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7"/>
        <v>80%</v>
      </c>
      <c r="BT18" s="251">
        <f t="shared" si="32"/>
        <v>10200307.692307694</v>
      </c>
      <c r="BU18" s="242">
        <v>23000000</v>
      </c>
      <c r="BV18" s="243">
        <v>0</v>
      </c>
      <c r="BW18" s="243">
        <v>0</v>
      </c>
      <c r="BX18" s="243"/>
      <c r="BY18" s="243">
        <f t="shared" si="28"/>
        <v>1150000</v>
      </c>
      <c r="BZ18" s="243">
        <f t="shared" si="29"/>
        <v>24150000</v>
      </c>
      <c r="CA18" s="243" t="s">
        <v>114</v>
      </c>
      <c r="CB18" s="243"/>
      <c r="CC18" s="289"/>
      <c r="CD18" s="290"/>
      <c r="CE18" s="290"/>
      <c r="CF18" s="252"/>
      <c r="CG18" s="252"/>
    </row>
    <row r="19" spans="1:85" s="253" customFormat="1" ht="30.5" customHeight="1">
      <c r="A19" s="244">
        <f>IF(B19=0,"",COUNTA($B$15:(B19)))</f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8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6"/>
        <v>2051923.076923077</v>
      </c>
      <c r="Z19" s="249">
        <f t="shared" si="7"/>
        <v>0</v>
      </c>
      <c r="AA19" s="249">
        <f t="shared" si="8"/>
        <v>0</v>
      </c>
      <c r="AB19" s="249">
        <f t="shared" si="9"/>
        <v>373076.92307692306</v>
      </c>
      <c r="AC19" s="249">
        <f t="shared" si="10"/>
        <v>0</v>
      </c>
      <c r="AD19" s="249">
        <f t="shared" si="11"/>
        <v>0</v>
      </c>
      <c r="AE19" s="249">
        <f t="shared" si="12"/>
        <v>2238461.5384615385</v>
      </c>
      <c r="AF19" s="249">
        <f t="shared" si="13"/>
        <v>0</v>
      </c>
      <c r="AG19" s="249">
        <f t="shared" si="14"/>
        <v>0</v>
      </c>
      <c r="AH19" s="249">
        <f t="shared" si="15"/>
        <v>0</v>
      </c>
      <c r="AI19" s="249">
        <f t="shared" si="16"/>
        <v>0</v>
      </c>
      <c r="AJ19" s="249"/>
      <c r="AK19" s="249">
        <f t="shared" si="17"/>
        <v>0</v>
      </c>
      <c r="AL19" s="249"/>
      <c r="AM19" s="249">
        <f t="shared" si="18"/>
        <v>0</v>
      </c>
      <c r="AN19" s="249">
        <f t="shared" si="30"/>
        <v>126923.07692307694</v>
      </c>
      <c r="AO19" s="249">
        <f t="shared" si="19"/>
        <v>2707692.3076923075</v>
      </c>
      <c r="AP19" s="249"/>
      <c r="AQ19" s="249"/>
      <c r="AR19" s="249"/>
      <c r="AS19" s="249"/>
      <c r="AT19" s="249"/>
      <c r="AU19" s="249"/>
      <c r="AV19" s="249">
        <f t="shared" si="20"/>
        <v>7498076.9230769221</v>
      </c>
      <c r="AW19" s="249"/>
      <c r="AX19" s="249" t="s">
        <v>101</v>
      </c>
      <c r="AY19" s="251">
        <f t="shared" si="21"/>
        <v>412000</v>
      </c>
      <c r="AZ19" s="251">
        <f t="shared" si="21"/>
        <v>77250</v>
      </c>
      <c r="BA19" s="251">
        <f t="shared" si="21"/>
        <v>51500</v>
      </c>
      <c r="BB19" s="251">
        <f t="shared" si="22"/>
        <v>540750</v>
      </c>
      <c r="BC19" s="251"/>
      <c r="BD19" s="251"/>
      <c r="BE19" s="251">
        <f t="shared" si="23"/>
        <v>48500</v>
      </c>
      <c r="BF19" s="251">
        <f t="shared" si="31"/>
        <v>1124711.5384615383</v>
      </c>
      <c r="BG19" s="251">
        <f t="shared" si="24"/>
        <v>6373365.384615384</v>
      </c>
      <c r="BH19" s="251"/>
      <c r="BI19" s="251">
        <f t="shared" si="25"/>
        <v>-5167384.615384616</v>
      </c>
      <c r="BJ19" s="243">
        <f t="shared" si="26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7"/>
        <v>100%</v>
      </c>
      <c r="BT19" s="251">
        <f t="shared" si="32"/>
        <v>7498076.9230769221</v>
      </c>
      <c r="BU19" s="242">
        <v>11000000</v>
      </c>
      <c r="BV19" s="243">
        <v>0</v>
      </c>
      <c r="BW19" s="243">
        <v>0</v>
      </c>
      <c r="BX19" s="243"/>
      <c r="BY19" s="243">
        <f t="shared" si="28"/>
        <v>550000</v>
      </c>
      <c r="BZ19" s="243">
        <f t="shared" si="29"/>
        <v>11550000</v>
      </c>
      <c r="CA19" s="243" t="s">
        <v>118</v>
      </c>
      <c r="CB19" s="243"/>
      <c r="CC19" s="289"/>
      <c r="CD19" s="290"/>
      <c r="CE19" s="290"/>
      <c r="CF19" s="252"/>
      <c r="CG19" s="252"/>
    </row>
    <row r="20" spans="1:85" s="253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8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6"/>
        <v>2560384.6153846155</v>
      </c>
      <c r="Z20" s="249">
        <f t="shared" si="7"/>
        <v>121923.07692307692</v>
      </c>
      <c r="AA20" s="249">
        <f t="shared" si="8"/>
        <v>0</v>
      </c>
      <c r="AB20" s="249">
        <f t="shared" si="9"/>
        <v>487692.30769230769</v>
      </c>
      <c r="AC20" s="249">
        <f t="shared" si="10"/>
        <v>0</v>
      </c>
      <c r="AD20" s="249">
        <f t="shared" si="11"/>
        <v>0</v>
      </c>
      <c r="AE20" s="249">
        <f t="shared" si="12"/>
        <v>0</v>
      </c>
      <c r="AF20" s="249">
        <f t="shared" si="13"/>
        <v>0</v>
      </c>
      <c r="AG20" s="249">
        <f t="shared" si="14"/>
        <v>0</v>
      </c>
      <c r="AH20" s="249">
        <f t="shared" si="15"/>
        <v>0</v>
      </c>
      <c r="AI20" s="249">
        <f t="shared" si="16"/>
        <v>0</v>
      </c>
      <c r="AJ20" s="249"/>
      <c r="AK20" s="249">
        <f t="shared" si="17"/>
        <v>0</v>
      </c>
      <c r="AL20" s="249"/>
      <c r="AM20" s="249">
        <f t="shared" si="18"/>
        <v>0</v>
      </c>
      <c r="AN20" s="249">
        <f t="shared" si="30"/>
        <v>0</v>
      </c>
      <c r="AO20" s="249">
        <f t="shared" si="19"/>
        <v>9574134.615384616</v>
      </c>
      <c r="AP20" s="249"/>
      <c r="AQ20" s="249"/>
      <c r="AR20" s="249"/>
      <c r="AS20" s="249"/>
      <c r="AT20" s="249"/>
      <c r="AU20" s="249"/>
      <c r="AV20" s="249">
        <f t="shared" si="20"/>
        <v>12744134.615384616</v>
      </c>
      <c r="AW20" s="249"/>
      <c r="AX20" s="249" t="s">
        <v>101</v>
      </c>
      <c r="AY20" s="251">
        <f t="shared" si="21"/>
        <v>507200</v>
      </c>
      <c r="AZ20" s="251">
        <f t="shared" si="21"/>
        <v>95100</v>
      </c>
      <c r="BA20" s="251">
        <f t="shared" si="21"/>
        <v>63400</v>
      </c>
      <c r="BB20" s="251">
        <f t="shared" si="22"/>
        <v>665700</v>
      </c>
      <c r="BC20" s="251"/>
      <c r="BD20" s="251"/>
      <c r="BE20" s="251">
        <f t="shared" si="23"/>
        <v>63400</v>
      </c>
      <c r="BF20" s="251">
        <f t="shared" si="31"/>
        <v>1911620.1923076923</v>
      </c>
      <c r="BG20" s="251">
        <f t="shared" si="24"/>
        <v>10832514.423076924</v>
      </c>
      <c r="BH20" s="251"/>
      <c r="BI20" s="251">
        <f t="shared" si="25"/>
        <v>-833185.57692307606</v>
      </c>
      <c r="BJ20" s="243">
        <f t="shared" si="26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7"/>
        <v>80%</v>
      </c>
      <c r="BT20" s="251">
        <f t="shared" si="32"/>
        <v>10195307.692307694</v>
      </c>
      <c r="BU20" s="242">
        <v>23000000</v>
      </c>
      <c r="BV20" s="243">
        <v>0</v>
      </c>
      <c r="BW20" s="243">
        <v>0</v>
      </c>
      <c r="BX20" s="243"/>
      <c r="BY20" s="243">
        <f t="shared" si="28"/>
        <v>1150000</v>
      </c>
      <c r="BZ20" s="243">
        <f t="shared" si="29"/>
        <v>24150000</v>
      </c>
      <c r="CA20" s="243" t="s">
        <v>114</v>
      </c>
      <c r="CB20" s="243"/>
      <c r="CC20" s="289"/>
      <c r="CD20" s="290"/>
      <c r="CE20" s="290"/>
      <c r="CF20" s="252"/>
      <c r="CG20" s="252"/>
    </row>
    <row r="21" spans="1:85" s="253" customFormat="1" ht="30.5" customHeight="1">
      <c r="A21" s="244">
        <f>IF(B21=0,"",COUNTA($B$15:(B21)))</f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8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6"/>
        <v>2682307.6923076925</v>
      </c>
      <c r="Z21" s="249">
        <f t="shared" si="7"/>
        <v>0</v>
      </c>
      <c r="AA21" s="249">
        <f t="shared" si="8"/>
        <v>0</v>
      </c>
      <c r="AB21" s="249">
        <f t="shared" si="9"/>
        <v>487692.30769230769</v>
      </c>
      <c r="AC21" s="249">
        <f t="shared" si="10"/>
        <v>0</v>
      </c>
      <c r="AD21" s="249">
        <f t="shared" si="11"/>
        <v>0</v>
      </c>
      <c r="AE21" s="249">
        <f t="shared" si="12"/>
        <v>2926153.846153846</v>
      </c>
      <c r="AF21" s="249">
        <f t="shared" si="13"/>
        <v>0</v>
      </c>
      <c r="AG21" s="249">
        <f t="shared" si="14"/>
        <v>0</v>
      </c>
      <c r="AH21" s="249">
        <f t="shared" si="15"/>
        <v>0</v>
      </c>
      <c r="AI21" s="249">
        <f t="shared" si="16"/>
        <v>0</v>
      </c>
      <c r="AJ21" s="249"/>
      <c r="AK21" s="249">
        <f t="shared" si="17"/>
        <v>0</v>
      </c>
      <c r="AL21" s="249"/>
      <c r="AM21" s="249">
        <f t="shared" si="18"/>
        <v>0</v>
      </c>
      <c r="AN21" s="249">
        <f t="shared" si="30"/>
        <v>126923.07692307694</v>
      </c>
      <c r="AO21" s="249">
        <f t="shared" si="19"/>
        <v>6249230.7692307699</v>
      </c>
      <c r="AP21" s="249"/>
      <c r="AQ21" s="249"/>
      <c r="AR21" s="249">
        <v>560000</v>
      </c>
      <c r="AS21" s="249"/>
      <c r="AT21" s="249"/>
      <c r="AU21" s="249"/>
      <c r="AV21" s="249">
        <f t="shared" si="20"/>
        <v>13032307.692307692</v>
      </c>
      <c r="AW21" s="249"/>
      <c r="AX21" s="249" t="s">
        <v>101</v>
      </c>
      <c r="AY21" s="251">
        <f t="shared" si="21"/>
        <v>531200</v>
      </c>
      <c r="AZ21" s="251">
        <f t="shared" si="21"/>
        <v>99600</v>
      </c>
      <c r="BA21" s="251">
        <f t="shared" si="21"/>
        <v>66400</v>
      </c>
      <c r="BB21" s="251">
        <f t="shared" si="22"/>
        <v>697200</v>
      </c>
      <c r="BC21" s="251"/>
      <c r="BD21" s="251"/>
      <c r="BE21" s="251">
        <f t="shared" si="23"/>
        <v>63400</v>
      </c>
      <c r="BF21" s="251">
        <f t="shared" si="31"/>
        <v>2430846.153846154</v>
      </c>
      <c r="BG21" s="251">
        <f t="shared" si="24"/>
        <v>10601461.538461538</v>
      </c>
      <c r="BH21" s="251"/>
      <c r="BI21" s="251">
        <f t="shared" si="25"/>
        <v>-1095738.461538462</v>
      </c>
      <c r="BJ21" s="243">
        <f t="shared" si="26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7"/>
        <v>80%</v>
      </c>
      <c r="BT21" s="251">
        <f t="shared" si="32"/>
        <v>10425846.153846154</v>
      </c>
      <c r="BU21" s="242">
        <v>17000000</v>
      </c>
      <c r="BV21" s="243">
        <v>0</v>
      </c>
      <c r="BW21" s="243">
        <v>0</v>
      </c>
      <c r="BX21" s="243"/>
      <c r="BY21" s="243">
        <f t="shared" si="28"/>
        <v>850000</v>
      </c>
      <c r="BZ21" s="243">
        <f t="shared" si="29"/>
        <v>17850000</v>
      </c>
      <c r="CA21" s="243" t="s">
        <v>118</v>
      </c>
      <c r="CB21" s="243"/>
      <c r="CC21" s="289"/>
      <c r="CD21" s="290"/>
      <c r="CE21" s="290"/>
      <c r="CF21" s="252"/>
      <c r="CG21" s="252"/>
    </row>
    <row r="22" spans="1:85" s="291" customFormat="1" ht="18.75" customHeight="1">
      <c r="B22" s="292"/>
      <c r="I22" s="293"/>
      <c r="J22" s="293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5"/>
      <c r="V22" s="295"/>
      <c r="W22" s="296"/>
      <c r="X22" s="296"/>
      <c r="AC22" s="297"/>
      <c r="BJ22" s="298"/>
      <c r="BN22" s="298"/>
      <c r="BO22" s="298"/>
      <c r="BP22" s="298"/>
      <c r="BQ22" s="298"/>
      <c r="BR22" s="298"/>
      <c r="BS22" s="298"/>
      <c r="BT22" s="298"/>
      <c r="BU22" s="299"/>
      <c r="BV22" s="299"/>
      <c r="BW22" s="299"/>
      <c r="BX22" s="299"/>
      <c r="BY22" s="299"/>
      <c r="CD22" s="300"/>
    </row>
    <row r="23" spans="1:85" s="301" customFormat="1" ht="21" customHeight="1">
      <c r="B23" s="302"/>
      <c r="C23" s="302"/>
      <c r="D23" s="302"/>
      <c r="E23" s="302"/>
      <c r="F23" s="302"/>
      <c r="G23" s="302"/>
      <c r="H23" s="302"/>
      <c r="I23" s="302"/>
      <c r="J23" s="303"/>
      <c r="K23" s="304"/>
      <c r="L23" s="304"/>
      <c r="M23" s="304"/>
      <c r="N23" s="304"/>
      <c r="O23" s="304"/>
      <c r="P23" s="304"/>
      <c r="Q23" s="304"/>
      <c r="U23" s="305"/>
      <c r="V23" s="304"/>
      <c r="W23" s="302"/>
      <c r="X23" s="302"/>
      <c r="Y23" s="302"/>
      <c r="Z23" s="302"/>
      <c r="AA23" s="302"/>
      <c r="AB23" s="302"/>
      <c r="AC23" s="302"/>
      <c r="AK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BC23" s="306"/>
      <c r="BD23" s="306"/>
      <c r="BJ23" s="302"/>
      <c r="BL23" s="302"/>
      <c r="BM23" s="302"/>
      <c r="BN23" s="302" t="s">
        <v>119</v>
      </c>
      <c r="BO23" s="302"/>
      <c r="BP23" s="302"/>
      <c r="BQ23" s="302"/>
      <c r="BR23" s="302"/>
      <c r="BS23" s="302"/>
      <c r="BT23" s="302"/>
      <c r="BU23" s="307"/>
      <c r="BV23" s="307"/>
      <c r="BW23" s="307"/>
      <c r="BX23" s="307"/>
      <c r="BY23" s="307"/>
    </row>
    <row r="24" spans="1:85" s="301" customFormat="1" ht="18" customHeight="1">
      <c r="B24" s="308"/>
      <c r="I24" s="303"/>
      <c r="J24" s="303"/>
      <c r="K24" s="305"/>
      <c r="L24" s="305"/>
      <c r="M24" s="305"/>
      <c r="N24" s="305"/>
      <c r="O24" s="305"/>
      <c r="P24" s="305"/>
      <c r="Q24" s="305"/>
      <c r="R24" s="304"/>
      <c r="U24" s="305"/>
      <c r="V24" s="305"/>
      <c r="W24" s="309"/>
      <c r="X24" s="309"/>
      <c r="AN24" s="307"/>
      <c r="AV24" s="302"/>
      <c r="AW24" s="302"/>
      <c r="AX24" s="302"/>
      <c r="AY24" s="307"/>
      <c r="AZ24" s="307"/>
      <c r="BA24" s="307"/>
      <c r="BB24" s="307"/>
      <c r="BL24" s="302"/>
      <c r="BM24" s="306"/>
      <c r="BU24" s="307"/>
      <c r="BV24" s="307"/>
      <c r="BW24" s="307"/>
      <c r="BX24" s="307"/>
      <c r="BY24" s="307"/>
      <c r="CD24" s="310"/>
    </row>
    <row r="25" spans="1:85" ht="15" customHeight="1">
      <c r="D25" s="314" t="s">
        <v>152</v>
      </c>
      <c r="I25" s="315"/>
      <c r="X25" s="258"/>
      <c r="BX25" s="258" t="s">
        <v>147</v>
      </c>
      <c r="CD25" s="319"/>
    </row>
    <row r="26" spans="1:85" ht="73.5" customHeight="1">
      <c r="J26" s="257"/>
      <c r="X26" s="258"/>
    </row>
  </sheetData>
  <autoFilter ref="A12:CG21" xr:uid="{00000000-0009-0000-0000-000002000000}"/>
  <mergeCells count="81">
    <mergeCell ref="CB8:CB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U3:BZ6"/>
    <mergeCell ref="AU8:AU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BZ8:BZ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V8:BY10"/>
    <mergeCell ref="C8:C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T12">
    <cfRule type="duplicateValues" dxfId="12" priority="96"/>
  </conditionalFormatting>
  <conditionalFormatting sqref="B1:B12 B22:B1048576 C12:CB12 D13:F13 J13:BI13 BK13:CB13">
    <cfRule type="duplicateValues" dxfId="11" priority="99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2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W3" s="419" t="s">
        <v>2</v>
      </c>
      <c r="BX3" s="420"/>
      <c r="BY3" s="420"/>
      <c r="BZ3" s="420"/>
      <c r="CA3" s="420"/>
      <c r="CB3" s="420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20"/>
      <c r="BX4" s="420"/>
      <c r="BY4" s="420"/>
      <c r="BZ4" s="420"/>
      <c r="CA4" s="420"/>
      <c r="CB4" s="420"/>
      <c r="CC4" s="42"/>
      <c r="CD4" s="42"/>
    </row>
    <row r="5" spans="1:87" s="45" customFormat="1">
      <c r="A5" s="407" t="s">
        <v>4</v>
      </c>
      <c r="B5" s="418" t="s">
        <v>5</v>
      </c>
      <c r="C5" s="406" t="s">
        <v>6</v>
      </c>
      <c r="D5" s="413" t="s">
        <v>141</v>
      </c>
      <c r="E5" s="413" t="s">
        <v>8</v>
      </c>
      <c r="F5" s="480" t="s">
        <v>142</v>
      </c>
      <c r="G5" s="406" t="s">
        <v>10</v>
      </c>
      <c r="H5" s="334" t="s">
        <v>11</v>
      </c>
      <c r="I5" s="334" t="s">
        <v>12</v>
      </c>
      <c r="J5" s="406" t="s">
        <v>13</v>
      </c>
      <c r="K5" s="411" t="s">
        <v>14</v>
      </c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6" t="s">
        <v>15</v>
      </c>
      <c r="Z5" s="403"/>
      <c r="AA5" s="403"/>
      <c r="AB5" s="403"/>
      <c r="AC5" s="403"/>
      <c r="AD5" s="403"/>
      <c r="AE5" s="403"/>
      <c r="AF5" s="403"/>
      <c r="AG5" s="403"/>
      <c r="AH5" s="403"/>
      <c r="AI5" s="403"/>
      <c r="AJ5" s="403"/>
      <c r="AK5" s="403"/>
      <c r="AL5" s="403"/>
      <c r="AM5" s="403"/>
      <c r="AN5" s="403"/>
      <c r="AO5" s="404"/>
      <c r="AP5" s="406" t="s">
        <v>16</v>
      </c>
      <c r="AQ5" s="406" t="s">
        <v>17</v>
      </c>
      <c r="AR5" s="406" t="s">
        <v>18</v>
      </c>
      <c r="AS5" s="406" t="s">
        <v>19</v>
      </c>
      <c r="AT5" s="406" t="s">
        <v>20</v>
      </c>
      <c r="AU5" s="406" t="s">
        <v>21</v>
      </c>
      <c r="AV5" s="406" t="s">
        <v>22</v>
      </c>
      <c r="AW5" s="406" t="s">
        <v>23</v>
      </c>
      <c r="AX5" s="406" t="s">
        <v>24</v>
      </c>
      <c r="AY5" s="402" t="s">
        <v>25</v>
      </c>
      <c r="AZ5" s="403"/>
      <c r="BA5" s="403"/>
      <c r="BB5" s="403"/>
      <c r="BC5" s="403"/>
      <c r="BD5" s="403"/>
      <c r="BE5" s="403"/>
      <c r="BF5" s="403"/>
      <c r="BG5" s="403"/>
      <c r="BH5" s="403"/>
      <c r="BI5" s="403"/>
      <c r="BJ5" s="403"/>
      <c r="BK5" s="403"/>
      <c r="BL5" s="403"/>
      <c r="BM5" s="403"/>
      <c r="BN5" s="403"/>
      <c r="BO5" s="403"/>
      <c r="BP5" s="404"/>
      <c r="BQ5" s="423" t="s">
        <v>26</v>
      </c>
      <c r="BR5" s="416"/>
      <c r="BS5" s="402" t="s">
        <v>143</v>
      </c>
      <c r="BT5" s="402" t="s">
        <v>27</v>
      </c>
      <c r="BU5" s="434" t="s">
        <v>28</v>
      </c>
      <c r="BW5" s="435" t="s">
        <v>29</v>
      </c>
      <c r="BX5" s="424" t="s">
        <v>30</v>
      </c>
      <c r="BY5" s="425"/>
      <c r="BZ5" s="425"/>
      <c r="CA5" s="416"/>
      <c r="CB5" s="436" t="s">
        <v>31</v>
      </c>
      <c r="CC5" s="421" t="s">
        <v>32</v>
      </c>
      <c r="CD5" s="421" t="s">
        <v>33</v>
      </c>
      <c r="CH5" s="46"/>
      <c r="CI5" s="47"/>
    </row>
    <row r="6" spans="1:87" s="45" customFormat="1">
      <c r="A6" s="400"/>
      <c r="B6" s="400"/>
      <c r="C6" s="400"/>
      <c r="D6" s="400"/>
      <c r="E6" s="400"/>
      <c r="F6" s="400"/>
      <c r="G6" s="400"/>
      <c r="H6" s="400"/>
      <c r="I6" s="400"/>
      <c r="J6" s="400"/>
      <c r="K6" s="414" t="s">
        <v>34</v>
      </c>
      <c r="L6" s="414" t="s">
        <v>35</v>
      </c>
      <c r="M6" s="414" t="s">
        <v>36</v>
      </c>
      <c r="N6" s="414" t="s">
        <v>37</v>
      </c>
      <c r="O6" s="414" t="s">
        <v>38</v>
      </c>
      <c r="P6" s="414" t="s">
        <v>39</v>
      </c>
      <c r="Q6" s="414" t="s">
        <v>40</v>
      </c>
      <c r="R6" s="414" t="s">
        <v>41</v>
      </c>
      <c r="S6" s="414" t="s">
        <v>42</v>
      </c>
      <c r="T6" s="414" t="s">
        <v>43</v>
      </c>
      <c r="U6" s="414" t="s">
        <v>44</v>
      </c>
      <c r="V6" s="415" t="s">
        <v>45</v>
      </c>
      <c r="W6" s="416"/>
      <c r="X6" s="414" t="s">
        <v>46</v>
      </c>
      <c r="Y6" s="406" t="s">
        <v>47</v>
      </c>
      <c r="Z6" s="406" t="s">
        <v>48</v>
      </c>
      <c r="AA6" s="406" t="s">
        <v>49</v>
      </c>
      <c r="AB6" s="406" t="s">
        <v>50</v>
      </c>
      <c r="AC6" s="334" t="s">
        <v>51</v>
      </c>
      <c r="AD6" s="334" t="s">
        <v>144</v>
      </c>
      <c r="AE6" s="334" t="s">
        <v>53</v>
      </c>
      <c r="AF6" s="334" t="s">
        <v>54</v>
      </c>
      <c r="AG6" s="406" t="s">
        <v>55</v>
      </c>
      <c r="AH6" s="334" t="s">
        <v>56</v>
      </c>
      <c r="AI6" s="334" t="s">
        <v>57</v>
      </c>
      <c r="AJ6" s="406" t="s">
        <v>58</v>
      </c>
      <c r="AK6" s="408" t="s">
        <v>59</v>
      </c>
      <c r="AL6" s="406" t="s">
        <v>60</v>
      </c>
      <c r="AM6" s="406" t="s">
        <v>61</v>
      </c>
      <c r="AN6" s="412" t="s">
        <v>62</v>
      </c>
      <c r="AO6" s="406" t="s">
        <v>63</v>
      </c>
      <c r="AP6" s="400"/>
      <c r="AQ6" s="400"/>
      <c r="AR6" s="400"/>
      <c r="AS6" s="400"/>
      <c r="AT6" s="400"/>
      <c r="AU6" s="400"/>
      <c r="AV6" s="400"/>
      <c r="AW6" s="400"/>
      <c r="AX6" s="400"/>
      <c r="AY6" s="402" t="s">
        <v>25</v>
      </c>
      <c r="AZ6" s="403"/>
      <c r="BA6" s="403"/>
      <c r="BB6" s="403"/>
      <c r="BC6" s="403"/>
      <c r="BD6" s="403"/>
      <c r="BE6" s="403"/>
      <c r="BF6" s="403"/>
      <c r="BG6" s="403"/>
      <c r="BH6" s="403"/>
      <c r="BI6" s="403"/>
      <c r="BJ6" s="404"/>
      <c r="BK6" s="402" t="s">
        <v>64</v>
      </c>
      <c r="BL6" s="403"/>
      <c r="BM6" s="403"/>
      <c r="BN6" s="403"/>
      <c r="BO6" s="403"/>
      <c r="BP6" s="404"/>
      <c r="BQ6" s="399" t="s">
        <v>65</v>
      </c>
      <c r="BR6" s="399" t="s">
        <v>66</v>
      </c>
      <c r="BS6" s="400"/>
      <c r="BT6" s="400"/>
      <c r="BU6" s="409"/>
      <c r="BW6" s="427"/>
      <c r="BX6" s="409"/>
      <c r="BY6" s="426"/>
      <c r="BZ6" s="426"/>
      <c r="CA6" s="427"/>
      <c r="CB6" s="400"/>
      <c r="CC6" s="400"/>
      <c r="CD6" s="400"/>
      <c r="CH6" s="46"/>
      <c r="CI6" s="47"/>
    </row>
    <row r="7" spans="1:87" s="45" customFormat="1" ht="12">
      <c r="A7" s="400"/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10"/>
      <c r="W7" s="417"/>
      <c r="X7" s="400"/>
      <c r="Y7" s="400"/>
      <c r="Z7" s="400"/>
      <c r="AA7" s="400"/>
      <c r="AB7" s="400"/>
      <c r="AC7" s="400"/>
      <c r="AD7" s="400"/>
      <c r="AE7" s="400"/>
      <c r="AF7" s="400"/>
      <c r="AG7" s="400"/>
      <c r="AH7" s="400"/>
      <c r="AI7" s="400"/>
      <c r="AJ7" s="400"/>
      <c r="AK7" s="409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29" t="s">
        <v>67</v>
      </c>
      <c r="AZ7" s="29" t="s">
        <v>68</v>
      </c>
      <c r="BA7" s="29" t="s">
        <v>69</v>
      </c>
      <c r="BB7" s="402" t="s">
        <v>70</v>
      </c>
      <c r="BC7" s="405" t="s">
        <v>71</v>
      </c>
      <c r="BD7" s="405" t="s">
        <v>72</v>
      </c>
      <c r="BE7" s="405" t="s">
        <v>145</v>
      </c>
      <c r="BF7" s="405" t="s">
        <v>74</v>
      </c>
      <c r="BG7" s="405" t="s">
        <v>75</v>
      </c>
      <c r="BH7" s="405" t="s">
        <v>76</v>
      </c>
      <c r="BI7" s="405" t="s">
        <v>79</v>
      </c>
      <c r="BJ7" s="433" t="s">
        <v>80</v>
      </c>
      <c r="BK7" s="405" t="s">
        <v>81</v>
      </c>
      <c r="BL7" s="402" t="s">
        <v>82</v>
      </c>
      <c r="BM7" s="405" t="s">
        <v>83</v>
      </c>
      <c r="BN7" s="402" t="s">
        <v>84</v>
      </c>
      <c r="BO7" s="402" t="s">
        <v>146</v>
      </c>
      <c r="BP7" s="402" t="s">
        <v>85</v>
      </c>
      <c r="BQ7" s="400"/>
      <c r="BR7" s="400"/>
      <c r="BS7" s="400"/>
      <c r="BT7" s="400"/>
      <c r="BU7" s="409"/>
      <c r="BW7" s="427"/>
      <c r="BX7" s="428"/>
      <c r="BY7" s="429"/>
      <c r="BZ7" s="429"/>
      <c r="CA7" s="430"/>
      <c r="CB7" s="400"/>
      <c r="CC7" s="400"/>
      <c r="CD7" s="400"/>
      <c r="CH7" s="46"/>
      <c r="CI7" s="47"/>
    </row>
    <row r="8" spans="1:87" s="45" customFormat="1" ht="22.5" customHeight="1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9" t="s">
        <v>86</v>
      </c>
      <c r="W8" s="49" t="s">
        <v>87</v>
      </c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10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  <c r="AX8" s="401"/>
      <c r="AY8" s="30" t="s">
        <v>88</v>
      </c>
      <c r="AZ8" s="30" t="s">
        <v>89</v>
      </c>
      <c r="BA8" s="30" t="s">
        <v>90</v>
      </c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1"/>
      <c r="BR8" s="401"/>
      <c r="BS8" s="401"/>
      <c r="BT8" s="401"/>
      <c r="BU8" s="410"/>
      <c r="BW8" s="430"/>
      <c r="BX8" s="23" t="s">
        <v>91</v>
      </c>
      <c r="BY8" s="23" t="s">
        <v>92</v>
      </c>
      <c r="BZ8" s="23" t="s">
        <v>93</v>
      </c>
      <c r="CA8" s="24" t="s">
        <v>94</v>
      </c>
      <c r="CB8" s="422"/>
      <c r="CC8" s="422"/>
      <c r="CD8" s="422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AU5:AU8"/>
    <mergeCell ref="AK6:AK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Q6:Q8"/>
    <mergeCell ref="AC6:AC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AR5:AR8"/>
    <mergeCell ref="AA6:AA8"/>
    <mergeCell ref="P6:P8"/>
    <mergeCell ref="BB7:BB8"/>
    <mergeCell ref="BD7:BD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F7:BF8"/>
    <mergeCell ref="BH7:BH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2026-01-11T21:13:00Z</dcterms:modified>
</cp:coreProperties>
</file>