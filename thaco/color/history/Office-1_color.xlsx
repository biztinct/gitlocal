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B7A7122D-3AFD-9344-9AC0-60602980523D}" xr6:coauthVersionLast="47" xr6:coauthVersionMax="47" xr10:uidLastSave="{00000000-0000-0000-0000-000000000000}"/>
  <bookViews>
    <workbookView xWindow="500" yWindow="500" windowWidth="38100" windowHeight="208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5" i="1" l="1"/>
  <c r="BF16" i="1"/>
  <c r="BF17" i="1"/>
  <c r="BF18" i="1"/>
  <c r="BF19" i="1"/>
  <c r="BF20" i="1"/>
  <c r="BF21" i="1"/>
  <c r="BF15" i="1"/>
  <c r="AX15" i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BA21" i="1" s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A19" i="1"/>
  <c r="CA18" i="1"/>
  <c r="CB18" i="1" s="1"/>
  <c r="BE18" i="1"/>
  <c r="AZ18" i="1"/>
  <c r="AX18" i="1"/>
  <c r="BA18" i="1" s="1"/>
  <c r="AM18" i="1"/>
  <c r="AK18" i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BE14" i="1" s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G14" i="1" s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I17" i="1" l="1"/>
  <c r="AH17" i="1"/>
  <c r="AY21" i="1"/>
  <c r="AZ21" i="1"/>
  <c r="AN16" i="1"/>
  <c r="AN14" i="1" s="1"/>
  <c r="AK14" i="1"/>
  <c r="AZ16" i="1"/>
  <c r="AI14" i="1"/>
  <c r="AN19" i="1"/>
  <c r="AV19" i="1" s="1"/>
  <c r="AZ19" i="1"/>
  <c r="AY18" i="1"/>
  <c r="BB18" i="1" s="1"/>
  <c r="BA19" i="1"/>
  <c r="AY17" i="1"/>
  <c r="I21" i="1"/>
  <c r="AO21" i="1" s="1"/>
  <c r="AV21" i="1" s="1"/>
  <c r="BA17" i="1"/>
  <c r="AF19" i="1"/>
  <c r="AO19" i="1" s="1"/>
  <c r="AV19" i="3"/>
  <c r="I18" i="1"/>
  <c r="AO18" i="1" s="1"/>
  <c r="AV18" i="1" s="1"/>
  <c r="AH18" i="1"/>
  <c r="I13" i="4"/>
  <c r="AH13" i="4"/>
  <c r="BG21" i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BB17" i="1" s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Z14" i="1" l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9" i="1"/>
  <c r="BK19" i="1" s="1"/>
  <c r="BL19" i="1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4" i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<sst xmlns="http://schemas.openxmlformats.org/spreadsheetml/2006/main" count="713" uniqueCount="162">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</sst>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34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3" borderId="1" xfId="0" applyFont="1" applyFill="1" applyBorder="1" applyAlignment="1">
      <alignment horizontal="center" vertical="center" wrapText="1"/>
    </xf>
    <xf numFmtId="9" fontId="22" fillId="3" borderId="12" xfId="2" applyFont="1" applyFill="1" applyBorder="1" applyAlignment="1">
      <alignment horizontal="center" vertical="center" wrapText="1"/>
    </xf>
    <xf numFmtId="164" fontId="22" fillId="3" borderId="12" xfId="1" applyNumberFormat="1" applyFont="1" applyFill="1" applyBorder="1" applyAlignment="1">
      <alignment horizontal="center" vertical="center" wrapText="1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9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49" fontId="70" fillId="0" borderId="1" xfId="1" applyNumberFormat="1" applyFont="1" applyBorder="1" applyAlignment="1">
      <alignment horizontal="center" vertical="center" wrapText="1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71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164" fontId="42" fillId="3" borderId="1" xfId="1" applyNumberFormat="1" applyFont="1" applyFill="1" applyBorder="1" applyAlignment="1">
      <alignment horizontal="center" vertical="center" wrapText="1"/>
    </xf>
    <xf numFmtId="0" fontId="57" fillId="3" borderId="9" xfId="0" applyFont="1" applyFill="1" applyBorder="1"/>
    <xf numFmtId="0" fontId="57" fillId="3" borderId="17" xfId="0" applyFont="1" applyFill="1" applyBorder="1"/>
    <xf numFmtId="164" fontId="22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164" fontId="28" fillId="3" borderId="1" xfId="1" applyNumberFormat="1" applyFont="1" applyFill="1" applyBorder="1" applyAlignment="1">
      <alignment horizontal="center" vertical="center" wrapText="1"/>
    </xf>
    <xf numFmtId="165" fontId="20" fillId="3" borderId="7" xfId="1" applyFont="1" applyFill="1" applyBorder="1" applyAlignment="1">
      <alignment horizontal="center" vertical="center" wrapText="1"/>
    </xf>
    <xf numFmtId="0" fontId="57" fillId="3" borderId="18" xfId="0" applyFont="1" applyFill="1" applyBorder="1"/>
    <xf numFmtId="164" fontId="22" fillId="3" borderId="4" xfId="1" applyNumberFormat="1" applyFont="1" applyFill="1" applyBorder="1" applyAlignment="1">
      <alignment horizontal="center" vertical="center" wrapText="1"/>
    </xf>
    <xf numFmtId="0" fontId="72" fillId="3" borderId="10" xfId="0" applyFont="1" applyFill="1" applyBorder="1"/>
    <xf numFmtId="0" fontId="72" fillId="3" borderId="19" xfId="0" applyFont="1" applyFill="1" applyBorder="1"/>
    <xf numFmtId="164" fontId="20" fillId="3" borderId="1" xfId="1" applyNumberFormat="1" applyFont="1" applyFill="1" applyBorder="1" applyAlignment="1">
      <alignment horizontal="center" vertical="center" wrapText="1"/>
    </xf>
    <xf numFmtId="164" fontId="20" fillId="0" borderId="3" xfId="1" applyNumberFormat="1" applyFont="1" applyBorder="1" applyAlignment="1">
      <alignment horizontal="center" vertical="center" wrapText="1"/>
    </xf>
    <xf numFmtId="0" fontId="57" fillId="0" borderId="2" xfId="0" applyFont="1" applyBorder="1"/>
    <xf numFmtId="165" fontId="22" fillId="3" borderId="7" xfId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20" fillId="0" borderId="1" xfId="1" applyNumberFormat="1" applyFont="1" applyBorder="1" applyAlignment="1">
      <alignment horizontal="center" vertical="center" wrapText="1"/>
    </xf>
    <xf numFmtId="0" fontId="57" fillId="0" borderId="5" xfId="0" applyFont="1" applyBorder="1"/>
    <xf numFmtId="0" fontId="57" fillId="0" borderId="6" xfId="0" applyFont="1" applyBorder="1"/>
    <xf numFmtId="165" fontId="68" fillId="3" borderId="1" xfId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 wrapText="1"/>
    </xf>
    <xf numFmtId="164" fontId="20" fillId="3" borderId="17" xfId="1" applyNumberFormat="1" applyFont="1" applyFill="1" applyBorder="1" applyAlignment="1">
      <alignment horizontal="center" vertical="center" wrapText="1"/>
    </xf>
    <xf numFmtId="0" fontId="20" fillId="3" borderId="1" xfId="1" applyNumberFormat="1" applyFont="1" applyFill="1" applyBorder="1" applyAlignment="1">
      <alignment horizontal="center" vertical="center" wrapText="1"/>
    </xf>
    <xf numFmtId="43" fontId="65" fillId="0" borderId="1" xfId="5" applyFont="1" applyBorder="1" applyAlignment="1">
      <alignment horizontal="center" vertical="center" wrapText="1"/>
    </xf>
    <xf numFmtId="0" fontId="57" fillId="0" borderId="19" xfId="0" applyFont="1" applyBorder="1"/>
    <xf numFmtId="0" fontId="57" fillId="0" borderId="16" xfId="0" applyFont="1" applyBorder="1"/>
    <xf numFmtId="0" fontId="22" fillId="3" borderId="1" xfId="1" applyNumberFormat="1" applyFont="1" applyFill="1" applyBorder="1" applyAlignment="1">
      <alignment horizontal="center" vertical="center" wrapText="1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4" fontId="27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165" fontId="42" fillId="7" borderId="4" xfId="1" applyFont="1" applyFill="1" applyBorder="1" applyAlignment="1">
      <alignment horizontal="center" vertical="center" wrapText="1"/>
    </xf>
    <xf numFmtId="0" fontId="57" fillId="7" borderId="5" xfId="0" applyFont="1" applyFill="1" applyBorder="1"/>
    <xf numFmtId="164" fontId="20" fillId="7" borderId="1" xfId="1" applyNumberFormat="1" applyFont="1" applyFill="1" applyBorder="1" applyAlignment="1">
      <alignment horizontal="center" vertical="center" wrapText="1"/>
    </xf>
    <xf numFmtId="0" fontId="57" fillId="7" borderId="6" xfId="0" applyFont="1" applyFill="1" applyBorder="1"/>
    <xf numFmtId="164" fontId="42" fillId="7" borderId="1" xfId="1" applyNumberFormat="1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/>
    </xf>
    <xf numFmtId="9" fontId="20" fillId="7" borderId="7" xfId="2" applyFont="1" applyFill="1" applyBorder="1" applyAlignment="1">
      <alignment horizontal="center" vertical="center"/>
    </xf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65" fillId="7" borderId="0" xfId="0" applyFont="1" applyFill="1" applyAlignment="1">
      <alignment horizontal="center" vertical="center"/>
    </xf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164" fontId="22" fillId="3" borderId="20" xfId="1" applyNumberFormat="1" applyFont="1" applyFill="1" applyBorder="1" applyAlignment="1">
      <alignment horizontal="center" vertical="center"/>
    </xf>
    <xf numFmtId="0" fontId="72" fillId="3" borderId="11" xfId="0" applyFont="1" applyFill="1" applyBorder="1"/>
    <xf numFmtId="0" fontId="72" fillId="3" borderId="15" xfId="0" applyFont="1" applyFill="1" applyBorder="1"/>
    <xf numFmtId="165" fontId="8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8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8" fillId="2" borderId="7" xfId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4" fontId="22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2" fillId="2" borderId="1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BP6" zoomScale="130" zoomScaleNormal="130" zoomScaleSheetLayoutView="70" workbookViewId="0">
      <selection activeCell="BU17" sqref="BU17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15.83203125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4" t="s">
        <v>0</v>
      </c>
      <c r="B1" s="285"/>
      <c r="C1" s="286"/>
      <c r="D1" s="287"/>
      <c r="E1" s="287"/>
      <c r="F1" s="287"/>
      <c r="I1" s="288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1"/>
      <c r="BE1" s="290"/>
      <c r="BF1" s="291"/>
      <c r="BG1" s="290"/>
      <c r="BH1" s="290"/>
      <c r="BI1" s="290"/>
      <c r="BJ1" s="290"/>
      <c r="BK1" s="290"/>
      <c r="BL1" s="290"/>
      <c r="BM1" s="290"/>
      <c r="BN1" s="290"/>
      <c r="BO1" s="290"/>
      <c r="BP1" s="292"/>
      <c r="BQ1" s="290"/>
      <c r="BR1" s="290"/>
      <c r="BS1" s="290"/>
      <c r="BU1" s="290"/>
      <c r="BV1" s="290"/>
      <c r="BW1" s="293"/>
      <c r="BX1" s="293"/>
      <c r="BY1" s="293"/>
      <c r="BZ1" s="293"/>
      <c r="CA1" s="293"/>
      <c r="CB1" s="294"/>
      <c r="CC1" s="294"/>
      <c r="CD1" s="294"/>
    </row>
    <row r="2" spans="1:87" s="240" customFormat="1" ht="19.25" customHeight="1" outlineLevel="1">
      <c r="A2" s="295" t="s">
        <v>1</v>
      </c>
      <c r="B2" s="285"/>
      <c r="C2" s="296"/>
      <c r="D2" s="287"/>
      <c r="E2" s="287"/>
      <c r="F2" s="287"/>
      <c r="I2" s="288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1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7"/>
      <c r="BX2" s="297"/>
      <c r="BY2" s="297"/>
      <c r="BZ2" s="297"/>
      <c r="CA2" s="297"/>
      <c r="CB2" s="296"/>
      <c r="CC2" s="296"/>
      <c r="CD2" s="296"/>
    </row>
    <row r="3" spans="1:87" s="14" customFormat="1" ht="24" customHeight="1" outlineLevel="1">
      <c r="A3" s="361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298"/>
      <c r="BW3" s="359" t="s">
        <v>2</v>
      </c>
      <c r="BX3" s="360"/>
      <c r="BY3" s="360"/>
      <c r="BZ3" s="360"/>
      <c r="CA3" s="360"/>
      <c r="CB3" s="360"/>
      <c r="CC3" s="300"/>
      <c r="CD3" s="300"/>
    </row>
    <row r="4" spans="1:87" s="14" customFormat="1" ht="21.5" customHeight="1" outlineLevel="1">
      <c r="A4" s="301"/>
      <c r="B4" s="301"/>
      <c r="C4" s="301"/>
      <c r="D4" s="301"/>
      <c r="E4" s="301"/>
      <c r="F4" s="301"/>
      <c r="G4" s="301"/>
      <c r="H4" s="301"/>
      <c r="I4" s="288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01"/>
      <c r="BE4" s="301"/>
      <c r="BF4" s="301"/>
      <c r="BG4" s="301"/>
      <c r="BH4" s="301"/>
      <c r="BI4" s="301"/>
      <c r="BJ4" s="301"/>
      <c r="BK4" s="301"/>
      <c r="BL4" s="301"/>
      <c r="BM4" s="301"/>
      <c r="BN4" s="301"/>
      <c r="BO4" s="301"/>
      <c r="BP4" s="301"/>
      <c r="BQ4" s="301"/>
      <c r="BR4" s="301"/>
      <c r="BS4" s="301"/>
      <c r="BT4" s="301"/>
      <c r="BU4" s="301"/>
      <c r="BV4" s="301"/>
      <c r="BW4" s="360"/>
      <c r="BX4" s="360"/>
      <c r="BY4" s="360"/>
      <c r="BZ4" s="360"/>
      <c r="CA4" s="360"/>
      <c r="CB4" s="360"/>
      <c r="CC4" s="300"/>
      <c r="CD4" s="300"/>
    </row>
    <row r="5" spans="1:87" s="14" customFormat="1" ht="20.25" customHeight="1" outlineLevel="1">
      <c r="A5" s="301"/>
      <c r="B5" s="301"/>
      <c r="C5" s="301"/>
      <c r="D5" s="301"/>
      <c r="E5" s="301"/>
      <c r="F5" s="301"/>
      <c r="G5" s="301"/>
      <c r="H5" s="301"/>
      <c r="I5" s="288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301"/>
      <c r="BJ5" s="301"/>
      <c r="BK5" s="301"/>
      <c r="BL5" s="301"/>
      <c r="BM5" s="301"/>
      <c r="BN5" s="301"/>
      <c r="BO5" s="301"/>
      <c r="BP5" s="301"/>
      <c r="BQ5" s="301"/>
      <c r="BR5" s="301"/>
      <c r="BS5" s="301"/>
      <c r="BT5" s="301"/>
      <c r="BU5" s="301"/>
      <c r="BV5" s="301"/>
      <c r="BW5" s="360"/>
      <c r="BX5" s="360"/>
      <c r="BY5" s="360"/>
      <c r="BZ5" s="360"/>
      <c r="CA5" s="360"/>
      <c r="CB5" s="360"/>
      <c r="CC5" s="300"/>
      <c r="CD5" s="300"/>
    </row>
    <row r="6" spans="1:87" s="14" customFormat="1" ht="34" customHeight="1" outlineLevel="1">
      <c r="A6" s="303"/>
      <c r="D6" s="303"/>
      <c r="E6" s="303"/>
      <c r="F6" s="303"/>
      <c r="G6" s="303"/>
      <c r="H6" s="303"/>
      <c r="I6" s="288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5"/>
      <c r="Z6" s="305"/>
      <c r="AA6" s="305"/>
      <c r="AB6" s="305"/>
      <c r="AC6" s="301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60"/>
      <c r="BX6" s="360"/>
      <c r="BY6" s="360"/>
      <c r="BZ6" s="360"/>
      <c r="CA6" s="360"/>
      <c r="CB6" s="360"/>
      <c r="CC6" s="300"/>
      <c r="CD6" s="300"/>
    </row>
    <row r="7" spans="1:87" s="323" customFormat="1" ht="31" outlineLevel="1">
      <c r="B7" s="303" t="s">
        <v>155</v>
      </c>
      <c r="C7" s="303" t="s">
        <v>155</v>
      </c>
      <c r="D7" s="324"/>
      <c r="E7" s="324" t="s">
        <v>156</v>
      </c>
      <c r="F7" s="325"/>
      <c r="G7" s="324" t="s">
        <v>156</v>
      </c>
      <c r="H7" s="324"/>
      <c r="I7" s="326" t="s">
        <v>158</v>
      </c>
      <c r="J7" s="323" t="s">
        <v>157</v>
      </c>
      <c r="K7" s="327"/>
      <c r="L7" s="327"/>
      <c r="M7" s="327"/>
      <c r="N7" s="327"/>
      <c r="O7" s="327"/>
      <c r="Q7" s="327"/>
      <c r="R7" s="327"/>
      <c r="S7" s="327"/>
      <c r="T7" s="327"/>
      <c r="U7" s="328"/>
      <c r="V7" s="327"/>
      <c r="W7" s="327"/>
      <c r="X7" s="327"/>
      <c r="Y7" s="329" t="s">
        <v>158</v>
      </c>
      <c r="Z7" s="329" t="s">
        <v>158</v>
      </c>
      <c r="AA7" s="329" t="s">
        <v>158</v>
      </c>
      <c r="AB7" s="329"/>
      <c r="AC7" s="327" t="s">
        <v>158</v>
      </c>
      <c r="AD7" s="303" t="s">
        <v>158</v>
      </c>
      <c r="AE7" s="303" t="s">
        <v>158</v>
      </c>
      <c r="AF7" s="303"/>
      <c r="AG7" s="303"/>
      <c r="AH7" s="303" t="s">
        <v>158</v>
      </c>
      <c r="AI7" s="303" t="s">
        <v>158</v>
      </c>
      <c r="AJ7" s="303"/>
      <c r="AK7" s="303"/>
      <c r="AL7" s="303" t="s">
        <v>158</v>
      </c>
      <c r="AM7" s="303" t="s">
        <v>159</v>
      </c>
      <c r="AN7" s="303" t="s">
        <v>158</v>
      </c>
      <c r="AO7" s="303" t="s">
        <v>158</v>
      </c>
      <c r="AP7" s="303" t="s">
        <v>159</v>
      </c>
      <c r="AQ7" s="303"/>
      <c r="AR7" s="303" t="s">
        <v>159</v>
      </c>
      <c r="AS7" s="303" t="s">
        <v>159</v>
      </c>
      <c r="AT7" s="303" t="s">
        <v>156</v>
      </c>
      <c r="AU7" s="303" t="s">
        <v>159</v>
      </c>
      <c r="AY7" s="324"/>
      <c r="BA7" s="324"/>
      <c r="BB7" s="324" t="s">
        <v>160</v>
      </c>
      <c r="BE7" s="324"/>
      <c r="BF7" s="324"/>
      <c r="BG7" s="324"/>
      <c r="BH7" s="324"/>
      <c r="BI7" s="324" t="s">
        <v>160</v>
      </c>
      <c r="BJ7" s="324"/>
      <c r="BK7" s="324"/>
      <c r="BL7" s="323" t="s">
        <v>160</v>
      </c>
      <c r="BN7" s="324"/>
      <c r="BP7" s="324"/>
      <c r="BT7" s="324" t="s">
        <v>161</v>
      </c>
      <c r="BU7" s="323" t="s">
        <v>161</v>
      </c>
      <c r="BW7" s="299"/>
      <c r="BX7" s="299" t="s">
        <v>156</v>
      </c>
      <c r="BY7" s="299" t="s">
        <v>156</v>
      </c>
      <c r="BZ7" s="299"/>
      <c r="CA7" s="299" t="s">
        <v>156</v>
      </c>
      <c r="CB7" s="328"/>
      <c r="CC7" s="328"/>
      <c r="CD7" s="328"/>
      <c r="CE7" s="303" t="s">
        <v>155</v>
      </c>
    </row>
    <row r="8" spans="1:87" s="306" customFormat="1" ht="19.25" customHeight="1">
      <c r="A8" s="369" t="s">
        <v>4</v>
      </c>
      <c r="B8" s="363" t="s">
        <v>5</v>
      </c>
      <c r="C8" s="333" t="s">
        <v>6</v>
      </c>
      <c r="D8" s="351" t="s">
        <v>7</v>
      </c>
      <c r="E8" s="351" t="s">
        <v>8</v>
      </c>
      <c r="F8" s="333" t="s">
        <v>9</v>
      </c>
      <c r="G8" s="352" t="s">
        <v>10</v>
      </c>
      <c r="H8" s="330" t="s">
        <v>11</v>
      </c>
      <c r="I8" s="330" t="s">
        <v>12</v>
      </c>
      <c r="J8" s="330" t="s">
        <v>13</v>
      </c>
      <c r="K8" s="364" t="s">
        <v>14</v>
      </c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8" t="s">
        <v>15</v>
      </c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7"/>
      <c r="AP8" s="330" t="s">
        <v>16</v>
      </c>
      <c r="AQ8" s="330" t="s">
        <v>17</v>
      </c>
      <c r="AR8" s="330" t="s">
        <v>18</v>
      </c>
      <c r="AS8" s="330" t="s">
        <v>19</v>
      </c>
      <c r="AT8" s="330" t="s">
        <v>20</v>
      </c>
      <c r="AU8" s="330" t="s">
        <v>21</v>
      </c>
      <c r="AV8" s="333" t="s">
        <v>22</v>
      </c>
      <c r="AW8" s="342" t="s">
        <v>23</v>
      </c>
      <c r="AX8" s="342" t="s">
        <v>24</v>
      </c>
      <c r="AY8" s="366" t="s">
        <v>25</v>
      </c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7"/>
      <c r="BR8" s="343" t="s">
        <v>26</v>
      </c>
      <c r="BS8" s="344"/>
      <c r="BT8" s="333" t="s">
        <v>27</v>
      </c>
      <c r="BU8" s="339" t="s">
        <v>28</v>
      </c>
      <c r="BV8" s="22"/>
      <c r="BW8" s="379" t="s">
        <v>29</v>
      </c>
      <c r="BX8" s="370" t="s">
        <v>30</v>
      </c>
      <c r="BY8" s="371"/>
      <c r="BZ8" s="371"/>
      <c r="CA8" s="372"/>
      <c r="CB8" s="345" t="s">
        <v>31</v>
      </c>
      <c r="CC8" s="337" t="s">
        <v>32</v>
      </c>
      <c r="CD8" s="337" t="s">
        <v>33</v>
      </c>
      <c r="CH8" s="241"/>
      <c r="CI8" s="241"/>
    </row>
    <row r="9" spans="1:87" s="306" customFormat="1" ht="19.25" customHeight="1">
      <c r="A9" s="331"/>
      <c r="B9" s="334"/>
      <c r="C9" s="334"/>
      <c r="D9" s="334"/>
      <c r="E9" s="334"/>
      <c r="F9" s="334"/>
      <c r="G9" s="334"/>
      <c r="H9" s="331"/>
      <c r="I9" s="331"/>
      <c r="J9" s="331"/>
      <c r="K9" s="350" t="s">
        <v>34</v>
      </c>
      <c r="L9" s="350" t="s">
        <v>35</v>
      </c>
      <c r="M9" s="350" t="s">
        <v>36</v>
      </c>
      <c r="N9" s="350" t="s">
        <v>37</v>
      </c>
      <c r="O9" s="350" t="s">
        <v>38</v>
      </c>
      <c r="P9" s="350" t="s">
        <v>39</v>
      </c>
      <c r="Q9" s="350" t="s">
        <v>40</v>
      </c>
      <c r="R9" s="350" t="s">
        <v>41</v>
      </c>
      <c r="S9" s="350" t="s">
        <v>42</v>
      </c>
      <c r="T9" s="350" t="s">
        <v>43</v>
      </c>
      <c r="U9" s="350" t="s">
        <v>44</v>
      </c>
      <c r="V9" s="355" t="s">
        <v>45</v>
      </c>
      <c r="W9" s="344"/>
      <c r="X9" s="350" t="s">
        <v>46</v>
      </c>
      <c r="Y9" s="336" t="s">
        <v>154</v>
      </c>
      <c r="Z9" s="336" t="s">
        <v>48</v>
      </c>
      <c r="AA9" s="336" t="s">
        <v>49</v>
      </c>
      <c r="AB9" s="336" t="s">
        <v>50</v>
      </c>
      <c r="AC9" s="336" t="s">
        <v>51</v>
      </c>
      <c r="AD9" s="336" t="s">
        <v>52</v>
      </c>
      <c r="AE9" s="336" t="s">
        <v>53</v>
      </c>
      <c r="AF9" s="336" t="s">
        <v>54</v>
      </c>
      <c r="AG9" s="336" t="s">
        <v>55</v>
      </c>
      <c r="AH9" s="336" t="s">
        <v>56</v>
      </c>
      <c r="AI9" s="336" t="s">
        <v>57</v>
      </c>
      <c r="AJ9" s="336" t="s">
        <v>58</v>
      </c>
      <c r="AK9" s="339" t="s">
        <v>59</v>
      </c>
      <c r="AL9" s="333" t="s">
        <v>60</v>
      </c>
      <c r="AM9" s="336" t="s">
        <v>61</v>
      </c>
      <c r="AN9" s="333" t="s">
        <v>62</v>
      </c>
      <c r="AO9" s="333" t="s">
        <v>63</v>
      </c>
      <c r="AP9" s="331"/>
      <c r="AQ9" s="331"/>
      <c r="AR9" s="331"/>
      <c r="AS9" s="331"/>
      <c r="AT9" s="331"/>
      <c r="AU9" s="331"/>
      <c r="AV9" s="334"/>
      <c r="AW9" s="331"/>
      <c r="AX9" s="331"/>
      <c r="AY9" s="347" t="s">
        <v>25</v>
      </c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  <c r="BL9" s="349"/>
      <c r="BM9" s="347" t="s">
        <v>64</v>
      </c>
      <c r="BN9" s="348"/>
      <c r="BO9" s="348"/>
      <c r="BP9" s="348"/>
      <c r="BQ9" s="349"/>
      <c r="BR9" s="353" t="s">
        <v>65</v>
      </c>
      <c r="BS9" s="353" t="s">
        <v>66</v>
      </c>
      <c r="BT9" s="334"/>
      <c r="BU9" s="340"/>
      <c r="BV9" s="22"/>
      <c r="BW9" s="380"/>
      <c r="BX9" s="373"/>
      <c r="BY9" s="374"/>
      <c r="BZ9" s="374"/>
      <c r="CA9" s="375"/>
      <c r="CB9" s="334"/>
      <c r="CC9" s="331"/>
      <c r="CD9" s="331"/>
      <c r="CH9" s="241"/>
      <c r="CI9" s="241"/>
    </row>
    <row r="10" spans="1:87" s="307" customFormat="1" ht="19.25" customHeight="1">
      <c r="A10" s="331"/>
      <c r="B10" s="334"/>
      <c r="C10" s="334"/>
      <c r="D10" s="334"/>
      <c r="E10" s="334"/>
      <c r="F10" s="334"/>
      <c r="G10" s="334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56"/>
      <c r="W10" s="357"/>
      <c r="X10" s="331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  <c r="AI10" s="334"/>
      <c r="AJ10" s="334"/>
      <c r="AK10" s="340"/>
      <c r="AL10" s="334"/>
      <c r="AM10" s="334"/>
      <c r="AN10" s="334"/>
      <c r="AO10" s="334"/>
      <c r="AP10" s="331"/>
      <c r="AQ10" s="331"/>
      <c r="AR10" s="331"/>
      <c r="AS10" s="331"/>
      <c r="AT10" s="331"/>
      <c r="AU10" s="331"/>
      <c r="AV10" s="334"/>
      <c r="AW10" s="331"/>
      <c r="AX10" s="331"/>
      <c r="AY10" s="101" t="s">
        <v>67</v>
      </c>
      <c r="AZ10" s="101" t="s">
        <v>68</v>
      </c>
      <c r="BA10" s="101" t="s">
        <v>69</v>
      </c>
      <c r="BB10" s="362" t="s">
        <v>70</v>
      </c>
      <c r="BC10" s="354" t="s">
        <v>71</v>
      </c>
      <c r="BD10" s="354" t="s">
        <v>72</v>
      </c>
      <c r="BE10" s="358" t="s">
        <v>73</v>
      </c>
      <c r="BF10" s="358" t="s">
        <v>74</v>
      </c>
      <c r="BG10" s="354" t="s">
        <v>75</v>
      </c>
      <c r="BH10" s="354" t="s">
        <v>76</v>
      </c>
      <c r="BI10" s="358" t="s">
        <v>77</v>
      </c>
      <c r="BJ10" s="358" t="s">
        <v>78</v>
      </c>
      <c r="BK10" s="358" t="s">
        <v>79</v>
      </c>
      <c r="BL10" s="333" t="s">
        <v>80</v>
      </c>
      <c r="BM10" s="354" t="s">
        <v>81</v>
      </c>
      <c r="BN10" s="342" t="s">
        <v>82</v>
      </c>
      <c r="BO10" s="354" t="s">
        <v>83</v>
      </c>
      <c r="BP10" s="342" t="s">
        <v>84</v>
      </c>
      <c r="BQ10" s="342" t="s">
        <v>85</v>
      </c>
      <c r="BR10" s="331"/>
      <c r="BS10" s="331"/>
      <c r="BT10" s="334"/>
      <c r="BU10" s="340"/>
      <c r="BV10" s="22"/>
      <c r="BW10" s="380"/>
      <c r="BX10" s="376"/>
      <c r="BY10" s="377"/>
      <c r="BZ10" s="377"/>
      <c r="CA10" s="378"/>
      <c r="CB10" s="334"/>
      <c r="CC10" s="331"/>
      <c r="CD10" s="331"/>
      <c r="CE10" s="321" t="s">
        <v>3</v>
      </c>
      <c r="CH10" s="241"/>
      <c r="CI10" s="241"/>
    </row>
    <row r="11" spans="1:87" s="307" customFormat="1" ht="38.25" customHeight="1">
      <c r="A11" s="332"/>
      <c r="B11" s="335"/>
      <c r="C11" s="335"/>
      <c r="D11" s="335"/>
      <c r="E11" s="335"/>
      <c r="F11" s="335"/>
      <c r="G11" s="335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269" t="s">
        <v>86</v>
      </c>
      <c r="W11" s="269" t="s">
        <v>87</v>
      </c>
      <c r="X11" s="332"/>
      <c r="Y11" s="335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41"/>
      <c r="AL11" s="335"/>
      <c r="AM11" s="335"/>
      <c r="AN11" s="335"/>
      <c r="AO11" s="335"/>
      <c r="AP11" s="332"/>
      <c r="AQ11" s="332"/>
      <c r="AR11" s="332"/>
      <c r="AS11" s="332"/>
      <c r="AT11" s="332"/>
      <c r="AU11" s="332"/>
      <c r="AV11" s="335"/>
      <c r="AW11" s="332"/>
      <c r="AX11" s="332"/>
      <c r="AY11" s="322" t="s">
        <v>88</v>
      </c>
      <c r="AZ11" s="322" t="s">
        <v>89</v>
      </c>
      <c r="BA11" s="322" t="s">
        <v>90</v>
      </c>
      <c r="BB11" s="335"/>
      <c r="BC11" s="332"/>
      <c r="BD11" s="332"/>
      <c r="BE11" s="335"/>
      <c r="BF11" s="335"/>
      <c r="BG11" s="332"/>
      <c r="BH11" s="332"/>
      <c r="BI11" s="335"/>
      <c r="BJ11" s="335"/>
      <c r="BK11" s="335"/>
      <c r="BL11" s="335"/>
      <c r="BM11" s="332"/>
      <c r="BN11" s="332"/>
      <c r="BO11" s="332"/>
      <c r="BP11" s="332"/>
      <c r="BQ11" s="332"/>
      <c r="BR11" s="332"/>
      <c r="BS11" s="332"/>
      <c r="BT11" s="335"/>
      <c r="BU11" s="341"/>
      <c r="BV11" s="22"/>
      <c r="BW11" s="381"/>
      <c r="BX11" s="270" t="s">
        <v>91</v>
      </c>
      <c r="BY11" s="270" t="s">
        <v>92</v>
      </c>
      <c r="BZ11" s="270" t="s">
        <v>93</v>
      </c>
      <c r="CA11" s="271" t="s">
        <v>94</v>
      </c>
      <c r="CB11" s="346"/>
      <c r="CC11" s="338"/>
      <c r="CD11" s="338"/>
      <c r="CE11" s="320">
        <v>26</v>
      </c>
      <c r="CF11" s="308"/>
      <c r="CH11" s="241"/>
      <c r="CI11" s="241"/>
    </row>
    <row r="12" spans="1:87" s="313" customFormat="1" ht="15" customHeight="1">
      <c r="A12" s="309">
        <v>1</v>
      </c>
      <c r="B12" s="310">
        <f>A12+1</f>
        <v>2</v>
      </c>
      <c r="C12" s="310">
        <f>B12+1</f>
        <v>3</v>
      </c>
      <c r="D12" s="310">
        <f>C12+1</f>
        <v>4</v>
      </c>
      <c r="E12" s="310"/>
      <c r="F12" s="310">
        <f>D12+1</f>
        <v>5</v>
      </c>
      <c r="G12" s="310">
        <f t="shared" ref="G12:AV12" si="0">F12+1</f>
        <v>6</v>
      </c>
      <c r="H12" s="310">
        <f t="shared" si="0"/>
        <v>7</v>
      </c>
      <c r="I12" s="310">
        <f t="shared" si="0"/>
        <v>8</v>
      </c>
      <c r="J12" s="310">
        <f t="shared" si="0"/>
        <v>9</v>
      </c>
      <c r="K12" s="310">
        <f t="shared" si="0"/>
        <v>10</v>
      </c>
      <c r="L12" s="310">
        <f t="shared" si="0"/>
        <v>11</v>
      </c>
      <c r="M12" s="310">
        <f t="shared" si="0"/>
        <v>12</v>
      </c>
      <c r="N12" s="310">
        <f t="shared" si="0"/>
        <v>13</v>
      </c>
      <c r="O12" s="310">
        <f t="shared" si="0"/>
        <v>14</v>
      </c>
      <c r="P12" s="310">
        <f t="shared" si="0"/>
        <v>15</v>
      </c>
      <c r="Q12" s="310">
        <f t="shared" si="0"/>
        <v>16</v>
      </c>
      <c r="R12" s="310">
        <f t="shared" si="0"/>
        <v>17</v>
      </c>
      <c r="S12" s="310">
        <f t="shared" si="0"/>
        <v>18</v>
      </c>
      <c r="T12" s="310">
        <f t="shared" si="0"/>
        <v>19</v>
      </c>
      <c r="U12" s="310">
        <f t="shared" si="0"/>
        <v>20</v>
      </c>
      <c r="V12" s="310">
        <f t="shared" si="0"/>
        <v>21</v>
      </c>
      <c r="W12" s="310">
        <f t="shared" si="0"/>
        <v>22</v>
      </c>
      <c r="X12" s="310">
        <f t="shared" si="0"/>
        <v>23</v>
      </c>
      <c r="Y12" s="310">
        <f t="shared" si="0"/>
        <v>24</v>
      </c>
      <c r="Z12" s="310">
        <f t="shared" si="0"/>
        <v>25</v>
      </c>
      <c r="AA12" s="310">
        <f t="shared" si="0"/>
        <v>26</v>
      </c>
      <c r="AB12" s="310">
        <f t="shared" si="0"/>
        <v>27</v>
      </c>
      <c r="AC12" s="310">
        <f t="shared" si="0"/>
        <v>28</v>
      </c>
      <c r="AD12" s="310">
        <f t="shared" si="0"/>
        <v>29</v>
      </c>
      <c r="AE12" s="310">
        <f t="shared" si="0"/>
        <v>30</v>
      </c>
      <c r="AF12" s="310">
        <f t="shared" si="0"/>
        <v>31</v>
      </c>
      <c r="AG12" s="310">
        <f t="shared" si="0"/>
        <v>32</v>
      </c>
      <c r="AH12" s="310">
        <f t="shared" si="0"/>
        <v>33</v>
      </c>
      <c r="AI12" s="310">
        <f t="shared" si="0"/>
        <v>34</v>
      </c>
      <c r="AJ12" s="310">
        <f t="shared" si="0"/>
        <v>35</v>
      </c>
      <c r="AK12" s="310">
        <f t="shared" si="0"/>
        <v>36</v>
      </c>
      <c r="AL12" s="310">
        <f t="shared" si="0"/>
        <v>37</v>
      </c>
      <c r="AM12" s="310">
        <f t="shared" si="0"/>
        <v>38</v>
      </c>
      <c r="AN12" s="310">
        <f t="shared" si="0"/>
        <v>39</v>
      </c>
      <c r="AO12" s="310">
        <f t="shared" si="0"/>
        <v>40</v>
      </c>
      <c r="AP12" s="310">
        <f t="shared" si="0"/>
        <v>41</v>
      </c>
      <c r="AQ12" s="310">
        <f t="shared" si="0"/>
        <v>42</v>
      </c>
      <c r="AR12" s="310">
        <f t="shared" si="0"/>
        <v>43</v>
      </c>
      <c r="AS12" s="310">
        <f t="shared" si="0"/>
        <v>44</v>
      </c>
      <c r="AT12" s="310">
        <f t="shared" si="0"/>
        <v>45</v>
      </c>
      <c r="AU12" s="310">
        <f t="shared" si="0"/>
        <v>46</v>
      </c>
      <c r="AV12" s="310">
        <f t="shared" si="0"/>
        <v>47</v>
      </c>
      <c r="AW12" s="310"/>
      <c r="AX12" s="310"/>
      <c r="AY12" s="310">
        <f>AV12+1</f>
        <v>48</v>
      </c>
      <c r="AZ12" s="310">
        <f t="shared" ref="AZ12:BE12" si="1">AY12+1</f>
        <v>49</v>
      </c>
      <c r="BA12" s="310">
        <f t="shared" si="1"/>
        <v>50</v>
      </c>
      <c r="BB12" s="310">
        <f t="shared" si="1"/>
        <v>51</v>
      </c>
      <c r="BC12" s="310">
        <f t="shared" si="1"/>
        <v>52</v>
      </c>
      <c r="BD12" s="310">
        <f t="shared" si="1"/>
        <v>53</v>
      </c>
      <c r="BE12" s="310">
        <f t="shared" si="1"/>
        <v>54</v>
      </c>
      <c r="BF12" s="310"/>
      <c r="BG12" s="310"/>
      <c r="BH12" s="310"/>
      <c r="BI12" s="310"/>
      <c r="BJ12" s="310"/>
      <c r="BK12" s="310"/>
      <c r="BL12" s="310">
        <f>BE12+1</f>
        <v>55</v>
      </c>
      <c r="BM12" s="310">
        <f t="shared" ref="BM12:BU12" si="2">BL12+1</f>
        <v>56</v>
      </c>
      <c r="BN12" s="310">
        <f t="shared" si="2"/>
        <v>57</v>
      </c>
      <c r="BO12" s="310">
        <f t="shared" si="2"/>
        <v>58</v>
      </c>
      <c r="BP12" s="310">
        <f t="shared" si="2"/>
        <v>59</v>
      </c>
      <c r="BQ12" s="310">
        <f t="shared" si="2"/>
        <v>60</v>
      </c>
      <c r="BR12" s="310">
        <f t="shared" si="2"/>
        <v>61</v>
      </c>
      <c r="BS12" s="310">
        <f t="shared" si="2"/>
        <v>62</v>
      </c>
      <c r="BT12" s="310">
        <f t="shared" si="2"/>
        <v>63</v>
      </c>
      <c r="BU12" s="310">
        <f t="shared" si="2"/>
        <v>64</v>
      </c>
      <c r="BV12" s="311"/>
      <c r="BW12" s="312" t="s">
        <v>95</v>
      </c>
      <c r="BX12" s="310">
        <f t="shared" ref="BX12:CD12" si="3">BW12+1</f>
        <v>66</v>
      </c>
      <c r="BY12" s="310">
        <f t="shared" si="3"/>
        <v>67</v>
      </c>
      <c r="BZ12" s="310">
        <f t="shared" si="3"/>
        <v>68</v>
      </c>
      <c r="CA12" s="310">
        <f t="shared" si="3"/>
        <v>69</v>
      </c>
      <c r="CB12" s="310">
        <f t="shared" si="3"/>
        <v>70</v>
      </c>
      <c r="CC12" s="310">
        <f t="shared" si="3"/>
        <v>71</v>
      </c>
      <c r="CD12" s="310">
        <f t="shared" si="3"/>
        <v>72</v>
      </c>
      <c r="CG12" s="307"/>
      <c r="CH12" s="241"/>
      <c r="CI12" s="241"/>
    </row>
    <row r="13" spans="1:87" s="313" customFormat="1" ht="15" customHeight="1">
      <c r="A13" s="309" t="s">
        <v>96</v>
      </c>
      <c r="B13" s="309" t="s">
        <v>96</v>
      </c>
      <c r="C13" s="309" t="s">
        <v>96</v>
      </c>
      <c r="D13" s="310"/>
      <c r="E13" s="310"/>
      <c r="F13" s="310"/>
      <c r="G13" s="309" t="s">
        <v>96</v>
      </c>
      <c r="H13" s="309" t="s">
        <v>96</v>
      </c>
      <c r="I13" s="309" t="s">
        <v>96</v>
      </c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310"/>
      <c r="BJ13" s="310"/>
      <c r="BK13" s="310"/>
      <c r="BL13" s="310"/>
      <c r="BM13" s="310"/>
      <c r="BN13" s="310"/>
      <c r="BO13" s="310"/>
      <c r="BP13" s="310"/>
      <c r="BQ13" s="310"/>
      <c r="BR13" s="310"/>
      <c r="BS13" s="310"/>
      <c r="BT13" s="310"/>
      <c r="BU13" s="314"/>
      <c r="BV13" s="311"/>
      <c r="BW13" s="312"/>
      <c r="BX13" s="310"/>
      <c r="BY13" s="310"/>
      <c r="BZ13" s="310"/>
      <c r="CA13" s="310"/>
      <c r="CB13" s="310"/>
      <c r="CC13" s="310"/>
      <c r="CD13" s="310"/>
      <c r="CG13" s="307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50340000</v>
      </c>
      <c r="H14" s="94">
        <f>SUM(H15:H21)</f>
        <v>300000</v>
      </c>
      <c r="I14" s="94">
        <f>SUM(I15:I21)</f>
        <v>186060000</v>
      </c>
      <c r="J14" s="94"/>
      <c r="K14" s="315">
        <f t="shared" ref="K14:S14" si="4">SUM(K15:K21)</f>
        <v>166</v>
      </c>
      <c r="L14" s="315">
        <f t="shared" si="4"/>
        <v>8</v>
      </c>
      <c r="M14" s="315">
        <f t="shared" si="4"/>
        <v>2</v>
      </c>
      <c r="N14" s="315">
        <f t="shared" si="4"/>
        <v>2</v>
      </c>
      <c r="O14" s="315">
        <f t="shared" si="4"/>
        <v>0</v>
      </c>
      <c r="P14" s="315">
        <f t="shared" si="4"/>
        <v>5</v>
      </c>
      <c r="Q14" s="315">
        <f t="shared" si="4"/>
        <v>2</v>
      </c>
      <c r="R14" s="315">
        <f t="shared" si="4"/>
        <v>0</v>
      </c>
      <c r="S14" s="315">
        <f t="shared" si="4"/>
        <v>2</v>
      </c>
      <c r="T14" s="315"/>
      <c r="U14" s="315">
        <f>SUM(U15:U21)</f>
        <v>2</v>
      </c>
      <c r="V14" s="315">
        <f>SUM(V15:V21)</f>
        <v>0</v>
      </c>
      <c r="W14" s="315">
        <f>SUM(W15:W21)</f>
        <v>0</v>
      </c>
      <c r="X14" s="315">
        <f>SUM(X15:X21)</f>
        <v>0</v>
      </c>
      <c r="Y14" s="94">
        <f>SUM(Y15:Y21)</f>
        <v>48340000</v>
      </c>
      <c r="Z14" s="94"/>
      <c r="AA14" s="94"/>
      <c r="AB14" s="94"/>
      <c r="AC14" s="94">
        <f>SUM(AC15:AC21)</f>
        <v>1828846.1538461538</v>
      </c>
      <c r="AD14" s="94">
        <f>SUM(AD15:AD21)</f>
        <v>975384.61538461538</v>
      </c>
      <c r="AE14" s="94"/>
      <c r="AF14" s="94">
        <f t="shared" ref="AF14:AO14" si="5">SUM(AF15:AF21)</f>
        <v>111923.07692307692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300000</v>
      </c>
      <c r="AO14" s="94">
        <f t="shared" si="5"/>
        <v>185063076.92307696</v>
      </c>
      <c r="AP14" s="94"/>
      <c r="AQ14" s="94"/>
      <c r="AR14" s="94"/>
      <c r="AS14" s="94"/>
      <c r="AT14" s="94"/>
      <c r="AU14" s="94"/>
      <c r="AV14" s="94">
        <f>SUM(AV15:AV21)</f>
        <v>242266923.07692307</v>
      </c>
      <c r="AW14" s="94"/>
      <c r="AX14" s="94"/>
      <c r="AY14" s="94">
        <f>SUM(AY15:AY21)</f>
        <v>3544000</v>
      </c>
      <c r="AZ14" s="94">
        <f>SUM(AZ15:AZ21)</f>
        <v>664500</v>
      </c>
      <c r="BA14" s="94">
        <f>SUM(BA15:BA21)</f>
        <v>443000</v>
      </c>
      <c r="BB14" s="94">
        <f>SUM(BB15:BB21)</f>
        <v>4651500</v>
      </c>
      <c r="BC14" s="94">
        <f>SUM(BC15:BC21)</f>
        <v>0</v>
      </c>
      <c r="BD14" s="94"/>
      <c r="BE14" s="94">
        <f>SUM(BE15:BE21)</f>
        <v>503400</v>
      </c>
      <c r="BF14" s="94"/>
      <c r="BG14" s="94"/>
      <c r="BH14" s="94"/>
      <c r="BI14" s="94"/>
      <c r="BJ14" s="94"/>
      <c r="BK14" s="94"/>
      <c r="BL14" s="94">
        <f t="shared" ref="BL14:BQ14" si="6">SUM(BL15:BL21)</f>
        <v>10172184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>
        <f>SUM(BT15:BT21)</f>
        <v>92038615.384615406</v>
      </c>
      <c r="BU14" s="316">
        <f>SUM(BU15:BU21)</f>
        <v>134901223.69230768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72">
        <f>IF(B15=0,"",COUNTA($B$15:(B15)))</f>
        <v>1</v>
      </c>
      <c r="B15" s="273">
        <v>2405236</v>
      </c>
      <c r="C15" s="274" t="s">
        <v>97</v>
      </c>
      <c r="D15" s="275" t="s">
        <v>98</v>
      </c>
      <c r="E15" s="276" t="s">
        <v>99</v>
      </c>
      <c r="F15" s="276" t="s">
        <v>100</v>
      </c>
      <c r="G15" s="277">
        <v>9520000</v>
      </c>
      <c r="H15" s="277">
        <f t="shared" ref="H15:H21" si="7">+IF(OR(CC15="ĐT PCCC",CC15="ĐP PCCC"),780000,IF(CC15="AT-VSV",300000,0))</f>
        <v>0</v>
      </c>
      <c r="I15" s="277">
        <f t="shared" ref="I15:I21" si="8">CB15-BZ15-G15-H15</f>
        <v>53480000</v>
      </c>
      <c r="J15" s="278">
        <v>1</v>
      </c>
      <c r="K15" s="279">
        <v>26</v>
      </c>
      <c r="L15" s="279">
        <v>0</v>
      </c>
      <c r="M15" s="279">
        <v>0</v>
      </c>
      <c r="N15" s="279">
        <v>0</v>
      </c>
      <c r="O15" s="279">
        <v>0</v>
      </c>
      <c r="P15" s="279">
        <v>0</v>
      </c>
      <c r="Q15" s="279">
        <v>0</v>
      </c>
      <c r="R15" s="279">
        <v>0</v>
      </c>
      <c r="S15" s="279">
        <v>0</v>
      </c>
      <c r="T15" s="279"/>
      <c r="U15" s="279">
        <v>0</v>
      </c>
      <c r="V15" s="279">
        <v>0</v>
      </c>
      <c r="W15" s="279">
        <v>0</v>
      </c>
      <c r="X15" s="279">
        <v>0</v>
      </c>
      <c r="Y15" s="277">
        <f t="shared" ref="Y15:Y21" si="9">G15*(K15+L15)/26</f>
        <v>9520000</v>
      </c>
      <c r="Z15" s="277">
        <f t="shared" ref="Z15:Z21" si="10">M15*G15/26</f>
        <v>0</v>
      </c>
      <c r="AA15" s="277">
        <f t="shared" ref="AA15:AA21" si="11">G15*N15/26</f>
        <v>0</v>
      </c>
      <c r="AB15" s="277">
        <f t="shared" ref="AB15:AB21" si="12">G15*O15/26</f>
        <v>0</v>
      </c>
      <c r="AC15" s="277">
        <f t="shared" ref="AC15:AC21" si="13">G15*P15*150%/26</f>
        <v>0</v>
      </c>
      <c r="AD15" s="277">
        <f t="shared" ref="AD15:AD21" si="14">G15*Q15/26*200%</f>
        <v>0</v>
      </c>
      <c r="AE15" s="277">
        <f t="shared" ref="AE15:AE21" si="15">G15*R15/26*300%</f>
        <v>0</v>
      </c>
      <c r="AF15" s="277">
        <f>ROUND((G15+H15)/26*S15*30%,0)</f>
        <v>0</v>
      </c>
      <c r="AG15" s="277">
        <f t="shared" ref="AG15:AG21" si="16">T15*G15/26/8</f>
        <v>0</v>
      </c>
      <c r="AH15" s="277">
        <f t="shared" ref="AH15:AH21" si="17">CB15/26*U15</f>
        <v>0</v>
      </c>
      <c r="AI15" s="277">
        <f t="shared" ref="AI15:AI21" si="18">G15*V15/26</f>
        <v>0</v>
      </c>
      <c r="AJ15" s="277"/>
      <c r="AK15" s="277">
        <f t="shared" ref="AK15:AK21" si="19">BZ15*L15/26</f>
        <v>0</v>
      </c>
      <c r="AL15" s="277"/>
      <c r="AM15" s="277">
        <f t="shared" ref="AM15:AM21" si="20">X15*CD15</f>
        <v>0</v>
      </c>
      <c r="AN15" s="277">
        <f>H15/26*(K15+L15)</f>
        <v>0</v>
      </c>
      <c r="AO15" s="277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7"/>
      <c r="AQ15" s="277"/>
      <c r="AR15" s="277">
        <v>1000000</v>
      </c>
      <c r="AS15" s="277"/>
      <c r="AT15" s="277"/>
      <c r="AU15" s="277"/>
      <c r="AV15" s="277">
        <f t="shared" ref="AV15:AV21" si="22">Y15+Z15+AA15+AB15+AC15+AD15+AE15+AF15+AG15+AI15+AJ15+AK15+AL15+AM15+AN15+AO15+AP15-AQ15+AR15+AS15+AT15+AU15</f>
        <v>64000000</v>
      </c>
      <c r="AW15" s="277"/>
      <c r="AX15" s="277" t="str">
        <f t="shared" ref="AX15:AX21" si="23">IF(E15="CT","x",0)</f>
        <v>x</v>
      </c>
      <c r="AY15" s="280">
        <f t="shared" ref="AY15:BA21" si="24">ROUND(IF($AX15="x",($G15+$H15)*AY$11,0),0)</f>
        <v>761600</v>
      </c>
      <c r="AZ15" s="280">
        <f t="shared" si="24"/>
        <v>142800</v>
      </c>
      <c r="BA15" s="280">
        <f t="shared" si="24"/>
        <v>95200</v>
      </c>
      <c r="BB15" s="280">
        <f t="shared" ref="BB15:BB21" si="25">SUM(AY15:BA15)</f>
        <v>999600</v>
      </c>
      <c r="BC15" s="280"/>
      <c r="BD15" s="280"/>
      <c r="BE15" s="280">
        <f t="shared" ref="BE15:BE21" si="26">IF(G15*1%&gt;=234000,234000,G15*1%)</f>
        <v>95200</v>
      </c>
      <c r="BF15" s="280">
        <f>AM15+IF(E15="CT",IF(AR15&gt;=730000,730000,AR15),0)+IF(((AV15-AM15-IF(AR15&gt;=730000,730000,AR15)-AS15)*15%-AS15)&gt;0,((AV15-AM15-IF(AR15&gt;=730000,730000,AR15)-AS15)*15%-AS15),0)</f>
        <v>10220500</v>
      </c>
      <c r="BG15" s="280">
        <f t="shared" ref="BG15:BG21" si="27">AV15-BF15+AW15</f>
        <v>53779500</v>
      </c>
      <c r="BH15" s="280">
        <v>3</v>
      </c>
      <c r="BI15" s="280">
        <v>6200000</v>
      </c>
      <c r="BJ15" s="280">
        <f>IF(E15="CT",15500000,0)</f>
        <v>15500000</v>
      </c>
      <c r="BK15" s="280">
        <f t="shared" ref="BK15:BK21" si="28">BG15-BB15-BC15+BD15-BH15*BI15-BJ15</f>
        <v>18679900</v>
      </c>
      <c r="BL15" s="281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280"/>
      <c r="BN15" s="280"/>
      <c r="BO15" s="280">
        <v>0</v>
      </c>
      <c r="BP15" s="280"/>
      <c r="BQ15" s="280"/>
      <c r="BR15" s="280"/>
      <c r="BS15" s="280"/>
      <c r="BT15" s="263">
        <v>25846153.846153852</v>
      </c>
      <c r="BU15" s="282">
        <f>AV15-BB15-BC15+BD15-BE15-BL15-BM15-BN15-BO15-BP15-BQ15-BR15+BS15-BT15</f>
        <v>34973066.153846145</v>
      </c>
      <c r="BV15" s="252"/>
      <c r="BW15" s="283">
        <v>60000000</v>
      </c>
      <c r="BX15" s="281">
        <v>0</v>
      </c>
      <c r="BY15" s="281"/>
      <c r="BZ15" s="281">
        <v>200000</v>
      </c>
      <c r="CA15" s="281">
        <f t="shared" ref="CA15:CA21" si="30">+BW15*5%</f>
        <v>3000000</v>
      </c>
      <c r="CB15" s="281">
        <f t="shared" ref="CB15:CB21" si="31">SUM(BW15:CA15)</f>
        <v>63200000</v>
      </c>
      <c r="CC15" s="281"/>
      <c r="CD15" s="281"/>
      <c r="CE15" s="253"/>
      <c r="CF15" s="254"/>
      <c r="CG15" s="254"/>
      <c r="CH15" s="255"/>
      <c r="CI15" s="255"/>
    </row>
    <row r="16" spans="1:87" s="256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2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250">
        <f t="shared" ref="BF16:BF21" si="33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80">
        <v>6200000</v>
      </c>
      <c r="BJ16" s="250">
        <f t="shared" ref="BJ16:BJ21" si="34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>
        <v>0</v>
      </c>
      <c r="BU16" s="251">
        <f t="shared" ref="BU15:BU21" si="35">AV16-BB16-BC16+BD16-BE16-BL16-BM16-BN16-BO16-BP16-BQ16-BR16+BS16-BT16</f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0"/>
        <v>2000000</v>
      </c>
      <c r="CB16" s="243">
        <f t="shared" si="31"/>
        <v>52200000</v>
      </c>
      <c r="CC16" s="243"/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f>IF(B17=0,"",COUNTA($B$15:(B17)))</f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0</v>
      </c>
      <c r="I17" s="94">
        <f t="shared" si="8"/>
        <v>34180000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2"/>
        <v>0</v>
      </c>
      <c r="AO17" s="94">
        <f t="shared" si="21"/>
        <v>34796923.07692308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625600</v>
      </c>
      <c r="AZ17" s="250">
        <f t="shared" si="24"/>
        <v>117300</v>
      </c>
      <c r="BA17" s="250">
        <f t="shared" si="24"/>
        <v>78200</v>
      </c>
      <c r="BB17" s="250">
        <f t="shared" si="25"/>
        <v>821100</v>
      </c>
      <c r="BC17" s="250"/>
      <c r="BD17" s="250"/>
      <c r="BE17" s="250">
        <f t="shared" si="26"/>
        <v>78200</v>
      </c>
      <c r="BF17" s="250">
        <f t="shared" si="33"/>
        <v>6862307.692307692</v>
      </c>
      <c r="BG17" s="250">
        <f t="shared" si="27"/>
        <v>35713076.923076928</v>
      </c>
      <c r="BH17" s="250"/>
      <c r="BI17" s="280">
        <v>6200000</v>
      </c>
      <c r="BJ17" s="250">
        <f t="shared" si="34"/>
        <v>15500000</v>
      </c>
      <c r="BK17" s="250">
        <f t="shared" si="28"/>
        <v>19391976.923076928</v>
      </c>
      <c r="BL17" s="243">
        <f t="shared" si="29"/>
        <v>2228395</v>
      </c>
      <c r="BM17" s="250"/>
      <c r="BN17" s="250"/>
      <c r="BO17" s="250">
        <v>0</v>
      </c>
      <c r="BP17" s="250"/>
      <c r="BQ17" s="250"/>
      <c r="BR17" s="250"/>
      <c r="BS17" s="250"/>
      <c r="BT17" s="263">
        <v>25846153.846153852</v>
      </c>
      <c r="BU17" s="251">
        <f t="shared" si="35"/>
        <v>13601535.769230764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0"/>
        <v>2000000</v>
      </c>
      <c r="CB17" s="243">
        <f t="shared" si="31"/>
        <v>42200000</v>
      </c>
      <c r="CC17" s="243"/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2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250">
        <f t="shared" si="33"/>
        <v>4645961.538461538</v>
      </c>
      <c r="BG18" s="250">
        <f t="shared" si="27"/>
        <v>22247115.384615384</v>
      </c>
      <c r="BH18" s="250"/>
      <c r="BI18" s="280">
        <v>6200000</v>
      </c>
      <c r="BJ18" s="250">
        <f t="shared" si="34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>
        <v>10195307.692307694</v>
      </c>
      <c r="BU18" s="251">
        <f t="shared" si="35"/>
        <v>15542602.23076923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0"/>
        <v>1150000</v>
      </c>
      <c r="CB18" s="243">
        <f t="shared" si="31"/>
        <v>26350000</v>
      </c>
      <c r="CC18" s="243"/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f>IF(B19=0,"",COUNTA($B$15:(B19)))</f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0</v>
      </c>
      <c r="I19" s="94">
        <f t="shared" si="8"/>
        <v>6700000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111923.07692307692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2"/>
        <v>0</v>
      </c>
      <c r="AO19" s="94">
        <f t="shared" si="21"/>
        <v>6661153.846153846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388000</v>
      </c>
      <c r="AZ19" s="250">
        <f t="shared" si="24"/>
        <v>72750</v>
      </c>
      <c r="BA19" s="250">
        <f t="shared" si="24"/>
        <v>48500</v>
      </c>
      <c r="BB19" s="250">
        <f t="shared" si="25"/>
        <v>509250</v>
      </c>
      <c r="BC19" s="250"/>
      <c r="BD19" s="250"/>
      <c r="BE19" s="250">
        <f t="shared" si="26"/>
        <v>48500</v>
      </c>
      <c r="BF19" s="250">
        <f t="shared" si="33"/>
        <v>2303461.5384615385</v>
      </c>
      <c r="BG19" s="250">
        <f t="shared" si="27"/>
        <v>9879615.3846153859</v>
      </c>
      <c r="BH19" s="250"/>
      <c r="BI19" s="280">
        <v>6200000</v>
      </c>
      <c r="BJ19" s="250">
        <f t="shared" si="34"/>
        <v>15500000</v>
      </c>
      <c r="BK19" s="250">
        <f t="shared" si="28"/>
        <v>-6129634.6153846141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>
        <v>9977846.153846154</v>
      </c>
      <c r="BU19" s="251">
        <f t="shared" si="35"/>
        <v>1647480.7692307699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0"/>
        <v>550000</v>
      </c>
      <c r="CB19" s="243">
        <f t="shared" si="31"/>
        <v>11750000</v>
      </c>
      <c r="CC19" s="243"/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113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2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>
        <f t="shared" si="23"/>
        <v>0</v>
      </c>
      <c r="AY20" s="250">
        <f t="shared" si="24"/>
        <v>0</v>
      </c>
      <c r="AZ20" s="250">
        <f t="shared" si="24"/>
        <v>0</v>
      </c>
      <c r="BA20" s="250">
        <f t="shared" si="24"/>
        <v>0</v>
      </c>
      <c r="BB20" s="250">
        <f t="shared" si="25"/>
        <v>0</v>
      </c>
      <c r="BC20" s="250"/>
      <c r="BD20" s="250"/>
      <c r="BE20" s="250">
        <f t="shared" si="26"/>
        <v>63400</v>
      </c>
      <c r="BF20" s="250">
        <f t="shared" si="33"/>
        <v>3622500</v>
      </c>
      <c r="BG20" s="250">
        <f t="shared" si="27"/>
        <v>21247500</v>
      </c>
      <c r="BH20" s="250"/>
      <c r="BI20" s="280">
        <v>6200000</v>
      </c>
      <c r="BJ20" s="250">
        <f t="shared" si="34"/>
        <v>0</v>
      </c>
      <c r="BK20" s="250">
        <f t="shared" si="28"/>
        <v>21247500</v>
      </c>
      <c r="BL20" s="243">
        <f t="shared" si="29"/>
        <v>2124750</v>
      </c>
      <c r="BM20" s="250"/>
      <c r="BN20" s="250"/>
      <c r="BO20" s="250">
        <v>0</v>
      </c>
      <c r="BP20" s="250"/>
      <c r="BQ20" s="250"/>
      <c r="BR20" s="250"/>
      <c r="BS20" s="250"/>
      <c r="BT20" s="263">
        <v>10195307.692307694</v>
      </c>
      <c r="BU20" s="251">
        <f t="shared" si="35"/>
        <v>12486542.307692306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0"/>
        <v>1150000</v>
      </c>
      <c r="CB20" s="243">
        <f t="shared" si="31"/>
        <v>24350000</v>
      </c>
      <c r="CC20" s="243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f>IF(B21=0,"",COUNTA($B$15:(B21)))</f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6340000</v>
      </c>
      <c r="H21" s="94">
        <f t="shared" si="7"/>
        <v>300000</v>
      </c>
      <c r="I21" s="94">
        <f t="shared" si="8"/>
        <v>11210000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6340000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1828846.1538461538</v>
      </c>
      <c r="AD21" s="94">
        <f t="shared" si="14"/>
        <v>975384.61538461538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2"/>
        <v>300000</v>
      </c>
      <c r="AO21" s="94">
        <f t="shared" si="21"/>
        <v>12982692.307692306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22986923.076923076</v>
      </c>
      <c r="AW21" s="94"/>
      <c r="AX21" s="94" t="str">
        <f t="shared" si="23"/>
        <v>x</v>
      </c>
      <c r="AY21" s="250">
        <f t="shared" si="24"/>
        <v>531200</v>
      </c>
      <c r="AZ21" s="250">
        <f t="shared" si="24"/>
        <v>99600</v>
      </c>
      <c r="BA21" s="250">
        <f t="shared" si="24"/>
        <v>66400</v>
      </c>
      <c r="BB21" s="250">
        <f t="shared" si="25"/>
        <v>697200</v>
      </c>
      <c r="BC21" s="250"/>
      <c r="BD21" s="250"/>
      <c r="BE21" s="250">
        <f t="shared" si="26"/>
        <v>63400</v>
      </c>
      <c r="BF21" s="250">
        <f t="shared" si="33"/>
        <v>3924038.4615384615</v>
      </c>
      <c r="BG21" s="250">
        <f t="shared" si="27"/>
        <v>19062884.615384616</v>
      </c>
      <c r="BH21" s="250"/>
      <c r="BI21" s="280">
        <v>6200000</v>
      </c>
      <c r="BJ21" s="250">
        <f t="shared" si="34"/>
        <v>15500000</v>
      </c>
      <c r="BK21" s="250">
        <f t="shared" si="28"/>
        <v>2865684.615384616</v>
      </c>
      <c r="BL21" s="243">
        <f t="shared" si="29"/>
        <v>143284</v>
      </c>
      <c r="BM21" s="250"/>
      <c r="BN21" s="250"/>
      <c r="BO21" s="250">
        <v>0</v>
      </c>
      <c r="BP21" s="250"/>
      <c r="BQ21" s="250"/>
      <c r="BR21" s="250"/>
      <c r="BS21" s="250"/>
      <c r="BT21" s="263">
        <v>9977846.153846154</v>
      </c>
      <c r="BU21" s="251">
        <f t="shared" si="35"/>
        <v>12105192.923076922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0"/>
        <v>850000</v>
      </c>
      <c r="CB21" s="243">
        <f t="shared" si="31"/>
        <v>18050000</v>
      </c>
      <c r="CC21" s="243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7"/>
      <c r="X22" s="317"/>
      <c r="AC22" s="318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9"/>
      <c r="X24" s="319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AH9:AH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AR8:AR11"/>
    <mergeCell ref="AT8:AT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Y8:BQ8"/>
    <mergeCell ref="BC10:BC11"/>
    <mergeCell ref="Z9:Z11"/>
    <mergeCell ref="AD9:AD11"/>
    <mergeCell ref="BT8:BT11"/>
    <mergeCell ref="P9:P11"/>
    <mergeCell ref="E8:E11"/>
    <mergeCell ref="G8:G11"/>
    <mergeCell ref="H8:H11"/>
    <mergeCell ref="J8:J11"/>
    <mergeCell ref="I8:I11"/>
    <mergeCell ref="BE10:BE11"/>
    <mergeCell ref="T9:T11"/>
    <mergeCell ref="BQ10:BQ11"/>
    <mergeCell ref="AB9:AB11"/>
    <mergeCell ref="Y8:AO8"/>
    <mergeCell ref="BJ10:BJ11"/>
    <mergeCell ref="L9:L11"/>
    <mergeCell ref="AS8:AS11"/>
    <mergeCell ref="AV8:AV11"/>
    <mergeCell ref="F8:F11"/>
    <mergeCell ref="AJ9:AJ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1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  <c r="AJ3" s="402"/>
      <c r="AK3" s="402"/>
      <c r="AL3" s="402"/>
      <c r="AM3" s="402"/>
      <c r="AN3" s="402"/>
      <c r="AO3" s="402"/>
      <c r="AP3" s="402"/>
      <c r="AQ3" s="402"/>
      <c r="AR3" s="402"/>
      <c r="AS3" s="402"/>
      <c r="AT3" s="402"/>
      <c r="AU3" s="402"/>
      <c r="AV3" s="402"/>
      <c r="AW3" s="402"/>
      <c r="AX3" s="402"/>
      <c r="AY3" s="402"/>
      <c r="AZ3" s="402"/>
      <c r="BA3" s="402"/>
      <c r="BB3" s="402"/>
      <c r="BC3" s="402"/>
      <c r="BD3" s="402"/>
      <c r="BE3" s="402"/>
      <c r="BF3" s="402"/>
      <c r="BG3" s="402"/>
      <c r="BH3" s="402"/>
      <c r="BI3" s="402"/>
      <c r="BJ3" s="402"/>
      <c r="BK3" s="402"/>
      <c r="BL3" s="402"/>
      <c r="BM3" s="402"/>
      <c r="BN3" s="402"/>
      <c r="BO3" s="402"/>
      <c r="BP3" s="402"/>
      <c r="BQ3" s="402"/>
      <c r="BR3" s="402"/>
      <c r="BS3" s="402"/>
      <c r="BT3" s="402"/>
      <c r="BU3" s="402"/>
      <c r="BW3" s="401" t="s">
        <v>2</v>
      </c>
      <c r="BX3" s="402"/>
      <c r="BY3" s="402"/>
      <c r="BZ3" s="402"/>
      <c r="CA3" s="402"/>
      <c r="CB3" s="402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02"/>
      <c r="BX4" s="402"/>
      <c r="BY4" s="402"/>
      <c r="BZ4" s="402"/>
      <c r="CA4" s="402"/>
      <c r="CB4" s="402"/>
      <c r="CC4" s="133"/>
      <c r="CD4" s="133"/>
    </row>
    <row r="5" spans="1:87" s="136" customFormat="1">
      <c r="A5" s="414" t="s">
        <v>4</v>
      </c>
      <c r="B5" s="413" t="s">
        <v>5</v>
      </c>
      <c r="C5" s="387" t="s">
        <v>6</v>
      </c>
      <c r="D5" s="412" t="s">
        <v>7</v>
      </c>
      <c r="E5" s="412" t="s">
        <v>8</v>
      </c>
      <c r="F5" s="387" t="s">
        <v>9</v>
      </c>
      <c r="G5" s="387" t="s">
        <v>10</v>
      </c>
      <c r="H5" s="333" t="s">
        <v>11</v>
      </c>
      <c r="I5" s="333" t="s">
        <v>12</v>
      </c>
      <c r="J5" s="387" t="s">
        <v>13</v>
      </c>
      <c r="K5" s="416" t="s">
        <v>14</v>
      </c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87" t="s">
        <v>15</v>
      </c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9"/>
      <c r="AP5" s="387" t="s">
        <v>16</v>
      </c>
      <c r="AQ5" s="387" t="s">
        <v>17</v>
      </c>
      <c r="AR5" s="387" t="s">
        <v>18</v>
      </c>
      <c r="AS5" s="387" t="s">
        <v>19</v>
      </c>
      <c r="AT5" s="387" t="s">
        <v>20</v>
      </c>
      <c r="AU5" s="387" t="s">
        <v>21</v>
      </c>
      <c r="AV5" s="387" t="s">
        <v>22</v>
      </c>
      <c r="AW5" s="387" t="s">
        <v>23</v>
      </c>
      <c r="AX5" s="387" t="s">
        <v>24</v>
      </c>
      <c r="AY5" s="397" t="s">
        <v>25</v>
      </c>
      <c r="AZ5" s="398"/>
      <c r="BA5" s="398"/>
      <c r="BB5" s="398"/>
      <c r="BC5" s="398"/>
      <c r="BD5" s="398"/>
      <c r="BE5" s="398"/>
      <c r="BF5" s="398"/>
      <c r="BG5" s="398"/>
      <c r="BH5" s="398"/>
      <c r="BI5" s="398"/>
      <c r="BJ5" s="398"/>
      <c r="BK5" s="398"/>
      <c r="BL5" s="398"/>
      <c r="BM5" s="398"/>
      <c r="BN5" s="398"/>
      <c r="BO5" s="398"/>
      <c r="BP5" s="398"/>
      <c r="BQ5" s="399"/>
      <c r="BR5" s="403" t="s">
        <v>26</v>
      </c>
      <c r="BS5" s="404"/>
      <c r="BT5" s="397" t="s">
        <v>27</v>
      </c>
      <c r="BU5" s="391" t="s">
        <v>28</v>
      </c>
      <c r="BW5" s="394" t="s">
        <v>29</v>
      </c>
      <c r="BX5" s="405" t="s">
        <v>30</v>
      </c>
      <c r="BY5" s="406"/>
      <c r="BZ5" s="406"/>
      <c r="CA5" s="404"/>
      <c r="CB5" s="400" t="s">
        <v>31</v>
      </c>
      <c r="CC5" s="382" t="s">
        <v>32</v>
      </c>
      <c r="CD5" s="382" t="s">
        <v>33</v>
      </c>
      <c r="CH5" s="137"/>
      <c r="CI5" s="138"/>
    </row>
    <row r="6" spans="1:87" s="136" customFormat="1">
      <c r="A6" s="383"/>
      <c r="B6" s="383"/>
      <c r="C6" s="383"/>
      <c r="D6" s="383"/>
      <c r="E6" s="383"/>
      <c r="F6" s="383"/>
      <c r="G6" s="383"/>
      <c r="H6" s="383"/>
      <c r="I6" s="383"/>
      <c r="J6" s="383"/>
      <c r="K6" s="388" t="s">
        <v>34</v>
      </c>
      <c r="L6" s="388" t="s">
        <v>35</v>
      </c>
      <c r="M6" s="388" t="s">
        <v>36</v>
      </c>
      <c r="N6" s="388" t="s">
        <v>37</v>
      </c>
      <c r="O6" s="388" t="s">
        <v>38</v>
      </c>
      <c r="P6" s="388" t="s">
        <v>39</v>
      </c>
      <c r="Q6" s="388" t="s">
        <v>40</v>
      </c>
      <c r="R6" s="388" t="s">
        <v>41</v>
      </c>
      <c r="S6" s="388" t="s">
        <v>42</v>
      </c>
      <c r="T6" s="388" t="s">
        <v>43</v>
      </c>
      <c r="U6" s="388" t="s">
        <v>44</v>
      </c>
      <c r="V6" s="418" t="s">
        <v>45</v>
      </c>
      <c r="W6" s="404"/>
      <c r="X6" s="388" t="s">
        <v>46</v>
      </c>
      <c r="Y6" s="387" t="s">
        <v>47</v>
      </c>
      <c r="Z6" s="387" t="s">
        <v>48</v>
      </c>
      <c r="AA6" s="387" t="s">
        <v>49</v>
      </c>
      <c r="AB6" s="387" t="s">
        <v>50</v>
      </c>
      <c r="AC6" s="333" t="s">
        <v>51</v>
      </c>
      <c r="AD6" s="333" t="s">
        <v>52</v>
      </c>
      <c r="AE6" s="333" t="s">
        <v>53</v>
      </c>
      <c r="AF6" s="333" t="s">
        <v>54</v>
      </c>
      <c r="AG6" s="387" t="s">
        <v>55</v>
      </c>
      <c r="AH6" s="333" t="s">
        <v>56</v>
      </c>
      <c r="AI6" s="333" t="s">
        <v>57</v>
      </c>
      <c r="AJ6" s="387" t="s">
        <v>58</v>
      </c>
      <c r="AK6" s="415" t="s">
        <v>59</v>
      </c>
      <c r="AL6" s="387" t="s">
        <v>60</v>
      </c>
      <c r="AM6" s="387" t="s">
        <v>61</v>
      </c>
      <c r="AN6" s="417" t="s">
        <v>62</v>
      </c>
      <c r="AO6" s="387" t="s">
        <v>63</v>
      </c>
      <c r="AP6" s="383"/>
      <c r="AQ6" s="383"/>
      <c r="AR6" s="383"/>
      <c r="AS6" s="383"/>
      <c r="AT6" s="383"/>
      <c r="AU6" s="383"/>
      <c r="AV6" s="383"/>
      <c r="AW6" s="383"/>
      <c r="AX6" s="383"/>
      <c r="AY6" s="397" t="s">
        <v>25</v>
      </c>
      <c r="AZ6" s="398"/>
      <c r="BA6" s="398"/>
      <c r="BB6" s="398"/>
      <c r="BC6" s="398"/>
      <c r="BD6" s="398"/>
      <c r="BE6" s="398"/>
      <c r="BF6" s="398"/>
      <c r="BG6" s="398"/>
      <c r="BH6" s="398"/>
      <c r="BI6" s="398"/>
      <c r="BJ6" s="398"/>
      <c r="BK6" s="398"/>
      <c r="BL6" s="399"/>
      <c r="BM6" s="397" t="s">
        <v>64</v>
      </c>
      <c r="BN6" s="398"/>
      <c r="BO6" s="398"/>
      <c r="BP6" s="398"/>
      <c r="BQ6" s="399"/>
      <c r="BR6" s="385" t="s">
        <v>65</v>
      </c>
      <c r="BS6" s="385" t="s">
        <v>66</v>
      </c>
      <c r="BT6" s="383"/>
      <c r="BU6" s="392"/>
      <c r="BW6" s="395"/>
      <c r="BX6" s="392"/>
      <c r="BY6" s="407"/>
      <c r="BZ6" s="407"/>
      <c r="CA6" s="395"/>
      <c r="CB6" s="383"/>
      <c r="CC6" s="383"/>
      <c r="CD6" s="383"/>
      <c r="CH6" s="137"/>
      <c r="CI6" s="138"/>
    </row>
    <row r="7" spans="1:87" s="139" customFormat="1" ht="12">
      <c r="A7" s="383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93"/>
      <c r="W7" s="419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92"/>
      <c r="AL7" s="383"/>
      <c r="AM7" s="383"/>
      <c r="AN7" s="383"/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101" t="s">
        <v>67</v>
      </c>
      <c r="AZ7" s="101" t="s">
        <v>68</v>
      </c>
      <c r="BA7" s="101" t="s">
        <v>69</v>
      </c>
      <c r="BB7" s="397" t="s">
        <v>70</v>
      </c>
      <c r="BC7" s="389" t="s">
        <v>71</v>
      </c>
      <c r="BD7" s="389" t="s">
        <v>72</v>
      </c>
      <c r="BE7" s="410" t="s">
        <v>73</v>
      </c>
      <c r="BF7" s="389" t="s">
        <v>74</v>
      </c>
      <c r="BG7" s="389" t="s">
        <v>75</v>
      </c>
      <c r="BH7" s="389" t="s">
        <v>76</v>
      </c>
      <c r="BI7" s="389" t="s">
        <v>77</v>
      </c>
      <c r="BJ7" s="389" t="s">
        <v>78</v>
      </c>
      <c r="BK7" s="389" t="s">
        <v>79</v>
      </c>
      <c r="BL7" s="390" t="s">
        <v>80</v>
      </c>
      <c r="BM7" s="389" t="s">
        <v>81</v>
      </c>
      <c r="BN7" s="397" t="s">
        <v>82</v>
      </c>
      <c r="BO7" s="389" t="s">
        <v>83</v>
      </c>
      <c r="BP7" s="397" t="s">
        <v>84</v>
      </c>
      <c r="BQ7" s="397" t="s">
        <v>85</v>
      </c>
      <c r="BR7" s="383"/>
      <c r="BS7" s="383"/>
      <c r="BT7" s="383"/>
      <c r="BU7" s="392"/>
      <c r="BW7" s="395"/>
      <c r="BX7" s="408"/>
      <c r="BY7" s="409"/>
      <c r="BZ7" s="409"/>
      <c r="CA7" s="396"/>
      <c r="CB7" s="383"/>
      <c r="CC7" s="383"/>
      <c r="CD7" s="383"/>
      <c r="CH7" s="137"/>
      <c r="CI7" s="138"/>
    </row>
    <row r="8" spans="1:87" s="139" customFormat="1" ht="12">
      <c r="A8" s="386"/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6"/>
      <c r="V8" s="140" t="s">
        <v>86</v>
      </c>
      <c r="W8" s="140" t="s">
        <v>87</v>
      </c>
      <c r="X8" s="386"/>
      <c r="Y8" s="386"/>
      <c r="Z8" s="386"/>
      <c r="AA8" s="386"/>
      <c r="AB8" s="386"/>
      <c r="AC8" s="386"/>
      <c r="AD8" s="386"/>
      <c r="AE8" s="386"/>
      <c r="AF8" s="386"/>
      <c r="AG8" s="386"/>
      <c r="AH8" s="386"/>
      <c r="AI8" s="386"/>
      <c r="AJ8" s="386"/>
      <c r="AK8" s="393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102" t="s">
        <v>88</v>
      </c>
      <c r="AZ8" s="102" t="s">
        <v>89</v>
      </c>
      <c r="BA8" s="102" t="s">
        <v>90</v>
      </c>
      <c r="BB8" s="386"/>
      <c r="BC8" s="386"/>
      <c r="BD8" s="386"/>
      <c r="BE8" s="386"/>
      <c r="BF8" s="386"/>
      <c r="BG8" s="386"/>
      <c r="BH8" s="386"/>
      <c r="BI8" s="386"/>
      <c r="BJ8" s="386"/>
      <c r="BK8" s="386"/>
      <c r="BL8" s="386"/>
      <c r="BM8" s="386"/>
      <c r="BN8" s="386"/>
      <c r="BO8" s="386"/>
      <c r="BP8" s="386"/>
      <c r="BQ8" s="386"/>
      <c r="BR8" s="386"/>
      <c r="BS8" s="386"/>
      <c r="BT8" s="386"/>
      <c r="BU8" s="393"/>
      <c r="BW8" s="396"/>
      <c r="BX8" s="72" t="s">
        <v>91</v>
      </c>
      <c r="BY8" s="72" t="s">
        <v>92</v>
      </c>
      <c r="BZ8" s="72" t="s">
        <v>93</v>
      </c>
      <c r="CA8" s="73" t="s">
        <v>94</v>
      </c>
      <c r="CB8" s="384"/>
      <c r="CC8" s="384"/>
      <c r="CD8" s="384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29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428"/>
      <c r="AN3" s="428"/>
      <c r="AO3" s="428"/>
      <c r="AP3" s="428"/>
      <c r="AQ3" s="428"/>
      <c r="AR3" s="428"/>
      <c r="AS3" s="428"/>
      <c r="AT3" s="428"/>
      <c r="AU3" s="428"/>
      <c r="AV3" s="428"/>
      <c r="AW3" s="428"/>
      <c r="AX3" s="428"/>
      <c r="AY3" s="428"/>
      <c r="AZ3" s="428"/>
      <c r="BA3" s="428"/>
      <c r="BB3" s="428"/>
      <c r="BC3" s="428"/>
      <c r="BD3" s="428"/>
      <c r="BE3" s="428"/>
      <c r="BF3" s="428"/>
      <c r="BG3" s="428"/>
      <c r="BH3" s="428"/>
      <c r="BI3" s="428"/>
      <c r="BJ3" s="428"/>
      <c r="BK3" s="428"/>
      <c r="BL3" s="428"/>
      <c r="BM3" s="428"/>
      <c r="BN3" s="428"/>
      <c r="BO3" s="428"/>
      <c r="BP3" s="428"/>
      <c r="BQ3" s="428"/>
      <c r="BR3" s="428"/>
      <c r="BS3" s="428"/>
      <c r="BT3" s="428"/>
      <c r="BU3" s="428"/>
      <c r="BV3" s="110"/>
      <c r="BW3" s="427" t="s">
        <v>2</v>
      </c>
      <c r="BX3" s="428"/>
      <c r="BY3" s="428"/>
      <c r="BZ3" s="428"/>
      <c r="CA3" s="428"/>
      <c r="CB3" s="428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28"/>
      <c r="BX4" s="428"/>
      <c r="BY4" s="428"/>
      <c r="BZ4" s="428"/>
      <c r="CA4" s="428"/>
      <c r="CB4" s="42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60"/>
      <c r="BX5" s="360"/>
      <c r="BY5" s="360"/>
      <c r="BZ5" s="360"/>
      <c r="CA5" s="360"/>
      <c r="CB5" s="360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60"/>
      <c r="BX6" s="360"/>
      <c r="BY6" s="360"/>
      <c r="BZ6" s="360"/>
      <c r="CA6" s="360"/>
      <c r="CB6" s="360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414" t="s">
        <v>4</v>
      </c>
      <c r="B8" s="413" t="s">
        <v>5</v>
      </c>
      <c r="C8" s="387" t="s">
        <v>6</v>
      </c>
      <c r="D8" s="412" t="s">
        <v>141</v>
      </c>
      <c r="E8" s="412" t="s">
        <v>8</v>
      </c>
      <c r="F8" s="431" t="s">
        <v>142</v>
      </c>
      <c r="G8" s="421" t="s">
        <v>10</v>
      </c>
      <c r="H8" s="352" t="s">
        <v>11</v>
      </c>
      <c r="I8" s="352" t="s">
        <v>12</v>
      </c>
      <c r="J8" s="421" t="s">
        <v>13</v>
      </c>
      <c r="K8" s="432" t="s">
        <v>14</v>
      </c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421" t="s">
        <v>15</v>
      </c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  <c r="AK8" s="398"/>
      <c r="AL8" s="398"/>
      <c r="AM8" s="398"/>
      <c r="AN8" s="398"/>
      <c r="AO8" s="399"/>
      <c r="AP8" s="421" t="s">
        <v>16</v>
      </c>
      <c r="AQ8" s="421" t="s">
        <v>17</v>
      </c>
      <c r="AR8" s="421" t="s">
        <v>18</v>
      </c>
      <c r="AS8" s="421" t="s">
        <v>19</v>
      </c>
      <c r="AT8" s="421" t="s">
        <v>20</v>
      </c>
      <c r="AU8" s="421" t="s">
        <v>21</v>
      </c>
      <c r="AV8" s="387" t="s">
        <v>22</v>
      </c>
      <c r="AW8" s="387" t="s">
        <v>23</v>
      </c>
      <c r="AX8" s="387" t="s">
        <v>24</v>
      </c>
      <c r="AY8" s="397" t="s">
        <v>25</v>
      </c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9"/>
      <c r="BQ8" s="403" t="s">
        <v>26</v>
      </c>
      <c r="BR8" s="404"/>
      <c r="BS8" s="397" t="s">
        <v>143</v>
      </c>
      <c r="BT8" s="397" t="s">
        <v>27</v>
      </c>
      <c r="BU8" s="391" t="s">
        <v>28</v>
      </c>
      <c r="BV8" s="114"/>
      <c r="BW8" s="394" t="s">
        <v>29</v>
      </c>
      <c r="BX8" s="405" t="s">
        <v>30</v>
      </c>
      <c r="BY8" s="406"/>
      <c r="BZ8" s="406"/>
      <c r="CA8" s="404"/>
      <c r="CB8" s="400" t="s">
        <v>31</v>
      </c>
      <c r="CC8" s="382" t="s">
        <v>32</v>
      </c>
      <c r="CD8" s="382" t="s">
        <v>33</v>
      </c>
      <c r="CH8" s="27"/>
      <c r="CI8" s="28"/>
    </row>
    <row r="9" spans="1:87" s="11" customFormat="1" ht="19.25" customHeight="1">
      <c r="A9" s="383"/>
      <c r="B9" s="383"/>
      <c r="C9" s="383"/>
      <c r="D9" s="383"/>
      <c r="E9" s="383"/>
      <c r="F9" s="383"/>
      <c r="G9" s="383"/>
      <c r="H9" s="383"/>
      <c r="I9" s="383"/>
      <c r="J9" s="383"/>
      <c r="K9" s="423" t="s">
        <v>34</v>
      </c>
      <c r="L9" s="423" t="s">
        <v>35</v>
      </c>
      <c r="M9" s="423" t="s">
        <v>36</v>
      </c>
      <c r="N9" s="423" t="s">
        <v>37</v>
      </c>
      <c r="O9" s="423" t="s">
        <v>38</v>
      </c>
      <c r="P9" s="423" t="s">
        <v>39</v>
      </c>
      <c r="Q9" s="423" t="s">
        <v>40</v>
      </c>
      <c r="R9" s="423" t="s">
        <v>41</v>
      </c>
      <c r="S9" s="423" t="s">
        <v>42</v>
      </c>
      <c r="T9" s="423" t="s">
        <v>43</v>
      </c>
      <c r="U9" s="423" t="s">
        <v>44</v>
      </c>
      <c r="V9" s="426" t="s">
        <v>45</v>
      </c>
      <c r="W9" s="404"/>
      <c r="X9" s="423" t="s">
        <v>46</v>
      </c>
      <c r="Y9" s="420" t="s">
        <v>47</v>
      </c>
      <c r="Z9" s="420" t="s">
        <v>48</v>
      </c>
      <c r="AA9" s="420" t="s">
        <v>49</v>
      </c>
      <c r="AB9" s="420" t="s">
        <v>50</v>
      </c>
      <c r="AC9" s="336" t="s">
        <v>51</v>
      </c>
      <c r="AD9" s="336" t="s">
        <v>144</v>
      </c>
      <c r="AE9" s="336" t="s">
        <v>53</v>
      </c>
      <c r="AF9" s="336" t="s">
        <v>54</v>
      </c>
      <c r="AG9" s="420" t="s">
        <v>55</v>
      </c>
      <c r="AH9" s="336" t="s">
        <v>56</v>
      </c>
      <c r="AI9" s="336" t="s">
        <v>57</v>
      </c>
      <c r="AJ9" s="420" t="s">
        <v>58</v>
      </c>
      <c r="AK9" s="415" t="s">
        <v>59</v>
      </c>
      <c r="AL9" s="387" t="s">
        <v>60</v>
      </c>
      <c r="AM9" s="420" t="s">
        <v>61</v>
      </c>
      <c r="AN9" s="417" t="s">
        <v>62</v>
      </c>
      <c r="AO9" s="387" t="s">
        <v>63</v>
      </c>
      <c r="AP9" s="383"/>
      <c r="AQ9" s="383"/>
      <c r="AR9" s="383"/>
      <c r="AS9" s="383"/>
      <c r="AT9" s="383"/>
      <c r="AU9" s="383"/>
      <c r="AV9" s="383"/>
      <c r="AW9" s="383"/>
      <c r="AX9" s="383"/>
      <c r="AY9" s="397" t="s">
        <v>25</v>
      </c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9"/>
      <c r="BK9" s="397" t="s">
        <v>64</v>
      </c>
      <c r="BL9" s="398"/>
      <c r="BM9" s="398"/>
      <c r="BN9" s="398"/>
      <c r="BO9" s="398"/>
      <c r="BP9" s="399"/>
      <c r="BQ9" s="385" t="s">
        <v>65</v>
      </c>
      <c r="BR9" s="385" t="s">
        <v>66</v>
      </c>
      <c r="BS9" s="383"/>
      <c r="BT9" s="383"/>
      <c r="BU9" s="392"/>
      <c r="BV9" s="114"/>
      <c r="BW9" s="395"/>
      <c r="BX9" s="392"/>
      <c r="BY9" s="433"/>
      <c r="BZ9" s="433"/>
      <c r="CA9" s="395"/>
      <c r="CB9" s="383"/>
      <c r="CC9" s="383"/>
      <c r="CD9" s="383"/>
      <c r="CH9" s="27"/>
      <c r="CI9" s="28"/>
    </row>
    <row r="10" spans="1:87" s="29" customFormat="1" ht="19.25" customHeight="1">
      <c r="A10" s="383"/>
      <c r="B10" s="383"/>
      <c r="C10" s="383"/>
      <c r="D10" s="383"/>
      <c r="E10" s="383"/>
      <c r="F10" s="383"/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93"/>
      <c r="W10" s="419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92"/>
      <c r="AL10" s="383"/>
      <c r="AM10" s="383"/>
      <c r="AN10" s="383"/>
      <c r="AO10" s="383"/>
      <c r="AP10" s="383"/>
      <c r="AQ10" s="383"/>
      <c r="AR10" s="383"/>
      <c r="AS10" s="383"/>
      <c r="AT10" s="383"/>
      <c r="AU10" s="383"/>
      <c r="AV10" s="383"/>
      <c r="AW10" s="383"/>
      <c r="AX10" s="383"/>
      <c r="AY10" s="101" t="s">
        <v>67</v>
      </c>
      <c r="AZ10" s="101" t="s">
        <v>68</v>
      </c>
      <c r="BA10" s="101" t="s">
        <v>69</v>
      </c>
      <c r="BB10" s="430" t="s">
        <v>70</v>
      </c>
      <c r="BC10" s="424" t="s">
        <v>71</v>
      </c>
      <c r="BD10" s="424" t="s">
        <v>72</v>
      </c>
      <c r="BE10" s="424" t="s">
        <v>145</v>
      </c>
      <c r="BF10" s="424" t="s">
        <v>74</v>
      </c>
      <c r="BG10" s="424" t="s">
        <v>75</v>
      </c>
      <c r="BH10" s="424" t="s">
        <v>76</v>
      </c>
      <c r="BI10" s="424" t="s">
        <v>79</v>
      </c>
      <c r="BJ10" s="422" t="s">
        <v>80</v>
      </c>
      <c r="BK10" s="424" t="s">
        <v>81</v>
      </c>
      <c r="BL10" s="425" t="s">
        <v>82</v>
      </c>
      <c r="BM10" s="424" t="s">
        <v>83</v>
      </c>
      <c r="BN10" s="425" t="s">
        <v>84</v>
      </c>
      <c r="BO10" s="425" t="s">
        <v>146</v>
      </c>
      <c r="BP10" s="397" t="s">
        <v>85</v>
      </c>
      <c r="BQ10" s="383"/>
      <c r="BR10" s="383"/>
      <c r="BS10" s="383"/>
      <c r="BT10" s="383"/>
      <c r="BU10" s="392"/>
      <c r="BV10" s="114"/>
      <c r="BW10" s="395"/>
      <c r="BX10" s="408"/>
      <c r="BY10" s="409"/>
      <c r="BZ10" s="409"/>
      <c r="CA10" s="396"/>
      <c r="CB10" s="383"/>
      <c r="CC10" s="383"/>
      <c r="CD10" s="383"/>
      <c r="CH10" s="27"/>
      <c r="CI10" s="28"/>
    </row>
    <row r="11" spans="1:87" s="29" customFormat="1" ht="38.25" customHeight="1">
      <c r="A11" s="386"/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6"/>
      <c r="S11" s="386"/>
      <c r="T11" s="386"/>
      <c r="U11" s="386"/>
      <c r="V11" s="30" t="s">
        <v>86</v>
      </c>
      <c r="W11" s="30" t="s">
        <v>87</v>
      </c>
      <c r="X11" s="386"/>
      <c r="Y11" s="386"/>
      <c r="Z11" s="386"/>
      <c r="AA11" s="386"/>
      <c r="AB11" s="386"/>
      <c r="AC11" s="386"/>
      <c r="AD11" s="386"/>
      <c r="AE11" s="386"/>
      <c r="AF11" s="386"/>
      <c r="AG11" s="386"/>
      <c r="AH11" s="386"/>
      <c r="AI11" s="386"/>
      <c r="AJ11" s="386"/>
      <c r="AK11" s="393"/>
      <c r="AL11" s="386"/>
      <c r="AM11" s="386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102" t="s">
        <v>88</v>
      </c>
      <c r="AZ11" s="102" t="s">
        <v>89</v>
      </c>
      <c r="BA11" s="102" t="s">
        <v>90</v>
      </c>
      <c r="BB11" s="386"/>
      <c r="BC11" s="386"/>
      <c r="BD11" s="386"/>
      <c r="BE11" s="386"/>
      <c r="BF11" s="386"/>
      <c r="BG11" s="386"/>
      <c r="BH11" s="386"/>
      <c r="BI11" s="386"/>
      <c r="BJ11" s="386"/>
      <c r="BK11" s="386"/>
      <c r="BL11" s="386"/>
      <c r="BM11" s="386"/>
      <c r="BN11" s="386"/>
      <c r="BO11" s="386"/>
      <c r="BP11" s="386"/>
      <c r="BQ11" s="386"/>
      <c r="BR11" s="386"/>
      <c r="BS11" s="386"/>
      <c r="BT11" s="386"/>
      <c r="BU11" s="393"/>
      <c r="BV11" s="114"/>
      <c r="BW11" s="396"/>
      <c r="BX11" s="72" t="s">
        <v>91</v>
      </c>
      <c r="BY11" s="72" t="s">
        <v>92</v>
      </c>
      <c r="BZ11" s="72" t="s">
        <v>93</v>
      </c>
      <c r="CA11" s="73" t="s">
        <v>94</v>
      </c>
      <c r="CB11" s="384"/>
      <c r="CC11" s="384"/>
      <c r="CD11" s="38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D8:CD11"/>
    <mergeCell ref="Y9:Y11"/>
    <mergeCell ref="AA9:AA11"/>
    <mergeCell ref="AK9:AK11"/>
    <mergeCell ref="AM9:AM11"/>
    <mergeCell ref="AX8:AX11"/>
    <mergeCell ref="Y8:AO8"/>
    <mergeCell ref="BJ10:BJ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1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  <c r="AJ3" s="402"/>
      <c r="AK3" s="402"/>
      <c r="AL3" s="402"/>
      <c r="AM3" s="402"/>
      <c r="AN3" s="402"/>
      <c r="AO3" s="402"/>
      <c r="AP3" s="402"/>
      <c r="AQ3" s="402"/>
      <c r="AR3" s="402"/>
      <c r="AS3" s="402"/>
      <c r="AT3" s="402"/>
      <c r="AU3" s="402"/>
      <c r="AV3" s="402"/>
      <c r="AW3" s="402"/>
      <c r="AX3" s="402"/>
      <c r="AY3" s="402"/>
      <c r="AZ3" s="402"/>
      <c r="BA3" s="402"/>
      <c r="BB3" s="402"/>
      <c r="BC3" s="402"/>
      <c r="BD3" s="402"/>
      <c r="BE3" s="402"/>
      <c r="BF3" s="402"/>
      <c r="BG3" s="402"/>
      <c r="BH3" s="402"/>
      <c r="BI3" s="402"/>
      <c r="BJ3" s="402"/>
      <c r="BK3" s="402"/>
      <c r="BL3" s="402"/>
      <c r="BM3" s="402"/>
      <c r="BN3" s="402"/>
      <c r="BO3" s="402"/>
      <c r="BP3" s="402"/>
      <c r="BQ3" s="402"/>
      <c r="BR3" s="402"/>
      <c r="BS3" s="402"/>
      <c r="BT3" s="402"/>
      <c r="BU3" s="402"/>
      <c r="BW3" s="401" t="s">
        <v>2</v>
      </c>
      <c r="BX3" s="402"/>
      <c r="BY3" s="402"/>
      <c r="BZ3" s="402"/>
      <c r="CA3" s="402"/>
      <c r="CB3" s="402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02"/>
      <c r="BX4" s="402"/>
      <c r="BY4" s="402"/>
      <c r="BZ4" s="402"/>
      <c r="CA4" s="402"/>
      <c r="CB4" s="402"/>
      <c r="CC4" s="133"/>
      <c r="CD4" s="133"/>
    </row>
    <row r="5" spans="1:87" s="136" customFormat="1">
      <c r="A5" s="414" t="s">
        <v>4</v>
      </c>
      <c r="B5" s="413" t="s">
        <v>5</v>
      </c>
      <c r="C5" s="387" t="s">
        <v>6</v>
      </c>
      <c r="D5" s="412" t="s">
        <v>141</v>
      </c>
      <c r="E5" s="412" t="s">
        <v>8</v>
      </c>
      <c r="F5" s="431" t="s">
        <v>142</v>
      </c>
      <c r="G5" s="387" t="s">
        <v>10</v>
      </c>
      <c r="H5" s="333" t="s">
        <v>11</v>
      </c>
      <c r="I5" s="333" t="s">
        <v>12</v>
      </c>
      <c r="J5" s="387" t="s">
        <v>13</v>
      </c>
      <c r="K5" s="416" t="s">
        <v>14</v>
      </c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87" t="s">
        <v>15</v>
      </c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9"/>
      <c r="AP5" s="387" t="s">
        <v>16</v>
      </c>
      <c r="AQ5" s="387" t="s">
        <v>17</v>
      </c>
      <c r="AR5" s="387" t="s">
        <v>18</v>
      </c>
      <c r="AS5" s="387" t="s">
        <v>19</v>
      </c>
      <c r="AT5" s="387" t="s">
        <v>20</v>
      </c>
      <c r="AU5" s="387" t="s">
        <v>21</v>
      </c>
      <c r="AV5" s="387" t="s">
        <v>22</v>
      </c>
      <c r="AW5" s="387" t="s">
        <v>23</v>
      </c>
      <c r="AX5" s="387" t="s">
        <v>24</v>
      </c>
      <c r="AY5" s="397" t="s">
        <v>25</v>
      </c>
      <c r="AZ5" s="398"/>
      <c r="BA5" s="398"/>
      <c r="BB5" s="398"/>
      <c r="BC5" s="398"/>
      <c r="BD5" s="398"/>
      <c r="BE5" s="398"/>
      <c r="BF5" s="398"/>
      <c r="BG5" s="398"/>
      <c r="BH5" s="398"/>
      <c r="BI5" s="398"/>
      <c r="BJ5" s="398"/>
      <c r="BK5" s="398"/>
      <c r="BL5" s="398"/>
      <c r="BM5" s="398"/>
      <c r="BN5" s="398"/>
      <c r="BO5" s="398"/>
      <c r="BP5" s="399"/>
      <c r="BQ5" s="403" t="s">
        <v>26</v>
      </c>
      <c r="BR5" s="404"/>
      <c r="BS5" s="397" t="s">
        <v>143</v>
      </c>
      <c r="BT5" s="397" t="s">
        <v>27</v>
      </c>
      <c r="BU5" s="391" t="s">
        <v>28</v>
      </c>
      <c r="BW5" s="394" t="s">
        <v>29</v>
      </c>
      <c r="BX5" s="405" t="s">
        <v>30</v>
      </c>
      <c r="BY5" s="406"/>
      <c r="BZ5" s="406"/>
      <c r="CA5" s="404"/>
      <c r="CB5" s="400" t="s">
        <v>31</v>
      </c>
      <c r="CC5" s="382" t="s">
        <v>32</v>
      </c>
      <c r="CD5" s="382" t="s">
        <v>33</v>
      </c>
      <c r="CH5" s="137"/>
      <c r="CI5" s="138"/>
    </row>
    <row r="6" spans="1:87" s="136" customFormat="1">
      <c r="A6" s="383"/>
      <c r="B6" s="383"/>
      <c r="C6" s="383"/>
      <c r="D6" s="383"/>
      <c r="E6" s="383"/>
      <c r="F6" s="383"/>
      <c r="G6" s="383"/>
      <c r="H6" s="383"/>
      <c r="I6" s="383"/>
      <c r="J6" s="383"/>
      <c r="K6" s="388" t="s">
        <v>34</v>
      </c>
      <c r="L6" s="388" t="s">
        <v>35</v>
      </c>
      <c r="M6" s="388" t="s">
        <v>36</v>
      </c>
      <c r="N6" s="388" t="s">
        <v>37</v>
      </c>
      <c r="O6" s="388" t="s">
        <v>38</v>
      </c>
      <c r="P6" s="388" t="s">
        <v>39</v>
      </c>
      <c r="Q6" s="388" t="s">
        <v>40</v>
      </c>
      <c r="R6" s="388" t="s">
        <v>41</v>
      </c>
      <c r="S6" s="388" t="s">
        <v>42</v>
      </c>
      <c r="T6" s="388" t="s">
        <v>43</v>
      </c>
      <c r="U6" s="388" t="s">
        <v>44</v>
      </c>
      <c r="V6" s="418" t="s">
        <v>45</v>
      </c>
      <c r="W6" s="404"/>
      <c r="X6" s="388" t="s">
        <v>46</v>
      </c>
      <c r="Y6" s="387" t="s">
        <v>47</v>
      </c>
      <c r="Z6" s="387" t="s">
        <v>48</v>
      </c>
      <c r="AA6" s="387" t="s">
        <v>49</v>
      </c>
      <c r="AB6" s="387" t="s">
        <v>50</v>
      </c>
      <c r="AC6" s="333" t="s">
        <v>51</v>
      </c>
      <c r="AD6" s="333" t="s">
        <v>144</v>
      </c>
      <c r="AE6" s="333" t="s">
        <v>53</v>
      </c>
      <c r="AF6" s="333" t="s">
        <v>54</v>
      </c>
      <c r="AG6" s="387" t="s">
        <v>55</v>
      </c>
      <c r="AH6" s="333" t="s">
        <v>56</v>
      </c>
      <c r="AI6" s="333" t="s">
        <v>57</v>
      </c>
      <c r="AJ6" s="387" t="s">
        <v>58</v>
      </c>
      <c r="AK6" s="415" t="s">
        <v>59</v>
      </c>
      <c r="AL6" s="387" t="s">
        <v>60</v>
      </c>
      <c r="AM6" s="387" t="s">
        <v>61</v>
      </c>
      <c r="AN6" s="417" t="s">
        <v>62</v>
      </c>
      <c r="AO6" s="387" t="s">
        <v>63</v>
      </c>
      <c r="AP6" s="383"/>
      <c r="AQ6" s="383"/>
      <c r="AR6" s="383"/>
      <c r="AS6" s="383"/>
      <c r="AT6" s="383"/>
      <c r="AU6" s="383"/>
      <c r="AV6" s="383"/>
      <c r="AW6" s="383"/>
      <c r="AX6" s="383"/>
      <c r="AY6" s="397" t="s">
        <v>25</v>
      </c>
      <c r="AZ6" s="398"/>
      <c r="BA6" s="398"/>
      <c r="BB6" s="398"/>
      <c r="BC6" s="398"/>
      <c r="BD6" s="398"/>
      <c r="BE6" s="398"/>
      <c r="BF6" s="398"/>
      <c r="BG6" s="398"/>
      <c r="BH6" s="398"/>
      <c r="BI6" s="398"/>
      <c r="BJ6" s="399"/>
      <c r="BK6" s="397" t="s">
        <v>64</v>
      </c>
      <c r="BL6" s="398"/>
      <c r="BM6" s="398"/>
      <c r="BN6" s="398"/>
      <c r="BO6" s="398"/>
      <c r="BP6" s="399"/>
      <c r="BQ6" s="385" t="s">
        <v>65</v>
      </c>
      <c r="BR6" s="385" t="s">
        <v>66</v>
      </c>
      <c r="BS6" s="383"/>
      <c r="BT6" s="383"/>
      <c r="BU6" s="392"/>
      <c r="BW6" s="395"/>
      <c r="BX6" s="392"/>
      <c r="BY6" s="407"/>
      <c r="BZ6" s="407"/>
      <c r="CA6" s="395"/>
      <c r="CB6" s="383"/>
      <c r="CC6" s="383"/>
      <c r="CD6" s="383"/>
      <c r="CH6" s="137"/>
      <c r="CI6" s="138"/>
    </row>
    <row r="7" spans="1:87" s="136" customFormat="1" ht="12">
      <c r="A7" s="383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93"/>
      <c r="W7" s="419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92"/>
      <c r="AL7" s="383"/>
      <c r="AM7" s="383"/>
      <c r="AN7" s="383"/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101" t="s">
        <v>67</v>
      </c>
      <c r="AZ7" s="101" t="s">
        <v>68</v>
      </c>
      <c r="BA7" s="101" t="s">
        <v>69</v>
      </c>
      <c r="BB7" s="397" t="s">
        <v>70</v>
      </c>
      <c r="BC7" s="389" t="s">
        <v>71</v>
      </c>
      <c r="BD7" s="389" t="s">
        <v>72</v>
      </c>
      <c r="BE7" s="389" t="s">
        <v>145</v>
      </c>
      <c r="BF7" s="389" t="s">
        <v>74</v>
      </c>
      <c r="BG7" s="389" t="s">
        <v>75</v>
      </c>
      <c r="BH7" s="389" t="s">
        <v>76</v>
      </c>
      <c r="BI7" s="389" t="s">
        <v>79</v>
      </c>
      <c r="BJ7" s="390" t="s">
        <v>80</v>
      </c>
      <c r="BK7" s="389" t="s">
        <v>81</v>
      </c>
      <c r="BL7" s="397" t="s">
        <v>82</v>
      </c>
      <c r="BM7" s="389" t="s">
        <v>83</v>
      </c>
      <c r="BN7" s="397" t="s">
        <v>84</v>
      </c>
      <c r="BO7" s="397" t="s">
        <v>146</v>
      </c>
      <c r="BP7" s="397" t="s">
        <v>85</v>
      </c>
      <c r="BQ7" s="383"/>
      <c r="BR7" s="383"/>
      <c r="BS7" s="383"/>
      <c r="BT7" s="383"/>
      <c r="BU7" s="392"/>
      <c r="BW7" s="395"/>
      <c r="BX7" s="408"/>
      <c r="BY7" s="409"/>
      <c r="BZ7" s="409"/>
      <c r="CA7" s="396"/>
      <c r="CB7" s="383"/>
      <c r="CC7" s="383"/>
      <c r="CD7" s="383"/>
      <c r="CH7" s="137"/>
      <c r="CI7" s="138"/>
    </row>
    <row r="8" spans="1:87" s="136" customFormat="1" ht="22.5" customHeight="1">
      <c r="A8" s="386"/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6"/>
      <c r="V8" s="140" t="s">
        <v>86</v>
      </c>
      <c r="W8" s="140" t="s">
        <v>87</v>
      </c>
      <c r="X8" s="386"/>
      <c r="Y8" s="386"/>
      <c r="Z8" s="386"/>
      <c r="AA8" s="386"/>
      <c r="AB8" s="386"/>
      <c r="AC8" s="386"/>
      <c r="AD8" s="386"/>
      <c r="AE8" s="386"/>
      <c r="AF8" s="386"/>
      <c r="AG8" s="386"/>
      <c r="AH8" s="386"/>
      <c r="AI8" s="386"/>
      <c r="AJ8" s="386"/>
      <c r="AK8" s="393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102" t="s">
        <v>88</v>
      </c>
      <c r="AZ8" s="102" t="s">
        <v>89</v>
      </c>
      <c r="BA8" s="102" t="s">
        <v>90</v>
      </c>
      <c r="BB8" s="386"/>
      <c r="BC8" s="386"/>
      <c r="BD8" s="386"/>
      <c r="BE8" s="386"/>
      <c r="BF8" s="386"/>
      <c r="BG8" s="386"/>
      <c r="BH8" s="386"/>
      <c r="BI8" s="386"/>
      <c r="BJ8" s="386"/>
      <c r="BK8" s="386"/>
      <c r="BL8" s="386"/>
      <c r="BM8" s="386"/>
      <c r="BN8" s="386"/>
      <c r="BO8" s="386"/>
      <c r="BP8" s="386"/>
      <c r="BQ8" s="386"/>
      <c r="BR8" s="386"/>
      <c r="BS8" s="386"/>
      <c r="BT8" s="386"/>
      <c r="BU8" s="393"/>
      <c r="BW8" s="396"/>
      <c r="BX8" s="72" t="s">
        <v>91</v>
      </c>
      <c r="BY8" s="72" t="s">
        <v>92</v>
      </c>
      <c r="BZ8" s="72" t="s">
        <v>93</v>
      </c>
      <c r="CA8" s="73" t="s">
        <v>94</v>
      </c>
      <c r="CB8" s="384"/>
      <c r="CC8" s="384"/>
      <c r="CD8" s="384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  <mergeCell ref="BF7:BF8"/>
    <mergeCell ref="BH7:BH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Q6:Q8"/>
    <mergeCell ref="AC6:AC8"/>
    <mergeCell ref="P6:P8"/>
    <mergeCell ref="BB7:BB8"/>
    <mergeCell ref="BD7:BD8"/>
    <mergeCell ref="BI7:BI8"/>
    <mergeCell ref="K5:X5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AU5:AU8"/>
    <mergeCell ref="AK6:AK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2026-01-11T18:09:20Z</dcterms:modified>
</cp:coreProperties>
</file>