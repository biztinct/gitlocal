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3544D12F-1D86-D441-AEA4-106B5843F08E}" xr6:coauthVersionLast="47" xr6:coauthVersionMax="47" xr10:uidLastSave="{00000000-0000-0000-0000-000000000000}"/>
  <bookViews>
    <workbookView xWindow="39640" yWindow="500" windowWidth="38100" windowHeight="2080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BE14" i="1" s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G14" i="1" s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I17" i="1" l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A17" i="1"/>
  <c r="AF19" i="1"/>
  <c r="AO19" i="1" s="1"/>
  <c r="AV19" i="3"/>
  <c r="I18" i="1"/>
  <c r="AO18" i="1" s="1"/>
  <c r="AV18" i="1" s="1"/>
  <c r="BF18" i="1" s="1"/>
  <c r="AH18" i="1"/>
  <c r="I13" i="4"/>
  <c r="AH13" i="4"/>
  <c r="BF21" i="1"/>
  <c r="BG21" i="1" s="1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AZ14" i="1" l="1"/>
  <c r="BB21" i="1"/>
  <c r="BK21" i="1" s="1"/>
  <c r="BL21" i="1" s="1"/>
  <c r="AF14" i="1"/>
  <c r="AV15" i="3"/>
  <c r="BF17" i="1"/>
  <c r="BG17" i="1" s="1"/>
  <c r="BK17" i="1" s="1"/>
  <c r="BL17" i="1" s="1"/>
  <c r="BS21" i="3"/>
  <c r="BT21" i="3"/>
  <c r="AO14" i="4"/>
  <c r="AV14" i="4" s="1"/>
  <c r="BF19" i="1"/>
  <c r="BG19" i="1" s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F20" i="1"/>
  <c r="BG20" i="1" s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F16" i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F15" i="1"/>
  <c r="BG15" i="1" s="1"/>
  <c r="BK15" i="1" s="1"/>
  <c r="BL15" i="1" s="1"/>
  <c r="BL14" i="1" l="1"/>
  <c r="BU15" i="1"/>
  <c r="BU14" i="1" s="1"/>
  <c r="BT14" i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<sst xmlns="http://schemas.openxmlformats.org/spreadsheetml/2006/main" count="713" uniqueCount="162">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</sst>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6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9" fontId="22" fillId="3" borderId="12" xfId="2" applyFont="1" applyFill="1" applyBorder="1" applyAlignment="1">
      <alignment horizontal="center" vertical="center" wrapText="1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164" fontId="14" fillId="6" borderId="0" xfId="1" applyNumberFormat="1" applyFont="1" applyFill="1"/>
    <xf numFmtId="164" fontId="28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0" fontId="20" fillId="3" borderId="1" xfId="3" applyFont="1" applyFill="1" applyBorder="1" applyAlignment="1">
      <alignment horizontal="center" vertical="center"/>
    </xf>
    <xf numFmtId="0" fontId="57" fillId="3" borderId="9" xfId="0" applyFont="1" applyFill="1" applyBorder="1"/>
    <xf numFmtId="0" fontId="57" fillId="3" borderId="17" xfId="0" applyFont="1" applyFill="1" applyBorder="1"/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164" fontId="22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164" fontId="22" fillId="3" borderId="1" xfId="1" applyNumberFormat="1" applyFont="1" applyFill="1" applyBorder="1" applyAlignment="1">
      <alignment horizontal="center" vertical="center"/>
    </xf>
    <xf numFmtId="0" fontId="22" fillId="3" borderId="1" xfId="1" applyNumberFormat="1" applyFont="1" applyFill="1" applyBorder="1" applyAlignment="1">
      <alignment horizontal="center" vertical="center" wrapText="1"/>
    </xf>
    <xf numFmtId="0" fontId="20" fillId="3" borderId="1" xfId="1" applyNumberFormat="1" applyFont="1" applyFill="1" applyBorder="1" applyAlignment="1">
      <alignment horizontal="center" vertical="center" wrapText="1"/>
    </xf>
    <xf numFmtId="165" fontId="68" fillId="3" borderId="1" xfId="1" applyFont="1" applyFill="1" applyBorder="1" applyAlignment="1">
      <alignment horizontal="center" vertical="center" wrapText="1"/>
    </xf>
    <xf numFmtId="164" fontId="20" fillId="3" borderId="17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165" fontId="42" fillId="7" borderId="4" xfId="1" applyFont="1" applyFill="1" applyBorder="1" applyAlignment="1">
      <alignment horizontal="center" vertical="center" wrapText="1"/>
    </xf>
    <xf numFmtId="0" fontId="57" fillId="7" borderId="5" xfId="0" applyFont="1" applyFill="1" applyBorder="1"/>
    <xf numFmtId="164" fontId="20" fillId="7" borderId="1" xfId="1" applyNumberFormat="1" applyFont="1" applyFill="1" applyBorder="1" applyAlignment="1">
      <alignment horizontal="center" vertical="center" wrapText="1"/>
    </xf>
    <xf numFmtId="0" fontId="57" fillId="7" borderId="6" xfId="0" applyFont="1" applyFill="1" applyBorder="1"/>
    <xf numFmtId="164" fontId="20" fillId="3" borderId="1" xfId="1" applyNumberFormat="1" applyFont="1" applyFill="1" applyBorder="1" applyAlignment="1">
      <alignment horizontal="center" vertical="center" wrapText="1"/>
    </xf>
    <xf numFmtId="164" fontId="42" fillId="7" borderId="1" xfId="1" applyNumberFormat="1" applyFont="1" applyFill="1" applyBorder="1" applyAlignment="1">
      <alignment horizontal="center" vertical="center" wrapText="1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165" fontId="20" fillId="3" borderId="7" xfId="1" applyFont="1" applyFill="1" applyBorder="1" applyAlignment="1">
      <alignment horizontal="center" vertical="center" wrapText="1"/>
    </xf>
    <xf numFmtId="0" fontId="57" fillId="3" borderId="18" xfId="0" applyFont="1" applyFill="1" applyBorder="1"/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164" fontId="7" fillId="3" borderId="1" xfId="1" applyNumberFormat="1" applyFont="1" applyFill="1" applyBorder="1" applyAlignment="1">
      <alignment horizontal="center" vertical="center" wrapText="1"/>
    </xf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43" fontId="65" fillId="0" borderId="1" xfId="5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19" xfId="0" applyFont="1" applyBorder="1"/>
    <xf numFmtId="0" fontId="57" fillId="0" borderId="16" xfId="0" applyFont="1" applyBorder="1"/>
    <xf numFmtId="164" fontId="20" fillId="0" borderId="3" xfId="1" applyNumberFormat="1" applyFont="1" applyBorder="1" applyAlignment="1">
      <alignment horizontal="center" vertical="center" wrapText="1"/>
    </xf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22" fillId="4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43" fontId="22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49" fontId="22" fillId="2" borderId="1" xfId="1" applyNumberFormat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5" fontId="8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22" fillId="4" borderId="3" xfId="1" applyNumberFormat="1" applyFont="1" applyFill="1" applyBorder="1" applyAlignment="1">
      <alignment horizontal="center" vertical="center" wrapText="1"/>
    </xf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164" fontId="8" fillId="2" borderId="20" xfId="1" applyNumberFormat="1" applyFont="1" applyFill="1" applyBorder="1" applyAlignment="1">
      <alignment horizontal="center" vertical="center"/>
    </xf>
    <xf numFmtId="165" fontId="8" fillId="2" borderId="7" xfId="1" applyFont="1" applyFill="1" applyBorder="1" applyAlignment="1">
      <alignment horizontal="center" vertical="center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2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43" fontId="24" fillId="2" borderId="1" xfId="5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4" fontId="42" fillId="0" borderId="1" xfId="1" applyNumberFormat="1" applyFont="1" applyFill="1" applyBorder="1" applyAlignment="1">
      <alignment horizontal="left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AD4" zoomScaleNormal="100" zoomScaleSheetLayoutView="70" workbookViewId="0">
      <selection activeCell="AS23" sqref="AS23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15.83203125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4" t="s">
        <v>0</v>
      </c>
      <c r="B1" s="285"/>
      <c r="C1" s="286"/>
      <c r="D1" s="287"/>
      <c r="E1" s="287"/>
      <c r="F1" s="287"/>
      <c r="I1" s="288"/>
      <c r="K1" s="289"/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89"/>
      <c r="W1" s="289"/>
      <c r="X1" s="289"/>
      <c r="Y1" s="290"/>
      <c r="Z1" s="290"/>
      <c r="AA1" s="290"/>
      <c r="AB1" s="290"/>
      <c r="AC1" s="290"/>
      <c r="AD1" s="290"/>
      <c r="AE1" s="290"/>
      <c r="AF1" s="290"/>
      <c r="AG1" s="290"/>
      <c r="AH1" s="290"/>
      <c r="AI1" s="290"/>
      <c r="AJ1" s="290"/>
      <c r="AK1" s="290"/>
      <c r="AL1" s="290"/>
      <c r="AM1" s="290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90"/>
      <c r="BC1" s="290"/>
      <c r="BD1" s="291"/>
      <c r="BE1" s="290"/>
      <c r="BF1" s="291"/>
      <c r="BG1" s="290"/>
      <c r="BH1" s="290"/>
      <c r="BI1" s="290"/>
      <c r="BJ1" s="290"/>
      <c r="BK1" s="290"/>
      <c r="BL1" s="290"/>
      <c r="BM1" s="290"/>
      <c r="BN1" s="290"/>
      <c r="BO1" s="290"/>
      <c r="BP1" s="292"/>
      <c r="BQ1" s="290"/>
      <c r="BR1" s="290"/>
      <c r="BS1" s="290"/>
      <c r="BU1" s="290"/>
      <c r="BV1" s="290"/>
      <c r="BW1" s="293"/>
      <c r="BX1" s="293"/>
      <c r="BY1" s="293"/>
      <c r="BZ1" s="293"/>
      <c r="CA1" s="293"/>
      <c r="CB1" s="294"/>
      <c r="CC1" s="294"/>
      <c r="CD1" s="294"/>
    </row>
    <row r="2" spans="1:87" s="240" customFormat="1" ht="19.25" customHeight="1" outlineLevel="1">
      <c r="A2" s="295" t="s">
        <v>1</v>
      </c>
      <c r="B2" s="285"/>
      <c r="C2" s="296"/>
      <c r="D2" s="287"/>
      <c r="E2" s="287"/>
      <c r="F2" s="287"/>
      <c r="I2" s="288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90"/>
      <c r="Z2" s="290"/>
      <c r="AA2" s="290"/>
      <c r="AB2" s="290"/>
      <c r="AC2" s="290"/>
      <c r="AD2" s="290"/>
      <c r="AE2" s="290"/>
      <c r="AF2" s="290"/>
      <c r="AG2" s="290"/>
      <c r="AH2" s="290"/>
      <c r="AI2" s="290"/>
      <c r="AJ2" s="290"/>
      <c r="AK2" s="290"/>
      <c r="AL2" s="290"/>
      <c r="AM2" s="290"/>
      <c r="AN2" s="290"/>
      <c r="AO2" s="290"/>
      <c r="AP2" s="290"/>
      <c r="AQ2" s="290"/>
      <c r="AR2" s="290"/>
      <c r="AS2" s="290"/>
      <c r="AT2" s="290"/>
      <c r="AU2" s="290"/>
      <c r="AV2" s="290"/>
      <c r="AW2" s="290"/>
      <c r="AX2" s="290"/>
      <c r="AY2" s="290"/>
      <c r="AZ2" s="290"/>
      <c r="BA2" s="290"/>
      <c r="BB2" s="290"/>
      <c r="BC2" s="290"/>
      <c r="BD2" s="291"/>
      <c r="BE2" s="290"/>
      <c r="BF2" s="290"/>
      <c r="BG2" s="290"/>
      <c r="BH2" s="290"/>
      <c r="BI2" s="290"/>
      <c r="BJ2" s="290"/>
      <c r="BK2" s="290"/>
      <c r="BL2" s="290"/>
      <c r="BM2" s="290"/>
      <c r="BN2" s="290"/>
      <c r="BO2" s="290"/>
      <c r="BP2" s="290"/>
      <c r="BQ2" s="290"/>
      <c r="BR2" s="290"/>
      <c r="BS2" s="290"/>
      <c r="BT2" s="290"/>
      <c r="BU2" s="290"/>
      <c r="BV2" s="290"/>
      <c r="BW2" s="297"/>
      <c r="BX2" s="297"/>
      <c r="BY2" s="297"/>
      <c r="BZ2" s="297"/>
      <c r="CA2" s="297"/>
      <c r="CB2" s="296"/>
      <c r="CC2" s="296"/>
      <c r="CD2" s="296"/>
    </row>
    <row r="3" spans="1:87" s="14" customFormat="1" ht="24" customHeight="1" outlineLevel="1">
      <c r="A3" s="366"/>
      <c r="B3" s="363"/>
      <c r="C3" s="363"/>
      <c r="D3" s="363"/>
      <c r="E3" s="363"/>
      <c r="F3" s="363"/>
      <c r="G3" s="363"/>
      <c r="H3" s="363"/>
      <c r="I3" s="363"/>
      <c r="J3" s="363"/>
      <c r="K3" s="363"/>
      <c r="L3" s="363"/>
      <c r="M3" s="363"/>
      <c r="N3" s="363"/>
      <c r="O3" s="363"/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363"/>
      <c r="AA3" s="363"/>
      <c r="AB3" s="363"/>
      <c r="AC3" s="363"/>
      <c r="AD3" s="363"/>
      <c r="AE3" s="363"/>
      <c r="AF3" s="363"/>
      <c r="AG3" s="363"/>
      <c r="AH3" s="363"/>
      <c r="AI3" s="363"/>
      <c r="AJ3" s="363"/>
      <c r="AK3" s="363"/>
      <c r="AL3" s="363"/>
      <c r="AM3" s="363"/>
      <c r="AN3" s="363"/>
      <c r="AO3" s="363"/>
      <c r="AP3" s="363"/>
      <c r="AQ3" s="363"/>
      <c r="AR3" s="363"/>
      <c r="AS3" s="363"/>
      <c r="AT3" s="363"/>
      <c r="AU3" s="363"/>
      <c r="AV3" s="363"/>
      <c r="AW3" s="363"/>
      <c r="AX3" s="363"/>
      <c r="AY3" s="363"/>
      <c r="AZ3" s="363"/>
      <c r="BA3" s="363"/>
      <c r="BB3" s="363"/>
      <c r="BC3" s="363"/>
      <c r="BD3" s="363"/>
      <c r="BE3" s="363"/>
      <c r="BF3" s="363"/>
      <c r="BG3" s="363"/>
      <c r="BH3" s="363"/>
      <c r="BI3" s="363"/>
      <c r="BJ3" s="363"/>
      <c r="BK3" s="363"/>
      <c r="BL3" s="363"/>
      <c r="BM3" s="363"/>
      <c r="BN3" s="363"/>
      <c r="BO3" s="363"/>
      <c r="BP3" s="363"/>
      <c r="BQ3" s="363"/>
      <c r="BR3" s="363"/>
      <c r="BS3" s="363"/>
      <c r="BT3" s="363"/>
      <c r="BU3" s="363"/>
      <c r="BV3" s="298"/>
      <c r="BW3" s="362" t="s">
        <v>2</v>
      </c>
      <c r="BX3" s="363"/>
      <c r="BY3" s="363"/>
      <c r="BZ3" s="363"/>
      <c r="CA3" s="363"/>
      <c r="CB3" s="363"/>
      <c r="CC3" s="300"/>
      <c r="CD3" s="300"/>
    </row>
    <row r="4" spans="1:87" s="14" customFormat="1" ht="21.5" customHeight="1" outlineLevel="1">
      <c r="A4" s="301"/>
      <c r="B4" s="301"/>
      <c r="C4" s="301"/>
      <c r="D4" s="301"/>
      <c r="E4" s="301"/>
      <c r="F4" s="301"/>
      <c r="G4" s="301"/>
      <c r="H4" s="301"/>
      <c r="I4" s="288"/>
      <c r="K4" s="301"/>
      <c r="L4" s="301"/>
      <c r="M4" s="301"/>
      <c r="N4" s="301"/>
      <c r="O4" s="301"/>
      <c r="P4" s="301"/>
      <c r="Q4" s="301"/>
      <c r="R4" s="301"/>
      <c r="S4" s="301"/>
      <c r="T4" s="301"/>
      <c r="U4" s="301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2"/>
      <c r="AM4" s="301"/>
      <c r="AN4" s="301"/>
      <c r="AO4" s="301"/>
      <c r="AP4" s="301"/>
      <c r="AQ4" s="301"/>
      <c r="AR4" s="301"/>
      <c r="AS4" s="301"/>
      <c r="AT4" s="301"/>
      <c r="AU4" s="301"/>
      <c r="AV4" s="301"/>
      <c r="AW4" s="301"/>
      <c r="AX4" s="301"/>
      <c r="AY4" s="301"/>
      <c r="AZ4" s="301"/>
      <c r="BA4" s="301"/>
      <c r="BB4" s="301"/>
      <c r="BC4" s="301"/>
      <c r="BD4" s="301"/>
      <c r="BE4" s="301"/>
      <c r="BF4" s="301"/>
      <c r="BG4" s="301"/>
      <c r="BH4" s="301"/>
      <c r="BI4" s="301"/>
      <c r="BJ4" s="301"/>
      <c r="BK4" s="301"/>
      <c r="BL4" s="301"/>
      <c r="BM4" s="301"/>
      <c r="BN4" s="301"/>
      <c r="BO4" s="301"/>
      <c r="BP4" s="301"/>
      <c r="BQ4" s="301"/>
      <c r="BR4" s="301"/>
      <c r="BS4" s="301"/>
      <c r="BT4" s="301"/>
      <c r="BU4" s="301"/>
      <c r="BV4" s="301"/>
      <c r="BW4" s="363"/>
      <c r="BX4" s="363"/>
      <c r="BY4" s="363"/>
      <c r="BZ4" s="363"/>
      <c r="CA4" s="363"/>
      <c r="CB4" s="363"/>
      <c r="CC4" s="300"/>
      <c r="CD4" s="300"/>
    </row>
    <row r="5" spans="1:87" s="14" customFormat="1" ht="20.25" customHeight="1" outlineLevel="1">
      <c r="A5" s="301"/>
      <c r="B5" s="301"/>
      <c r="C5" s="301"/>
      <c r="D5" s="301"/>
      <c r="E5" s="301"/>
      <c r="F5" s="301"/>
      <c r="G5" s="301"/>
      <c r="H5" s="301"/>
      <c r="I5" s="288"/>
      <c r="K5" s="301"/>
      <c r="L5" s="301"/>
      <c r="M5" s="301"/>
      <c r="N5" s="301"/>
      <c r="O5" s="301"/>
      <c r="P5" s="301"/>
      <c r="Q5" s="301"/>
      <c r="R5" s="301"/>
      <c r="S5" s="301"/>
      <c r="T5" s="301"/>
      <c r="U5" s="301"/>
      <c r="V5" s="301"/>
      <c r="W5" s="301"/>
      <c r="X5" s="301"/>
      <c r="Y5" s="301"/>
      <c r="Z5" s="301"/>
      <c r="AA5" s="301"/>
      <c r="AB5" s="301"/>
      <c r="AC5" s="301"/>
      <c r="AD5" s="301"/>
      <c r="AE5" s="301"/>
      <c r="AF5" s="301"/>
      <c r="AG5" s="301"/>
      <c r="AH5" s="301"/>
      <c r="AI5" s="301"/>
      <c r="AJ5" s="301"/>
      <c r="AK5" s="301"/>
      <c r="AL5" s="301"/>
      <c r="AM5" s="301"/>
      <c r="AN5" s="301"/>
      <c r="AO5" s="301"/>
      <c r="AP5" s="301"/>
      <c r="AQ5" s="301"/>
      <c r="AR5" s="301"/>
      <c r="AS5" s="301"/>
      <c r="AT5" s="301"/>
      <c r="AU5" s="301"/>
      <c r="AV5" s="301"/>
      <c r="AW5" s="301"/>
      <c r="AX5" s="301"/>
      <c r="AY5" s="301"/>
      <c r="AZ5" s="301"/>
      <c r="BA5" s="301"/>
      <c r="BB5" s="301"/>
      <c r="BC5" s="301"/>
      <c r="BD5" s="301"/>
      <c r="BE5" s="301"/>
      <c r="BF5" s="301"/>
      <c r="BG5" s="301"/>
      <c r="BH5" s="301"/>
      <c r="BI5" s="301"/>
      <c r="BJ5" s="301"/>
      <c r="BK5" s="301"/>
      <c r="BL5" s="301"/>
      <c r="BM5" s="301"/>
      <c r="BN5" s="301"/>
      <c r="BO5" s="301"/>
      <c r="BP5" s="301"/>
      <c r="BQ5" s="301"/>
      <c r="BR5" s="301"/>
      <c r="BS5" s="301"/>
      <c r="BT5" s="301"/>
      <c r="BU5" s="301"/>
      <c r="BV5" s="301"/>
      <c r="BW5" s="363"/>
      <c r="BX5" s="363"/>
      <c r="BY5" s="363"/>
      <c r="BZ5" s="363"/>
      <c r="CA5" s="363"/>
      <c r="CB5" s="363"/>
      <c r="CC5" s="300"/>
      <c r="CD5" s="300"/>
    </row>
    <row r="6" spans="1:87" s="14" customFormat="1" ht="34" customHeight="1" outlineLevel="1">
      <c r="A6" s="303"/>
      <c r="D6" s="303"/>
      <c r="E6" s="303"/>
      <c r="F6" s="303"/>
      <c r="G6" s="303"/>
      <c r="H6" s="303"/>
      <c r="I6" s="288"/>
      <c r="K6" s="304"/>
      <c r="L6" s="304"/>
      <c r="M6" s="304"/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5"/>
      <c r="Z6" s="305"/>
      <c r="AA6" s="305"/>
      <c r="AB6" s="305"/>
      <c r="AC6" s="301"/>
      <c r="AD6" s="303"/>
      <c r="AE6" s="303"/>
      <c r="AF6" s="303"/>
      <c r="AG6" s="303"/>
      <c r="AH6" s="303"/>
      <c r="AI6" s="303"/>
      <c r="AJ6" s="303"/>
      <c r="AK6" s="303"/>
      <c r="AL6" s="303"/>
      <c r="AM6" s="303"/>
      <c r="AN6" s="303"/>
      <c r="AO6" s="303"/>
      <c r="AP6" s="303"/>
      <c r="AQ6" s="303"/>
      <c r="AR6" s="303"/>
      <c r="AS6" s="303"/>
      <c r="AT6" s="303"/>
      <c r="AU6" s="303"/>
      <c r="AV6" s="303"/>
      <c r="AW6" s="303"/>
      <c r="AX6" s="303"/>
      <c r="AY6" s="303"/>
      <c r="AZ6" s="303"/>
      <c r="BA6" s="303"/>
      <c r="BB6" s="303"/>
      <c r="BC6" s="303"/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303"/>
      <c r="BO6" s="303"/>
      <c r="BP6" s="303"/>
      <c r="BQ6" s="303"/>
      <c r="BR6" s="303"/>
      <c r="BS6" s="303"/>
      <c r="BT6" s="303"/>
      <c r="BU6" s="303"/>
      <c r="BV6" s="303"/>
      <c r="BW6" s="363"/>
      <c r="BX6" s="363"/>
      <c r="BY6" s="363"/>
      <c r="BZ6" s="363"/>
      <c r="CA6" s="363"/>
      <c r="CB6" s="363"/>
      <c r="CC6" s="300"/>
      <c r="CD6" s="300"/>
    </row>
    <row r="7" spans="1:87" s="323" customFormat="1" ht="31" outlineLevel="1">
      <c r="B7" s="303" t="s">
        <v>155</v>
      </c>
      <c r="C7" s="303" t="s">
        <v>155</v>
      </c>
      <c r="D7" s="324"/>
      <c r="E7" s="324" t="s">
        <v>156</v>
      </c>
      <c r="F7" s="325"/>
      <c r="G7" s="324" t="s">
        <v>156</v>
      </c>
      <c r="H7" s="324"/>
      <c r="I7" s="326" t="s">
        <v>158</v>
      </c>
      <c r="J7" s="323" t="s">
        <v>157</v>
      </c>
      <c r="K7" s="327"/>
      <c r="L7" s="327"/>
      <c r="M7" s="327"/>
      <c r="N7" s="327"/>
      <c r="O7" s="327"/>
      <c r="Q7" s="327"/>
      <c r="R7" s="327"/>
      <c r="S7" s="327"/>
      <c r="T7" s="327"/>
      <c r="U7" s="328"/>
      <c r="V7" s="327"/>
      <c r="W7" s="327"/>
      <c r="X7" s="327"/>
      <c r="Y7" s="329" t="s">
        <v>158</v>
      </c>
      <c r="Z7" s="329" t="s">
        <v>158</v>
      </c>
      <c r="AA7" s="329" t="s">
        <v>158</v>
      </c>
      <c r="AB7" s="329"/>
      <c r="AC7" s="327" t="s">
        <v>158</v>
      </c>
      <c r="AD7" s="303" t="s">
        <v>158</v>
      </c>
      <c r="AE7" s="303" t="s">
        <v>158</v>
      </c>
      <c r="AF7" s="303"/>
      <c r="AG7" s="303"/>
      <c r="AH7" s="303" t="s">
        <v>158</v>
      </c>
      <c r="AI7" s="303" t="s">
        <v>158</v>
      </c>
      <c r="AJ7" s="303"/>
      <c r="AK7" s="303"/>
      <c r="AL7" s="303" t="s">
        <v>158</v>
      </c>
      <c r="AM7" s="303" t="s">
        <v>159</v>
      </c>
      <c r="AN7" s="303" t="s">
        <v>158</v>
      </c>
      <c r="AO7" s="303" t="s">
        <v>158</v>
      </c>
      <c r="AP7" s="303" t="s">
        <v>159</v>
      </c>
      <c r="AQ7" s="303"/>
      <c r="AR7" s="303" t="s">
        <v>159</v>
      </c>
      <c r="AS7" s="303" t="s">
        <v>159</v>
      </c>
      <c r="AT7" s="303" t="s">
        <v>156</v>
      </c>
      <c r="AU7" s="303" t="s">
        <v>159</v>
      </c>
      <c r="AY7" s="324"/>
      <c r="BA7" s="324"/>
      <c r="BB7" s="324" t="s">
        <v>160</v>
      </c>
      <c r="BE7" s="324"/>
      <c r="BF7" s="324"/>
      <c r="BG7" s="324"/>
      <c r="BH7" s="324"/>
      <c r="BI7" s="324" t="s">
        <v>160</v>
      </c>
      <c r="BJ7" s="324"/>
      <c r="BK7" s="324"/>
      <c r="BL7" s="323" t="s">
        <v>160</v>
      </c>
      <c r="BN7" s="324"/>
      <c r="BP7" s="324"/>
      <c r="BT7" s="324" t="s">
        <v>161</v>
      </c>
      <c r="BU7" s="323" t="s">
        <v>161</v>
      </c>
      <c r="BW7" s="299"/>
      <c r="BX7" s="299" t="s">
        <v>156</v>
      </c>
      <c r="BY7" s="299" t="s">
        <v>156</v>
      </c>
      <c r="BZ7" s="299"/>
      <c r="CA7" s="299" t="s">
        <v>156</v>
      </c>
      <c r="CB7" s="328"/>
      <c r="CC7" s="328"/>
      <c r="CD7" s="328"/>
      <c r="CE7" s="303" t="s">
        <v>155</v>
      </c>
    </row>
    <row r="8" spans="1:87" s="306" customFormat="1" ht="19.25" customHeight="1">
      <c r="A8" s="334" t="s">
        <v>4</v>
      </c>
      <c r="B8" s="368" t="s">
        <v>5</v>
      </c>
      <c r="C8" s="346" t="s">
        <v>6</v>
      </c>
      <c r="D8" s="350" t="s">
        <v>7</v>
      </c>
      <c r="E8" s="350" t="s">
        <v>8</v>
      </c>
      <c r="F8" s="346" t="s">
        <v>9</v>
      </c>
      <c r="G8" s="369" t="s">
        <v>10</v>
      </c>
      <c r="H8" s="355" t="s">
        <v>11</v>
      </c>
      <c r="I8" s="355" t="s">
        <v>12</v>
      </c>
      <c r="J8" s="355" t="s">
        <v>13</v>
      </c>
      <c r="K8" s="356" t="s">
        <v>14</v>
      </c>
      <c r="L8" s="357"/>
      <c r="M8" s="357"/>
      <c r="N8" s="357"/>
      <c r="O8" s="357"/>
      <c r="P8" s="357"/>
      <c r="Q8" s="357"/>
      <c r="R8" s="357"/>
      <c r="S8" s="357"/>
      <c r="T8" s="357"/>
      <c r="U8" s="357"/>
      <c r="V8" s="357"/>
      <c r="W8" s="357"/>
      <c r="X8" s="357"/>
      <c r="Y8" s="361" t="s">
        <v>15</v>
      </c>
      <c r="Z8" s="357"/>
      <c r="AA8" s="357"/>
      <c r="AB8" s="357"/>
      <c r="AC8" s="357"/>
      <c r="AD8" s="357"/>
      <c r="AE8" s="357"/>
      <c r="AF8" s="357"/>
      <c r="AG8" s="357"/>
      <c r="AH8" s="357"/>
      <c r="AI8" s="357"/>
      <c r="AJ8" s="357"/>
      <c r="AK8" s="357"/>
      <c r="AL8" s="357"/>
      <c r="AM8" s="357"/>
      <c r="AN8" s="357"/>
      <c r="AO8" s="359"/>
      <c r="AP8" s="355" t="s">
        <v>16</v>
      </c>
      <c r="AQ8" s="355" t="s">
        <v>17</v>
      </c>
      <c r="AR8" s="355" t="s">
        <v>18</v>
      </c>
      <c r="AS8" s="355" t="s">
        <v>19</v>
      </c>
      <c r="AT8" s="355" t="s">
        <v>20</v>
      </c>
      <c r="AU8" s="355" t="s">
        <v>21</v>
      </c>
      <c r="AV8" s="346" t="s">
        <v>22</v>
      </c>
      <c r="AW8" s="360" t="s">
        <v>23</v>
      </c>
      <c r="AX8" s="360" t="s">
        <v>24</v>
      </c>
      <c r="AY8" s="358" t="s">
        <v>25</v>
      </c>
      <c r="AZ8" s="357"/>
      <c r="BA8" s="357"/>
      <c r="BB8" s="357"/>
      <c r="BC8" s="357"/>
      <c r="BD8" s="357"/>
      <c r="BE8" s="357"/>
      <c r="BF8" s="357"/>
      <c r="BG8" s="357"/>
      <c r="BH8" s="357"/>
      <c r="BI8" s="357"/>
      <c r="BJ8" s="357"/>
      <c r="BK8" s="357"/>
      <c r="BL8" s="357"/>
      <c r="BM8" s="357"/>
      <c r="BN8" s="357"/>
      <c r="BO8" s="357"/>
      <c r="BP8" s="357"/>
      <c r="BQ8" s="359"/>
      <c r="BR8" s="377" t="s">
        <v>26</v>
      </c>
      <c r="BS8" s="374"/>
      <c r="BT8" s="346" t="s">
        <v>27</v>
      </c>
      <c r="BU8" s="370" t="s">
        <v>28</v>
      </c>
      <c r="BV8" s="22"/>
      <c r="BW8" s="347" t="s">
        <v>29</v>
      </c>
      <c r="BX8" s="337" t="s">
        <v>30</v>
      </c>
      <c r="BY8" s="338"/>
      <c r="BZ8" s="338"/>
      <c r="CA8" s="339"/>
      <c r="CB8" s="378" t="s">
        <v>31</v>
      </c>
      <c r="CC8" s="364" t="s">
        <v>32</v>
      </c>
      <c r="CD8" s="364" t="s">
        <v>33</v>
      </c>
      <c r="CH8" s="241"/>
      <c r="CI8" s="241"/>
    </row>
    <row r="9" spans="1:87" s="306" customFormat="1" ht="19.25" customHeight="1">
      <c r="A9" s="335"/>
      <c r="B9" s="332"/>
      <c r="C9" s="332"/>
      <c r="D9" s="332"/>
      <c r="E9" s="332"/>
      <c r="F9" s="332"/>
      <c r="G9" s="332"/>
      <c r="H9" s="335"/>
      <c r="I9" s="335"/>
      <c r="J9" s="335"/>
      <c r="K9" s="353" t="s">
        <v>34</v>
      </c>
      <c r="L9" s="353" t="s">
        <v>35</v>
      </c>
      <c r="M9" s="353" t="s">
        <v>36</v>
      </c>
      <c r="N9" s="353" t="s">
        <v>37</v>
      </c>
      <c r="O9" s="353" t="s">
        <v>38</v>
      </c>
      <c r="P9" s="353" t="s">
        <v>39</v>
      </c>
      <c r="Q9" s="353" t="s">
        <v>40</v>
      </c>
      <c r="R9" s="353" t="s">
        <v>41</v>
      </c>
      <c r="S9" s="353" t="s">
        <v>42</v>
      </c>
      <c r="T9" s="353" t="s">
        <v>43</v>
      </c>
      <c r="U9" s="353" t="s">
        <v>44</v>
      </c>
      <c r="V9" s="373" t="s">
        <v>45</v>
      </c>
      <c r="W9" s="374"/>
      <c r="X9" s="353" t="s">
        <v>46</v>
      </c>
      <c r="Y9" s="331" t="s">
        <v>154</v>
      </c>
      <c r="Z9" s="331" t="s">
        <v>48</v>
      </c>
      <c r="AA9" s="331" t="s">
        <v>49</v>
      </c>
      <c r="AB9" s="331" t="s">
        <v>50</v>
      </c>
      <c r="AC9" s="331" t="s">
        <v>51</v>
      </c>
      <c r="AD9" s="331" t="s">
        <v>52</v>
      </c>
      <c r="AE9" s="331" t="s">
        <v>53</v>
      </c>
      <c r="AF9" s="331" t="s">
        <v>54</v>
      </c>
      <c r="AG9" s="331" t="s">
        <v>55</v>
      </c>
      <c r="AH9" s="331" t="s">
        <v>56</v>
      </c>
      <c r="AI9" s="331" t="s">
        <v>57</v>
      </c>
      <c r="AJ9" s="331" t="s">
        <v>58</v>
      </c>
      <c r="AK9" s="370" t="s">
        <v>59</v>
      </c>
      <c r="AL9" s="346" t="s">
        <v>60</v>
      </c>
      <c r="AM9" s="331" t="s">
        <v>61</v>
      </c>
      <c r="AN9" s="346" t="s">
        <v>62</v>
      </c>
      <c r="AO9" s="346" t="s">
        <v>63</v>
      </c>
      <c r="AP9" s="335"/>
      <c r="AQ9" s="335"/>
      <c r="AR9" s="335"/>
      <c r="AS9" s="335"/>
      <c r="AT9" s="335"/>
      <c r="AU9" s="335"/>
      <c r="AV9" s="332"/>
      <c r="AW9" s="335"/>
      <c r="AX9" s="335"/>
      <c r="AY9" s="380" t="s">
        <v>25</v>
      </c>
      <c r="AZ9" s="381"/>
      <c r="BA9" s="381"/>
      <c r="BB9" s="381"/>
      <c r="BC9" s="381"/>
      <c r="BD9" s="381"/>
      <c r="BE9" s="381"/>
      <c r="BF9" s="381"/>
      <c r="BG9" s="381"/>
      <c r="BH9" s="381"/>
      <c r="BI9" s="381"/>
      <c r="BJ9" s="381"/>
      <c r="BK9" s="381"/>
      <c r="BL9" s="382"/>
      <c r="BM9" s="380" t="s">
        <v>64</v>
      </c>
      <c r="BN9" s="381"/>
      <c r="BO9" s="381"/>
      <c r="BP9" s="381"/>
      <c r="BQ9" s="382"/>
      <c r="BR9" s="354" t="s">
        <v>65</v>
      </c>
      <c r="BS9" s="354" t="s">
        <v>66</v>
      </c>
      <c r="BT9" s="332"/>
      <c r="BU9" s="371"/>
      <c r="BV9" s="22"/>
      <c r="BW9" s="348"/>
      <c r="BX9" s="340"/>
      <c r="BY9" s="341"/>
      <c r="BZ9" s="341"/>
      <c r="CA9" s="342"/>
      <c r="CB9" s="332"/>
      <c r="CC9" s="335"/>
      <c r="CD9" s="335"/>
      <c r="CH9" s="241"/>
      <c r="CI9" s="241"/>
    </row>
    <row r="10" spans="1:87" s="307" customFormat="1" ht="19.25" customHeight="1">
      <c r="A10" s="335"/>
      <c r="B10" s="332"/>
      <c r="C10" s="332"/>
      <c r="D10" s="332"/>
      <c r="E10" s="332"/>
      <c r="F10" s="332"/>
      <c r="G10" s="332"/>
      <c r="H10" s="335"/>
      <c r="I10" s="33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75"/>
      <c r="W10" s="376"/>
      <c r="X10" s="335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2"/>
      <c r="AJ10" s="332"/>
      <c r="AK10" s="371"/>
      <c r="AL10" s="332"/>
      <c r="AM10" s="332"/>
      <c r="AN10" s="332"/>
      <c r="AO10" s="332"/>
      <c r="AP10" s="335"/>
      <c r="AQ10" s="335"/>
      <c r="AR10" s="335"/>
      <c r="AS10" s="335"/>
      <c r="AT10" s="335"/>
      <c r="AU10" s="335"/>
      <c r="AV10" s="332"/>
      <c r="AW10" s="335"/>
      <c r="AX10" s="335"/>
      <c r="AY10" s="101" t="s">
        <v>67</v>
      </c>
      <c r="AZ10" s="101" t="s">
        <v>68</v>
      </c>
      <c r="BA10" s="101" t="s">
        <v>69</v>
      </c>
      <c r="BB10" s="367" t="s">
        <v>70</v>
      </c>
      <c r="BC10" s="352" t="s">
        <v>71</v>
      </c>
      <c r="BD10" s="352" t="s">
        <v>72</v>
      </c>
      <c r="BE10" s="351" t="s">
        <v>73</v>
      </c>
      <c r="BF10" s="351" t="s">
        <v>74</v>
      </c>
      <c r="BG10" s="352" t="s">
        <v>75</v>
      </c>
      <c r="BH10" s="352" t="s">
        <v>76</v>
      </c>
      <c r="BI10" s="351" t="s">
        <v>77</v>
      </c>
      <c r="BJ10" s="351" t="s">
        <v>78</v>
      </c>
      <c r="BK10" s="351" t="s">
        <v>79</v>
      </c>
      <c r="BL10" s="346" t="s">
        <v>80</v>
      </c>
      <c r="BM10" s="352" t="s">
        <v>81</v>
      </c>
      <c r="BN10" s="360" t="s">
        <v>82</v>
      </c>
      <c r="BO10" s="352" t="s">
        <v>83</v>
      </c>
      <c r="BP10" s="360" t="s">
        <v>84</v>
      </c>
      <c r="BQ10" s="360" t="s">
        <v>85</v>
      </c>
      <c r="BR10" s="335"/>
      <c r="BS10" s="335"/>
      <c r="BT10" s="332"/>
      <c r="BU10" s="371"/>
      <c r="BV10" s="22"/>
      <c r="BW10" s="348"/>
      <c r="BX10" s="343"/>
      <c r="BY10" s="344"/>
      <c r="BZ10" s="344"/>
      <c r="CA10" s="345"/>
      <c r="CB10" s="332"/>
      <c r="CC10" s="335"/>
      <c r="CD10" s="335"/>
      <c r="CE10" s="321" t="s">
        <v>3</v>
      </c>
      <c r="CH10" s="241"/>
      <c r="CI10" s="241"/>
    </row>
    <row r="11" spans="1:87" s="307" customFormat="1" ht="38.25" customHeight="1">
      <c r="A11" s="336"/>
      <c r="B11" s="333"/>
      <c r="C11" s="333"/>
      <c r="D11" s="333"/>
      <c r="E11" s="333"/>
      <c r="F11" s="333"/>
      <c r="G11" s="333"/>
      <c r="H11" s="336"/>
      <c r="I11" s="336"/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269" t="s">
        <v>86</v>
      </c>
      <c r="W11" s="269" t="s">
        <v>87</v>
      </c>
      <c r="X11" s="336"/>
      <c r="Y11" s="333"/>
      <c r="Z11" s="333"/>
      <c r="AA11" s="333"/>
      <c r="AB11" s="333"/>
      <c r="AC11" s="333"/>
      <c r="AD11" s="333"/>
      <c r="AE11" s="333"/>
      <c r="AF11" s="333"/>
      <c r="AG11" s="333"/>
      <c r="AH11" s="333"/>
      <c r="AI11" s="333"/>
      <c r="AJ11" s="333"/>
      <c r="AK11" s="372"/>
      <c r="AL11" s="333"/>
      <c r="AM11" s="333"/>
      <c r="AN11" s="333"/>
      <c r="AO11" s="333"/>
      <c r="AP11" s="336"/>
      <c r="AQ11" s="336"/>
      <c r="AR11" s="336"/>
      <c r="AS11" s="336"/>
      <c r="AT11" s="336"/>
      <c r="AU11" s="336"/>
      <c r="AV11" s="333"/>
      <c r="AW11" s="336"/>
      <c r="AX11" s="336"/>
      <c r="AY11" s="322" t="s">
        <v>88</v>
      </c>
      <c r="AZ11" s="322" t="s">
        <v>89</v>
      </c>
      <c r="BA11" s="322" t="s">
        <v>90</v>
      </c>
      <c r="BB11" s="333"/>
      <c r="BC11" s="336"/>
      <c r="BD11" s="336"/>
      <c r="BE11" s="333"/>
      <c r="BF11" s="333"/>
      <c r="BG11" s="336"/>
      <c r="BH11" s="336"/>
      <c r="BI11" s="333"/>
      <c r="BJ11" s="333"/>
      <c r="BK11" s="333"/>
      <c r="BL11" s="333"/>
      <c r="BM11" s="336"/>
      <c r="BN11" s="336"/>
      <c r="BO11" s="336"/>
      <c r="BP11" s="336"/>
      <c r="BQ11" s="336"/>
      <c r="BR11" s="336"/>
      <c r="BS11" s="336"/>
      <c r="BT11" s="333"/>
      <c r="BU11" s="372"/>
      <c r="BV11" s="22"/>
      <c r="BW11" s="349"/>
      <c r="BX11" s="270" t="s">
        <v>91</v>
      </c>
      <c r="BY11" s="270" t="s">
        <v>92</v>
      </c>
      <c r="BZ11" s="270" t="s">
        <v>93</v>
      </c>
      <c r="CA11" s="271" t="s">
        <v>94</v>
      </c>
      <c r="CB11" s="379"/>
      <c r="CC11" s="365"/>
      <c r="CD11" s="365"/>
      <c r="CE11" s="320">
        <v>26</v>
      </c>
      <c r="CF11" s="308"/>
      <c r="CH11" s="241"/>
      <c r="CI11" s="241"/>
    </row>
    <row r="12" spans="1:87" s="313" customFormat="1" ht="15" customHeight="1">
      <c r="A12" s="309">
        <v>1</v>
      </c>
      <c r="B12" s="310">
        <f>A12+1</f>
        <v>2</v>
      </c>
      <c r="C12" s="310">
        <f>B12+1</f>
        <v>3</v>
      </c>
      <c r="D12" s="310">
        <f>C12+1</f>
        <v>4</v>
      </c>
      <c r="E12" s="310"/>
      <c r="F12" s="310">
        <f>D12+1</f>
        <v>5</v>
      </c>
      <c r="G12" s="310">
        <f t="shared" ref="G12:AV12" si="0">F12+1</f>
        <v>6</v>
      </c>
      <c r="H12" s="310">
        <f t="shared" si="0"/>
        <v>7</v>
      </c>
      <c r="I12" s="310">
        <f t="shared" si="0"/>
        <v>8</v>
      </c>
      <c r="J12" s="310">
        <f t="shared" si="0"/>
        <v>9</v>
      </c>
      <c r="K12" s="310">
        <f t="shared" si="0"/>
        <v>10</v>
      </c>
      <c r="L12" s="310">
        <f t="shared" si="0"/>
        <v>11</v>
      </c>
      <c r="M12" s="310">
        <f t="shared" si="0"/>
        <v>12</v>
      </c>
      <c r="N12" s="310">
        <f t="shared" si="0"/>
        <v>13</v>
      </c>
      <c r="O12" s="310">
        <f t="shared" si="0"/>
        <v>14</v>
      </c>
      <c r="P12" s="310">
        <f t="shared" si="0"/>
        <v>15</v>
      </c>
      <c r="Q12" s="310">
        <f t="shared" si="0"/>
        <v>16</v>
      </c>
      <c r="R12" s="310">
        <f t="shared" si="0"/>
        <v>17</v>
      </c>
      <c r="S12" s="310">
        <f t="shared" si="0"/>
        <v>18</v>
      </c>
      <c r="T12" s="310">
        <f t="shared" si="0"/>
        <v>19</v>
      </c>
      <c r="U12" s="310">
        <f t="shared" si="0"/>
        <v>20</v>
      </c>
      <c r="V12" s="310">
        <f t="shared" si="0"/>
        <v>21</v>
      </c>
      <c r="W12" s="310">
        <f t="shared" si="0"/>
        <v>22</v>
      </c>
      <c r="X12" s="310">
        <f t="shared" si="0"/>
        <v>23</v>
      </c>
      <c r="Y12" s="310">
        <f t="shared" si="0"/>
        <v>24</v>
      </c>
      <c r="Z12" s="310">
        <f t="shared" si="0"/>
        <v>25</v>
      </c>
      <c r="AA12" s="310">
        <f t="shared" si="0"/>
        <v>26</v>
      </c>
      <c r="AB12" s="310">
        <f t="shared" si="0"/>
        <v>27</v>
      </c>
      <c r="AC12" s="310">
        <f t="shared" si="0"/>
        <v>28</v>
      </c>
      <c r="AD12" s="310">
        <f t="shared" si="0"/>
        <v>29</v>
      </c>
      <c r="AE12" s="310">
        <f t="shared" si="0"/>
        <v>30</v>
      </c>
      <c r="AF12" s="310">
        <f t="shared" si="0"/>
        <v>31</v>
      </c>
      <c r="AG12" s="310">
        <f t="shared" si="0"/>
        <v>32</v>
      </c>
      <c r="AH12" s="310">
        <f t="shared" si="0"/>
        <v>33</v>
      </c>
      <c r="AI12" s="310">
        <f t="shared" si="0"/>
        <v>34</v>
      </c>
      <c r="AJ12" s="310">
        <f t="shared" si="0"/>
        <v>35</v>
      </c>
      <c r="AK12" s="310">
        <f t="shared" si="0"/>
        <v>36</v>
      </c>
      <c r="AL12" s="310">
        <f t="shared" si="0"/>
        <v>37</v>
      </c>
      <c r="AM12" s="310">
        <f t="shared" si="0"/>
        <v>38</v>
      </c>
      <c r="AN12" s="310">
        <f t="shared" si="0"/>
        <v>39</v>
      </c>
      <c r="AO12" s="310">
        <f t="shared" si="0"/>
        <v>40</v>
      </c>
      <c r="AP12" s="310">
        <f t="shared" si="0"/>
        <v>41</v>
      </c>
      <c r="AQ12" s="310">
        <f t="shared" si="0"/>
        <v>42</v>
      </c>
      <c r="AR12" s="310">
        <f t="shared" si="0"/>
        <v>43</v>
      </c>
      <c r="AS12" s="310">
        <f t="shared" si="0"/>
        <v>44</v>
      </c>
      <c r="AT12" s="310">
        <f t="shared" si="0"/>
        <v>45</v>
      </c>
      <c r="AU12" s="310">
        <f t="shared" si="0"/>
        <v>46</v>
      </c>
      <c r="AV12" s="310">
        <f t="shared" si="0"/>
        <v>47</v>
      </c>
      <c r="AW12" s="310"/>
      <c r="AX12" s="310"/>
      <c r="AY12" s="310">
        <f>AV12+1</f>
        <v>48</v>
      </c>
      <c r="AZ12" s="310">
        <f t="shared" ref="AZ12:BE12" si="1">AY12+1</f>
        <v>49</v>
      </c>
      <c r="BA12" s="310">
        <f t="shared" si="1"/>
        <v>50</v>
      </c>
      <c r="BB12" s="310">
        <f t="shared" si="1"/>
        <v>51</v>
      </c>
      <c r="BC12" s="310">
        <f t="shared" si="1"/>
        <v>52</v>
      </c>
      <c r="BD12" s="310">
        <f t="shared" si="1"/>
        <v>53</v>
      </c>
      <c r="BE12" s="310">
        <f t="shared" si="1"/>
        <v>54</v>
      </c>
      <c r="BF12" s="310"/>
      <c r="BG12" s="310"/>
      <c r="BH12" s="310"/>
      <c r="BI12" s="310"/>
      <c r="BJ12" s="310"/>
      <c r="BK12" s="310"/>
      <c r="BL12" s="310">
        <f>BE12+1</f>
        <v>55</v>
      </c>
      <c r="BM12" s="310">
        <f t="shared" ref="BM12:BU12" si="2">BL12+1</f>
        <v>56</v>
      </c>
      <c r="BN12" s="310">
        <f t="shared" si="2"/>
        <v>57</v>
      </c>
      <c r="BO12" s="310">
        <f t="shared" si="2"/>
        <v>58</v>
      </c>
      <c r="BP12" s="310">
        <f t="shared" si="2"/>
        <v>59</v>
      </c>
      <c r="BQ12" s="310">
        <f t="shared" si="2"/>
        <v>60</v>
      </c>
      <c r="BR12" s="310">
        <f t="shared" si="2"/>
        <v>61</v>
      </c>
      <c r="BS12" s="310">
        <f t="shared" si="2"/>
        <v>62</v>
      </c>
      <c r="BT12" s="310">
        <f t="shared" si="2"/>
        <v>63</v>
      </c>
      <c r="BU12" s="310">
        <f t="shared" si="2"/>
        <v>64</v>
      </c>
      <c r="BV12" s="311"/>
      <c r="BW12" s="312" t="s">
        <v>95</v>
      </c>
      <c r="BX12" s="310">
        <f t="shared" ref="BX12:CD12" si="3">BW12+1</f>
        <v>66</v>
      </c>
      <c r="BY12" s="310">
        <f t="shared" si="3"/>
        <v>67</v>
      </c>
      <c r="BZ12" s="310">
        <f t="shared" si="3"/>
        <v>68</v>
      </c>
      <c r="CA12" s="310">
        <f t="shared" si="3"/>
        <v>69</v>
      </c>
      <c r="CB12" s="310">
        <f t="shared" si="3"/>
        <v>70</v>
      </c>
      <c r="CC12" s="310">
        <f t="shared" si="3"/>
        <v>71</v>
      </c>
      <c r="CD12" s="310">
        <f t="shared" si="3"/>
        <v>72</v>
      </c>
      <c r="CG12" s="307"/>
      <c r="CH12" s="241"/>
      <c r="CI12" s="241"/>
    </row>
    <row r="13" spans="1:87" s="313" customFormat="1" ht="15" customHeight="1">
      <c r="A13" s="309" t="s">
        <v>96</v>
      </c>
      <c r="B13" s="309" t="s">
        <v>96</v>
      </c>
      <c r="C13" s="309" t="s">
        <v>96</v>
      </c>
      <c r="D13" s="310"/>
      <c r="E13" s="310"/>
      <c r="F13" s="310"/>
      <c r="G13" s="309" t="s">
        <v>96</v>
      </c>
      <c r="H13" s="309" t="s">
        <v>96</v>
      </c>
      <c r="I13" s="309" t="s">
        <v>96</v>
      </c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  <c r="AA13" s="310"/>
      <c r="AB13" s="310"/>
      <c r="AC13" s="310"/>
      <c r="AD13" s="310"/>
      <c r="AE13" s="310"/>
      <c r="AF13" s="310"/>
      <c r="AG13" s="310"/>
      <c r="AH13" s="310"/>
      <c r="AI13" s="310"/>
      <c r="AJ13" s="310"/>
      <c r="AK13" s="310"/>
      <c r="AL13" s="310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/>
      <c r="AX13" s="310"/>
      <c r="AY13" s="310"/>
      <c r="AZ13" s="310"/>
      <c r="BA13" s="310"/>
      <c r="BB13" s="310"/>
      <c r="BC13" s="310"/>
      <c r="BD13" s="310"/>
      <c r="BE13" s="310"/>
      <c r="BF13" s="310"/>
      <c r="BG13" s="310"/>
      <c r="BH13" s="310"/>
      <c r="BI13" s="310"/>
      <c r="BJ13" s="310"/>
      <c r="BK13" s="310"/>
      <c r="BL13" s="310"/>
      <c r="BM13" s="310"/>
      <c r="BN13" s="310"/>
      <c r="BO13" s="310"/>
      <c r="BP13" s="310"/>
      <c r="BQ13" s="310"/>
      <c r="BR13" s="310"/>
      <c r="BS13" s="310"/>
      <c r="BT13" s="310"/>
      <c r="BU13" s="314"/>
      <c r="BV13" s="311"/>
      <c r="BW13" s="312"/>
      <c r="BX13" s="310"/>
      <c r="BY13" s="310"/>
      <c r="BZ13" s="310"/>
      <c r="CA13" s="310"/>
      <c r="CB13" s="310"/>
      <c r="CC13" s="310"/>
      <c r="CD13" s="310"/>
      <c r="CG13" s="307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50340000</v>
      </c>
      <c r="H14" s="94">
        <f>SUM(H15:H21)</f>
        <v>300000</v>
      </c>
      <c r="I14" s="94">
        <f>SUM(I15:I21)</f>
        <v>186060000</v>
      </c>
      <c r="J14" s="94"/>
      <c r="K14" s="315">
        <f t="shared" ref="K14:S14" si="4">SUM(K15:K21)</f>
        <v>166</v>
      </c>
      <c r="L14" s="315">
        <f t="shared" si="4"/>
        <v>8</v>
      </c>
      <c r="M14" s="315">
        <f t="shared" si="4"/>
        <v>2</v>
      </c>
      <c r="N14" s="315">
        <f t="shared" si="4"/>
        <v>2</v>
      </c>
      <c r="O14" s="315">
        <f t="shared" si="4"/>
        <v>0</v>
      </c>
      <c r="P14" s="315">
        <f t="shared" si="4"/>
        <v>5</v>
      </c>
      <c r="Q14" s="315">
        <f t="shared" si="4"/>
        <v>2</v>
      </c>
      <c r="R14" s="315">
        <f t="shared" si="4"/>
        <v>0</v>
      </c>
      <c r="S14" s="315">
        <f t="shared" si="4"/>
        <v>2</v>
      </c>
      <c r="T14" s="315"/>
      <c r="U14" s="315">
        <f>SUM(U15:U21)</f>
        <v>2</v>
      </c>
      <c r="V14" s="315">
        <f>SUM(V15:V21)</f>
        <v>0</v>
      </c>
      <c r="W14" s="315">
        <f>SUM(W15:W21)</f>
        <v>0</v>
      </c>
      <c r="X14" s="315">
        <f>SUM(X15:X21)</f>
        <v>0</v>
      </c>
      <c r="Y14" s="94">
        <f>SUM(Y15:Y21)</f>
        <v>48340000</v>
      </c>
      <c r="Z14" s="94"/>
      <c r="AA14" s="94"/>
      <c r="AB14" s="94"/>
      <c r="AC14" s="94">
        <f>SUM(AC15:AC21)</f>
        <v>1828846.1538461538</v>
      </c>
      <c r="AD14" s="94">
        <f>SUM(AD15:AD21)</f>
        <v>975384.61538461538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185063076.92307696</v>
      </c>
      <c r="AP14" s="94"/>
      <c r="AQ14" s="94"/>
      <c r="AR14" s="94"/>
      <c r="AS14" s="94"/>
      <c r="AT14" s="94"/>
      <c r="AU14" s="94"/>
      <c r="AV14" s="94">
        <f>SUM(AV15:AV21)</f>
        <v>242266923.07692307</v>
      </c>
      <c r="AW14" s="94"/>
      <c r="AX14" s="94"/>
      <c r="AY14" s="94">
        <f>SUM(AY15:AY21)</f>
        <v>3544000</v>
      </c>
      <c r="AZ14" s="94">
        <f>SUM(AZ15:AZ21)</f>
        <v>664500</v>
      </c>
      <c r="BA14" s="94">
        <f>SUM(BA15:BA21)</f>
        <v>443000</v>
      </c>
      <c r="BB14" s="94">
        <f>SUM(BB15:BB21)</f>
        <v>4651500</v>
      </c>
      <c r="BC14" s="94">
        <f>SUM(BC15:BC21)</f>
        <v>0</v>
      </c>
      <c r="BD14" s="94"/>
      <c r="BE14" s="94">
        <f>SUM(BE15:BE21)</f>
        <v>503400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15756434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>
        <f>SUM(BT15:BT21)</f>
        <v>92038615.384615406</v>
      </c>
      <c r="BU14" s="316">
        <f>SUM(BU15:BU21)</f>
        <v>129316973.6923077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2">
        <f>IF(B15=0,"",COUNTA($B$15:(B15)))</f>
        <v>1</v>
      </c>
      <c r="B15" s="273">
        <v>2405236</v>
      </c>
      <c r="C15" s="274" t="s">
        <v>97</v>
      </c>
      <c r="D15" s="275" t="s">
        <v>98</v>
      </c>
      <c r="E15" s="276" t="s">
        <v>99</v>
      </c>
      <c r="F15" s="276" t="s">
        <v>100</v>
      </c>
      <c r="G15" s="277">
        <v>9520000</v>
      </c>
      <c r="H15" s="277">
        <f t="shared" ref="H15:H21" si="7">+IF(OR(CC15="ĐT PCCC",CC15="ĐP PCCC"),780000,IF(CC15="AT-VSV",300000,0))</f>
        <v>0</v>
      </c>
      <c r="I15" s="277">
        <f t="shared" ref="I15:I21" si="8">CB15-BZ15-G15-H15</f>
        <v>53480000</v>
      </c>
      <c r="J15" s="278">
        <v>1</v>
      </c>
      <c r="K15" s="279">
        <v>26</v>
      </c>
      <c r="L15" s="279">
        <v>0</v>
      </c>
      <c r="M15" s="279">
        <v>0</v>
      </c>
      <c r="N15" s="279">
        <v>0</v>
      </c>
      <c r="O15" s="279">
        <v>0</v>
      </c>
      <c r="P15" s="279">
        <v>0</v>
      </c>
      <c r="Q15" s="279">
        <v>0</v>
      </c>
      <c r="R15" s="279">
        <v>0</v>
      </c>
      <c r="S15" s="279">
        <v>0</v>
      </c>
      <c r="T15" s="279"/>
      <c r="U15" s="279">
        <v>0</v>
      </c>
      <c r="V15" s="279">
        <v>0</v>
      </c>
      <c r="W15" s="279">
        <v>0</v>
      </c>
      <c r="X15" s="279">
        <v>0</v>
      </c>
      <c r="Y15" s="277">
        <f t="shared" ref="Y15:Y21" si="9">G15*(K15+L15)/26</f>
        <v>9520000</v>
      </c>
      <c r="Z15" s="277">
        <f t="shared" ref="Z15:Z21" si="10">M15*G15/26</f>
        <v>0</v>
      </c>
      <c r="AA15" s="277">
        <f t="shared" ref="AA15:AA21" si="11">G15*N15/26</f>
        <v>0</v>
      </c>
      <c r="AB15" s="277">
        <f t="shared" ref="AB15:AB21" si="12">G15*O15/26</f>
        <v>0</v>
      </c>
      <c r="AC15" s="277">
        <f t="shared" ref="AC15:AC21" si="13">G15*P15*150%/26</f>
        <v>0</v>
      </c>
      <c r="AD15" s="277">
        <f t="shared" ref="AD15:AD21" si="14">G15*Q15/26*200%</f>
        <v>0</v>
      </c>
      <c r="AE15" s="277">
        <f t="shared" ref="AE15:AE21" si="15">G15*R15/26*300%</f>
        <v>0</v>
      </c>
      <c r="AF15" s="277">
        <f>ROUND((G15+H15)/26*S15*30%,0)</f>
        <v>0</v>
      </c>
      <c r="AG15" s="277">
        <f t="shared" ref="AG15:AG21" si="16">T15*G15/26/8</f>
        <v>0</v>
      </c>
      <c r="AH15" s="277">
        <f t="shared" ref="AH15:AH21" si="17">CB15/26*U15</f>
        <v>0</v>
      </c>
      <c r="AI15" s="277">
        <f t="shared" ref="AI15:AI21" si="18">G15*V15/26</f>
        <v>0</v>
      </c>
      <c r="AJ15" s="277"/>
      <c r="AK15" s="277">
        <f t="shared" ref="AK15:AK21" si="19">BZ15*L15/26</f>
        <v>0</v>
      </c>
      <c r="AL15" s="277"/>
      <c r="AM15" s="277">
        <f t="shared" ref="AM15:AM21" si="20">X15*CD15</f>
        <v>0</v>
      </c>
      <c r="AN15" s="277">
        <f>H15/26*(K15+L15)</f>
        <v>0</v>
      </c>
      <c r="AO15" s="277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7"/>
      <c r="AQ15" s="277"/>
      <c r="AR15" s="277">
        <v>1000000</v>
      </c>
      <c r="AS15" s="277"/>
      <c r="AT15" s="277"/>
      <c r="AU15" s="277"/>
      <c r="AV15" s="277">
        <f t="shared" ref="AV15:AV21" si="22">Y15+Z15+AA15+AB15+AC15+AD15+AE15+AF15+AG15+AI15+AJ15+AK15+AL15+AM15+AN15+AO15+AP15-AQ15+AR15+AS15+AT15+AU15</f>
        <v>64000000</v>
      </c>
      <c r="AW15" s="277"/>
      <c r="AX15" s="277" t="str">
        <f t="shared" ref="AX15:AX21" si="23">IF(E15="CT","x",0)</f>
        <v>x</v>
      </c>
      <c r="AY15" s="280">
        <f t="shared" ref="AY15:BA21" si="24">ROUND(IF($AX15="x",($G15+$H15)*AY$11,0),0)</f>
        <v>761600</v>
      </c>
      <c r="AZ15" s="280">
        <f t="shared" si="24"/>
        <v>142800</v>
      </c>
      <c r="BA15" s="280">
        <f t="shared" si="24"/>
        <v>95200</v>
      </c>
      <c r="BB15" s="280">
        <f t="shared" ref="BB15:BB21" si="25">SUM(AY15:BA15)</f>
        <v>999600</v>
      </c>
      <c r="BC15" s="280"/>
      <c r="BD15" s="280"/>
      <c r="BE15" s="280">
        <f t="shared" ref="BE15:BE21" si="26">IF(G15*1%&gt;=234000,234000,G15*1%)</f>
        <v>95200</v>
      </c>
      <c r="BF15" s="280">
        <f t="shared" ref="BF15:BF21" si="27">AM15+IF(E15="CT",IF(AR15&gt;=730000,730000,AR15),0)+IF(((AV15-AM15-IF(AR15&gt;=730000,730000,AR15)-AS15)*15%-AS15)&gt;"0",((AV15-AM15-IF(AR15&gt;=730000,730000,AR15)-AS15)*15%-AS15),0)</f>
        <v>730000</v>
      </c>
      <c r="BG15" s="280">
        <f t="shared" ref="BG15:BG21" si="28">AV15-BF15+AW15</f>
        <v>63270000</v>
      </c>
      <c r="BH15" s="280">
        <v>3</v>
      </c>
      <c r="BI15" s="280">
        <v>6200000</v>
      </c>
      <c r="BJ15" s="280">
        <f>IF(E15="CT",15500000,0)</f>
        <v>15500000</v>
      </c>
      <c r="BK15" s="280">
        <f t="shared" ref="BK15:BK21" si="29">BG15-BB15-BC15+BD15-BH15*BI15-BJ15</f>
        <v>28170400</v>
      </c>
      <c r="BL15" s="281">
        <f t="shared" ref="BL15:BL21" si="30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3984080</v>
      </c>
      <c r="BM15" s="280"/>
      <c r="BN15" s="280"/>
      <c r="BO15" s="280">
        <v>0</v>
      </c>
      <c r="BP15" s="280"/>
      <c r="BQ15" s="280"/>
      <c r="BR15" s="280"/>
      <c r="BS15" s="280"/>
      <c r="BT15" s="330">
        <v>25846153.846153852</v>
      </c>
      <c r="BU15" s="282">
        <f t="shared" ref="BU15:BU21" si="31">AV15-BB15-BC15+BD15-BE15-BL15-BM15-BN15-BO15-BP15-BQ15-BR15+BS15-BT15</f>
        <v>33074966.153846148</v>
      </c>
      <c r="BV15" s="252"/>
      <c r="BW15" s="283">
        <v>60000000</v>
      </c>
      <c r="BX15" s="281">
        <v>0</v>
      </c>
      <c r="BY15" s="281"/>
      <c r="BZ15" s="281">
        <v>200000</v>
      </c>
      <c r="CA15" s="281">
        <f t="shared" ref="CA15:CA21" si="32">+BW15*5%</f>
        <v>3000000</v>
      </c>
      <c r="CB15" s="281">
        <f t="shared" ref="CB15:CB21" si="33">SUM(BW15:CA15)</f>
        <v>63200000</v>
      </c>
      <c r="CC15" s="281"/>
      <c r="CD15" s="281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4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si="27"/>
        <v>720000</v>
      </c>
      <c r="BG16" s="250">
        <f t="shared" si="28"/>
        <v>48038461.538461544</v>
      </c>
      <c r="BH16" s="250"/>
      <c r="BI16" s="280">
        <v>6200000</v>
      </c>
      <c r="BJ16" s="435">
        <f t="shared" ref="BJ16:BJ21" si="35">IF(E16="CT",15500000,0)</f>
        <v>15500000</v>
      </c>
      <c r="BK16" s="250">
        <f t="shared" si="29"/>
        <v>31648061.538461544</v>
      </c>
      <c r="BL16" s="243">
        <f t="shared" si="30"/>
        <v>4679612</v>
      </c>
      <c r="BM16" s="250"/>
      <c r="BN16" s="250"/>
      <c r="BO16" s="250">
        <v>0</v>
      </c>
      <c r="BP16" s="250"/>
      <c r="BQ16" s="250"/>
      <c r="BR16" s="250"/>
      <c r="BS16" s="250"/>
      <c r="BT16" s="263">
        <v>0</v>
      </c>
      <c r="BU16" s="251">
        <f t="shared" si="31"/>
        <v>43103649.538461544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2"/>
        <v>2000000</v>
      </c>
      <c r="CB16" s="243">
        <f t="shared" si="33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4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27"/>
        <v>560000</v>
      </c>
      <c r="BG17" s="250">
        <f t="shared" si="28"/>
        <v>42015384.615384616</v>
      </c>
      <c r="BH17" s="250"/>
      <c r="BI17" s="280">
        <v>6200000</v>
      </c>
      <c r="BJ17" s="435">
        <f t="shared" si="35"/>
        <v>15500000</v>
      </c>
      <c r="BK17" s="250">
        <f t="shared" si="29"/>
        <v>25694284.615384616</v>
      </c>
      <c r="BL17" s="243">
        <f t="shared" si="30"/>
        <v>3488857</v>
      </c>
      <c r="BM17" s="250"/>
      <c r="BN17" s="250"/>
      <c r="BO17" s="250">
        <v>0</v>
      </c>
      <c r="BP17" s="250"/>
      <c r="BQ17" s="250"/>
      <c r="BR17" s="250"/>
      <c r="BS17" s="250"/>
      <c r="BT17" s="263">
        <v>25846153.846153852</v>
      </c>
      <c r="BU17" s="251">
        <f t="shared" si="31"/>
        <v>12341073.769230764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2"/>
        <v>2000000</v>
      </c>
      <c r="CB17" s="243">
        <f t="shared" si="33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4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27"/>
        <v>720000</v>
      </c>
      <c r="BG18" s="250">
        <f t="shared" si="28"/>
        <v>26173076.923076924</v>
      </c>
      <c r="BH18" s="250"/>
      <c r="BI18" s="280">
        <v>6200000</v>
      </c>
      <c r="BJ18" s="435">
        <f t="shared" si="35"/>
        <v>15500000</v>
      </c>
      <c r="BK18" s="250">
        <f t="shared" si="29"/>
        <v>9939126.9230769239</v>
      </c>
      <c r="BL18" s="243">
        <f t="shared" si="30"/>
        <v>743913</v>
      </c>
      <c r="BM18" s="250"/>
      <c r="BN18" s="250"/>
      <c r="BO18" s="250">
        <v>0</v>
      </c>
      <c r="BP18" s="250"/>
      <c r="BQ18" s="250"/>
      <c r="BR18" s="250"/>
      <c r="BS18" s="250"/>
      <c r="BT18" s="263">
        <v>10195307.692307694</v>
      </c>
      <c r="BU18" s="251">
        <f t="shared" si="31"/>
        <v>15150006.23076923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2"/>
        <v>1150000</v>
      </c>
      <c r="CB18" s="243">
        <f t="shared" si="33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4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27"/>
        <v>560000</v>
      </c>
      <c r="BG19" s="250">
        <f t="shared" si="28"/>
        <v>11623076.923076924</v>
      </c>
      <c r="BH19" s="250"/>
      <c r="BI19" s="280">
        <v>6200000</v>
      </c>
      <c r="BJ19" s="435">
        <f t="shared" si="35"/>
        <v>15500000</v>
      </c>
      <c r="BK19" s="250">
        <f t="shared" si="29"/>
        <v>-4386173.0769230761</v>
      </c>
      <c r="BL19" s="243">
        <f t="shared" si="30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>
        <v>9977846.153846154</v>
      </c>
      <c r="BU19" s="251">
        <f t="shared" si="31"/>
        <v>1647480.7692307699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2"/>
        <v>550000</v>
      </c>
      <c r="CB19" s="243">
        <f t="shared" si="33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4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27"/>
        <v>0</v>
      </c>
      <c r="BG20" s="250">
        <f t="shared" si="28"/>
        <v>24870000</v>
      </c>
      <c r="BH20" s="250"/>
      <c r="BI20" s="280">
        <v>6200000</v>
      </c>
      <c r="BJ20" s="435">
        <f t="shared" si="35"/>
        <v>0</v>
      </c>
      <c r="BK20" s="250">
        <f t="shared" si="29"/>
        <v>24870000</v>
      </c>
      <c r="BL20" s="243">
        <f t="shared" si="30"/>
        <v>2487000</v>
      </c>
      <c r="BM20" s="250"/>
      <c r="BN20" s="250"/>
      <c r="BO20" s="250">
        <v>0</v>
      </c>
      <c r="BP20" s="250"/>
      <c r="BQ20" s="250"/>
      <c r="BR20" s="250"/>
      <c r="BS20" s="250"/>
      <c r="BT20" s="263">
        <v>10195307.692307694</v>
      </c>
      <c r="BU20" s="251">
        <f t="shared" si="31"/>
        <v>12124292.307692306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2"/>
        <v>1150000</v>
      </c>
      <c r="CB20" s="243">
        <f t="shared" si="33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6340000</v>
      </c>
      <c r="H21" s="94">
        <f t="shared" si="7"/>
        <v>300000</v>
      </c>
      <c r="I21" s="94">
        <f t="shared" si="8"/>
        <v>11210000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6340000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1828846.1538461538</v>
      </c>
      <c r="AD21" s="94">
        <f t="shared" si="14"/>
        <v>975384.61538461538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4"/>
        <v>300000</v>
      </c>
      <c r="AO21" s="94">
        <f t="shared" si="21"/>
        <v>12982692.307692306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22986923.076923076</v>
      </c>
      <c r="AW21" s="94"/>
      <c r="AX21" s="94" t="str">
        <f t="shared" si="23"/>
        <v>x</v>
      </c>
      <c r="AY21" s="250">
        <f t="shared" si="24"/>
        <v>531200</v>
      </c>
      <c r="AZ21" s="250">
        <f t="shared" si="24"/>
        <v>99600</v>
      </c>
      <c r="BA21" s="250">
        <f t="shared" si="24"/>
        <v>66400</v>
      </c>
      <c r="BB21" s="250">
        <f t="shared" si="25"/>
        <v>697200</v>
      </c>
      <c r="BC21" s="250"/>
      <c r="BD21" s="250"/>
      <c r="BE21" s="250">
        <f t="shared" si="26"/>
        <v>63400</v>
      </c>
      <c r="BF21" s="250">
        <f t="shared" si="27"/>
        <v>560000</v>
      </c>
      <c r="BG21" s="250">
        <f t="shared" si="28"/>
        <v>22426923.076923076</v>
      </c>
      <c r="BH21" s="250"/>
      <c r="BI21" s="280">
        <v>6200000</v>
      </c>
      <c r="BJ21" s="435">
        <f t="shared" si="35"/>
        <v>15500000</v>
      </c>
      <c r="BK21" s="250">
        <f t="shared" si="29"/>
        <v>6229723.0769230761</v>
      </c>
      <c r="BL21" s="243">
        <f t="shared" si="30"/>
        <v>372972</v>
      </c>
      <c r="BM21" s="250"/>
      <c r="BN21" s="250"/>
      <c r="BO21" s="250">
        <v>0</v>
      </c>
      <c r="BP21" s="250"/>
      <c r="BQ21" s="250"/>
      <c r="BR21" s="250"/>
      <c r="BS21" s="250"/>
      <c r="BT21" s="263">
        <v>9977846.153846154</v>
      </c>
      <c r="BU21" s="251">
        <f t="shared" si="31"/>
        <v>11875504.923076922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2"/>
        <v>850000</v>
      </c>
      <c r="CB21" s="243">
        <f t="shared" si="33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7"/>
      <c r="X22" s="317"/>
      <c r="AC22" s="318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9"/>
      <c r="X24" s="319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AS8:AS11"/>
    <mergeCell ref="AV8:AV11"/>
    <mergeCell ref="F8:F11"/>
    <mergeCell ref="AJ9:AJ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Z9:Z11"/>
    <mergeCell ref="AD9:AD11"/>
    <mergeCell ref="BT8:BT11"/>
    <mergeCell ref="P9:P11"/>
    <mergeCell ref="E8:E11"/>
    <mergeCell ref="G8:G11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I10:BI11"/>
    <mergeCell ref="X9:X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AR8:AR11"/>
    <mergeCell ref="AT8:AT11"/>
    <mergeCell ref="I8:I11"/>
    <mergeCell ref="BK10:BK11"/>
    <mergeCell ref="K8:X8"/>
    <mergeCell ref="AY8:BQ8"/>
    <mergeCell ref="BC10:BC11"/>
    <mergeCell ref="BE10:BE11"/>
    <mergeCell ref="T9:T11"/>
    <mergeCell ref="BQ10:BQ11"/>
    <mergeCell ref="AB9:AB11"/>
    <mergeCell ref="Y8:AO8"/>
    <mergeCell ref="BJ10:BJ11"/>
    <mergeCell ref="L9:L11"/>
    <mergeCell ref="N9:N11"/>
    <mergeCell ref="BG10:BG11"/>
    <mergeCell ref="AF9:AF11"/>
    <mergeCell ref="AH9:AH11"/>
    <mergeCell ref="A8:A11"/>
    <mergeCell ref="BX8:CA10"/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topLeftCell="BM1" zoomScale="85" zoomScaleNormal="85" zoomScaleSheetLayoutView="70" workbookViewId="0">
      <selection activeCell="BP31" sqref="BP31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6"/>
      <c r="B3" s="404"/>
      <c r="C3" s="404"/>
      <c r="D3" s="404"/>
      <c r="E3" s="404"/>
      <c r="F3" s="404"/>
      <c r="G3" s="404"/>
      <c r="H3" s="404"/>
      <c r="I3" s="404"/>
      <c r="J3" s="404"/>
      <c r="K3" s="404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4"/>
      <c r="W3" s="404"/>
      <c r="X3" s="404"/>
      <c r="Y3" s="404"/>
      <c r="Z3" s="404"/>
      <c r="AA3" s="404"/>
      <c r="AB3" s="404"/>
      <c r="AC3" s="404"/>
      <c r="AD3" s="404"/>
      <c r="AE3" s="404"/>
      <c r="AF3" s="404"/>
      <c r="AG3" s="404"/>
      <c r="AH3" s="404"/>
      <c r="AI3" s="404"/>
      <c r="AJ3" s="404"/>
      <c r="AK3" s="404"/>
      <c r="AL3" s="404"/>
      <c r="AM3" s="404"/>
      <c r="AN3" s="404"/>
      <c r="AO3" s="404"/>
      <c r="AP3" s="404"/>
      <c r="AQ3" s="404"/>
      <c r="AR3" s="404"/>
      <c r="AS3" s="404"/>
      <c r="AT3" s="404"/>
      <c r="AU3" s="404"/>
      <c r="AV3" s="404"/>
      <c r="AW3" s="404"/>
      <c r="AX3" s="404"/>
      <c r="AY3" s="404"/>
      <c r="AZ3" s="404"/>
      <c r="BA3" s="404"/>
      <c r="BB3" s="404"/>
      <c r="BC3" s="404"/>
      <c r="BD3" s="404"/>
      <c r="BE3" s="404"/>
      <c r="BF3" s="404"/>
      <c r="BG3" s="404"/>
      <c r="BH3" s="404"/>
      <c r="BI3" s="404"/>
      <c r="BJ3" s="404"/>
      <c r="BK3" s="404"/>
      <c r="BL3" s="404"/>
      <c r="BM3" s="404"/>
      <c r="BN3" s="404"/>
      <c r="BO3" s="404"/>
      <c r="BP3" s="404"/>
      <c r="BQ3" s="404"/>
      <c r="BR3" s="404"/>
      <c r="BS3" s="404"/>
      <c r="BT3" s="404"/>
      <c r="BU3" s="404"/>
      <c r="BW3" s="403" t="s">
        <v>2</v>
      </c>
      <c r="BX3" s="404"/>
      <c r="BY3" s="404"/>
      <c r="BZ3" s="404"/>
      <c r="CA3" s="404"/>
      <c r="CB3" s="404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4"/>
      <c r="BX4" s="404"/>
      <c r="BY4" s="404"/>
      <c r="BZ4" s="404"/>
      <c r="CA4" s="404"/>
      <c r="CB4" s="404"/>
      <c r="CC4" s="133"/>
      <c r="CD4" s="133"/>
    </row>
    <row r="5" spans="1:87" s="136" customFormat="1">
      <c r="A5" s="392" t="s">
        <v>4</v>
      </c>
      <c r="B5" s="402" t="s">
        <v>5</v>
      </c>
      <c r="C5" s="390" t="s">
        <v>6</v>
      </c>
      <c r="D5" s="398" t="s">
        <v>7</v>
      </c>
      <c r="E5" s="398" t="s">
        <v>8</v>
      </c>
      <c r="F5" s="390" t="s">
        <v>9</v>
      </c>
      <c r="G5" s="390" t="s">
        <v>10</v>
      </c>
      <c r="H5" s="346" t="s">
        <v>11</v>
      </c>
      <c r="I5" s="346" t="s">
        <v>12</v>
      </c>
      <c r="J5" s="390" t="s">
        <v>13</v>
      </c>
      <c r="K5" s="396" t="s">
        <v>14</v>
      </c>
      <c r="L5" s="387"/>
      <c r="M5" s="387"/>
      <c r="N5" s="387"/>
      <c r="O5" s="387"/>
      <c r="P5" s="387"/>
      <c r="Q5" s="387"/>
      <c r="R5" s="387"/>
      <c r="S5" s="387"/>
      <c r="T5" s="387"/>
      <c r="U5" s="387"/>
      <c r="V5" s="387"/>
      <c r="W5" s="387"/>
      <c r="X5" s="387"/>
      <c r="Y5" s="390" t="s">
        <v>15</v>
      </c>
      <c r="Z5" s="387"/>
      <c r="AA5" s="387"/>
      <c r="AB5" s="387"/>
      <c r="AC5" s="387"/>
      <c r="AD5" s="387"/>
      <c r="AE5" s="387"/>
      <c r="AF5" s="387"/>
      <c r="AG5" s="387"/>
      <c r="AH5" s="387"/>
      <c r="AI5" s="387"/>
      <c r="AJ5" s="387"/>
      <c r="AK5" s="387"/>
      <c r="AL5" s="387"/>
      <c r="AM5" s="387"/>
      <c r="AN5" s="387"/>
      <c r="AO5" s="388"/>
      <c r="AP5" s="390" t="s">
        <v>16</v>
      </c>
      <c r="AQ5" s="390" t="s">
        <v>17</v>
      </c>
      <c r="AR5" s="390" t="s">
        <v>18</v>
      </c>
      <c r="AS5" s="390" t="s">
        <v>19</v>
      </c>
      <c r="AT5" s="390" t="s">
        <v>20</v>
      </c>
      <c r="AU5" s="390" t="s">
        <v>21</v>
      </c>
      <c r="AV5" s="390" t="s">
        <v>22</v>
      </c>
      <c r="AW5" s="390" t="s">
        <v>23</v>
      </c>
      <c r="AX5" s="390" t="s">
        <v>24</v>
      </c>
      <c r="AY5" s="386" t="s">
        <v>25</v>
      </c>
      <c r="AZ5" s="387"/>
      <c r="BA5" s="387"/>
      <c r="BB5" s="387"/>
      <c r="BC5" s="387"/>
      <c r="BD5" s="387"/>
      <c r="BE5" s="387"/>
      <c r="BF5" s="387"/>
      <c r="BG5" s="387"/>
      <c r="BH5" s="387"/>
      <c r="BI5" s="387"/>
      <c r="BJ5" s="387"/>
      <c r="BK5" s="387"/>
      <c r="BL5" s="387"/>
      <c r="BM5" s="387"/>
      <c r="BN5" s="387"/>
      <c r="BO5" s="387"/>
      <c r="BP5" s="387"/>
      <c r="BQ5" s="388"/>
      <c r="BR5" s="407" t="s">
        <v>26</v>
      </c>
      <c r="BS5" s="400"/>
      <c r="BT5" s="386" t="s">
        <v>27</v>
      </c>
      <c r="BU5" s="418" t="s">
        <v>28</v>
      </c>
      <c r="BW5" s="419" t="s">
        <v>29</v>
      </c>
      <c r="BX5" s="408" t="s">
        <v>30</v>
      </c>
      <c r="BY5" s="409"/>
      <c r="BZ5" s="409"/>
      <c r="CA5" s="400"/>
      <c r="CB5" s="420" t="s">
        <v>31</v>
      </c>
      <c r="CC5" s="405" t="s">
        <v>32</v>
      </c>
      <c r="CD5" s="405" t="s">
        <v>33</v>
      </c>
      <c r="CH5" s="137"/>
      <c r="CI5" s="138"/>
    </row>
    <row r="6" spans="1:87" s="136" customFormat="1">
      <c r="A6" s="384"/>
      <c r="B6" s="384"/>
      <c r="C6" s="384"/>
      <c r="D6" s="384"/>
      <c r="E6" s="384"/>
      <c r="F6" s="384"/>
      <c r="G6" s="384"/>
      <c r="H6" s="384"/>
      <c r="I6" s="384"/>
      <c r="J6" s="384"/>
      <c r="K6" s="391" t="s">
        <v>34</v>
      </c>
      <c r="L6" s="391" t="s">
        <v>35</v>
      </c>
      <c r="M6" s="391" t="s">
        <v>36</v>
      </c>
      <c r="N6" s="391" t="s">
        <v>37</v>
      </c>
      <c r="O6" s="391" t="s">
        <v>38</v>
      </c>
      <c r="P6" s="391" t="s">
        <v>39</v>
      </c>
      <c r="Q6" s="391" t="s">
        <v>40</v>
      </c>
      <c r="R6" s="391" t="s">
        <v>41</v>
      </c>
      <c r="S6" s="391" t="s">
        <v>42</v>
      </c>
      <c r="T6" s="391" t="s">
        <v>43</v>
      </c>
      <c r="U6" s="391" t="s">
        <v>44</v>
      </c>
      <c r="V6" s="399" t="s">
        <v>45</v>
      </c>
      <c r="W6" s="400"/>
      <c r="X6" s="391" t="s">
        <v>46</v>
      </c>
      <c r="Y6" s="390" t="s">
        <v>47</v>
      </c>
      <c r="Z6" s="390" t="s">
        <v>48</v>
      </c>
      <c r="AA6" s="390" t="s">
        <v>49</v>
      </c>
      <c r="AB6" s="390" t="s">
        <v>50</v>
      </c>
      <c r="AC6" s="346" t="s">
        <v>51</v>
      </c>
      <c r="AD6" s="346" t="s">
        <v>52</v>
      </c>
      <c r="AE6" s="346" t="s">
        <v>53</v>
      </c>
      <c r="AF6" s="346" t="s">
        <v>54</v>
      </c>
      <c r="AG6" s="390" t="s">
        <v>55</v>
      </c>
      <c r="AH6" s="346" t="s">
        <v>56</v>
      </c>
      <c r="AI6" s="346" t="s">
        <v>57</v>
      </c>
      <c r="AJ6" s="390" t="s">
        <v>58</v>
      </c>
      <c r="AK6" s="393" t="s">
        <v>59</v>
      </c>
      <c r="AL6" s="390" t="s">
        <v>60</v>
      </c>
      <c r="AM6" s="390" t="s">
        <v>61</v>
      </c>
      <c r="AN6" s="397" t="s">
        <v>62</v>
      </c>
      <c r="AO6" s="390" t="s">
        <v>63</v>
      </c>
      <c r="AP6" s="384"/>
      <c r="AQ6" s="384"/>
      <c r="AR6" s="384"/>
      <c r="AS6" s="384"/>
      <c r="AT6" s="384"/>
      <c r="AU6" s="384"/>
      <c r="AV6" s="384"/>
      <c r="AW6" s="384"/>
      <c r="AX6" s="384"/>
      <c r="AY6" s="386" t="s">
        <v>25</v>
      </c>
      <c r="AZ6" s="387"/>
      <c r="BA6" s="387"/>
      <c r="BB6" s="387"/>
      <c r="BC6" s="387"/>
      <c r="BD6" s="387"/>
      <c r="BE6" s="387"/>
      <c r="BF6" s="387"/>
      <c r="BG6" s="387"/>
      <c r="BH6" s="387"/>
      <c r="BI6" s="387"/>
      <c r="BJ6" s="387"/>
      <c r="BK6" s="387"/>
      <c r="BL6" s="388"/>
      <c r="BM6" s="386" t="s">
        <v>64</v>
      </c>
      <c r="BN6" s="387"/>
      <c r="BO6" s="387"/>
      <c r="BP6" s="387"/>
      <c r="BQ6" s="388"/>
      <c r="BR6" s="383" t="s">
        <v>65</v>
      </c>
      <c r="BS6" s="383" t="s">
        <v>66</v>
      </c>
      <c r="BT6" s="384"/>
      <c r="BU6" s="394"/>
      <c r="BW6" s="411"/>
      <c r="BX6" s="394"/>
      <c r="BY6" s="410"/>
      <c r="BZ6" s="410"/>
      <c r="CA6" s="411"/>
      <c r="CB6" s="384"/>
      <c r="CC6" s="384"/>
      <c r="CD6" s="384"/>
      <c r="CH6" s="137"/>
      <c r="CI6" s="138"/>
    </row>
    <row r="7" spans="1:87" s="139" customFormat="1" ht="12">
      <c r="A7" s="384"/>
      <c r="B7" s="384"/>
      <c r="C7" s="384"/>
      <c r="D7" s="384"/>
      <c r="E7" s="384"/>
      <c r="F7" s="384"/>
      <c r="G7" s="384"/>
      <c r="H7" s="384"/>
      <c r="I7" s="384"/>
      <c r="J7" s="384"/>
      <c r="K7" s="384"/>
      <c r="L7" s="384"/>
      <c r="M7" s="384"/>
      <c r="N7" s="384"/>
      <c r="O7" s="384"/>
      <c r="P7" s="384"/>
      <c r="Q7" s="384"/>
      <c r="R7" s="384"/>
      <c r="S7" s="384"/>
      <c r="T7" s="384"/>
      <c r="U7" s="384"/>
      <c r="V7" s="395"/>
      <c r="W7" s="401"/>
      <c r="X7" s="384"/>
      <c r="Y7" s="384"/>
      <c r="Z7" s="384"/>
      <c r="AA7" s="384"/>
      <c r="AB7" s="384"/>
      <c r="AC7" s="384"/>
      <c r="AD7" s="384"/>
      <c r="AE7" s="384"/>
      <c r="AF7" s="384"/>
      <c r="AG7" s="384"/>
      <c r="AH7" s="384"/>
      <c r="AI7" s="384"/>
      <c r="AJ7" s="384"/>
      <c r="AK7" s="394"/>
      <c r="AL7" s="384"/>
      <c r="AM7" s="384"/>
      <c r="AN7" s="384"/>
      <c r="AO7" s="384"/>
      <c r="AP7" s="384"/>
      <c r="AQ7" s="384"/>
      <c r="AR7" s="384"/>
      <c r="AS7" s="384"/>
      <c r="AT7" s="384"/>
      <c r="AU7" s="384"/>
      <c r="AV7" s="384"/>
      <c r="AW7" s="384"/>
      <c r="AX7" s="384"/>
      <c r="AY7" s="101" t="s">
        <v>67</v>
      </c>
      <c r="AZ7" s="101" t="s">
        <v>68</v>
      </c>
      <c r="BA7" s="101" t="s">
        <v>69</v>
      </c>
      <c r="BB7" s="386" t="s">
        <v>70</v>
      </c>
      <c r="BC7" s="389" t="s">
        <v>71</v>
      </c>
      <c r="BD7" s="389" t="s">
        <v>72</v>
      </c>
      <c r="BE7" s="415" t="s">
        <v>73</v>
      </c>
      <c r="BF7" s="389" t="s">
        <v>74</v>
      </c>
      <c r="BG7" s="389" t="s">
        <v>75</v>
      </c>
      <c r="BH7" s="389" t="s">
        <v>76</v>
      </c>
      <c r="BI7" s="389" t="s">
        <v>77</v>
      </c>
      <c r="BJ7" s="389" t="s">
        <v>78</v>
      </c>
      <c r="BK7" s="389" t="s">
        <v>79</v>
      </c>
      <c r="BL7" s="417" t="s">
        <v>80</v>
      </c>
      <c r="BM7" s="389" t="s">
        <v>81</v>
      </c>
      <c r="BN7" s="386" t="s">
        <v>82</v>
      </c>
      <c r="BO7" s="389" t="s">
        <v>83</v>
      </c>
      <c r="BP7" s="386" t="s">
        <v>84</v>
      </c>
      <c r="BQ7" s="386" t="s">
        <v>85</v>
      </c>
      <c r="BR7" s="384"/>
      <c r="BS7" s="384"/>
      <c r="BT7" s="384"/>
      <c r="BU7" s="394"/>
      <c r="BW7" s="411"/>
      <c r="BX7" s="412"/>
      <c r="BY7" s="413"/>
      <c r="BZ7" s="413"/>
      <c r="CA7" s="414"/>
      <c r="CB7" s="384"/>
      <c r="CC7" s="384"/>
      <c r="CD7" s="384"/>
      <c r="CH7" s="137"/>
      <c r="CI7" s="138"/>
    </row>
    <row r="8" spans="1:87" s="139" customFormat="1" ht="12">
      <c r="A8" s="385"/>
      <c r="B8" s="385"/>
      <c r="C8" s="385"/>
      <c r="D8" s="385"/>
      <c r="E8" s="385"/>
      <c r="F8" s="385"/>
      <c r="G8" s="385"/>
      <c r="H8" s="385"/>
      <c r="I8" s="385"/>
      <c r="J8" s="385"/>
      <c r="K8" s="385"/>
      <c r="L8" s="385"/>
      <c r="M8" s="385"/>
      <c r="N8" s="385"/>
      <c r="O8" s="385"/>
      <c r="P8" s="385"/>
      <c r="Q8" s="385"/>
      <c r="R8" s="385"/>
      <c r="S8" s="385"/>
      <c r="T8" s="385"/>
      <c r="U8" s="385"/>
      <c r="V8" s="140" t="s">
        <v>86</v>
      </c>
      <c r="W8" s="140" t="s">
        <v>87</v>
      </c>
      <c r="X8" s="385"/>
      <c r="Y8" s="385"/>
      <c r="Z8" s="385"/>
      <c r="AA8" s="385"/>
      <c r="AB8" s="385"/>
      <c r="AC8" s="385"/>
      <c r="AD8" s="385"/>
      <c r="AE8" s="385"/>
      <c r="AF8" s="385"/>
      <c r="AG8" s="385"/>
      <c r="AH8" s="385"/>
      <c r="AI8" s="385"/>
      <c r="AJ8" s="385"/>
      <c r="AK8" s="395"/>
      <c r="AL8" s="385"/>
      <c r="AM8" s="385"/>
      <c r="AN8" s="385"/>
      <c r="AO8" s="385"/>
      <c r="AP8" s="385"/>
      <c r="AQ8" s="385"/>
      <c r="AR8" s="385"/>
      <c r="AS8" s="385"/>
      <c r="AT8" s="385"/>
      <c r="AU8" s="385"/>
      <c r="AV8" s="385"/>
      <c r="AW8" s="385"/>
      <c r="AX8" s="385"/>
      <c r="AY8" s="102" t="s">
        <v>88</v>
      </c>
      <c r="AZ8" s="102" t="s">
        <v>89</v>
      </c>
      <c r="BA8" s="102" t="s">
        <v>90</v>
      </c>
      <c r="BB8" s="385"/>
      <c r="BC8" s="385"/>
      <c r="BD8" s="385"/>
      <c r="BE8" s="385"/>
      <c r="BF8" s="385"/>
      <c r="BG8" s="385"/>
      <c r="BH8" s="385"/>
      <c r="BI8" s="385"/>
      <c r="BJ8" s="385"/>
      <c r="BK8" s="385"/>
      <c r="BL8" s="385"/>
      <c r="BM8" s="385"/>
      <c r="BN8" s="385"/>
      <c r="BO8" s="385"/>
      <c r="BP8" s="385"/>
      <c r="BQ8" s="385"/>
      <c r="BR8" s="385"/>
      <c r="BS8" s="385"/>
      <c r="BT8" s="385"/>
      <c r="BU8" s="395"/>
      <c r="BW8" s="414"/>
      <c r="BX8" s="72" t="s">
        <v>91</v>
      </c>
      <c r="BY8" s="72" t="s">
        <v>92</v>
      </c>
      <c r="BZ8" s="72" t="s">
        <v>93</v>
      </c>
      <c r="CA8" s="73" t="s">
        <v>94</v>
      </c>
      <c r="CB8" s="406"/>
      <c r="CC8" s="406"/>
      <c r="CD8" s="406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S6:S8"/>
    <mergeCell ref="AS5:AS8"/>
    <mergeCell ref="AU5:AU8"/>
    <mergeCell ref="AB6:AB8"/>
    <mergeCell ref="AH6:AH8"/>
    <mergeCell ref="AJ6:AJ8"/>
    <mergeCell ref="T6:T8"/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H29" sqref="H29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0.83203125" style="67" bestFit="1" customWidth="1"/>
    <col min="4" max="4" width="5.5" style="68" bestFit="1" customWidth="1" outlineLevel="1"/>
    <col min="5" max="5" width="5.5" style="68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31"/>
      <c r="B3" s="430"/>
      <c r="C3" s="430"/>
      <c r="D3" s="430"/>
      <c r="E3" s="430"/>
      <c r="F3" s="430"/>
      <c r="G3" s="430"/>
      <c r="H3" s="430"/>
      <c r="I3" s="430"/>
      <c r="J3" s="430"/>
      <c r="K3" s="430"/>
      <c r="L3" s="430"/>
      <c r="M3" s="430"/>
      <c r="N3" s="430"/>
      <c r="O3" s="430"/>
      <c r="P3" s="430"/>
      <c r="Q3" s="430"/>
      <c r="R3" s="430"/>
      <c r="S3" s="430"/>
      <c r="T3" s="430"/>
      <c r="U3" s="430"/>
      <c r="V3" s="430"/>
      <c r="W3" s="430"/>
      <c r="X3" s="430"/>
      <c r="Y3" s="430"/>
      <c r="Z3" s="430"/>
      <c r="AA3" s="430"/>
      <c r="AB3" s="430"/>
      <c r="AC3" s="430"/>
      <c r="AD3" s="430"/>
      <c r="AE3" s="430"/>
      <c r="AF3" s="430"/>
      <c r="AG3" s="430"/>
      <c r="AH3" s="430"/>
      <c r="AI3" s="430"/>
      <c r="AJ3" s="430"/>
      <c r="AK3" s="430"/>
      <c r="AL3" s="430"/>
      <c r="AM3" s="430"/>
      <c r="AN3" s="430"/>
      <c r="AO3" s="430"/>
      <c r="AP3" s="430"/>
      <c r="AQ3" s="430"/>
      <c r="AR3" s="430"/>
      <c r="AS3" s="430"/>
      <c r="AT3" s="430"/>
      <c r="AU3" s="430"/>
      <c r="AV3" s="430"/>
      <c r="AW3" s="430"/>
      <c r="AX3" s="430"/>
      <c r="AY3" s="430"/>
      <c r="AZ3" s="430"/>
      <c r="BA3" s="430"/>
      <c r="BB3" s="430"/>
      <c r="BC3" s="430"/>
      <c r="BD3" s="430"/>
      <c r="BE3" s="430"/>
      <c r="BF3" s="430"/>
      <c r="BG3" s="430"/>
      <c r="BH3" s="430"/>
      <c r="BI3" s="430"/>
      <c r="BJ3" s="430"/>
      <c r="BK3" s="430"/>
      <c r="BL3" s="430"/>
      <c r="BM3" s="430"/>
      <c r="BN3" s="430"/>
      <c r="BO3" s="430"/>
      <c r="BP3" s="430"/>
      <c r="BQ3" s="430"/>
      <c r="BR3" s="430"/>
      <c r="BS3" s="430"/>
      <c r="BT3" s="430"/>
      <c r="BU3" s="430"/>
      <c r="BV3" s="110"/>
      <c r="BW3" s="429" t="s">
        <v>2</v>
      </c>
      <c r="BX3" s="430"/>
      <c r="BY3" s="430"/>
      <c r="BZ3" s="430"/>
      <c r="CA3" s="430"/>
      <c r="CB3" s="430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30"/>
      <c r="BX4" s="430"/>
      <c r="BY4" s="430"/>
      <c r="BZ4" s="430"/>
      <c r="CA4" s="430"/>
      <c r="CB4" s="430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63"/>
      <c r="BX5" s="363"/>
      <c r="BY5" s="363"/>
      <c r="BZ5" s="363"/>
      <c r="CA5" s="363"/>
      <c r="CB5" s="363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63"/>
      <c r="BX6" s="363"/>
      <c r="BY6" s="363"/>
      <c r="BZ6" s="363"/>
      <c r="CA6" s="363"/>
      <c r="CB6" s="363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392" t="s">
        <v>4</v>
      </c>
      <c r="B8" s="402" t="s">
        <v>5</v>
      </c>
      <c r="C8" s="390" t="s">
        <v>6</v>
      </c>
      <c r="D8" s="398" t="s">
        <v>141</v>
      </c>
      <c r="E8" s="398" t="s">
        <v>8</v>
      </c>
      <c r="F8" s="427" t="s">
        <v>142</v>
      </c>
      <c r="G8" s="424" t="s">
        <v>10</v>
      </c>
      <c r="H8" s="369" t="s">
        <v>11</v>
      </c>
      <c r="I8" s="369" t="s">
        <v>12</v>
      </c>
      <c r="J8" s="424" t="s">
        <v>13</v>
      </c>
      <c r="K8" s="428" t="s">
        <v>14</v>
      </c>
      <c r="L8" s="387"/>
      <c r="M8" s="387"/>
      <c r="N8" s="387"/>
      <c r="O8" s="387"/>
      <c r="P8" s="387"/>
      <c r="Q8" s="387"/>
      <c r="R8" s="387"/>
      <c r="S8" s="387"/>
      <c r="T8" s="387"/>
      <c r="U8" s="387"/>
      <c r="V8" s="387"/>
      <c r="W8" s="387"/>
      <c r="X8" s="387"/>
      <c r="Y8" s="424" t="s">
        <v>15</v>
      </c>
      <c r="Z8" s="387"/>
      <c r="AA8" s="387"/>
      <c r="AB8" s="387"/>
      <c r="AC8" s="387"/>
      <c r="AD8" s="387"/>
      <c r="AE8" s="387"/>
      <c r="AF8" s="387"/>
      <c r="AG8" s="387"/>
      <c r="AH8" s="387"/>
      <c r="AI8" s="387"/>
      <c r="AJ8" s="387"/>
      <c r="AK8" s="387"/>
      <c r="AL8" s="387"/>
      <c r="AM8" s="387"/>
      <c r="AN8" s="387"/>
      <c r="AO8" s="388"/>
      <c r="AP8" s="424" t="s">
        <v>16</v>
      </c>
      <c r="AQ8" s="424" t="s">
        <v>17</v>
      </c>
      <c r="AR8" s="424" t="s">
        <v>18</v>
      </c>
      <c r="AS8" s="424" t="s">
        <v>19</v>
      </c>
      <c r="AT8" s="424" t="s">
        <v>20</v>
      </c>
      <c r="AU8" s="424" t="s">
        <v>21</v>
      </c>
      <c r="AV8" s="390" t="s">
        <v>22</v>
      </c>
      <c r="AW8" s="390" t="s">
        <v>23</v>
      </c>
      <c r="AX8" s="390" t="s">
        <v>24</v>
      </c>
      <c r="AY8" s="386" t="s">
        <v>25</v>
      </c>
      <c r="AZ8" s="387"/>
      <c r="BA8" s="387"/>
      <c r="BB8" s="387"/>
      <c r="BC8" s="387"/>
      <c r="BD8" s="387"/>
      <c r="BE8" s="387"/>
      <c r="BF8" s="387"/>
      <c r="BG8" s="387"/>
      <c r="BH8" s="387"/>
      <c r="BI8" s="387"/>
      <c r="BJ8" s="387"/>
      <c r="BK8" s="387"/>
      <c r="BL8" s="387"/>
      <c r="BM8" s="387"/>
      <c r="BN8" s="387"/>
      <c r="BO8" s="387"/>
      <c r="BP8" s="388"/>
      <c r="BQ8" s="407" t="s">
        <v>26</v>
      </c>
      <c r="BR8" s="400"/>
      <c r="BS8" s="386" t="s">
        <v>143</v>
      </c>
      <c r="BT8" s="386" t="s">
        <v>27</v>
      </c>
      <c r="BU8" s="418" t="s">
        <v>28</v>
      </c>
      <c r="BV8" s="114"/>
      <c r="BW8" s="419" t="s">
        <v>29</v>
      </c>
      <c r="BX8" s="408" t="s">
        <v>30</v>
      </c>
      <c r="BY8" s="409"/>
      <c r="BZ8" s="409"/>
      <c r="CA8" s="400"/>
      <c r="CB8" s="420" t="s">
        <v>31</v>
      </c>
      <c r="CC8" s="405" t="s">
        <v>32</v>
      </c>
      <c r="CD8" s="405" t="s">
        <v>33</v>
      </c>
      <c r="CH8" s="27"/>
      <c r="CI8" s="28"/>
    </row>
    <row r="9" spans="1:87" s="11" customFormat="1" ht="19.25" customHeight="1">
      <c r="A9" s="384"/>
      <c r="B9" s="384"/>
      <c r="C9" s="384"/>
      <c r="D9" s="384"/>
      <c r="E9" s="384"/>
      <c r="F9" s="384"/>
      <c r="G9" s="384"/>
      <c r="H9" s="384"/>
      <c r="I9" s="384"/>
      <c r="J9" s="384"/>
      <c r="K9" s="421" t="s">
        <v>34</v>
      </c>
      <c r="L9" s="421" t="s">
        <v>35</v>
      </c>
      <c r="M9" s="421" t="s">
        <v>36</v>
      </c>
      <c r="N9" s="421" t="s">
        <v>37</v>
      </c>
      <c r="O9" s="421" t="s">
        <v>38</v>
      </c>
      <c r="P9" s="421" t="s">
        <v>39</v>
      </c>
      <c r="Q9" s="421" t="s">
        <v>40</v>
      </c>
      <c r="R9" s="421" t="s">
        <v>41</v>
      </c>
      <c r="S9" s="421" t="s">
        <v>42</v>
      </c>
      <c r="T9" s="421" t="s">
        <v>43</v>
      </c>
      <c r="U9" s="421" t="s">
        <v>44</v>
      </c>
      <c r="V9" s="433" t="s">
        <v>45</v>
      </c>
      <c r="W9" s="400"/>
      <c r="X9" s="421" t="s">
        <v>46</v>
      </c>
      <c r="Y9" s="423" t="s">
        <v>47</v>
      </c>
      <c r="Z9" s="423" t="s">
        <v>48</v>
      </c>
      <c r="AA9" s="423" t="s">
        <v>49</v>
      </c>
      <c r="AB9" s="423" t="s">
        <v>50</v>
      </c>
      <c r="AC9" s="331" t="s">
        <v>51</v>
      </c>
      <c r="AD9" s="331" t="s">
        <v>144</v>
      </c>
      <c r="AE9" s="331" t="s">
        <v>53</v>
      </c>
      <c r="AF9" s="331" t="s">
        <v>54</v>
      </c>
      <c r="AG9" s="423" t="s">
        <v>55</v>
      </c>
      <c r="AH9" s="331" t="s">
        <v>56</v>
      </c>
      <c r="AI9" s="331" t="s">
        <v>57</v>
      </c>
      <c r="AJ9" s="423" t="s">
        <v>58</v>
      </c>
      <c r="AK9" s="393" t="s">
        <v>59</v>
      </c>
      <c r="AL9" s="390" t="s">
        <v>60</v>
      </c>
      <c r="AM9" s="423" t="s">
        <v>61</v>
      </c>
      <c r="AN9" s="397" t="s">
        <v>62</v>
      </c>
      <c r="AO9" s="390" t="s">
        <v>63</v>
      </c>
      <c r="AP9" s="384"/>
      <c r="AQ9" s="384"/>
      <c r="AR9" s="384"/>
      <c r="AS9" s="384"/>
      <c r="AT9" s="384"/>
      <c r="AU9" s="384"/>
      <c r="AV9" s="384"/>
      <c r="AW9" s="384"/>
      <c r="AX9" s="384"/>
      <c r="AY9" s="386" t="s">
        <v>25</v>
      </c>
      <c r="AZ9" s="387"/>
      <c r="BA9" s="387"/>
      <c r="BB9" s="387"/>
      <c r="BC9" s="387"/>
      <c r="BD9" s="387"/>
      <c r="BE9" s="387"/>
      <c r="BF9" s="387"/>
      <c r="BG9" s="387"/>
      <c r="BH9" s="387"/>
      <c r="BI9" s="387"/>
      <c r="BJ9" s="388"/>
      <c r="BK9" s="386" t="s">
        <v>64</v>
      </c>
      <c r="BL9" s="387"/>
      <c r="BM9" s="387"/>
      <c r="BN9" s="387"/>
      <c r="BO9" s="387"/>
      <c r="BP9" s="388"/>
      <c r="BQ9" s="383" t="s">
        <v>65</v>
      </c>
      <c r="BR9" s="383" t="s">
        <v>66</v>
      </c>
      <c r="BS9" s="384"/>
      <c r="BT9" s="384"/>
      <c r="BU9" s="394"/>
      <c r="BV9" s="114"/>
      <c r="BW9" s="411"/>
      <c r="BX9" s="394"/>
      <c r="BY9" s="425"/>
      <c r="BZ9" s="425"/>
      <c r="CA9" s="411"/>
      <c r="CB9" s="384"/>
      <c r="CC9" s="384"/>
      <c r="CD9" s="384"/>
      <c r="CH9" s="27"/>
      <c r="CI9" s="28"/>
    </row>
    <row r="10" spans="1:87" s="29" customFormat="1" ht="19.25" customHeight="1">
      <c r="A10" s="384"/>
      <c r="B10" s="384"/>
      <c r="C10" s="384"/>
      <c r="D10" s="384"/>
      <c r="E10" s="384"/>
      <c r="F10" s="384"/>
      <c r="G10" s="384"/>
      <c r="H10" s="384"/>
      <c r="I10" s="384"/>
      <c r="J10" s="384"/>
      <c r="K10" s="384"/>
      <c r="L10" s="384"/>
      <c r="M10" s="384"/>
      <c r="N10" s="384"/>
      <c r="O10" s="384"/>
      <c r="P10" s="384"/>
      <c r="Q10" s="384"/>
      <c r="R10" s="384"/>
      <c r="S10" s="384"/>
      <c r="T10" s="384"/>
      <c r="U10" s="384"/>
      <c r="V10" s="395"/>
      <c r="W10" s="401"/>
      <c r="X10" s="384"/>
      <c r="Y10" s="384"/>
      <c r="Z10" s="384"/>
      <c r="AA10" s="384"/>
      <c r="AB10" s="384"/>
      <c r="AC10" s="384"/>
      <c r="AD10" s="384"/>
      <c r="AE10" s="384"/>
      <c r="AF10" s="384"/>
      <c r="AG10" s="384"/>
      <c r="AH10" s="384"/>
      <c r="AI10" s="384"/>
      <c r="AJ10" s="384"/>
      <c r="AK10" s="394"/>
      <c r="AL10" s="384"/>
      <c r="AM10" s="384"/>
      <c r="AN10" s="384"/>
      <c r="AO10" s="384"/>
      <c r="AP10" s="384"/>
      <c r="AQ10" s="384"/>
      <c r="AR10" s="384"/>
      <c r="AS10" s="384"/>
      <c r="AT10" s="384"/>
      <c r="AU10" s="384"/>
      <c r="AV10" s="384"/>
      <c r="AW10" s="384"/>
      <c r="AX10" s="384"/>
      <c r="AY10" s="101" t="s">
        <v>67</v>
      </c>
      <c r="AZ10" s="101" t="s">
        <v>68</v>
      </c>
      <c r="BA10" s="101" t="s">
        <v>69</v>
      </c>
      <c r="BB10" s="432" t="s">
        <v>70</v>
      </c>
      <c r="BC10" s="422" t="s">
        <v>71</v>
      </c>
      <c r="BD10" s="422" t="s">
        <v>72</v>
      </c>
      <c r="BE10" s="422" t="s">
        <v>145</v>
      </c>
      <c r="BF10" s="422" t="s">
        <v>74</v>
      </c>
      <c r="BG10" s="422" t="s">
        <v>75</v>
      </c>
      <c r="BH10" s="422" t="s">
        <v>76</v>
      </c>
      <c r="BI10" s="422" t="s">
        <v>79</v>
      </c>
      <c r="BJ10" s="434" t="s">
        <v>80</v>
      </c>
      <c r="BK10" s="422" t="s">
        <v>81</v>
      </c>
      <c r="BL10" s="426" t="s">
        <v>82</v>
      </c>
      <c r="BM10" s="422" t="s">
        <v>83</v>
      </c>
      <c r="BN10" s="426" t="s">
        <v>84</v>
      </c>
      <c r="BO10" s="426" t="s">
        <v>146</v>
      </c>
      <c r="BP10" s="386" t="s">
        <v>85</v>
      </c>
      <c r="BQ10" s="384"/>
      <c r="BR10" s="384"/>
      <c r="BS10" s="384"/>
      <c r="BT10" s="384"/>
      <c r="BU10" s="394"/>
      <c r="BV10" s="114"/>
      <c r="BW10" s="411"/>
      <c r="BX10" s="412"/>
      <c r="BY10" s="413"/>
      <c r="BZ10" s="413"/>
      <c r="CA10" s="414"/>
      <c r="CB10" s="384"/>
      <c r="CC10" s="384"/>
      <c r="CD10" s="384"/>
      <c r="CH10" s="27"/>
      <c r="CI10" s="28"/>
    </row>
    <row r="11" spans="1:87" s="29" customFormat="1" ht="38.25" customHeight="1">
      <c r="A11" s="385"/>
      <c r="B11" s="385"/>
      <c r="C11" s="385"/>
      <c r="D11" s="385"/>
      <c r="E11" s="385"/>
      <c r="F11" s="385"/>
      <c r="G11" s="385"/>
      <c r="H11" s="385"/>
      <c r="I11" s="385"/>
      <c r="J11" s="385"/>
      <c r="K11" s="385"/>
      <c r="L11" s="385"/>
      <c r="M11" s="385"/>
      <c r="N11" s="385"/>
      <c r="O11" s="385"/>
      <c r="P11" s="385"/>
      <c r="Q11" s="385"/>
      <c r="R11" s="385"/>
      <c r="S11" s="385"/>
      <c r="T11" s="385"/>
      <c r="U11" s="385"/>
      <c r="V11" s="30" t="s">
        <v>86</v>
      </c>
      <c r="W11" s="30" t="s">
        <v>87</v>
      </c>
      <c r="X11" s="385"/>
      <c r="Y11" s="385"/>
      <c r="Z11" s="385"/>
      <c r="AA11" s="385"/>
      <c r="AB11" s="385"/>
      <c r="AC11" s="385"/>
      <c r="AD11" s="385"/>
      <c r="AE11" s="385"/>
      <c r="AF11" s="385"/>
      <c r="AG11" s="385"/>
      <c r="AH11" s="385"/>
      <c r="AI11" s="385"/>
      <c r="AJ11" s="385"/>
      <c r="AK11" s="395"/>
      <c r="AL11" s="385"/>
      <c r="AM11" s="385"/>
      <c r="AN11" s="385"/>
      <c r="AO11" s="385"/>
      <c r="AP11" s="385"/>
      <c r="AQ11" s="385"/>
      <c r="AR11" s="385"/>
      <c r="AS11" s="385"/>
      <c r="AT11" s="385"/>
      <c r="AU11" s="385"/>
      <c r="AV11" s="385"/>
      <c r="AW11" s="385"/>
      <c r="AX11" s="385"/>
      <c r="AY11" s="102" t="s">
        <v>88</v>
      </c>
      <c r="AZ11" s="102" t="s">
        <v>89</v>
      </c>
      <c r="BA11" s="102" t="s">
        <v>90</v>
      </c>
      <c r="BB11" s="385"/>
      <c r="BC11" s="385"/>
      <c r="BD11" s="385"/>
      <c r="BE11" s="385"/>
      <c r="BF11" s="385"/>
      <c r="BG11" s="385"/>
      <c r="BH11" s="385"/>
      <c r="BI11" s="385"/>
      <c r="BJ11" s="385"/>
      <c r="BK11" s="385"/>
      <c r="BL11" s="385"/>
      <c r="BM11" s="385"/>
      <c r="BN11" s="385"/>
      <c r="BO11" s="385"/>
      <c r="BP11" s="385"/>
      <c r="BQ11" s="385"/>
      <c r="BR11" s="385"/>
      <c r="BS11" s="385"/>
      <c r="BT11" s="385"/>
      <c r="BU11" s="395"/>
      <c r="BV11" s="114"/>
      <c r="BW11" s="414"/>
      <c r="BX11" s="72" t="s">
        <v>91</v>
      </c>
      <c r="BY11" s="72" t="s">
        <v>92</v>
      </c>
      <c r="BZ11" s="72" t="s">
        <v>93</v>
      </c>
      <c r="CA11" s="73" t="s">
        <v>94</v>
      </c>
      <c r="CB11" s="406"/>
      <c r="CC11" s="406"/>
      <c r="CD11" s="406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CD8:CD11"/>
    <mergeCell ref="Y9:Y11"/>
    <mergeCell ref="AA9:AA11"/>
    <mergeCell ref="AK9:AK11"/>
    <mergeCell ref="AM9:AM11"/>
    <mergeCell ref="AX8:AX11"/>
    <mergeCell ref="Y8:AO8"/>
    <mergeCell ref="BJ10:BJ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Normal="100" zoomScaleSheetLayoutView="70" workbookViewId="0">
      <pane xSplit="6" ySplit="11" topLeftCell="G19" activePane="bottomRight" state="frozen"/>
      <selection pane="topRight" activeCell="E18" sqref="E18"/>
      <selection pane="bottomLeft" activeCell="E18" sqref="E18"/>
      <selection pane="bottomRight" activeCell="K48" sqref="K48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5.5" style="218" bestFit="1" customWidth="1" outlineLevel="1"/>
    <col min="5" max="5" width="5.5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6"/>
      <c r="B3" s="404"/>
      <c r="C3" s="404"/>
      <c r="D3" s="404"/>
      <c r="E3" s="404"/>
      <c r="F3" s="404"/>
      <c r="G3" s="404"/>
      <c r="H3" s="404"/>
      <c r="I3" s="404"/>
      <c r="J3" s="404"/>
      <c r="K3" s="404"/>
      <c r="L3" s="404"/>
      <c r="M3" s="404"/>
      <c r="N3" s="404"/>
      <c r="O3" s="404"/>
      <c r="P3" s="404"/>
      <c r="Q3" s="404"/>
      <c r="R3" s="404"/>
      <c r="S3" s="404"/>
      <c r="T3" s="404"/>
      <c r="U3" s="404"/>
      <c r="V3" s="404"/>
      <c r="W3" s="404"/>
      <c r="X3" s="404"/>
      <c r="Y3" s="404"/>
      <c r="Z3" s="404"/>
      <c r="AA3" s="404"/>
      <c r="AB3" s="404"/>
      <c r="AC3" s="404"/>
      <c r="AD3" s="404"/>
      <c r="AE3" s="404"/>
      <c r="AF3" s="404"/>
      <c r="AG3" s="404"/>
      <c r="AH3" s="404"/>
      <c r="AI3" s="404"/>
      <c r="AJ3" s="404"/>
      <c r="AK3" s="404"/>
      <c r="AL3" s="404"/>
      <c r="AM3" s="404"/>
      <c r="AN3" s="404"/>
      <c r="AO3" s="404"/>
      <c r="AP3" s="404"/>
      <c r="AQ3" s="404"/>
      <c r="AR3" s="404"/>
      <c r="AS3" s="404"/>
      <c r="AT3" s="404"/>
      <c r="AU3" s="404"/>
      <c r="AV3" s="404"/>
      <c r="AW3" s="404"/>
      <c r="AX3" s="404"/>
      <c r="AY3" s="404"/>
      <c r="AZ3" s="404"/>
      <c r="BA3" s="404"/>
      <c r="BB3" s="404"/>
      <c r="BC3" s="404"/>
      <c r="BD3" s="404"/>
      <c r="BE3" s="404"/>
      <c r="BF3" s="404"/>
      <c r="BG3" s="404"/>
      <c r="BH3" s="404"/>
      <c r="BI3" s="404"/>
      <c r="BJ3" s="404"/>
      <c r="BK3" s="404"/>
      <c r="BL3" s="404"/>
      <c r="BM3" s="404"/>
      <c r="BN3" s="404"/>
      <c r="BO3" s="404"/>
      <c r="BP3" s="404"/>
      <c r="BQ3" s="404"/>
      <c r="BR3" s="404"/>
      <c r="BS3" s="404"/>
      <c r="BT3" s="404"/>
      <c r="BU3" s="404"/>
      <c r="BW3" s="403" t="s">
        <v>2</v>
      </c>
      <c r="BX3" s="404"/>
      <c r="BY3" s="404"/>
      <c r="BZ3" s="404"/>
      <c r="CA3" s="404"/>
      <c r="CB3" s="404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04"/>
      <c r="BX4" s="404"/>
      <c r="BY4" s="404"/>
      <c r="BZ4" s="404"/>
      <c r="CA4" s="404"/>
      <c r="CB4" s="404"/>
      <c r="CC4" s="133"/>
      <c r="CD4" s="133"/>
    </row>
    <row r="5" spans="1:87" s="136" customFormat="1">
      <c r="A5" s="392" t="s">
        <v>4</v>
      </c>
      <c r="B5" s="402" t="s">
        <v>5</v>
      </c>
      <c r="C5" s="390" t="s">
        <v>6</v>
      </c>
      <c r="D5" s="398" t="s">
        <v>141</v>
      </c>
      <c r="E5" s="398" t="s">
        <v>8</v>
      </c>
      <c r="F5" s="427" t="s">
        <v>142</v>
      </c>
      <c r="G5" s="390" t="s">
        <v>10</v>
      </c>
      <c r="H5" s="346" t="s">
        <v>11</v>
      </c>
      <c r="I5" s="346" t="s">
        <v>12</v>
      </c>
      <c r="J5" s="390" t="s">
        <v>13</v>
      </c>
      <c r="K5" s="396" t="s">
        <v>14</v>
      </c>
      <c r="L5" s="387"/>
      <c r="M5" s="387"/>
      <c r="N5" s="387"/>
      <c r="O5" s="387"/>
      <c r="P5" s="387"/>
      <c r="Q5" s="387"/>
      <c r="R5" s="387"/>
      <c r="S5" s="387"/>
      <c r="T5" s="387"/>
      <c r="U5" s="387"/>
      <c r="V5" s="387"/>
      <c r="W5" s="387"/>
      <c r="X5" s="387"/>
      <c r="Y5" s="390" t="s">
        <v>15</v>
      </c>
      <c r="Z5" s="387"/>
      <c r="AA5" s="387"/>
      <c r="AB5" s="387"/>
      <c r="AC5" s="387"/>
      <c r="AD5" s="387"/>
      <c r="AE5" s="387"/>
      <c r="AF5" s="387"/>
      <c r="AG5" s="387"/>
      <c r="AH5" s="387"/>
      <c r="AI5" s="387"/>
      <c r="AJ5" s="387"/>
      <c r="AK5" s="387"/>
      <c r="AL5" s="387"/>
      <c r="AM5" s="387"/>
      <c r="AN5" s="387"/>
      <c r="AO5" s="388"/>
      <c r="AP5" s="390" t="s">
        <v>16</v>
      </c>
      <c r="AQ5" s="390" t="s">
        <v>17</v>
      </c>
      <c r="AR5" s="390" t="s">
        <v>18</v>
      </c>
      <c r="AS5" s="390" t="s">
        <v>19</v>
      </c>
      <c r="AT5" s="390" t="s">
        <v>20</v>
      </c>
      <c r="AU5" s="390" t="s">
        <v>21</v>
      </c>
      <c r="AV5" s="390" t="s">
        <v>22</v>
      </c>
      <c r="AW5" s="390" t="s">
        <v>23</v>
      </c>
      <c r="AX5" s="390" t="s">
        <v>24</v>
      </c>
      <c r="AY5" s="386" t="s">
        <v>25</v>
      </c>
      <c r="AZ5" s="387"/>
      <c r="BA5" s="387"/>
      <c r="BB5" s="387"/>
      <c r="BC5" s="387"/>
      <c r="BD5" s="387"/>
      <c r="BE5" s="387"/>
      <c r="BF5" s="387"/>
      <c r="BG5" s="387"/>
      <c r="BH5" s="387"/>
      <c r="BI5" s="387"/>
      <c r="BJ5" s="387"/>
      <c r="BK5" s="387"/>
      <c r="BL5" s="387"/>
      <c r="BM5" s="387"/>
      <c r="BN5" s="387"/>
      <c r="BO5" s="387"/>
      <c r="BP5" s="388"/>
      <c r="BQ5" s="407" t="s">
        <v>26</v>
      </c>
      <c r="BR5" s="400"/>
      <c r="BS5" s="386" t="s">
        <v>143</v>
      </c>
      <c r="BT5" s="386" t="s">
        <v>27</v>
      </c>
      <c r="BU5" s="418" t="s">
        <v>28</v>
      </c>
      <c r="BW5" s="419" t="s">
        <v>29</v>
      </c>
      <c r="BX5" s="408" t="s">
        <v>30</v>
      </c>
      <c r="BY5" s="409"/>
      <c r="BZ5" s="409"/>
      <c r="CA5" s="400"/>
      <c r="CB5" s="420" t="s">
        <v>31</v>
      </c>
      <c r="CC5" s="405" t="s">
        <v>32</v>
      </c>
      <c r="CD5" s="405" t="s">
        <v>33</v>
      </c>
      <c r="CH5" s="137"/>
      <c r="CI5" s="138"/>
    </row>
    <row r="6" spans="1:87" s="136" customFormat="1">
      <c r="A6" s="384"/>
      <c r="B6" s="384"/>
      <c r="C6" s="384"/>
      <c r="D6" s="384"/>
      <c r="E6" s="384"/>
      <c r="F6" s="384"/>
      <c r="G6" s="384"/>
      <c r="H6" s="384"/>
      <c r="I6" s="384"/>
      <c r="J6" s="384"/>
      <c r="K6" s="391" t="s">
        <v>34</v>
      </c>
      <c r="L6" s="391" t="s">
        <v>35</v>
      </c>
      <c r="M6" s="391" t="s">
        <v>36</v>
      </c>
      <c r="N6" s="391" t="s">
        <v>37</v>
      </c>
      <c r="O6" s="391" t="s">
        <v>38</v>
      </c>
      <c r="P6" s="391" t="s">
        <v>39</v>
      </c>
      <c r="Q6" s="391" t="s">
        <v>40</v>
      </c>
      <c r="R6" s="391" t="s">
        <v>41</v>
      </c>
      <c r="S6" s="391" t="s">
        <v>42</v>
      </c>
      <c r="T6" s="391" t="s">
        <v>43</v>
      </c>
      <c r="U6" s="391" t="s">
        <v>44</v>
      </c>
      <c r="V6" s="399" t="s">
        <v>45</v>
      </c>
      <c r="W6" s="400"/>
      <c r="X6" s="391" t="s">
        <v>46</v>
      </c>
      <c r="Y6" s="390" t="s">
        <v>47</v>
      </c>
      <c r="Z6" s="390" t="s">
        <v>48</v>
      </c>
      <c r="AA6" s="390" t="s">
        <v>49</v>
      </c>
      <c r="AB6" s="390" t="s">
        <v>50</v>
      </c>
      <c r="AC6" s="346" t="s">
        <v>51</v>
      </c>
      <c r="AD6" s="346" t="s">
        <v>144</v>
      </c>
      <c r="AE6" s="346" t="s">
        <v>53</v>
      </c>
      <c r="AF6" s="346" t="s">
        <v>54</v>
      </c>
      <c r="AG6" s="390" t="s">
        <v>55</v>
      </c>
      <c r="AH6" s="346" t="s">
        <v>56</v>
      </c>
      <c r="AI6" s="346" t="s">
        <v>57</v>
      </c>
      <c r="AJ6" s="390" t="s">
        <v>58</v>
      </c>
      <c r="AK6" s="393" t="s">
        <v>59</v>
      </c>
      <c r="AL6" s="390" t="s">
        <v>60</v>
      </c>
      <c r="AM6" s="390" t="s">
        <v>61</v>
      </c>
      <c r="AN6" s="397" t="s">
        <v>62</v>
      </c>
      <c r="AO6" s="390" t="s">
        <v>63</v>
      </c>
      <c r="AP6" s="384"/>
      <c r="AQ6" s="384"/>
      <c r="AR6" s="384"/>
      <c r="AS6" s="384"/>
      <c r="AT6" s="384"/>
      <c r="AU6" s="384"/>
      <c r="AV6" s="384"/>
      <c r="AW6" s="384"/>
      <c r="AX6" s="384"/>
      <c r="AY6" s="386" t="s">
        <v>25</v>
      </c>
      <c r="AZ6" s="387"/>
      <c r="BA6" s="387"/>
      <c r="BB6" s="387"/>
      <c r="BC6" s="387"/>
      <c r="BD6" s="387"/>
      <c r="BE6" s="387"/>
      <c r="BF6" s="387"/>
      <c r="BG6" s="387"/>
      <c r="BH6" s="387"/>
      <c r="BI6" s="387"/>
      <c r="BJ6" s="388"/>
      <c r="BK6" s="386" t="s">
        <v>64</v>
      </c>
      <c r="BL6" s="387"/>
      <c r="BM6" s="387"/>
      <c r="BN6" s="387"/>
      <c r="BO6" s="387"/>
      <c r="BP6" s="388"/>
      <c r="BQ6" s="383" t="s">
        <v>65</v>
      </c>
      <c r="BR6" s="383" t="s">
        <v>66</v>
      </c>
      <c r="BS6" s="384"/>
      <c r="BT6" s="384"/>
      <c r="BU6" s="394"/>
      <c r="BW6" s="411"/>
      <c r="BX6" s="394"/>
      <c r="BY6" s="410"/>
      <c r="BZ6" s="410"/>
      <c r="CA6" s="411"/>
      <c r="CB6" s="384"/>
      <c r="CC6" s="384"/>
      <c r="CD6" s="384"/>
      <c r="CH6" s="137"/>
      <c r="CI6" s="138"/>
    </row>
    <row r="7" spans="1:87" s="136" customFormat="1" ht="12">
      <c r="A7" s="384"/>
      <c r="B7" s="384"/>
      <c r="C7" s="384"/>
      <c r="D7" s="384"/>
      <c r="E7" s="384"/>
      <c r="F7" s="384"/>
      <c r="G7" s="384"/>
      <c r="H7" s="384"/>
      <c r="I7" s="384"/>
      <c r="J7" s="384"/>
      <c r="K7" s="384"/>
      <c r="L7" s="384"/>
      <c r="M7" s="384"/>
      <c r="N7" s="384"/>
      <c r="O7" s="384"/>
      <c r="P7" s="384"/>
      <c r="Q7" s="384"/>
      <c r="R7" s="384"/>
      <c r="S7" s="384"/>
      <c r="T7" s="384"/>
      <c r="U7" s="384"/>
      <c r="V7" s="395"/>
      <c r="W7" s="401"/>
      <c r="X7" s="384"/>
      <c r="Y7" s="384"/>
      <c r="Z7" s="384"/>
      <c r="AA7" s="384"/>
      <c r="AB7" s="384"/>
      <c r="AC7" s="384"/>
      <c r="AD7" s="384"/>
      <c r="AE7" s="384"/>
      <c r="AF7" s="384"/>
      <c r="AG7" s="384"/>
      <c r="AH7" s="384"/>
      <c r="AI7" s="384"/>
      <c r="AJ7" s="384"/>
      <c r="AK7" s="394"/>
      <c r="AL7" s="384"/>
      <c r="AM7" s="384"/>
      <c r="AN7" s="384"/>
      <c r="AO7" s="384"/>
      <c r="AP7" s="384"/>
      <c r="AQ7" s="384"/>
      <c r="AR7" s="384"/>
      <c r="AS7" s="384"/>
      <c r="AT7" s="384"/>
      <c r="AU7" s="384"/>
      <c r="AV7" s="384"/>
      <c r="AW7" s="384"/>
      <c r="AX7" s="384"/>
      <c r="AY7" s="101" t="s">
        <v>67</v>
      </c>
      <c r="AZ7" s="101" t="s">
        <v>68</v>
      </c>
      <c r="BA7" s="101" t="s">
        <v>69</v>
      </c>
      <c r="BB7" s="386" t="s">
        <v>70</v>
      </c>
      <c r="BC7" s="389" t="s">
        <v>71</v>
      </c>
      <c r="BD7" s="389" t="s">
        <v>72</v>
      </c>
      <c r="BE7" s="389" t="s">
        <v>145</v>
      </c>
      <c r="BF7" s="389" t="s">
        <v>74</v>
      </c>
      <c r="BG7" s="389" t="s">
        <v>75</v>
      </c>
      <c r="BH7" s="389" t="s">
        <v>76</v>
      </c>
      <c r="BI7" s="389" t="s">
        <v>79</v>
      </c>
      <c r="BJ7" s="417" t="s">
        <v>80</v>
      </c>
      <c r="BK7" s="389" t="s">
        <v>81</v>
      </c>
      <c r="BL7" s="386" t="s">
        <v>82</v>
      </c>
      <c r="BM7" s="389" t="s">
        <v>83</v>
      </c>
      <c r="BN7" s="386" t="s">
        <v>84</v>
      </c>
      <c r="BO7" s="386" t="s">
        <v>146</v>
      </c>
      <c r="BP7" s="386" t="s">
        <v>85</v>
      </c>
      <c r="BQ7" s="384"/>
      <c r="BR7" s="384"/>
      <c r="BS7" s="384"/>
      <c r="BT7" s="384"/>
      <c r="BU7" s="394"/>
      <c r="BW7" s="411"/>
      <c r="BX7" s="412"/>
      <c r="BY7" s="413"/>
      <c r="BZ7" s="413"/>
      <c r="CA7" s="414"/>
      <c r="CB7" s="384"/>
      <c r="CC7" s="384"/>
      <c r="CD7" s="384"/>
      <c r="CH7" s="137"/>
      <c r="CI7" s="138"/>
    </row>
    <row r="8" spans="1:87" s="136" customFormat="1" ht="22.5" customHeight="1">
      <c r="A8" s="385"/>
      <c r="B8" s="385"/>
      <c r="C8" s="385"/>
      <c r="D8" s="385"/>
      <c r="E8" s="385"/>
      <c r="F8" s="385"/>
      <c r="G8" s="385"/>
      <c r="H8" s="385"/>
      <c r="I8" s="385"/>
      <c r="J8" s="385"/>
      <c r="K8" s="385"/>
      <c r="L8" s="385"/>
      <c r="M8" s="385"/>
      <c r="N8" s="385"/>
      <c r="O8" s="385"/>
      <c r="P8" s="385"/>
      <c r="Q8" s="385"/>
      <c r="R8" s="385"/>
      <c r="S8" s="385"/>
      <c r="T8" s="385"/>
      <c r="U8" s="385"/>
      <c r="V8" s="140" t="s">
        <v>86</v>
      </c>
      <c r="W8" s="140" t="s">
        <v>87</v>
      </c>
      <c r="X8" s="385"/>
      <c r="Y8" s="385"/>
      <c r="Z8" s="385"/>
      <c r="AA8" s="385"/>
      <c r="AB8" s="385"/>
      <c r="AC8" s="385"/>
      <c r="AD8" s="385"/>
      <c r="AE8" s="385"/>
      <c r="AF8" s="385"/>
      <c r="AG8" s="385"/>
      <c r="AH8" s="385"/>
      <c r="AI8" s="385"/>
      <c r="AJ8" s="385"/>
      <c r="AK8" s="395"/>
      <c r="AL8" s="385"/>
      <c r="AM8" s="385"/>
      <c r="AN8" s="385"/>
      <c r="AO8" s="385"/>
      <c r="AP8" s="385"/>
      <c r="AQ8" s="385"/>
      <c r="AR8" s="385"/>
      <c r="AS8" s="385"/>
      <c r="AT8" s="385"/>
      <c r="AU8" s="385"/>
      <c r="AV8" s="385"/>
      <c r="AW8" s="385"/>
      <c r="AX8" s="385"/>
      <c r="AY8" s="102" t="s">
        <v>88</v>
      </c>
      <c r="AZ8" s="102" t="s">
        <v>89</v>
      </c>
      <c r="BA8" s="102" t="s">
        <v>90</v>
      </c>
      <c r="BB8" s="385"/>
      <c r="BC8" s="385"/>
      <c r="BD8" s="385"/>
      <c r="BE8" s="385"/>
      <c r="BF8" s="385"/>
      <c r="BG8" s="385"/>
      <c r="BH8" s="385"/>
      <c r="BI8" s="385"/>
      <c r="BJ8" s="385"/>
      <c r="BK8" s="385"/>
      <c r="BL8" s="385"/>
      <c r="BM8" s="385"/>
      <c r="BN8" s="385"/>
      <c r="BO8" s="385"/>
      <c r="BP8" s="385"/>
      <c r="BQ8" s="385"/>
      <c r="BR8" s="385"/>
      <c r="BS8" s="385"/>
      <c r="BT8" s="385"/>
      <c r="BU8" s="395"/>
      <c r="BW8" s="414"/>
      <c r="BX8" s="72" t="s">
        <v>91</v>
      </c>
      <c r="BY8" s="72" t="s">
        <v>92</v>
      </c>
      <c r="BZ8" s="72" t="s">
        <v>93</v>
      </c>
      <c r="CA8" s="73" t="s">
        <v>94</v>
      </c>
      <c r="CB8" s="406"/>
      <c r="CC8" s="406"/>
      <c r="CD8" s="406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AU5:AU8"/>
    <mergeCell ref="AK6:AK8"/>
    <mergeCell ref="BI7:BI8"/>
    <mergeCell ref="K5:X5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P6:P8"/>
    <mergeCell ref="BB7:BB8"/>
    <mergeCell ref="BD7:BD8"/>
    <mergeCell ref="BF7:BF8"/>
    <mergeCell ref="BH7:BH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2026-01-06T18:53:12Z</dcterms:modified>
</cp:coreProperties>
</file>