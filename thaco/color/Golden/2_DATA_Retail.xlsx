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74C663BC-97AB-8E4A-8224-F990863F97DB}" xr6:coauthVersionLast="47" xr6:coauthVersionMax="47" xr10:uidLastSave="{00000000-0000-0000-0000-000000000000}"/>
  <bookViews>
    <workbookView xWindow="38760" yWindow="500" windowWidth="38100" windowHeight="20800" tabRatio="650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Others" sheetId="366" r:id="rId7"/>
    <sheet name="Incentive" sheetId="347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7">Incentive!#REF!</definedName>
    <definedName name="__xlnm._FilterDatabase" localSheetId="5">NS!#REF!</definedName>
    <definedName name="__xlnm._FilterDatabase_1" localSheetId="3">#REF!</definedName>
    <definedName name="__xlnm._FilterDatabase_1" localSheetId="7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7">#REF!</definedName>
    <definedName name="__xlnm._FilterDatabase_2">#REF!</definedName>
    <definedName name="__xlnm._FilterDatabase_3" localSheetId="3">#REF!</definedName>
    <definedName name="__xlnm._FilterDatabase_3" localSheetId="7">#REF!</definedName>
    <definedName name="__xlnm._FilterDatabase_3">#REF!</definedName>
    <definedName name="__xlnm._FilterDatabase_4" localSheetId="3">#REF!</definedName>
    <definedName name="__xlnm._FilterDatabase_4" localSheetId="7">#REF!</definedName>
    <definedName name="__xlnm._FilterDatabase_4">#REF!</definedName>
    <definedName name="__xlnm._FilterDatabase_5" localSheetId="3">#REF!</definedName>
    <definedName name="__xlnm._FilterDatabase_5" localSheetId="7">#REF!</definedName>
    <definedName name="__xlnm._FilterDatabase_5">#REF!</definedName>
    <definedName name="__xlnm._FilterDatabase_6" localSheetId="7">#REF!</definedName>
    <definedName name="__xlnm._FilterDatabase_6">#REF!</definedName>
    <definedName name="__xlnm._FilterDatabase_7" localSheetId="3">#REF!</definedName>
    <definedName name="__xlnm._FilterDatabase_7" localSheetId="7">#REF!</definedName>
    <definedName name="__xlnm._FilterDatabase_7">#REF!</definedName>
    <definedName name="__xlnm.Print_Area" localSheetId="7">Incentive!$A$1:$F$8</definedName>
    <definedName name="__xlnm.Print_Titles" localSheetId="7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1'!$A$3:$P$5</definedName>
    <definedName name="_xlnm._FilterDatabase" localSheetId="8" hidden="1">'Benefit tính thuế'!$A$1:$G$18</definedName>
    <definedName name="_xlnm._FilterDatabase" localSheetId="7" hidden="1">Incentive!$A$3:$I$7</definedName>
    <definedName name="_xlnm._FilterDatabase" localSheetId="5" hidden="1">NS!$A$1:$D$5</definedName>
    <definedName name="_xlnm._FilterDatabase" localSheetId="1" hidden="1">'PC cơm '!$A$2:$E$4</definedName>
    <definedName name="_xlnm._FilterDatabase" localSheetId="0" hidden="1">'Template Payroll'!$A$1:$AL$2</definedName>
    <definedName name="_xlnm._FilterDatabase" localSheetId="2" hidden="1">'TimeTB 2'!$A$3:$R$28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7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7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7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7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7">#REF!</definedName>
    <definedName name="dayinmonth">#REF!</definedName>
    <definedName name="daymonth" localSheetId="3">[6]Payroll!$XEP$19:$XES$32</definedName>
    <definedName name="daymonth" localSheetId="7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7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7">#REF!</definedName>
    <definedName name="HUYEN_HOC_MON">#REF!</definedName>
    <definedName name="HUYEN_NHA_BE" localSheetId="3">#REF!</definedName>
    <definedName name="HUYEN_NHA_BE" localSheetId="7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7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7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7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7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7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7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7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7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7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7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7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7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7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7">Incentive!$A$1:$I$8</definedName>
    <definedName name="_xlnm.Print_Area" localSheetId="2">'TimeTB 2'!$B$1:$R$28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7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Payroll'!$A:$G,'Template Payroll'!$1:$1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7">#REF!</definedName>
    <definedName name="QUAN_1">#REF!</definedName>
    <definedName name="QUAN_10" localSheetId="3">#REF!</definedName>
    <definedName name="QUAN_10" localSheetId="7">#REF!</definedName>
    <definedName name="QUAN_10">#REF!</definedName>
    <definedName name="QUAN_11" localSheetId="3">#REF!</definedName>
    <definedName name="QUAN_11" localSheetId="7">#REF!</definedName>
    <definedName name="QUAN_11">#REF!</definedName>
    <definedName name="QUAN_12" localSheetId="3">#REF!</definedName>
    <definedName name="QUAN_12" localSheetId="7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7">#REF!</definedName>
    <definedName name="QUAN_2">#REF!</definedName>
    <definedName name="quan_21">!#REF!</definedName>
    <definedName name="QUAN_3" localSheetId="3">#REF!</definedName>
    <definedName name="QUAN_3" localSheetId="7">#REF!</definedName>
    <definedName name="QUAN_3">#REF!</definedName>
    <definedName name="QUẬN_3">!#REF!</definedName>
    <definedName name="QUAN_4" localSheetId="3">#REF!</definedName>
    <definedName name="QUAN_4" localSheetId="7">#REF!</definedName>
    <definedName name="QUAN_4">#REF!</definedName>
    <definedName name="QUAN_41">!#REF!</definedName>
    <definedName name="QUAN_5" localSheetId="3">#REF!</definedName>
    <definedName name="QUAN_5" localSheetId="7">#REF!</definedName>
    <definedName name="QUAN_5">#REF!</definedName>
    <definedName name="QUAN_6" localSheetId="3">#REF!</definedName>
    <definedName name="QUAN_6" localSheetId="7">#REF!</definedName>
    <definedName name="QUAN_6">#REF!</definedName>
    <definedName name="QUAN_7" localSheetId="3">#REF!</definedName>
    <definedName name="QUAN_7" localSheetId="7">#REF!</definedName>
    <definedName name="QUAN_7">#REF!</definedName>
    <definedName name="QUAN_8" localSheetId="3">#REF!</definedName>
    <definedName name="QUAN_8" localSheetId="7">#REF!</definedName>
    <definedName name="QUAN_8">#REF!</definedName>
    <definedName name="QUAN_9" localSheetId="3">#REF!</definedName>
    <definedName name="QUAN_9" localSheetId="7">#REF!</definedName>
    <definedName name="QUAN_9">#REF!</definedName>
    <definedName name="QUAN_BINH_TAN" localSheetId="3">#REF!</definedName>
    <definedName name="QUAN_BINH_TAN" localSheetId="7">#REF!</definedName>
    <definedName name="QUAN_BINH_TAN">#REF!</definedName>
    <definedName name="QUAN_BINH_THANH" localSheetId="3">#REF!</definedName>
    <definedName name="QUAN_BINH_THANH" localSheetId="7">#REF!</definedName>
    <definedName name="QUAN_BINH_THANH">#REF!</definedName>
    <definedName name="QUAN_GO_VAP" localSheetId="3">#REF!</definedName>
    <definedName name="QUAN_GO_VAP" localSheetId="7">#REF!</definedName>
    <definedName name="QUAN_GO_VAP">#REF!</definedName>
    <definedName name="QUAN_PHU_NHUAN" localSheetId="3">#REF!</definedName>
    <definedName name="QUAN_PHU_NHUAN" localSheetId="7">#REF!</definedName>
    <definedName name="QUAN_PHU_NHUAN">#REF!</definedName>
    <definedName name="QUAN_TAN_BINH" localSheetId="3">#REF!</definedName>
    <definedName name="QUAN_TAN_BINH" localSheetId="7">#REF!</definedName>
    <definedName name="QUAN_TAN_BINH">#REF!</definedName>
    <definedName name="QUAN_TAN_PHU" localSheetId="3">#REF!</definedName>
    <definedName name="QUAN_TAN_PHU" localSheetId="7">#REF!</definedName>
    <definedName name="QUAN_TAN_PHU">#REF!</definedName>
    <definedName name="QUAN_THU_DUC" localSheetId="3">#REF!</definedName>
    <definedName name="QUAN_THU_DUC" localSheetId="7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7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7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7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7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40" l="1"/>
  <c r="B10" i="340"/>
  <c r="B9" i="340"/>
  <c r="B8" i="340"/>
  <c r="B7" i="340"/>
  <c r="B6" i="340"/>
  <c r="B5" i="340"/>
  <c r="B4" i="340" l="1"/>
  <c r="A5" i="348" l="1"/>
  <c r="A4" i="348"/>
  <c r="A3" i="348"/>
  <c r="A2" i="348"/>
  <c r="J6" i="347"/>
  <c r="J5" i="347"/>
  <c r="J4" i="347"/>
  <c r="G1" i="347" l="1"/>
  <c r="K6" i="347"/>
  <c r="G2" i="347"/>
  <c r="I2" i="347"/>
  <c r="I1" i="347"/>
  <c r="H2" i="347"/>
  <c r="H1" i="347"/>
  <c r="K4" i="347" l="1"/>
  <c r="K5" i="3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Y1" authorId="0" shapeId="0" xr:uid="{06EBF159-A796-1E4C-BE36-884277792BC1}">
      <text>
        <r>
          <rPr>
            <b/>
            <sz val="9"/>
            <color rgb="FF000000"/>
            <rFont val="Tahoma"/>
            <family val="2"/>
          </rPr>
          <t>duyen: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lũy tiến
</t>
        </r>
        <r>
          <rPr>
            <sz val="9"/>
            <color rgb="FF000000"/>
            <rFont val="Tahoma"/>
            <family val="2"/>
          </rPr>
          <t>1: toàn phần</t>
        </r>
      </text>
    </comment>
  </commentList>
</comments>
</file>

<file path=xl/sharedStrings.xml><?xml version="1.0" encoding="utf-8"?>
<sst xmlns="http://schemas.openxmlformats.org/spreadsheetml/2006/main" count="252" uniqueCount="126">
  <si>
    <t>c</t>
  </si>
  <si>
    <t>Qty.</t>
  </si>
  <si>
    <t>Email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</si>
  <si>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</si>
  <si>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</si>
  <si>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</si>
  <si>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</si>
  <si>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</si>
  <si>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</si>
  <si>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</si>
  <si>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Manager</t>
  </si>
  <si>
    <t>Security</t>
  </si>
  <si>
    <t>Assistant</t>
  </si>
  <si>
    <t>Staff</t>
  </si>
  <si>
    <t>Emp. Code</t>
  </si>
  <si>
    <t>Full name</t>
  </si>
  <si>
    <t>Department</t>
  </si>
  <si>
    <t>Holiday</t>
  </si>
  <si>
    <t xml:space="preserve">Total hour night shift </t>
  </si>
  <si>
    <t>Dept</t>
  </si>
  <si>
    <t>TT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</si>
  <si>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</si>
  <si>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</si>
  <si>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</si>
  <si>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</si>
  <si>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</si>
  <si>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</si>
  <si>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</si>
  <si>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</si>
  <si>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Nghỉ việc</t>
  </si>
  <si>
    <t>PP. Center</t>
  </si>
  <si>
    <t>Joinging date</t>
  </si>
  <si>
    <t>Bill</t>
  </si>
  <si>
    <t>Cashier incentive</t>
  </si>
  <si>
    <t>Cashier</t>
  </si>
  <si>
    <t>Sub. Dept</t>
  </si>
  <si>
    <t>Job Title</t>
  </si>
  <si>
    <t>Cashier Staff</t>
  </si>
  <si>
    <t>PP.Shipper</t>
  </si>
  <si>
    <t>Security Staff</t>
  </si>
  <si>
    <t>24/10/2022</t>
  </si>
  <si>
    <t>12/10/2016</t>
  </si>
  <si>
    <t>19/12/2022</t>
  </si>
  <si>
    <t>22/06/2022</t>
  </si>
  <si>
    <t>HR Staff - Store Divison</t>
  </si>
  <si>
    <t>Treasury Staff</t>
  </si>
  <si>
    <t>Nghỉ hưởng lương
 (Nghỉ Phép/ Nghỉ Bù/ Nghỉ chế độ/ Nghỉ Lễ)</t>
  </si>
  <si>
    <t>Shipper Staff</t>
  </si>
  <si>
    <t>Admin Supervisor - Store Division</t>
  </si>
  <si>
    <t>27/07/2015</t>
  </si>
  <si>
    <t>Corporate Function Manager</t>
  </si>
  <si>
    <t>Obligation Health Insurance Employer</t>
  </si>
  <si>
    <t>Obligation Health Insurance Employee</t>
  </si>
  <si>
    <t>PIT payable last year</t>
  </si>
  <si>
    <t xml:space="preserve">Government funds </t>
  </si>
  <si>
    <t>Job title</t>
  </si>
  <si>
    <t>Bonus</t>
  </si>
  <si>
    <t>AL Remain</t>
  </si>
  <si>
    <t>Store Manager - Emart Phan Van Tri</t>
  </si>
  <si>
    <t>HR Supervisor - Store Division</t>
  </si>
  <si>
    <t>QA Assistant</t>
  </si>
  <si>
    <t>Income 
Salary</t>
  </si>
  <si>
    <t>Severance pay</t>
  </si>
  <si>
    <t>ID No</t>
  </si>
  <si>
    <t>Joning Date</t>
  </si>
  <si>
    <t>Basic 
Salary</t>
  </si>
  <si>
    <t>Standard working day</t>
  </si>
  <si>
    <t>Acting 
Allowance</t>
  </si>
  <si>
    <t>Store Management</t>
  </si>
  <si>
    <t>Cooperate Function</t>
  </si>
  <si>
    <t xml:space="preserve">Hr/Admin 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</si>
  <si>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</si>
  <si>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</si>
  <si>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</si>
  <si>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</si>
  <si>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</si>
  <si>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</si>
  <si>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</si>
  <si>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</si>
  <si>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</si>
  <si>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</si>
  <si>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</si>
  <si>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</si>
  <si>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 xml:space="preserve">PVT - Cashier </t>
  </si>
  <si>
    <t>Gift (10%)</t>
  </si>
  <si>
    <t>SLA2500111</t>
  </si>
  <si>
    <t>PHI2500112</t>
  </si>
  <si>
    <t>PVT2500118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</si>
  <si>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</si>
  <si>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</si>
  <si>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</si>
  <si>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</si>
  <si>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</si>
  <si>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</si>
  <si>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</si>
  <si>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</si>
  <si>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</si>
  <si>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</si>
  <si>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Notes</t>
  </si>
  <si>
    <t>Total OFF days</t>
  </si>
  <si>
    <t>Unpaid leave</t>
  </si>
  <si>
    <t>Actual working days</t>
  </si>
  <si>
    <t>Work adjustment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</si>
  <si>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</si>
  <si>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</si>
  <si>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</si>
  <si>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</si>
  <si>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</si>
  <si>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</si>
  <si>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</si>
  <si>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Paid Leave (Annual Leave / Compensatory Leave / Policy Leave / Public Holiday)</t>
  </si>
  <si>
    <t>Total Paid Leave Days</t>
  </si>
  <si>
    <t>Total Unpaid Leave Days</t>
  </si>
  <si>
    <t>Actual Working Days</t>
  </si>
  <si>
    <t>Hour_150</t>
  </si>
  <si>
    <t>Hour_215</t>
  </si>
  <si>
    <t>Hour_200</t>
  </si>
  <si>
    <t>Hour_280</t>
  </si>
  <si>
    <t>Hour_300</t>
  </si>
  <si>
    <t>Hour_410</t>
  </si>
  <si>
    <t>Participates in Social Insurance</t>
  </si>
  <si>
    <t>Subject to PIT</t>
  </si>
  <si>
    <t>Trade Union Participation</t>
  </si>
  <si>
    <t>Funeral Fund Participation</t>
  </si>
  <si>
    <t>Number of Funerals incurred in period</t>
  </si>
  <si>
    <t>SALARY CALCULATION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</si>
</sst>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_-* #,##0.0\ _₫_-;\-* #,##0.0\ _₫_-;_-* &quot;-&quot;??\ _₫_-;_-@_-"/>
    <numFmt numFmtId="173" formatCode="_(* #,##0.0_);_(* \(#,##0.0\);_(* &quot;-&quot;??_);_(@_)"/>
    <numFmt numFmtId="174" formatCode="_-* #,##0.00_-;\-* #,##0.00_-;_-* &quot;-&quot;??_-;_-@_-"/>
    <numFmt numFmtId="175" formatCode="[$-409]d\-mmm\-yy;@"/>
    <numFmt numFmtId="176" formatCode="_-* #,##0_-;\-* #,##0_-;_-* &quot;-&quot;??_-;_-@_-"/>
    <numFmt numFmtId="177" formatCode="&quot; &quot;#,##0.00&quot; &quot;;&quot; (&quot;#,##0.00&quot;)&quot;;&quot; -&quot;00&quot; &quot;;&quot; &quot;@&quot; &quot;"/>
    <numFmt numFmtId="178" formatCode="_(* #,##0_);_(* \(#,##0\);_(* &quot;-&quot;?_);_(@_)"/>
    <numFmt numFmtId="179" formatCode="[$-1010000]d/m/yyyy;@"/>
    <numFmt numFmtId="180" formatCode="dd\/mm\/yyyy"/>
  </numFmts>
  <fonts count="31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u/>
      <sz val="11"/>
      <color theme="10"/>
      <name val="Times New Roman"/>
      <family val="1"/>
    </font>
    <font>
      <b/>
      <sz val="12"/>
      <color rgb="FF00000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8000"/>
      </left>
      <right style="thin">
        <color rgb="FF008000"/>
      </right>
      <top/>
      <bottom style="thin">
        <color rgb="FF008000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3" fillId="4" borderId="0" applyNumberFormat="0" applyBorder="0" applyAlignment="0" applyProtection="0"/>
    <xf numFmtId="0" fontId="258" fillId="5" borderId="0" applyNumberFormat="0" applyBorder="0" applyAlignment="0" applyProtection="0"/>
    <xf numFmtId="0" fontId="258" fillId="6" borderId="0" applyNumberFormat="0" applyBorder="0" applyAlignment="0" applyProtection="0"/>
    <xf numFmtId="0" fontId="258" fillId="7" borderId="0" applyNumberFormat="0" applyBorder="0" applyAlignment="0" applyProtection="0"/>
    <xf numFmtId="0" fontId="258" fillId="8" borderId="0" applyNumberFormat="0" applyBorder="0" applyAlignment="0" applyProtection="0"/>
    <xf numFmtId="0" fontId="259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8" fillId="0" borderId="0"/>
    <xf numFmtId="0" fontId="269" fillId="0" borderId="0"/>
    <xf numFmtId="43" fontId="269" fillId="0" borderId="0" applyFont="0" applyFill="0" applyBorder="0" applyAlignment="0" applyProtection="0"/>
    <xf numFmtId="0" fontId="234" fillId="0" borderId="0"/>
    <xf numFmtId="0" fontId="234" fillId="13" borderId="0" applyNumberFormat="0" applyBorder="0" applyAlignment="0" applyProtection="0"/>
    <xf numFmtId="0" fontId="233" fillId="0" borderId="0"/>
    <xf numFmtId="0" fontId="269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74" fillId="0" borderId="0"/>
    <xf numFmtId="0" fontId="264" fillId="15" borderId="0" applyNumberFormat="0" applyBorder="0" applyAlignment="0" applyProtection="0"/>
    <xf numFmtId="0" fontId="264" fillId="14" borderId="0" applyNumberFormat="0" applyBorder="0" applyAlignment="0" applyProtection="0"/>
    <xf numFmtId="0" fontId="264" fillId="12" borderId="0" applyNumberFormat="0" applyBorder="0" applyAlignment="0" applyProtection="0"/>
    <xf numFmtId="0" fontId="264" fillId="16" borderId="0" applyNumberFormat="0" applyBorder="0" applyAlignment="0" applyProtection="0"/>
    <xf numFmtId="0" fontId="274" fillId="13" borderId="0" applyNumberFormat="0" applyBorder="0" applyAlignment="0" applyProtection="0"/>
    <xf numFmtId="0" fontId="275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8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76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9" fillId="0" borderId="0">
      <alignment vertical="center"/>
    </xf>
    <xf numFmtId="174" fontId="279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80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81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82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8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8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84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4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4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4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4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4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7" fillId="19" borderId="5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4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4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4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4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4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4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4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4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4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4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4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4" fontId="108" fillId="0" borderId="0" applyFont="0" applyFill="0" applyBorder="0" applyAlignment="0" applyProtection="0"/>
    <xf numFmtId="0" fontId="107" fillId="0" borderId="0"/>
    <xf numFmtId="174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7" fillId="19" borderId="9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4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4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4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4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4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4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4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4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4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4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8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4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4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7" fillId="19" borderId="10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6" fillId="0" borderId="0"/>
    <xf numFmtId="0" fontId="58" fillId="0" borderId="0"/>
    <xf numFmtId="0" fontId="288" fillId="0" borderId="0"/>
    <xf numFmtId="0" fontId="57" fillId="0" borderId="0"/>
    <xf numFmtId="0" fontId="57" fillId="0" borderId="0"/>
    <xf numFmtId="0" fontId="289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92" fillId="0" borderId="0"/>
    <xf numFmtId="177" fontId="292" fillId="0" borderId="0" applyFont="0" applyFill="0" applyBorder="0" applyAlignment="0" applyProtection="0"/>
    <xf numFmtId="0" fontId="293" fillId="22" borderId="0" applyNumberFormat="0" applyBorder="0" applyAlignment="0" applyProtection="0"/>
    <xf numFmtId="0" fontId="292" fillId="23" borderId="0" applyNumberFormat="0" applyFont="0" applyBorder="0" applyAlignment="0" applyProtection="0"/>
    <xf numFmtId="0" fontId="293" fillId="22" borderId="0" applyNumberFormat="0" applyBorder="0" applyAlignment="0" applyProtection="0"/>
    <xf numFmtId="177" fontId="292" fillId="0" borderId="0" applyFont="0" applyFill="0" applyBorder="0" applyAlignment="0" applyProtection="0"/>
    <xf numFmtId="0" fontId="294" fillId="24" borderId="0" applyNumberFormat="0" applyBorder="0" applyAlignment="0" applyProtection="0"/>
    <xf numFmtId="0" fontId="295" fillId="0" borderId="0" applyNumberFormat="0" applyBorder="0" applyProtection="0"/>
    <xf numFmtId="0" fontId="292" fillId="0" borderId="0" applyNumberFormat="0" applyFont="0" applyBorder="0" applyProtection="0"/>
    <xf numFmtId="0" fontId="292" fillId="0" borderId="0" applyNumberFormat="0" applyFont="0" applyBorder="0" applyProtection="0"/>
    <xf numFmtId="0" fontId="292" fillId="0" borderId="0" applyNumberFormat="0" applyFont="0" applyBorder="0" applyProtection="0"/>
    <xf numFmtId="0" fontId="296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14">
      <alignment horizontal="center" vertical="center"/>
    </xf>
    <xf numFmtId="0" fontId="50" fillId="0" borderId="0"/>
    <xf numFmtId="43" fontId="50" fillId="0" borderId="0"/>
    <xf numFmtId="0" fontId="277" fillId="19" borderId="11">
      <alignment horizontal="center" vertical="center"/>
    </xf>
    <xf numFmtId="0" fontId="260" fillId="25" borderId="0"/>
    <xf numFmtId="0" fontId="297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4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300" fillId="0" borderId="0"/>
    <xf numFmtId="43" fontId="292" fillId="0" borderId="0" applyFont="0" applyFill="0" applyBorder="0" applyAlignment="0" applyProtection="0"/>
    <xf numFmtId="0" fontId="48" fillId="0" borderId="0"/>
    <xf numFmtId="43" fontId="48" fillId="0" borderId="0"/>
    <xf numFmtId="0" fontId="277" fillId="19" borderId="17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7" fillId="19" borderId="21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7" fillId="19" borderId="21">
      <alignment horizontal="center" vertical="center"/>
    </xf>
    <xf numFmtId="0" fontId="260" fillId="25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7" fillId="19" borderId="21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6" fillId="0" borderId="0"/>
    <xf numFmtId="166" fontId="236" fillId="0" borderId="0" applyFill="0" applyBorder="0" applyAlignment="0" applyProtection="0"/>
    <xf numFmtId="0" fontId="237" fillId="2" borderId="24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8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8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8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8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24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4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24">
      <alignment horizontal="center" vertical="center"/>
    </xf>
    <xf numFmtId="0" fontId="33" fillId="0" borderId="0"/>
    <xf numFmtId="43" fontId="33" fillId="0" borderId="0"/>
    <xf numFmtId="0" fontId="277" fillId="19" borderId="21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92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7" fillId="19" borderId="25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7" fillId="19" borderId="26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7" fillId="19" borderId="25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28">
      <alignment horizontal="center" vertical="center"/>
    </xf>
    <xf numFmtId="0" fontId="19" fillId="13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7" fillId="19" borderId="34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28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7" fillId="19" borderId="2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7" fillId="19" borderId="2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7" fillId="19" borderId="2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28">
      <alignment horizontal="center" vertical="center"/>
    </xf>
    <xf numFmtId="0" fontId="19" fillId="0" borderId="0"/>
    <xf numFmtId="43" fontId="19" fillId="0" borderId="0"/>
    <xf numFmtId="0" fontId="277" fillId="19" borderId="2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7" fillId="19" borderId="26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7" fillId="19" borderId="2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7" fillId="19" borderId="2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7" fillId="19" borderId="2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30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3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0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0">
      <alignment horizontal="center" vertical="center"/>
    </xf>
    <xf numFmtId="0" fontId="19" fillId="0" borderId="0"/>
    <xf numFmtId="43" fontId="19" fillId="0" borderId="0"/>
    <xf numFmtId="0" fontId="277" fillId="19" borderId="2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7" fillId="19" borderId="26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7" fillId="19" borderId="2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7" fillId="19" borderId="31">
      <alignment horizontal="center" vertical="center"/>
    </xf>
    <xf numFmtId="0" fontId="277" fillId="19" borderId="33">
      <alignment horizontal="center" vertical="center"/>
    </xf>
    <xf numFmtId="0" fontId="277" fillId="19" borderId="31">
      <alignment horizontal="center" vertical="center"/>
    </xf>
    <xf numFmtId="0" fontId="277" fillId="19" borderId="33">
      <alignment horizontal="center" vertical="center"/>
    </xf>
    <xf numFmtId="0" fontId="277" fillId="19" borderId="31">
      <alignment horizontal="center" vertical="center"/>
    </xf>
    <xf numFmtId="0" fontId="277" fillId="19" borderId="31">
      <alignment horizontal="center" vertical="center"/>
    </xf>
    <xf numFmtId="0" fontId="277" fillId="19" borderId="31">
      <alignment horizontal="center" vertical="center"/>
    </xf>
    <xf numFmtId="0" fontId="277" fillId="19" borderId="34">
      <alignment horizontal="center" vertical="center"/>
    </xf>
    <xf numFmtId="0" fontId="277" fillId="19" borderId="33">
      <alignment horizontal="center" vertical="center"/>
    </xf>
    <xf numFmtId="0" fontId="277" fillId="19" borderId="34">
      <alignment horizontal="center" vertical="center"/>
    </xf>
    <xf numFmtId="0" fontId="237" fillId="2" borderId="32">
      <alignment horizontal="center" vertical="center"/>
    </xf>
    <xf numFmtId="0" fontId="277" fillId="19" borderId="34">
      <alignment horizontal="center" vertical="center"/>
    </xf>
    <xf numFmtId="0" fontId="237" fillId="2" borderId="32">
      <alignment horizontal="center" vertical="center"/>
    </xf>
    <xf numFmtId="0" fontId="237" fillId="2" borderId="32">
      <alignment horizontal="center" vertical="center"/>
    </xf>
    <xf numFmtId="0" fontId="277" fillId="19" borderId="33">
      <alignment horizontal="center" vertical="center"/>
    </xf>
    <xf numFmtId="0" fontId="277" fillId="19" borderId="34">
      <alignment horizontal="center" vertical="center"/>
    </xf>
    <xf numFmtId="0" fontId="277" fillId="19" borderId="34">
      <alignment horizontal="center" vertical="center"/>
    </xf>
    <xf numFmtId="0" fontId="277" fillId="19" borderId="34">
      <alignment horizontal="center" vertical="center"/>
    </xf>
    <xf numFmtId="0" fontId="277" fillId="19" borderId="34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36">
      <alignment horizontal="center" vertical="center"/>
    </xf>
    <xf numFmtId="0" fontId="18" fillId="13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6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7" fillId="19" borderId="3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7" fillId="19" borderId="3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7" fillId="19" borderId="3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6">
      <alignment horizontal="center" vertical="center"/>
    </xf>
    <xf numFmtId="0" fontId="18" fillId="0" borderId="0"/>
    <xf numFmtId="43" fontId="18" fillId="0" borderId="0"/>
    <xf numFmtId="0" fontId="277" fillId="19" borderId="37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3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42">
      <alignment horizontal="center" vertical="center"/>
    </xf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38">
      <alignment horizontal="center" vertical="center"/>
    </xf>
    <xf numFmtId="0" fontId="18" fillId="13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7" fillId="19" borderId="4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7" fillId="19" borderId="3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7" fillId="19" borderId="3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7" fillId="19" borderId="3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8">
      <alignment horizontal="center" vertical="center"/>
    </xf>
    <xf numFmtId="0" fontId="18" fillId="0" borderId="0"/>
    <xf numFmtId="43" fontId="18" fillId="0" borderId="0"/>
    <xf numFmtId="0" fontId="277" fillId="19" borderId="39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3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3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4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3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7" fillId="19" borderId="39">
      <alignment horizontal="center" vertical="center"/>
    </xf>
    <xf numFmtId="0" fontId="277" fillId="19" borderId="41">
      <alignment horizontal="center" vertical="center"/>
    </xf>
    <xf numFmtId="0" fontId="277" fillId="19" borderId="39">
      <alignment horizontal="center" vertical="center"/>
    </xf>
    <xf numFmtId="0" fontId="277" fillId="19" borderId="41">
      <alignment horizontal="center" vertical="center"/>
    </xf>
    <xf numFmtId="0" fontId="277" fillId="19" borderId="39">
      <alignment horizontal="center" vertical="center"/>
    </xf>
    <xf numFmtId="0" fontId="277" fillId="19" borderId="39">
      <alignment horizontal="center" vertical="center"/>
    </xf>
    <xf numFmtId="0" fontId="277" fillId="19" borderId="39">
      <alignment horizontal="center" vertical="center"/>
    </xf>
    <xf numFmtId="0" fontId="277" fillId="19" borderId="41">
      <alignment horizontal="center" vertical="center"/>
    </xf>
    <xf numFmtId="0" fontId="277" fillId="19" borderId="41">
      <alignment horizontal="center" vertical="center"/>
    </xf>
    <xf numFmtId="0" fontId="277" fillId="19" borderId="41">
      <alignment horizontal="center" vertical="center"/>
    </xf>
    <xf numFmtId="0" fontId="237" fillId="2" borderId="40">
      <alignment horizontal="center" vertical="center"/>
    </xf>
    <xf numFmtId="0" fontId="277" fillId="19" borderId="41">
      <alignment horizontal="center" vertical="center"/>
    </xf>
    <xf numFmtId="0" fontId="237" fillId="2" borderId="40">
      <alignment horizontal="center" vertical="center"/>
    </xf>
    <xf numFmtId="0" fontId="237" fillId="2" borderId="40">
      <alignment horizontal="center" vertical="center"/>
    </xf>
    <xf numFmtId="0" fontId="277" fillId="19" borderId="41">
      <alignment horizontal="center" vertical="center"/>
    </xf>
    <xf numFmtId="0" fontId="277" fillId="19" borderId="41">
      <alignment horizontal="center" vertical="center"/>
    </xf>
    <xf numFmtId="0" fontId="277" fillId="19" borderId="41">
      <alignment horizontal="center" vertical="center"/>
    </xf>
    <xf numFmtId="0" fontId="277" fillId="19" borderId="41">
      <alignment horizontal="center" vertical="center"/>
    </xf>
    <xf numFmtId="0" fontId="277" fillId="19" borderId="41">
      <alignment horizontal="center" vertical="center"/>
    </xf>
    <xf numFmtId="0" fontId="237" fillId="2" borderId="42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37" fillId="2" borderId="44">
      <alignment horizontal="center" vertical="center"/>
    </xf>
    <xf numFmtId="0" fontId="237" fillId="2" borderId="44">
      <alignment horizontal="center" vertical="center"/>
    </xf>
    <xf numFmtId="0" fontId="237" fillId="2" borderId="44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37" fillId="2" borderId="35">
      <alignment horizontal="center" vertical="center"/>
    </xf>
    <xf numFmtId="0" fontId="277" fillId="19" borderId="46">
      <alignment horizontal="center" vertical="center"/>
    </xf>
    <xf numFmtId="0" fontId="237" fillId="2" borderId="35">
      <alignment horizontal="center" vertical="center"/>
    </xf>
    <xf numFmtId="0" fontId="277" fillId="19" borderId="45">
      <alignment horizontal="center" vertical="center"/>
    </xf>
    <xf numFmtId="0" fontId="277" fillId="19" borderId="45">
      <alignment horizontal="center" vertical="center"/>
    </xf>
    <xf numFmtId="0" fontId="277" fillId="19" borderId="45">
      <alignment horizontal="center" vertical="center"/>
    </xf>
    <xf numFmtId="0" fontId="237" fillId="2" borderId="35">
      <alignment horizontal="center" vertical="center"/>
    </xf>
    <xf numFmtId="0" fontId="277" fillId="19" borderId="45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37" fillId="2" borderId="35">
      <alignment horizontal="center" vertical="center"/>
    </xf>
    <xf numFmtId="0" fontId="237" fillId="2" borderId="35">
      <alignment horizontal="center" vertical="center"/>
    </xf>
    <xf numFmtId="0" fontId="237" fillId="2" borderId="35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3">
      <alignment horizontal="center" vertical="center"/>
    </xf>
    <xf numFmtId="0" fontId="277" fillId="19" borderId="45">
      <alignment horizontal="center" vertical="center"/>
    </xf>
    <xf numFmtId="0" fontId="277" fillId="19" borderId="46">
      <alignment horizontal="center" vertical="center"/>
    </xf>
    <xf numFmtId="0" fontId="277" fillId="19" borderId="45">
      <alignment horizontal="center" vertical="center"/>
    </xf>
    <xf numFmtId="0" fontId="277" fillId="19" borderId="46">
      <alignment horizontal="center" vertical="center"/>
    </xf>
    <xf numFmtId="0" fontId="277" fillId="19" borderId="45">
      <alignment horizontal="center" vertical="center"/>
    </xf>
    <xf numFmtId="0" fontId="277" fillId="19" borderId="45">
      <alignment horizontal="center" vertical="center"/>
    </xf>
    <xf numFmtId="0" fontId="277" fillId="19" borderId="45">
      <alignment horizontal="center" vertical="center"/>
    </xf>
    <xf numFmtId="0" fontId="277" fillId="19" borderId="46">
      <alignment horizontal="center" vertical="center"/>
    </xf>
    <xf numFmtId="0" fontId="277" fillId="19" borderId="46">
      <alignment horizontal="center" vertical="center"/>
    </xf>
    <xf numFmtId="0" fontId="277" fillId="19" borderId="46">
      <alignment horizontal="center" vertical="center"/>
    </xf>
    <xf numFmtId="0" fontId="237" fillId="2" borderId="42">
      <alignment horizontal="center" vertical="center"/>
    </xf>
    <xf numFmtId="0" fontId="277" fillId="19" borderId="46">
      <alignment horizontal="center" vertical="center"/>
    </xf>
    <xf numFmtId="0" fontId="237" fillId="2" borderId="42">
      <alignment horizontal="center" vertical="center"/>
    </xf>
    <xf numFmtId="0" fontId="237" fillId="2" borderId="42">
      <alignment horizontal="center" vertical="center"/>
    </xf>
    <xf numFmtId="0" fontId="277" fillId="19" borderId="46">
      <alignment horizontal="center" vertical="center"/>
    </xf>
    <xf numFmtId="0" fontId="277" fillId="19" borderId="46">
      <alignment horizontal="center" vertical="center"/>
    </xf>
    <xf numFmtId="0" fontId="277" fillId="19" borderId="46">
      <alignment horizontal="center" vertical="center"/>
    </xf>
    <xf numFmtId="0" fontId="277" fillId="19" borderId="46">
      <alignment horizontal="center" vertical="center"/>
    </xf>
    <xf numFmtId="0" fontId="277" fillId="19" borderId="46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7" fillId="19" borderId="48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6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7" fillId="19" borderId="52">
      <alignment horizontal="center" vertical="center"/>
    </xf>
    <xf numFmtId="9" fontId="7" fillId="0" borderId="0"/>
    <xf numFmtId="0" fontId="277" fillId="19" borderId="53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92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221">
    <xf numFmtId="0" fontId="0" fillId="0" borderId="0" xfId="0"/>
    <xf numFmtId="0" fontId="256" fillId="9" borderId="0" xfId="0" applyFont="1" applyFill="1"/>
    <xf numFmtId="3" fontId="256" fillId="9" borderId="0" xfId="0" applyNumberFormat="1" applyFont="1" applyFill="1"/>
    <xf numFmtId="4" fontId="256" fillId="9" borderId="0" xfId="0" applyNumberFormat="1" applyFont="1" applyFill="1"/>
    <xf numFmtId="0" fontId="256" fillId="9" borderId="0" xfId="0" applyFont="1" applyFill="1" applyAlignment="1">
      <alignment vertical="center"/>
    </xf>
    <xf numFmtId="0" fontId="257" fillId="0" borderId="0" xfId="0" applyFont="1" applyAlignment="1">
      <alignment horizontal="center" vertical="center"/>
    </xf>
    <xf numFmtId="0" fontId="262" fillId="0" borderId="0" xfId="623" applyFont="1" applyAlignment="1">
      <alignment vertical="center"/>
    </xf>
    <xf numFmtId="0" fontId="261" fillId="0" borderId="0" xfId="623" applyFont="1" applyAlignment="1">
      <alignment horizontal="center" vertical="center"/>
    </xf>
    <xf numFmtId="0" fontId="261" fillId="18" borderId="0" xfId="623" applyFont="1" applyFill="1" applyAlignment="1">
      <alignment vertical="center"/>
    </xf>
    <xf numFmtId="0" fontId="261" fillId="0" borderId="0" xfId="623" applyFont="1" applyAlignment="1">
      <alignment vertical="center"/>
    </xf>
    <xf numFmtId="0" fontId="247" fillId="0" borderId="0" xfId="629" applyFont="1"/>
    <xf numFmtId="0" fontId="290" fillId="0" borderId="0" xfId="0" applyFont="1"/>
    <xf numFmtId="0" fontId="249" fillId="4" borderId="12" xfId="9" applyFont="1" applyBorder="1" applyAlignment="1" applyProtection="1">
      <alignment horizontal="center" vertical="center"/>
    </xf>
    <xf numFmtId="0" fontId="249" fillId="4" borderId="13" xfId="9" applyFont="1" applyBorder="1" applyAlignment="1" applyProtection="1">
      <alignment horizontal="center" wrapText="1"/>
    </xf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0" fontId="237" fillId="9" borderId="0" xfId="629" applyFont="1" applyFill="1"/>
    <xf numFmtId="168" fontId="252" fillId="9" borderId="0" xfId="629" applyNumberFormat="1" applyFont="1" applyFill="1"/>
    <xf numFmtId="168" fontId="287" fillId="9" borderId="0" xfId="629" applyNumberFormat="1" applyFont="1" applyFill="1" applyAlignment="1">
      <alignment horizontal="center"/>
    </xf>
    <xf numFmtId="0" fontId="252" fillId="9" borderId="0" xfId="629" applyFont="1" applyFill="1"/>
    <xf numFmtId="0" fontId="237" fillId="9" borderId="7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5" fillId="9" borderId="14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7" xfId="662" applyNumberFormat="1" applyFont="1" applyFill="1" applyBorder="1" applyAlignment="1">
      <alignment horizontal="center"/>
    </xf>
    <xf numFmtId="0" fontId="248" fillId="9" borderId="7" xfId="662" applyFont="1" applyFill="1" applyBorder="1" applyAlignment="1">
      <alignment horizontal="center"/>
    </xf>
    <xf numFmtId="0" fontId="249" fillId="4" borderId="11" xfId="9" applyFont="1" applyBorder="1" applyAlignment="1" applyProtection="1">
      <alignment horizontal="center" vertical="center"/>
    </xf>
    <xf numFmtId="14" fontId="267" fillId="9" borderId="15" xfId="629" applyNumberFormat="1" applyFont="1" applyFill="1" applyBorder="1" applyAlignment="1">
      <alignment horizontal="center" vertical="center"/>
    </xf>
    <xf numFmtId="0" fontId="271" fillId="21" borderId="11" xfId="629" applyFont="1" applyFill="1" applyBorder="1" applyAlignment="1">
      <alignment horizontal="center" vertical="center" wrapText="1"/>
    </xf>
    <xf numFmtId="0" fontId="247" fillId="20" borderId="0" xfId="629" applyFont="1" applyFill="1" applyAlignment="1">
      <alignment vertical="center"/>
    </xf>
    <xf numFmtId="0" fontId="247" fillId="0" borderId="0" xfId="629" applyFont="1" applyAlignment="1">
      <alignment horizontal="center"/>
    </xf>
    <xf numFmtId="14" fontId="247" fillId="0" borderId="0" xfId="629" applyNumberFormat="1" applyFont="1" applyAlignment="1">
      <alignment horizontal="center"/>
    </xf>
    <xf numFmtId="0" fontId="254" fillId="0" borderId="0" xfId="629" applyFont="1" applyAlignment="1">
      <alignment horizontal="center"/>
    </xf>
    <xf numFmtId="0" fontId="262" fillId="0" borderId="17" xfId="623" applyFont="1" applyBorder="1" applyAlignment="1">
      <alignment horizontal="center" vertical="center"/>
    </xf>
    <xf numFmtId="14" fontId="255" fillId="20" borderId="11" xfId="629" applyNumberFormat="1" applyFont="1" applyFill="1" applyBorder="1" applyAlignment="1">
      <alignment vertical="center"/>
    </xf>
    <xf numFmtId="167" fontId="247" fillId="20" borderId="0" xfId="629" applyNumberFormat="1" applyFont="1" applyFill="1" applyAlignment="1">
      <alignment vertical="center"/>
    </xf>
    <xf numFmtId="172" fontId="262" fillId="0" borderId="17" xfId="628" applyNumberFormat="1" applyFont="1" applyFill="1" applyBorder="1" applyAlignment="1">
      <alignment vertical="center"/>
    </xf>
    <xf numFmtId="167" fontId="285" fillId="9" borderId="0" xfId="629" applyNumberFormat="1" applyFont="1" applyFill="1"/>
    <xf numFmtId="167" fontId="285" fillId="20" borderId="0" xfId="629" applyNumberFormat="1" applyFont="1" applyFill="1"/>
    <xf numFmtId="0" fontId="255" fillId="20" borderId="11" xfId="629" applyFont="1" applyFill="1" applyBorder="1" applyAlignment="1">
      <alignment vertical="center"/>
    </xf>
    <xf numFmtId="0" fontId="265" fillId="20" borderId="21" xfId="629" applyFont="1" applyFill="1" applyBorder="1" applyAlignment="1">
      <alignment vertical="center"/>
    </xf>
    <xf numFmtId="14" fontId="255" fillId="20" borderId="21" xfId="629" applyNumberFormat="1" applyFont="1" applyFill="1" applyBorder="1" applyAlignment="1">
      <alignment vertical="center"/>
    </xf>
    <xf numFmtId="0" fontId="255" fillId="20" borderId="21" xfId="629" applyFont="1" applyFill="1" applyBorder="1" applyAlignment="1">
      <alignment vertical="center"/>
    </xf>
    <xf numFmtId="167" fontId="255" fillId="17" borderId="11" xfId="629" applyNumberFormat="1" applyFont="1" applyFill="1" applyBorder="1" applyAlignment="1">
      <alignment vertical="center"/>
    </xf>
    <xf numFmtId="167" fontId="255" fillId="17" borderId="21" xfId="629" applyNumberFormat="1" applyFont="1" applyFill="1" applyBorder="1" applyAlignment="1">
      <alignment vertical="center"/>
    </xf>
    <xf numFmtId="0" fontId="42" fillId="0" borderId="0" xfId="709"/>
    <xf numFmtId="0" fontId="298" fillId="9" borderId="0" xfId="629" applyFont="1" applyFill="1" applyAlignment="1">
      <alignment horizontal="center"/>
    </xf>
    <xf numFmtId="0" fontId="262" fillId="0" borderId="27" xfId="623" applyFont="1" applyBorder="1" applyAlignment="1">
      <alignment horizontal="center" vertical="center"/>
    </xf>
    <xf numFmtId="178" fontId="283" fillId="0" borderId="21" xfId="711" applyNumberFormat="1" applyFont="1" applyBorder="1" applyAlignment="1">
      <alignment horizontal="center" vertical="center"/>
    </xf>
    <xf numFmtId="14" fontId="261" fillId="17" borderId="17" xfId="623" applyNumberFormat="1" applyFont="1" applyFill="1" applyBorder="1" applyAlignment="1">
      <alignment vertical="center"/>
    </xf>
    <xf numFmtId="14" fontId="261" fillId="17" borderId="27" xfId="623" applyNumberFormat="1" applyFont="1" applyFill="1" applyBorder="1" applyAlignment="1">
      <alignment vertical="center"/>
    </xf>
    <xf numFmtId="0" fontId="304" fillId="20" borderId="11" xfId="629" applyFont="1" applyFill="1" applyBorder="1" applyAlignment="1">
      <alignment horizontal="right" wrapText="1"/>
    </xf>
    <xf numFmtId="0" fontId="291" fillId="20" borderId="21" xfId="629" applyFont="1" applyFill="1" applyBorder="1" applyAlignment="1">
      <alignment horizontal="right" wrapText="1"/>
    </xf>
    <xf numFmtId="0" fontId="307" fillId="17" borderId="51" xfId="667" applyFont="1" applyFill="1" applyBorder="1" applyAlignment="1" applyProtection="1">
      <alignment vertical="center"/>
    </xf>
    <xf numFmtId="0" fontId="4" fillId="0" borderId="0" xfId="6020"/>
    <xf numFmtId="0" fontId="283" fillId="0" borderId="53" xfId="6020" applyFont="1" applyBorder="1"/>
    <xf numFmtId="14" fontId="301" fillId="26" borderId="53" xfId="0" applyNumberFormat="1" applyFont="1" applyFill="1" applyBorder="1" applyAlignment="1">
      <alignment horizontal="center" vertical="center"/>
    </xf>
    <xf numFmtId="0" fontId="283" fillId="0" borderId="53" xfId="6020" applyFont="1" applyBorder="1" applyAlignment="1">
      <alignment shrinkToFit="1"/>
    </xf>
    <xf numFmtId="0" fontId="278" fillId="17" borderId="51" xfId="6031" applyFont="1" applyFill="1" applyBorder="1" applyAlignment="1">
      <alignment horizontal="left" vertical="center"/>
    </xf>
    <xf numFmtId="171" fontId="266" fillId="17" borderId="51" xfId="6032" applyNumberFormat="1" applyFont="1" applyFill="1" applyBorder="1" applyAlignment="1">
      <alignment vertical="center"/>
    </xf>
    <xf numFmtId="171" fontId="278" fillId="17" borderId="51" xfId="6031" applyNumberFormat="1" applyFont="1" applyFill="1" applyBorder="1" applyAlignment="1">
      <alignment vertical="center"/>
    </xf>
    <xf numFmtId="171" fontId="266" fillId="0" borderId="51" xfId="6032" applyNumberFormat="1" applyFont="1" applyBorder="1" applyAlignment="1">
      <alignment vertical="center"/>
    </xf>
    <xf numFmtId="171" fontId="305" fillId="17" borderId="51" xfId="6031" applyNumberFormat="1" applyFont="1" applyFill="1" applyBorder="1" applyAlignment="1">
      <alignment vertical="center"/>
    </xf>
    <xf numFmtId="171" fontId="273" fillId="17" borderId="51" xfId="6031" applyNumberFormat="1" applyFont="1" applyFill="1" applyBorder="1" applyAlignment="1">
      <alignment vertical="center"/>
    </xf>
    <xf numFmtId="0" fontId="273" fillId="17" borderId="0" xfId="6031" applyFont="1" applyFill="1" applyAlignment="1">
      <alignment vertical="center"/>
    </xf>
    <xf numFmtId="0" fontId="273" fillId="0" borderId="0" xfId="6031" applyFont="1" applyAlignment="1">
      <alignment vertical="center"/>
    </xf>
    <xf numFmtId="0" fontId="283" fillId="17" borderId="21" xfId="711" applyFont="1" applyFill="1" applyBorder="1" applyAlignment="1">
      <alignment horizontal="center" vertical="center"/>
    </xf>
    <xf numFmtId="167" fontId="262" fillId="0" borderId="8" xfId="712" applyNumberFormat="1" applyFont="1" applyBorder="1" applyAlignment="1">
      <alignment horizontal="center" vertical="center"/>
    </xf>
    <xf numFmtId="0" fontId="304" fillId="0" borderId="53" xfId="0" applyFont="1" applyBorder="1" applyAlignment="1">
      <alignment horizontal="center" vertical="center" wrapText="1"/>
    </xf>
    <xf numFmtId="14" fontId="283" fillId="0" borderId="53" xfId="6020" applyNumberFormat="1" applyFont="1" applyBorder="1"/>
    <xf numFmtId="0" fontId="250" fillId="11" borderId="56" xfId="0" applyFont="1" applyFill="1" applyBorder="1" applyAlignment="1">
      <alignment vertical="center" wrapText="1"/>
    </xf>
    <xf numFmtId="3" fontId="250" fillId="11" borderId="56" xfId="0" applyNumberFormat="1" applyFont="1" applyFill="1" applyBorder="1" applyAlignment="1">
      <alignment vertical="center" wrapText="1"/>
    </xf>
    <xf numFmtId="9" fontId="250" fillId="10" borderId="56" xfId="0" applyNumberFormat="1" applyFont="1" applyFill="1" applyBorder="1" applyAlignment="1">
      <alignment horizontal="center" vertical="center" wrapText="1"/>
    </xf>
    <xf numFmtId="14" fontId="266" fillId="0" borderId="53" xfId="0" applyNumberFormat="1" applyFont="1" applyBorder="1" applyAlignment="1">
      <alignment vertical="center"/>
    </xf>
    <xf numFmtId="170" fontId="255" fillId="10" borderId="53" xfId="1" applyNumberFormat="1" applyFont="1" applyFill="1" applyBorder="1" applyAlignment="1" applyProtection="1">
      <alignment vertical="center"/>
    </xf>
    <xf numFmtId="0" fontId="1" fillId="0" borderId="0" xfId="6020" applyFont="1"/>
    <xf numFmtId="0" fontId="272" fillId="18" borderId="53" xfId="623" applyFont="1" applyFill="1" applyBorder="1" applyAlignment="1">
      <alignment horizontal="center" vertical="center" wrapText="1"/>
    </xf>
    <xf numFmtId="0" fontId="272" fillId="0" borderId="49" xfId="666" applyFont="1" applyFill="1" applyBorder="1" applyAlignment="1">
      <alignment horizontal="center" vertical="center" wrapText="1"/>
    </xf>
    <xf numFmtId="0" fontId="272" fillId="0" borderId="49" xfId="666" applyFont="1" applyFill="1" applyBorder="1" applyAlignment="1">
      <alignment horizontal="center" vertical="center" shrinkToFit="1"/>
    </xf>
    <xf numFmtId="0" fontId="263" fillId="0" borderId="49" xfId="666" applyFont="1" applyFill="1" applyBorder="1" applyAlignment="1">
      <alignment horizontal="center" vertical="center" wrapText="1"/>
    </xf>
    <xf numFmtId="0" fontId="272" fillId="0" borderId="55" xfId="666" applyFont="1" applyFill="1" applyBorder="1" applyAlignment="1">
      <alignment horizontal="center" vertical="center" wrapText="1"/>
    </xf>
    <xf numFmtId="0" fontId="272" fillId="0" borderId="50" xfId="666" applyFont="1" applyFill="1" applyBorder="1" applyAlignment="1">
      <alignment horizontal="center" vertical="center" wrapText="1"/>
    </xf>
    <xf numFmtId="0" fontId="285" fillId="0" borderId="0" xfId="6031" applyFont="1" applyAlignment="1">
      <alignment wrapText="1"/>
    </xf>
    <xf numFmtId="0" fontId="285" fillId="0" borderId="54" xfId="6031" applyFont="1" applyBorder="1" applyAlignment="1">
      <alignment wrapText="1"/>
    </xf>
    <xf numFmtId="0" fontId="266" fillId="0" borderId="51" xfId="6031" applyFont="1" applyBorder="1" applyAlignment="1">
      <alignment vertical="center"/>
    </xf>
    <xf numFmtId="171" fontId="305" fillId="0" borderId="51" xfId="6031" applyNumberFormat="1" applyFont="1" applyBorder="1" applyAlignment="1">
      <alignment vertical="center"/>
    </xf>
    <xf numFmtId="175" fontId="266" fillId="0" borderId="26" xfId="627" applyNumberFormat="1" applyFont="1" applyBorder="1" applyAlignment="1">
      <alignment horizontal="left" vertical="center" wrapText="1"/>
    </xf>
    <xf numFmtId="0" fontId="261" fillId="0" borderId="0" xfId="6031" applyFont="1"/>
    <xf numFmtId="0" fontId="261" fillId="0" borderId="0" xfId="6031" applyFont="1" applyAlignment="1">
      <alignment shrinkToFit="1"/>
    </xf>
    <xf numFmtId="171" fontId="261" fillId="0" borderId="0" xfId="6032" applyNumberFormat="1" applyFont="1"/>
    <xf numFmtId="0" fontId="266" fillId="0" borderId="51" xfId="6031" applyFont="1" applyBorder="1" applyAlignment="1">
      <alignment horizontal="left" vertical="center"/>
    </xf>
    <xf numFmtId="0" fontId="266" fillId="0" borderId="51" xfId="6031" applyFont="1" applyBorder="1" applyAlignment="1">
      <alignment horizontal="left" vertical="center" shrinkToFit="1"/>
    </xf>
    <xf numFmtId="0" fontId="266" fillId="0" borderId="51" xfId="6031" applyFont="1" applyBorder="1" applyAlignment="1">
      <alignment horizontal="center" vertical="center"/>
    </xf>
    <xf numFmtId="171" fontId="261" fillId="0" borderId="51" xfId="6031" applyNumberFormat="1" applyFont="1" applyBorder="1" applyAlignment="1">
      <alignment vertical="center"/>
    </xf>
    <xf numFmtId="1" fontId="261" fillId="0" borderId="51" xfId="6031" applyNumberFormat="1" applyFont="1" applyBorder="1" applyAlignment="1">
      <alignment vertical="center"/>
    </xf>
    <xf numFmtId="0" fontId="310" fillId="0" borderId="51" xfId="667" applyFont="1" applyBorder="1" applyAlignment="1" applyProtection="1">
      <alignment vertical="center"/>
    </xf>
    <xf numFmtId="0" fontId="261" fillId="0" borderId="0" xfId="6031" applyFont="1" applyAlignment="1">
      <alignment vertical="center"/>
    </xf>
    <xf numFmtId="0" fontId="262" fillId="0" borderId="17" xfId="36" applyFont="1" applyBorder="1" applyAlignment="1">
      <alignment horizontal="center" vertical="center"/>
    </xf>
    <xf numFmtId="0" fontId="255" fillId="0" borderId="26" xfId="0" applyFont="1" applyBorder="1" applyAlignment="1">
      <alignment horizontal="center" vertical="center" wrapText="1"/>
    </xf>
    <xf numFmtId="175" fontId="266" fillId="0" borderId="26" xfId="627" applyNumberFormat="1" applyFont="1" applyBorder="1" applyAlignment="1">
      <alignment horizontal="right" vertical="center" wrapText="1"/>
    </xf>
    <xf numFmtId="175" fontId="266" fillId="0" borderId="26" xfId="627" applyNumberFormat="1" applyFont="1" applyBorder="1" applyAlignment="1">
      <alignment horizontal="left" vertical="center" shrinkToFit="1"/>
    </xf>
    <xf numFmtId="14" fontId="251" fillId="0" borderId="21" xfId="0" applyNumberFormat="1" applyFont="1" applyBorder="1" applyAlignment="1">
      <alignment horizontal="center"/>
    </xf>
    <xf numFmtId="169" fontId="306" fillId="0" borderId="53" xfId="1" applyNumberFormat="1" applyFont="1" applyFill="1" applyBorder="1" applyAlignment="1">
      <alignment horizontal="center"/>
    </xf>
    <xf numFmtId="0" fontId="255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62" fillId="0" borderId="53" xfId="6020" applyFont="1" applyBorder="1"/>
    <xf numFmtId="0" fontId="285" fillId="0" borderId="23" xfId="0" applyFont="1" applyBorder="1" applyAlignment="1">
      <alignment horizontal="center" vertical="center"/>
    </xf>
    <xf numFmtId="0" fontId="285" fillId="0" borderId="16" xfId="0" applyFont="1" applyBorder="1" applyAlignment="1">
      <alignment horizontal="center" vertical="center"/>
    </xf>
    <xf numFmtId="169" fontId="285" fillId="0" borderId="16" xfId="0" quotePrefix="1" applyNumberFormat="1" applyFont="1" applyBorder="1" applyAlignment="1">
      <alignment horizontal="center" vertical="center"/>
    </xf>
    <xf numFmtId="1" fontId="236" fillId="0" borderId="11" xfId="1" applyNumberFormat="1" applyFill="1" applyBorder="1" applyAlignment="1">
      <alignment horizontal="center"/>
    </xf>
    <xf numFmtId="167" fontId="236" fillId="0" borderId="27" xfId="1" applyNumberFormat="1" applyFill="1" applyBorder="1"/>
    <xf numFmtId="169" fontId="285" fillId="0" borderId="16" xfId="0" applyNumberFormat="1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180" fontId="311" fillId="0" borderId="0" xfId="0" applyNumberFormat="1" applyFont="1" applyAlignment="1">
      <alignment horizontal="left" wrapText="1"/>
    </xf>
    <xf numFmtId="14" fontId="311" fillId="0" borderId="0" xfId="0" applyNumberFormat="1" applyFont="1" applyAlignment="1">
      <alignment horizontal="left" wrapText="1"/>
    </xf>
    <xf numFmtId="179" fontId="311" fillId="0" borderId="0" xfId="0" quotePrefix="1" applyNumberFormat="1" applyFont="1" applyAlignment="1">
      <alignment horizontal="left" wrapText="1"/>
    </xf>
    <xf numFmtId="179" fontId="311" fillId="0" borderId="0" xfId="0" applyNumberFormat="1" applyFont="1" applyAlignment="1">
      <alignment horizontal="left" wrapText="1"/>
    </xf>
    <xf numFmtId="0" fontId="261" fillId="18" borderId="0" xfId="623" applyFont="1" applyFill="1" applyAlignment="1">
      <alignment horizontal="center" vertical="center"/>
    </xf>
    <xf numFmtId="0" fontId="266" fillId="17" borderId="51" xfId="6031" applyFont="1" applyFill="1" applyBorder="1" applyAlignment="1">
      <alignment horizontal="left" vertical="center"/>
    </xf>
    <xf numFmtId="0" fontId="262" fillId="0" borderId="53" xfId="6020" applyFont="1" applyBorder="1" applyAlignment="1">
      <alignment shrinkToFit="1"/>
    </xf>
    <xf numFmtId="0" fontId="286" fillId="0" borderId="0" xfId="0" applyFont="1"/>
    <xf numFmtId="0" fontId="266" fillId="26" borderId="0" xfId="0" applyFont="1" applyFill="1" applyAlignment="1">
      <alignment horizontal="center" vertical="center"/>
    </xf>
    <xf numFmtId="171" fontId="286" fillId="0" borderId="0" xfId="0" applyNumberFormat="1" applyFont="1"/>
    <xf numFmtId="0" fontId="262" fillId="0" borderId="53" xfId="0" applyFont="1" applyBorder="1" applyAlignment="1">
      <alignment horizontal="center" vertical="center"/>
    </xf>
    <xf numFmtId="0" fontId="303" fillId="0" borderId="53" xfId="697" applyFont="1" applyBorder="1" applyAlignment="1">
      <alignment horizontal="left" vertical="center"/>
    </xf>
    <xf numFmtId="176" fontId="262" fillId="0" borderId="53" xfId="672" applyNumberFormat="1" applyFont="1" applyFill="1" applyBorder="1" applyAlignment="1">
      <alignment horizontal="left" vertical="center" wrapText="1"/>
    </xf>
    <xf numFmtId="171" fontId="262" fillId="0" borderId="53" xfId="3" applyNumberFormat="1" applyFont="1" applyFill="1" applyBorder="1" applyAlignment="1">
      <alignment horizontal="left" vertical="center" wrapText="1"/>
    </xf>
    <xf numFmtId="0" fontId="262" fillId="0" borderId="0" xfId="0" applyFont="1" applyAlignment="1">
      <alignment horizontal="center" vertical="center"/>
    </xf>
    <xf numFmtId="0" fontId="270" fillId="0" borderId="53" xfId="0" applyFont="1" applyBorder="1" applyAlignment="1">
      <alignment horizontal="center" vertical="center"/>
    </xf>
    <xf numFmtId="0" fontId="270" fillId="0" borderId="53" xfId="0" applyFont="1" applyBorder="1" applyAlignment="1">
      <alignment horizontal="center" vertical="center" wrapText="1"/>
    </xf>
    <xf numFmtId="0" fontId="312" fillId="0" borderId="0" xfId="669" applyFont="1"/>
    <xf numFmtId="171" fontId="261" fillId="0" borderId="53" xfId="1" applyNumberFormat="1" applyFont="1" applyFill="1" applyBorder="1"/>
    <xf numFmtId="0" fontId="313" fillId="0" borderId="0" xfId="669" applyFont="1"/>
    <xf numFmtId="166" fontId="266" fillId="0" borderId="6" xfId="1" applyFont="1" applyFill="1" applyBorder="1" applyAlignment="1" applyProtection="1">
      <alignment vertical="center"/>
    </xf>
    <xf numFmtId="175" fontId="266" fillId="17" borderId="53" xfId="627" applyNumberFormat="1" applyFont="1" applyFill="1" applyBorder="1" applyAlignment="1">
      <alignment horizontal="left" vertical="center" wrapText="1"/>
    </xf>
    <xf numFmtId="0" fontId="262" fillId="0" borderId="0" xfId="36" applyFont="1" applyAlignment="1">
      <alignment horizontal="center" vertical="center"/>
    </xf>
    <xf numFmtId="0" fontId="255" fillId="0" borderId="0" xfId="0" applyFont="1" applyAlignment="1">
      <alignment horizontal="center" vertical="center" wrapText="1"/>
    </xf>
    <xf numFmtId="0" fontId="262" fillId="0" borderId="0" xfId="6020" applyFont="1"/>
    <xf numFmtId="175" fontId="266" fillId="0" borderId="0" xfId="627" applyNumberFormat="1" applyFont="1" applyAlignment="1">
      <alignment horizontal="left" vertical="center" wrapText="1"/>
    </xf>
    <xf numFmtId="175" fontId="266" fillId="0" borderId="0" xfId="627" applyNumberFormat="1" applyFont="1" applyAlignment="1">
      <alignment horizontal="right" vertical="center" wrapText="1"/>
    </xf>
    <xf numFmtId="175" fontId="266" fillId="0" borderId="0" xfId="627" applyNumberFormat="1" applyFont="1" applyAlignment="1">
      <alignment horizontal="left" vertical="center" shrinkToFit="1"/>
    </xf>
    <xf numFmtId="14" fontId="251" fillId="0" borderId="0" xfId="0" applyNumberFormat="1" applyFont="1" applyAlignment="1">
      <alignment horizontal="center"/>
    </xf>
    <xf numFmtId="0" fontId="285" fillId="0" borderId="0" xfId="0" applyFont="1" applyAlignment="1">
      <alignment horizontal="center" vertical="center"/>
    </xf>
    <xf numFmtId="169" fontId="285" fillId="0" borderId="0" xfId="0" applyNumberFormat="1" applyFont="1" applyAlignment="1">
      <alignment horizontal="center" vertical="center"/>
    </xf>
    <xf numFmtId="1" fontId="236" fillId="0" borderId="0" xfId="1" applyNumberFormat="1" applyFill="1" applyBorder="1" applyAlignment="1">
      <alignment horizontal="center"/>
    </xf>
    <xf numFmtId="169" fontId="285" fillId="0" borderId="0" xfId="0" quotePrefix="1" applyNumberFormat="1" applyFont="1" applyAlignment="1">
      <alignment horizontal="center" vertical="center"/>
    </xf>
    <xf numFmtId="169" fontId="306" fillId="0" borderId="0" xfId="1" applyNumberFormat="1" applyFont="1" applyFill="1" applyBorder="1" applyAlignment="1">
      <alignment horizontal="center"/>
    </xf>
    <xf numFmtId="167" fontId="236" fillId="0" borderId="0" xfId="1" applyNumberFormat="1" applyFill="1" applyBorder="1"/>
    <xf numFmtId="0" fontId="262" fillId="0" borderId="53" xfId="36" applyFont="1" applyBorder="1" applyAlignment="1">
      <alignment horizontal="center" vertical="center"/>
    </xf>
    <xf numFmtId="0" fontId="255" fillId="0" borderId="53" xfId="0" applyFont="1" applyBorder="1" applyAlignment="1">
      <alignment horizontal="center" vertical="center" wrapText="1"/>
    </xf>
    <xf numFmtId="175" fontId="266" fillId="0" borderId="53" xfId="627" applyNumberFormat="1" applyFont="1" applyBorder="1" applyAlignment="1">
      <alignment horizontal="left" vertical="center" wrapText="1"/>
    </xf>
    <xf numFmtId="175" fontId="266" fillId="0" borderId="53" xfId="627" applyNumberFormat="1" applyFont="1" applyBorder="1" applyAlignment="1">
      <alignment horizontal="right" vertical="center" wrapText="1"/>
    </xf>
    <xf numFmtId="175" fontId="266" fillId="0" borderId="53" xfId="627" applyNumberFormat="1" applyFont="1" applyBorder="1" applyAlignment="1">
      <alignment horizontal="left" vertical="center" shrinkToFit="1"/>
    </xf>
    <xf numFmtId="14" fontId="251" fillId="0" borderId="53" xfId="0" applyNumberFormat="1" applyFont="1" applyBorder="1" applyAlignment="1">
      <alignment horizontal="center"/>
    </xf>
    <xf numFmtId="1" fontId="236" fillId="0" borderId="53" xfId="1" applyNumberFormat="1" applyFill="1" applyBorder="1" applyAlignment="1">
      <alignment horizontal="center"/>
    </xf>
    <xf numFmtId="167" fontId="236" fillId="0" borderId="53" xfId="1" applyNumberFormat="1" applyFill="1" applyBorder="1"/>
    <xf numFmtId="0" fontId="262" fillId="17" borderId="53" xfId="36" applyFont="1" applyFill="1" applyBorder="1" applyAlignment="1">
      <alignment horizontal="center" vertical="center"/>
    </xf>
    <xf numFmtId="175" fontId="266" fillId="17" borderId="53" xfId="627" applyNumberFormat="1" applyFont="1" applyFill="1" applyBorder="1" applyAlignment="1">
      <alignment horizontal="right" vertical="center" wrapText="1"/>
    </xf>
    <xf numFmtId="175" fontId="266" fillId="17" borderId="53" xfId="627" applyNumberFormat="1" applyFont="1" applyFill="1" applyBorder="1" applyAlignment="1">
      <alignment horizontal="left" vertical="center" shrinkToFit="1"/>
    </xf>
    <xf numFmtId="14" fontId="251" fillId="20" borderId="53" xfId="0" applyNumberFormat="1" applyFont="1" applyFill="1" applyBorder="1" applyAlignment="1">
      <alignment horizontal="center"/>
    </xf>
    <xf numFmtId="0" fontId="4" fillId="0" borderId="53" xfId="6020" applyBorder="1"/>
    <xf numFmtId="171" fontId="278" fillId="0" borderId="51" xfId="6032" applyNumberFormat="1" applyFont="1" applyBorder="1" applyAlignment="1">
      <alignment vertical="center"/>
    </xf>
    <xf numFmtId="173" fontId="278" fillId="0" borderId="51" xfId="6032" applyNumberFormat="1" applyFont="1" applyBorder="1" applyAlignment="1">
      <alignment vertical="center"/>
    </xf>
    <xf numFmtId="171" fontId="278" fillId="0" borderId="51" xfId="6031" applyNumberFormat="1" applyFont="1" applyBorder="1" applyAlignment="1">
      <alignment vertical="center"/>
    </xf>
    <xf numFmtId="171" fontId="278" fillId="17" borderId="51" xfId="6032" applyNumberFormat="1" applyFont="1" applyFill="1" applyBorder="1" applyAlignment="1">
      <alignment vertical="center"/>
    </xf>
    <xf numFmtId="0" fontId="273" fillId="0" borderId="0" xfId="6031" applyFont="1"/>
    <xf numFmtId="166" fontId="255" fillId="0" borderId="3" xfId="1" applyFont="1" applyFill="1" applyBorder="1" applyAlignment="1" applyProtection="1">
      <alignment vertical="center"/>
    </xf>
    <xf numFmtId="0" fontId="266" fillId="0" borderId="64" xfId="0" applyFont="1" applyBorder="1" applyAlignment="1">
      <alignment horizontal="center" vertical="center" wrapText="1"/>
    </xf>
    <xf numFmtId="14" fontId="266" fillId="0" borderId="0" xfId="0" applyNumberFormat="1" applyFont="1" applyAlignment="1">
      <alignment vertical="center"/>
    </xf>
    <xf numFmtId="166" fontId="266" fillId="0" borderId="3" xfId="1" applyFont="1" applyFill="1" applyBorder="1" applyAlignment="1" applyProtection="1">
      <alignment vertical="center"/>
    </xf>
    <xf numFmtId="0" fontId="255" fillId="0" borderId="64" xfId="0" applyFont="1" applyBorder="1" applyAlignment="1">
      <alignment horizontal="center" vertical="center" wrapText="1"/>
    </xf>
    <xf numFmtId="14" fontId="255" fillId="0" borderId="53" xfId="0" applyNumberFormat="1" applyFont="1" applyBorder="1" applyAlignment="1">
      <alignment vertical="center"/>
    </xf>
    <xf numFmtId="0" fontId="266" fillId="28" borderId="51" xfId="6031" applyFont="1" applyFill="1" applyBorder="1" applyAlignment="1">
      <alignment horizontal="left" vertical="center" shrinkToFit="1"/>
    </xf>
    <xf numFmtId="0" fontId="266" fillId="0" borderId="51" xfId="0" applyFont="1" applyBorder="1" applyAlignment="1">
      <alignment horizontal="left" vertical="center" shrinkToFit="1"/>
    </xf>
    <xf numFmtId="0" fontId="266" fillId="0" borderId="65" xfId="0" applyFont="1" applyBorder="1" applyAlignment="1">
      <alignment horizontal="left" vertical="center" shrinkToFit="1"/>
    </xf>
    <xf numFmtId="0" fontId="266" fillId="28" borderId="51" xfId="6031" applyFont="1" applyFill="1" applyBorder="1" applyAlignment="1">
      <alignment horizontal="left" vertical="center"/>
    </xf>
    <xf numFmtId="0" fontId="266" fillId="28" borderId="51" xfId="6031" applyFont="1" applyFill="1" applyBorder="1" applyAlignment="1">
      <alignment horizontal="center" vertical="center"/>
    </xf>
    <xf numFmtId="0" fontId="266" fillId="28" borderId="51" xfId="6031" applyFont="1" applyFill="1" applyBorder="1" applyAlignment="1">
      <alignment vertical="center"/>
    </xf>
    <xf numFmtId="14" fontId="266" fillId="0" borderId="51" xfId="6031" applyNumberFormat="1" applyFont="1" applyBorder="1" applyAlignment="1">
      <alignment horizontal="center" vertical="center"/>
    </xf>
    <xf numFmtId="167" fontId="266" fillId="28" borderId="53" xfId="1" applyNumberFormat="1" applyFont="1" applyFill="1" applyBorder="1" applyAlignment="1" applyProtection="1">
      <alignment vertical="center"/>
    </xf>
    <xf numFmtId="171" fontId="266" fillId="28" borderId="51" xfId="6032" applyNumberFormat="1" applyFont="1" applyFill="1" applyBorder="1" applyAlignment="1">
      <alignment vertical="center"/>
    </xf>
    <xf numFmtId="171" fontId="261" fillId="28" borderId="51" xfId="6031" applyNumberFormat="1" applyFont="1" applyFill="1" applyBorder="1" applyAlignment="1">
      <alignment vertical="center"/>
    </xf>
    <xf numFmtId="1" fontId="261" fillId="28" borderId="51" xfId="6031" applyNumberFormat="1" applyFont="1" applyFill="1" applyBorder="1" applyAlignment="1">
      <alignment vertical="center"/>
    </xf>
    <xf numFmtId="0" fontId="309" fillId="0" borderId="57" xfId="0" applyFont="1" applyBorder="1" applyAlignment="1">
      <alignment horizontal="center" wrapText="1"/>
    </xf>
    <xf numFmtId="0" fontId="309" fillId="0" borderId="60" xfId="0" applyFont="1" applyBorder="1" applyAlignment="1">
      <alignment horizontal="center" wrapText="1"/>
    </xf>
    <xf numFmtId="0" fontId="308" fillId="0" borderId="20" xfId="6020" applyFont="1" applyBorder="1" applyAlignment="1">
      <alignment horizontal="center" vertical="center"/>
    </xf>
    <xf numFmtId="0" fontId="308" fillId="0" borderId="58" xfId="6020" applyFont="1" applyBorder="1" applyAlignment="1">
      <alignment horizontal="center" vertical="center"/>
    </xf>
    <xf numFmtId="0" fontId="308" fillId="0" borderId="16" xfId="6020" applyFont="1" applyBorder="1" applyAlignment="1">
      <alignment horizontal="center" vertical="center"/>
    </xf>
    <xf numFmtId="0" fontId="0" fillId="0" borderId="59" xfId="0" applyBorder="1"/>
    <xf numFmtId="0" fontId="266" fillId="0" borderId="62" xfId="0" applyFont="1" applyBorder="1" applyAlignment="1">
      <alignment horizontal="center" vertical="center" wrapText="1"/>
    </xf>
    <xf numFmtId="0" fontId="0" fillId="0" borderId="2" xfId="0" applyBorder="1"/>
    <xf numFmtId="0" fontId="0" fillId="0" borderId="47" xfId="0" applyBorder="1"/>
    <xf numFmtId="0" fontId="302" fillId="0" borderId="8" xfId="0" applyFont="1" applyBorder="1" applyAlignment="1">
      <alignment horizontal="center" vertical="center" wrapText="1"/>
    </xf>
    <xf numFmtId="0" fontId="0" fillId="0" borderId="22" xfId="0" applyBorder="1"/>
    <xf numFmtId="0" fontId="0" fillId="0" borderId="8" xfId="0" applyBorder="1"/>
    <xf numFmtId="14" fontId="272" fillId="0" borderId="53" xfId="36" applyNumberFormat="1" applyFont="1" applyBorder="1" applyAlignment="1">
      <alignment horizontal="center" vertical="center" wrapText="1"/>
    </xf>
    <xf numFmtId="0" fontId="272" fillId="0" borderId="61" xfId="36" applyFont="1" applyBorder="1" applyAlignment="1">
      <alignment horizontal="center" vertical="center" wrapText="1"/>
    </xf>
    <xf numFmtId="0" fontId="272" fillId="0" borderId="22" xfId="36" applyFont="1" applyBorder="1" applyAlignment="1">
      <alignment horizontal="center" vertical="center" wrapText="1"/>
    </xf>
    <xf numFmtId="0" fontId="272" fillId="0" borderId="8" xfId="36" applyFont="1" applyBorder="1" applyAlignment="1">
      <alignment horizontal="center" vertical="center" wrapText="1"/>
    </xf>
    <xf numFmtId="0" fontId="299" fillId="0" borderId="53" xfId="36" applyFont="1" applyBorder="1" applyAlignment="1">
      <alignment horizontal="center" vertical="center" wrapText="1"/>
    </xf>
    <xf numFmtId="0" fontId="272" fillId="0" borderId="62" xfId="0" applyFont="1" applyBorder="1" applyAlignment="1">
      <alignment horizontal="center" vertical="center" wrapText="1"/>
    </xf>
    <xf numFmtId="0" fontId="272" fillId="0" borderId="18" xfId="623" applyFont="1" applyBorder="1" applyAlignment="1">
      <alignment horizontal="center" vertical="center" wrapText="1"/>
    </xf>
    <xf numFmtId="0" fontId="286" fillId="0" borderId="22" xfId="0" applyFont="1" applyBorder="1"/>
    <xf numFmtId="0" fontId="286" fillId="0" borderId="8" xfId="0" applyFont="1" applyBorder="1"/>
    <xf numFmtId="0" fontId="272" fillId="0" borderId="19" xfId="623" applyFont="1" applyBorder="1" applyAlignment="1">
      <alignment horizontal="center" vertical="center" wrapText="1"/>
    </xf>
    <xf numFmtId="0" fontId="272" fillId="0" borderId="22" xfId="623" applyFont="1" applyBorder="1" applyAlignment="1">
      <alignment horizontal="center" vertical="center" wrapText="1"/>
    </xf>
    <xf numFmtId="0" fontId="272" fillId="0" borderId="8" xfId="623" applyFont="1" applyBorder="1" applyAlignment="1">
      <alignment horizontal="center" vertical="center" wrapText="1"/>
    </xf>
    <xf numFmtId="0" fontId="272" fillId="18" borderId="18" xfId="623" applyFont="1" applyFill="1" applyBorder="1" applyAlignment="1">
      <alignment horizontal="center" vertical="center" wrapText="1"/>
    </xf>
    <xf numFmtId="0" fontId="314" fillId="0" borderId="22" xfId="0" applyFont="1" applyBorder="1" applyAlignment="1">
      <alignment horizontal="center"/>
    </xf>
    <xf numFmtId="0" fontId="314" fillId="0" borderId="8" xfId="0" applyFont="1" applyBorder="1" applyAlignment="1">
      <alignment horizontal="center"/>
    </xf>
    <xf numFmtId="0" fontId="272" fillId="18" borderId="19" xfId="623" applyFont="1" applyFill="1" applyBorder="1" applyAlignment="1">
      <alignment horizontal="center" vertical="center" wrapText="1"/>
    </xf>
    <xf numFmtId="0" fontId="272" fillId="18" borderId="22" xfId="623" applyFont="1" applyFill="1" applyBorder="1" applyAlignment="1">
      <alignment horizontal="center" vertical="center" wrapText="1"/>
    </xf>
    <xf numFmtId="0" fontId="272" fillId="18" borderId="8" xfId="623" applyFont="1" applyFill="1" applyBorder="1" applyAlignment="1">
      <alignment horizontal="center" vertical="center" wrapText="1"/>
    </xf>
    <xf numFmtId="0" fontId="266" fillId="0" borderId="63" xfId="0" applyFont="1" applyBorder="1" applyAlignment="1">
      <alignment horizontal="center" vertical="center" wrapText="1"/>
    </xf>
    <xf numFmtId="4" fontId="266" fillId="0" borderId="56" xfId="0" applyNumberFormat="1" applyFont="1" applyBorder="1" applyAlignment="1">
      <alignment horizontal="center" vertical="center" wrapText="1"/>
    </xf>
    <xf numFmtId="4" fontId="266" fillId="0" borderId="3" xfId="0" applyNumberFormat="1" applyFont="1" applyBorder="1" applyAlignment="1">
      <alignment horizontal="center" vertical="center" wrapText="1"/>
    </xf>
    <xf numFmtId="0" fontId="266" fillId="0" borderId="0" xfId="666" applyFont="1" applyFill="1" applyAlignment="1">
      <alignment horizontal="center" vertical="center" wrapText="1"/>
    </xf>
    <xf numFmtId="0" fontId="266" fillId="0" borderId="7" xfId="666" applyFont="1" applyFill="1" applyBorder="1" applyAlignment="1">
      <alignment horizontal="center" vertical="center" wrapText="1"/>
    </xf>
    <xf numFmtId="0" fontId="283" fillId="27" borderId="21" xfId="711" applyFont="1" applyFill="1" applyBorder="1" applyAlignment="1">
      <alignment horizontal="center" vertical="center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1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0066"/>
      <color rgb="FFFF99FF"/>
      <color rgb="FFFF66FF"/>
      <color rgb="FFFF33CC"/>
      <color rgb="FFFFFFFF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AE10"/>
  <sheetViews>
    <sheetView tabSelected="1" zoomScaleNormal="100" zoomScaleSheetLayoutView="80" workbookViewId="0">
      <pane xSplit="3" ySplit="1" topLeftCell="Q2" activePane="bottomRight" state="frozen"/>
      <selection pane="topRight" activeCell="E1" sqref="E1"/>
      <selection pane="bottomLeft" activeCell="A20" sqref="A20"/>
      <selection pane="bottomRight" activeCell="X26" sqref="X26"/>
    </sheetView>
  </sheetViews>
  <sheetFormatPr baseColWidth="10" defaultColWidth="9.33203125" defaultRowHeight="14" outlineLevelCol="1"/>
  <cols>
    <col min="1" max="1" width="14.1640625" style="87" customWidth="1"/>
    <col min="2" max="2" width="12.5" style="87" customWidth="1" outlineLevel="1"/>
    <col min="3" max="3" width="19.5" style="88" customWidth="1"/>
    <col min="4" max="4" width="22.5" style="87" customWidth="1"/>
    <col min="5" max="5" width="12.6640625" style="87" customWidth="1" outlineLevel="1"/>
    <col min="6" max="6" width="17.5" style="87" customWidth="1"/>
    <col min="7" max="7" width="13" style="87" customWidth="1"/>
    <col min="8" max="8" width="15.33203125" style="87" customWidth="1" outlineLevel="1"/>
    <col min="9" max="10" width="15.83203125" style="87" customWidth="1"/>
    <col min="11" max="11" width="9.5" style="87" customWidth="1"/>
    <col min="12" max="12" width="15" style="89" customWidth="1" outlineLevel="1"/>
    <col min="13" max="13" width="14.83203125" style="89" customWidth="1" outlineLevel="1"/>
    <col min="14" max="14" width="12.5" style="89" customWidth="1" outlineLevel="1"/>
    <col min="15" max="15" width="12" style="87" customWidth="1" outlineLevel="1"/>
    <col min="16" max="16" width="12.33203125" style="87" customWidth="1"/>
    <col min="17" max="17" width="8.5" style="87" customWidth="1"/>
    <col min="18" max="18" width="11.83203125" style="87" customWidth="1"/>
    <col min="19" max="19" width="6" style="87" customWidth="1"/>
    <col min="20" max="20" width="12.1640625" style="87" customWidth="1"/>
    <col min="21" max="21" width="11" style="87" customWidth="1"/>
    <col min="22" max="22" width="14.5" style="87" customWidth="1" outlineLevel="1"/>
    <col min="23" max="23" width="14.33203125" style="87" customWidth="1" outlineLevel="1"/>
    <col min="24" max="28" width="13.6640625" style="87" customWidth="1" outlineLevel="1"/>
    <col min="29" max="29" width="15.5" style="87" customWidth="1" outlineLevel="1"/>
    <col min="30" max="31" width="9.33203125" style="87" customWidth="1"/>
    <col min="32" max="16384" width="9.33203125" style="87"/>
  </cols>
  <sheetData>
    <row r="1" spans="1:31" s="83" customFormat="1" ht="75.75" customHeight="1">
      <c r="A1" s="77" t="s">
        <v>14</v>
      </c>
      <c r="B1" s="77" t="s">
        <v>63</v>
      </c>
      <c r="C1" s="78" t="s">
        <v>15</v>
      </c>
      <c r="D1" s="77" t="s">
        <v>64</v>
      </c>
      <c r="E1" s="77" t="s">
        <v>4</v>
      </c>
      <c r="F1" s="77" t="s">
        <v>16</v>
      </c>
      <c r="G1" s="77" t="s">
        <v>6</v>
      </c>
      <c r="H1" s="77" t="s">
        <v>55</v>
      </c>
      <c r="I1" s="77" t="s">
        <v>61</v>
      </c>
      <c r="J1" s="77" t="s">
        <v>65</v>
      </c>
      <c r="K1" s="77" t="s">
        <v>66</v>
      </c>
      <c r="L1" s="77" t="s">
        <v>7</v>
      </c>
      <c r="M1" s="77" t="s">
        <v>8</v>
      </c>
      <c r="N1" s="77" t="s">
        <v>9</v>
      </c>
      <c r="O1" s="77" t="s">
        <v>56</v>
      </c>
      <c r="P1" s="77" t="s">
        <v>67</v>
      </c>
      <c r="Q1" s="77" t="s">
        <v>57</v>
      </c>
      <c r="R1" s="77" t="s">
        <v>62</v>
      </c>
      <c r="S1" s="77" t="s">
        <v>1</v>
      </c>
      <c r="T1" s="79" t="s">
        <v>51</v>
      </c>
      <c r="U1" s="79" t="s">
        <v>52</v>
      </c>
      <c r="V1" s="77" t="s">
        <v>53</v>
      </c>
      <c r="W1" s="77" t="s">
        <v>54</v>
      </c>
      <c r="X1" s="77" t="s">
        <v>120</v>
      </c>
      <c r="Y1" s="77" t="s">
        <v>121</v>
      </c>
      <c r="Z1" s="77" t="s">
        <v>122</v>
      </c>
      <c r="AA1" s="77" t="s">
        <v>123</v>
      </c>
      <c r="AB1" s="80" t="s">
        <v>124</v>
      </c>
      <c r="AC1" s="81" t="s">
        <v>2</v>
      </c>
      <c r="AD1" s="82"/>
      <c r="AE1" s="82"/>
    </row>
    <row r="2" spans="1:31" s="96" customFormat="1" ht="22.5" customHeight="1">
      <c r="A2" s="177" t="s">
        <v>85</v>
      </c>
      <c r="B2" s="90"/>
      <c r="C2" s="174" t="s">
        <v>88</v>
      </c>
      <c r="D2" s="178" t="s">
        <v>49</v>
      </c>
      <c r="E2" s="178" t="s">
        <v>77</v>
      </c>
      <c r="F2" s="179" t="s">
        <v>68</v>
      </c>
      <c r="G2" s="179" t="s">
        <v>10</v>
      </c>
      <c r="H2" s="179" t="s">
        <v>58</v>
      </c>
      <c r="I2" s="181">
        <v>47000000</v>
      </c>
      <c r="J2" s="182">
        <v>10870000</v>
      </c>
      <c r="K2" s="61">
        <v>26</v>
      </c>
      <c r="L2" s="61">
        <v>0</v>
      </c>
      <c r="M2" s="61">
        <v>0</v>
      </c>
      <c r="N2" s="61">
        <v>0</v>
      </c>
      <c r="O2" s="163">
        <v>0</v>
      </c>
      <c r="P2" s="163">
        <v>0</v>
      </c>
      <c r="Q2" s="164">
        <v>0</v>
      </c>
      <c r="R2" s="165">
        <v>0</v>
      </c>
      <c r="S2" s="164">
        <v>4</v>
      </c>
      <c r="T2" s="163">
        <v>0</v>
      </c>
      <c r="U2" s="61">
        <v>0</v>
      </c>
      <c r="V2" s="85">
        <v>0</v>
      </c>
      <c r="W2" s="85">
        <v>0</v>
      </c>
      <c r="X2" s="183">
        <v>1</v>
      </c>
      <c r="Y2" s="184">
        <v>0</v>
      </c>
      <c r="Z2" s="183">
        <v>1</v>
      </c>
      <c r="AA2" s="183">
        <v>0</v>
      </c>
      <c r="AB2" s="93">
        <v>20</v>
      </c>
      <c r="AC2" s="95"/>
    </row>
    <row r="3" spans="1:31" s="64" customFormat="1" ht="22.5" customHeight="1">
      <c r="A3" s="90" t="s">
        <v>86</v>
      </c>
      <c r="B3" s="58"/>
      <c r="C3" s="91" t="s">
        <v>89</v>
      </c>
      <c r="D3" s="92" t="s">
        <v>42</v>
      </c>
      <c r="E3" s="92" t="s">
        <v>78</v>
      </c>
      <c r="F3" s="84" t="s">
        <v>69</v>
      </c>
      <c r="G3" s="84" t="s">
        <v>10</v>
      </c>
      <c r="H3" s="84" t="s">
        <v>50</v>
      </c>
      <c r="I3" s="61">
        <v>31000000</v>
      </c>
      <c r="J3" s="61">
        <v>8350000</v>
      </c>
      <c r="K3" s="59">
        <v>26</v>
      </c>
      <c r="L3" s="59">
        <v>0</v>
      </c>
      <c r="M3" s="59">
        <v>0</v>
      </c>
      <c r="N3" s="59">
        <v>0</v>
      </c>
      <c r="O3" s="163">
        <v>0</v>
      </c>
      <c r="P3" s="166">
        <v>0</v>
      </c>
      <c r="Q3" s="164">
        <v>0</v>
      </c>
      <c r="R3" s="60">
        <v>0</v>
      </c>
      <c r="S3" s="164">
        <v>1</v>
      </c>
      <c r="T3" s="163">
        <v>0</v>
      </c>
      <c r="U3" s="61">
        <v>0</v>
      </c>
      <c r="V3" s="62">
        <v>0</v>
      </c>
      <c r="W3" s="62">
        <v>0</v>
      </c>
      <c r="X3" s="93">
        <v>1</v>
      </c>
      <c r="Y3" s="94">
        <v>0</v>
      </c>
      <c r="Z3" s="93">
        <v>1</v>
      </c>
      <c r="AA3" s="94">
        <v>1</v>
      </c>
      <c r="AB3" s="63">
        <v>20</v>
      </c>
      <c r="AC3" s="53"/>
      <c r="AD3" s="65"/>
    </row>
    <row r="4" spans="1:31" s="64" customFormat="1" ht="22.5" customHeight="1">
      <c r="A4" s="90" t="s">
        <v>72</v>
      </c>
      <c r="B4" s="58"/>
      <c r="C4" s="91" t="s">
        <v>90</v>
      </c>
      <c r="D4" s="92" t="s">
        <v>40</v>
      </c>
      <c r="E4" s="92" t="s">
        <v>81</v>
      </c>
      <c r="F4" s="84" t="s">
        <v>30</v>
      </c>
      <c r="G4" s="84" t="s">
        <v>13</v>
      </c>
      <c r="H4" s="84" t="s">
        <v>47</v>
      </c>
      <c r="I4" s="61">
        <v>10448000</v>
      </c>
      <c r="J4" s="61">
        <v>7570000</v>
      </c>
      <c r="K4" s="59">
        <v>26</v>
      </c>
      <c r="L4" s="59">
        <v>0</v>
      </c>
      <c r="M4" s="59">
        <v>0</v>
      </c>
      <c r="N4" s="59">
        <v>0</v>
      </c>
      <c r="O4" s="163">
        <v>0</v>
      </c>
      <c r="P4" s="166">
        <v>0</v>
      </c>
      <c r="R4" s="60">
        <v>0</v>
      </c>
      <c r="S4" s="164">
        <v>0</v>
      </c>
      <c r="T4" s="163">
        <v>0</v>
      </c>
      <c r="U4" s="61">
        <v>0</v>
      </c>
      <c r="V4" s="62">
        <v>0</v>
      </c>
      <c r="W4" s="62">
        <v>0</v>
      </c>
      <c r="X4" s="93">
        <v>1</v>
      </c>
      <c r="Y4" s="94">
        <v>0</v>
      </c>
      <c r="Z4" s="93">
        <v>1</v>
      </c>
      <c r="AA4" s="94">
        <v>0</v>
      </c>
      <c r="AB4" s="63">
        <v>20</v>
      </c>
      <c r="AC4" s="53"/>
      <c r="AD4" s="65"/>
    </row>
    <row r="5" spans="1:31" s="64" customFormat="1" ht="22.5" customHeight="1">
      <c r="A5" s="90" t="s">
        <v>73</v>
      </c>
      <c r="B5" s="58"/>
      <c r="C5" s="91" t="s">
        <v>91</v>
      </c>
      <c r="D5" s="180">
        <v>44562</v>
      </c>
      <c r="E5" s="92" t="s">
        <v>83</v>
      </c>
      <c r="F5" s="84" t="s">
        <v>34</v>
      </c>
      <c r="G5" s="84" t="s">
        <v>13</v>
      </c>
      <c r="H5" s="84" t="s">
        <v>37</v>
      </c>
      <c r="I5" s="61">
        <v>8000000</v>
      </c>
      <c r="J5" s="61">
        <v>5310000</v>
      </c>
      <c r="K5" s="59">
        <v>26</v>
      </c>
      <c r="L5" s="59">
        <v>0</v>
      </c>
      <c r="M5" s="59">
        <v>0</v>
      </c>
      <c r="N5" s="59">
        <v>0</v>
      </c>
      <c r="O5" s="163">
        <v>0</v>
      </c>
      <c r="P5" s="166">
        <v>0</v>
      </c>
      <c r="Q5" s="164">
        <v>4</v>
      </c>
      <c r="R5" s="60">
        <v>0</v>
      </c>
      <c r="S5" s="164">
        <v>0</v>
      </c>
      <c r="T5" s="163">
        <v>0</v>
      </c>
      <c r="U5" s="61">
        <v>0</v>
      </c>
      <c r="V5" s="62">
        <v>0</v>
      </c>
      <c r="W5" s="62">
        <v>0</v>
      </c>
      <c r="X5" s="94">
        <v>0</v>
      </c>
      <c r="Y5" s="94">
        <v>0</v>
      </c>
      <c r="Z5" s="94">
        <v>0</v>
      </c>
      <c r="AA5" s="94">
        <v>0</v>
      </c>
      <c r="AB5" s="63">
        <v>20</v>
      </c>
      <c r="AC5" s="53"/>
      <c r="AD5" s="65"/>
    </row>
    <row r="6" spans="1:31" s="64" customFormat="1" ht="22.5" customHeight="1">
      <c r="A6" s="90" t="s">
        <v>74</v>
      </c>
      <c r="B6" s="58"/>
      <c r="C6" s="91" t="s">
        <v>92</v>
      </c>
      <c r="D6" s="180">
        <v>45740</v>
      </c>
      <c r="E6" s="92" t="s">
        <v>83</v>
      </c>
      <c r="F6" s="84" t="s">
        <v>34</v>
      </c>
      <c r="G6" s="84" t="s">
        <v>13</v>
      </c>
      <c r="H6" s="84" t="s">
        <v>37</v>
      </c>
      <c r="I6" s="61">
        <v>8500000</v>
      </c>
      <c r="J6" s="61">
        <v>5310000</v>
      </c>
      <c r="K6" s="59">
        <v>26</v>
      </c>
      <c r="L6" s="59">
        <v>0</v>
      </c>
      <c r="M6" s="59">
        <v>0</v>
      </c>
      <c r="N6" s="59">
        <v>0</v>
      </c>
      <c r="O6" s="163">
        <v>0</v>
      </c>
      <c r="P6" s="166">
        <v>0</v>
      </c>
      <c r="Q6" s="164">
        <v>0</v>
      </c>
      <c r="R6" s="60">
        <v>0</v>
      </c>
      <c r="S6" s="164">
        <v>0</v>
      </c>
      <c r="T6" s="163">
        <v>0</v>
      </c>
      <c r="U6" s="61">
        <v>0</v>
      </c>
      <c r="V6" s="62">
        <v>0</v>
      </c>
      <c r="W6" s="62">
        <v>0</v>
      </c>
      <c r="X6" s="94">
        <v>0</v>
      </c>
      <c r="Y6" s="93">
        <v>1</v>
      </c>
      <c r="Z6" s="94">
        <v>0</v>
      </c>
      <c r="AA6" s="94">
        <v>0</v>
      </c>
      <c r="AB6" s="63">
        <v>20</v>
      </c>
      <c r="AC6" s="53"/>
      <c r="AD6" s="65"/>
    </row>
    <row r="7" spans="1:31" s="64" customFormat="1" ht="22.5" customHeight="1">
      <c r="A7" s="90" t="s">
        <v>75</v>
      </c>
      <c r="B7" s="58"/>
      <c r="C7" s="91" t="s">
        <v>93</v>
      </c>
      <c r="D7" s="92" t="s">
        <v>41</v>
      </c>
      <c r="E7" s="92" t="s">
        <v>79</v>
      </c>
      <c r="F7" s="84" t="s">
        <v>71</v>
      </c>
      <c r="G7" s="84" t="s">
        <v>12</v>
      </c>
      <c r="H7" s="152" t="s">
        <v>60</v>
      </c>
      <c r="I7" s="61">
        <v>7056000</v>
      </c>
      <c r="J7" s="61">
        <v>5310000</v>
      </c>
      <c r="K7" s="59">
        <v>26</v>
      </c>
      <c r="L7" s="59">
        <v>0</v>
      </c>
      <c r="M7" s="59">
        <v>0</v>
      </c>
      <c r="N7" s="59">
        <v>0</v>
      </c>
      <c r="O7" s="163">
        <v>0</v>
      </c>
      <c r="P7" s="166">
        <v>0</v>
      </c>
      <c r="Q7" s="164">
        <v>0</v>
      </c>
      <c r="R7" s="60">
        <v>0</v>
      </c>
      <c r="S7" s="164">
        <v>0</v>
      </c>
      <c r="T7" s="163">
        <v>0</v>
      </c>
      <c r="U7" s="61">
        <v>0</v>
      </c>
      <c r="V7" s="62">
        <v>0</v>
      </c>
      <c r="W7" s="62">
        <v>0</v>
      </c>
      <c r="X7" s="93">
        <v>1</v>
      </c>
      <c r="Y7" s="94">
        <v>0</v>
      </c>
      <c r="Z7" s="93">
        <v>1</v>
      </c>
      <c r="AA7" s="93">
        <v>1</v>
      </c>
      <c r="AB7" s="63">
        <v>20</v>
      </c>
      <c r="AC7" s="53"/>
      <c r="AD7" s="65"/>
    </row>
    <row r="8" spans="1:31" s="64" customFormat="1" ht="22.5" customHeight="1">
      <c r="A8" s="90" t="s">
        <v>76</v>
      </c>
      <c r="B8" s="58"/>
      <c r="C8" s="91" t="s">
        <v>94</v>
      </c>
      <c r="D8" s="92" t="s">
        <v>43</v>
      </c>
      <c r="E8" s="92" t="s">
        <v>80</v>
      </c>
      <c r="F8" s="84" t="s">
        <v>11</v>
      </c>
      <c r="G8" s="84" t="s">
        <v>13</v>
      </c>
      <c r="H8" s="152" t="s">
        <v>39</v>
      </c>
      <c r="I8" s="61">
        <v>6841000</v>
      </c>
      <c r="J8" s="61">
        <v>5310000</v>
      </c>
      <c r="K8" s="59">
        <v>26</v>
      </c>
      <c r="L8" s="59">
        <v>0</v>
      </c>
      <c r="M8" s="59">
        <v>0</v>
      </c>
      <c r="N8" s="59">
        <v>0</v>
      </c>
      <c r="O8" s="163">
        <v>0</v>
      </c>
      <c r="P8" s="166">
        <v>0</v>
      </c>
      <c r="Q8" s="164">
        <v>0</v>
      </c>
      <c r="R8" s="60">
        <v>0</v>
      </c>
      <c r="S8" s="164">
        <v>0</v>
      </c>
      <c r="T8" s="163">
        <v>0</v>
      </c>
      <c r="U8" s="61">
        <v>0</v>
      </c>
      <c r="V8" s="62">
        <v>0</v>
      </c>
      <c r="W8" s="62">
        <v>0</v>
      </c>
      <c r="X8" s="93">
        <v>1</v>
      </c>
      <c r="Y8" s="94">
        <v>0</v>
      </c>
      <c r="Z8" s="93">
        <v>1</v>
      </c>
      <c r="AA8" s="94">
        <v>0</v>
      </c>
      <c r="AB8" s="63">
        <v>20</v>
      </c>
      <c r="AC8" s="53"/>
      <c r="AD8" s="65"/>
    </row>
    <row r="9" spans="1:31" s="64" customFormat="1" ht="22.5" customHeight="1">
      <c r="A9" s="90" t="s">
        <v>87</v>
      </c>
      <c r="B9" s="58"/>
      <c r="C9" s="91" t="s">
        <v>95</v>
      </c>
      <c r="D9" s="180">
        <v>45738</v>
      </c>
      <c r="E9" s="92" t="s">
        <v>81</v>
      </c>
      <c r="F9" s="84" t="s">
        <v>30</v>
      </c>
      <c r="G9" s="84" t="s">
        <v>13</v>
      </c>
      <c r="H9" s="84" t="s">
        <v>47</v>
      </c>
      <c r="I9" s="61">
        <v>11000000</v>
      </c>
      <c r="J9" s="61">
        <v>5800000</v>
      </c>
      <c r="K9" s="59">
        <v>26</v>
      </c>
      <c r="L9" s="59">
        <v>0</v>
      </c>
      <c r="M9" s="59">
        <v>0</v>
      </c>
      <c r="N9" s="59">
        <v>0</v>
      </c>
      <c r="O9" s="163">
        <v>0</v>
      </c>
      <c r="P9" s="166">
        <v>0</v>
      </c>
      <c r="Q9" s="164">
        <v>0</v>
      </c>
      <c r="R9" s="60">
        <v>0</v>
      </c>
      <c r="S9" s="164">
        <v>0</v>
      </c>
      <c r="T9" s="163">
        <v>0</v>
      </c>
      <c r="U9" s="61">
        <v>0</v>
      </c>
      <c r="V9" s="62">
        <v>0</v>
      </c>
      <c r="W9" s="62">
        <v>0</v>
      </c>
      <c r="X9" s="94">
        <v>0</v>
      </c>
      <c r="Y9" s="93">
        <v>1</v>
      </c>
      <c r="Z9" s="94">
        <v>0</v>
      </c>
      <c r="AA9" s="94">
        <v>0</v>
      </c>
      <c r="AB9" s="63">
        <v>20</v>
      </c>
      <c r="AC9" s="53"/>
      <c r="AD9" s="65"/>
    </row>
    <row r="10" spans="1:31">
      <c r="O10" s="167"/>
      <c r="P10" s="167"/>
      <c r="Q10" s="167"/>
      <c r="R10" s="167"/>
      <c r="S10" s="167"/>
      <c r="T10" s="167"/>
    </row>
  </sheetData>
  <sheetProtection deleteColumns="0"/>
  <autoFilter ref="A1:AL2" xr:uid="{B395567C-224D-4C12-935F-73BDB291D854}"/>
  <dataValidations count="1">
    <dataValidation allowBlank="1" showErrorMessage="1" sqref="AB1:XFD1 A1:W1 A2:B9 D2:H4 I8:W8 K7:K9 L9:W9 D9:J9 R4:W5 A10:XFD1048576 C3:C9 F7 F5:H6 F8:G8 D5:E8 I3:I5 J6:J7 J2:J4 I4:J4 Q5 L6:W7 L4:P5 K2:W3 X2:XFD9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E10"/>
  <sheetViews>
    <sheetView zoomScale="130" zoomScaleNormal="130" workbookViewId="0">
      <selection activeCell="B33" sqref="B33"/>
    </sheetView>
  </sheetViews>
  <sheetFormatPr baseColWidth="10" defaultColWidth="9.1640625" defaultRowHeight="15"/>
  <cols>
    <col min="1" max="1" width="14.1640625" style="54" customWidth="1"/>
    <col min="2" max="2" width="27.5" style="54" customWidth="1"/>
    <col min="3" max="3" width="14.33203125" style="54" customWidth="1"/>
    <col min="4" max="4" width="21" style="54" customWidth="1"/>
    <col min="5" max="5" width="17.83203125" style="54" customWidth="1"/>
    <col min="6" max="16384" width="9.1640625" style="54"/>
  </cols>
  <sheetData>
    <row r="1" spans="1:5" s="75" customFormat="1" ht="63.75" customHeight="1">
      <c r="A1" s="187" t="s">
        <v>14</v>
      </c>
      <c r="B1" s="189" t="s">
        <v>3</v>
      </c>
      <c r="C1" s="189" t="s">
        <v>96</v>
      </c>
      <c r="D1" s="189" t="s">
        <v>97</v>
      </c>
      <c r="E1" s="185" t="s">
        <v>98</v>
      </c>
    </row>
    <row r="2" spans="1:5" s="75" customFormat="1" ht="15.75" customHeight="1">
      <c r="A2" s="188"/>
      <c r="B2" s="190"/>
      <c r="C2" s="190"/>
      <c r="D2" s="190"/>
      <c r="E2" s="186"/>
    </row>
    <row r="3" spans="1:5" ht="16">
      <c r="A3" s="55" t="s">
        <v>85</v>
      </c>
      <c r="B3" s="91" t="s">
        <v>88</v>
      </c>
      <c r="C3" s="69">
        <v>43466</v>
      </c>
      <c r="D3" s="57" t="s">
        <v>68</v>
      </c>
      <c r="E3" s="55"/>
    </row>
    <row r="4" spans="1:5" ht="16">
      <c r="A4" s="55" t="s">
        <v>86</v>
      </c>
      <c r="B4" s="91" t="s">
        <v>89</v>
      </c>
      <c r="C4" s="69">
        <v>43831</v>
      </c>
      <c r="D4" s="57" t="s">
        <v>69</v>
      </c>
      <c r="E4" s="55"/>
    </row>
    <row r="5" spans="1:5" ht="16">
      <c r="A5" s="55" t="s">
        <v>72</v>
      </c>
      <c r="B5" s="91" t="s">
        <v>90</v>
      </c>
      <c r="C5" s="69">
        <v>44197</v>
      </c>
      <c r="D5" s="57" t="s">
        <v>30</v>
      </c>
      <c r="E5" s="162"/>
    </row>
    <row r="6" spans="1:5" ht="16">
      <c r="A6" s="55" t="s">
        <v>73</v>
      </c>
      <c r="B6" s="91" t="s">
        <v>91</v>
      </c>
      <c r="C6" s="69">
        <v>44562</v>
      </c>
      <c r="D6" s="57" t="s">
        <v>70</v>
      </c>
      <c r="E6" s="162"/>
    </row>
    <row r="7" spans="1:5" ht="16">
      <c r="A7" s="55" t="s">
        <v>74</v>
      </c>
      <c r="B7" s="91" t="s">
        <v>92</v>
      </c>
      <c r="C7" s="69">
        <v>45740</v>
      </c>
      <c r="D7" s="57" t="s">
        <v>70</v>
      </c>
      <c r="E7" s="162"/>
    </row>
    <row r="8" spans="1:5" ht="16">
      <c r="A8" s="55" t="s">
        <v>75</v>
      </c>
      <c r="B8" s="91" t="s">
        <v>93</v>
      </c>
      <c r="C8" s="69">
        <v>44927</v>
      </c>
      <c r="D8" s="57" t="s">
        <v>34</v>
      </c>
      <c r="E8" s="162"/>
    </row>
    <row r="9" spans="1:5" ht="16">
      <c r="A9" s="55" t="s">
        <v>76</v>
      </c>
      <c r="B9" s="91" t="s">
        <v>94</v>
      </c>
      <c r="C9" s="69">
        <v>45292</v>
      </c>
      <c r="D9" s="57" t="s">
        <v>34</v>
      </c>
      <c r="E9" s="162"/>
    </row>
    <row r="10" spans="1:5" ht="16">
      <c r="A10" s="55" t="s">
        <v>87</v>
      </c>
      <c r="B10" s="91" t="s">
        <v>95</v>
      </c>
      <c r="C10" s="69">
        <v>45738</v>
      </c>
      <c r="D10" s="57" t="s">
        <v>30</v>
      </c>
      <c r="E10" s="162"/>
    </row>
  </sheetData>
  <autoFilter ref="A2:E4" xr:uid="{21B6961D-2666-4479-B858-99F75A86990E}"/>
  <mergeCells count="5">
    <mergeCell ref="E1:E2"/>
    <mergeCell ref="A1:A2"/>
    <mergeCell ref="B1:B2"/>
    <mergeCell ref="C1:C2"/>
    <mergeCell ref="D1:D2"/>
  </mergeCells>
  <conditionalFormatting sqref="A1">
    <cfRule type="expression" dxfId="106" priority="1327710" stopIfTrue="1">
      <formula>AND(COUNTIF($A$5:$A$65476, A1)+COUNTIF(#REF!, A1)+COUNTIF(#REF!, A1)+COUNTIF($A$1:$A$4, A1)&gt;1,NOT(ISBLANK(A1)))</formula>
    </cfRule>
  </conditionalFormatting>
  <dataValidations count="1">
    <dataValidation allowBlank="1" showErrorMessage="1" sqref="B4:B10" xr:uid="{258D6849-30FF-CA4F-BD86-68B0D6D41BC7}"/>
  </dataValidations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39"/>
  <sheetViews>
    <sheetView view="pageBreakPreview" zoomScale="130" zoomScaleNormal="85" zoomScaleSheetLayoutView="130" workbookViewId="0">
      <pane xSplit="4" ySplit="3" topLeftCell="E4" activePane="bottomRight" state="frozen"/>
      <selection activeCell="C13" sqref="C13"/>
      <selection pane="topRight" activeCell="C13" sqref="C13"/>
      <selection pane="bottomLeft" activeCell="C13" sqref="C13"/>
      <selection pane="bottomRight" activeCell="H18" sqref="H18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29.1640625" customWidth="1"/>
    <col min="5" max="5" width="15" customWidth="1" outlineLevel="1"/>
    <col min="6" max="6" width="15.5" customWidth="1" outlineLevel="1"/>
    <col min="7" max="7" width="22.83203125" style="113" customWidth="1" outlineLevel="1"/>
    <col min="8" max="8" width="21.5" customWidth="1" outlineLevel="1"/>
    <col min="9" max="9" width="12.5" style="112" customWidth="1" outlineLevel="1"/>
    <col min="10" max="11" width="8.5" customWidth="1"/>
    <col min="12" max="12" width="10.83203125" customWidth="1"/>
    <col min="13" max="13" width="11.5" style="114" customWidth="1"/>
    <col min="14" max="14" width="7.1640625" customWidth="1"/>
    <col min="15" max="17" width="12.83203125" style="104" customWidth="1"/>
    <col min="18" max="18" width="12.6640625" customWidth="1"/>
    <col min="19" max="19" width="9.1640625" customWidth="1"/>
    <col min="20" max="20" width="22" customWidth="1"/>
  </cols>
  <sheetData>
    <row r="1" spans="1:18" ht="18.75" customHeight="1">
      <c r="B1" s="198" t="s">
        <v>20</v>
      </c>
      <c r="C1" s="198" t="s">
        <v>14</v>
      </c>
      <c r="D1" s="198" t="s">
        <v>3</v>
      </c>
      <c r="E1" s="198" t="s">
        <v>31</v>
      </c>
      <c r="F1" s="198" t="s">
        <v>19</v>
      </c>
      <c r="G1" s="198" t="s">
        <v>35</v>
      </c>
      <c r="H1" s="198" t="s">
        <v>36</v>
      </c>
      <c r="I1" s="197" t="s">
        <v>27</v>
      </c>
      <c r="J1" s="191" t="s">
        <v>99</v>
      </c>
      <c r="K1" s="191" t="s">
        <v>100</v>
      </c>
      <c r="L1" s="191" t="s">
        <v>46</v>
      </c>
      <c r="M1" s="191" t="s">
        <v>101</v>
      </c>
      <c r="N1" s="194" t="s">
        <v>102</v>
      </c>
      <c r="O1" s="202" t="s">
        <v>103</v>
      </c>
      <c r="P1" s="202" t="s">
        <v>104</v>
      </c>
      <c r="Q1" s="202" t="s">
        <v>105</v>
      </c>
      <c r="R1" s="201" t="s">
        <v>106</v>
      </c>
    </row>
    <row r="2" spans="1:18" ht="45.75" customHeight="1">
      <c r="B2" s="199"/>
      <c r="C2" s="199"/>
      <c r="D2" s="199"/>
      <c r="E2" s="199"/>
      <c r="F2" s="199"/>
      <c r="G2" s="199"/>
      <c r="H2" s="199"/>
      <c r="I2" s="195"/>
      <c r="J2" s="192"/>
      <c r="K2" s="192"/>
      <c r="L2" s="192"/>
      <c r="M2" s="192"/>
      <c r="N2" s="195"/>
      <c r="O2" s="192"/>
      <c r="P2" s="192"/>
      <c r="Q2" s="192"/>
      <c r="R2" s="196"/>
    </row>
    <row r="3" spans="1:18" ht="46.5" customHeight="1">
      <c r="B3" s="200"/>
      <c r="C3" s="200"/>
      <c r="D3" s="200"/>
      <c r="E3" s="200"/>
      <c r="F3" s="200"/>
      <c r="G3" s="200"/>
      <c r="H3" s="200"/>
      <c r="I3" s="196"/>
      <c r="J3" s="193"/>
      <c r="K3" s="193"/>
      <c r="L3" s="193"/>
      <c r="M3" s="193"/>
      <c r="N3" s="196"/>
      <c r="O3" s="193"/>
      <c r="P3" s="193"/>
      <c r="Q3" s="193"/>
    </row>
    <row r="4" spans="1:18" ht="29.25" customHeight="1">
      <c r="A4">
        <v>1</v>
      </c>
      <c r="B4" s="97">
        <f>ROW()-10</f>
        <v>-6</v>
      </c>
      <c r="C4" s="98" t="s">
        <v>85</v>
      </c>
      <c r="D4" s="91" t="s">
        <v>88</v>
      </c>
      <c r="E4" s="86">
        <v>43466</v>
      </c>
      <c r="F4" s="99"/>
      <c r="G4" s="100"/>
      <c r="H4" s="86" t="s">
        <v>58</v>
      </c>
      <c r="I4" s="101"/>
      <c r="J4" s="106">
        <v>4</v>
      </c>
      <c r="K4" s="107">
        <v>0</v>
      </c>
      <c r="L4" s="107">
        <v>1</v>
      </c>
      <c r="M4" s="108">
        <v>25</v>
      </c>
      <c r="N4" s="109"/>
      <c r="O4" s="108">
        <v>25</v>
      </c>
      <c r="P4" s="108">
        <v>0</v>
      </c>
      <c r="Q4" s="102">
        <v>0</v>
      </c>
      <c r="R4" s="110"/>
    </row>
    <row r="5" spans="1:18" ht="29.25" customHeight="1">
      <c r="A5" t="s">
        <v>0</v>
      </c>
      <c r="B5" s="97">
        <f t="shared" ref="B5:B11" si="0">ROW()-10</f>
        <v>-5</v>
      </c>
      <c r="C5" s="98" t="s">
        <v>86</v>
      </c>
      <c r="D5" s="91" t="s">
        <v>89</v>
      </c>
      <c r="E5" s="86">
        <v>43831</v>
      </c>
      <c r="F5" s="99"/>
      <c r="G5" s="100"/>
      <c r="H5" s="86" t="s">
        <v>50</v>
      </c>
      <c r="I5" s="101"/>
      <c r="J5" s="106">
        <v>5</v>
      </c>
      <c r="K5" s="107">
        <v>0</v>
      </c>
      <c r="L5" s="107">
        <v>0</v>
      </c>
      <c r="M5" s="111">
        <v>26</v>
      </c>
      <c r="N5" s="109"/>
      <c r="O5" s="108">
        <v>26</v>
      </c>
      <c r="P5" s="108">
        <v>1</v>
      </c>
      <c r="Q5" s="102">
        <v>0</v>
      </c>
      <c r="R5" s="110"/>
    </row>
    <row r="6" spans="1:18" ht="29.25" customHeight="1">
      <c r="B6" s="158">
        <f t="shared" si="0"/>
        <v>-4</v>
      </c>
      <c r="C6" s="151" t="s">
        <v>72</v>
      </c>
      <c r="D6" s="91" t="s">
        <v>90</v>
      </c>
      <c r="E6" s="136">
        <v>44197</v>
      </c>
      <c r="F6" s="159"/>
      <c r="G6" s="160"/>
      <c r="H6" s="136" t="s">
        <v>48</v>
      </c>
      <c r="I6" s="161"/>
      <c r="J6" s="106">
        <v>4</v>
      </c>
      <c r="K6" s="107">
        <v>1</v>
      </c>
      <c r="L6" s="107">
        <v>1</v>
      </c>
      <c r="M6" s="111">
        <v>24</v>
      </c>
      <c r="N6" s="156"/>
      <c r="O6" s="108">
        <v>24</v>
      </c>
      <c r="P6" s="108">
        <v>0</v>
      </c>
      <c r="Q6" s="102">
        <v>0</v>
      </c>
      <c r="R6" s="157"/>
    </row>
    <row r="7" spans="1:18" ht="29.25" customHeight="1">
      <c r="B7" s="158">
        <f t="shared" si="0"/>
        <v>-3</v>
      </c>
      <c r="C7" s="151" t="s">
        <v>73</v>
      </c>
      <c r="D7" s="91" t="s">
        <v>91</v>
      </c>
      <c r="E7" s="136">
        <v>44562</v>
      </c>
      <c r="F7" s="159"/>
      <c r="G7" s="160"/>
      <c r="H7" s="136" t="s">
        <v>59</v>
      </c>
      <c r="I7" s="161"/>
      <c r="J7" s="106">
        <v>2</v>
      </c>
      <c r="K7" s="107">
        <v>0</v>
      </c>
      <c r="L7" s="107">
        <v>0</v>
      </c>
      <c r="M7" s="111">
        <v>16</v>
      </c>
      <c r="N7" s="156"/>
      <c r="O7" s="108">
        <v>16</v>
      </c>
      <c r="P7" s="108">
        <v>1</v>
      </c>
      <c r="Q7" s="102">
        <v>0</v>
      </c>
      <c r="R7" s="157"/>
    </row>
    <row r="8" spans="1:18" ht="29.25" customHeight="1">
      <c r="B8" s="158">
        <f t="shared" si="0"/>
        <v>-2</v>
      </c>
      <c r="C8" s="151" t="s">
        <v>74</v>
      </c>
      <c r="D8" s="91" t="s">
        <v>92</v>
      </c>
      <c r="E8" s="136">
        <v>45740</v>
      </c>
      <c r="F8" s="159"/>
      <c r="G8" s="160"/>
      <c r="H8" s="136" t="s">
        <v>44</v>
      </c>
      <c r="I8" s="161"/>
      <c r="J8" s="106">
        <v>4</v>
      </c>
      <c r="K8" s="107">
        <v>0</v>
      </c>
      <c r="L8" s="107">
        <v>0.5</v>
      </c>
      <c r="M8" s="111">
        <v>26.5</v>
      </c>
      <c r="N8" s="156"/>
      <c r="O8" s="108">
        <v>26</v>
      </c>
      <c r="P8" s="108">
        <v>1</v>
      </c>
      <c r="Q8" s="102">
        <v>0</v>
      </c>
      <c r="R8" s="157"/>
    </row>
    <row r="9" spans="1:18" ht="29.25" customHeight="1">
      <c r="B9" s="158">
        <f t="shared" si="0"/>
        <v>-1</v>
      </c>
      <c r="C9" s="151" t="s">
        <v>75</v>
      </c>
      <c r="D9" s="91" t="s">
        <v>93</v>
      </c>
      <c r="E9" s="136">
        <v>44927</v>
      </c>
      <c r="F9" s="159"/>
      <c r="G9" s="160"/>
      <c r="H9" s="136" t="s">
        <v>60</v>
      </c>
      <c r="I9" s="161"/>
      <c r="J9" s="106">
        <v>5</v>
      </c>
      <c r="K9" s="107">
        <v>0</v>
      </c>
      <c r="L9" s="107">
        <v>0</v>
      </c>
      <c r="M9" s="111">
        <v>26</v>
      </c>
      <c r="N9" s="156"/>
      <c r="O9" s="108">
        <v>26</v>
      </c>
      <c r="P9" s="108">
        <v>1</v>
      </c>
      <c r="Q9" s="102">
        <v>0</v>
      </c>
      <c r="R9" s="157"/>
    </row>
    <row r="10" spans="1:18" ht="29.25" customHeight="1">
      <c r="B10" s="158">
        <f t="shared" si="0"/>
        <v>0</v>
      </c>
      <c r="C10" s="151" t="s">
        <v>76</v>
      </c>
      <c r="D10" s="91" t="s">
        <v>94</v>
      </c>
      <c r="E10" s="136">
        <v>45292</v>
      </c>
      <c r="F10" s="159"/>
      <c r="G10" s="160"/>
      <c r="H10" s="136" t="s">
        <v>39</v>
      </c>
      <c r="I10" s="56"/>
      <c r="J10" s="106">
        <v>4</v>
      </c>
      <c r="K10" s="107">
        <v>1</v>
      </c>
      <c r="L10" s="107">
        <v>2</v>
      </c>
      <c r="M10" s="111">
        <v>24</v>
      </c>
      <c r="N10" s="156"/>
      <c r="O10" s="108">
        <v>24</v>
      </c>
      <c r="P10" s="108">
        <v>0</v>
      </c>
      <c r="Q10" s="102">
        <v>0</v>
      </c>
      <c r="R10" s="157"/>
    </row>
    <row r="11" spans="1:18" ht="29.25" customHeight="1">
      <c r="B11" s="158">
        <f t="shared" si="0"/>
        <v>1</v>
      </c>
      <c r="C11" s="151" t="s">
        <v>87</v>
      </c>
      <c r="D11" s="91" t="s">
        <v>95</v>
      </c>
      <c r="E11" s="136">
        <v>45738</v>
      </c>
      <c r="F11" s="159"/>
      <c r="G11" s="160"/>
      <c r="H11" s="136" t="s">
        <v>45</v>
      </c>
      <c r="I11" s="161"/>
      <c r="J11" s="106">
        <v>4</v>
      </c>
      <c r="K11" s="107">
        <v>0</v>
      </c>
      <c r="L11" s="107">
        <v>0</v>
      </c>
      <c r="M11" s="111">
        <v>27</v>
      </c>
      <c r="N11" s="156"/>
      <c r="O11" s="108">
        <v>26</v>
      </c>
      <c r="P11" s="108">
        <v>1</v>
      </c>
      <c r="Q11" s="102">
        <v>0</v>
      </c>
      <c r="R11" s="157"/>
    </row>
    <row r="12" spans="1:18" ht="29.25" customHeight="1">
      <c r="B12" s="150"/>
      <c r="C12" s="151"/>
      <c r="D12" s="105"/>
      <c r="E12" s="152"/>
      <c r="F12" s="153"/>
      <c r="G12" s="154"/>
      <c r="H12" s="152"/>
      <c r="I12" s="155"/>
      <c r="J12" s="106"/>
      <c r="K12" s="107"/>
      <c r="L12" s="107"/>
      <c r="M12" s="111"/>
      <c r="N12" s="156"/>
      <c r="O12" s="108"/>
      <c r="P12" s="108"/>
      <c r="Q12" s="102"/>
      <c r="R12" s="157"/>
    </row>
    <row r="13" spans="1:18" ht="29.25" customHeight="1">
      <c r="B13" s="150"/>
      <c r="C13" s="151"/>
      <c r="D13" s="105"/>
      <c r="E13" s="152"/>
      <c r="F13" s="153"/>
      <c r="G13" s="154"/>
      <c r="H13" s="152"/>
      <c r="I13" s="155"/>
      <c r="J13" s="106"/>
      <c r="K13" s="107"/>
      <c r="L13" s="107"/>
      <c r="M13" s="111"/>
      <c r="N13" s="156"/>
      <c r="O13" s="108"/>
      <c r="P13" s="108"/>
      <c r="Q13" s="102"/>
      <c r="R13" s="157"/>
    </row>
    <row r="14" spans="1:18" ht="29.25" customHeight="1">
      <c r="B14" s="150"/>
      <c r="C14" s="151"/>
      <c r="D14" s="105"/>
      <c r="E14" s="152"/>
      <c r="F14" s="153"/>
      <c r="G14" s="154"/>
      <c r="H14" s="152"/>
      <c r="I14" s="155"/>
      <c r="J14" s="106"/>
      <c r="K14" s="107"/>
      <c r="L14" s="107"/>
      <c r="M14" s="111"/>
      <c r="N14" s="156"/>
      <c r="O14" s="108"/>
      <c r="P14" s="108"/>
      <c r="Q14" s="102"/>
      <c r="R14" s="157"/>
    </row>
    <row r="15" spans="1:18" ht="29.25" customHeight="1">
      <c r="B15" s="150"/>
      <c r="C15" s="151"/>
      <c r="D15" s="105"/>
      <c r="E15" s="152"/>
      <c r="F15" s="153"/>
      <c r="G15" s="154"/>
      <c r="H15" s="152"/>
      <c r="I15" s="155"/>
      <c r="J15" s="106"/>
      <c r="K15" s="107"/>
      <c r="L15" s="107"/>
      <c r="M15" s="111"/>
      <c r="N15" s="156"/>
      <c r="O15" s="108"/>
      <c r="P15" s="108"/>
      <c r="Q15" s="102"/>
      <c r="R15" s="157"/>
    </row>
    <row r="16" spans="1:18" ht="29.25" customHeight="1">
      <c r="B16" s="150"/>
      <c r="C16" s="151"/>
      <c r="D16" s="105"/>
      <c r="E16" s="152"/>
      <c r="F16" s="153"/>
      <c r="G16" s="154"/>
      <c r="H16" s="152"/>
      <c r="I16" s="155"/>
      <c r="J16" s="106"/>
      <c r="K16" s="107"/>
      <c r="L16" s="107"/>
      <c r="M16" s="111"/>
      <c r="N16" s="156"/>
      <c r="O16" s="108"/>
      <c r="P16" s="108"/>
      <c r="Q16" s="102"/>
      <c r="R16" s="157"/>
    </row>
    <row r="17" spans="2:18" ht="29.25" customHeight="1">
      <c r="B17" s="150"/>
      <c r="C17" s="151"/>
      <c r="E17" s="152"/>
      <c r="F17" s="153"/>
      <c r="G17" s="154"/>
      <c r="H17" s="105"/>
      <c r="I17" s="155"/>
      <c r="J17" s="106"/>
      <c r="K17" s="107"/>
      <c r="L17" s="107"/>
      <c r="M17" s="111"/>
      <c r="N17" s="156"/>
      <c r="O17" s="108"/>
      <c r="P17" s="108"/>
      <c r="Q17" s="102"/>
      <c r="R17" s="157"/>
    </row>
    <row r="18" spans="2:18" ht="29.25" customHeight="1">
      <c r="B18" s="150"/>
      <c r="C18" s="151"/>
      <c r="D18" s="105"/>
      <c r="E18" s="152"/>
      <c r="F18" s="153"/>
      <c r="G18" s="154"/>
      <c r="H18" s="152"/>
      <c r="I18" s="155"/>
      <c r="J18" s="106"/>
      <c r="K18" s="107"/>
      <c r="L18" s="107"/>
      <c r="M18" s="111"/>
      <c r="N18" s="156"/>
      <c r="O18" s="108"/>
      <c r="P18" s="108"/>
      <c r="Q18" s="102"/>
      <c r="R18" s="157"/>
    </row>
    <row r="19" spans="2:18" ht="29.25" customHeight="1">
      <c r="B19" s="150"/>
      <c r="C19" s="151"/>
      <c r="D19" s="105"/>
      <c r="E19" s="152"/>
      <c r="F19" s="153"/>
      <c r="G19" s="154"/>
      <c r="H19" s="152"/>
      <c r="I19" s="155"/>
      <c r="J19" s="106"/>
      <c r="K19" s="107"/>
      <c r="L19" s="107"/>
      <c r="M19" s="111"/>
      <c r="N19" s="156"/>
      <c r="O19" s="108"/>
      <c r="P19" s="108"/>
      <c r="Q19" s="102"/>
      <c r="R19" s="157"/>
    </row>
    <row r="20" spans="2:18" ht="29.25" customHeight="1">
      <c r="B20" s="150"/>
      <c r="C20" s="151"/>
      <c r="D20" s="105"/>
      <c r="E20" s="152"/>
      <c r="F20" s="153"/>
      <c r="G20" s="154"/>
      <c r="H20" s="152"/>
      <c r="I20" s="155"/>
      <c r="J20" s="106"/>
      <c r="K20" s="107"/>
      <c r="L20" s="107"/>
      <c r="M20" s="111"/>
      <c r="N20" s="156"/>
      <c r="O20" s="108"/>
      <c r="P20" s="108"/>
      <c r="Q20" s="102"/>
      <c r="R20" s="157"/>
    </row>
    <row r="21" spans="2:18" ht="29.25" customHeight="1">
      <c r="B21" s="150"/>
      <c r="C21" s="151"/>
      <c r="D21" s="105"/>
      <c r="E21" s="152"/>
      <c r="F21" s="153"/>
      <c r="G21" s="154"/>
      <c r="H21" s="152"/>
      <c r="I21" s="155"/>
      <c r="J21" s="106"/>
      <c r="K21" s="107"/>
      <c r="L21" s="107"/>
      <c r="M21" s="111"/>
      <c r="N21" s="156"/>
      <c r="O21" s="108"/>
      <c r="P21" s="108"/>
      <c r="Q21" s="102"/>
      <c r="R21" s="157"/>
    </row>
    <row r="22" spans="2:18" ht="29.25" customHeight="1">
      <c r="B22" s="150"/>
      <c r="C22" s="151"/>
      <c r="D22" s="105"/>
      <c r="E22" s="152"/>
      <c r="F22" s="153"/>
      <c r="G22" s="154"/>
      <c r="H22" s="152"/>
      <c r="I22" s="155"/>
      <c r="J22" s="106"/>
      <c r="K22" s="107"/>
      <c r="L22" s="107"/>
      <c r="M22" s="111"/>
      <c r="N22" s="156"/>
      <c r="O22" s="108"/>
      <c r="P22" s="108"/>
      <c r="Q22" s="102"/>
      <c r="R22" s="157"/>
    </row>
    <row r="23" spans="2:18" ht="29.25" customHeight="1">
      <c r="B23" s="150"/>
      <c r="C23" s="151"/>
      <c r="D23" s="105"/>
      <c r="E23" s="152"/>
      <c r="F23" s="153"/>
      <c r="G23" s="154"/>
      <c r="H23" s="152"/>
      <c r="I23" s="155"/>
      <c r="J23" s="106"/>
      <c r="K23" s="107"/>
      <c r="L23" s="107"/>
      <c r="M23" s="111"/>
      <c r="N23" s="156"/>
      <c r="O23" s="108"/>
      <c r="P23" s="108"/>
      <c r="Q23" s="102"/>
      <c r="R23" s="157"/>
    </row>
    <row r="24" spans="2:18" ht="29.25" customHeight="1">
      <c r="B24" s="150"/>
      <c r="C24" s="151"/>
      <c r="D24" s="105"/>
      <c r="E24" s="152"/>
      <c r="F24" s="153"/>
      <c r="G24" s="154"/>
      <c r="H24" s="152"/>
      <c r="I24" s="155"/>
      <c r="J24" s="106"/>
      <c r="K24" s="107"/>
      <c r="L24" s="107"/>
      <c r="M24" s="111"/>
      <c r="N24" s="156"/>
      <c r="O24" s="108"/>
      <c r="P24" s="108"/>
      <c r="Q24" s="102"/>
      <c r="R24" s="157"/>
    </row>
    <row r="25" spans="2:18" ht="29.25" customHeight="1">
      <c r="B25" s="150"/>
      <c r="C25" s="151"/>
      <c r="D25" s="105"/>
      <c r="E25" s="152"/>
      <c r="F25" s="153"/>
      <c r="G25" s="154"/>
      <c r="H25" s="152"/>
      <c r="I25" s="155"/>
      <c r="J25" s="106"/>
      <c r="K25" s="107"/>
      <c r="L25" s="107"/>
      <c r="M25" s="111"/>
      <c r="N25" s="156"/>
      <c r="O25" s="108"/>
      <c r="P25" s="108"/>
      <c r="Q25" s="102"/>
      <c r="R25" s="157"/>
    </row>
    <row r="26" spans="2:18" ht="29.25" customHeight="1">
      <c r="B26" s="150"/>
      <c r="C26" s="151"/>
      <c r="D26" s="105"/>
      <c r="E26" s="152"/>
      <c r="F26" s="153"/>
      <c r="G26" s="154"/>
      <c r="H26" s="152"/>
      <c r="I26" s="155"/>
      <c r="J26" s="106"/>
      <c r="K26" s="107"/>
      <c r="L26" s="107"/>
      <c r="M26" s="111"/>
      <c r="N26" s="156"/>
      <c r="O26" s="108"/>
      <c r="P26" s="108"/>
      <c r="Q26" s="102"/>
      <c r="R26" s="157"/>
    </row>
    <row r="27" spans="2:18" ht="29.25" customHeight="1">
      <c r="B27" s="150"/>
      <c r="C27" s="151"/>
      <c r="D27" s="105"/>
      <c r="E27" s="152"/>
      <c r="F27" s="153"/>
      <c r="G27" s="154"/>
      <c r="H27" s="152"/>
      <c r="I27" s="155"/>
      <c r="J27" s="106"/>
      <c r="K27" s="107"/>
      <c r="L27" s="107"/>
      <c r="M27" s="111"/>
      <c r="N27" s="156"/>
      <c r="O27" s="108"/>
      <c r="P27" s="108"/>
      <c r="Q27" s="102"/>
      <c r="R27" s="157"/>
    </row>
    <row r="28" spans="2:18" ht="29.25" customHeight="1">
      <c r="B28" s="97"/>
      <c r="C28" s="98"/>
      <c r="D28" s="105"/>
      <c r="E28" s="86"/>
      <c r="F28" s="99"/>
      <c r="G28" s="100"/>
      <c r="H28" s="86"/>
      <c r="I28" s="101"/>
      <c r="J28" s="106"/>
      <c r="K28" s="107"/>
      <c r="L28" s="107"/>
      <c r="M28" s="111"/>
      <c r="N28" s="109"/>
      <c r="O28" s="108"/>
      <c r="P28" s="108"/>
      <c r="Q28" s="102"/>
      <c r="R28" s="110"/>
    </row>
    <row r="29" spans="2:18" ht="29.25" customHeight="1">
      <c r="B29" s="137"/>
      <c r="C29" s="138"/>
      <c r="D29" s="139"/>
      <c r="E29" s="140"/>
      <c r="F29" s="141"/>
      <c r="G29" s="142"/>
      <c r="H29" s="140"/>
      <c r="I29" s="143"/>
      <c r="J29" s="144"/>
      <c r="K29" s="144"/>
      <c r="L29" s="144"/>
      <c r="M29" s="145"/>
      <c r="N29" s="146"/>
      <c r="O29" s="147"/>
      <c r="P29" s="147"/>
      <c r="Q29" s="148"/>
      <c r="R29" s="149"/>
    </row>
    <row r="31" spans="2:18">
      <c r="C31" s="103"/>
      <c r="H31" s="115"/>
      <c r="I31" s="116"/>
    </row>
    <row r="32" spans="2:18" ht="18" customHeight="1">
      <c r="H32" s="115"/>
      <c r="I32" s="116"/>
    </row>
    <row r="33" spans="8:9" ht="17.25" customHeight="1">
      <c r="H33" s="115"/>
      <c r="I33" s="116"/>
    </row>
    <row r="34" spans="8:9" ht="38.25" customHeight="1">
      <c r="H34" s="115"/>
      <c r="I34" s="116"/>
    </row>
    <row r="35" spans="8:9">
      <c r="H35" s="115"/>
      <c r="I35" s="116"/>
    </row>
    <row r="36" spans="8:9">
      <c r="H36" s="115"/>
      <c r="I36" s="116"/>
    </row>
    <row r="37" spans="8:9">
      <c r="H37" s="117"/>
      <c r="I37" s="116"/>
    </row>
    <row r="38" spans="8:9">
      <c r="H38" s="118"/>
      <c r="I38" s="116"/>
    </row>
    <row r="39" spans="8:9">
      <c r="H39" s="118"/>
      <c r="I39" s="116"/>
    </row>
  </sheetData>
  <autoFilter ref="A3:R28" xr:uid="{00000000-0009-0000-0000-00000D000000}"/>
  <mergeCells count="17">
    <mergeCell ref="R1:R2"/>
    <mergeCell ref="L1:L3"/>
    <mergeCell ref="M1:M3"/>
    <mergeCell ref="O1:O3"/>
    <mergeCell ref="P1:P3"/>
    <mergeCell ref="Q1:Q3"/>
    <mergeCell ref="J1:J3"/>
    <mergeCell ref="K1:K3"/>
    <mergeCell ref="N1:N3"/>
    <mergeCell ref="I1:I3"/>
    <mergeCell ref="B1:B3"/>
    <mergeCell ref="C1:C3"/>
    <mergeCell ref="D1:D3"/>
    <mergeCell ref="E1:E3"/>
    <mergeCell ref="F1:F3"/>
    <mergeCell ref="G1:G3"/>
    <mergeCell ref="H1:H3"/>
  </mergeCells>
  <phoneticPr fontId="290" type="noConversion"/>
  <conditionalFormatting sqref="C4:C5 C12:C1048576">
    <cfRule type="duplicateValues" dxfId="105" priority="1327310"/>
    <cfRule type="duplicateValues" dxfId="104" priority="1327303"/>
    <cfRule type="duplicateValues" dxfId="103" priority="1327302"/>
    <cfRule type="duplicateValues" dxfId="102" priority="575623"/>
    <cfRule type="duplicateValues" dxfId="101" priority="575613"/>
    <cfRule type="duplicateValues" dxfId="100" priority="575606"/>
    <cfRule type="duplicateValues" dxfId="99" priority="575599"/>
    <cfRule type="duplicateValues" dxfId="98" priority="575591"/>
    <cfRule type="duplicateValues" dxfId="97" priority="249610"/>
    <cfRule type="duplicateValues" dxfId="96" priority="19691"/>
  </conditionalFormatting>
  <conditionalFormatting sqref="C6:C11">
    <cfRule type="duplicateValues" dxfId="95" priority="20"/>
    <cfRule type="duplicateValues" dxfId="94" priority="19"/>
    <cfRule type="duplicateValues" dxfId="93" priority="24"/>
    <cfRule type="duplicateValues" dxfId="92" priority="23"/>
    <cfRule type="duplicateValues" dxfId="91" priority="15"/>
    <cfRule type="duplicateValues" dxfId="90" priority="16"/>
    <cfRule type="duplicateValues" dxfId="89" priority="17"/>
    <cfRule type="duplicateValues" dxfId="88" priority="18"/>
    <cfRule type="duplicateValues" dxfId="87" priority="25"/>
    <cfRule type="duplicateValues" dxfId="86" priority="22"/>
    <cfRule type="duplicateValues" dxfId="85" priority="21"/>
  </conditionalFormatting>
  <conditionalFormatting sqref="C31">
    <cfRule type="duplicateValues" dxfId="84" priority="49142"/>
    <cfRule type="duplicateValues" dxfId="83" priority="49143"/>
  </conditionalFormatting>
  <conditionalFormatting sqref="C44:C1048576 C4:C5 C12:C30">
    <cfRule type="duplicateValues" dxfId="82" priority="575633"/>
  </conditionalFormatting>
  <conditionalFormatting sqref="C44:C1048576">
    <cfRule type="duplicateValues" dxfId="81" priority="575631"/>
  </conditionalFormatting>
  <conditionalFormatting sqref="I10">
    <cfRule type="expression" dxfId="80" priority="10">
      <formula>I10="FP"</formula>
    </cfRule>
    <cfRule type="expression" dxfId="79" priority="11">
      <formula>I10="1/2UP"</formula>
    </cfRule>
    <cfRule type="expression" dxfId="78" priority="14">
      <formula>XDU1047220="1/2UP"</formula>
    </cfRule>
    <cfRule type="expression" dxfId="77" priority="9">
      <formula>I10="CL"</formula>
    </cfRule>
    <cfRule type="expression" dxfId="76" priority="8">
      <formula>I10="NOT"</formula>
    </cfRule>
    <cfRule type="expression" dxfId="75" priority="7">
      <formula>I10="SL1"</formula>
    </cfRule>
    <cfRule type="expression" dxfId="74" priority="6">
      <formula>I10="ML"</formula>
    </cfRule>
    <cfRule type="expression" dxfId="73" priority="5">
      <formula>I10="CC"</formula>
    </cfRule>
    <cfRule type="expression" dxfId="72" priority="4">
      <formula>I10="OFF"</formula>
    </cfRule>
    <cfRule type="expression" dxfId="71" priority="13">
      <formula>XDU1047220="1/2CL"</formula>
    </cfRule>
    <cfRule type="expression" dxfId="70" priority="12">
      <formula>XDU1047220="LS"</formula>
    </cfRule>
    <cfRule type="expression" dxfId="69" priority="3">
      <formula>I10="1/2AL"</formula>
    </cfRule>
    <cfRule type="expression" dxfId="68" priority="2">
      <formula>I10="UP"</formula>
    </cfRule>
    <cfRule type="expression" dxfId="67" priority="1">
      <formula>I10="AL"</formula>
    </cfRule>
  </conditionalFormatting>
  <dataValidations count="1">
    <dataValidation allowBlank="1" showErrorMessage="1" sqref="D5:D11" xr:uid="{C21EDF66-501C-4548-B04B-CB30DD5F1388}"/>
  </dataValidations>
  <pageMargins left="0.25" right="0" top="0.5" bottom="0.5" header="0.3" footer="0.2"/>
  <pageSetup paperSize="9" scale="54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0"/>
  <sheetViews>
    <sheetView view="pageBreakPreview" zoomScaleNormal="66" zoomScaleSheetLayoutView="100" workbookViewId="0">
      <pane xSplit="5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F47" sqref="F47"/>
    </sheetView>
  </sheetViews>
  <sheetFormatPr baseColWidth="10" defaultColWidth="13.5" defaultRowHeight="14" outlineLevelCol="1"/>
  <cols>
    <col min="1" max="1" width="11.5" style="119" hidden="1" customWidth="1"/>
    <col min="2" max="2" width="17" style="7" customWidth="1"/>
    <col min="3" max="3" width="18.5" style="8" customWidth="1"/>
    <col min="4" max="4" width="17.33203125" style="8" customWidth="1"/>
    <col min="5" max="6" width="13.6640625" style="8" customWidth="1"/>
    <col min="7" max="7" width="11.33203125" style="9" customWidth="1"/>
    <col min="8" max="8" width="8.6640625" style="8" customWidth="1"/>
    <col min="9" max="9" width="16.5" style="8" customWidth="1"/>
    <col min="10" max="12" width="11.6640625" style="8" customWidth="1" outlineLevel="1"/>
    <col min="13" max="13" width="17.6640625" style="8" customWidth="1" outlineLevel="1"/>
    <col min="14" max="14" width="11.6640625" style="8" customWidth="1" outlineLevel="1"/>
    <col min="15" max="15" width="14.83203125" style="8" customWidth="1" outlineLevel="1"/>
    <col min="16" max="16" width="15.5" style="8" customWidth="1"/>
    <col min="17" max="16384" width="13.5" style="8"/>
  </cols>
  <sheetData>
    <row r="1" spans="1:16" s="119" customFormat="1" ht="21.75" customHeight="1">
      <c r="A1" s="209" t="s">
        <v>4</v>
      </c>
      <c r="B1" s="203" t="s">
        <v>14</v>
      </c>
      <c r="C1" s="209" t="s">
        <v>3</v>
      </c>
      <c r="D1" s="209" t="s">
        <v>26</v>
      </c>
      <c r="E1" s="209" t="s">
        <v>31</v>
      </c>
      <c r="F1" s="212" t="s">
        <v>125</v>
      </c>
      <c r="G1" s="203" t="s">
        <v>21</v>
      </c>
      <c r="H1" s="206" t="s">
        <v>22</v>
      </c>
      <c r="I1" s="203" t="s">
        <v>110</v>
      </c>
      <c r="J1" s="210" t="s">
        <v>111</v>
      </c>
      <c r="K1" s="206" t="s">
        <v>112</v>
      </c>
      <c r="L1" s="206" t="s">
        <v>17</v>
      </c>
      <c r="M1" s="206" t="s">
        <v>23</v>
      </c>
      <c r="N1" s="206" t="s">
        <v>24</v>
      </c>
      <c r="O1" s="206" t="s">
        <v>25</v>
      </c>
      <c r="P1" s="203" t="s">
        <v>113</v>
      </c>
    </row>
    <row r="2" spans="1:16" s="7" customFormat="1" ht="33.75" customHeight="1">
      <c r="A2" s="205"/>
      <c r="B2" s="204"/>
      <c r="C2" s="204"/>
      <c r="D2" s="204"/>
      <c r="E2" s="204"/>
      <c r="F2" s="213"/>
      <c r="G2" s="204"/>
      <c r="H2" s="207"/>
      <c r="I2" s="204"/>
      <c r="J2" s="210"/>
      <c r="K2" s="207"/>
      <c r="L2" s="207"/>
      <c r="M2" s="207"/>
      <c r="N2" s="207"/>
      <c r="O2" s="207"/>
      <c r="P2" s="204"/>
    </row>
    <row r="3" spans="1:16" s="7" customFormat="1" ht="27" customHeight="1">
      <c r="A3" s="76"/>
      <c r="B3" s="205"/>
      <c r="C3" s="205"/>
      <c r="D3" s="205"/>
      <c r="E3" s="205"/>
      <c r="F3" s="214"/>
      <c r="G3" s="205"/>
      <c r="H3" s="208"/>
      <c r="I3" s="205"/>
      <c r="J3" s="211"/>
      <c r="K3" s="208"/>
      <c r="L3" s="208"/>
      <c r="M3" s="208"/>
      <c r="N3" s="208"/>
      <c r="O3" s="208"/>
      <c r="P3" s="205"/>
    </row>
    <row r="4" spans="1:16" s="6" customFormat="1" ht="23.25" customHeight="1">
      <c r="A4" s="33"/>
      <c r="B4" s="120" t="s">
        <v>74</v>
      </c>
      <c r="C4" s="91" t="s">
        <v>92</v>
      </c>
      <c r="D4" s="49"/>
      <c r="E4" s="49">
        <v>45740</v>
      </c>
      <c r="F4" s="36">
        <v>2</v>
      </c>
      <c r="G4" s="36">
        <v>0</v>
      </c>
      <c r="H4" s="36"/>
      <c r="I4" s="36">
        <v>0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/>
      <c r="P4" s="36"/>
    </row>
    <row r="5" spans="1:16" s="6" customFormat="1" ht="23.25" customHeight="1">
      <c r="A5" s="47"/>
      <c r="B5" s="120" t="s">
        <v>87</v>
      </c>
      <c r="C5" s="91" t="s">
        <v>95</v>
      </c>
      <c r="D5" s="121"/>
      <c r="E5" s="50">
        <v>45738</v>
      </c>
      <c r="F5" s="36">
        <v>4</v>
      </c>
      <c r="G5" s="36">
        <v>0</v>
      </c>
      <c r="H5" s="36"/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/>
      <c r="P5" s="36"/>
    </row>
    <row r="6" spans="1:16" s="122" customFormat="1" ht="13">
      <c r="G6" s="11"/>
      <c r="H6" s="11"/>
      <c r="I6" s="11"/>
      <c r="J6" s="123"/>
      <c r="N6" s="124"/>
    </row>
    <row r="30" spans="2:2">
      <c r="B30" s="8"/>
    </row>
  </sheetData>
  <autoFilter ref="A3:P5" xr:uid="{00000000-0009-0000-0000-00000E000000}"/>
  <mergeCells count="16">
    <mergeCell ref="P1:P3"/>
    <mergeCell ref="O1:O3"/>
    <mergeCell ref="E1:E3"/>
    <mergeCell ref="A1:A2"/>
    <mergeCell ref="B1:B3"/>
    <mergeCell ref="C1:C3"/>
    <mergeCell ref="D1:D3"/>
    <mergeCell ref="I1:I3"/>
    <mergeCell ref="G1:G3"/>
    <mergeCell ref="H1:H3"/>
    <mergeCell ref="J1:J3"/>
    <mergeCell ref="K1:K3"/>
    <mergeCell ref="L1:L3"/>
    <mergeCell ref="M1:M3"/>
    <mergeCell ref="N1:N3"/>
    <mergeCell ref="F1:F3"/>
  </mergeCells>
  <conditionalFormatting sqref="B1:B3">
    <cfRule type="duplicateValues" dxfId="66" priority="1"/>
  </conditionalFormatting>
  <conditionalFormatting sqref="B4:B5">
    <cfRule type="duplicateValues" dxfId="65" priority="1327786"/>
    <cfRule type="duplicateValues" dxfId="64" priority="1327785"/>
    <cfRule type="duplicateValues" dxfId="63" priority="1327784"/>
  </conditionalFormatting>
  <conditionalFormatting sqref="B6">
    <cfRule type="duplicateValues" dxfId="62" priority="1327776"/>
    <cfRule type="duplicateValues" dxfId="61" priority="1327778"/>
    <cfRule type="duplicateValues" dxfId="60" priority="1327775"/>
    <cfRule type="duplicateValues" dxfId="59" priority="1327774"/>
    <cfRule type="duplicateValues" dxfId="58" priority="1327777"/>
  </conditionalFormatting>
  <conditionalFormatting sqref="B7:B29 B31:B1048576">
    <cfRule type="duplicateValues" dxfId="57" priority="1327639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H10"/>
  <sheetViews>
    <sheetView workbookViewId="0">
      <selection activeCell="G56" sqref="G56"/>
    </sheetView>
  </sheetViews>
  <sheetFormatPr baseColWidth="10" defaultRowHeight="13"/>
  <sheetData>
    <row r="1" spans="1:8">
      <c r="A1" s="218" t="s">
        <v>14</v>
      </c>
      <c r="B1" s="215" t="s">
        <v>31</v>
      </c>
      <c r="C1" s="216" t="s">
        <v>114</v>
      </c>
      <c r="D1" s="216" t="s">
        <v>115</v>
      </c>
      <c r="E1" s="216" t="s">
        <v>116</v>
      </c>
      <c r="F1" s="216" t="s">
        <v>117</v>
      </c>
      <c r="G1" s="216" t="s">
        <v>118</v>
      </c>
      <c r="H1" s="216" t="s">
        <v>119</v>
      </c>
    </row>
    <row r="2" spans="1:8">
      <c r="A2" s="219"/>
      <c r="B2" s="215"/>
      <c r="C2" s="217"/>
      <c r="D2" s="217">
        <v>2.15</v>
      </c>
      <c r="E2" s="217">
        <v>2</v>
      </c>
      <c r="F2" s="217">
        <v>2.8</v>
      </c>
      <c r="G2" s="217">
        <v>3</v>
      </c>
      <c r="H2" s="217">
        <v>4.0999999999999996</v>
      </c>
    </row>
    <row r="3" spans="1:8" ht="14">
      <c r="A3" s="169" t="s">
        <v>85</v>
      </c>
      <c r="B3" s="170">
        <v>43466</v>
      </c>
      <c r="C3" s="135">
        <v>0</v>
      </c>
      <c r="D3" s="171">
        <v>0</v>
      </c>
      <c r="E3" s="171">
        <v>0</v>
      </c>
      <c r="F3" s="171">
        <v>0</v>
      </c>
      <c r="G3" s="171"/>
      <c r="H3" s="171"/>
    </row>
    <row r="4" spans="1:8" ht="14">
      <c r="A4" s="172" t="s">
        <v>86</v>
      </c>
      <c r="B4" s="173">
        <v>43831</v>
      </c>
      <c r="C4" s="168">
        <v>0</v>
      </c>
      <c r="D4" s="168">
        <v>6</v>
      </c>
      <c r="E4" s="168">
        <v>0</v>
      </c>
      <c r="F4" s="168">
        <v>0</v>
      </c>
      <c r="G4" s="168">
        <v>6</v>
      </c>
      <c r="H4" s="168">
        <v>2</v>
      </c>
    </row>
    <row r="5" spans="1:8" ht="14">
      <c r="A5" s="172" t="s">
        <v>72</v>
      </c>
      <c r="B5" s="173">
        <v>44197</v>
      </c>
      <c r="C5" s="168">
        <v>0.5</v>
      </c>
      <c r="D5" s="168">
        <v>2.5</v>
      </c>
      <c r="E5" s="168">
        <v>0</v>
      </c>
      <c r="F5" s="168">
        <v>0</v>
      </c>
      <c r="G5" s="168">
        <v>0</v>
      </c>
      <c r="H5" s="168">
        <v>0</v>
      </c>
    </row>
    <row r="6" spans="1:8" ht="14">
      <c r="A6" s="172" t="s">
        <v>73</v>
      </c>
      <c r="B6" s="173">
        <v>44562</v>
      </c>
      <c r="C6" s="168">
        <v>0</v>
      </c>
      <c r="D6" s="168">
        <v>0</v>
      </c>
      <c r="E6" s="168">
        <v>0</v>
      </c>
      <c r="F6" s="168">
        <v>0</v>
      </c>
      <c r="G6" s="168">
        <v>7</v>
      </c>
      <c r="H6" s="168">
        <v>1</v>
      </c>
    </row>
    <row r="7" spans="1:8" ht="14">
      <c r="A7" s="172" t="s">
        <v>74</v>
      </c>
      <c r="B7" s="173">
        <v>45740</v>
      </c>
      <c r="C7" s="168">
        <v>0</v>
      </c>
      <c r="D7" s="168">
        <v>0</v>
      </c>
      <c r="E7" s="168">
        <v>0</v>
      </c>
      <c r="F7" s="168">
        <v>0</v>
      </c>
      <c r="G7" s="168">
        <v>8</v>
      </c>
      <c r="H7" s="168">
        <v>0</v>
      </c>
    </row>
    <row r="8" spans="1:8" ht="14">
      <c r="A8" s="172" t="s">
        <v>75</v>
      </c>
      <c r="B8" s="173">
        <v>44927</v>
      </c>
      <c r="C8" s="168">
        <v>1</v>
      </c>
      <c r="D8" s="168">
        <v>9</v>
      </c>
      <c r="E8" s="168">
        <v>0</v>
      </c>
      <c r="F8" s="168">
        <v>0</v>
      </c>
      <c r="G8" s="168">
        <v>6</v>
      </c>
      <c r="H8" s="168">
        <v>2</v>
      </c>
    </row>
    <row r="9" spans="1:8" ht="14">
      <c r="A9" s="172" t="s">
        <v>76</v>
      </c>
      <c r="B9" s="173">
        <v>45292</v>
      </c>
      <c r="C9" s="168">
        <v>0</v>
      </c>
      <c r="D9" s="168">
        <v>0</v>
      </c>
      <c r="E9" s="168">
        <v>0</v>
      </c>
      <c r="F9" s="168">
        <v>0</v>
      </c>
      <c r="G9" s="168">
        <v>0</v>
      </c>
      <c r="H9" s="168">
        <v>0</v>
      </c>
    </row>
    <row r="10" spans="1:8" ht="14">
      <c r="A10" s="172" t="s">
        <v>87</v>
      </c>
      <c r="B10" s="173">
        <v>45738</v>
      </c>
      <c r="C10" s="168">
        <v>1</v>
      </c>
      <c r="D10" s="168">
        <v>9</v>
      </c>
      <c r="E10" s="168">
        <v>0</v>
      </c>
      <c r="F10" s="168">
        <v>0</v>
      </c>
      <c r="G10" s="168">
        <v>6</v>
      </c>
      <c r="H10" s="168">
        <v>2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A1 A3">
    <cfRule type="duplicateValues" dxfId="56" priority="2"/>
  </conditionalFormatting>
  <conditionalFormatting sqref="A4:A10">
    <cfRule type="duplicateValues" dxfId="55" priority="1"/>
  </conditionalFormatting>
  <dataValidations count="1">
    <dataValidation allowBlank="1" showErrorMessage="1" sqref="A1" xr:uid="{C03A75CA-8AF9-5A4B-933B-7ACFBEDC93E2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D9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H56" sqref="H56"/>
    </sheetView>
  </sheetViews>
  <sheetFormatPr baseColWidth="10" defaultColWidth="9" defaultRowHeight="12"/>
  <cols>
    <col min="1" max="1" width="12.83203125" style="1" customWidth="1"/>
    <col min="2" max="2" width="19.1640625" style="1" customWidth="1"/>
    <col min="3" max="3" width="17.5" style="2" customWidth="1"/>
    <col min="4" max="4" width="12.5" style="3" customWidth="1"/>
    <col min="5" max="199" width="9" style="1"/>
    <col min="200" max="200" width="3.5" style="1" customWidth="1"/>
    <col min="201" max="201" width="19.1640625" style="1" customWidth="1"/>
    <col min="202" max="202" width="10.1640625" style="1" customWidth="1"/>
    <col min="203" max="203" width="10.6640625" style="1" customWidth="1"/>
    <col min="204" max="204" width="8.33203125" style="1" customWidth="1"/>
    <col min="205" max="205" width="8.6640625" style="1" customWidth="1"/>
    <col min="206" max="206" width="6.33203125" style="1" customWidth="1"/>
    <col min="207" max="207" width="7.1640625" style="1" customWidth="1"/>
    <col min="208" max="208" width="5.6640625" style="1" customWidth="1"/>
    <col min="209" max="209" width="5.83203125" style="1" customWidth="1"/>
    <col min="210" max="210" width="5.33203125" style="1" customWidth="1"/>
    <col min="211" max="211" width="6" style="1" customWidth="1"/>
    <col min="212" max="212" width="6.5" style="1" customWidth="1"/>
    <col min="213" max="213" width="6.1640625" style="1" customWidth="1"/>
    <col min="214" max="216" width="6.5" style="1" customWidth="1"/>
    <col min="217" max="217" width="7.1640625" style="1" customWidth="1"/>
    <col min="218" max="218" width="7.83203125" style="1" customWidth="1"/>
    <col min="219" max="219" width="5.5" style="1" customWidth="1"/>
    <col min="220" max="220" width="8.83203125" style="1" customWidth="1"/>
    <col min="221" max="221" width="12.5" style="1" customWidth="1"/>
    <col min="222" max="222" width="13.5" style="1" customWidth="1"/>
    <col min="223" max="224" width="7.5" style="1" customWidth="1"/>
    <col min="225" max="225" width="6" style="1" customWidth="1"/>
    <col min="226" max="226" width="8.5" style="1" customWidth="1"/>
    <col min="227" max="227" width="7.1640625" style="1" customWidth="1"/>
    <col min="228" max="16384" width="9" style="1"/>
  </cols>
  <sheetData>
    <row r="1" spans="1:4" s="4" customFormat="1" ht="54" customHeight="1">
      <c r="A1" s="77" t="s">
        <v>14</v>
      </c>
      <c r="B1" s="70" t="s">
        <v>15</v>
      </c>
      <c r="C1" s="71" t="s">
        <v>31</v>
      </c>
      <c r="D1" s="72" t="s">
        <v>18</v>
      </c>
    </row>
    <row r="2" spans="1:4" s="5" customFormat="1" ht="15.75" customHeight="1">
      <c r="A2" s="68" t="s">
        <v>85</v>
      </c>
      <c r="B2" s="175" t="s">
        <v>88</v>
      </c>
      <c r="C2" s="73">
        <v>43466</v>
      </c>
      <c r="D2" s="74">
        <v>2</v>
      </c>
    </row>
    <row r="3" spans="1:4" s="5" customFormat="1" ht="15.75" customHeight="1">
      <c r="A3" s="68" t="s">
        <v>86</v>
      </c>
      <c r="B3" s="176" t="s">
        <v>89</v>
      </c>
      <c r="C3" s="73">
        <v>43831</v>
      </c>
      <c r="D3" s="74">
        <v>3</v>
      </c>
    </row>
    <row r="4" spans="1:4" s="5" customFormat="1" ht="15.75" customHeight="1">
      <c r="A4" s="68" t="s">
        <v>72</v>
      </c>
      <c r="B4" s="176" t="s">
        <v>90</v>
      </c>
      <c r="C4" s="73">
        <v>44197</v>
      </c>
      <c r="D4" s="74">
        <v>4</v>
      </c>
    </row>
    <row r="5" spans="1:4" s="5" customFormat="1" ht="15.75" customHeight="1">
      <c r="A5" s="68" t="s">
        <v>73</v>
      </c>
      <c r="B5" s="176" t="s">
        <v>91</v>
      </c>
      <c r="C5" s="73">
        <v>44562</v>
      </c>
      <c r="D5" s="74">
        <v>1.5</v>
      </c>
    </row>
    <row r="6" spans="1:4" ht="14">
      <c r="A6" s="68" t="s">
        <v>74</v>
      </c>
      <c r="B6" s="176" t="s">
        <v>92</v>
      </c>
      <c r="C6" s="73">
        <v>45740</v>
      </c>
      <c r="D6" s="74">
        <v>0.5</v>
      </c>
    </row>
    <row r="7" spans="1:4" ht="14">
      <c r="A7" s="68" t="s">
        <v>75</v>
      </c>
      <c r="B7" s="176" t="s">
        <v>93</v>
      </c>
      <c r="C7" s="73">
        <v>44927</v>
      </c>
      <c r="D7" s="74">
        <v>1</v>
      </c>
    </row>
    <row r="8" spans="1:4" ht="14">
      <c r="A8" s="68" t="s">
        <v>76</v>
      </c>
      <c r="B8" s="176" t="s">
        <v>94</v>
      </c>
      <c r="C8" s="73">
        <v>45292</v>
      </c>
      <c r="D8" s="74">
        <v>5</v>
      </c>
    </row>
    <row r="9" spans="1:4" ht="14">
      <c r="A9" s="68" t="s">
        <v>87</v>
      </c>
      <c r="B9" s="176" t="s">
        <v>95</v>
      </c>
      <c r="C9" s="73">
        <v>45738</v>
      </c>
      <c r="D9" s="74">
        <v>6</v>
      </c>
    </row>
  </sheetData>
  <sheetProtection selectLockedCells="1" selectUnlockedCells="1"/>
  <autoFilter ref="A1:D5" xr:uid="{00000000-0009-0000-0000-000015000000}"/>
  <conditionalFormatting sqref="A1 A10:A1048576">
    <cfRule type="duplicateValues" dxfId="54" priority="5"/>
    <cfRule type="duplicateValues" dxfId="53" priority="188942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C7"/>
  <sheetViews>
    <sheetView zoomScale="90" zoomScaleNormal="90" workbookViewId="0">
      <selection activeCell="F53" sqref="F53"/>
    </sheetView>
  </sheetViews>
  <sheetFormatPr baseColWidth="10" defaultColWidth="9.1640625" defaultRowHeight="15"/>
  <cols>
    <col min="1" max="1" width="13.5" style="45" customWidth="1"/>
    <col min="2" max="2" width="27.83203125" style="45" customWidth="1"/>
    <col min="3" max="3" width="21" style="45" customWidth="1"/>
    <col min="4" max="4" width="13.33203125" style="45" customWidth="1"/>
    <col min="5" max="5" width="16.5" style="45" customWidth="1"/>
    <col min="6" max="6" width="19.6640625" style="45" customWidth="1"/>
    <col min="7" max="7" width="10.5" style="45" customWidth="1"/>
    <col min="8" max="8" width="6.6640625" style="45" customWidth="1"/>
    <col min="9" max="9" width="11.33203125" style="45" bestFit="1" customWidth="1"/>
    <col min="10" max="11" width="12.5" style="45" customWidth="1"/>
    <col min="12" max="12" width="13" style="45" customWidth="1"/>
    <col min="13" max="13" width="12.83203125" style="45" customWidth="1"/>
    <col min="14" max="16384" width="9.1640625" style="45"/>
  </cols>
  <sheetData>
    <row r="1" spans="1:3" ht="8.25" customHeight="1">
      <c r="A1" s="220" t="s">
        <v>14</v>
      </c>
      <c r="B1" s="220" t="s">
        <v>3</v>
      </c>
      <c r="C1" s="220" t="s">
        <v>82</v>
      </c>
    </row>
    <row r="2" spans="1:3">
      <c r="A2" s="220"/>
      <c r="B2" s="220"/>
      <c r="C2" s="220"/>
    </row>
    <row r="3" spans="1:3" ht="8.25" customHeight="1">
      <c r="A3" s="220"/>
      <c r="B3" s="220"/>
      <c r="C3" s="220"/>
    </row>
    <row r="4" spans="1:3" ht="18" customHeight="1">
      <c r="A4" s="66" t="s">
        <v>72</v>
      </c>
      <c r="B4" s="91" t="s">
        <v>90</v>
      </c>
      <c r="C4" s="48">
        <v>2000000</v>
      </c>
    </row>
    <row r="5" spans="1:3" ht="16">
      <c r="A5" s="66" t="s">
        <v>73</v>
      </c>
      <c r="B5" s="91" t="s">
        <v>91</v>
      </c>
      <c r="C5" s="67">
        <v>500000</v>
      </c>
    </row>
    <row r="6" spans="1:3" ht="16">
      <c r="A6" s="66" t="s">
        <v>74</v>
      </c>
      <c r="B6" s="91" t="s">
        <v>92</v>
      </c>
      <c r="C6" s="67">
        <v>500000</v>
      </c>
    </row>
    <row r="7" spans="1:3" ht="9" customHeight="1"/>
  </sheetData>
  <mergeCells count="3">
    <mergeCell ref="A1:A3"/>
    <mergeCell ref="B1:B3"/>
    <mergeCell ref="C1:C3"/>
  </mergeCells>
  <dataValidations count="1">
    <dataValidation allowBlank="1" showErrorMessage="1" sqref="B4:B6" xr:uid="{216AC473-FEF2-B247-A624-35B8AFFADD4F}"/>
  </dataValidations>
  <pageMargins left="0.7" right="0.7" top="0.75" bottom="0.75" header="0.3" footer="0.3"/>
  <pageSetup paperSize="9" scale="68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8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G50" sqref="G50"/>
    </sheetView>
  </sheetViews>
  <sheetFormatPr baseColWidth="10" defaultColWidth="9.1640625" defaultRowHeight="14"/>
  <cols>
    <col min="1" max="1" width="12.6640625" style="10" customWidth="1"/>
    <col min="2" max="2" width="26.83203125" style="10" customWidth="1"/>
    <col min="3" max="3" width="10.1640625" style="32" hidden="1" customWidth="1"/>
    <col min="4" max="4" width="10.1640625" style="31" hidden="1" customWidth="1"/>
    <col min="5" max="5" width="10.1640625" style="10" hidden="1" customWidth="1"/>
    <col min="6" max="6" width="18.83203125" style="10" customWidth="1"/>
    <col min="7" max="8" width="16.33203125" style="10" customWidth="1"/>
    <col min="9" max="9" width="13.6640625" style="10" customWidth="1"/>
    <col min="10" max="10" width="15.5" style="10" hidden="1" customWidth="1"/>
    <col min="11" max="11" width="11.83203125" style="10" hidden="1" customWidth="1"/>
    <col min="12" max="16384" width="9.1640625" style="10"/>
  </cols>
  <sheetData>
    <row r="1" spans="1:11" s="14" customFormat="1" ht="21.75" hidden="1" customHeight="1">
      <c r="B1" s="17">
        <v>42004</v>
      </c>
      <c r="C1" s="18">
        <v>41974</v>
      </c>
      <c r="D1" s="15"/>
      <c r="E1" s="19"/>
      <c r="F1" s="19" t="s">
        <v>0</v>
      </c>
      <c r="G1" s="37">
        <f>SUBTOTAL(9,G4:G5)</f>
        <v>0</v>
      </c>
      <c r="H1" s="38">
        <f>SUBTOTAL(9,H4:H5)</f>
        <v>4000000</v>
      </c>
      <c r="I1" s="37">
        <f>SUBTOTAL(9,I4:I5)</f>
        <v>600000</v>
      </c>
    </row>
    <row r="2" spans="1:11" s="21" customFormat="1" ht="20.25" hidden="1" customHeight="1">
      <c r="A2" s="20"/>
      <c r="C2" s="22">
        <v>44561</v>
      </c>
      <c r="D2" s="23"/>
      <c r="E2" s="24">
        <v>42339</v>
      </c>
      <c r="F2" s="25">
        <v>364</v>
      </c>
      <c r="G2" s="46">
        <f>SUBTOTAL(9,G4:G7)</f>
        <v>5610000</v>
      </c>
      <c r="H2" s="46">
        <f>SUBTOTAL(9,H4:H7)</f>
        <v>4000000</v>
      </c>
      <c r="I2" s="46">
        <f>SUBTOTAL(9,I4:I7)</f>
        <v>600000</v>
      </c>
    </row>
    <row r="3" spans="1:11" s="16" customFormat="1" ht="27.75" customHeight="1">
      <c r="A3" s="77" t="s">
        <v>14</v>
      </c>
      <c r="B3" s="26" t="s">
        <v>3</v>
      </c>
      <c r="C3" s="13" t="s">
        <v>28</v>
      </c>
      <c r="D3" s="27" t="s">
        <v>29</v>
      </c>
      <c r="E3" s="12" t="s">
        <v>4</v>
      </c>
      <c r="F3" s="12" t="s">
        <v>5</v>
      </c>
      <c r="G3" s="28" t="s">
        <v>38</v>
      </c>
      <c r="H3" s="28" t="s">
        <v>33</v>
      </c>
      <c r="I3" s="28" t="s">
        <v>32</v>
      </c>
    </row>
    <row r="4" spans="1:11" s="29" customFormat="1" ht="15.75" customHeight="1">
      <c r="A4" s="51" t="s">
        <v>75</v>
      </c>
      <c r="B4" s="39" t="s">
        <v>93</v>
      </c>
      <c r="C4" s="34"/>
      <c r="D4" s="34"/>
      <c r="E4" s="39"/>
      <c r="F4" s="39" t="s">
        <v>34</v>
      </c>
      <c r="G4" s="43">
        <v>0</v>
      </c>
      <c r="H4" s="43">
        <v>2000000</v>
      </c>
      <c r="I4" s="43">
        <v>0</v>
      </c>
      <c r="J4" s="29" t="e">
        <f>VLOOKUP(A4,#REF!,36,0)</f>
        <v>#REF!</v>
      </c>
      <c r="K4" s="35" t="e">
        <f>J4=#REF!</f>
        <v>#REF!</v>
      </c>
    </row>
    <row r="5" spans="1:11" s="29" customFormat="1" ht="15.75" customHeight="1">
      <c r="A5" s="51" t="s">
        <v>76</v>
      </c>
      <c r="B5" s="39" t="s">
        <v>94</v>
      </c>
      <c r="C5" s="34"/>
      <c r="D5" s="34"/>
      <c r="E5" s="39"/>
      <c r="F5" s="39" t="s">
        <v>34</v>
      </c>
      <c r="G5" s="43">
        <v>0</v>
      </c>
      <c r="H5" s="43">
        <v>2000000</v>
      </c>
      <c r="I5" s="43">
        <v>600000</v>
      </c>
      <c r="J5" s="29" t="e">
        <f>VLOOKUP(A5,#REF!,36,0)</f>
        <v>#REF!</v>
      </c>
      <c r="K5" s="35" t="e">
        <f>J5=#REF!</f>
        <v>#REF!</v>
      </c>
    </row>
    <row r="6" spans="1:11" s="29" customFormat="1" ht="15.75" customHeight="1">
      <c r="A6" s="52" t="s">
        <v>87</v>
      </c>
      <c r="B6" s="39" t="s">
        <v>95</v>
      </c>
      <c r="C6" s="41"/>
      <c r="D6" s="41"/>
      <c r="E6" s="40"/>
      <c r="F6" s="42" t="s">
        <v>30</v>
      </c>
      <c r="G6" s="43">
        <v>5610000</v>
      </c>
      <c r="H6" s="44"/>
      <c r="I6" s="44"/>
      <c r="J6" s="29" t="e">
        <f>VLOOKUP(A6,#REF!,36,0)</f>
        <v>#REF!</v>
      </c>
      <c r="K6" s="35" t="e">
        <f>J6=#REF!</f>
        <v>#REF!</v>
      </c>
    </row>
    <row r="7" spans="1:11" s="29" customFormat="1" ht="15.75" customHeight="1">
      <c r="A7" s="52"/>
      <c r="B7" s="39"/>
      <c r="C7" s="41"/>
      <c r="D7" s="41"/>
      <c r="E7" s="40"/>
      <c r="F7" s="42"/>
      <c r="G7" s="43"/>
      <c r="H7" s="44"/>
      <c r="I7" s="44"/>
      <c r="K7" s="35"/>
    </row>
    <row r="8" spans="1:11" ht="15" customHeight="1">
      <c r="C8" s="30"/>
    </row>
  </sheetData>
  <sheetProtection selectLockedCells="1" selectUnlockedCells="1"/>
  <autoFilter ref="A3:I7" xr:uid="{00000000-0009-0000-0000-000007000000}"/>
  <phoneticPr fontId="290" type="noConversion"/>
  <conditionalFormatting sqref="A1:A1048576">
    <cfRule type="duplicateValues" dxfId="48" priority="1"/>
    <cfRule type="duplicateValues" dxfId="47" priority="1327392"/>
    <cfRule type="duplicateValues" dxfId="46" priority="320509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164535"/>
    <cfRule type="duplicateValues" dxfId="39" priority="56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8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C28" sqref="C28"/>
    </sheetView>
  </sheetViews>
  <sheetFormatPr baseColWidth="10" defaultColWidth="8.83203125" defaultRowHeight="15"/>
  <cols>
    <col min="1" max="1" width="9.1640625" style="132"/>
    <col min="2" max="2" width="17.5" style="132" customWidth="1"/>
    <col min="3" max="3" width="30.1640625" style="132" customWidth="1"/>
    <col min="4" max="4" width="14.5" style="132" customWidth="1"/>
    <col min="5" max="5" width="14.6640625" style="132" customWidth="1"/>
    <col min="6" max="7" width="13.5" style="132" customWidth="1"/>
    <col min="8" max="8" width="24.33203125" style="132" customWidth="1"/>
    <col min="9" max="248" width="9.1640625" style="132"/>
    <col min="249" max="249" width="10.33203125" style="132" bestFit="1" customWidth="1"/>
    <col min="250" max="250" width="30.1640625" style="132" bestFit="1" customWidth="1"/>
    <col min="251" max="251" width="21" style="132" customWidth="1"/>
    <col min="252" max="253" width="13.5" style="132" customWidth="1"/>
    <col min="254" max="254" width="21.83203125" style="132" bestFit="1" customWidth="1"/>
    <col min="255" max="255" width="12" style="132" customWidth="1"/>
    <col min="256" max="256" width="11.5" style="132" bestFit="1" customWidth="1"/>
    <col min="257" max="257" width="13.5" style="132" customWidth="1"/>
    <col min="258" max="258" width="15.5" style="132" customWidth="1"/>
    <col min="259" max="260" width="18.5" style="132" customWidth="1"/>
    <col min="261" max="261" width="17.83203125" style="132" customWidth="1"/>
    <col min="262" max="504" width="9.1640625" style="132"/>
    <col min="505" max="505" width="10.33203125" style="132" bestFit="1" customWidth="1"/>
    <col min="506" max="506" width="30.1640625" style="132" bestFit="1" customWidth="1"/>
    <col min="507" max="507" width="21" style="132" customWidth="1"/>
    <col min="508" max="509" width="13.5" style="132" customWidth="1"/>
    <col min="510" max="510" width="21.83203125" style="132" bestFit="1" customWidth="1"/>
    <col min="511" max="511" width="12" style="132" customWidth="1"/>
    <col min="512" max="512" width="11.5" style="132" bestFit="1" customWidth="1"/>
    <col min="513" max="513" width="13.5" style="132" customWidth="1"/>
    <col min="514" max="514" width="15.5" style="132" customWidth="1"/>
    <col min="515" max="516" width="18.5" style="132" customWidth="1"/>
    <col min="517" max="517" width="17.83203125" style="132" customWidth="1"/>
    <col min="518" max="760" width="9.1640625" style="132"/>
    <col min="761" max="761" width="10.33203125" style="132" bestFit="1" customWidth="1"/>
    <col min="762" max="762" width="30.1640625" style="132" bestFit="1" customWidth="1"/>
    <col min="763" max="763" width="21" style="132" customWidth="1"/>
    <col min="764" max="765" width="13.5" style="132" customWidth="1"/>
    <col min="766" max="766" width="21.83203125" style="132" bestFit="1" customWidth="1"/>
    <col min="767" max="767" width="12" style="132" customWidth="1"/>
    <col min="768" max="768" width="11.5" style="132" bestFit="1" customWidth="1"/>
    <col min="769" max="769" width="13.5" style="132" customWidth="1"/>
    <col min="770" max="770" width="15.5" style="132" customWidth="1"/>
    <col min="771" max="772" width="18.5" style="132" customWidth="1"/>
    <col min="773" max="773" width="17.83203125" style="132" customWidth="1"/>
    <col min="774" max="1016" width="9.1640625" style="132"/>
    <col min="1017" max="1017" width="10.33203125" style="132" bestFit="1" customWidth="1"/>
    <col min="1018" max="1018" width="30.1640625" style="132" bestFit="1" customWidth="1"/>
    <col min="1019" max="1019" width="21" style="132" customWidth="1"/>
    <col min="1020" max="1021" width="13.5" style="132" customWidth="1"/>
    <col min="1022" max="1022" width="21.83203125" style="132" bestFit="1" customWidth="1"/>
    <col min="1023" max="1023" width="12" style="132" customWidth="1"/>
    <col min="1024" max="1024" width="11.5" style="132" bestFit="1" customWidth="1"/>
    <col min="1025" max="1025" width="13.5" style="132" customWidth="1"/>
    <col min="1026" max="1026" width="15.5" style="132" customWidth="1"/>
    <col min="1027" max="1028" width="18.5" style="132" customWidth="1"/>
    <col min="1029" max="1029" width="17.83203125" style="132" customWidth="1"/>
    <col min="1030" max="1272" width="9.1640625" style="132"/>
    <col min="1273" max="1273" width="10.33203125" style="132" bestFit="1" customWidth="1"/>
    <col min="1274" max="1274" width="30.1640625" style="132" bestFit="1" customWidth="1"/>
    <col min="1275" max="1275" width="21" style="132" customWidth="1"/>
    <col min="1276" max="1277" width="13.5" style="132" customWidth="1"/>
    <col min="1278" max="1278" width="21.83203125" style="132" bestFit="1" customWidth="1"/>
    <col min="1279" max="1279" width="12" style="132" customWidth="1"/>
    <col min="1280" max="1280" width="11.5" style="132" bestFit="1" customWidth="1"/>
    <col min="1281" max="1281" width="13.5" style="132" customWidth="1"/>
    <col min="1282" max="1282" width="15.5" style="132" customWidth="1"/>
    <col min="1283" max="1284" width="18.5" style="132" customWidth="1"/>
    <col min="1285" max="1285" width="17.83203125" style="132" customWidth="1"/>
    <col min="1286" max="1528" width="9.1640625" style="132"/>
    <col min="1529" max="1529" width="10.33203125" style="132" bestFit="1" customWidth="1"/>
    <col min="1530" max="1530" width="30.1640625" style="132" bestFit="1" customWidth="1"/>
    <col min="1531" max="1531" width="21" style="132" customWidth="1"/>
    <col min="1532" max="1533" width="13.5" style="132" customWidth="1"/>
    <col min="1534" max="1534" width="21.83203125" style="132" bestFit="1" customWidth="1"/>
    <col min="1535" max="1535" width="12" style="132" customWidth="1"/>
    <col min="1536" max="1536" width="11.5" style="132" bestFit="1" customWidth="1"/>
    <col min="1537" max="1537" width="13.5" style="132" customWidth="1"/>
    <col min="1538" max="1538" width="15.5" style="132" customWidth="1"/>
    <col min="1539" max="1540" width="18.5" style="132" customWidth="1"/>
    <col min="1541" max="1541" width="17.83203125" style="132" customWidth="1"/>
    <col min="1542" max="1784" width="9.1640625" style="132"/>
    <col min="1785" max="1785" width="10.33203125" style="132" bestFit="1" customWidth="1"/>
    <col min="1786" max="1786" width="30.1640625" style="132" bestFit="1" customWidth="1"/>
    <col min="1787" max="1787" width="21" style="132" customWidth="1"/>
    <col min="1788" max="1789" width="13.5" style="132" customWidth="1"/>
    <col min="1790" max="1790" width="21.83203125" style="132" bestFit="1" customWidth="1"/>
    <col min="1791" max="1791" width="12" style="132" customWidth="1"/>
    <col min="1792" max="1792" width="11.5" style="132" bestFit="1" customWidth="1"/>
    <col min="1793" max="1793" width="13.5" style="132" customWidth="1"/>
    <col min="1794" max="1794" width="15.5" style="132" customWidth="1"/>
    <col min="1795" max="1796" width="18.5" style="132" customWidth="1"/>
    <col min="1797" max="1797" width="17.83203125" style="132" customWidth="1"/>
    <col min="1798" max="2040" width="9.1640625" style="132"/>
    <col min="2041" max="2041" width="10.33203125" style="132" bestFit="1" customWidth="1"/>
    <col min="2042" max="2042" width="30.1640625" style="132" bestFit="1" customWidth="1"/>
    <col min="2043" max="2043" width="21" style="132" customWidth="1"/>
    <col min="2044" max="2045" width="13.5" style="132" customWidth="1"/>
    <col min="2046" max="2046" width="21.83203125" style="132" bestFit="1" customWidth="1"/>
    <col min="2047" max="2047" width="12" style="132" customWidth="1"/>
    <col min="2048" max="2048" width="11.5" style="132" bestFit="1" customWidth="1"/>
    <col min="2049" max="2049" width="13.5" style="132" customWidth="1"/>
    <col min="2050" max="2050" width="15.5" style="132" customWidth="1"/>
    <col min="2051" max="2052" width="18.5" style="132" customWidth="1"/>
    <col min="2053" max="2053" width="17.83203125" style="132" customWidth="1"/>
    <col min="2054" max="2296" width="9.1640625" style="132"/>
    <col min="2297" max="2297" width="10.33203125" style="132" bestFit="1" customWidth="1"/>
    <col min="2298" max="2298" width="30.1640625" style="132" bestFit="1" customWidth="1"/>
    <col min="2299" max="2299" width="21" style="132" customWidth="1"/>
    <col min="2300" max="2301" width="13.5" style="132" customWidth="1"/>
    <col min="2302" max="2302" width="21.83203125" style="132" bestFit="1" customWidth="1"/>
    <col min="2303" max="2303" width="12" style="132" customWidth="1"/>
    <col min="2304" max="2304" width="11.5" style="132" bestFit="1" customWidth="1"/>
    <col min="2305" max="2305" width="13.5" style="132" customWidth="1"/>
    <col min="2306" max="2306" width="15.5" style="132" customWidth="1"/>
    <col min="2307" max="2308" width="18.5" style="132" customWidth="1"/>
    <col min="2309" max="2309" width="17.83203125" style="132" customWidth="1"/>
    <col min="2310" max="2552" width="9.1640625" style="132"/>
    <col min="2553" max="2553" width="10.33203125" style="132" bestFit="1" customWidth="1"/>
    <col min="2554" max="2554" width="30.1640625" style="132" bestFit="1" customWidth="1"/>
    <col min="2555" max="2555" width="21" style="132" customWidth="1"/>
    <col min="2556" max="2557" width="13.5" style="132" customWidth="1"/>
    <col min="2558" max="2558" width="21.83203125" style="132" bestFit="1" customWidth="1"/>
    <col min="2559" max="2559" width="12" style="132" customWidth="1"/>
    <col min="2560" max="2560" width="11.5" style="132" bestFit="1" customWidth="1"/>
    <col min="2561" max="2561" width="13.5" style="132" customWidth="1"/>
    <col min="2562" max="2562" width="15.5" style="132" customWidth="1"/>
    <col min="2563" max="2564" width="18.5" style="132" customWidth="1"/>
    <col min="2565" max="2565" width="17.83203125" style="132" customWidth="1"/>
    <col min="2566" max="2808" width="9.1640625" style="132"/>
    <col min="2809" max="2809" width="10.33203125" style="132" bestFit="1" customWidth="1"/>
    <col min="2810" max="2810" width="30.1640625" style="132" bestFit="1" customWidth="1"/>
    <col min="2811" max="2811" width="21" style="132" customWidth="1"/>
    <col min="2812" max="2813" width="13.5" style="132" customWidth="1"/>
    <col min="2814" max="2814" width="21.83203125" style="132" bestFit="1" customWidth="1"/>
    <col min="2815" max="2815" width="12" style="132" customWidth="1"/>
    <col min="2816" max="2816" width="11.5" style="132" bestFit="1" customWidth="1"/>
    <col min="2817" max="2817" width="13.5" style="132" customWidth="1"/>
    <col min="2818" max="2818" width="15.5" style="132" customWidth="1"/>
    <col min="2819" max="2820" width="18.5" style="132" customWidth="1"/>
    <col min="2821" max="2821" width="17.83203125" style="132" customWidth="1"/>
    <col min="2822" max="3064" width="9.1640625" style="132"/>
    <col min="3065" max="3065" width="10.33203125" style="132" bestFit="1" customWidth="1"/>
    <col min="3066" max="3066" width="30.1640625" style="132" bestFit="1" customWidth="1"/>
    <col min="3067" max="3067" width="21" style="132" customWidth="1"/>
    <col min="3068" max="3069" width="13.5" style="132" customWidth="1"/>
    <col min="3070" max="3070" width="21.83203125" style="132" bestFit="1" customWidth="1"/>
    <col min="3071" max="3071" width="12" style="132" customWidth="1"/>
    <col min="3072" max="3072" width="11.5" style="132" bestFit="1" customWidth="1"/>
    <col min="3073" max="3073" width="13.5" style="132" customWidth="1"/>
    <col min="3074" max="3074" width="15.5" style="132" customWidth="1"/>
    <col min="3075" max="3076" width="18.5" style="132" customWidth="1"/>
    <col min="3077" max="3077" width="17.83203125" style="132" customWidth="1"/>
    <col min="3078" max="3320" width="9.1640625" style="132"/>
    <col min="3321" max="3321" width="10.33203125" style="132" bestFit="1" customWidth="1"/>
    <col min="3322" max="3322" width="30.1640625" style="132" bestFit="1" customWidth="1"/>
    <col min="3323" max="3323" width="21" style="132" customWidth="1"/>
    <col min="3324" max="3325" width="13.5" style="132" customWidth="1"/>
    <col min="3326" max="3326" width="21.83203125" style="132" bestFit="1" customWidth="1"/>
    <col min="3327" max="3327" width="12" style="132" customWidth="1"/>
    <col min="3328" max="3328" width="11.5" style="132" bestFit="1" customWidth="1"/>
    <col min="3329" max="3329" width="13.5" style="132" customWidth="1"/>
    <col min="3330" max="3330" width="15.5" style="132" customWidth="1"/>
    <col min="3331" max="3332" width="18.5" style="132" customWidth="1"/>
    <col min="3333" max="3333" width="17.83203125" style="132" customWidth="1"/>
    <col min="3334" max="3576" width="9.1640625" style="132"/>
    <col min="3577" max="3577" width="10.33203125" style="132" bestFit="1" customWidth="1"/>
    <col min="3578" max="3578" width="30.1640625" style="132" bestFit="1" customWidth="1"/>
    <col min="3579" max="3579" width="21" style="132" customWidth="1"/>
    <col min="3580" max="3581" width="13.5" style="132" customWidth="1"/>
    <col min="3582" max="3582" width="21.83203125" style="132" bestFit="1" customWidth="1"/>
    <col min="3583" max="3583" width="12" style="132" customWidth="1"/>
    <col min="3584" max="3584" width="11.5" style="132" bestFit="1" customWidth="1"/>
    <col min="3585" max="3585" width="13.5" style="132" customWidth="1"/>
    <col min="3586" max="3586" width="15.5" style="132" customWidth="1"/>
    <col min="3587" max="3588" width="18.5" style="132" customWidth="1"/>
    <col min="3589" max="3589" width="17.83203125" style="132" customWidth="1"/>
    <col min="3590" max="3832" width="9.1640625" style="132"/>
    <col min="3833" max="3833" width="10.33203125" style="132" bestFit="1" customWidth="1"/>
    <col min="3834" max="3834" width="30.1640625" style="132" bestFit="1" customWidth="1"/>
    <col min="3835" max="3835" width="21" style="132" customWidth="1"/>
    <col min="3836" max="3837" width="13.5" style="132" customWidth="1"/>
    <col min="3838" max="3838" width="21.83203125" style="132" bestFit="1" customWidth="1"/>
    <col min="3839" max="3839" width="12" style="132" customWidth="1"/>
    <col min="3840" max="3840" width="11.5" style="132" bestFit="1" customWidth="1"/>
    <col min="3841" max="3841" width="13.5" style="132" customWidth="1"/>
    <col min="3842" max="3842" width="15.5" style="132" customWidth="1"/>
    <col min="3843" max="3844" width="18.5" style="132" customWidth="1"/>
    <col min="3845" max="3845" width="17.83203125" style="132" customWidth="1"/>
    <col min="3846" max="4088" width="9.1640625" style="132"/>
    <col min="4089" max="4089" width="10.33203125" style="132" bestFit="1" customWidth="1"/>
    <col min="4090" max="4090" width="30.1640625" style="132" bestFit="1" customWidth="1"/>
    <col min="4091" max="4091" width="21" style="132" customWidth="1"/>
    <col min="4092" max="4093" width="13.5" style="132" customWidth="1"/>
    <col min="4094" max="4094" width="21.83203125" style="132" bestFit="1" customWidth="1"/>
    <col min="4095" max="4095" width="12" style="132" customWidth="1"/>
    <col min="4096" max="4096" width="11.5" style="132" bestFit="1" customWidth="1"/>
    <col min="4097" max="4097" width="13.5" style="132" customWidth="1"/>
    <col min="4098" max="4098" width="15.5" style="132" customWidth="1"/>
    <col min="4099" max="4100" width="18.5" style="132" customWidth="1"/>
    <col min="4101" max="4101" width="17.83203125" style="132" customWidth="1"/>
    <col min="4102" max="4344" width="9.1640625" style="132"/>
    <col min="4345" max="4345" width="10.33203125" style="132" bestFit="1" customWidth="1"/>
    <col min="4346" max="4346" width="30.1640625" style="132" bestFit="1" customWidth="1"/>
    <col min="4347" max="4347" width="21" style="132" customWidth="1"/>
    <col min="4348" max="4349" width="13.5" style="132" customWidth="1"/>
    <col min="4350" max="4350" width="21.83203125" style="132" bestFit="1" customWidth="1"/>
    <col min="4351" max="4351" width="12" style="132" customWidth="1"/>
    <col min="4352" max="4352" width="11.5" style="132" bestFit="1" customWidth="1"/>
    <col min="4353" max="4353" width="13.5" style="132" customWidth="1"/>
    <col min="4354" max="4354" width="15.5" style="132" customWidth="1"/>
    <col min="4355" max="4356" width="18.5" style="132" customWidth="1"/>
    <col min="4357" max="4357" width="17.83203125" style="132" customWidth="1"/>
    <col min="4358" max="4600" width="9.1640625" style="132"/>
    <col min="4601" max="4601" width="10.33203125" style="132" bestFit="1" customWidth="1"/>
    <col min="4602" max="4602" width="30.1640625" style="132" bestFit="1" customWidth="1"/>
    <col min="4603" max="4603" width="21" style="132" customWidth="1"/>
    <col min="4604" max="4605" width="13.5" style="132" customWidth="1"/>
    <col min="4606" max="4606" width="21.83203125" style="132" bestFit="1" customWidth="1"/>
    <col min="4607" max="4607" width="12" style="132" customWidth="1"/>
    <col min="4608" max="4608" width="11.5" style="132" bestFit="1" customWidth="1"/>
    <col min="4609" max="4609" width="13.5" style="132" customWidth="1"/>
    <col min="4610" max="4610" width="15.5" style="132" customWidth="1"/>
    <col min="4611" max="4612" width="18.5" style="132" customWidth="1"/>
    <col min="4613" max="4613" width="17.83203125" style="132" customWidth="1"/>
    <col min="4614" max="4856" width="9.1640625" style="132"/>
    <col min="4857" max="4857" width="10.33203125" style="132" bestFit="1" customWidth="1"/>
    <col min="4858" max="4858" width="30.1640625" style="132" bestFit="1" customWidth="1"/>
    <col min="4859" max="4859" width="21" style="132" customWidth="1"/>
    <col min="4860" max="4861" width="13.5" style="132" customWidth="1"/>
    <col min="4862" max="4862" width="21.83203125" style="132" bestFit="1" customWidth="1"/>
    <col min="4863" max="4863" width="12" style="132" customWidth="1"/>
    <col min="4864" max="4864" width="11.5" style="132" bestFit="1" customWidth="1"/>
    <col min="4865" max="4865" width="13.5" style="132" customWidth="1"/>
    <col min="4866" max="4866" width="15.5" style="132" customWidth="1"/>
    <col min="4867" max="4868" width="18.5" style="132" customWidth="1"/>
    <col min="4869" max="4869" width="17.83203125" style="132" customWidth="1"/>
    <col min="4870" max="5112" width="9.1640625" style="132"/>
    <col min="5113" max="5113" width="10.33203125" style="132" bestFit="1" customWidth="1"/>
    <col min="5114" max="5114" width="30.1640625" style="132" bestFit="1" customWidth="1"/>
    <col min="5115" max="5115" width="21" style="132" customWidth="1"/>
    <col min="5116" max="5117" width="13.5" style="132" customWidth="1"/>
    <col min="5118" max="5118" width="21.83203125" style="132" bestFit="1" customWidth="1"/>
    <col min="5119" max="5119" width="12" style="132" customWidth="1"/>
    <col min="5120" max="5120" width="11.5" style="132" bestFit="1" customWidth="1"/>
    <col min="5121" max="5121" width="13.5" style="132" customWidth="1"/>
    <col min="5122" max="5122" width="15.5" style="132" customWidth="1"/>
    <col min="5123" max="5124" width="18.5" style="132" customWidth="1"/>
    <col min="5125" max="5125" width="17.83203125" style="132" customWidth="1"/>
    <col min="5126" max="5368" width="9.1640625" style="132"/>
    <col min="5369" max="5369" width="10.33203125" style="132" bestFit="1" customWidth="1"/>
    <col min="5370" max="5370" width="30.1640625" style="132" bestFit="1" customWidth="1"/>
    <col min="5371" max="5371" width="21" style="132" customWidth="1"/>
    <col min="5372" max="5373" width="13.5" style="132" customWidth="1"/>
    <col min="5374" max="5374" width="21.83203125" style="132" bestFit="1" customWidth="1"/>
    <col min="5375" max="5375" width="12" style="132" customWidth="1"/>
    <col min="5376" max="5376" width="11.5" style="132" bestFit="1" customWidth="1"/>
    <col min="5377" max="5377" width="13.5" style="132" customWidth="1"/>
    <col min="5378" max="5378" width="15.5" style="132" customWidth="1"/>
    <col min="5379" max="5380" width="18.5" style="132" customWidth="1"/>
    <col min="5381" max="5381" width="17.83203125" style="132" customWidth="1"/>
    <col min="5382" max="5624" width="9.1640625" style="132"/>
    <col min="5625" max="5625" width="10.33203125" style="132" bestFit="1" customWidth="1"/>
    <col min="5626" max="5626" width="30.1640625" style="132" bestFit="1" customWidth="1"/>
    <col min="5627" max="5627" width="21" style="132" customWidth="1"/>
    <col min="5628" max="5629" width="13.5" style="132" customWidth="1"/>
    <col min="5630" max="5630" width="21.83203125" style="132" bestFit="1" customWidth="1"/>
    <col min="5631" max="5631" width="12" style="132" customWidth="1"/>
    <col min="5632" max="5632" width="11.5" style="132" bestFit="1" customWidth="1"/>
    <col min="5633" max="5633" width="13.5" style="132" customWidth="1"/>
    <col min="5634" max="5634" width="15.5" style="132" customWidth="1"/>
    <col min="5635" max="5636" width="18.5" style="132" customWidth="1"/>
    <col min="5637" max="5637" width="17.83203125" style="132" customWidth="1"/>
    <col min="5638" max="5880" width="9.1640625" style="132"/>
    <col min="5881" max="5881" width="10.33203125" style="132" bestFit="1" customWidth="1"/>
    <col min="5882" max="5882" width="30.1640625" style="132" bestFit="1" customWidth="1"/>
    <col min="5883" max="5883" width="21" style="132" customWidth="1"/>
    <col min="5884" max="5885" width="13.5" style="132" customWidth="1"/>
    <col min="5886" max="5886" width="21.83203125" style="132" bestFit="1" customWidth="1"/>
    <col min="5887" max="5887" width="12" style="132" customWidth="1"/>
    <col min="5888" max="5888" width="11.5" style="132" bestFit="1" customWidth="1"/>
    <col min="5889" max="5889" width="13.5" style="132" customWidth="1"/>
    <col min="5890" max="5890" width="15.5" style="132" customWidth="1"/>
    <col min="5891" max="5892" width="18.5" style="132" customWidth="1"/>
    <col min="5893" max="5893" width="17.83203125" style="132" customWidth="1"/>
    <col min="5894" max="6136" width="9.1640625" style="132"/>
    <col min="6137" max="6137" width="10.33203125" style="132" bestFit="1" customWidth="1"/>
    <col min="6138" max="6138" width="30.1640625" style="132" bestFit="1" customWidth="1"/>
    <col min="6139" max="6139" width="21" style="132" customWidth="1"/>
    <col min="6140" max="6141" width="13.5" style="132" customWidth="1"/>
    <col min="6142" max="6142" width="21.83203125" style="132" bestFit="1" customWidth="1"/>
    <col min="6143" max="6143" width="12" style="132" customWidth="1"/>
    <col min="6144" max="6144" width="11.5" style="132" bestFit="1" customWidth="1"/>
    <col min="6145" max="6145" width="13.5" style="132" customWidth="1"/>
    <col min="6146" max="6146" width="15.5" style="132" customWidth="1"/>
    <col min="6147" max="6148" width="18.5" style="132" customWidth="1"/>
    <col min="6149" max="6149" width="17.83203125" style="132" customWidth="1"/>
    <col min="6150" max="6392" width="9.1640625" style="132"/>
    <col min="6393" max="6393" width="10.33203125" style="132" bestFit="1" customWidth="1"/>
    <col min="6394" max="6394" width="30.1640625" style="132" bestFit="1" customWidth="1"/>
    <col min="6395" max="6395" width="21" style="132" customWidth="1"/>
    <col min="6396" max="6397" width="13.5" style="132" customWidth="1"/>
    <col min="6398" max="6398" width="21.83203125" style="132" bestFit="1" customWidth="1"/>
    <col min="6399" max="6399" width="12" style="132" customWidth="1"/>
    <col min="6400" max="6400" width="11.5" style="132" bestFit="1" customWidth="1"/>
    <col min="6401" max="6401" width="13.5" style="132" customWidth="1"/>
    <col min="6402" max="6402" width="15.5" style="132" customWidth="1"/>
    <col min="6403" max="6404" width="18.5" style="132" customWidth="1"/>
    <col min="6405" max="6405" width="17.83203125" style="132" customWidth="1"/>
    <col min="6406" max="6648" width="9.1640625" style="132"/>
    <col min="6649" max="6649" width="10.33203125" style="132" bestFit="1" customWidth="1"/>
    <col min="6650" max="6650" width="30.1640625" style="132" bestFit="1" customWidth="1"/>
    <col min="6651" max="6651" width="21" style="132" customWidth="1"/>
    <col min="6652" max="6653" width="13.5" style="132" customWidth="1"/>
    <col min="6654" max="6654" width="21.83203125" style="132" bestFit="1" customWidth="1"/>
    <col min="6655" max="6655" width="12" style="132" customWidth="1"/>
    <col min="6656" max="6656" width="11.5" style="132" bestFit="1" customWidth="1"/>
    <col min="6657" max="6657" width="13.5" style="132" customWidth="1"/>
    <col min="6658" max="6658" width="15.5" style="132" customWidth="1"/>
    <col min="6659" max="6660" width="18.5" style="132" customWidth="1"/>
    <col min="6661" max="6661" width="17.83203125" style="132" customWidth="1"/>
    <col min="6662" max="6904" width="9.1640625" style="132"/>
    <col min="6905" max="6905" width="10.33203125" style="132" bestFit="1" customWidth="1"/>
    <col min="6906" max="6906" width="30.1640625" style="132" bestFit="1" customWidth="1"/>
    <col min="6907" max="6907" width="21" style="132" customWidth="1"/>
    <col min="6908" max="6909" width="13.5" style="132" customWidth="1"/>
    <col min="6910" max="6910" width="21.83203125" style="132" bestFit="1" customWidth="1"/>
    <col min="6911" max="6911" width="12" style="132" customWidth="1"/>
    <col min="6912" max="6912" width="11.5" style="132" bestFit="1" customWidth="1"/>
    <col min="6913" max="6913" width="13.5" style="132" customWidth="1"/>
    <col min="6914" max="6914" width="15.5" style="132" customWidth="1"/>
    <col min="6915" max="6916" width="18.5" style="132" customWidth="1"/>
    <col min="6917" max="6917" width="17.83203125" style="132" customWidth="1"/>
    <col min="6918" max="7160" width="9.1640625" style="132"/>
    <col min="7161" max="7161" width="10.33203125" style="132" bestFit="1" customWidth="1"/>
    <col min="7162" max="7162" width="30.1640625" style="132" bestFit="1" customWidth="1"/>
    <col min="7163" max="7163" width="21" style="132" customWidth="1"/>
    <col min="7164" max="7165" width="13.5" style="132" customWidth="1"/>
    <col min="7166" max="7166" width="21.83203125" style="132" bestFit="1" customWidth="1"/>
    <col min="7167" max="7167" width="12" style="132" customWidth="1"/>
    <col min="7168" max="7168" width="11.5" style="132" bestFit="1" customWidth="1"/>
    <col min="7169" max="7169" width="13.5" style="132" customWidth="1"/>
    <col min="7170" max="7170" width="15.5" style="132" customWidth="1"/>
    <col min="7171" max="7172" width="18.5" style="132" customWidth="1"/>
    <col min="7173" max="7173" width="17.83203125" style="132" customWidth="1"/>
    <col min="7174" max="7416" width="9.1640625" style="132"/>
    <col min="7417" max="7417" width="10.33203125" style="132" bestFit="1" customWidth="1"/>
    <col min="7418" max="7418" width="30.1640625" style="132" bestFit="1" customWidth="1"/>
    <col min="7419" max="7419" width="21" style="132" customWidth="1"/>
    <col min="7420" max="7421" width="13.5" style="132" customWidth="1"/>
    <col min="7422" max="7422" width="21.83203125" style="132" bestFit="1" customWidth="1"/>
    <col min="7423" max="7423" width="12" style="132" customWidth="1"/>
    <col min="7424" max="7424" width="11.5" style="132" bestFit="1" customWidth="1"/>
    <col min="7425" max="7425" width="13.5" style="132" customWidth="1"/>
    <col min="7426" max="7426" width="15.5" style="132" customWidth="1"/>
    <col min="7427" max="7428" width="18.5" style="132" customWidth="1"/>
    <col min="7429" max="7429" width="17.83203125" style="132" customWidth="1"/>
    <col min="7430" max="7672" width="9.1640625" style="132"/>
    <col min="7673" max="7673" width="10.33203125" style="132" bestFit="1" customWidth="1"/>
    <col min="7674" max="7674" width="30.1640625" style="132" bestFit="1" customWidth="1"/>
    <col min="7675" max="7675" width="21" style="132" customWidth="1"/>
    <col min="7676" max="7677" width="13.5" style="132" customWidth="1"/>
    <col min="7678" max="7678" width="21.83203125" style="132" bestFit="1" customWidth="1"/>
    <col min="7679" max="7679" width="12" style="132" customWidth="1"/>
    <col min="7680" max="7680" width="11.5" style="132" bestFit="1" customWidth="1"/>
    <col min="7681" max="7681" width="13.5" style="132" customWidth="1"/>
    <col min="7682" max="7682" width="15.5" style="132" customWidth="1"/>
    <col min="7683" max="7684" width="18.5" style="132" customWidth="1"/>
    <col min="7685" max="7685" width="17.83203125" style="132" customWidth="1"/>
    <col min="7686" max="7928" width="9.1640625" style="132"/>
    <col min="7929" max="7929" width="10.33203125" style="132" bestFit="1" customWidth="1"/>
    <col min="7930" max="7930" width="30.1640625" style="132" bestFit="1" customWidth="1"/>
    <col min="7931" max="7931" width="21" style="132" customWidth="1"/>
    <col min="7932" max="7933" width="13.5" style="132" customWidth="1"/>
    <col min="7934" max="7934" width="21.83203125" style="132" bestFit="1" customWidth="1"/>
    <col min="7935" max="7935" width="12" style="132" customWidth="1"/>
    <col min="7936" max="7936" width="11.5" style="132" bestFit="1" customWidth="1"/>
    <col min="7937" max="7937" width="13.5" style="132" customWidth="1"/>
    <col min="7938" max="7938" width="15.5" style="132" customWidth="1"/>
    <col min="7939" max="7940" width="18.5" style="132" customWidth="1"/>
    <col min="7941" max="7941" width="17.83203125" style="132" customWidth="1"/>
    <col min="7942" max="8184" width="9.1640625" style="132"/>
    <col min="8185" max="8185" width="10.33203125" style="132" bestFit="1" customWidth="1"/>
    <col min="8186" max="8186" width="30.1640625" style="132" bestFit="1" customWidth="1"/>
    <col min="8187" max="8187" width="21" style="132" customWidth="1"/>
    <col min="8188" max="8189" width="13.5" style="132" customWidth="1"/>
    <col min="8190" max="8190" width="21.83203125" style="132" bestFit="1" customWidth="1"/>
    <col min="8191" max="8191" width="12" style="132" customWidth="1"/>
    <col min="8192" max="8192" width="11.5" style="132" bestFit="1" customWidth="1"/>
    <col min="8193" max="8193" width="13.5" style="132" customWidth="1"/>
    <col min="8194" max="8194" width="15.5" style="132" customWidth="1"/>
    <col min="8195" max="8196" width="18.5" style="132" customWidth="1"/>
    <col min="8197" max="8197" width="17.83203125" style="132" customWidth="1"/>
    <col min="8198" max="8440" width="9.1640625" style="132"/>
    <col min="8441" max="8441" width="10.33203125" style="132" bestFit="1" customWidth="1"/>
    <col min="8442" max="8442" width="30.1640625" style="132" bestFit="1" customWidth="1"/>
    <col min="8443" max="8443" width="21" style="132" customWidth="1"/>
    <col min="8444" max="8445" width="13.5" style="132" customWidth="1"/>
    <col min="8446" max="8446" width="21.83203125" style="132" bestFit="1" customWidth="1"/>
    <col min="8447" max="8447" width="12" style="132" customWidth="1"/>
    <col min="8448" max="8448" width="11.5" style="132" bestFit="1" customWidth="1"/>
    <col min="8449" max="8449" width="13.5" style="132" customWidth="1"/>
    <col min="8450" max="8450" width="15.5" style="132" customWidth="1"/>
    <col min="8451" max="8452" width="18.5" style="132" customWidth="1"/>
    <col min="8453" max="8453" width="17.83203125" style="132" customWidth="1"/>
    <col min="8454" max="8696" width="9.1640625" style="132"/>
    <col min="8697" max="8697" width="10.33203125" style="132" bestFit="1" customWidth="1"/>
    <col min="8698" max="8698" width="30.1640625" style="132" bestFit="1" customWidth="1"/>
    <col min="8699" max="8699" width="21" style="132" customWidth="1"/>
    <col min="8700" max="8701" width="13.5" style="132" customWidth="1"/>
    <col min="8702" max="8702" width="21.83203125" style="132" bestFit="1" customWidth="1"/>
    <col min="8703" max="8703" width="12" style="132" customWidth="1"/>
    <col min="8704" max="8704" width="11.5" style="132" bestFit="1" customWidth="1"/>
    <col min="8705" max="8705" width="13.5" style="132" customWidth="1"/>
    <col min="8706" max="8706" width="15.5" style="132" customWidth="1"/>
    <col min="8707" max="8708" width="18.5" style="132" customWidth="1"/>
    <col min="8709" max="8709" width="17.83203125" style="132" customWidth="1"/>
    <col min="8710" max="8952" width="9.1640625" style="132"/>
    <col min="8953" max="8953" width="10.33203125" style="132" bestFit="1" customWidth="1"/>
    <col min="8954" max="8954" width="30.1640625" style="132" bestFit="1" customWidth="1"/>
    <col min="8955" max="8955" width="21" style="132" customWidth="1"/>
    <col min="8956" max="8957" width="13.5" style="132" customWidth="1"/>
    <col min="8958" max="8958" width="21.83203125" style="132" bestFit="1" customWidth="1"/>
    <col min="8959" max="8959" width="12" style="132" customWidth="1"/>
    <col min="8960" max="8960" width="11.5" style="132" bestFit="1" customWidth="1"/>
    <col min="8961" max="8961" width="13.5" style="132" customWidth="1"/>
    <col min="8962" max="8962" width="15.5" style="132" customWidth="1"/>
    <col min="8963" max="8964" width="18.5" style="132" customWidth="1"/>
    <col min="8965" max="8965" width="17.83203125" style="132" customWidth="1"/>
    <col min="8966" max="9208" width="9.1640625" style="132"/>
    <col min="9209" max="9209" width="10.33203125" style="132" bestFit="1" customWidth="1"/>
    <col min="9210" max="9210" width="30.1640625" style="132" bestFit="1" customWidth="1"/>
    <col min="9211" max="9211" width="21" style="132" customWidth="1"/>
    <col min="9212" max="9213" width="13.5" style="132" customWidth="1"/>
    <col min="9214" max="9214" width="21.83203125" style="132" bestFit="1" customWidth="1"/>
    <col min="9215" max="9215" width="12" style="132" customWidth="1"/>
    <col min="9216" max="9216" width="11.5" style="132" bestFit="1" customWidth="1"/>
    <col min="9217" max="9217" width="13.5" style="132" customWidth="1"/>
    <col min="9218" max="9218" width="15.5" style="132" customWidth="1"/>
    <col min="9219" max="9220" width="18.5" style="132" customWidth="1"/>
    <col min="9221" max="9221" width="17.83203125" style="132" customWidth="1"/>
    <col min="9222" max="9464" width="9.1640625" style="132"/>
    <col min="9465" max="9465" width="10.33203125" style="132" bestFit="1" customWidth="1"/>
    <col min="9466" max="9466" width="30.1640625" style="132" bestFit="1" customWidth="1"/>
    <col min="9467" max="9467" width="21" style="132" customWidth="1"/>
    <col min="9468" max="9469" width="13.5" style="132" customWidth="1"/>
    <col min="9470" max="9470" width="21.83203125" style="132" bestFit="1" customWidth="1"/>
    <col min="9471" max="9471" width="12" style="132" customWidth="1"/>
    <col min="9472" max="9472" width="11.5" style="132" bestFit="1" customWidth="1"/>
    <col min="9473" max="9473" width="13.5" style="132" customWidth="1"/>
    <col min="9474" max="9474" width="15.5" style="132" customWidth="1"/>
    <col min="9475" max="9476" width="18.5" style="132" customWidth="1"/>
    <col min="9477" max="9477" width="17.83203125" style="132" customWidth="1"/>
    <col min="9478" max="9720" width="9.1640625" style="132"/>
    <col min="9721" max="9721" width="10.33203125" style="132" bestFit="1" customWidth="1"/>
    <col min="9722" max="9722" width="30.1640625" style="132" bestFit="1" customWidth="1"/>
    <col min="9723" max="9723" width="21" style="132" customWidth="1"/>
    <col min="9724" max="9725" width="13.5" style="132" customWidth="1"/>
    <col min="9726" max="9726" width="21.83203125" style="132" bestFit="1" customWidth="1"/>
    <col min="9727" max="9727" width="12" style="132" customWidth="1"/>
    <col min="9728" max="9728" width="11.5" style="132" bestFit="1" customWidth="1"/>
    <col min="9729" max="9729" width="13.5" style="132" customWidth="1"/>
    <col min="9730" max="9730" width="15.5" style="132" customWidth="1"/>
    <col min="9731" max="9732" width="18.5" style="132" customWidth="1"/>
    <col min="9733" max="9733" width="17.83203125" style="132" customWidth="1"/>
    <col min="9734" max="9976" width="9.1640625" style="132"/>
    <col min="9977" max="9977" width="10.33203125" style="132" bestFit="1" customWidth="1"/>
    <col min="9978" max="9978" width="30.1640625" style="132" bestFit="1" customWidth="1"/>
    <col min="9979" max="9979" width="21" style="132" customWidth="1"/>
    <col min="9980" max="9981" width="13.5" style="132" customWidth="1"/>
    <col min="9982" max="9982" width="21.83203125" style="132" bestFit="1" customWidth="1"/>
    <col min="9983" max="9983" width="12" style="132" customWidth="1"/>
    <col min="9984" max="9984" width="11.5" style="132" bestFit="1" customWidth="1"/>
    <col min="9985" max="9985" width="13.5" style="132" customWidth="1"/>
    <col min="9986" max="9986" width="15.5" style="132" customWidth="1"/>
    <col min="9987" max="9988" width="18.5" style="132" customWidth="1"/>
    <col min="9989" max="9989" width="17.83203125" style="132" customWidth="1"/>
    <col min="9990" max="10232" width="9.1640625" style="132"/>
    <col min="10233" max="10233" width="10.33203125" style="132" bestFit="1" customWidth="1"/>
    <col min="10234" max="10234" width="30.1640625" style="132" bestFit="1" customWidth="1"/>
    <col min="10235" max="10235" width="21" style="132" customWidth="1"/>
    <col min="10236" max="10237" width="13.5" style="132" customWidth="1"/>
    <col min="10238" max="10238" width="21.83203125" style="132" bestFit="1" customWidth="1"/>
    <col min="10239" max="10239" width="12" style="132" customWidth="1"/>
    <col min="10240" max="10240" width="11.5" style="132" bestFit="1" customWidth="1"/>
    <col min="10241" max="10241" width="13.5" style="132" customWidth="1"/>
    <col min="10242" max="10242" width="15.5" style="132" customWidth="1"/>
    <col min="10243" max="10244" width="18.5" style="132" customWidth="1"/>
    <col min="10245" max="10245" width="17.83203125" style="132" customWidth="1"/>
    <col min="10246" max="10488" width="9.1640625" style="132"/>
    <col min="10489" max="10489" width="10.33203125" style="132" bestFit="1" customWidth="1"/>
    <col min="10490" max="10490" width="30.1640625" style="132" bestFit="1" customWidth="1"/>
    <col min="10491" max="10491" width="21" style="132" customWidth="1"/>
    <col min="10492" max="10493" width="13.5" style="132" customWidth="1"/>
    <col min="10494" max="10494" width="21.83203125" style="132" bestFit="1" customWidth="1"/>
    <col min="10495" max="10495" width="12" style="132" customWidth="1"/>
    <col min="10496" max="10496" width="11.5" style="132" bestFit="1" customWidth="1"/>
    <col min="10497" max="10497" width="13.5" style="132" customWidth="1"/>
    <col min="10498" max="10498" width="15.5" style="132" customWidth="1"/>
    <col min="10499" max="10500" width="18.5" style="132" customWidth="1"/>
    <col min="10501" max="10501" width="17.83203125" style="132" customWidth="1"/>
    <col min="10502" max="10744" width="9.1640625" style="132"/>
    <col min="10745" max="10745" width="10.33203125" style="132" bestFit="1" customWidth="1"/>
    <col min="10746" max="10746" width="30.1640625" style="132" bestFit="1" customWidth="1"/>
    <col min="10747" max="10747" width="21" style="132" customWidth="1"/>
    <col min="10748" max="10749" width="13.5" style="132" customWidth="1"/>
    <col min="10750" max="10750" width="21.83203125" style="132" bestFit="1" customWidth="1"/>
    <col min="10751" max="10751" width="12" style="132" customWidth="1"/>
    <col min="10752" max="10752" width="11.5" style="132" bestFit="1" customWidth="1"/>
    <col min="10753" max="10753" width="13.5" style="132" customWidth="1"/>
    <col min="10754" max="10754" width="15.5" style="132" customWidth="1"/>
    <col min="10755" max="10756" width="18.5" style="132" customWidth="1"/>
    <col min="10757" max="10757" width="17.83203125" style="132" customWidth="1"/>
    <col min="10758" max="11000" width="9.1640625" style="132"/>
    <col min="11001" max="11001" width="10.33203125" style="132" bestFit="1" customWidth="1"/>
    <col min="11002" max="11002" width="30.1640625" style="132" bestFit="1" customWidth="1"/>
    <col min="11003" max="11003" width="21" style="132" customWidth="1"/>
    <col min="11004" max="11005" width="13.5" style="132" customWidth="1"/>
    <col min="11006" max="11006" width="21.83203125" style="132" bestFit="1" customWidth="1"/>
    <col min="11007" max="11007" width="12" style="132" customWidth="1"/>
    <col min="11008" max="11008" width="11.5" style="132" bestFit="1" customWidth="1"/>
    <col min="11009" max="11009" width="13.5" style="132" customWidth="1"/>
    <col min="11010" max="11010" width="15.5" style="132" customWidth="1"/>
    <col min="11011" max="11012" width="18.5" style="132" customWidth="1"/>
    <col min="11013" max="11013" width="17.83203125" style="132" customWidth="1"/>
    <col min="11014" max="11256" width="9.1640625" style="132"/>
    <col min="11257" max="11257" width="10.33203125" style="132" bestFit="1" customWidth="1"/>
    <col min="11258" max="11258" width="30.1640625" style="132" bestFit="1" customWidth="1"/>
    <col min="11259" max="11259" width="21" style="132" customWidth="1"/>
    <col min="11260" max="11261" width="13.5" style="132" customWidth="1"/>
    <col min="11262" max="11262" width="21.83203125" style="132" bestFit="1" customWidth="1"/>
    <col min="11263" max="11263" width="12" style="132" customWidth="1"/>
    <col min="11264" max="11264" width="11.5" style="132" bestFit="1" customWidth="1"/>
    <col min="11265" max="11265" width="13.5" style="132" customWidth="1"/>
    <col min="11266" max="11266" width="15.5" style="132" customWidth="1"/>
    <col min="11267" max="11268" width="18.5" style="132" customWidth="1"/>
    <col min="11269" max="11269" width="17.83203125" style="132" customWidth="1"/>
    <col min="11270" max="11512" width="9.1640625" style="132"/>
    <col min="11513" max="11513" width="10.33203125" style="132" bestFit="1" customWidth="1"/>
    <col min="11514" max="11514" width="30.1640625" style="132" bestFit="1" customWidth="1"/>
    <col min="11515" max="11515" width="21" style="132" customWidth="1"/>
    <col min="11516" max="11517" width="13.5" style="132" customWidth="1"/>
    <col min="11518" max="11518" width="21.83203125" style="132" bestFit="1" customWidth="1"/>
    <col min="11519" max="11519" width="12" style="132" customWidth="1"/>
    <col min="11520" max="11520" width="11.5" style="132" bestFit="1" customWidth="1"/>
    <col min="11521" max="11521" width="13.5" style="132" customWidth="1"/>
    <col min="11522" max="11522" width="15.5" style="132" customWidth="1"/>
    <col min="11523" max="11524" width="18.5" style="132" customWidth="1"/>
    <col min="11525" max="11525" width="17.83203125" style="132" customWidth="1"/>
    <col min="11526" max="11768" width="9.1640625" style="132"/>
    <col min="11769" max="11769" width="10.33203125" style="132" bestFit="1" customWidth="1"/>
    <col min="11770" max="11770" width="30.1640625" style="132" bestFit="1" customWidth="1"/>
    <col min="11771" max="11771" width="21" style="132" customWidth="1"/>
    <col min="11772" max="11773" width="13.5" style="132" customWidth="1"/>
    <col min="11774" max="11774" width="21.83203125" style="132" bestFit="1" customWidth="1"/>
    <col min="11775" max="11775" width="12" style="132" customWidth="1"/>
    <col min="11776" max="11776" width="11.5" style="132" bestFit="1" customWidth="1"/>
    <col min="11777" max="11777" width="13.5" style="132" customWidth="1"/>
    <col min="11778" max="11778" width="15.5" style="132" customWidth="1"/>
    <col min="11779" max="11780" width="18.5" style="132" customWidth="1"/>
    <col min="11781" max="11781" width="17.83203125" style="132" customWidth="1"/>
    <col min="11782" max="12024" width="9.1640625" style="132"/>
    <col min="12025" max="12025" width="10.33203125" style="132" bestFit="1" customWidth="1"/>
    <col min="12026" max="12026" width="30.1640625" style="132" bestFit="1" customWidth="1"/>
    <col min="12027" max="12027" width="21" style="132" customWidth="1"/>
    <col min="12028" max="12029" width="13.5" style="132" customWidth="1"/>
    <col min="12030" max="12030" width="21.83203125" style="132" bestFit="1" customWidth="1"/>
    <col min="12031" max="12031" width="12" style="132" customWidth="1"/>
    <col min="12032" max="12032" width="11.5" style="132" bestFit="1" customWidth="1"/>
    <col min="12033" max="12033" width="13.5" style="132" customWidth="1"/>
    <col min="12034" max="12034" width="15.5" style="132" customWidth="1"/>
    <col min="12035" max="12036" width="18.5" style="132" customWidth="1"/>
    <col min="12037" max="12037" width="17.83203125" style="132" customWidth="1"/>
    <col min="12038" max="12280" width="9.1640625" style="132"/>
    <col min="12281" max="12281" width="10.33203125" style="132" bestFit="1" customWidth="1"/>
    <col min="12282" max="12282" width="30.1640625" style="132" bestFit="1" customWidth="1"/>
    <col min="12283" max="12283" width="21" style="132" customWidth="1"/>
    <col min="12284" max="12285" width="13.5" style="132" customWidth="1"/>
    <col min="12286" max="12286" width="21.83203125" style="132" bestFit="1" customWidth="1"/>
    <col min="12287" max="12287" width="12" style="132" customWidth="1"/>
    <col min="12288" max="12288" width="11.5" style="132" bestFit="1" customWidth="1"/>
    <col min="12289" max="12289" width="13.5" style="132" customWidth="1"/>
    <col min="12290" max="12290" width="15.5" style="132" customWidth="1"/>
    <col min="12291" max="12292" width="18.5" style="132" customWidth="1"/>
    <col min="12293" max="12293" width="17.83203125" style="132" customWidth="1"/>
    <col min="12294" max="12536" width="9.1640625" style="132"/>
    <col min="12537" max="12537" width="10.33203125" style="132" bestFit="1" customWidth="1"/>
    <col min="12538" max="12538" width="30.1640625" style="132" bestFit="1" customWidth="1"/>
    <col min="12539" max="12539" width="21" style="132" customWidth="1"/>
    <col min="12540" max="12541" width="13.5" style="132" customWidth="1"/>
    <col min="12542" max="12542" width="21.83203125" style="132" bestFit="1" customWidth="1"/>
    <col min="12543" max="12543" width="12" style="132" customWidth="1"/>
    <col min="12544" max="12544" width="11.5" style="132" bestFit="1" customWidth="1"/>
    <col min="12545" max="12545" width="13.5" style="132" customWidth="1"/>
    <col min="12546" max="12546" width="15.5" style="132" customWidth="1"/>
    <col min="12547" max="12548" width="18.5" style="132" customWidth="1"/>
    <col min="12549" max="12549" width="17.83203125" style="132" customWidth="1"/>
    <col min="12550" max="12792" width="9.1640625" style="132"/>
    <col min="12793" max="12793" width="10.33203125" style="132" bestFit="1" customWidth="1"/>
    <col min="12794" max="12794" width="30.1640625" style="132" bestFit="1" customWidth="1"/>
    <col min="12795" max="12795" width="21" style="132" customWidth="1"/>
    <col min="12796" max="12797" width="13.5" style="132" customWidth="1"/>
    <col min="12798" max="12798" width="21.83203125" style="132" bestFit="1" customWidth="1"/>
    <col min="12799" max="12799" width="12" style="132" customWidth="1"/>
    <col min="12800" max="12800" width="11.5" style="132" bestFit="1" customWidth="1"/>
    <col min="12801" max="12801" width="13.5" style="132" customWidth="1"/>
    <col min="12802" max="12802" width="15.5" style="132" customWidth="1"/>
    <col min="12803" max="12804" width="18.5" style="132" customWidth="1"/>
    <col min="12805" max="12805" width="17.83203125" style="132" customWidth="1"/>
    <col min="12806" max="13048" width="9.1640625" style="132"/>
    <col min="13049" max="13049" width="10.33203125" style="132" bestFit="1" customWidth="1"/>
    <col min="13050" max="13050" width="30.1640625" style="132" bestFit="1" customWidth="1"/>
    <col min="13051" max="13051" width="21" style="132" customWidth="1"/>
    <col min="13052" max="13053" width="13.5" style="132" customWidth="1"/>
    <col min="13054" max="13054" width="21.83203125" style="132" bestFit="1" customWidth="1"/>
    <col min="13055" max="13055" width="12" style="132" customWidth="1"/>
    <col min="13056" max="13056" width="11.5" style="132" bestFit="1" customWidth="1"/>
    <col min="13057" max="13057" width="13.5" style="132" customWidth="1"/>
    <col min="13058" max="13058" width="15.5" style="132" customWidth="1"/>
    <col min="13059" max="13060" width="18.5" style="132" customWidth="1"/>
    <col min="13061" max="13061" width="17.83203125" style="132" customWidth="1"/>
    <col min="13062" max="13304" width="9.1640625" style="132"/>
    <col min="13305" max="13305" width="10.33203125" style="132" bestFit="1" customWidth="1"/>
    <col min="13306" max="13306" width="30.1640625" style="132" bestFit="1" customWidth="1"/>
    <col min="13307" max="13307" width="21" style="132" customWidth="1"/>
    <col min="13308" max="13309" width="13.5" style="132" customWidth="1"/>
    <col min="13310" max="13310" width="21.83203125" style="132" bestFit="1" customWidth="1"/>
    <col min="13311" max="13311" width="12" style="132" customWidth="1"/>
    <col min="13312" max="13312" width="11.5" style="132" bestFit="1" customWidth="1"/>
    <col min="13313" max="13313" width="13.5" style="132" customWidth="1"/>
    <col min="13314" max="13314" width="15.5" style="132" customWidth="1"/>
    <col min="13315" max="13316" width="18.5" style="132" customWidth="1"/>
    <col min="13317" max="13317" width="17.83203125" style="132" customWidth="1"/>
    <col min="13318" max="13560" width="9.1640625" style="132"/>
    <col min="13561" max="13561" width="10.33203125" style="132" bestFit="1" customWidth="1"/>
    <col min="13562" max="13562" width="30.1640625" style="132" bestFit="1" customWidth="1"/>
    <col min="13563" max="13563" width="21" style="132" customWidth="1"/>
    <col min="13564" max="13565" width="13.5" style="132" customWidth="1"/>
    <col min="13566" max="13566" width="21.83203125" style="132" bestFit="1" customWidth="1"/>
    <col min="13567" max="13567" width="12" style="132" customWidth="1"/>
    <col min="13568" max="13568" width="11.5" style="132" bestFit="1" customWidth="1"/>
    <col min="13569" max="13569" width="13.5" style="132" customWidth="1"/>
    <col min="13570" max="13570" width="15.5" style="132" customWidth="1"/>
    <col min="13571" max="13572" width="18.5" style="132" customWidth="1"/>
    <col min="13573" max="13573" width="17.83203125" style="132" customWidth="1"/>
    <col min="13574" max="13816" width="9.1640625" style="132"/>
    <col min="13817" max="13817" width="10.33203125" style="132" bestFit="1" customWidth="1"/>
    <col min="13818" max="13818" width="30.1640625" style="132" bestFit="1" customWidth="1"/>
    <col min="13819" max="13819" width="21" style="132" customWidth="1"/>
    <col min="13820" max="13821" width="13.5" style="132" customWidth="1"/>
    <col min="13822" max="13822" width="21.83203125" style="132" bestFit="1" customWidth="1"/>
    <col min="13823" max="13823" width="12" style="132" customWidth="1"/>
    <col min="13824" max="13824" width="11.5" style="132" bestFit="1" customWidth="1"/>
    <col min="13825" max="13825" width="13.5" style="132" customWidth="1"/>
    <col min="13826" max="13826" width="15.5" style="132" customWidth="1"/>
    <col min="13827" max="13828" width="18.5" style="132" customWidth="1"/>
    <col min="13829" max="13829" width="17.83203125" style="132" customWidth="1"/>
    <col min="13830" max="14072" width="9.1640625" style="132"/>
    <col min="14073" max="14073" width="10.33203125" style="132" bestFit="1" customWidth="1"/>
    <col min="14074" max="14074" width="30.1640625" style="132" bestFit="1" customWidth="1"/>
    <col min="14075" max="14075" width="21" style="132" customWidth="1"/>
    <col min="14076" max="14077" width="13.5" style="132" customWidth="1"/>
    <col min="14078" max="14078" width="21.83203125" style="132" bestFit="1" customWidth="1"/>
    <col min="14079" max="14079" width="12" style="132" customWidth="1"/>
    <col min="14080" max="14080" width="11.5" style="132" bestFit="1" customWidth="1"/>
    <col min="14081" max="14081" width="13.5" style="132" customWidth="1"/>
    <col min="14082" max="14082" width="15.5" style="132" customWidth="1"/>
    <col min="14083" max="14084" width="18.5" style="132" customWidth="1"/>
    <col min="14085" max="14085" width="17.83203125" style="132" customWidth="1"/>
    <col min="14086" max="14328" width="9.1640625" style="132"/>
    <col min="14329" max="14329" width="10.33203125" style="132" bestFit="1" customWidth="1"/>
    <col min="14330" max="14330" width="30.1640625" style="132" bestFit="1" customWidth="1"/>
    <col min="14331" max="14331" width="21" style="132" customWidth="1"/>
    <col min="14332" max="14333" width="13.5" style="132" customWidth="1"/>
    <col min="14334" max="14334" width="21.83203125" style="132" bestFit="1" customWidth="1"/>
    <col min="14335" max="14335" width="12" style="132" customWidth="1"/>
    <col min="14336" max="14336" width="11.5" style="132" bestFit="1" customWidth="1"/>
    <col min="14337" max="14337" width="13.5" style="132" customWidth="1"/>
    <col min="14338" max="14338" width="15.5" style="132" customWidth="1"/>
    <col min="14339" max="14340" width="18.5" style="132" customWidth="1"/>
    <col min="14341" max="14341" width="17.83203125" style="132" customWidth="1"/>
    <col min="14342" max="14584" width="9.1640625" style="132"/>
    <col min="14585" max="14585" width="10.33203125" style="132" bestFit="1" customWidth="1"/>
    <col min="14586" max="14586" width="30.1640625" style="132" bestFit="1" customWidth="1"/>
    <col min="14587" max="14587" width="21" style="132" customWidth="1"/>
    <col min="14588" max="14589" width="13.5" style="132" customWidth="1"/>
    <col min="14590" max="14590" width="21.83203125" style="132" bestFit="1" customWidth="1"/>
    <col min="14591" max="14591" width="12" style="132" customWidth="1"/>
    <col min="14592" max="14592" width="11.5" style="132" bestFit="1" customWidth="1"/>
    <col min="14593" max="14593" width="13.5" style="132" customWidth="1"/>
    <col min="14594" max="14594" width="15.5" style="132" customWidth="1"/>
    <col min="14595" max="14596" width="18.5" style="132" customWidth="1"/>
    <col min="14597" max="14597" width="17.83203125" style="132" customWidth="1"/>
    <col min="14598" max="14840" width="9.1640625" style="132"/>
    <col min="14841" max="14841" width="10.33203125" style="132" bestFit="1" customWidth="1"/>
    <col min="14842" max="14842" width="30.1640625" style="132" bestFit="1" customWidth="1"/>
    <col min="14843" max="14843" width="21" style="132" customWidth="1"/>
    <col min="14844" max="14845" width="13.5" style="132" customWidth="1"/>
    <col min="14846" max="14846" width="21.83203125" style="132" bestFit="1" customWidth="1"/>
    <col min="14847" max="14847" width="12" style="132" customWidth="1"/>
    <col min="14848" max="14848" width="11.5" style="132" bestFit="1" customWidth="1"/>
    <col min="14849" max="14849" width="13.5" style="132" customWidth="1"/>
    <col min="14850" max="14850" width="15.5" style="132" customWidth="1"/>
    <col min="14851" max="14852" width="18.5" style="132" customWidth="1"/>
    <col min="14853" max="14853" width="17.83203125" style="132" customWidth="1"/>
    <col min="14854" max="15096" width="9.1640625" style="132"/>
    <col min="15097" max="15097" width="10.33203125" style="132" bestFit="1" customWidth="1"/>
    <col min="15098" max="15098" width="30.1640625" style="132" bestFit="1" customWidth="1"/>
    <col min="15099" max="15099" width="21" style="132" customWidth="1"/>
    <col min="15100" max="15101" width="13.5" style="132" customWidth="1"/>
    <col min="15102" max="15102" width="21.83203125" style="132" bestFit="1" customWidth="1"/>
    <col min="15103" max="15103" width="12" style="132" customWidth="1"/>
    <col min="15104" max="15104" width="11.5" style="132" bestFit="1" customWidth="1"/>
    <col min="15105" max="15105" width="13.5" style="132" customWidth="1"/>
    <col min="15106" max="15106" width="15.5" style="132" customWidth="1"/>
    <col min="15107" max="15108" width="18.5" style="132" customWidth="1"/>
    <col min="15109" max="15109" width="17.83203125" style="132" customWidth="1"/>
    <col min="15110" max="15352" width="9.1640625" style="132"/>
    <col min="15353" max="15353" width="10.33203125" style="132" bestFit="1" customWidth="1"/>
    <col min="15354" max="15354" width="30.1640625" style="132" bestFit="1" customWidth="1"/>
    <col min="15355" max="15355" width="21" style="132" customWidth="1"/>
    <col min="15356" max="15357" width="13.5" style="132" customWidth="1"/>
    <col min="15358" max="15358" width="21.83203125" style="132" bestFit="1" customWidth="1"/>
    <col min="15359" max="15359" width="12" style="132" customWidth="1"/>
    <col min="15360" max="15360" width="11.5" style="132" bestFit="1" customWidth="1"/>
    <col min="15361" max="15361" width="13.5" style="132" customWidth="1"/>
    <col min="15362" max="15362" width="15.5" style="132" customWidth="1"/>
    <col min="15363" max="15364" width="18.5" style="132" customWidth="1"/>
    <col min="15365" max="15365" width="17.83203125" style="132" customWidth="1"/>
    <col min="15366" max="15608" width="9.1640625" style="132"/>
    <col min="15609" max="15609" width="10.33203125" style="132" bestFit="1" customWidth="1"/>
    <col min="15610" max="15610" width="30.1640625" style="132" bestFit="1" customWidth="1"/>
    <col min="15611" max="15611" width="21" style="132" customWidth="1"/>
    <col min="15612" max="15613" width="13.5" style="132" customWidth="1"/>
    <col min="15614" max="15614" width="21.83203125" style="132" bestFit="1" customWidth="1"/>
    <col min="15615" max="15615" width="12" style="132" customWidth="1"/>
    <col min="15616" max="15616" width="11.5" style="132" bestFit="1" customWidth="1"/>
    <col min="15617" max="15617" width="13.5" style="132" customWidth="1"/>
    <col min="15618" max="15618" width="15.5" style="132" customWidth="1"/>
    <col min="15619" max="15620" width="18.5" style="132" customWidth="1"/>
    <col min="15621" max="15621" width="17.83203125" style="132" customWidth="1"/>
    <col min="15622" max="15864" width="9.1640625" style="132"/>
    <col min="15865" max="15865" width="10.33203125" style="132" bestFit="1" customWidth="1"/>
    <col min="15866" max="15866" width="30.1640625" style="132" bestFit="1" customWidth="1"/>
    <col min="15867" max="15867" width="21" style="132" customWidth="1"/>
    <col min="15868" max="15869" width="13.5" style="132" customWidth="1"/>
    <col min="15870" max="15870" width="21.83203125" style="132" bestFit="1" customWidth="1"/>
    <col min="15871" max="15871" width="12" style="132" customWidth="1"/>
    <col min="15872" max="15872" width="11.5" style="132" bestFit="1" customWidth="1"/>
    <col min="15873" max="15873" width="13.5" style="132" customWidth="1"/>
    <col min="15874" max="15874" width="15.5" style="132" customWidth="1"/>
    <col min="15875" max="15876" width="18.5" style="132" customWidth="1"/>
    <col min="15877" max="15877" width="17.83203125" style="132" customWidth="1"/>
    <col min="15878" max="16120" width="9.1640625" style="132"/>
    <col min="16121" max="16121" width="10.33203125" style="132" bestFit="1" customWidth="1"/>
    <col min="16122" max="16122" width="30.1640625" style="132" bestFit="1" customWidth="1"/>
    <col min="16123" max="16123" width="21" style="132" customWidth="1"/>
    <col min="16124" max="16125" width="13.5" style="132" customWidth="1"/>
    <col min="16126" max="16126" width="21.83203125" style="132" bestFit="1" customWidth="1"/>
    <col min="16127" max="16127" width="12" style="132" customWidth="1"/>
    <col min="16128" max="16128" width="11.5" style="132" bestFit="1" customWidth="1"/>
    <col min="16129" max="16129" width="13.5" style="132" customWidth="1"/>
    <col min="16130" max="16130" width="15.5" style="132" customWidth="1"/>
    <col min="16131" max="16132" width="18.5" style="132" customWidth="1"/>
    <col min="16133" max="16133" width="17.83203125" style="132" customWidth="1"/>
    <col min="16134" max="16383" width="9.1640625" style="132"/>
    <col min="16384" max="16384" width="9.1640625" style="132" customWidth="1"/>
  </cols>
  <sheetData>
    <row r="1" spans="1:7" ht="43.5" customHeight="1">
      <c r="A1" s="130" t="s">
        <v>20</v>
      </c>
      <c r="B1" s="77" t="s">
        <v>14</v>
      </c>
      <c r="C1" s="130" t="s">
        <v>15</v>
      </c>
      <c r="D1" s="131" t="s">
        <v>107</v>
      </c>
      <c r="E1" s="131" t="s">
        <v>108</v>
      </c>
      <c r="F1" s="130" t="s">
        <v>109</v>
      </c>
      <c r="G1" s="130" t="s">
        <v>84</v>
      </c>
    </row>
    <row r="2" spans="1:7" ht="17">
      <c r="A2" s="125">
        <f>ROW()-1</f>
        <v>1</v>
      </c>
      <c r="B2" s="126" t="s">
        <v>85</v>
      </c>
      <c r="C2" s="105" t="s">
        <v>88</v>
      </c>
      <c r="D2" s="133"/>
      <c r="E2" s="127">
        <v>200000</v>
      </c>
      <c r="F2" s="128"/>
      <c r="G2" s="128"/>
    </row>
    <row r="3" spans="1:7" ht="17">
      <c r="A3" s="125">
        <f t="shared" ref="A3:A5" si="0">ROW()-1</f>
        <v>2</v>
      </c>
      <c r="B3" s="126" t="s">
        <v>86</v>
      </c>
      <c r="C3" s="105" t="s">
        <v>89</v>
      </c>
      <c r="D3" s="133"/>
      <c r="E3" s="127"/>
      <c r="F3" s="128">
        <v>2000000</v>
      </c>
      <c r="G3" s="128"/>
    </row>
    <row r="4" spans="1:7" ht="17">
      <c r="A4" s="125">
        <f t="shared" si="0"/>
        <v>3</v>
      </c>
      <c r="B4" s="126" t="s">
        <v>72</v>
      </c>
      <c r="C4" s="105" t="s">
        <v>90</v>
      </c>
      <c r="D4" s="133"/>
      <c r="E4" s="127"/>
      <c r="F4" s="128"/>
      <c r="G4" s="128">
        <v>1000000</v>
      </c>
    </row>
    <row r="5" spans="1:7" ht="17">
      <c r="A5" s="125">
        <f t="shared" si="0"/>
        <v>4</v>
      </c>
      <c r="B5" s="126" t="s">
        <v>73</v>
      </c>
      <c r="C5" s="105" t="s">
        <v>91</v>
      </c>
      <c r="D5" s="133">
        <v>500000</v>
      </c>
      <c r="E5" s="127"/>
      <c r="F5" s="128"/>
      <c r="G5" s="128">
        <v>750000</v>
      </c>
    </row>
    <row r="6" spans="1:7" ht="16">
      <c r="A6" s="129"/>
    </row>
    <row r="7" spans="1:7" ht="23.25" customHeight="1">
      <c r="A7" s="129"/>
      <c r="C7" s="134"/>
    </row>
    <row r="8" spans="1:7" ht="16">
      <c r="A8" s="129"/>
    </row>
    <row r="9" spans="1:7" ht="16">
      <c r="A9" s="129"/>
    </row>
    <row r="10" spans="1:7" ht="16">
      <c r="A10" s="129"/>
    </row>
    <row r="11" spans="1:7" ht="16">
      <c r="A11" s="129"/>
    </row>
    <row r="12" spans="1:7" ht="16">
      <c r="A12" s="129"/>
    </row>
    <row r="13" spans="1:7" ht="16">
      <c r="A13" s="129"/>
    </row>
    <row r="14" spans="1:7" ht="16">
      <c r="A14" s="129"/>
    </row>
    <row r="15" spans="1:7" ht="16">
      <c r="A15" s="129"/>
    </row>
    <row r="16" spans="1:7" ht="16">
      <c r="A16" s="129"/>
    </row>
    <row r="17" spans="1:1" ht="16">
      <c r="A17" s="129"/>
    </row>
    <row r="18" spans="1:1" ht="16">
      <c r="A18" s="129"/>
    </row>
  </sheetData>
  <autoFilter ref="A1:G18" xr:uid="{00000000-0009-0000-0000-00001B000000}"/>
  <conditionalFormatting sqref="B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B2">
    <cfRule type="duplicateValues" dxfId="28" priority="1327435"/>
    <cfRule type="duplicateValues" dxfId="27" priority="1327434"/>
    <cfRule type="duplicateValues" dxfId="26" priority="1327433"/>
  </conditionalFormatting>
  <conditionalFormatting sqref="B2:B5">
    <cfRule type="duplicateValues" dxfId="25" priority="1327578"/>
    <cfRule type="duplicateValues" dxfId="24" priority="1327583" stopIfTrue="1"/>
    <cfRule type="duplicateValues" dxfId="23" priority="1327589"/>
    <cfRule type="duplicateValues" dxfId="22" priority="1327588" stopIfTrue="1"/>
    <cfRule type="duplicateValues" dxfId="21" priority="1327574"/>
    <cfRule type="duplicateValues" dxfId="20" priority="1327575"/>
    <cfRule type="duplicateValues" dxfId="19" priority="1327576"/>
    <cfRule type="duplicateValues" dxfId="18" priority="1327577"/>
    <cfRule type="duplicateValues" dxfId="17" priority="1327587" stopIfTrue="1"/>
    <cfRule type="duplicateValues" dxfId="16" priority="1327579"/>
    <cfRule type="duplicateValues" dxfId="15" priority="1327580"/>
    <cfRule type="duplicateValues" dxfId="14" priority="1327581"/>
    <cfRule type="duplicateValues" dxfId="13" priority="1327582"/>
    <cfRule type="duplicateValues" dxfId="12" priority="1327586" stopIfTrue="1"/>
    <cfRule type="duplicateValues" dxfId="11" priority="1327584" stopIfTrue="1"/>
    <cfRule type="duplicateValues" dxfId="10" priority="1327585" stopIfTrue="1"/>
  </conditionalFormatting>
  <conditionalFormatting sqref="B2:B1048576">
    <cfRule type="duplicateValues" dxfId="9" priority="46"/>
    <cfRule type="duplicateValues" dxfId="8" priority="192581"/>
    <cfRule type="duplicateValues" dxfId="7" priority="45"/>
  </conditionalFormatting>
  <conditionalFormatting sqref="B3:B5">
    <cfRule type="duplicateValues" dxfId="6" priority="1327593"/>
    <cfRule type="duplicateValues" dxfId="5" priority="1327590"/>
    <cfRule type="duplicateValues" dxfId="4" priority="1327591"/>
    <cfRule type="duplicateValues" dxfId="3" priority="1327592"/>
  </conditionalFormatting>
  <conditionalFormatting sqref="B6:B65156">
    <cfRule type="duplicateValues" dxfId="2" priority="1327773" stopIfTrue="1"/>
    <cfRule type="duplicateValues" dxfId="1" priority="1327772" stopIfTrue="1"/>
  </conditionalFormatting>
  <conditionalFormatting sqref="B6:B1048576">
    <cfRule type="duplicateValues" dxfId="0" priority="1276"/>
  </conditionalFormatting>
  <dataValidations count="1">
    <dataValidation allowBlank="1" showErrorMessage="1" sqref="B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Template Payroll</vt:lpstr>
      <vt:lpstr>PC cơm </vt:lpstr>
      <vt:lpstr>TimeTB 2</vt:lpstr>
      <vt:lpstr> TimeTB 1</vt:lpstr>
      <vt:lpstr>OT</vt:lpstr>
      <vt:lpstr>NS</vt:lpstr>
      <vt:lpstr>Others</vt:lpstr>
      <vt:lpstr>Incentive</vt:lpstr>
      <vt:lpstr>Benefit tính thuế</vt:lpstr>
      <vt:lpstr>Incentive!__xlnm.Print_Area</vt:lpstr>
      <vt:lpstr>Incentive!__xlnm.Print_Titles</vt:lpstr>
      <vt:lpstr>NS!__xlnm.Print_Titles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2026-01-14T08:00:34Z</dcterms:modified>
</cp:coreProperties>
</file>