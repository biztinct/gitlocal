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Golden/"/>
    </mc:Choice>
  </mc:AlternateContent>
  <xr:revisionPtr revIDLastSave="0" documentId="13_ncr:1_{AA298EE4-87CF-D24C-A106-6F8162C79E7B}" xr6:coauthVersionLast="47" xr6:coauthVersionMax="47" xr10:uidLastSave="{00000000-0000-0000-0000-000000000000}"/>
  <bookViews>
    <workbookView xWindow="0" yWindow="500" windowWidth="35840" windowHeight="211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Others" sheetId="366" r:id="rId7"/>
    <sheet name="Incentive" sheetId="347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7">Incentive!#REF!</definedName>
    <definedName name="__xlnm._FilterDatabase" localSheetId="5">NS!#REF!</definedName>
    <definedName name="__xlnm._FilterDatabase_1" localSheetId="3">#REF!</definedName>
    <definedName name="__xlnm._FilterDatabase_1" localSheetId="7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7">#REF!</definedName>
    <definedName name="__xlnm._FilterDatabase_2">#REF!</definedName>
    <definedName name="__xlnm._FilterDatabase_3" localSheetId="3">#REF!</definedName>
    <definedName name="__xlnm._FilterDatabase_3" localSheetId="7">#REF!</definedName>
    <definedName name="__xlnm._FilterDatabase_3">#REF!</definedName>
    <definedName name="__xlnm._FilterDatabase_4" localSheetId="3">#REF!</definedName>
    <definedName name="__xlnm._FilterDatabase_4" localSheetId="7">#REF!</definedName>
    <definedName name="__xlnm._FilterDatabase_4">#REF!</definedName>
    <definedName name="__xlnm._FilterDatabase_5" localSheetId="3">#REF!</definedName>
    <definedName name="__xlnm._FilterDatabase_5" localSheetId="7">#REF!</definedName>
    <definedName name="__xlnm._FilterDatabase_5">#REF!</definedName>
    <definedName name="__xlnm._FilterDatabase_6" localSheetId="7">#REF!</definedName>
    <definedName name="__xlnm._FilterDatabase_6">#REF!</definedName>
    <definedName name="__xlnm._FilterDatabase_7" localSheetId="3">#REF!</definedName>
    <definedName name="__xlnm._FilterDatabase_7" localSheetId="7">#REF!</definedName>
    <definedName name="__xlnm._FilterDatabase_7">#REF!</definedName>
    <definedName name="__xlnm.Print_Area" localSheetId="7">Incentive!$A$1:$G$8</definedName>
    <definedName name="__xlnm.Print_Titles" localSheetId="7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1'!$A$3:$P$10</definedName>
    <definedName name="_xlnm._FilterDatabase" localSheetId="8" hidden="1">'Benefit tính thuế'!$A$1:$G$18</definedName>
    <definedName name="_xlnm._FilterDatabase" localSheetId="7" hidden="1">Incentive!$A$3:$J$7</definedName>
    <definedName name="_xlnm._FilterDatabase" localSheetId="5" hidden="1">NS!$A$1:$F$5</definedName>
    <definedName name="_xlnm._FilterDatabase" localSheetId="6" hidden="1">Others!$A$7:$F$9</definedName>
    <definedName name="_xlnm._FilterDatabase" localSheetId="1" hidden="1">'PC cơm '!$A$2:$L$4</definedName>
    <definedName name="_xlnm._FilterDatabase" localSheetId="0" hidden="1">'Template Payroll'!$A$4:$CG$6</definedName>
    <definedName name="_xlnm._FilterDatabase" localSheetId="2">'TimeTB 2'!$A$3:$S$5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7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7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7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7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7">#REF!</definedName>
    <definedName name="dayinmonth">#REF!</definedName>
    <definedName name="daymonth" localSheetId="3">[6]Payroll!$XEP$19:$XES$32</definedName>
    <definedName name="daymonth" localSheetId="7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7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7">#REF!</definedName>
    <definedName name="HUYEN_HOC_MON">#REF!</definedName>
    <definedName name="HUYEN_NHA_BE" localSheetId="3">#REF!</definedName>
    <definedName name="HUYEN_NHA_BE" localSheetId="7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7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7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7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7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7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7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7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7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7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7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7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7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7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7">Incentive!$A$1:$J$8</definedName>
    <definedName name="_xlnm.Print_Area" localSheetId="2">'TimeTB 2'!$B$1:$S$27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7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7">#REF!</definedName>
    <definedName name="QUAN_1">#REF!</definedName>
    <definedName name="QUAN_10" localSheetId="3">#REF!</definedName>
    <definedName name="QUAN_10" localSheetId="7">#REF!</definedName>
    <definedName name="QUAN_10">#REF!</definedName>
    <definedName name="QUAN_11" localSheetId="3">#REF!</definedName>
    <definedName name="QUAN_11" localSheetId="7">#REF!</definedName>
    <definedName name="QUAN_11">#REF!</definedName>
    <definedName name="QUAN_12" localSheetId="3">#REF!</definedName>
    <definedName name="QUAN_12" localSheetId="7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7">#REF!</definedName>
    <definedName name="QUAN_2">#REF!</definedName>
    <definedName name="quan_21">!#REF!</definedName>
    <definedName name="QUAN_3" localSheetId="3">#REF!</definedName>
    <definedName name="QUAN_3" localSheetId="7">#REF!</definedName>
    <definedName name="QUAN_3">#REF!</definedName>
    <definedName name="QUẬN_3">!#REF!</definedName>
    <definedName name="QUAN_4" localSheetId="3">#REF!</definedName>
    <definedName name="QUAN_4" localSheetId="7">#REF!</definedName>
    <definedName name="QUAN_4">#REF!</definedName>
    <definedName name="QUAN_41">!#REF!</definedName>
    <definedName name="QUAN_5" localSheetId="3">#REF!</definedName>
    <definedName name="QUAN_5" localSheetId="7">#REF!</definedName>
    <definedName name="QUAN_5">#REF!</definedName>
    <definedName name="QUAN_6" localSheetId="3">#REF!</definedName>
    <definedName name="QUAN_6" localSheetId="7">#REF!</definedName>
    <definedName name="QUAN_6">#REF!</definedName>
    <definedName name="QUAN_7" localSheetId="3">#REF!</definedName>
    <definedName name="QUAN_7" localSheetId="7">#REF!</definedName>
    <definedName name="QUAN_7">#REF!</definedName>
    <definedName name="QUAN_8" localSheetId="3">#REF!</definedName>
    <definedName name="QUAN_8" localSheetId="7">#REF!</definedName>
    <definedName name="QUAN_8">#REF!</definedName>
    <definedName name="QUAN_9" localSheetId="3">#REF!</definedName>
    <definedName name="QUAN_9" localSheetId="7">#REF!</definedName>
    <definedName name="QUAN_9">#REF!</definedName>
    <definedName name="QUAN_BINH_TAN" localSheetId="3">#REF!</definedName>
    <definedName name="QUAN_BINH_TAN" localSheetId="7">#REF!</definedName>
    <definedName name="QUAN_BINH_TAN">#REF!</definedName>
    <definedName name="QUAN_BINH_THANH" localSheetId="3">#REF!</definedName>
    <definedName name="QUAN_BINH_THANH" localSheetId="7">#REF!</definedName>
    <definedName name="QUAN_BINH_THANH">#REF!</definedName>
    <definedName name="QUAN_GO_VAP" localSheetId="3">#REF!</definedName>
    <definedName name="QUAN_GO_VAP" localSheetId="7">#REF!</definedName>
    <definedName name="QUAN_GO_VAP">#REF!</definedName>
    <definedName name="QUAN_PHU_NHUAN" localSheetId="3">#REF!</definedName>
    <definedName name="QUAN_PHU_NHUAN" localSheetId="7">#REF!</definedName>
    <definedName name="QUAN_PHU_NHUAN">#REF!</definedName>
    <definedName name="QUAN_TAN_BINH" localSheetId="3">#REF!</definedName>
    <definedName name="QUAN_TAN_BINH" localSheetId="7">#REF!</definedName>
    <definedName name="QUAN_TAN_BINH">#REF!</definedName>
    <definedName name="QUAN_TAN_PHU" localSheetId="3">#REF!</definedName>
    <definedName name="QUAN_TAN_PHU" localSheetId="7">#REF!</definedName>
    <definedName name="QUAN_TAN_PHU">#REF!</definedName>
    <definedName name="QUAN_THU_DUC" localSheetId="3">#REF!</definedName>
    <definedName name="QUAN_THU_DUC" localSheetId="7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7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7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7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7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66" l="1"/>
  <c r="F9" i="366" s="1"/>
  <c r="E8" i="366"/>
  <c r="F8" i="366" s="1"/>
  <c r="D4" i="440" l="1"/>
  <c r="D5" i="440"/>
  <c r="D6" i="440"/>
  <c r="D7" i="440"/>
  <c r="D8" i="440"/>
  <c r="D9" i="440"/>
  <c r="D10" i="440"/>
  <c r="D3" i="440"/>
  <c r="R9" i="440" l="1"/>
  <c r="O9" i="440"/>
  <c r="L9" i="440"/>
  <c r="P9" i="440"/>
  <c r="M9" i="440"/>
  <c r="N9" i="440"/>
  <c r="K9" i="440"/>
  <c r="P8" i="440"/>
  <c r="M8" i="440"/>
  <c r="O8" i="440"/>
  <c r="R8" i="440"/>
  <c r="N8" i="440"/>
  <c r="K8" i="440"/>
  <c r="L8" i="440"/>
  <c r="O3" i="440"/>
  <c r="L3" i="440"/>
  <c r="P3" i="440"/>
  <c r="M3" i="440"/>
  <c r="N3" i="440"/>
  <c r="K3" i="440"/>
  <c r="P7" i="440"/>
  <c r="M7" i="440"/>
  <c r="R7" i="440"/>
  <c r="N7" i="440"/>
  <c r="K7" i="440"/>
  <c r="O7" i="440"/>
  <c r="L7" i="440"/>
  <c r="N5" i="440"/>
  <c r="K5" i="440"/>
  <c r="O5" i="440"/>
  <c r="L5" i="440"/>
  <c r="P5" i="440"/>
  <c r="M5" i="440"/>
  <c r="R5" i="440"/>
  <c r="R10" i="440"/>
  <c r="O10" i="440"/>
  <c r="P10" i="440"/>
  <c r="M10" i="440"/>
  <c r="N10" i="440"/>
  <c r="K10" i="440"/>
  <c r="L10" i="440"/>
  <c r="M6" i="440"/>
  <c r="N6" i="440"/>
  <c r="K6" i="440"/>
  <c r="O6" i="440"/>
  <c r="L6" i="440"/>
  <c r="P6" i="440"/>
  <c r="R6" i="440"/>
  <c r="M4" i="440"/>
  <c r="N4" i="440"/>
  <c r="K4" i="440"/>
  <c r="O4" i="440"/>
  <c r="L4" i="440"/>
  <c r="R4" i="440"/>
  <c r="P4" i="440"/>
  <c r="BN7" i="439"/>
  <c r="BN8" i="439"/>
  <c r="BN9" i="439"/>
  <c r="BN10" i="439"/>
  <c r="BN11" i="439"/>
  <c r="BN12" i="439"/>
  <c r="BN13" i="439"/>
  <c r="BN6" i="439"/>
  <c r="AH7" i="439"/>
  <c r="AH11" i="439"/>
  <c r="AH12" i="439"/>
  <c r="AH13" i="439"/>
  <c r="AG7" i="439"/>
  <c r="AG8" i="439"/>
  <c r="AG9" i="439"/>
  <c r="AG10" i="439"/>
  <c r="AG11" i="439"/>
  <c r="AG12" i="439"/>
  <c r="AG13" i="439"/>
  <c r="AG6" i="439"/>
  <c r="Q5" i="440" l="1"/>
  <c r="S5" i="440" s="1"/>
  <c r="Q6" i="440"/>
  <c r="S6" i="440" s="1"/>
  <c r="Q3" i="440"/>
  <c r="Q9" i="440"/>
  <c r="S9" i="440" s="1"/>
  <c r="Q10" i="440"/>
  <c r="S10" i="440" s="1"/>
  <c r="Q4" i="440"/>
  <c r="S4" i="440" s="1"/>
  <c r="Q7" i="440"/>
  <c r="S7" i="440" s="1"/>
  <c r="Q8" i="440"/>
  <c r="S8" i="440" s="1"/>
  <c r="N7" i="439"/>
  <c r="N8" i="439"/>
  <c r="N9" i="439"/>
  <c r="N10" i="439"/>
  <c r="N11" i="439"/>
  <c r="N12" i="439"/>
  <c r="N13" i="439"/>
  <c r="N6" i="439"/>
  <c r="CG5" i="439" l="1"/>
  <c r="BB25" i="439" s="1"/>
  <c r="CH5" i="439"/>
  <c r="BD25" i="439"/>
  <c r="AN7" i="439" l="1"/>
  <c r="AN8" i="439"/>
  <c r="AN9" i="439"/>
  <c r="AN10" i="439"/>
  <c r="AN11" i="439"/>
  <c r="AN12" i="439"/>
  <c r="AN6" i="439"/>
  <c r="D3" i="5" l="1"/>
  <c r="F3" i="5" s="1"/>
  <c r="AB7" i="439" s="1"/>
  <c r="D4" i="5"/>
  <c r="F4" i="5" s="1"/>
  <c r="AB8" i="439" s="1"/>
  <c r="D5" i="5"/>
  <c r="F5" i="5" s="1"/>
  <c r="AB9" i="439" s="1"/>
  <c r="D6" i="5"/>
  <c r="F6" i="5" s="1"/>
  <c r="D7" i="5"/>
  <c r="F7" i="5" s="1"/>
  <c r="D8" i="5"/>
  <c r="F8" i="5" s="1"/>
  <c r="D9" i="5"/>
  <c r="F9" i="5" s="1"/>
  <c r="D2" i="5"/>
  <c r="F4" i="430"/>
  <c r="F5" i="430"/>
  <c r="I5" i="430" s="1"/>
  <c r="F6" i="430"/>
  <c r="I6" i="430" s="1"/>
  <c r="F7" i="430"/>
  <c r="I7" i="430" s="1"/>
  <c r="F8" i="430"/>
  <c r="I8" i="430" s="1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P7" i="439"/>
  <c r="P8" i="439"/>
  <c r="P9" i="439"/>
  <c r="P11" i="439"/>
  <c r="P6" i="439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6" i="439"/>
  <c r="L7" i="439"/>
  <c r="L9" i="439"/>
  <c r="L10" i="439"/>
  <c r="L11" i="439"/>
  <c r="L12" i="439"/>
  <c r="L8" i="439"/>
  <c r="L13" i="439"/>
  <c r="BL13" i="439"/>
  <c r="BK13" i="439"/>
  <c r="BJ13" i="439"/>
  <c r="AY13" i="439"/>
  <c r="AX13" i="439"/>
  <c r="AU13" i="439"/>
  <c r="AP13" i="439"/>
  <c r="AN13" i="439"/>
  <c r="AM13" i="439"/>
  <c r="AF13" i="439"/>
  <c r="BL8" i="439"/>
  <c r="BK8" i="439"/>
  <c r="AP8" i="439"/>
  <c r="AM8" i="439"/>
  <c r="AF8" i="439"/>
  <c r="BL12" i="439"/>
  <c r="BK12" i="439"/>
  <c r="AP12" i="439"/>
  <c r="AM12" i="439"/>
  <c r="AF12" i="439"/>
  <c r="BL11" i="439"/>
  <c r="BK11" i="439"/>
  <c r="AP11" i="439"/>
  <c r="AM11" i="439"/>
  <c r="AF11" i="439"/>
  <c r="BL10" i="439"/>
  <c r="BK10" i="439"/>
  <c r="BJ10" i="439"/>
  <c r="AY10" i="439"/>
  <c r="AX10" i="439"/>
  <c r="AU10" i="439"/>
  <c r="AP10" i="439"/>
  <c r="AM10" i="439"/>
  <c r="AF10" i="439"/>
  <c r="BL9" i="439"/>
  <c r="BK9" i="439"/>
  <c r="BJ9" i="439"/>
  <c r="AP9" i="439"/>
  <c r="AM9" i="439"/>
  <c r="AF9" i="439"/>
  <c r="BL7" i="439"/>
  <c r="BK7" i="439"/>
  <c r="AP7" i="439"/>
  <c r="AM7" i="439"/>
  <c r="AF7" i="439"/>
  <c r="AF6" i="439"/>
  <c r="AH6" i="439"/>
  <c r="AM6" i="439"/>
  <c r="AP6" i="439"/>
  <c r="BK6" i="439"/>
  <c r="BL6" i="439"/>
  <c r="H9" i="5" l="1"/>
  <c r="AB13" i="439"/>
  <c r="H8" i="5"/>
  <c r="AB12" i="439"/>
  <c r="H7" i="5"/>
  <c r="AB11" i="439"/>
  <c r="H6" i="5"/>
  <c r="AB10" i="439"/>
  <c r="H5" i="5"/>
  <c r="H4" i="5"/>
  <c r="H3" i="5"/>
  <c r="M9" i="340"/>
  <c r="O9" i="340" s="1"/>
  <c r="O11" i="439" s="1"/>
  <c r="Q11" i="439" s="1"/>
  <c r="R11" i="439" s="1"/>
  <c r="M10" i="340"/>
  <c r="O10" i="340" s="1"/>
  <c r="O12" i="439" s="1"/>
  <c r="Q12" i="439" s="1"/>
  <c r="M7" i="340"/>
  <c r="O7" i="340" s="1"/>
  <c r="O9" i="439" s="1"/>
  <c r="T9" i="439" s="1"/>
  <c r="M11" i="340"/>
  <c r="O11" i="340" s="1"/>
  <c r="O13" i="439" s="1"/>
  <c r="Q13" i="439" s="1"/>
  <c r="M6" i="340"/>
  <c r="O6" i="340" s="1"/>
  <c r="M8" i="340"/>
  <c r="O8" i="340" s="1"/>
  <c r="O10" i="439" s="1"/>
  <c r="Q10" i="439" s="1"/>
  <c r="S11" i="439"/>
  <c r="S9" i="439"/>
  <c r="BQ13" i="439"/>
  <c r="P12" i="439"/>
  <c r="BQ10" i="439"/>
  <c r="S12" i="439"/>
  <c r="S7" i="439"/>
  <c r="S8" i="439"/>
  <c r="S6" i="439"/>
  <c r="G4" i="5" l="1"/>
  <c r="AL8" i="439"/>
  <c r="G5" i="5"/>
  <c r="AL9" i="439"/>
  <c r="G7" i="5"/>
  <c r="AL11" i="439"/>
  <c r="G8" i="5"/>
  <c r="AL12" i="439"/>
  <c r="G3" i="5"/>
  <c r="AL7" i="439"/>
  <c r="G6" i="5"/>
  <c r="AL10" i="439"/>
  <c r="G9" i="5"/>
  <c r="AL13" i="439"/>
  <c r="T10" i="439"/>
  <c r="U9" i="439"/>
  <c r="T12" i="439"/>
  <c r="U12" i="439" s="1"/>
  <c r="E4" i="366"/>
  <c r="O8" i="439"/>
  <c r="Q9" i="439"/>
  <c r="R9" i="439" s="1"/>
  <c r="T11" i="439"/>
  <c r="U11" i="439" s="1"/>
  <c r="T13" i="439"/>
  <c r="R12" i="439"/>
  <c r="Q8" i="439" l="1"/>
  <c r="R8" i="439" s="1"/>
  <c r="T8" i="439"/>
  <c r="U8" i="439" s="1"/>
  <c r="G4" i="430" l="1"/>
  <c r="R3" i="440" l="1"/>
  <c r="AA6" i="439" l="1"/>
  <c r="S3" i="440" l="1"/>
  <c r="AK6" i="439" s="1"/>
  <c r="G3" i="430" l="1"/>
  <c r="E3" i="430"/>
  <c r="E4" i="430"/>
  <c r="BG9" i="439" l="1"/>
  <c r="BG6" i="439"/>
  <c r="BG7" i="439"/>
  <c r="BG11" i="439"/>
  <c r="BG13" i="439"/>
  <c r="BG10" i="439"/>
  <c r="BG12" i="439"/>
  <c r="BG8" i="439"/>
  <c r="BF9" i="439"/>
  <c r="BF6" i="439"/>
  <c r="BF10" i="439"/>
  <c r="BF11" i="439"/>
  <c r="BF7" i="439"/>
  <c r="BF13" i="439"/>
  <c r="BF12" i="439"/>
  <c r="BF8" i="439"/>
  <c r="AQ10" i="439" l="1"/>
  <c r="BB10" i="439"/>
  <c r="BA10" i="439"/>
  <c r="AR10" i="439"/>
  <c r="BC7" i="439"/>
  <c r="BD7" i="439"/>
  <c r="AS7" i="439"/>
  <c r="AQ9" i="439"/>
  <c r="AR9" i="439"/>
  <c r="BA9" i="439"/>
  <c r="BB9" i="439"/>
  <c r="BD12" i="439"/>
  <c r="AS12" i="439"/>
  <c r="BC12" i="439"/>
  <c r="AS13" i="439"/>
  <c r="BD13" i="439"/>
  <c r="BC13" i="439"/>
  <c r="AS6" i="439"/>
  <c r="BD6" i="439"/>
  <c r="BC6" i="439"/>
  <c r="BJ11" i="439"/>
  <c r="BA11" i="439"/>
  <c r="AQ11" i="439"/>
  <c r="AR11" i="439"/>
  <c r="BB11" i="439"/>
  <c r="BJ6" i="439"/>
  <c r="BB6" i="439"/>
  <c r="AQ6" i="439"/>
  <c r="BA6" i="439"/>
  <c r="AR6" i="439"/>
  <c r="AS8" i="439"/>
  <c r="BD8" i="439"/>
  <c r="BC8" i="439"/>
  <c r="AS10" i="439"/>
  <c r="AT10" i="439" s="1"/>
  <c r="BD10" i="439"/>
  <c r="BC10" i="439"/>
  <c r="BA8" i="439"/>
  <c r="BJ8" i="439"/>
  <c r="AQ8" i="439"/>
  <c r="AR8" i="439"/>
  <c r="BB8" i="439"/>
  <c r="BD11" i="439"/>
  <c r="BC11" i="439"/>
  <c r="AS11" i="439"/>
  <c r="AR12" i="439"/>
  <c r="BJ12" i="439"/>
  <c r="AQ12" i="439"/>
  <c r="BA12" i="439"/>
  <c r="BB12" i="439"/>
  <c r="BB13" i="439"/>
  <c r="BA13" i="439"/>
  <c r="AQ13" i="439"/>
  <c r="AR13" i="439"/>
  <c r="BB7" i="439"/>
  <c r="AR7" i="439"/>
  <c r="AQ7" i="439"/>
  <c r="BJ7" i="439"/>
  <c r="BA7" i="439"/>
  <c r="BD9" i="439"/>
  <c r="BC9" i="439"/>
  <c r="AS9" i="439"/>
  <c r="AT8" i="439" l="1"/>
  <c r="BE12" i="439"/>
  <c r="AT11" i="439"/>
  <c r="BE7" i="439"/>
  <c r="BE11" i="439"/>
  <c r="AT13" i="439"/>
  <c r="AT7" i="439"/>
  <c r="AT6" i="439"/>
  <c r="BE10" i="439"/>
  <c r="BE13" i="439"/>
  <c r="BE9" i="439"/>
  <c r="BE6" i="439"/>
  <c r="AT9" i="439"/>
  <c r="BE8" i="439"/>
  <c r="AT12" i="439"/>
  <c r="G5" i="348" l="1"/>
  <c r="G4" i="348"/>
  <c r="G3" i="348"/>
  <c r="G2" i="348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F10" i="328"/>
  <c r="F9" i="328"/>
  <c r="F8" i="328"/>
  <c r="F7" i="328"/>
  <c r="F6" i="328"/>
  <c r="S5" i="328"/>
  <c r="A5" i="340"/>
  <c r="A6" i="340" s="1"/>
  <c r="A7" i="340" s="1"/>
  <c r="A8" i="340" s="1"/>
  <c r="A9" i="340" s="1"/>
  <c r="A10" i="340" s="1"/>
  <c r="A11" i="340" s="1"/>
  <c r="J4" i="430"/>
  <c r="I4" i="430"/>
  <c r="H4" i="430"/>
  <c r="J3" i="430"/>
  <c r="I3" i="430"/>
  <c r="H3" i="430"/>
  <c r="K3" i="430" l="1"/>
  <c r="H1" i="347"/>
  <c r="L6" i="347"/>
  <c r="H2" i="347"/>
  <c r="J2" i="347"/>
  <c r="J1" i="347"/>
  <c r="G5" i="347"/>
  <c r="I2" i="347"/>
  <c r="G4" i="347"/>
  <c r="I1" i="347"/>
  <c r="AH10" i="439"/>
  <c r="K4" i="430"/>
  <c r="Y7" i="439" s="1"/>
  <c r="M4" i="340"/>
  <c r="M5" i="340"/>
  <c r="O5" i="340" s="1"/>
  <c r="O7" i="439" s="1"/>
  <c r="F27" i="366"/>
  <c r="Y6" i="439" l="1"/>
  <c r="AU6" i="439" s="1"/>
  <c r="BQ6" i="439" s="1"/>
  <c r="O4" i="340"/>
  <c r="O6" i="439" s="1"/>
  <c r="Q7" i="439"/>
  <c r="R7" i="439" s="1"/>
  <c r="T7" i="439"/>
  <c r="U7" i="439" s="1"/>
  <c r="Z6" i="439"/>
  <c r="F4" i="366"/>
  <c r="AH8" i="439" s="1"/>
  <c r="L4" i="347"/>
  <c r="L5" i="347"/>
  <c r="G2" i="347"/>
  <c r="G1" i="347"/>
  <c r="Q6" i="439" l="1"/>
  <c r="R6" i="439" s="1"/>
  <c r="T6" i="439"/>
  <c r="U6" i="439" s="1"/>
  <c r="AH9" i="439"/>
  <c r="F2" i="5"/>
  <c r="AB6" i="439" s="1"/>
  <c r="H2" i="5" l="1"/>
  <c r="AL6" i="439" s="1"/>
  <c r="G2" i="5" l="1"/>
  <c r="P13" i="439" l="1"/>
  <c r="R13" i="439" s="1"/>
  <c r="S13" i="439"/>
  <c r="U13" i="439" s="1"/>
  <c r="P10" i="439"/>
  <c r="R10" i="439" s="1"/>
  <c r="S10" i="439"/>
  <c r="U10" i="439" s="1"/>
  <c r="AU7" i="439" l="1"/>
  <c r="BQ7" i="439" s="1"/>
  <c r="Z7" i="439"/>
  <c r="K9" i="430" l="1"/>
  <c r="Y12" i="439" s="1"/>
  <c r="K8" i="430"/>
  <c r="Y11" i="439" s="1"/>
  <c r="K10" i="430"/>
  <c r="Y13" i="439" s="1"/>
  <c r="Z13" i="439" s="1"/>
  <c r="K7" i="430"/>
  <c r="Y10" i="439" s="1"/>
  <c r="Z10" i="439" s="1"/>
  <c r="K6" i="430"/>
  <c r="Y9" i="439" s="1"/>
  <c r="K5" i="430"/>
  <c r="Y8" i="439" s="1"/>
  <c r="AU9" i="439" l="1"/>
  <c r="BQ9" i="439" s="1"/>
  <c r="Z9" i="439"/>
  <c r="AU8" i="439"/>
  <c r="BQ8" i="439" s="1"/>
  <c r="Z8" i="439"/>
  <c r="AU11" i="439"/>
  <c r="BQ11" i="439" s="1"/>
  <c r="Z11" i="439"/>
  <c r="Z12" i="439"/>
  <c r="AU12" i="439"/>
  <c r="BQ12" i="439" s="1"/>
  <c r="AJ6" i="439"/>
  <c r="AV6" i="439" s="1"/>
  <c r="AW6" i="439" s="1"/>
  <c r="AX6" i="439" l="1"/>
  <c r="AY6" i="439"/>
  <c r="AZ6" i="439" l="1"/>
  <c r="BM6" i="439" s="1"/>
  <c r="BR6" i="439" l="1"/>
  <c r="AK10" i="439" l="1"/>
  <c r="AK7" i="439"/>
  <c r="AA8" i="439"/>
  <c r="AJ8" i="439" s="1"/>
  <c r="AA7" i="439"/>
  <c r="AJ7" i="439" s="1"/>
  <c r="AK13" i="439"/>
  <c r="AA13" i="439"/>
  <c r="AJ13" i="439" s="1"/>
  <c r="AK11" i="439"/>
  <c r="AK9" i="439"/>
  <c r="AA9" i="439"/>
  <c r="AJ9" i="439" s="1"/>
  <c r="AK8" i="439"/>
  <c r="AK12" i="439"/>
  <c r="AA12" i="439"/>
  <c r="AJ12" i="439" s="1"/>
  <c r="AA11" i="439"/>
  <c r="AJ11" i="439" s="1"/>
  <c r="AV9" i="439" l="1"/>
  <c r="AW9" i="439"/>
  <c r="AX9" i="439" s="1"/>
  <c r="AV12" i="439"/>
  <c r="AW12" i="439" s="1"/>
  <c r="AY12" i="439" s="1"/>
  <c r="AV13" i="439"/>
  <c r="AW13" i="439" s="1"/>
  <c r="AZ13" i="439" s="1"/>
  <c r="BR13" i="439" s="1"/>
  <c r="AV8" i="439"/>
  <c r="AW8" i="439" s="1"/>
  <c r="AV11" i="439"/>
  <c r="AW11" i="439" s="1"/>
  <c r="AV7" i="439"/>
  <c r="AW7" i="439" s="1"/>
  <c r="AA10" i="439"/>
  <c r="AJ10" i="439" s="1"/>
  <c r="AX12" i="439" l="1"/>
  <c r="AZ12" i="439" s="1"/>
  <c r="BM12" i="439" s="1"/>
  <c r="AY9" i="439"/>
  <c r="AZ9" i="439" s="1"/>
  <c r="AV10" i="439"/>
  <c r="AW10" i="439" s="1"/>
  <c r="AZ10" i="439" s="1"/>
  <c r="BR10" i="439" s="1"/>
  <c r="AX11" i="439"/>
  <c r="AY11" i="439"/>
  <c r="AY8" i="439"/>
  <c r="AX8" i="439"/>
  <c r="AY7" i="439"/>
  <c r="AX7" i="439"/>
  <c r="BM13" i="439"/>
  <c r="AZ8" i="439" l="1"/>
  <c r="BR12" i="439"/>
  <c r="BM9" i="439"/>
  <c r="BR9" i="439"/>
  <c r="AZ11" i="439"/>
  <c r="BR11" i="439" s="1"/>
  <c r="AZ7" i="439"/>
  <c r="BR7" i="439" s="1"/>
  <c r="BR8" i="439"/>
  <c r="BM8" i="439"/>
  <c r="BM11" i="439"/>
  <c r="BM10" i="439"/>
  <c r="BM7" i="4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rgb="FF000000"/>
            <rFont val="Tahoma"/>
            <family val="2"/>
          </rPr>
          <t>duyen: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lũy tiến
</t>
        </r>
        <r>
          <rPr>
            <sz val="9"/>
            <color rgb="FF000000"/>
            <rFont val="Tahoma"/>
            <family val="2"/>
          </rPr>
          <t>1: toàn phần</t>
        </r>
      </text>
    </comment>
  </commentList>
</comments>
</file>

<file path=xl/sharedStrings.xml><?xml version="1.0" encoding="utf-8"?>
<sst xmlns="http://schemas.openxmlformats.org/spreadsheetml/2006/main" count="415" uniqueCount="241">
  <si>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</si>
  <si>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</si>
  <si>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</si>
  <si>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</si>
  <si>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</si>
  <si>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</si>
  <si>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</si>
  <si>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</si>
  <si>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</si>
  <si>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</si>
  <si>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</si>
  <si>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</si>
  <si>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</si>
  <si>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</si>
  <si>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</si>
  <si>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</si>
  <si>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</si>
  <si>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</si>
  <si>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</si>
  <si>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</si>
  <si>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</si>
  <si>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</si>
  <si>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</si>
  <si>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</si>
  <si>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</si>
  <si>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</si>
  <si>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</si>
  <si>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</si>
  <si>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</si>
  <si>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</si>
  <si>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</si>
  <si>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</si>
  <si>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</si>
  <si>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</si>
  <si>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</si>
  <si>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</si>
  <si>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</si>
  <si>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</si>
  <si>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</si>
  <si>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</si>
  <si>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</si>
  <si>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</si>
  <si>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</si>
  <si>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</si>
  <si>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</si>
  <si>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</si>
  <si>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</si>
  <si>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</si>
  <si>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</si>
  <si>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</si>
  <si>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</si>
  <si>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</si>
  <si>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</si>
  <si>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</si>
  <si>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</si>
  <si>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</si>
  <si>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</si>
  <si>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</si>
  <si>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</si>
  <si>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</si>
  <si>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</si>
  <si>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</si>
  <si>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</si>
  <si>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</si>
  <si>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</si>
  <si>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</si>
  <si>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</si>
  <si>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</si>
  <si>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</si>
  <si>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</si>
  <si>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</si>
  <si>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</si>
  <si>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</si>
  <si>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</si>
  <si>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</si>
  <si>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</si>
  <si>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</si>
  <si>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</si>
  <si>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</si>
  <si>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</si>
  <si>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</si>
  <si>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</si>
  <si>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</si>
  <si>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</si>
  <si>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</si>
  <si>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</si>
  <si>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</si>
  <si>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</si>
  <si>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</si>
  <si>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</si>
  <si>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</si>
  <si>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</si>
  <si>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</si>
  <si>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</si>
  <si>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</si>
  <si>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</si>
  <si>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</si>
  <si>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</si>
  <si>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</si>
  <si>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</si>
  <si>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</si>
  <si>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</si>
  <si>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</si>
  <si>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</si>
  <si>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</si>
  <si>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</si>
  <si>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</si>
  <si>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</si>
  <si>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</si>
  <si>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</si>
  <si>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</si>
  <si>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</si>
  <si>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</si>
  <si>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</si>
  <si>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</si>
  <si>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</si>
  <si>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</si>
  <si>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</si>
  <si>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</si>
  <si>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</si>
  <si>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</si>
  <si>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</si>
  <si>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</si>
  <si>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</si>
  <si>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</si>
  <si>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</si>
  <si>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</si>
  <si>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</si>
  <si>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</si>
  <si>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</si>
  <si>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</si>
  <si>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</si>
  <si>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</si>
  <si>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</si>
  <si>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</si>
  <si>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</si>
  <si>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</si>
  <si>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</si>
  <si>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</si>
  <si>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</si>
  <si>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</si>
  <si>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</si>
  <si>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</si>
  <si>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</si>
  <si>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</si>
  <si>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</si>
  <si>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</si>
  <si>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</si>
  <si>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</si>
  <si>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</si>
  <si>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</si>
  <si>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</si>
  <si>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</si>
  <si>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</si>
  <si>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</si>
  <si>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</si>
  <si>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</si>
  <si>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</si>
  <si>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</si>
  <si>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</si>
  <si>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</si>
  <si>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</si>
  <si>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</si>
  <si>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</si>
  <si>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</si>
  <si>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</si>
  <si>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</si>
  <si>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</si>
  <si>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</si>
  <si>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</si>
  <si>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</si>
  <si>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>Actual 
Basic Salary current month</t>
  </si>
  <si>
    <t xml:space="preserve">Efficiency salary Advance current month </t>
  </si>
  <si>
    <t>Gift (10%)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</si>
  <si>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</si>
  <si>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</si>
  <si>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</si>
  <si>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</si>
  <si>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</si>
  <si>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</si>
  <si>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</si>
  <si>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</si>
  <si>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</si>
  <si>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</si>
  <si>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</si>
  <si>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</si>
  <si>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</si>
  <si>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</si>
  <si>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</si>
  <si>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</si>
  <si>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</si>
  <si>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</si>
  <si>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</si>
  <si>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</si>
  <si>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</si>
  <si>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</si>
  <si>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</si>
  <si>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</si>
  <si>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</si>
  <si>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</si>
  <si>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</si>
  <si>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</si>
  <si>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</si>
  <si>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</si>
  <si>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</si>
  <si>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</si>
  <si>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</si>
  <si>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</si>
  <si>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</si>
  <si>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</si>
  <si>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</si>
  <si>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</si>
  <si>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</si>
  <si>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</si>
  <si>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</si>
  <si>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</si>
  <si>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</si>
  <si>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</si>
  <si>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</si>
  <si>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</si>
  <si>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</si>
  <si>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</si>
  <si>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</si>
  <si>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</si>
  <si>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</si>
  <si>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</si>
  <si>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</si>
  <si>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</si>
  <si>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</si>
  <si>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</si>
  <si>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</si>
  <si>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</si>
  <si>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</si>
  <si>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</si>
  <si>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</si>
  <si>
    <t>A</t>
  </si>
  <si>
    <t>Participates in Social Insurance</t>
  </si>
  <si>
    <t>Subject to PIT</t>
  </si>
  <si>
    <t>Trade Union Participation</t>
  </si>
  <si>
    <t>Funeral Fund Participation</t>
  </si>
  <si>
    <t>Number of Funerals incurred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</si>
</sst>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_(* #,##0_);_(* \(#,##0\);_(* &quot;-&quot;?_);_(@_)"/>
    <numFmt numFmtId="180" formatCode="[$-1010000]d/m/yyyy;@"/>
    <numFmt numFmtId="181" formatCode="&quot; &quot;#,##0&quot; &quot;;&quot; (&quot;#,##0&quot;)&quot;;&quot; -&quot;00&quot; &quot;;&quot; &quot;@&quot; &quot;"/>
    <numFmt numFmtId="182" formatCode="dd\/mm\/yyyy"/>
    <numFmt numFmtId="183" formatCode="&quot; &quot;#,##0.0&quot; &quot;;&quot; (&quot;#,##0.0&quot;)&quot;;&quot; -&quot;00.0&quot; &quot;;&quot; &quot;@&quot; &quot;"/>
    <numFmt numFmtId="184" formatCode="0.0%"/>
    <numFmt numFmtId="185" formatCode="&quot; &quot;#,##0&quot; &quot;;&quot;-&quot;#,##0&quot; &quot;;&quot; -&quot;00&quot; &quot;;&quot; &quot;@&quot; &quot;"/>
  </numFmts>
  <fonts count="31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sz val="11"/>
      <color rgb="FF000000"/>
      <name val="Calibri"/>
      <family val="2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Times New Roman"/>
      <family val="1"/>
    </font>
    <font>
      <sz val="11"/>
      <color indexed="8"/>
      <name val="Times New Roman"/>
      <family val="1"/>
    </font>
    <font>
      <b/>
      <sz val="18"/>
      <name val="Times New Roman"/>
      <family val="1"/>
    </font>
    <font>
      <sz val="18"/>
      <color rgb="FF00B0F0"/>
      <name val="Mangal"/>
      <family val="2"/>
    </font>
    <font>
      <b/>
      <sz val="18"/>
      <color rgb="FF00B0F0"/>
      <name val="Times New Roman"/>
      <family val="1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8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/>
      <bottom style="thin">
        <color rgb="FF008000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5" fillId="5" borderId="0" applyNumberFormat="0" applyBorder="0" applyAlignment="0" applyProtection="0"/>
    <xf numFmtId="0" fontId="255" fillId="6" borderId="0" applyNumberFormat="0" applyBorder="0" applyAlignment="0" applyProtection="0"/>
    <xf numFmtId="0" fontId="255" fillId="7" borderId="0" applyNumberFormat="0" applyBorder="0" applyAlignment="0" applyProtection="0"/>
    <xf numFmtId="0" fontId="255" fillId="8" borderId="0" applyNumberFormat="0" applyBorder="0" applyAlignment="0" applyProtection="0"/>
    <xf numFmtId="0" fontId="256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3" fillId="0" borderId="0"/>
    <xf numFmtId="0" fontId="264" fillId="0" borderId="0"/>
    <xf numFmtId="43" fontId="264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4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7" fillId="0" borderId="0"/>
    <xf numFmtId="0" fontId="261" fillId="13" borderId="0" applyNumberFormat="0" applyBorder="0" applyAlignment="0" applyProtection="0"/>
    <xf numFmtId="0" fontId="261" fillId="12" borderId="0" applyNumberFormat="0" applyBorder="0" applyAlignment="0" applyProtection="0"/>
    <xf numFmtId="0" fontId="261" fillId="10" borderId="0" applyNumberFormat="0" applyBorder="0" applyAlignment="0" applyProtection="0"/>
    <xf numFmtId="0" fontId="261" fillId="14" borderId="0" applyNumberFormat="0" applyBorder="0" applyAlignment="0" applyProtection="0"/>
    <xf numFmtId="0" fontId="267" fillId="11" borderId="0" applyNumberFormat="0" applyBorder="0" applyAlignment="0" applyProtection="0"/>
    <xf numFmtId="0" fontId="268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3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69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2" fillId="0" borderId="0">
      <alignment vertical="center"/>
    </xf>
    <xf numFmtId="175" fontId="272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3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4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5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3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3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77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1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1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3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1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79" fillId="0" borderId="0"/>
    <xf numFmtId="0" fontId="58" fillId="0" borderId="0"/>
    <xf numFmtId="0" fontId="281" fillId="0" borderId="0"/>
    <xf numFmtId="0" fontId="57" fillId="0" borderId="0"/>
    <xf numFmtId="0" fontId="57" fillId="0" borderId="0"/>
    <xf numFmtId="0" fontId="282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4" fillId="0" borderId="0"/>
    <xf numFmtId="178" fontId="284" fillId="0" borderId="0" applyFont="0" applyFill="0" applyBorder="0" applyAlignment="0" applyProtection="0"/>
    <xf numFmtId="0" fontId="285" fillId="20" borderId="0" applyNumberFormat="0" applyBorder="0" applyAlignment="0" applyProtection="0"/>
    <xf numFmtId="0" fontId="284" fillId="21" borderId="0" applyNumberFormat="0" applyFont="0" applyBorder="0" applyAlignment="0" applyProtection="0"/>
    <xf numFmtId="0" fontId="285" fillId="20" borderId="0" applyNumberFormat="0" applyBorder="0" applyAlignment="0" applyProtection="0"/>
    <xf numFmtId="178" fontId="284" fillId="0" borderId="0" applyFont="0" applyFill="0" applyBorder="0" applyAlignment="0" applyProtection="0"/>
    <xf numFmtId="0" fontId="286" fillId="22" borderId="0" applyNumberFormat="0" applyBorder="0" applyAlignment="0" applyProtection="0"/>
    <xf numFmtId="0" fontId="287" fillId="0" borderId="0" applyNumberFormat="0" applyBorder="0" applyProtection="0"/>
    <xf numFmtId="0" fontId="284" fillId="0" borderId="0" applyNumberFormat="0" applyFont="0" applyBorder="0" applyProtection="0"/>
    <xf numFmtId="0" fontId="284" fillId="0" borderId="0" applyNumberFormat="0" applyFont="0" applyBorder="0" applyProtection="0"/>
    <xf numFmtId="0" fontId="284" fillId="0" borderId="0" applyNumberFormat="0" applyFont="0" applyBorder="0" applyProtection="0"/>
    <xf numFmtId="0" fontId="288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71" fillId="18" borderId="14">
      <alignment horizontal="center" vertical="center"/>
    </xf>
    <xf numFmtId="0" fontId="257" fillId="23" borderId="0"/>
    <xf numFmtId="0" fontId="289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1" fillId="0" borderId="0"/>
    <xf numFmtId="43" fontId="284" fillId="0" borderId="0" applyFont="0" applyFill="0" applyBorder="0" applyAlignment="0" applyProtection="0"/>
    <xf numFmtId="0" fontId="48" fillId="0" borderId="0"/>
    <xf numFmtId="43" fontId="48" fillId="0" borderId="0"/>
    <xf numFmtId="0" fontId="271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1" fillId="18" borderId="31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1" fillId="18" borderId="31">
      <alignment horizontal="center" vertical="center"/>
    </xf>
    <xf numFmtId="0" fontId="257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1" fillId="18" borderId="31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79" fillId="0" borderId="0"/>
    <xf numFmtId="166" fontId="236" fillId="0" borderId="0" applyFill="0" applyBorder="0" applyAlignment="0" applyProtection="0"/>
    <xf numFmtId="0" fontId="237" fillId="2" borderId="34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4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4">
      <alignment horizontal="center" vertical="center"/>
    </xf>
    <xf numFmtId="0" fontId="33" fillId="0" borderId="0"/>
    <xf numFmtId="43" fontId="33" fillId="0" borderId="0"/>
    <xf numFmtId="0" fontId="271" fillId="18" borderId="31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4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1" fillId="18" borderId="35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1" fillId="18" borderId="36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1" fillId="18" borderId="35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8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1" fillId="18" borderId="44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8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8">
      <alignment horizontal="center" vertical="center"/>
    </xf>
    <xf numFmtId="0" fontId="19" fillId="0" borderId="0"/>
    <xf numFmtId="43" fontId="19" fillId="0" borderId="0"/>
    <xf numFmtId="0" fontId="271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4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37" fillId="2" borderId="42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6">
      <alignment horizontal="center" vertical="center"/>
    </xf>
    <xf numFmtId="0" fontId="18" fillId="0" borderId="0"/>
    <xf numFmtId="43" fontId="18" fillId="0" borderId="0"/>
    <xf numFmtId="0" fontId="271" fillId="18" borderId="47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2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8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1" fillId="18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271" fillId="18" borderId="49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2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71" fillId="18" borderId="56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1" fillId="18" borderId="62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79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1" fillId="18" borderId="66">
      <alignment horizontal="center" vertical="center"/>
    </xf>
    <xf numFmtId="9" fontId="7" fillId="0" borderId="0"/>
    <xf numFmtId="0" fontId="271" fillId="18" borderId="67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4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68">
    <xf numFmtId="0" fontId="0" fillId="0" borderId="0" xfId="0"/>
    <xf numFmtId="0" fontId="259" fillId="0" borderId="0" xfId="623" applyFont="1" applyAlignment="1">
      <alignment vertical="center"/>
    </xf>
    <xf numFmtId="0" fontId="258" fillId="0" borderId="0" xfId="623" applyFont="1" applyAlignment="1">
      <alignment horizontal="center" vertical="center"/>
    </xf>
    <xf numFmtId="0" fontId="258" fillId="17" borderId="0" xfId="623" applyFont="1" applyFill="1" applyAlignment="1">
      <alignment vertical="center"/>
    </xf>
    <xf numFmtId="0" fontId="258" fillId="0" borderId="0" xfId="623" applyFont="1" applyAlignment="1">
      <alignment vertical="center"/>
    </xf>
    <xf numFmtId="0" fontId="247" fillId="0" borderId="0" xfId="629" applyFont="1"/>
    <xf numFmtId="0" fontId="283" fillId="0" borderId="0" xfId="0" applyFont="1"/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168" fontId="249" fillId="9" borderId="0" xfId="629" applyNumberFormat="1" applyFont="1" applyFill="1"/>
    <xf numFmtId="168" fontId="280" fillId="9" borderId="0" xfId="629" applyNumberFormat="1" applyFont="1" applyFill="1" applyAlignment="1">
      <alignment horizontal="center"/>
    </xf>
    <xf numFmtId="0" fontId="249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2" fillId="9" borderId="20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51" fillId="0" borderId="0" xfId="629" applyFont="1" applyAlignment="1">
      <alignment horizontal="center"/>
    </xf>
    <xf numFmtId="0" fontId="259" fillId="0" borderId="23" xfId="623" applyFont="1" applyBorder="1" applyAlignment="1">
      <alignment horizontal="center" vertical="center"/>
    </xf>
    <xf numFmtId="0" fontId="259" fillId="0" borderId="23" xfId="627" applyFont="1" applyBorder="1" applyAlignment="1">
      <alignment vertical="center"/>
    </xf>
    <xf numFmtId="169" fontId="259" fillId="0" borderId="29" xfId="626" applyNumberFormat="1" applyFont="1" applyBorder="1" applyAlignment="1">
      <alignment horizontal="center" vertical="center"/>
    </xf>
    <xf numFmtId="167" fontId="278" fillId="9" borderId="0" xfId="629" applyNumberFormat="1" applyFont="1" applyFill="1"/>
    <xf numFmtId="167" fontId="278" fillId="19" borderId="0" xfId="629" applyNumberFormat="1" applyFont="1" applyFill="1"/>
    <xf numFmtId="0" fontId="290" fillId="9" borderId="0" xfId="629" applyFont="1" applyFill="1" applyAlignment="1">
      <alignment horizontal="center"/>
    </xf>
    <xf numFmtId="0" fontId="252" fillId="19" borderId="36" xfId="0" applyFont="1" applyFill="1" applyBorder="1" applyAlignment="1">
      <alignment horizontal="center" wrapText="1"/>
    </xf>
    <xf numFmtId="0" fontId="259" fillId="0" borderId="36" xfId="623" applyFont="1" applyBorder="1" applyAlignment="1">
      <alignment horizontal="center" vertical="center"/>
    </xf>
    <xf numFmtId="0" fontId="259" fillId="0" borderId="37" xfId="623" applyFont="1" applyBorder="1" applyAlignment="1">
      <alignment horizontal="center" vertical="center"/>
    </xf>
    <xf numFmtId="14" fontId="258" fillId="16" borderId="23" xfId="623" applyNumberFormat="1" applyFont="1" applyFill="1" applyBorder="1" applyAlignment="1">
      <alignment vertical="center"/>
    </xf>
    <xf numFmtId="14" fontId="258" fillId="16" borderId="37" xfId="623" applyNumberFormat="1" applyFont="1" applyFill="1" applyBorder="1" applyAlignment="1">
      <alignment vertical="center"/>
    </xf>
    <xf numFmtId="14" fontId="258" fillId="16" borderId="36" xfId="623" applyNumberFormat="1" applyFont="1" applyFill="1" applyBorder="1" applyAlignment="1">
      <alignment vertical="center"/>
    </xf>
    <xf numFmtId="0" fontId="259" fillId="0" borderId="59" xfId="623" applyFont="1" applyBorder="1" applyAlignment="1">
      <alignment horizontal="center" vertical="center"/>
    </xf>
    <xf numFmtId="0" fontId="252" fillId="19" borderId="59" xfId="0" applyFont="1" applyFill="1" applyBorder="1" applyAlignment="1">
      <alignment horizontal="center" wrapText="1"/>
    </xf>
    <xf numFmtId="0" fontId="259" fillId="0" borderId="59" xfId="627" applyFont="1" applyBorder="1" applyAlignment="1">
      <alignment vertical="center"/>
    </xf>
    <xf numFmtId="14" fontId="258" fillId="16" borderId="59" xfId="623" applyNumberFormat="1" applyFont="1" applyFill="1" applyBorder="1" applyAlignment="1">
      <alignment vertical="center"/>
    </xf>
    <xf numFmtId="0" fontId="4" fillId="0" borderId="0" xfId="6020"/>
    <xf numFmtId="0" fontId="276" fillId="0" borderId="67" xfId="6020" applyFont="1" applyBorder="1"/>
    <xf numFmtId="171" fontId="276" fillId="0" borderId="67" xfId="6021" applyNumberFormat="1" applyFont="1" applyBorder="1"/>
    <xf numFmtId="171" fontId="270" fillId="0" borderId="67" xfId="6020" applyNumberFormat="1" applyFont="1" applyBorder="1"/>
    <xf numFmtId="167" fontId="259" fillId="0" borderId="67" xfId="1" applyNumberFormat="1" applyFont="1" applyBorder="1"/>
    <xf numFmtId="0" fontId="276" fillId="0" borderId="67" xfId="6020" applyFont="1" applyBorder="1" applyAlignment="1">
      <alignment shrinkToFit="1"/>
    </xf>
    <xf numFmtId="14" fontId="276" fillId="0" borderId="67" xfId="6020" applyNumberFormat="1" applyFont="1" applyBorder="1"/>
    <xf numFmtId="0" fontId="1" fillId="0" borderId="0" xfId="6020" applyFont="1"/>
    <xf numFmtId="0" fontId="278" fillId="0" borderId="68" xfId="6031" applyFont="1" applyBorder="1" applyAlignment="1">
      <alignment wrapText="1"/>
    </xf>
    <xf numFmtId="0" fontId="258" fillId="0" borderId="0" xfId="6031" applyFont="1"/>
    <xf numFmtId="0" fontId="258" fillId="0" borderId="0" xfId="6031" applyFont="1" applyAlignment="1">
      <alignment shrinkToFit="1"/>
    </xf>
    <xf numFmtId="171" fontId="258" fillId="0" borderId="0" xfId="6032" applyNumberFormat="1" applyFont="1"/>
    <xf numFmtId="0" fontId="278" fillId="0" borderId="0" xfId="6031" applyFont="1"/>
    <xf numFmtId="0" fontId="265" fillId="0" borderId="0" xfId="666" applyFont="1" applyFill="1" applyAlignment="1">
      <alignment horizontal="center" vertical="center" wrapText="1"/>
    </xf>
    <xf numFmtId="0" fontId="278" fillId="0" borderId="62" xfId="0" applyFont="1" applyBorder="1" applyAlignment="1">
      <alignment horizontal="center"/>
    </xf>
    <xf numFmtId="0" fontId="252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8" fillId="0" borderId="60" xfId="0" applyFont="1" applyBorder="1" applyAlignment="1">
      <alignment horizontal="left"/>
    </xf>
    <xf numFmtId="0" fontId="258" fillId="0" borderId="61" xfId="0" applyFont="1" applyBorder="1" applyAlignment="1">
      <alignment horizontal="left"/>
    </xf>
    <xf numFmtId="14" fontId="258" fillId="0" borderId="61" xfId="0" applyNumberFormat="1" applyFont="1" applyBorder="1" applyAlignment="1">
      <alignment horizontal="left"/>
    </xf>
    <xf numFmtId="182" fontId="298" fillId="0" borderId="0" xfId="0" applyNumberFormat="1" applyFont="1" applyAlignment="1">
      <alignment horizontal="left" wrapText="1"/>
    </xf>
    <xf numFmtId="14" fontId="298" fillId="0" borderId="0" xfId="0" applyNumberFormat="1" applyFont="1" applyAlignment="1">
      <alignment horizontal="left" wrapText="1"/>
    </xf>
    <xf numFmtId="180" fontId="298" fillId="0" borderId="0" xfId="0" quotePrefix="1" applyNumberFormat="1" applyFont="1" applyAlignment="1">
      <alignment horizontal="left" wrapText="1"/>
    </xf>
    <xf numFmtId="180" fontId="298" fillId="0" borderId="0" xfId="0" applyNumberFormat="1" applyFont="1" applyAlignment="1">
      <alignment horizontal="left" wrapText="1"/>
    </xf>
    <xf numFmtId="0" fontId="258" fillId="17" borderId="0" xfId="623" applyFont="1" applyFill="1" applyAlignment="1">
      <alignment horizontal="center" vertical="center"/>
    </xf>
    <xf numFmtId="0" fontId="262" fillId="16" borderId="65" xfId="6031" applyFont="1" applyFill="1" applyBorder="1" applyAlignment="1">
      <alignment horizontal="left" vertical="center"/>
    </xf>
    <xf numFmtId="0" fontId="259" fillId="0" borderId="67" xfId="6020" applyFont="1" applyBorder="1" applyAlignment="1">
      <alignment shrinkToFit="1"/>
    </xf>
    <xf numFmtId="0" fontId="262" fillId="24" borderId="0" xfId="0" applyFont="1" applyFill="1" applyAlignment="1">
      <alignment horizontal="center" vertical="center"/>
    </xf>
    <xf numFmtId="0" fontId="262" fillId="25" borderId="0" xfId="0" applyFont="1" applyFill="1" applyAlignment="1">
      <alignment horizontal="center" vertical="center"/>
    </xf>
    <xf numFmtId="0" fontId="293" fillId="0" borderId="67" xfId="697" applyFont="1" applyBorder="1" applyAlignment="1">
      <alignment horizontal="left" vertical="center"/>
    </xf>
    <xf numFmtId="177" fontId="259" fillId="0" borderId="67" xfId="672" applyNumberFormat="1" applyFont="1" applyFill="1" applyBorder="1" applyAlignment="1">
      <alignment horizontal="left" vertical="center" wrapText="1"/>
    </xf>
    <xf numFmtId="171" fontId="259" fillId="0" borderId="67" xfId="3" applyNumberFormat="1" applyFont="1" applyFill="1" applyBorder="1" applyAlignment="1">
      <alignment horizontal="left" vertical="center" wrapText="1"/>
    </xf>
    <xf numFmtId="0" fontId="299" fillId="0" borderId="0" xfId="669" applyFont="1"/>
    <xf numFmtId="171" fontId="258" fillId="0" borderId="67" xfId="1" applyNumberFormat="1" applyFont="1" applyFill="1" applyBorder="1"/>
    <xf numFmtId="171" fontId="258" fillId="0" borderId="67" xfId="669" applyNumberFormat="1" applyFont="1" applyBorder="1"/>
    <xf numFmtId="0" fontId="300" fillId="0" borderId="0" xfId="669" applyFont="1"/>
    <xf numFmtId="0" fontId="253" fillId="0" borderId="0" xfId="0" applyFont="1" applyAlignment="1">
      <alignment vertical="center"/>
    </xf>
    <xf numFmtId="0" fontId="294" fillId="0" borderId="67" xfId="0" applyFont="1" applyBorder="1" applyAlignment="1">
      <alignment horizontal="center" vertical="center" wrapText="1"/>
    </xf>
    <xf numFmtId="14" fontId="262" fillId="0" borderId="67" xfId="0" applyNumberFormat="1" applyFont="1" applyBorder="1" applyAlignment="1">
      <alignment vertical="center"/>
    </xf>
    <xf numFmtId="171" fontId="266" fillId="0" borderId="67" xfId="1" applyNumberFormat="1" applyFont="1" applyFill="1" applyBorder="1"/>
    <xf numFmtId="0" fontId="254" fillId="0" borderId="0" xfId="0" applyFont="1" applyAlignment="1">
      <alignment horizontal="center" vertical="center"/>
    </xf>
    <xf numFmtId="0" fontId="253" fillId="0" borderId="0" xfId="0" applyFont="1"/>
    <xf numFmtId="3" fontId="253" fillId="0" borderId="0" xfId="0" applyNumberFormat="1" applyFont="1"/>
    <xf numFmtId="4" fontId="253" fillId="0" borderId="0" xfId="0" applyNumberFormat="1" applyFont="1"/>
    <xf numFmtId="0" fontId="262" fillId="0" borderId="65" xfId="6031" applyFont="1" applyBorder="1" applyAlignment="1">
      <alignment horizontal="left" vertical="center"/>
    </xf>
    <xf numFmtId="0" fontId="262" fillId="0" borderId="65" xfId="6031" applyFont="1" applyBorder="1" applyAlignment="1">
      <alignment horizontal="left" vertical="center" shrinkToFit="1"/>
    </xf>
    <xf numFmtId="0" fontId="262" fillId="0" borderId="65" xfId="6031" applyFont="1" applyBorder="1" applyAlignment="1">
      <alignment horizontal="center" vertical="center"/>
    </xf>
    <xf numFmtId="0" fontId="262" fillId="0" borderId="65" xfId="6031" applyFont="1" applyBorder="1" applyAlignment="1">
      <alignment vertical="center"/>
    </xf>
    <xf numFmtId="171" fontId="262" fillId="0" borderId="65" xfId="6032" applyNumberFormat="1" applyFont="1" applyBorder="1" applyAlignment="1">
      <alignment vertical="center"/>
    </xf>
    <xf numFmtId="174" fontId="262" fillId="0" borderId="65" xfId="6032" applyNumberFormat="1" applyFont="1" applyBorder="1" applyAlignment="1">
      <alignment vertical="center"/>
    </xf>
    <xf numFmtId="171" fontId="262" fillId="0" borderId="65" xfId="6032" applyNumberFormat="1" applyFont="1" applyBorder="1" applyAlignment="1">
      <alignment horizontal="center" vertical="center"/>
    </xf>
    <xf numFmtId="171" fontId="262" fillId="0" borderId="65" xfId="6031" applyNumberFormat="1" applyFont="1" applyBorder="1" applyAlignment="1">
      <alignment vertical="center"/>
    </xf>
    <xf numFmtId="9" fontId="262" fillId="0" borderId="65" xfId="6032" applyNumberFormat="1" applyFont="1" applyBorder="1" applyAlignment="1">
      <alignment vertical="center"/>
    </xf>
    <xf numFmtId="171" fontId="262" fillId="0" borderId="65" xfId="6032" quotePrefix="1" applyNumberFormat="1" applyFont="1" applyBorder="1" applyAlignment="1">
      <alignment vertical="center"/>
    </xf>
    <xf numFmtId="171" fontId="295" fillId="0" borderId="65" xfId="6032" applyNumberFormat="1" applyFont="1" applyBorder="1" applyAlignment="1">
      <alignment vertical="center"/>
    </xf>
    <xf numFmtId="171" fontId="295" fillId="0" borderId="65" xfId="6031" applyNumberFormat="1" applyFont="1" applyBorder="1" applyAlignment="1">
      <alignment vertical="center"/>
    </xf>
    <xf numFmtId="171" fontId="258" fillId="0" borderId="65" xfId="6031" applyNumberFormat="1" applyFont="1" applyBorder="1" applyAlignment="1">
      <alignment vertical="center"/>
    </xf>
    <xf numFmtId="1" fontId="258" fillId="0" borderId="65" xfId="6031" applyNumberFormat="1" applyFont="1" applyBorder="1" applyAlignment="1">
      <alignment vertical="center"/>
    </xf>
    <xf numFmtId="0" fontId="297" fillId="0" borderId="65" xfId="667" applyFont="1" applyBorder="1" applyAlignment="1" applyProtection="1">
      <alignment vertical="center"/>
    </xf>
    <xf numFmtId="0" fontId="258" fillId="0" borderId="0" xfId="6031" applyFont="1" applyAlignment="1">
      <alignment vertical="center"/>
    </xf>
    <xf numFmtId="176" fontId="262" fillId="0" borderId="67" xfId="627" applyNumberFormat="1" applyFont="1" applyBorder="1" applyAlignment="1">
      <alignment horizontal="left" vertical="center" wrapText="1"/>
    </xf>
    <xf numFmtId="0" fontId="302" fillId="0" borderId="0" xfId="6031" applyFont="1"/>
    <xf numFmtId="172" fontId="278" fillId="0" borderId="0" xfId="6031" applyNumberFormat="1" applyFont="1" applyAlignment="1">
      <alignment horizontal="center"/>
    </xf>
    <xf numFmtId="172" fontId="278" fillId="0" borderId="0" xfId="6031" applyNumberFormat="1" applyFont="1" applyAlignment="1">
      <alignment shrinkToFit="1"/>
    </xf>
    <xf numFmtId="0" fontId="278" fillId="0" borderId="0" xfId="6031" applyFont="1" applyAlignment="1">
      <alignment horizontal="center"/>
    </xf>
    <xf numFmtId="14" fontId="262" fillId="0" borderId="65" xfId="6031" applyNumberFormat="1" applyFont="1" applyBorder="1" applyAlignment="1">
      <alignment horizontal="center" vertical="center"/>
    </xf>
    <xf numFmtId="0" fontId="265" fillId="15" borderId="63" xfId="666" applyFont="1" applyFill="1" applyBorder="1" applyAlignment="1">
      <alignment horizontal="center" vertical="center" wrapText="1"/>
    </xf>
    <xf numFmtId="0" fontId="265" fillId="15" borderId="63" xfId="666" applyFont="1" applyFill="1" applyBorder="1" applyAlignment="1">
      <alignment horizontal="center" vertical="center" shrinkToFit="1"/>
    </xf>
    <xf numFmtId="184" fontId="265" fillId="15" borderId="63" xfId="6033" applyNumberFormat="1" applyFont="1" applyFill="1" applyBorder="1" applyAlignment="1">
      <alignment horizontal="center" vertical="center" wrapText="1"/>
    </xf>
    <xf numFmtId="0" fontId="260" fillId="15" borderId="63" xfId="666" applyFont="1" applyFill="1" applyBorder="1" applyAlignment="1">
      <alignment horizontal="center" vertical="center" wrapText="1"/>
    </xf>
    <xf numFmtId="0" fontId="265" fillId="15" borderId="64" xfId="666" applyFont="1" applyFill="1" applyBorder="1" applyAlignment="1">
      <alignment horizontal="center" vertical="center" wrapText="1"/>
    </xf>
    <xf numFmtId="0" fontId="262" fillId="26" borderId="65" xfId="6031" applyFont="1" applyFill="1" applyBorder="1" applyAlignment="1">
      <alignment horizontal="left" vertical="center"/>
    </xf>
    <xf numFmtId="0" fontId="262" fillId="26" borderId="65" xfId="6031" applyFont="1" applyFill="1" applyBorder="1" applyAlignment="1">
      <alignment horizontal="left" vertical="center" shrinkToFit="1"/>
    </xf>
    <xf numFmtId="0" fontId="262" fillId="26" borderId="65" xfId="6031" applyFont="1" applyFill="1" applyBorder="1" applyAlignment="1">
      <alignment horizontal="center" vertical="center"/>
    </xf>
    <xf numFmtId="0" fontId="262" fillId="26" borderId="65" xfId="6031" applyFont="1" applyFill="1" applyBorder="1" applyAlignment="1">
      <alignment vertical="center"/>
    </xf>
    <xf numFmtId="167" fontId="262" fillId="26" borderId="53" xfId="1" applyNumberFormat="1" applyFont="1" applyFill="1" applyBorder="1" applyAlignment="1" applyProtection="1">
      <alignment vertical="center"/>
    </xf>
    <xf numFmtId="171" fontId="262" fillId="26" borderId="65" xfId="6032" applyNumberFormat="1" applyFont="1" applyFill="1" applyBorder="1" applyAlignment="1">
      <alignment vertical="center"/>
    </xf>
    <xf numFmtId="174" fontId="262" fillId="26" borderId="65" xfId="6032" applyNumberFormat="1" applyFont="1" applyFill="1" applyBorder="1" applyAlignment="1">
      <alignment vertical="center"/>
    </xf>
    <xf numFmtId="171" fontId="262" fillId="26" borderId="65" xfId="6032" applyNumberFormat="1" applyFont="1" applyFill="1" applyBorder="1" applyAlignment="1">
      <alignment horizontal="center" vertical="center"/>
    </xf>
    <xf numFmtId="171" fontId="262" fillId="26" borderId="65" xfId="6031" applyNumberFormat="1" applyFont="1" applyFill="1" applyBorder="1" applyAlignment="1">
      <alignment vertical="center"/>
    </xf>
    <xf numFmtId="9" fontId="262" fillId="26" borderId="65" xfId="6032" applyNumberFormat="1" applyFont="1" applyFill="1" applyBorder="1" applyAlignment="1">
      <alignment vertical="center"/>
    </xf>
    <xf numFmtId="171" fontId="262" fillId="26" borderId="65" xfId="6032" quotePrefix="1" applyNumberFormat="1" applyFont="1" applyFill="1" applyBorder="1" applyAlignment="1">
      <alignment vertical="center"/>
    </xf>
    <xf numFmtId="171" fontId="295" fillId="26" borderId="65" xfId="6032" applyNumberFormat="1" applyFont="1" applyFill="1" applyBorder="1" applyAlignment="1">
      <alignment vertical="center"/>
    </xf>
    <xf numFmtId="171" fontId="295" fillId="26" borderId="65" xfId="6031" applyNumberFormat="1" applyFont="1" applyFill="1" applyBorder="1" applyAlignment="1">
      <alignment vertical="center"/>
    </xf>
    <xf numFmtId="171" fontId="258" fillId="26" borderId="65" xfId="6031" applyNumberFormat="1" applyFont="1" applyFill="1" applyBorder="1" applyAlignment="1">
      <alignment vertical="center"/>
    </xf>
    <xf numFmtId="1" fontId="258" fillId="26" borderId="65" xfId="6031" applyNumberFormat="1" applyFont="1" applyFill="1" applyBorder="1" applyAlignment="1">
      <alignment vertical="center"/>
    </xf>
    <xf numFmtId="0" fontId="297" fillId="26" borderId="65" xfId="667" applyFont="1" applyFill="1" applyBorder="1" applyAlignment="1" applyProtection="1">
      <alignment vertical="center"/>
    </xf>
    <xf numFmtId="0" fontId="296" fillId="15" borderId="0" xfId="0" applyFont="1" applyFill="1" applyAlignment="1">
      <alignment wrapText="1"/>
    </xf>
    <xf numFmtId="0" fontId="276" fillId="26" borderId="67" xfId="6020" applyFont="1" applyFill="1" applyBorder="1"/>
    <xf numFmtId="14" fontId="276" fillId="26" borderId="67" xfId="6020" applyNumberFormat="1" applyFont="1" applyFill="1" applyBorder="1"/>
    <xf numFmtId="0" fontId="276" fillId="26" borderId="67" xfId="6020" applyFont="1" applyFill="1" applyBorder="1" applyAlignment="1">
      <alignment shrinkToFit="1"/>
    </xf>
    <xf numFmtId="167" fontId="259" fillId="26" borderId="67" xfId="1" applyNumberFormat="1" applyFont="1" applyFill="1" applyBorder="1"/>
    <xf numFmtId="171" fontId="276" fillId="26" borderId="67" xfId="6021" applyNumberFormat="1" applyFont="1" applyFill="1" applyBorder="1"/>
    <xf numFmtId="171" fontId="270" fillId="26" borderId="67" xfId="6020" applyNumberFormat="1" applyFont="1" applyFill="1" applyBorder="1"/>
    <xf numFmtId="0" fontId="258" fillId="0" borderId="0" xfId="0" applyFont="1"/>
    <xf numFmtId="0" fontId="252" fillId="0" borderId="36" xfId="0" applyFont="1" applyBorder="1" applyAlignment="1">
      <alignment horizontal="center" vertical="center" wrapText="1"/>
    </xf>
    <xf numFmtId="176" fontId="262" fillId="0" borderId="36" xfId="627" applyNumberFormat="1" applyFont="1" applyBorder="1" applyAlignment="1">
      <alignment horizontal="left" vertical="center" wrapText="1"/>
    </xf>
    <xf numFmtId="176" fontId="262" fillId="0" borderId="36" xfId="627" applyNumberFormat="1" applyFont="1" applyBorder="1" applyAlignment="1">
      <alignment horizontal="right" vertical="center" wrapText="1"/>
    </xf>
    <xf numFmtId="176" fontId="262" fillId="0" borderId="36" xfId="627" applyNumberFormat="1" applyFont="1" applyBorder="1" applyAlignment="1">
      <alignment horizontal="left" vertical="center" shrinkToFit="1"/>
    </xf>
    <xf numFmtId="0" fontId="252" fillId="0" borderId="67" xfId="0" applyFont="1" applyBorder="1" applyAlignment="1">
      <alignment horizontal="center" vertical="center" wrapText="1"/>
    </xf>
    <xf numFmtId="176" fontId="262" fillId="0" borderId="67" xfId="627" applyNumberFormat="1" applyFont="1" applyBorder="1" applyAlignment="1">
      <alignment horizontal="right" vertical="center" wrapText="1"/>
    </xf>
    <xf numFmtId="176" fontId="262" fillId="0" borderId="67" xfId="627" applyNumberFormat="1" applyFont="1" applyBorder="1" applyAlignment="1">
      <alignment horizontal="left" vertical="center" shrinkToFit="1"/>
    </xf>
    <xf numFmtId="0" fontId="258" fillId="0" borderId="0" xfId="0" applyFont="1" applyAlignment="1">
      <alignment shrinkToFit="1"/>
    </xf>
    <xf numFmtId="14" fontId="258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37" xfId="1" applyNumberFormat="1" applyFill="1" applyBorder="1"/>
    <xf numFmtId="1" fontId="236" fillId="0" borderId="67" xfId="1" applyNumberFormat="1" applyFill="1" applyBorder="1" applyAlignment="1">
      <alignment horizontal="center"/>
    </xf>
    <xf numFmtId="167" fontId="236" fillId="0" borderId="67" xfId="1" applyNumberFormat="1" applyFill="1" applyBorder="1"/>
    <xf numFmtId="169" fontId="236" fillId="0" borderId="67" xfId="1" applyNumberFormat="1" applyFill="1" applyBorder="1" applyAlignment="1">
      <alignment horizontal="center"/>
    </xf>
    <xf numFmtId="14" fontId="262" fillId="0" borderId="67" xfId="0" applyNumberFormat="1" applyFont="1" applyBorder="1" applyAlignment="1">
      <alignment horizontal="center" vertical="center"/>
    </xf>
    <xf numFmtId="14" fontId="252" fillId="0" borderId="31" xfId="0" applyNumberFormat="1" applyFont="1" applyBorder="1" applyAlignment="1">
      <alignment horizontal="center"/>
    </xf>
    <xf numFmtId="0" fontId="258" fillId="0" borderId="33" xfId="0" applyFont="1" applyBorder="1" applyAlignment="1">
      <alignment horizontal="center" vertical="center"/>
    </xf>
    <xf numFmtId="0" fontId="258" fillId="0" borderId="22" xfId="0" applyFont="1" applyBorder="1" applyAlignment="1">
      <alignment horizontal="center" vertical="center"/>
    </xf>
    <xf numFmtId="169" fontId="258" fillId="0" borderId="22" xfId="0" quotePrefix="1" applyNumberFormat="1" applyFont="1" applyBorder="1" applyAlignment="1">
      <alignment horizontal="center" vertical="center"/>
    </xf>
    <xf numFmtId="169" fontId="304" fillId="0" borderId="14" xfId="1" applyNumberFormat="1" applyFont="1" applyFill="1" applyBorder="1" applyAlignment="1">
      <alignment horizontal="center"/>
    </xf>
    <xf numFmtId="169" fontId="304" fillId="0" borderId="67" xfId="1" applyNumberFormat="1" applyFont="1" applyFill="1" applyBorder="1" applyAlignment="1">
      <alignment horizontal="center"/>
    </xf>
    <xf numFmtId="169" fontId="258" fillId="0" borderId="22" xfId="0" applyNumberFormat="1" applyFont="1" applyBorder="1" applyAlignment="1">
      <alignment horizontal="center" vertical="center"/>
    </xf>
    <xf numFmtId="14" fontId="252" fillId="0" borderId="67" xfId="0" applyNumberFormat="1" applyFont="1" applyBorder="1" applyAlignment="1">
      <alignment horizontal="center"/>
    </xf>
    <xf numFmtId="0" fontId="303" fillId="0" borderId="0" xfId="0" applyFont="1"/>
    <xf numFmtId="0" fontId="258" fillId="0" borderId="62" xfId="0" applyFont="1" applyBorder="1" applyAlignment="1">
      <alignment horizontal="center"/>
    </xf>
    <xf numFmtId="0" fontId="252" fillId="26" borderId="36" xfId="0" applyFont="1" applyFill="1" applyBorder="1" applyAlignment="1">
      <alignment horizontal="center" vertical="center" wrapText="1"/>
    </xf>
    <xf numFmtId="176" fontId="262" fillId="26" borderId="36" xfId="627" applyNumberFormat="1" applyFont="1" applyFill="1" applyBorder="1" applyAlignment="1">
      <alignment horizontal="left" vertical="center" wrapText="1"/>
    </xf>
    <xf numFmtId="176" fontId="262" fillId="26" borderId="36" xfId="627" applyNumberFormat="1" applyFont="1" applyFill="1" applyBorder="1" applyAlignment="1">
      <alignment horizontal="right" vertical="center" wrapText="1"/>
    </xf>
    <xf numFmtId="176" fontId="262" fillId="26" borderId="36" xfId="627" applyNumberFormat="1" applyFont="1" applyFill="1" applyBorder="1" applyAlignment="1">
      <alignment horizontal="left" vertical="center" shrinkToFit="1"/>
    </xf>
    <xf numFmtId="14" fontId="252" fillId="26" borderId="31" xfId="0" applyNumberFormat="1" applyFont="1" applyFill="1" applyBorder="1" applyAlignment="1">
      <alignment horizontal="center"/>
    </xf>
    <xf numFmtId="0" fontId="258" fillId="26" borderId="33" xfId="0" applyFont="1" applyFill="1" applyBorder="1" applyAlignment="1">
      <alignment horizontal="center" vertical="center"/>
    </xf>
    <xf numFmtId="0" fontId="258" fillId="26" borderId="22" xfId="0" applyFont="1" applyFill="1" applyBorder="1" applyAlignment="1">
      <alignment horizontal="center" vertical="center"/>
    </xf>
    <xf numFmtId="169" fontId="258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04" fillId="26" borderId="14" xfId="1" applyNumberFormat="1" applyFont="1" applyFill="1" applyBorder="1" applyAlignment="1">
      <alignment horizontal="center"/>
    </xf>
    <xf numFmtId="169" fontId="304" fillId="26" borderId="67" xfId="1" applyNumberFormat="1" applyFont="1" applyFill="1" applyBorder="1" applyAlignment="1">
      <alignment horizontal="center"/>
    </xf>
    <xf numFmtId="167" fontId="236" fillId="26" borderId="37" xfId="1" applyNumberFormat="1" applyFill="1" applyBorder="1"/>
    <xf numFmtId="173" fontId="259" fillId="0" borderId="23" xfId="628" applyNumberFormat="1" applyFont="1" applyFill="1" applyBorder="1" applyAlignment="1">
      <alignment vertical="center"/>
    </xf>
    <xf numFmtId="0" fontId="262" fillId="0" borderId="0" xfId="0" applyFont="1" applyAlignment="1">
      <alignment horizontal="center" vertical="center"/>
    </xf>
    <xf numFmtId="0" fontId="0" fillId="0" borderId="36" xfId="0" applyBorder="1"/>
    <xf numFmtId="170" fontId="236" fillId="0" borderId="0" xfId="1" applyNumberFormat="1" applyAlignment="1">
      <alignment horizontal="right"/>
    </xf>
    <xf numFmtId="0" fontId="0" fillId="16" borderId="0" xfId="0" applyFill="1"/>
    <xf numFmtId="3" fontId="262" fillId="0" borderId="67" xfId="0" applyNumberFormat="1" applyFont="1" applyBorder="1" applyAlignment="1">
      <alignment vertical="center"/>
    </xf>
    <xf numFmtId="166" fontId="252" fillId="0" borderId="5" xfId="1" applyFont="1" applyFill="1" applyBorder="1" applyAlignment="1" applyProtection="1">
      <alignment vertical="center"/>
    </xf>
    <xf numFmtId="9" fontId="305" fillId="0" borderId="1" xfId="0" applyNumberFormat="1" applyFont="1" applyBorder="1" applyAlignment="1">
      <alignment vertical="center" wrapText="1"/>
    </xf>
    <xf numFmtId="0" fontId="252" fillId="0" borderId="84" xfId="0" applyFont="1" applyBorder="1" applyAlignment="1">
      <alignment horizontal="center" vertical="center" wrapText="1"/>
    </xf>
    <xf numFmtId="14" fontId="252" fillId="0" borderId="67" xfId="0" applyNumberFormat="1" applyFont="1" applyBorder="1" applyAlignment="1">
      <alignment vertical="center"/>
    </xf>
    <xf numFmtId="4" fontId="262" fillId="15" borderId="15" xfId="0" applyNumberFormat="1" applyFont="1" applyFill="1" applyBorder="1" applyAlignment="1">
      <alignment vertical="center" wrapText="1"/>
    </xf>
    <xf numFmtId="4" fontId="262" fillId="15" borderId="16" xfId="0" applyNumberFormat="1" applyFont="1" applyFill="1" applyBorder="1" applyAlignment="1">
      <alignment vertical="center" wrapText="1"/>
    </xf>
    <xf numFmtId="4" fontId="262" fillId="15" borderId="17" xfId="0" applyNumberFormat="1" applyFont="1" applyFill="1" applyBorder="1" applyAlignment="1">
      <alignment vertical="center" wrapText="1"/>
    </xf>
    <xf numFmtId="0" fontId="262" fillId="26" borderId="58" xfId="0" applyFont="1" applyFill="1" applyBorder="1" applyAlignment="1">
      <alignment horizontal="center" vertical="center" wrapText="1"/>
    </xf>
    <xf numFmtId="14" fontId="262" fillId="26" borderId="0" xfId="0" applyNumberFormat="1" applyFont="1" applyFill="1" applyAlignment="1">
      <alignment vertical="center"/>
    </xf>
    <xf numFmtId="3" fontId="262" fillId="26" borderId="67" xfId="0" applyNumberFormat="1" applyFont="1" applyFill="1" applyBorder="1" applyAlignment="1">
      <alignment vertical="center"/>
    </xf>
    <xf numFmtId="166" fontId="262" fillId="26" borderId="8" xfId="1" applyFont="1" applyFill="1" applyBorder="1" applyAlignment="1" applyProtection="1">
      <alignment vertical="center"/>
    </xf>
    <xf numFmtId="166" fontId="262" fillId="26" borderId="2" xfId="1" applyFont="1" applyFill="1" applyBorder="1" applyAlignment="1" applyProtection="1">
      <alignment vertical="center"/>
    </xf>
    <xf numFmtId="167" fontId="262" fillId="26" borderId="1" xfId="1" applyNumberFormat="1" applyFont="1" applyFill="1" applyBorder="1" applyAlignment="1" applyProtection="1">
      <alignment vertical="center"/>
    </xf>
    <xf numFmtId="167" fontId="295" fillId="26" borderId="1" xfId="1" applyNumberFormat="1" applyFont="1" applyFill="1" applyBorder="1" applyAlignment="1" applyProtection="1">
      <alignment vertical="center"/>
    </xf>
    <xf numFmtId="167" fontId="295" fillId="26" borderId="2" xfId="1" applyNumberFormat="1" applyFont="1" applyFill="1" applyBorder="1" applyAlignment="1" applyProtection="1">
      <alignment vertical="center"/>
    </xf>
    <xf numFmtId="167" fontId="262" fillId="26" borderId="2" xfId="1" applyNumberFormat="1" applyFont="1" applyFill="1" applyBorder="1" applyAlignment="1" applyProtection="1">
      <alignment vertical="center"/>
    </xf>
    <xf numFmtId="0" fontId="262" fillId="15" borderId="63" xfId="666" applyFont="1" applyFill="1" applyBorder="1" applyAlignment="1">
      <alignment horizontal="center" vertical="center" wrapText="1"/>
    </xf>
    <xf numFmtId="0" fontId="294" fillId="15" borderId="69" xfId="0" applyFont="1" applyFill="1" applyBorder="1" applyAlignment="1">
      <alignment vertical="center" wrapText="1"/>
    </xf>
    <xf numFmtId="3" fontId="294" fillId="15" borderId="69" xfId="0" applyNumberFormat="1" applyFont="1" applyFill="1" applyBorder="1" applyAlignment="1">
      <alignment vertical="center" wrapText="1"/>
    </xf>
    <xf numFmtId="0" fontId="294" fillId="15" borderId="69" xfId="0" applyFont="1" applyFill="1" applyBorder="1" applyAlignment="1">
      <alignment horizontal="center" vertical="center" wrapText="1"/>
    </xf>
    <xf numFmtId="9" fontId="294" fillId="15" borderId="69" xfId="0" applyNumberFormat="1" applyFont="1" applyFill="1" applyBorder="1" applyAlignment="1">
      <alignment horizontal="center" vertical="center" wrapText="1"/>
    </xf>
    <xf numFmtId="170" fontId="262" fillId="0" borderId="67" xfId="1" applyNumberFormat="1" applyFont="1" applyFill="1" applyBorder="1" applyAlignment="1" applyProtection="1">
      <alignment vertical="center"/>
    </xf>
    <xf numFmtId="171" fontId="306" fillId="0" borderId="67" xfId="0" applyNumberFormat="1" applyFont="1" applyBorder="1" applyAlignment="1">
      <alignment horizontal="center" vertical="center"/>
    </xf>
    <xf numFmtId="0" fontId="306" fillId="0" borderId="0" xfId="0" applyFont="1" applyAlignment="1">
      <alignment horizontal="center" vertical="center"/>
    </xf>
    <xf numFmtId="0" fontId="298" fillId="0" borderId="0" xfId="0" applyFont="1"/>
    <xf numFmtId="3" fontId="298" fillId="0" borderId="0" xfId="0" applyNumberFormat="1" applyFont="1"/>
    <xf numFmtId="4" fontId="298" fillId="0" borderId="0" xfId="0" applyNumberFormat="1" applyFont="1"/>
    <xf numFmtId="0" fontId="294" fillId="26" borderId="67" xfId="0" applyFont="1" applyFill="1" applyBorder="1" applyAlignment="1">
      <alignment horizontal="center" vertical="center" wrapText="1"/>
    </xf>
    <xf numFmtId="14" fontId="262" fillId="26" borderId="67" xfId="0" applyNumberFormat="1" applyFont="1" applyFill="1" applyBorder="1" applyAlignment="1">
      <alignment vertical="center"/>
    </xf>
    <xf numFmtId="170" fontId="262" fillId="26" borderId="67" xfId="1" applyNumberFormat="1" applyFont="1" applyFill="1" applyBorder="1" applyAlignment="1" applyProtection="1">
      <alignment vertical="center"/>
    </xf>
    <xf numFmtId="171" fontId="266" fillId="26" borderId="67" xfId="1" applyNumberFormat="1" applyFont="1" applyFill="1" applyBorder="1"/>
    <xf numFmtId="171" fontId="306" fillId="26" borderId="67" xfId="0" applyNumberFormat="1" applyFont="1" applyFill="1" applyBorder="1" applyAlignment="1">
      <alignment horizontal="center" vertical="center"/>
    </xf>
    <xf numFmtId="0" fontId="262" fillId="0" borderId="14" xfId="629" applyFont="1" applyBorder="1" applyAlignment="1">
      <alignment horizontal="right" wrapText="1"/>
    </xf>
    <xf numFmtId="0" fontId="262" fillId="0" borderId="14" xfId="629" applyFont="1" applyBorder="1" applyAlignment="1">
      <alignment vertical="center"/>
    </xf>
    <xf numFmtId="14" fontId="262" fillId="0" borderId="14" xfId="629" applyNumberFormat="1" applyFont="1" applyBorder="1" applyAlignment="1">
      <alignment vertical="center"/>
    </xf>
    <xf numFmtId="167" fontId="262" fillId="0" borderId="14" xfId="629" applyNumberFormat="1" applyFont="1" applyBorder="1" applyAlignment="1">
      <alignment vertical="center"/>
    </xf>
    <xf numFmtId="0" fontId="262" fillId="0" borderId="31" xfId="629" applyFont="1" applyBorder="1" applyAlignment="1">
      <alignment horizontal="right" wrapText="1"/>
    </xf>
    <xf numFmtId="14" fontId="262" fillId="0" borderId="31" xfId="629" applyNumberFormat="1" applyFont="1" applyBorder="1" applyAlignment="1">
      <alignment vertical="center"/>
    </xf>
    <xf numFmtId="0" fontId="262" fillId="0" borderId="31" xfId="629" applyFont="1" applyBorder="1" applyAlignment="1">
      <alignment vertical="center"/>
    </xf>
    <xf numFmtId="167" fontId="262" fillId="0" borderId="31" xfId="629" applyNumberFormat="1" applyFont="1" applyBorder="1" applyAlignment="1">
      <alignment vertical="center"/>
    </xf>
    <xf numFmtId="0" fontId="258" fillId="0" borderId="0" xfId="629" applyFont="1"/>
    <xf numFmtId="0" fontId="258" fillId="0" borderId="0" xfId="629" applyFont="1" applyAlignment="1">
      <alignment horizontal="center"/>
    </xf>
    <xf numFmtId="14" fontId="258" fillId="0" borderId="0" xfId="629" applyNumberFormat="1" applyFont="1" applyAlignment="1">
      <alignment horizontal="center"/>
    </xf>
    <xf numFmtId="0" fontId="262" fillId="0" borderId="0" xfId="629" applyFont="1" applyAlignment="1">
      <alignment horizontal="center"/>
    </xf>
    <xf numFmtId="0" fontId="258" fillId="0" borderId="0" xfId="629" applyFont="1" applyAlignment="1">
      <alignment vertical="center"/>
    </xf>
    <xf numFmtId="167" fontId="258" fillId="0" borderId="0" xfId="629" applyNumberFormat="1" applyFont="1" applyAlignment="1">
      <alignment vertical="center"/>
    </xf>
    <xf numFmtId="0" fontId="259" fillId="15" borderId="14" xfId="629" applyFont="1" applyFill="1" applyBorder="1" applyAlignment="1">
      <alignment horizontal="center" vertical="center" wrapText="1"/>
    </xf>
    <xf numFmtId="0" fontId="262" fillId="26" borderId="14" xfId="629" applyFont="1" applyFill="1" applyBorder="1" applyAlignment="1">
      <alignment horizontal="right" wrapText="1"/>
    </xf>
    <xf numFmtId="0" fontId="262" fillId="26" borderId="14" xfId="629" applyFont="1" applyFill="1" applyBorder="1" applyAlignment="1">
      <alignment vertical="center"/>
    </xf>
    <xf numFmtId="14" fontId="262" fillId="26" borderId="14" xfId="629" applyNumberFormat="1" applyFont="1" applyFill="1" applyBorder="1" applyAlignment="1">
      <alignment vertical="center"/>
    </xf>
    <xf numFmtId="167" fontId="262" fillId="26" borderId="14" xfId="629" applyNumberFormat="1" applyFont="1" applyFill="1" applyBorder="1" applyAlignment="1">
      <alignment vertical="center"/>
    </xf>
    <xf numFmtId="167" fontId="259" fillId="0" borderId="31" xfId="712" applyNumberFormat="1" applyFont="1" applyFill="1" applyBorder="1" applyAlignment="1">
      <alignment horizontal="center"/>
    </xf>
    <xf numFmtId="167" fontId="259" fillId="0" borderId="10" xfId="712" applyNumberFormat="1" applyFont="1" applyFill="1" applyBorder="1" applyAlignment="1">
      <alignment horizontal="center" vertical="center"/>
    </xf>
    <xf numFmtId="167" fontId="259" fillId="0" borderId="10" xfId="1" applyNumberFormat="1" applyFont="1" applyFill="1" applyBorder="1" applyAlignment="1">
      <alignment horizontal="center"/>
    </xf>
    <xf numFmtId="43" fontId="259" fillId="0" borderId="10" xfId="1" applyNumberFormat="1" applyFont="1" applyFill="1" applyBorder="1" applyAlignment="1">
      <alignment horizontal="center"/>
    </xf>
    <xf numFmtId="167" fontId="259" fillId="0" borderId="31" xfId="1" applyNumberFormat="1" applyFont="1" applyFill="1" applyBorder="1" applyAlignment="1">
      <alignment horizontal="left"/>
    </xf>
    <xf numFmtId="167" fontId="259" fillId="0" borderId="31" xfId="1" applyNumberFormat="1" applyFont="1" applyFill="1" applyBorder="1" applyAlignment="1">
      <alignment horizontal="center"/>
    </xf>
    <xf numFmtId="171" fontId="259" fillId="0" borderId="31" xfId="1" applyNumberFormat="1" applyFont="1" applyFill="1" applyBorder="1" applyAlignment="1">
      <alignment horizontal="center"/>
    </xf>
    <xf numFmtId="171" fontId="259" fillId="0" borderId="36" xfId="1" applyNumberFormat="1" applyFont="1" applyFill="1" applyBorder="1" applyAlignment="1">
      <alignment horizontal="center"/>
    </xf>
    <xf numFmtId="0" fontId="299" fillId="0" borderId="0" xfId="709" applyFont="1"/>
    <xf numFmtId="0" fontId="259" fillId="0" borderId="31" xfId="711" applyFont="1" applyBorder="1" applyAlignment="1">
      <alignment horizontal="center" vertical="center"/>
    </xf>
    <xf numFmtId="0" fontId="258" fillId="0" borderId="31" xfId="709" applyFont="1" applyBorder="1"/>
    <xf numFmtId="179" fontId="259" fillId="0" borderId="31" xfId="711" applyNumberFormat="1" applyFont="1" applyBorder="1" applyAlignment="1">
      <alignment horizontal="center"/>
    </xf>
    <xf numFmtId="0" fontId="259" fillId="0" borderId="0" xfId="711" applyFont="1" applyAlignment="1">
      <alignment horizontal="left"/>
    </xf>
    <xf numFmtId="0" fontId="259" fillId="0" borderId="31" xfId="711" applyFont="1" applyBorder="1" applyAlignment="1">
      <alignment horizontal="center"/>
    </xf>
    <xf numFmtId="0" fontId="259" fillId="0" borderId="31" xfId="711" applyFont="1" applyBorder="1" applyAlignment="1">
      <alignment horizontal="left" wrapText="1"/>
    </xf>
    <xf numFmtId="0" fontId="259" fillId="0" borderId="31" xfId="711" applyFont="1" applyBorder="1" applyAlignment="1">
      <alignment horizontal="center" vertical="center" wrapText="1"/>
    </xf>
    <xf numFmtId="0" fontId="259" fillId="0" borderId="4" xfId="711" applyFont="1" applyBorder="1" applyAlignment="1">
      <alignment horizontal="center"/>
    </xf>
    <xf numFmtId="0" fontId="259" fillId="0" borderId="10" xfId="711" applyFont="1" applyBorder="1" applyAlignment="1">
      <alignment horizontal="left"/>
    </xf>
    <xf numFmtId="0" fontId="259" fillId="0" borderId="32" xfId="711" applyFont="1" applyBorder="1" applyAlignment="1">
      <alignment horizontal="center"/>
    </xf>
    <xf numFmtId="0" fontId="259" fillId="0" borderId="32" xfId="711" applyFont="1" applyBorder="1" applyAlignment="1">
      <alignment horizontal="left"/>
    </xf>
    <xf numFmtId="0" fontId="259" fillId="0" borderId="10" xfId="581" applyFont="1" applyBorder="1" applyAlignment="1">
      <alignment horizontal="center"/>
    </xf>
    <xf numFmtId="0" fontId="259" fillId="0" borderId="31" xfId="711" applyFont="1" applyBorder="1" applyAlignment="1">
      <alignment horizontal="left"/>
    </xf>
    <xf numFmtId="169" fontId="259" fillId="0" borderId="31" xfId="581" applyNumberFormat="1" applyFont="1" applyBorder="1" applyAlignment="1">
      <alignment horizontal="center"/>
    </xf>
    <xf numFmtId="169" fontId="299" fillId="0" borderId="0" xfId="709" applyNumberFormat="1" applyFont="1"/>
    <xf numFmtId="43" fontId="299" fillId="0" borderId="0" xfId="709" applyNumberFormat="1" applyFont="1"/>
    <xf numFmtId="169" fontId="259" fillId="0" borderId="36" xfId="581" applyNumberFormat="1" applyFont="1" applyBorder="1" applyAlignment="1">
      <alignment horizontal="center"/>
    </xf>
    <xf numFmtId="169" fontId="259" fillId="0" borderId="56" xfId="581" applyNumberFormat="1" applyFont="1" applyBorder="1" applyAlignment="1">
      <alignment horizontal="center"/>
    </xf>
    <xf numFmtId="0" fontId="259" fillId="0" borderId="31" xfId="581" applyFont="1" applyBorder="1" applyAlignment="1">
      <alignment horizontal="center"/>
    </xf>
    <xf numFmtId="0" fontId="259" fillId="0" borderId="24" xfId="711" applyFont="1" applyBorder="1"/>
    <xf numFmtId="0" fontId="259" fillId="0" borderId="25" xfId="711" applyFont="1" applyBorder="1"/>
    <xf numFmtId="0" fontId="259" fillId="0" borderId="26" xfId="711" applyFont="1" applyBorder="1"/>
    <xf numFmtId="0" fontId="299" fillId="0" borderId="36" xfId="709" applyFont="1" applyBorder="1"/>
    <xf numFmtId="167" fontId="236" fillId="0" borderId="36" xfId="1" applyNumberFormat="1" applyFill="1" applyBorder="1"/>
    <xf numFmtId="169" fontId="259" fillId="0" borderId="31" xfId="709" applyNumberFormat="1" applyFont="1" applyBorder="1" applyAlignment="1">
      <alignment horizontal="center" vertical="center"/>
    </xf>
    <xf numFmtId="0" fontId="259" fillId="0" borderId="11" xfId="711" applyFont="1" applyBorder="1"/>
    <xf numFmtId="0" fontId="259" fillId="0" borderId="4" xfId="711" applyFont="1" applyBorder="1" applyAlignment="1">
      <alignment wrapText="1"/>
    </xf>
    <xf numFmtId="0" fontId="259" fillId="0" borderId="4" xfId="711" applyFont="1" applyBorder="1" applyAlignment="1">
      <alignment horizontal="left"/>
    </xf>
    <xf numFmtId="0" fontId="0" fillId="0" borderId="56" xfId="0" applyBorder="1"/>
    <xf numFmtId="183" fontId="259" fillId="0" borderId="31" xfId="711" applyNumberFormat="1" applyFont="1" applyBorder="1" applyAlignment="1">
      <alignment horizontal="center"/>
    </xf>
    <xf numFmtId="181" fontId="259" fillId="0" borderId="31" xfId="711" applyNumberFormat="1" applyFont="1" applyBorder="1" applyAlignment="1">
      <alignment horizontal="center"/>
    </xf>
    <xf numFmtId="0" fontId="258" fillId="26" borderId="31" xfId="709" applyFont="1" applyFill="1" applyBorder="1" applyAlignment="1">
      <alignment vertical="center"/>
    </xf>
    <xf numFmtId="0" fontId="259" fillId="26" borderId="31" xfId="711" applyFont="1" applyFill="1" applyBorder="1" applyAlignment="1">
      <alignment horizontal="center" vertical="center"/>
    </xf>
    <xf numFmtId="179" fontId="259" fillId="26" borderId="31" xfId="711" applyNumberFormat="1" applyFont="1" applyFill="1" applyBorder="1" applyAlignment="1">
      <alignment horizontal="center" vertical="center"/>
    </xf>
    <xf numFmtId="167" fontId="259" fillId="26" borderId="31" xfId="712" applyNumberFormat="1" applyFont="1" applyFill="1" applyBorder="1" applyAlignment="1">
      <alignment vertical="center"/>
    </xf>
    <xf numFmtId="0" fontId="259" fillId="15" borderId="67" xfId="0" applyFont="1" applyFill="1" applyBorder="1" applyAlignment="1">
      <alignment horizontal="center" vertical="center"/>
    </xf>
    <xf numFmtId="0" fontId="259" fillId="15" borderId="67" xfId="0" applyFont="1" applyFill="1" applyBorder="1" applyAlignment="1">
      <alignment horizontal="center" vertical="center" wrapText="1"/>
    </xf>
    <xf numFmtId="0" fontId="259" fillId="15" borderId="67" xfId="669" applyFont="1" applyFill="1" applyBorder="1" applyAlignment="1">
      <alignment horizontal="center" vertical="center" wrapText="1"/>
    </xf>
    <xf numFmtId="0" fontId="293" fillId="26" borderId="67" xfId="697" applyFont="1" applyFill="1" applyBorder="1" applyAlignment="1">
      <alignment horizontal="left" vertical="center"/>
    </xf>
    <xf numFmtId="171" fontId="258" fillId="26" borderId="67" xfId="1" applyNumberFormat="1" applyFont="1" applyFill="1" applyBorder="1"/>
    <xf numFmtId="177" fontId="259" fillId="26" borderId="67" xfId="672" applyNumberFormat="1" applyFont="1" applyFill="1" applyBorder="1" applyAlignment="1">
      <alignment horizontal="left" vertical="center" wrapText="1"/>
    </xf>
    <xf numFmtId="171" fontId="259" fillId="26" borderId="67" xfId="3" applyNumberFormat="1" applyFont="1" applyFill="1" applyBorder="1" applyAlignment="1">
      <alignment horizontal="left" vertical="center" wrapText="1"/>
    </xf>
    <xf numFmtId="171" fontId="258" fillId="26" borderId="67" xfId="669" applyNumberFormat="1" applyFont="1" applyFill="1" applyBorder="1"/>
    <xf numFmtId="185" fontId="308" fillId="0" borderId="30" xfId="6021" applyNumberFormat="1" applyFont="1" applyBorder="1" applyAlignment="1">
      <alignment horizontal="center" vertical="center"/>
    </xf>
    <xf numFmtId="0" fontId="262" fillId="15" borderId="14" xfId="9" applyFont="1" applyFill="1" applyBorder="1" applyAlignment="1" applyProtection="1">
      <alignment horizontal="center" vertical="center"/>
    </xf>
    <xf numFmtId="0" fontId="262" fillId="15" borderId="19" xfId="9" applyFont="1" applyFill="1" applyBorder="1" applyAlignment="1" applyProtection="1">
      <alignment horizontal="center" wrapText="1"/>
    </xf>
    <xf numFmtId="14" fontId="258" fillId="15" borderId="21" xfId="629" applyNumberFormat="1" applyFont="1" applyFill="1" applyBorder="1" applyAlignment="1">
      <alignment horizontal="center" vertical="center"/>
    </xf>
    <xf numFmtId="0" fontId="262" fillId="15" borderId="18" xfId="9" applyFont="1" applyFill="1" applyBorder="1" applyAlignment="1" applyProtection="1">
      <alignment horizontal="center" vertical="center"/>
    </xf>
    <xf numFmtId="0" fontId="309" fillId="9" borderId="0" xfId="629" applyFont="1" applyFill="1"/>
    <xf numFmtId="0" fontId="310" fillId="0" borderId="0" xfId="666" applyFont="1" applyFill="1" applyAlignment="1">
      <alignment horizontal="center" vertical="center"/>
    </xf>
    <xf numFmtId="0" fontId="310" fillId="0" borderId="0" xfId="666" applyFont="1" applyFill="1" applyAlignment="1">
      <alignment horizontal="center" vertical="center" shrinkToFit="1"/>
    </xf>
    <xf numFmtId="0" fontId="310" fillId="0" borderId="0" xfId="666" applyFont="1" applyFill="1" applyAlignment="1">
      <alignment horizontal="center" vertical="center" wrapText="1"/>
    </xf>
    <xf numFmtId="0" fontId="310" fillId="0" borderId="0" xfId="6031" applyFont="1"/>
    <xf numFmtId="0" fontId="310" fillId="0" borderId="0" xfId="6008" applyFont="1" applyFill="1" applyBorder="1" applyAlignment="1">
      <alignment horizontal="center" vertical="center" wrapText="1"/>
    </xf>
    <xf numFmtId="167" fontId="311" fillId="0" borderId="67" xfId="1" applyNumberFormat="1" applyFont="1" applyFill="1" applyBorder="1" applyAlignment="1">
      <alignment horizontal="center" vertical="center" wrapText="1"/>
    </xf>
    <xf numFmtId="10" fontId="312" fillId="0" borderId="67" xfId="6008" applyNumberFormat="1" applyFont="1" applyFill="1">
      <alignment horizontal="center" vertical="center"/>
    </xf>
    <xf numFmtId="10" fontId="310" fillId="0" borderId="0" xfId="6008" applyNumberFormat="1" applyFont="1" applyFill="1" applyBorder="1">
      <alignment horizontal="center" vertical="center"/>
    </xf>
    <xf numFmtId="0" fontId="310" fillId="0" borderId="0" xfId="6008" applyFont="1" applyFill="1" applyBorder="1">
      <alignment horizontal="center" vertical="center"/>
    </xf>
    <xf numFmtId="0" fontId="312" fillId="0" borderId="0" xfId="6008" applyFont="1" applyFill="1" applyBorder="1" applyAlignment="1">
      <alignment horizontal="center" vertical="center" wrapText="1"/>
    </xf>
    <xf numFmtId="0" fontId="313" fillId="15" borderId="63" xfId="666" applyFont="1" applyFill="1" applyBorder="1" applyAlignment="1">
      <alignment horizontal="center" vertical="center" wrapText="1"/>
    </xf>
    <xf numFmtId="0" fontId="314" fillId="15" borderId="63" xfId="666" applyFont="1" applyFill="1" applyBorder="1" applyAlignment="1">
      <alignment horizontal="center" vertical="center" wrapText="1"/>
    </xf>
    <xf numFmtId="0" fontId="258" fillId="0" borderId="0" xfId="6008" applyFont="1" applyFill="1" applyBorder="1" applyAlignment="1">
      <alignment horizontal="center" vertical="center" wrapText="1"/>
    </xf>
    <xf numFmtId="0" fontId="317" fillId="15" borderId="18" xfId="9" applyFont="1" applyFill="1" applyBorder="1" applyAlignment="1" applyProtection="1">
      <alignment horizontal="center" vertical="center" wrapText="1"/>
    </xf>
    <xf numFmtId="0" fontId="265" fillId="0" borderId="86" xfId="666" applyFont="1" applyFill="1" applyBorder="1" applyAlignment="1">
      <alignment horizontal="center" vertical="center" wrapText="1"/>
    </xf>
    <xf numFmtId="0" fontId="265" fillId="0" borderId="86" xfId="666" applyFont="1" applyFill="1" applyBorder="1" applyAlignment="1">
      <alignment horizontal="center" vertical="center" shrinkToFit="1"/>
    </xf>
    <xf numFmtId="0" fontId="313" fillId="0" borderId="87" xfId="666" applyFont="1" applyFill="1" applyBorder="1" applyAlignment="1">
      <alignment horizontal="center" vertical="center" wrapText="1"/>
    </xf>
    <xf numFmtId="0" fontId="313" fillId="0" borderId="86" xfId="666" applyFont="1" applyFill="1" applyBorder="1" applyAlignment="1">
      <alignment horizontal="center" vertical="center" wrapText="1"/>
    </xf>
    <xf numFmtId="184" fontId="265" fillId="0" borderId="86" xfId="6033" applyNumberFormat="1" applyFont="1" applyBorder="1" applyAlignment="1">
      <alignment horizontal="center" vertical="center" wrapText="1"/>
    </xf>
    <xf numFmtId="0" fontId="260" fillId="0" borderId="86" xfId="666" applyFont="1" applyFill="1" applyBorder="1" applyAlignment="1">
      <alignment horizontal="center" vertical="center" wrapText="1"/>
    </xf>
    <xf numFmtId="0" fontId="314" fillId="0" borderId="86" xfId="666" applyFont="1" applyFill="1" applyBorder="1" applyAlignment="1">
      <alignment horizontal="center" vertical="center" wrapText="1"/>
    </xf>
    <xf numFmtId="0" fontId="265" fillId="0" borderId="88" xfId="666" applyFont="1" applyFill="1" applyBorder="1" applyAlignment="1">
      <alignment horizontal="center" vertical="center" wrapText="1"/>
    </xf>
    <xf numFmtId="0" fontId="278" fillId="0" borderId="0" xfId="6031" applyFont="1" applyAlignment="1">
      <alignment wrapText="1"/>
    </xf>
    <xf numFmtId="167" fontId="262" fillId="0" borderId="1" xfId="1" applyNumberFormat="1" applyFont="1" applyFill="1" applyBorder="1" applyAlignment="1" applyProtection="1">
      <alignment vertical="center"/>
    </xf>
    <xf numFmtId="167" fontId="259" fillId="0" borderId="31" xfId="712" applyNumberFormat="1" applyFont="1" applyFill="1" applyBorder="1" applyAlignment="1">
      <alignment vertical="center"/>
    </xf>
    <xf numFmtId="0" fontId="262" fillId="27" borderId="65" xfId="0" applyFont="1" applyFill="1" applyBorder="1" applyAlignment="1">
      <alignment horizontal="left" vertical="center" shrinkToFit="1"/>
    </xf>
    <xf numFmtId="0" fontId="262" fillId="0" borderId="86" xfId="0" applyFont="1" applyBorder="1" applyAlignment="1">
      <alignment horizontal="left" vertical="center" shrinkToFit="1"/>
    </xf>
    <xf numFmtId="0" fontId="259" fillId="26" borderId="23" xfId="623" applyFont="1" applyFill="1" applyBorder="1" applyAlignment="1">
      <alignment horizontal="center" vertical="center"/>
    </xf>
    <xf numFmtId="14" fontId="258" fillId="26" borderId="23" xfId="623" applyNumberFormat="1" applyFont="1" applyFill="1" applyBorder="1" applyAlignment="1">
      <alignment vertical="center"/>
    </xf>
    <xf numFmtId="169" fontId="259" fillId="26" borderId="29" xfId="626" applyNumberFormat="1" applyFont="1" applyFill="1" applyBorder="1" applyAlignment="1">
      <alignment horizontal="center" vertical="center"/>
    </xf>
    <xf numFmtId="173" fontId="259" fillId="26" borderId="23" xfId="628" applyNumberFormat="1" applyFont="1" applyFill="1" applyBorder="1" applyAlignment="1">
      <alignment vertical="center"/>
    </xf>
    <xf numFmtId="167" fontId="295" fillId="0" borderId="1" xfId="1" applyNumberFormat="1" applyFont="1" applyFill="1" applyBorder="1" applyAlignment="1" applyProtection="1">
      <alignment vertical="center"/>
    </xf>
    <xf numFmtId="167" fontId="295" fillId="0" borderId="2" xfId="1" applyNumberFormat="1" applyFont="1" applyFill="1" applyBorder="1" applyAlignment="1" applyProtection="1">
      <alignment vertical="center"/>
    </xf>
    <xf numFmtId="167" fontId="262" fillId="0" borderId="2" xfId="1" applyNumberFormat="1" applyFont="1" applyFill="1" applyBorder="1" applyAlignment="1" applyProtection="1">
      <alignment vertical="center"/>
    </xf>
    <xf numFmtId="179" fontId="259" fillId="0" borderId="31" xfId="711" applyNumberFormat="1" applyFont="1" applyBorder="1" applyAlignment="1">
      <alignment horizontal="center" vertical="center"/>
    </xf>
    <xf numFmtId="0" fontId="278" fillId="0" borderId="0" xfId="6031" applyFont="1" applyAlignment="1">
      <alignment horizontal="center"/>
    </xf>
    <xf numFmtId="0" fontId="296" fillId="15" borderId="72" xfId="0" applyFont="1" applyFill="1" applyBorder="1" applyAlignment="1">
      <alignment horizontal="center" wrapText="1"/>
    </xf>
    <xf numFmtId="0" fontId="296" fillId="15" borderId="76" xfId="0" applyFont="1" applyFill="1" applyBorder="1" applyAlignment="1">
      <alignment horizontal="center" wrapText="1"/>
    </xf>
    <xf numFmtId="0" fontId="307" fillId="15" borderId="30" xfId="6020" applyFont="1" applyFill="1" applyBorder="1" applyAlignment="1">
      <alignment horizontal="center" vertical="center"/>
    </xf>
    <xf numFmtId="0" fontId="307" fillId="15" borderId="73" xfId="6020" applyFont="1" applyFill="1" applyBorder="1" applyAlignment="1">
      <alignment horizontal="center" vertical="center"/>
    </xf>
    <xf numFmtId="0" fontId="307" fillId="15" borderId="22" xfId="6020" applyFont="1" applyFill="1" applyBorder="1" applyAlignment="1">
      <alignment horizontal="center" vertical="center"/>
    </xf>
    <xf numFmtId="0" fontId="0" fillId="15" borderId="74" xfId="0" applyFill="1" applyBorder="1"/>
    <xf numFmtId="0" fontId="307" fillId="15" borderId="22" xfId="6020" applyFont="1" applyFill="1" applyBorder="1" applyAlignment="1">
      <alignment horizontal="center" vertical="center" wrapText="1"/>
    </xf>
    <xf numFmtId="0" fontId="296" fillId="15" borderId="70" xfId="0" applyFont="1" applyFill="1" applyBorder="1" applyAlignment="1">
      <alignment horizontal="center" wrapText="1"/>
    </xf>
    <xf numFmtId="0" fontId="296" fillId="15" borderId="73" xfId="0" applyFont="1" applyFill="1" applyBorder="1" applyAlignment="1">
      <alignment horizontal="center" wrapText="1"/>
    </xf>
    <xf numFmtId="0" fontId="296" fillId="15" borderId="71" xfId="0" applyFont="1" applyFill="1" applyBorder="1" applyAlignment="1">
      <alignment horizontal="center" wrapText="1"/>
    </xf>
    <xf numFmtId="0" fontId="296" fillId="15" borderId="75" xfId="0" applyFont="1" applyFill="1" applyBorder="1" applyAlignment="1">
      <alignment horizontal="center" wrapText="1"/>
    </xf>
    <xf numFmtId="0" fontId="262" fillId="15" borderId="78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57" xfId="0" applyFill="1" applyBorder="1"/>
    <xf numFmtId="0" fontId="303" fillId="15" borderId="68" xfId="36" applyFont="1" applyFill="1" applyBorder="1" applyAlignment="1">
      <alignment horizontal="center" vertical="center" wrapText="1"/>
    </xf>
    <xf numFmtId="0" fontId="303" fillId="15" borderId="0" xfId="36" applyFont="1" applyFill="1" applyAlignment="1">
      <alignment horizontal="center" vertical="center" wrapText="1"/>
    </xf>
    <xf numFmtId="0" fontId="303" fillId="15" borderId="83" xfId="36" applyFont="1" applyFill="1" applyBorder="1" applyAlignment="1">
      <alignment horizontal="center" vertical="center" wrapText="1"/>
    </xf>
    <xf numFmtId="0" fontId="262" fillId="15" borderId="77" xfId="36" applyFont="1" applyFill="1" applyBorder="1" applyAlignment="1">
      <alignment horizontal="center" vertical="center" wrapText="1"/>
    </xf>
    <xf numFmtId="0" fontId="262" fillId="15" borderId="32" xfId="36" applyFont="1" applyFill="1" applyBorder="1" applyAlignment="1">
      <alignment horizontal="center" vertical="center" wrapText="1"/>
    </xf>
    <xf numFmtId="0" fontId="262" fillId="15" borderId="10" xfId="36" applyFont="1" applyFill="1" applyBorder="1" applyAlignment="1">
      <alignment horizontal="center" vertical="center" wrapText="1"/>
    </xf>
    <xf numFmtId="0" fontId="292" fillId="15" borderId="10" xfId="0" applyFont="1" applyFill="1" applyBorder="1" applyAlignment="1">
      <alignment horizontal="center" vertical="center" wrapText="1"/>
    </xf>
    <xf numFmtId="0" fontId="0" fillId="15" borderId="32" xfId="0" applyFill="1" applyBorder="1"/>
    <xf numFmtId="0" fontId="0" fillId="15" borderId="10" xfId="0" applyFill="1" applyBorder="1"/>
    <xf numFmtId="14" fontId="262" fillId="15" borderId="67" xfId="36" applyNumberFormat="1" applyFont="1" applyFill="1" applyBorder="1" applyAlignment="1">
      <alignment horizontal="center" vertical="center" wrapText="1"/>
    </xf>
    <xf numFmtId="0" fontId="262" fillId="15" borderId="82" xfId="623" applyFont="1" applyFill="1" applyBorder="1" applyAlignment="1">
      <alignment horizontal="center" vertical="center" wrapText="1"/>
    </xf>
    <xf numFmtId="0" fontId="262" fillId="15" borderId="32" xfId="623" applyFont="1" applyFill="1" applyBorder="1" applyAlignment="1">
      <alignment horizontal="center" vertical="center" wrapText="1"/>
    </xf>
    <xf numFmtId="0" fontId="262" fillId="15" borderId="10" xfId="623" applyFont="1" applyFill="1" applyBorder="1" applyAlignment="1">
      <alignment horizontal="center" vertical="center" wrapText="1"/>
    </xf>
    <xf numFmtId="0" fontId="262" fillId="15" borderId="27" xfId="623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0" xfId="0" applyBorder="1"/>
    <xf numFmtId="0" fontId="301" fillId="15" borderId="32" xfId="0" applyFont="1" applyFill="1" applyBorder="1" applyAlignment="1">
      <alignment horizontal="center"/>
    </xf>
    <xf numFmtId="0" fontId="301" fillId="15" borderId="10" xfId="0" applyFont="1" applyFill="1" applyBorder="1" applyAlignment="1">
      <alignment horizontal="center"/>
    </xf>
    <xf numFmtId="0" fontId="259" fillId="15" borderId="28" xfId="623" applyFont="1" applyFill="1" applyBorder="1" applyAlignment="1">
      <alignment horizontal="center" vertical="center" wrapText="1"/>
    </xf>
    <xf numFmtId="0" fontId="0" fillId="0" borderId="79" xfId="0" applyBorder="1"/>
    <xf numFmtId="0" fontId="0" fillId="0" borderId="80" xfId="0" applyBorder="1"/>
    <xf numFmtId="4" fontId="262" fillId="15" borderId="69" xfId="0" applyNumberFormat="1" applyFont="1" applyFill="1" applyBorder="1" applyAlignment="1">
      <alignment horizontal="center" vertical="center" wrapText="1"/>
    </xf>
    <xf numFmtId="4" fontId="262" fillId="15" borderId="5" xfId="0" applyNumberFormat="1" applyFont="1" applyFill="1" applyBorder="1" applyAlignment="1">
      <alignment horizontal="center" vertical="center" wrapText="1"/>
    </xf>
    <xf numFmtId="0" fontId="262" fillId="15" borderId="0" xfId="666" applyFont="1" applyFill="1" applyAlignment="1">
      <alignment horizontal="center" vertical="center" wrapText="1"/>
    </xf>
    <xf numFmtId="0" fontId="262" fillId="15" borderId="9" xfId="666" applyFont="1" applyFill="1" applyBorder="1" applyAlignment="1">
      <alignment horizontal="center" vertical="center" wrapText="1"/>
    </xf>
    <xf numFmtId="0" fontId="262" fillId="15" borderId="0" xfId="0" applyFont="1" applyFill="1" applyAlignment="1">
      <alignment horizontal="center" vertical="center" wrapText="1"/>
    </xf>
    <xf numFmtId="0" fontId="262" fillId="15" borderId="4" xfId="0" applyFont="1" applyFill="1" applyBorder="1" applyAlignment="1">
      <alignment horizontal="center" vertical="center" wrapText="1"/>
    </xf>
    <xf numFmtId="0" fontId="262" fillId="15" borderId="81" xfId="0" applyFont="1" applyFill="1" applyBorder="1" applyAlignment="1">
      <alignment horizontal="center" vertical="center" wrapText="1"/>
    </xf>
    <xf numFmtId="0" fontId="262" fillId="15" borderId="69" xfId="0" applyFont="1" applyFill="1" applyBorder="1" applyAlignment="1">
      <alignment horizontal="center" vertical="center" wrapText="1"/>
    </xf>
    <xf numFmtId="0" fontId="262" fillId="15" borderId="85" xfId="0" applyFont="1" applyFill="1" applyBorder="1" applyAlignment="1">
      <alignment horizontal="center" vertical="center" wrapText="1"/>
    </xf>
    <xf numFmtId="0" fontId="259" fillId="15" borderId="31" xfId="71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CH25"/>
  <sheetViews>
    <sheetView tabSelected="1" zoomScale="130" zoomScaleNormal="130" zoomScaleSheetLayoutView="80" workbookViewId="0">
      <pane xSplit="4" ySplit="4" topLeftCell="E5" activePane="bottomRight" state="frozen"/>
      <selection activeCell="D16" sqref="D16"/>
      <selection pane="topRight" activeCell="D16" sqref="D16"/>
      <selection pane="bottomLeft" activeCell="D16" sqref="D16"/>
      <selection pane="bottomRight" activeCell="A4" sqref="A4"/>
    </sheetView>
  </sheetViews>
  <sheetFormatPr baseColWidth="10" defaultColWidth="9.33203125" defaultRowHeight="14" outlineLevelCol="1"/>
  <cols>
    <col min="1" max="1" width="5.6640625" style="46" customWidth="1"/>
    <col min="2" max="2" width="14.1640625" style="46" customWidth="1"/>
    <col min="3" max="3" width="12.5" style="46" customWidth="1" outlineLevel="1"/>
    <col min="4" max="4" width="19.5" style="47" customWidth="1"/>
    <col min="5" max="5" width="15.6640625" style="46" customWidth="1"/>
    <col min="6" max="6" width="26.1640625" style="46" customWidth="1" outlineLevel="1"/>
    <col min="7" max="7" width="17.5" style="46" customWidth="1"/>
    <col min="8" max="8" width="13" style="46" customWidth="1"/>
    <col min="9" max="9" width="15.33203125" style="46" customWidth="1" outlineLevel="1"/>
    <col min="10" max="12" width="15.83203125" style="46" customWidth="1"/>
    <col min="13" max="13" width="9.5" style="46" customWidth="1"/>
    <col min="14" max="14" width="16" style="46" customWidth="1"/>
    <col min="15" max="15" width="9.33203125" style="46" customWidth="1" outlineLevel="1"/>
    <col min="16" max="16" width="13.33203125" style="46" customWidth="1" outlineLevel="1"/>
    <col min="17" max="17" width="17.1640625" style="46" customWidth="1" outlineLevel="1"/>
    <col min="18" max="18" width="17.6640625" style="46" customWidth="1"/>
    <col min="19" max="19" width="12.83203125" style="46" customWidth="1" outlineLevel="1"/>
    <col min="20" max="20" width="14.5" style="46" customWidth="1" outlineLevel="1"/>
    <col min="21" max="21" width="16.5" style="46" customWidth="1"/>
    <col min="22" max="22" width="15" style="48" customWidth="1" outlineLevel="1"/>
    <col min="23" max="23" width="14.83203125" style="48" customWidth="1" outlineLevel="1"/>
    <col min="24" max="24" width="12.5" style="48" customWidth="1" outlineLevel="1"/>
    <col min="25" max="25" width="13.33203125" style="46" customWidth="1"/>
    <col min="26" max="26" width="13.5" style="46" customWidth="1" outlineLevel="1"/>
    <col min="27" max="27" width="12.6640625" style="46" customWidth="1"/>
    <col min="28" max="28" width="12.5" style="46" customWidth="1"/>
    <col min="29" max="29" width="12" style="46" customWidth="1" outlineLevel="1"/>
    <col min="30" max="30" width="12.33203125" style="46" customWidth="1"/>
    <col min="31" max="31" width="8.5" style="46" customWidth="1"/>
    <col min="32" max="33" width="13.5" style="46" customWidth="1"/>
    <col min="34" max="34" width="12.5" style="46" customWidth="1"/>
    <col min="35" max="35" width="11.83203125" style="46" customWidth="1"/>
    <col min="36" max="37" width="14.6640625" style="46" customWidth="1"/>
    <col min="38" max="38" width="13.5" style="46" customWidth="1"/>
    <col min="39" max="39" width="13" style="46" customWidth="1"/>
    <col min="40" max="40" width="15.1640625" style="46" customWidth="1"/>
    <col min="41" max="41" width="6" style="46" customWidth="1"/>
    <col min="42" max="42" width="18.1640625" style="46" bestFit="1" customWidth="1"/>
    <col min="43" max="43" width="14.5" style="46" customWidth="1" outlineLevel="1"/>
    <col min="44" max="44" width="12.5" style="46" customWidth="1" outlineLevel="1"/>
    <col min="45" max="45" width="13.6640625" style="46" customWidth="1" outlineLevel="1"/>
    <col min="46" max="46" width="15.5" style="46" customWidth="1"/>
    <col min="47" max="49" width="13" style="46" customWidth="1"/>
    <col min="50" max="50" width="9.1640625" style="46" customWidth="1"/>
    <col min="51" max="51" width="11.5" style="46" customWidth="1"/>
    <col min="52" max="52" width="14" style="46" customWidth="1"/>
    <col min="53" max="53" width="12.5" style="46" customWidth="1" outlineLevel="1"/>
    <col min="54" max="54" width="12.33203125" style="46" customWidth="1" outlineLevel="1"/>
    <col min="55" max="55" width="12.5" style="46" customWidth="1" outlineLevel="1"/>
    <col min="56" max="56" width="15.33203125" style="46" customWidth="1" outlineLevel="1"/>
    <col min="57" max="57" width="15" style="46" customWidth="1"/>
    <col min="58" max="59" width="15.83203125" style="46" bestFit="1" customWidth="1"/>
    <col min="60" max="60" width="12.1640625" style="46" customWidth="1"/>
    <col min="61" max="61" width="11" style="46" customWidth="1"/>
    <col min="62" max="62" width="13" style="46" customWidth="1"/>
    <col min="63" max="63" width="14" style="46" customWidth="1"/>
    <col min="64" max="64" width="12.1640625" style="46" customWidth="1"/>
    <col min="65" max="65" width="18.6640625" style="46" customWidth="1"/>
    <col min="66" max="66" width="13.83203125" style="46" customWidth="1"/>
    <col min="67" max="67" width="14.5" style="46" customWidth="1" outlineLevel="1"/>
    <col min="68" max="68" width="14.33203125" style="46" customWidth="1" outlineLevel="1"/>
    <col min="69" max="69" width="15.6640625" style="46" customWidth="1" outlineLevel="1"/>
    <col min="70" max="75" width="13.6640625" style="46" customWidth="1" outlineLevel="1"/>
    <col min="76" max="76" width="15.5" style="46" customWidth="1" outlineLevel="1"/>
    <col min="77" max="77" width="18.1640625" style="46" bestFit="1" customWidth="1"/>
    <col min="78" max="78" width="9.33203125" style="46" customWidth="1"/>
    <col min="79" max="80" width="9.33203125" style="46"/>
    <col min="81" max="81" width="11.33203125" style="46" bestFit="1" customWidth="1"/>
    <col min="82" max="84" width="9.33203125" style="46"/>
    <col min="85" max="85" width="18.5" style="46" bestFit="1" customWidth="1"/>
    <col min="86" max="86" width="13.5" style="46" bestFit="1" customWidth="1"/>
    <col min="87" max="16384" width="9.33203125" style="46"/>
  </cols>
  <sheetData>
    <row r="1" spans="1:86" ht="35">
      <c r="A1" s="101" t="s">
        <v>181</v>
      </c>
      <c r="B1" s="101"/>
    </row>
    <row r="2" spans="1:86" ht="22.5" customHeight="1">
      <c r="A2" s="49" t="s">
        <v>0</v>
      </c>
      <c r="C2" s="102"/>
      <c r="D2" s="103">
        <v>45773</v>
      </c>
      <c r="Y2" s="50"/>
      <c r="Z2" s="104"/>
      <c r="AA2" s="104"/>
      <c r="AB2" s="104"/>
      <c r="AC2" s="104"/>
      <c r="AK2" s="322"/>
      <c r="AL2" s="322"/>
      <c r="AM2" s="322"/>
      <c r="AN2" s="322"/>
      <c r="AO2" s="322"/>
      <c r="AP2" s="322"/>
      <c r="AQ2" s="49"/>
      <c r="AR2" s="49"/>
      <c r="AS2" s="49"/>
      <c r="AT2" s="49"/>
    </row>
    <row r="3" spans="1:86" s="290" customFormat="1" ht="48" customHeight="1">
      <c r="A3" s="287"/>
      <c r="B3" s="287" t="s">
        <v>235</v>
      </c>
      <c r="C3" s="287"/>
      <c r="D3" s="288" t="s">
        <v>235</v>
      </c>
      <c r="E3" s="287"/>
      <c r="F3" s="287"/>
      <c r="G3" s="287"/>
      <c r="H3" s="287"/>
      <c r="I3" s="287"/>
      <c r="J3" s="289"/>
      <c r="K3" s="287"/>
      <c r="M3" s="287" t="s">
        <v>235</v>
      </c>
      <c r="N3" s="289"/>
      <c r="O3" s="289"/>
      <c r="P3" s="289"/>
      <c r="Q3" s="289"/>
      <c r="R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J3" s="287"/>
      <c r="AK3" s="291"/>
      <c r="AL3" s="291"/>
      <c r="AN3" s="291"/>
      <c r="AO3" s="291"/>
      <c r="AT3" s="294"/>
      <c r="AU3" s="291"/>
      <c r="AV3" s="291"/>
      <c r="AW3" s="291"/>
      <c r="AX3" s="291"/>
      <c r="AY3" s="295"/>
      <c r="AZ3" s="291"/>
      <c r="BE3" s="294"/>
      <c r="BH3" s="299"/>
      <c r="BI3" s="299"/>
      <c r="BJ3" s="291"/>
      <c r="BK3" s="291"/>
      <c r="BM3" s="295"/>
      <c r="BN3" s="291"/>
      <c r="BO3" s="291"/>
      <c r="BP3" s="291"/>
      <c r="BQ3" s="291"/>
      <c r="BR3" s="291"/>
      <c r="BS3" s="291"/>
      <c r="BT3" s="291"/>
      <c r="BU3" s="291"/>
      <c r="BV3" s="291"/>
      <c r="BW3" s="291"/>
      <c r="BX3" s="291"/>
    </row>
    <row r="4" spans="1:86" s="45" customFormat="1" ht="75.75" customHeight="1">
      <c r="A4" s="106" t="s">
        <v>24</v>
      </c>
      <c r="B4" s="106" t="s">
        <v>27</v>
      </c>
      <c r="C4" s="106" t="s">
        <v>132</v>
      </c>
      <c r="D4" s="107" t="s">
        <v>28</v>
      </c>
      <c r="E4" s="106" t="s">
        <v>133</v>
      </c>
      <c r="F4" s="106" t="s">
        <v>12</v>
      </c>
      <c r="G4" s="106" t="s">
        <v>29</v>
      </c>
      <c r="H4" s="106" t="s">
        <v>14</v>
      </c>
      <c r="I4" s="106" t="s">
        <v>108</v>
      </c>
      <c r="J4" s="297" t="s">
        <v>117</v>
      </c>
      <c r="K4" s="297" t="s">
        <v>134</v>
      </c>
      <c r="L4" s="297" t="s">
        <v>118</v>
      </c>
      <c r="M4" s="106" t="s">
        <v>135</v>
      </c>
      <c r="N4" s="106" t="s">
        <v>121</v>
      </c>
      <c r="O4" s="106" t="s">
        <v>119</v>
      </c>
      <c r="P4" s="106" t="s">
        <v>122</v>
      </c>
      <c r="Q4" s="106" t="s">
        <v>171</v>
      </c>
      <c r="R4" s="106" t="s">
        <v>120</v>
      </c>
      <c r="S4" s="106" t="s">
        <v>123</v>
      </c>
      <c r="T4" s="106" t="s">
        <v>172</v>
      </c>
      <c r="U4" s="106" t="s">
        <v>124</v>
      </c>
      <c r="V4" s="297" t="s">
        <v>15</v>
      </c>
      <c r="W4" s="297" t="s">
        <v>16</v>
      </c>
      <c r="X4" s="297" t="s">
        <v>17</v>
      </c>
      <c r="Y4" s="106" t="s">
        <v>18</v>
      </c>
      <c r="Z4" s="106" t="s">
        <v>115</v>
      </c>
      <c r="AA4" s="106" t="s">
        <v>19</v>
      </c>
      <c r="AB4" s="106" t="s">
        <v>136</v>
      </c>
      <c r="AC4" s="297" t="s">
        <v>109</v>
      </c>
      <c r="AD4" s="297" t="s">
        <v>137</v>
      </c>
      <c r="AE4" s="106" t="s">
        <v>110</v>
      </c>
      <c r="AF4" s="106" t="s">
        <v>111</v>
      </c>
      <c r="AG4" s="106" t="s">
        <v>112</v>
      </c>
      <c r="AH4" s="106" t="s">
        <v>138</v>
      </c>
      <c r="AI4" s="297" t="s">
        <v>125</v>
      </c>
      <c r="AJ4" s="106" t="s">
        <v>126</v>
      </c>
      <c r="AK4" s="106" t="s">
        <v>101</v>
      </c>
      <c r="AL4" s="106" t="s">
        <v>127</v>
      </c>
      <c r="AM4" s="106" t="s">
        <v>139</v>
      </c>
      <c r="AN4" s="106" t="s">
        <v>47</v>
      </c>
      <c r="AO4" s="297" t="s">
        <v>2</v>
      </c>
      <c r="AP4" s="106" t="s">
        <v>129</v>
      </c>
      <c r="AQ4" s="108" t="s">
        <v>140</v>
      </c>
      <c r="AR4" s="108" t="s">
        <v>141</v>
      </c>
      <c r="AS4" s="108" t="s">
        <v>142</v>
      </c>
      <c r="AT4" s="108" t="s">
        <v>143</v>
      </c>
      <c r="AU4" s="106" t="s">
        <v>144</v>
      </c>
      <c r="AV4" s="106" t="s">
        <v>145</v>
      </c>
      <c r="AW4" s="106" t="s">
        <v>146</v>
      </c>
      <c r="AX4" s="106" t="s">
        <v>3</v>
      </c>
      <c r="AY4" s="106" t="s">
        <v>4</v>
      </c>
      <c r="AZ4" s="106" t="s">
        <v>147</v>
      </c>
      <c r="BA4" s="108" t="s">
        <v>148</v>
      </c>
      <c r="BB4" s="108" t="s">
        <v>149</v>
      </c>
      <c r="BC4" s="108" t="s">
        <v>142</v>
      </c>
      <c r="BD4" s="108" t="s">
        <v>150</v>
      </c>
      <c r="BE4" s="108" t="s">
        <v>151</v>
      </c>
      <c r="BF4" s="109" t="s">
        <v>152</v>
      </c>
      <c r="BG4" s="109" t="s">
        <v>153</v>
      </c>
      <c r="BH4" s="298" t="s">
        <v>102</v>
      </c>
      <c r="BI4" s="298" t="s">
        <v>103</v>
      </c>
      <c r="BJ4" s="106" t="s">
        <v>104</v>
      </c>
      <c r="BK4" s="106" t="s">
        <v>105</v>
      </c>
      <c r="BL4" s="106" t="s">
        <v>128</v>
      </c>
      <c r="BM4" s="106" t="s">
        <v>5</v>
      </c>
      <c r="BN4" s="106" t="s">
        <v>154</v>
      </c>
      <c r="BO4" s="297" t="s">
        <v>106</v>
      </c>
      <c r="BP4" s="297" t="s">
        <v>107</v>
      </c>
      <c r="BQ4" s="106" t="s">
        <v>6</v>
      </c>
      <c r="BR4" s="106" t="s">
        <v>7</v>
      </c>
      <c r="BS4" s="106" t="s">
        <v>236</v>
      </c>
      <c r="BT4" s="106" t="s">
        <v>237</v>
      </c>
      <c r="BU4" s="106" t="s">
        <v>238</v>
      </c>
      <c r="BV4" s="106" t="s">
        <v>239</v>
      </c>
      <c r="BW4" s="297" t="s">
        <v>240</v>
      </c>
      <c r="BX4" s="110" t="s">
        <v>8</v>
      </c>
    </row>
    <row r="5" spans="1:86" s="309" customFormat="1" ht="35">
      <c r="A5" s="301"/>
      <c r="B5" s="301"/>
      <c r="C5" s="301"/>
      <c r="D5" s="302"/>
      <c r="E5" s="301"/>
      <c r="F5" s="301"/>
      <c r="G5" s="301"/>
      <c r="H5" s="301"/>
      <c r="I5" s="301"/>
      <c r="J5" s="303"/>
      <c r="K5" s="304"/>
      <c r="L5" s="304"/>
      <c r="M5" s="301"/>
      <c r="N5" s="301"/>
      <c r="O5" s="301"/>
      <c r="P5" s="301"/>
      <c r="Q5" s="301"/>
      <c r="R5" s="301"/>
      <c r="S5" s="301"/>
      <c r="T5" s="301"/>
      <c r="U5" s="301"/>
      <c r="V5" s="304"/>
      <c r="W5" s="304"/>
      <c r="X5" s="304"/>
      <c r="Y5" s="301"/>
      <c r="Z5" s="301"/>
      <c r="AA5" s="301"/>
      <c r="AB5" s="301"/>
      <c r="AC5" s="304"/>
      <c r="AD5" s="304"/>
      <c r="AE5" s="301"/>
      <c r="AF5" s="301"/>
      <c r="AG5" s="301"/>
      <c r="AH5" s="301"/>
      <c r="AI5" s="304"/>
      <c r="AJ5" s="301"/>
      <c r="AK5" s="301"/>
      <c r="AL5" s="301"/>
      <c r="AM5" s="301"/>
      <c r="AN5" s="301"/>
      <c r="AO5" s="304"/>
      <c r="AP5" s="301"/>
      <c r="AQ5" s="305"/>
      <c r="AR5" s="305"/>
      <c r="AS5" s="305"/>
      <c r="AT5" s="305"/>
      <c r="AU5" s="301"/>
      <c r="AV5" s="301"/>
      <c r="AW5" s="301"/>
      <c r="AX5" s="301"/>
      <c r="AY5" s="301"/>
      <c r="AZ5" s="301"/>
      <c r="BA5" s="305"/>
      <c r="BB5" s="305"/>
      <c r="BC5" s="305"/>
      <c r="BD5" s="305"/>
      <c r="BE5" s="305"/>
      <c r="BF5" s="306"/>
      <c r="BG5" s="306"/>
      <c r="BH5" s="307"/>
      <c r="BI5" s="307"/>
      <c r="BJ5" s="301"/>
      <c r="BK5" s="301"/>
      <c r="BL5" s="301"/>
      <c r="BM5" s="301"/>
      <c r="BN5" s="301"/>
      <c r="BO5" s="304"/>
      <c r="BP5" s="304"/>
      <c r="BQ5" s="301"/>
      <c r="BR5" s="301"/>
      <c r="BS5" s="301"/>
      <c r="BT5" s="301"/>
      <c r="BU5" s="301"/>
      <c r="BV5" s="301"/>
      <c r="BW5" s="304"/>
      <c r="BX5" s="308"/>
      <c r="BY5" s="292">
        <v>6200000</v>
      </c>
      <c r="BZ5" s="293">
        <v>0.08</v>
      </c>
      <c r="CA5" s="293">
        <v>1.4999999999999999E-2</v>
      </c>
      <c r="CB5" s="293">
        <v>0.01</v>
      </c>
      <c r="CC5" s="293">
        <v>0.17</v>
      </c>
      <c r="CD5" s="293">
        <v>0.03</v>
      </c>
      <c r="CE5" s="293">
        <v>0.01</v>
      </c>
      <c r="CF5" s="293">
        <v>5.0000000000000001E-3</v>
      </c>
      <c r="CG5" s="296">
        <f>2340000*20</f>
        <v>46800000</v>
      </c>
      <c r="CH5" s="296">
        <f>4960000*20</f>
        <v>99200000</v>
      </c>
    </row>
    <row r="6" spans="1:86" s="99" customFormat="1" ht="22.5" customHeight="1">
      <c r="A6" s="111">
        <v>0</v>
      </c>
      <c r="B6" s="111" t="s">
        <v>174</v>
      </c>
      <c r="C6" s="111"/>
      <c r="D6" s="112" t="s">
        <v>182</v>
      </c>
      <c r="E6" s="113" t="s">
        <v>99</v>
      </c>
      <c r="F6" s="113" t="s">
        <v>163</v>
      </c>
      <c r="G6" s="114" t="s">
        <v>155</v>
      </c>
      <c r="H6" s="114" t="s">
        <v>20</v>
      </c>
      <c r="I6" s="114" t="s">
        <v>113</v>
      </c>
      <c r="J6" s="115">
        <v>47000000</v>
      </c>
      <c r="K6" s="116">
        <v>10870000</v>
      </c>
      <c r="L6" s="116">
        <f t="shared" ref="L6:L13" si="0">J6-K6</f>
        <v>36130000</v>
      </c>
      <c r="M6" s="116">
        <v>26</v>
      </c>
      <c r="N6" s="117">
        <f>IFERROR(VLOOKUP(B6,' TimeTB 1'!$B$4:$AT$5,5,0),0)</f>
        <v>0</v>
      </c>
      <c r="O6" s="117">
        <f>VLOOKUP(B6,'TimeTB 2'!$B$4:$O$11,14,0)</f>
        <v>26</v>
      </c>
      <c r="P6" s="118">
        <f>ROUND(K6/M6*N6,0)</f>
        <v>0</v>
      </c>
      <c r="Q6" s="118">
        <f t="shared" ref="Q6:Q13" si="1">ROUND(K6/M6*O6,0)</f>
        <v>10870000</v>
      </c>
      <c r="R6" s="116">
        <f t="shared" ref="R6:R12" si="2">SUM(P6:Q6)</f>
        <v>10870000</v>
      </c>
      <c r="S6" s="118">
        <f t="shared" ref="S6:S13" si="3">ROUND(L6/26*N6,0)</f>
        <v>0</v>
      </c>
      <c r="T6" s="118">
        <f t="shared" ref="T6:T13" si="4">ROUND(L6/26*O6,0)</f>
        <v>36130000</v>
      </c>
      <c r="U6" s="116">
        <f t="shared" ref="U6:U13" si="5">SUM(S6:T6)</f>
        <v>36130000</v>
      </c>
      <c r="V6" s="116">
        <v>0</v>
      </c>
      <c r="W6" s="116">
        <v>0</v>
      </c>
      <c r="X6" s="116">
        <v>0</v>
      </c>
      <c r="Y6" s="116">
        <f>VLOOKUP(B6,'PC cơm '!$A$3:$K$11,11,0)</f>
        <v>1000000</v>
      </c>
      <c r="Z6" s="116">
        <f>SUM(V6:Y6)</f>
        <v>1000000</v>
      </c>
      <c r="AA6" s="116">
        <f>VLOOKUP(B6,OT!$A$3:$S$10,17,0)</f>
        <v>0</v>
      </c>
      <c r="AB6" s="116">
        <f>VLOOKUP(B6,NS!$A$2:$F$5,6,0)</f>
        <v>135577</v>
      </c>
      <c r="AC6" s="116">
        <v>0</v>
      </c>
      <c r="AD6" s="116">
        <v>0</v>
      </c>
      <c r="AE6" s="117">
        <v>0</v>
      </c>
      <c r="AF6" s="119">
        <f t="shared" ref="AF6:AF13" si="6">ROUND(J6/26*AE6,0)</f>
        <v>0</v>
      </c>
      <c r="AG6" s="119">
        <f>IFERROR(VLOOKUP(B6,Incentive!$A$4:$J$10,7,0),0)</f>
        <v>0</v>
      </c>
      <c r="AH6" s="119">
        <f>SUMIF(Others!$B$3:$B$9,$B6,Others!$F$3:$F$9)</f>
        <v>0</v>
      </c>
      <c r="AI6" s="119">
        <v>0</v>
      </c>
      <c r="AJ6" s="116">
        <f>AI6+AH6+AG6+AF6+AD6+AC6+AB6+AA6+Z6+U6+R6+BN6</f>
        <v>48335577</v>
      </c>
      <c r="AK6" s="116">
        <f>VLOOKUP(B6,OT!$A$3:$S$12,19,0)</f>
        <v>0</v>
      </c>
      <c r="AL6" s="116">
        <f>VLOOKUP(B6,NS!$A$2:$H$10,8,0)</f>
        <v>135577</v>
      </c>
      <c r="AM6" s="116">
        <f>AI6</f>
        <v>0</v>
      </c>
      <c r="AN6" s="116">
        <f>IF(BT6=1,0,15500000)</f>
        <v>15500000</v>
      </c>
      <c r="AO6" s="117">
        <v>4</v>
      </c>
      <c r="AP6" s="116">
        <f t="shared" ref="AP6:AP13" si="7">AO6*$BY$5</f>
        <v>24800000</v>
      </c>
      <c r="AQ6" s="116">
        <f t="shared" ref="AQ6:AQ13" si="8">BF6*$BZ$5</f>
        <v>869600</v>
      </c>
      <c r="AR6" s="116">
        <f t="shared" ref="AR6:AR13" si="9">BF6*$CA$5</f>
        <v>163050</v>
      </c>
      <c r="AS6" s="116">
        <f t="shared" ref="AS6:AS13" si="10">BG6*$CB$5</f>
        <v>108700</v>
      </c>
      <c r="AT6" s="119">
        <f>+AS6+AR6+AQ6</f>
        <v>1141350</v>
      </c>
      <c r="AU6" s="119">
        <f>IF(BT6=1,0,MIN(Y6,730000))</f>
        <v>730000</v>
      </c>
      <c r="AV6" s="119">
        <f>AJ6-AK6-AL6-AM6-AU6</f>
        <v>47470000</v>
      </c>
      <c r="AW6" s="119">
        <f>MAX(AV6-AN6-AP6-AT6,0)</f>
        <v>6028650</v>
      </c>
      <c r="AX6" s="120">
        <f t="shared" ref="AX6:AX13" si="11">IF(BT6=1,10%,IF(AW6&gt;0,IF(AW6&gt;80000000,0.35,IF(AW6&gt;52000000,0.3,IF(AW6&gt;32000000,0.25,IF(AW6&gt;18000000,0.2,IF(AW6&gt;10000000,0.15,IF(AW6&gt;5000000,0.1,0.05)))))),0))</f>
        <v>0.1</v>
      </c>
      <c r="AY6" s="121">
        <f>IF(BT6=1,0,IF(AW6&gt;80000000,9850000,IF(AW6&gt;52000000,5850000,IF(AW6&gt;32000000,3250000,IF(AW6&gt;18000000,1650000,IF(AW6&gt;10000000,750000,IF(AW6&gt;5000000,250000,0)))))))</f>
        <v>250000</v>
      </c>
      <c r="AZ6" s="122">
        <f>ROUND(AW6*AX6-AY6,0)</f>
        <v>352865</v>
      </c>
      <c r="BA6" s="116">
        <f t="shared" ref="BA6:BA13" si="12">BF6*$CC$5</f>
        <v>1847900.0000000002</v>
      </c>
      <c r="BB6" s="116">
        <f t="shared" ref="BB6:BB13" si="13">BF6*$CD$5</f>
        <v>326100</v>
      </c>
      <c r="BC6" s="116">
        <f t="shared" ref="BC6:BC13" si="14">BG6*$CE$5</f>
        <v>108700</v>
      </c>
      <c r="BD6" s="116">
        <f t="shared" ref="BD6:BD13" si="15">BG6*$CF$5</f>
        <v>54350</v>
      </c>
      <c r="BE6" s="116">
        <f>SUM(BA6:BD6)</f>
        <v>2337050</v>
      </c>
      <c r="BF6" s="116">
        <f t="shared" ref="BF6:BF13" si="16">MIN((IF(BS6=1,K6,0)),$CG$5)</f>
        <v>10870000</v>
      </c>
      <c r="BG6" s="116">
        <f t="shared" ref="BG6:BG13" si="17">MIN((IF(BS6=1,K6,0)),$CH$5)</f>
        <v>10870000</v>
      </c>
      <c r="BH6" s="116">
        <v>0</v>
      </c>
      <c r="BI6" s="116">
        <v>0</v>
      </c>
      <c r="BJ6" s="116">
        <f>IF(BS6=1,BF6*2%,0)</f>
        <v>217400</v>
      </c>
      <c r="BK6" s="116">
        <f>IF(BU6=1,40000,0)</f>
        <v>40000</v>
      </c>
      <c r="BL6" s="116">
        <f t="shared" ref="BL6:BL13" si="18">IF(BV6=0,0,IF(J6&lt;11000000,5000,IF(J6&lt;25000000,10000,IF(J6&lt;40000000,15000,20000)))*BW6)</f>
        <v>0</v>
      </c>
      <c r="BM6" s="123">
        <f>AJ6-AT6-AZ6-BK6-BL6-BN6-BO6-BP6</f>
        <v>46601362</v>
      </c>
      <c r="BN6" s="119">
        <f>IFERROR(VLOOKUP(B6,'Benefit tính thuế'!$A$2:$G$12,7,0),0)</f>
        <v>200000</v>
      </c>
      <c r="BO6" s="123">
        <v>0</v>
      </c>
      <c r="BP6" s="123">
        <v>0</v>
      </c>
      <c r="BQ6" s="124">
        <f>AN6+AP6+AU6</f>
        <v>41030000</v>
      </c>
      <c r="BR6" s="124">
        <f>+AZ6+AT6</f>
        <v>1494215</v>
      </c>
      <c r="BS6" s="124">
        <v>1</v>
      </c>
      <c r="BT6" s="125">
        <v>0</v>
      </c>
      <c r="BU6" s="124">
        <v>1</v>
      </c>
      <c r="BV6" s="124">
        <v>0</v>
      </c>
      <c r="BW6" s="124">
        <v>20</v>
      </c>
      <c r="BX6" s="126"/>
    </row>
    <row r="7" spans="1:86" s="99" customFormat="1" ht="22.5" customHeight="1">
      <c r="A7" s="84">
        <v>1</v>
      </c>
      <c r="B7" s="84" t="s">
        <v>175</v>
      </c>
      <c r="C7" s="84"/>
      <c r="D7" s="85" t="s">
        <v>183</v>
      </c>
      <c r="E7" s="86" t="s">
        <v>81</v>
      </c>
      <c r="F7" s="86" t="s">
        <v>164</v>
      </c>
      <c r="G7" s="87" t="s">
        <v>156</v>
      </c>
      <c r="H7" s="87" t="s">
        <v>20</v>
      </c>
      <c r="I7" s="87" t="s">
        <v>100</v>
      </c>
      <c r="J7" s="88">
        <v>31000000</v>
      </c>
      <c r="K7" s="88">
        <v>8350000</v>
      </c>
      <c r="L7" s="88">
        <f t="shared" si="0"/>
        <v>22650000</v>
      </c>
      <c r="M7" s="88">
        <v>26</v>
      </c>
      <c r="N7" s="89">
        <f>IFERROR(VLOOKUP(B7,' TimeTB 1'!$B$4:$AT$5,5,0),0)</f>
        <v>0</v>
      </c>
      <c r="O7" s="89">
        <f>VLOOKUP(B7,'TimeTB 2'!$B$4:$O$11,14,0)</f>
        <v>26</v>
      </c>
      <c r="P7" s="90">
        <f t="shared" ref="P7:P13" si="19">ROUND((K7/M7*N7),0)</f>
        <v>0</v>
      </c>
      <c r="Q7" s="90">
        <f t="shared" si="1"/>
        <v>8350000</v>
      </c>
      <c r="R7" s="88">
        <f t="shared" si="2"/>
        <v>8350000</v>
      </c>
      <c r="S7" s="90">
        <f t="shared" si="3"/>
        <v>0</v>
      </c>
      <c r="T7" s="90">
        <f t="shared" si="4"/>
        <v>22650000</v>
      </c>
      <c r="U7" s="88">
        <f t="shared" si="5"/>
        <v>22650000</v>
      </c>
      <c r="V7" s="88">
        <v>0</v>
      </c>
      <c r="W7" s="88">
        <v>0</v>
      </c>
      <c r="X7" s="88">
        <v>0</v>
      </c>
      <c r="Y7" s="88">
        <f>VLOOKUP(B7,'PC cơm '!$A$3:$K$11,11,0)</f>
        <v>1120000</v>
      </c>
      <c r="Z7" s="88">
        <f>SUM(V7:Y7)</f>
        <v>1120000</v>
      </c>
      <c r="AA7" s="88">
        <f>VLOOKUP(B7,OT!$A$3:$S$10,17,0)</f>
        <v>5827403</v>
      </c>
      <c r="AB7" s="88">
        <f>VLOOKUP(B7,NS!$A$2:$H$9,6,0)</f>
        <v>134135</v>
      </c>
      <c r="AC7" s="88">
        <v>0</v>
      </c>
      <c r="AD7" s="88">
        <v>0</v>
      </c>
      <c r="AE7" s="89">
        <v>0</v>
      </c>
      <c r="AF7" s="91">
        <f t="shared" si="6"/>
        <v>0</v>
      </c>
      <c r="AG7" s="91">
        <f>IFERROR(VLOOKUP(B7,Incentive!$A$4:$J$10,7,0),0)</f>
        <v>0</v>
      </c>
      <c r="AH7" s="91">
        <f>SUMIF(Others!$B$3:$B$9,$B7,Others!$F$3:$F$9)</f>
        <v>0</v>
      </c>
      <c r="AI7" s="91">
        <v>0</v>
      </c>
      <c r="AJ7" s="88">
        <f>AI7+AH7+AG7+AF7+AD7+AC7+AB7+AA7+Z7+U7+R7+BN7</f>
        <v>40081538</v>
      </c>
      <c r="AK7" s="88">
        <f>VLOOKUP(B7,OT!$A$3:$S$12,19,0)</f>
        <v>3740865</v>
      </c>
      <c r="AL7" s="88">
        <f>VLOOKUP(B7,NS!$A$2:$H$10,8,0)</f>
        <v>134135</v>
      </c>
      <c r="AM7" s="88">
        <f>AI7</f>
        <v>0</v>
      </c>
      <c r="AN7" s="88">
        <f t="shared" ref="AN7:AN12" si="20">IF(BT7=1,0,15500000)</f>
        <v>15500000</v>
      </c>
      <c r="AO7" s="89">
        <v>1</v>
      </c>
      <c r="AP7" s="88">
        <f t="shared" si="7"/>
        <v>6200000</v>
      </c>
      <c r="AQ7" s="88">
        <f t="shared" si="8"/>
        <v>668000</v>
      </c>
      <c r="AR7" s="88">
        <f t="shared" si="9"/>
        <v>125250</v>
      </c>
      <c r="AS7" s="88">
        <f t="shared" si="10"/>
        <v>83500</v>
      </c>
      <c r="AT7" s="91">
        <f>+AS7+AR7+AQ7</f>
        <v>876750</v>
      </c>
      <c r="AU7" s="91">
        <f>IF(BT7=1,0,MIN(Y7,730000))</f>
        <v>730000</v>
      </c>
      <c r="AV7" s="91">
        <f>AJ7-AK7-AL7-AM7-AU7</f>
        <v>35476538</v>
      </c>
      <c r="AW7" s="91">
        <f>MAX(AV7-AN7-AP7-AT7,0)</f>
        <v>12899788</v>
      </c>
      <c r="AX7" s="92">
        <f t="shared" si="11"/>
        <v>0.15</v>
      </c>
      <c r="AY7" s="93">
        <f>IF(BT7=1,0,IF(AW7&gt;80000000,9850000,IF(AW7&gt;52000000,5850000,IF(AW7&gt;32000000,3250000,IF(AW7&gt;18000000,1650000,IF(AW7&gt;10000000,750000,IF(AW7&gt;5000000,250000,0)))))))</f>
        <v>750000</v>
      </c>
      <c r="AZ7" s="94">
        <f>ROUND(AW7*AX7-AY7,0)</f>
        <v>1184968</v>
      </c>
      <c r="BA7" s="88">
        <f t="shared" si="12"/>
        <v>1419500</v>
      </c>
      <c r="BB7" s="88">
        <f t="shared" si="13"/>
        <v>250500</v>
      </c>
      <c r="BC7" s="88">
        <f t="shared" si="14"/>
        <v>83500</v>
      </c>
      <c r="BD7" s="88">
        <f t="shared" si="15"/>
        <v>41750</v>
      </c>
      <c r="BE7" s="88">
        <f>SUM(BA7:BD7)</f>
        <v>1795250</v>
      </c>
      <c r="BF7" s="88">
        <f t="shared" si="16"/>
        <v>8350000</v>
      </c>
      <c r="BG7" s="88">
        <f t="shared" si="17"/>
        <v>8350000</v>
      </c>
      <c r="BH7" s="88">
        <v>0</v>
      </c>
      <c r="BI7" s="88">
        <v>0</v>
      </c>
      <c r="BJ7" s="88">
        <f>IF(BS7=1,BF7*2%,0)</f>
        <v>167000</v>
      </c>
      <c r="BK7" s="88">
        <f>IF(BU7=1,40000,0)</f>
        <v>40000</v>
      </c>
      <c r="BL7" s="88">
        <f t="shared" si="18"/>
        <v>300000</v>
      </c>
      <c r="BM7" s="95">
        <f>AJ7-AT7-AZ7-BK7-BL7-BN7-BO7-BP7</f>
        <v>35679820</v>
      </c>
      <c r="BN7" s="91">
        <f>IFERROR(VLOOKUP(B7,'Benefit tính thuế'!$A$2:$G$12,7,0),0)</f>
        <v>2000000</v>
      </c>
      <c r="BO7" s="95">
        <v>0</v>
      </c>
      <c r="BP7" s="95">
        <v>0</v>
      </c>
      <c r="BQ7" s="96">
        <f>AN7+AP7+AU7</f>
        <v>22430000</v>
      </c>
      <c r="BR7" s="96">
        <f>+AZ7+AT7</f>
        <v>2061718</v>
      </c>
      <c r="BS7" s="96">
        <v>1</v>
      </c>
      <c r="BT7" s="97">
        <v>0</v>
      </c>
      <c r="BU7" s="96">
        <v>1</v>
      </c>
      <c r="BV7" s="97">
        <v>1</v>
      </c>
      <c r="BW7" s="96">
        <v>20</v>
      </c>
      <c r="BX7" s="98"/>
    </row>
    <row r="8" spans="1:86" s="99" customFormat="1" ht="22.5" customHeight="1">
      <c r="A8" s="84">
        <v>1</v>
      </c>
      <c r="B8" s="84" t="s">
        <v>158</v>
      </c>
      <c r="C8" s="84"/>
      <c r="D8" s="85" t="s">
        <v>184</v>
      </c>
      <c r="E8" s="86" t="s">
        <v>79</v>
      </c>
      <c r="F8" s="86" t="s">
        <v>167</v>
      </c>
      <c r="G8" s="87" t="s">
        <v>50</v>
      </c>
      <c r="H8" s="87" t="s">
        <v>23</v>
      </c>
      <c r="I8" s="87" t="s">
        <v>98</v>
      </c>
      <c r="J8" s="88">
        <v>10448000</v>
      </c>
      <c r="K8" s="88">
        <v>7570000</v>
      </c>
      <c r="L8" s="88">
        <f>J8-K8</f>
        <v>2878000</v>
      </c>
      <c r="M8" s="88">
        <v>26</v>
      </c>
      <c r="N8" s="89">
        <f>IFERROR(VLOOKUP(B8,' TimeTB 1'!$B$4:$AT$5,5,0),0)</f>
        <v>0</v>
      </c>
      <c r="O8" s="89">
        <f>VLOOKUP(B8,'TimeTB 2'!$B$4:$O$11,14,0)</f>
        <v>25</v>
      </c>
      <c r="P8" s="90">
        <f>ROUND((K8/M8*N8),0)</f>
        <v>0</v>
      </c>
      <c r="Q8" s="90">
        <f>ROUND(K8/M8*O8,0)</f>
        <v>7278846</v>
      </c>
      <c r="R8" s="88">
        <f>SUM(P8:Q8)</f>
        <v>7278846</v>
      </c>
      <c r="S8" s="90">
        <f>ROUND(L8/26*N8,0)</f>
        <v>0</v>
      </c>
      <c r="T8" s="90">
        <f>ROUND(L8/26*O8,0)</f>
        <v>2767308</v>
      </c>
      <c r="U8" s="88">
        <f>SUM(S8:T8)</f>
        <v>2767308</v>
      </c>
      <c r="V8" s="88">
        <v>0</v>
      </c>
      <c r="W8" s="88">
        <v>0</v>
      </c>
      <c r="X8" s="88">
        <v>0</v>
      </c>
      <c r="Y8" s="88">
        <f>VLOOKUP(B8,'PC cơm '!$A$3:$K$11,11,0)</f>
        <v>960000</v>
      </c>
      <c r="Z8" s="88">
        <f>SUM(V8:Y8)</f>
        <v>960000</v>
      </c>
      <c r="AA8" s="88">
        <f>VLOOKUP(B8,OT!$A$3:$S$10,17,0)</f>
        <v>307663</v>
      </c>
      <c r="AB8" s="88">
        <f>VLOOKUP(B8,NS!$A$2:$H$9,6,0)</f>
        <v>60277</v>
      </c>
      <c r="AC8" s="88">
        <v>0</v>
      </c>
      <c r="AD8" s="88">
        <v>0</v>
      </c>
      <c r="AE8" s="89">
        <v>0</v>
      </c>
      <c r="AF8" s="91">
        <f>ROUND(J8/26*AE8,0)</f>
        <v>0</v>
      </c>
      <c r="AG8" s="91">
        <f>IFERROR(VLOOKUP(B8,Incentive!$A$4:$J$10,7,0),0)</f>
        <v>0</v>
      </c>
      <c r="AH8" s="91">
        <f>SUMIF(Others!$B$3:$B$9,$B8,Others!$F$3:$F$9)</f>
        <v>1923076.923076923</v>
      </c>
      <c r="AI8" s="91">
        <v>0</v>
      </c>
      <c r="AJ8" s="88">
        <f>AI8+AH8+AG8+AF8+AD8+AC8+AB8+AA8+Z8+U8+R8+BN8</f>
        <v>14297170.923076924</v>
      </c>
      <c r="AK8" s="88">
        <f>VLOOKUP(B8,OT!$A$3:$S$12,19,0)</f>
        <v>156971</v>
      </c>
      <c r="AL8" s="88">
        <f>VLOOKUP(B8,NS!$A$2:$H$10,8,0)</f>
        <v>60277</v>
      </c>
      <c r="AM8" s="88">
        <f>AI8</f>
        <v>0</v>
      </c>
      <c r="AN8" s="88">
        <f t="shared" si="20"/>
        <v>15500000</v>
      </c>
      <c r="AO8" s="89">
        <v>0</v>
      </c>
      <c r="AP8" s="88">
        <f t="shared" si="7"/>
        <v>0</v>
      </c>
      <c r="AQ8" s="88">
        <f t="shared" si="8"/>
        <v>605600</v>
      </c>
      <c r="AR8" s="88">
        <f t="shared" si="9"/>
        <v>113550</v>
      </c>
      <c r="AS8" s="88">
        <f t="shared" si="10"/>
        <v>75700</v>
      </c>
      <c r="AT8" s="91">
        <f>+AS8+AR8+AQ8</f>
        <v>794850</v>
      </c>
      <c r="AU8" s="91">
        <f>IF(BT8=1,0,MIN(Y8,730000))</f>
        <v>730000</v>
      </c>
      <c r="AV8" s="91">
        <f>AJ8-AK8-AL8-AM8-AU8</f>
        <v>13349922.923076924</v>
      </c>
      <c r="AW8" s="91">
        <f>MAX(AV8-AN8-AP8-AT8,0)</f>
        <v>0</v>
      </c>
      <c r="AX8" s="92">
        <f>IF(BT8=1,10%,IF(AW8&gt;0,IF(AW8&gt;80000000,0.35,IF(AW8&gt;52000000,0.3,IF(AW8&gt;32000000,0.25,IF(AW8&gt;18000000,0.2,IF(AW8&gt;10000000,0.15,IF(AW8&gt;5000000,0.1,0.05)))))),0))</f>
        <v>0</v>
      </c>
      <c r="AY8" s="93">
        <f>IF(BT8=1,0,IF(AW8&gt;80000000,9850000,IF(AW8&gt;52000000,5850000,IF(AW8&gt;32000000,3250000,IF(AW8&gt;18000000,1650000,IF(AW8&gt;10000000,750000,IF(AW8&gt;5000000,250000,0)))))))</f>
        <v>0</v>
      </c>
      <c r="AZ8" s="94">
        <f>ROUND(AW8*AX8-AY8,0)</f>
        <v>0</v>
      </c>
      <c r="BA8" s="88">
        <f t="shared" si="12"/>
        <v>1286900</v>
      </c>
      <c r="BB8" s="88">
        <f t="shared" si="13"/>
        <v>227100</v>
      </c>
      <c r="BC8" s="88">
        <f t="shared" si="14"/>
        <v>75700</v>
      </c>
      <c r="BD8" s="88">
        <f t="shared" si="15"/>
        <v>37850</v>
      </c>
      <c r="BE8" s="88">
        <f>SUM(BA8:BD8)</f>
        <v>1627550</v>
      </c>
      <c r="BF8" s="88">
        <f t="shared" si="16"/>
        <v>7570000</v>
      </c>
      <c r="BG8" s="88">
        <f t="shared" si="17"/>
        <v>7570000</v>
      </c>
      <c r="BH8" s="88">
        <v>0</v>
      </c>
      <c r="BI8" s="88">
        <v>0</v>
      </c>
      <c r="BJ8" s="88">
        <f>IF(BS8=1,BF8*2%,0)</f>
        <v>151400</v>
      </c>
      <c r="BK8" s="88">
        <f>IF(BU8=1,40000,0)</f>
        <v>40000</v>
      </c>
      <c r="BL8" s="88">
        <f>IF(BV8=0,0,IF(J8&lt;11000000,5000,IF(J8&lt;25000000,10000,IF(J8&lt;40000000,15000,20000)))*BW8)</f>
        <v>0</v>
      </c>
      <c r="BM8" s="95">
        <f>AJ8-AT8-AZ8-BK8-BL8-BN8-BO8-BP8</f>
        <v>12462320.923076924</v>
      </c>
      <c r="BN8" s="91">
        <f>IFERROR(VLOOKUP(B8,'Benefit tính thuế'!$A$2:$G$12,7,0),0)</f>
        <v>1000000</v>
      </c>
      <c r="BO8" s="95">
        <v>0</v>
      </c>
      <c r="BP8" s="95">
        <v>0</v>
      </c>
      <c r="BQ8" s="96">
        <f>AN8+AP8+AU8</f>
        <v>16230000</v>
      </c>
      <c r="BR8" s="96">
        <f>+AZ8+AT8</f>
        <v>794850</v>
      </c>
      <c r="BS8" s="96">
        <v>1</v>
      </c>
      <c r="BT8" s="97">
        <v>0</v>
      </c>
      <c r="BU8" s="96">
        <v>1</v>
      </c>
      <c r="BV8" s="97">
        <v>0</v>
      </c>
      <c r="BW8" s="96">
        <v>20</v>
      </c>
      <c r="BX8" s="98"/>
    </row>
    <row r="9" spans="1:86" s="99" customFormat="1" ht="22.5" customHeight="1">
      <c r="A9" s="84">
        <v>2</v>
      </c>
      <c r="B9" s="84" t="s">
        <v>159</v>
      </c>
      <c r="C9" s="84"/>
      <c r="D9" s="85" t="s">
        <v>185</v>
      </c>
      <c r="E9" s="105">
        <v>44562</v>
      </c>
      <c r="F9" s="86" t="s">
        <v>170</v>
      </c>
      <c r="G9" s="87" t="s">
        <v>59</v>
      </c>
      <c r="H9" s="87" t="s">
        <v>23</v>
      </c>
      <c r="I9" s="87" t="s">
        <v>71</v>
      </c>
      <c r="J9" s="88">
        <v>8000000</v>
      </c>
      <c r="K9" s="88">
        <v>5310000</v>
      </c>
      <c r="L9" s="88">
        <f t="shared" si="0"/>
        <v>2690000</v>
      </c>
      <c r="M9" s="88">
        <v>26</v>
      </c>
      <c r="N9" s="89">
        <f>IFERROR(VLOOKUP(B9,' TimeTB 1'!$B$4:$AT$5,5,0),0)</f>
        <v>0</v>
      </c>
      <c r="O9" s="89">
        <f>VLOOKUP(B9,'TimeTB 2'!$B$4:$O$11,14,0)</f>
        <v>16</v>
      </c>
      <c r="P9" s="90">
        <f t="shared" si="19"/>
        <v>0</v>
      </c>
      <c r="Q9" s="90">
        <f t="shared" si="1"/>
        <v>3267692</v>
      </c>
      <c r="R9" s="88">
        <f t="shared" si="2"/>
        <v>3267692</v>
      </c>
      <c r="S9" s="90">
        <f t="shared" si="3"/>
        <v>0</v>
      </c>
      <c r="T9" s="90">
        <f t="shared" si="4"/>
        <v>1655385</v>
      </c>
      <c r="U9" s="88">
        <f t="shared" si="5"/>
        <v>1655385</v>
      </c>
      <c r="V9" s="88">
        <v>0</v>
      </c>
      <c r="W9" s="88">
        <v>0</v>
      </c>
      <c r="X9" s="88">
        <v>0</v>
      </c>
      <c r="Y9" s="88">
        <f>VLOOKUP(B9,'PC cơm '!$A$3:$K$11,11,0)</f>
        <v>720000</v>
      </c>
      <c r="Z9" s="88">
        <f t="shared" ref="Z9:Z10" si="21">SUM(V9:Y9)</f>
        <v>720000</v>
      </c>
      <c r="AA9" s="88">
        <f>VLOOKUP(B9,OT!$A$3:$S$10,17,0)</f>
        <v>965384</v>
      </c>
      <c r="AB9" s="88">
        <f>VLOOKUP(B9,NS!$A$2:$H$9,6,0)</f>
        <v>17308</v>
      </c>
      <c r="AC9" s="88">
        <v>0</v>
      </c>
      <c r="AD9" s="88">
        <v>0</v>
      </c>
      <c r="AE9" s="89">
        <v>4</v>
      </c>
      <c r="AF9" s="91">
        <f t="shared" si="6"/>
        <v>1230769</v>
      </c>
      <c r="AG9" s="91">
        <f>IFERROR(VLOOKUP(B9,Incentive!$A$4:$J$10,7,0),0)</f>
        <v>0</v>
      </c>
      <c r="AH9" s="91">
        <f>SUMIF(Others!$B$3:$B$9,$B9,Others!$F$3:$F$9)</f>
        <v>307692.30769230769</v>
      </c>
      <c r="AI9" s="91">
        <v>0</v>
      </c>
      <c r="AJ9" s="88">
        <f t="shared" ref="AJ9:AJ10" si="22">AI9+AH9+AG9+AF9+AD9+AC9+AB9+AA9+Z9+U9+R9+BN9</f>
        <v>9414230.307692308</v>
      </c>
      <c r="AK9" s="88">
        <f>VLOOKUP(B9,OT!$A$3:$S$12,19,0)</f>
        <v>657692</v>
      </c>
      <c r="AL9" s="88">
        <f>VLOOKUP(B9,NS!$A$2:$H$10,8,0)</f>
        <v>17308</v>
      </c>
      <c r="AM9" s="88">
        <f t="shared" ref="AM9:AM10" si="23">AI9</f>
        <v>0</v>
      </c>
      <c r="AN9" s="88">
        <f t="shared" si="20"/>
        <v>15500000</v>
      </c>
      <c r="AO9" s="89">
        <v>0</v>
      </c>
      <c r="AP9" s="88">
        <f t="shared" si="7"/>
        <v>0</v>
      </c>
      <c r="AQ9" s="88">
        <f t="shared" si="8"/>
        <v>0</v>
      </c>
      <c r="AR9" s="88">
        <f t="shared" si="9"/>
        <v>0</v>
      </c>
      <c r="AS9" s="88">
        <f t="shared" si="10"/>
        <v>0</v>
      </c>
      <c r="AT9" s="91">
        <f t="shared" ref="AT9:AT10" si="24">+AS9+AR9+AQ9</f>
        <v>0</v>
      </c>
      <c r="AU9" s="91">
        <f t="shared" ref="AU9:AU10" si="25">IF(BT9=1,0,MIN(Y9,730000))</f>
        <v>720000</v>
      </c>
      <c r="AV9" s="91">
        <f>AJ9-AK9-AL9-AM9-AU9</f>
        <v>8019230.307692308</v>
      </c>
      <c r="AW9" s="91">
        <f t="shared" ref="AW9:AW10" si="26">MAX(AV9-AN9-AP9-AT9,0)</f>
        <v>0</v>
      </c>
      <c r="AX9" s="92">
        <f t="shared" si="11"/>
        <v>0</v>
      </c>
      <c r="AY9" s="93">
        <f t="shared" ref="AY9" si="27">IF(BT9=1,0,IF(AW9&gt;80000000,9850000,IF(AW9&gt;52000000,5850000,IF(AW9&gt;32000000,3250000,IF(AW9&gt;18000000,1650000,IF(AW9&gt;10000000,750000,IF(AW9&gt;5000000,250000,0)))))))</f>
        <v>0</v>
      </c>
      <c r="AZ9" s="94">
        <f t="shared" ref="AZ9:AZ10" si="28">ROUND(AW9*AX9-AY9,0)</f>
        <v>0</v>
      </c>
      <c r="BA9" s="88">
        <f t="shared" si="12"/>
        <v>0</v>
      </c>
      <c r="BB9" s="88">
        <f t="shared" si="13"/>
        <v>0</v>
      </c>
      <c r="BC9" s="88">
        <f t="shared" si="14"/>
        <v>0</v>
      </c>
      <c r="BD9" s="88">
        <f t="shared" si="15"/>
        <v>0</v>
      </c>
      <c r="BE9" s="88">
        <f t="shared" ref="BE9:BE10" si="29">SUM(BA9:BD9)</f>
        <v>0</v>
      </c>
      <c r="BF9" s="88">
        <f t="shared" si="16"/>
        <v>0</v>
      </c>
      <c r="BG9" s="88">
        <f t="shared" si="17"/>
        <v>0</v>
      </c>
      <c r="BH9" s="88">
        <v>0</v>
      </c>
      <c r="BI9" s="88">
        <v>0</v>
      </c>
      <c r="BJ9" s="88">
        <f t="shared" ref="BJ9:BJ10" si="30">IF(BS9=1,BF9*2%,0)</f>
        <v>0</v>
      </c>
      <c r="BK9" s="88">
        <f t="shared" ref="BK9:BK10" si="31">IF(BU9=1,40000,0)</f>
        <v>0</v>
      </c>
      <c r="BL9" s="88">
        <f t="shared" si="18"/>
        <v>0</v>
      </c>
      <c r="BM9" s="95">
        <f t="shared" ref="BM9:BM10" si="32">AJ9-AT9-AZ9-BK9-BL9-BN9-BO9-BP9</f>
        <v>8164230.307692308</v>
      </c>
      <c r="BN9" s="91">
        <f>IFERROR(VLOOKUP(B9,'Benefit tính thuế'!$A$2:$G$12,7,0),0)</f>
        <v>1250000</v>
      </c>
      <c r="BO9" s="95">
        <v>0</v>
      </c>
      <c r="BP9" s="95">
        <v>0</v>
      </c>
      <c r="BQ9" s="96">
        <f t="shared" ref="BQ9:BQ10" si="33">AN9+AP9+AU9</f>
        <v>16220000</v>
      </c>
      <c r="BR9" s="96">
        <f t="shared" ref="BR9:BR10" si="34">+AZ9+AT9</f>
        <v>0</v>
      </c>
      <c r="BS9" s="97">
        <v>0</v>
      </c>
      <c r="BT9" s="97">
        <v>0</v>
      </c>
      <c r="BU9" s="97">
        <v>0</v>
      </c>
      <c r="BV9" s="97">
        <v>0</v>
      </c>
      <c r="BW9" s="96">
        <v>20</v>
      </c>
      <c r="BX9" s="98"/>
    </row>
    <row r="10" spans="1:86" s="99" customFormat="1" ht="22.5" customHeight="1">
      <c r="A10" s="84">
        <v>3</v>
      </c>
      <c r="B10" s="84" t="s">
        <v>160</v>
      </c>
      <c r="C10" s="84"/>
      <c r="D10" s="85" t="s">
        <v>186</v>
      </c>
      <c r="E10" s="105">
        <v>45740</v>
      </c>
      <c r="F10" s="86" t="s">
        <v>170</v>
      </c>
      <c r="G10" s="87" t="s">
        <v>59</v>
      </c>
      <c r="H10" s="87" t="s">
        <v>23</v>
      </c>
      <c r="I10" s="87" t="s">
        <v>71</v>
      </c>
      <c r="J10" s="88">
        <v>8500000</v>
      </c>
      <c r="K10" s="88">
        <v>5310000</v>
      </c>
      <c r="L10" s="88">
        <f t="shared" si="0"/>
        <v>3190000</v>
      </c>
      <c r="M10" s="88">
        <v>26</v>
      </c>
      <c r="N10" s="89">
        <f>IFERROR(VLOOKUP(B10,' TimeTB 1'!$B$4:$AT$5,5,0),0)</f>
        <v>2</v>
      </c>
      <c r="O10" s="89">
        <f>VLOOKUP(B10,'TimeTB 2'!$B$4:$O$11,14,0)</f>
        <v>26</v>
      </c>
      <c r="P10" s="90">
        <f t="shared" si="19"/>
        <v>408462</v>
      </c>
      <c r="Q10" s="90">
        <f t="shared" si="1"/>
        <v>5310000</v>
      </c>
      <c r="R10" s="88">
        <f t="shared" si="2"/>
        <v>5718462</v>
      </c>
      <c r="S10" s="90">
        <f t="shared" si="3"/>
        <v>245385</v>
      </c>
      <c r="T10" s="90">
        <f t="shared" si="4"/>
        <v>3190000</v>
      </c>
      <c r="U10" s="88">
        <f t="shared" si="5"/>
        <v>3435385</v>
      </c>
      <c r="V10" s="88">
        <v>0</v>
      </c>
      <c r="W10" s="88">
        <v>0</v>
      </c>
      <c r="X10" s="88">
        <v>0</v>
      </c>
      <c r="Y10" s="88">
        <f>VLOOKUP(B10,'PC cơm '!$A$3:$K$11,11,0)</f>
        <v>1120000</v>
      </c>
      <c r="Z10" s="88">
        <f t="shared" si="21"/>
        <v>1120000</v>
      </c>
      <c r="AA10" s="88">
        <f>VLOOKUP(B10,OT!$A$3:$S$10,17,0)</f>
        <v>980769</v>
      </c>
      <c r="AB10" s="88">
        <f>VLOOKUP(B10,NS!$A$2:$H$9,6,0)</f>
        <v>6130</v>
      </c>
      <c r="AC10" s="88">
        <v>0</v>
      </c>
      <c r="AD10" s="88">
        <v>0</v>
      </c>
      <c r="AE10" s="89">
        <v>0</v>
      </c>
      <c r="AF10" s="91">
        <f t="shared" si="6"/>
        <v>0</v>
      </c>
      <c r="AG10" s="91">
        <f>IFERROR(VLOOKUP(B10,Incentive!$A$4:$J$10,7,0),0)</f>
        <v>0</v>
      </c>
      <c r="AH10" s="91">
        <f>SUMIF(Others!$B$3:$B$9,$B10,Others!$F$3:$F$9)</f>
        <v>500000</v>
      </c>
      <c r="AI10" s="91">
        <v>0</v>
      </c>
      <c r="AJ10" s="88">
        <f t="shared" si="22"/>
        <v>11760746</v>
      </c>
      <c r="AK10" s="88">
        <f>VLOOKUP(B10,OT!$A$3:$S$12,19,0)</f>
        <v>653846</v>
      </c>
      <c r="AL10" s="88">
        <f>VLOOKUP(B10,NS!$A$2:$H$10,8,0)</f>
        <v>6130</v>
      </c>
      <c r="AM10" s="88">
        <f t="shared" si="23"/>
        <v>0</v>
      </c>
      <c r="AN10" s="88">
        <f t="shared" si="20"/>
        <v>0</v>
      </c>
      <c r="AO10" s="89">
        <v>0</v>
      </c>
      <c r="AP10" s="88">
        <f t="shared" si="7"/>
        <v>0</v>
      </c>
      <c r="AQ10" s="88">
        <f t="shared" si="8"/>
        <v>0</v>
      </c>
      <c r="AR10" s="88">
        <f t="shared" si="9"/>
        <v>0</v>
      </c>
      <c r="AS10" s="88">
        <f t="shared" si="10"/>
        <v>0</v>
      </c>
      <c r="AT10" s="91">
        <f t="shared" si="24"/>
        <v>0</v>
      </c>
      <c r="AU10" s="91">
        <f t="shared" si="25"/>
        <v>0</v>
      </c>
      <c r="AV10" s="91">
        <f t="shared" ref="AV10" si="35">AJ10-AK10-AL10-AM10-AU10</f>
        <v>11100770</v>
      </c>
      <c r="AW10" s="91">
        <f t="shared" si="26"/>
        <v>11100770</v>
      </c>
      <c r="AX10" s="92">
        <f t="shared" si="11"/>
        <v>0.1</v>
      </c>
      <c r="AY10" s="93">
        <f>IF(BT10=1,0,IF(AW10&gt;80000000,9850000,IF(AW10&gt;52000000,5850000,IF(AW10&gt;32000000,3250000,IF(AW10&gt;18000000,1650000,IF(AW10&gt;10000000,750000,IF(AW10&gt;5000000,250000,0)))))))</f>
        <v>0</v>
      </c>
      <c r="AZ10" s="94">
        <f t="shared" si="28"/>
        <v>1110077</v>
      </c>
      <c r="BA10" s="88">
        <f t="shared" si="12"/>
        <v>0</v>
      </c>
      <c r="BB10" s="88">
        <f t="shared" si="13"/>
        <v>0</v>
      </c>
      <c r="BC10" s="88">
        <f t="shared" si="14"/>
        <v>0</v>
      </c>
      <c r="BD10" s="88">
        <f t="shared" si="15"/>
        <v>0</v>
      </c>
      <c r="BE10" s="88">
        <f t="shared" si="29"/>
        <v>0</v>
      </c>
      <c r="BF10" s="88">
        <f t="shared" si="16"/>
        <v>0</v>
      </c>
      <c r="BG10" s="88">
        <f t="shared" si="17"/>
        <v>0</v>
      </c>
      <c r="BH10" s="88">
        <v>0</v>
      </c>
      <c r="BI10" s="88">
        <v>0</v>
      </c>
      <c r="BJ10" s="88">
        <f t="shared" si="30"/>
        <v>0</v>
      </c>
      <c r="BK10" s="88">
        <f t="shared" si="31"/>
        <v>0</v>
      </c>
      <c r="BL10" s="88">
        <f t="shared" si="18"/>
        <v>0</v>
      </c>
      <c r="BM10" s="95">
        <f t="shared" si="32"/>
        <v>10650669</v>
      </c>
      <c r="BN10" s="91">
        <f>IFERROR(VLOOKUP(B10,'Benefit tính thuế'!$A$2:$G$12,7,0),0)</f>
        <v>0</v>
      </c>
      <c r="BO10" s="95">
        <v>0</v>
      </c>
      <c r="BP10" s="95">
        <v>0</v>
      </c>
      <c r="BQ10" s="96">
        <f t="shared" si="33"/>
        <v>0</v>
      </c>
      <c r="BR10" s="96">
        <f t="shared" si="34"/>
        <v>1110077</v>
      </c>
      <c r="BS10" s="97">
        <v>0</v>
      </c>
      <c r="BT10" s="96">
        <v>1</v>
      </c>
      <c r="BU10" s="97">
        <v>0</v>
      </c>
      <c r="BV10" s="97">
        <v>0</v>
      </c>
      <c r="BW10" s="96">
        <v>20</v>
      </c>
      <c r="BX10" s="98"/>
    </row>
    <row r="11" spans="1:86" s="99" customFormat="1" ht="22.5" customHeight="1">
      <c r="A11" s="84">
        <v>1</v>
      </c>
      <c r="B11" s="84" t="s">
        <v>161</v>
      </c>
      <c r="C11" s="84"/>
      <c r="D11" s="85" t="s">
        <v>187</v>
      </c>
      <c r="E11" s="86" t="s">
        <v>80</v>
      </c>
      <c r="F11" s="86" t="s">
        <v>165</v>
      </c>
      <c r="G11" s="87" t="s">
        <v>157</v>
      </c>
      <c r="H11" s="87" t="s">
        <v>22</v>
      </c>
      <c r="I11" s="100" t="s">
        <v>114</v>
      </c>
      <c r="J11" s="88">
        <v>7056000</v>
      </c>
      <c r="K11" s="88">
        <v>5310000</v>
      </c>
      <c r="L11" s="88">
        <f t="shared" si="0"/>
        <v>1746000</v>
      </c>
      <c r="M11" s="88">
        <v>26</v>
      </c>
      <c r="N11" s="89">
        <f>IFERROR(VLOOKUP(B11,' TimeTB 1'!$B$4:$AT$5,5,0),0)</f>
        <v>0</v>
      </c>
      <c r="O11" s="89">
        <f>VLOOKUP(B11,'TimeTB 2'!$B$4:$O$11,14,0)</f>
        <v>26</v>
      </c>
      <c r="P11" s="90">
        <f t="shared" si="19"/>
        <v>0</v>
      </c>
      <c r="Q11" s="90">
        <f t="shared" si="1"/>
        <v>5310000</v>
      </c>
      <c r="R11" s="88">
        <f t="shared" si="2"/>
        <v>5310000</v>
      </c>
      <c r="S11" s="90">
        <f t="shared" si="3"/>
        <v>0</v>
      </c>
      <c r="T11" s="90">
        <f t="shared" si="4"/>
        <v>1746000</v>
      </c>
      <c r="U11" s="88">
        <f t="shared" si="5"/>
        <v>1746000</v>
      </c>
      <c r="V11" s="88">
        <v>0</v>
      </c>
      <c r="W11" s="88">
        <v>0</v>
      </c>
      <c r="X11" s="88">
        <v>0</v>
      </c>
      <c r="Y11" s="88">
        <f>VLOOKUP(B11,'PC cơm '!$A$3:$K$11,11,0)</f>
        <v>1120000</v>
      </c>
      <c r="Z11" s="88">
        <f>SUM(V11:Y11)</f>
        <v>1120000</v>
      </c>
      <c r="AA11" s="88">
        <f>VLOOKUP(B11,OT!$A$3:$S$10,17,0)</f>
        <v>1596081</v>
      </c>
      <c r="AB11" s="88">
        <f>VLOOKUP(B11,NS!$A$2:$H$9,6,0)</f>
        <v>10177</v>
      </c>
      <c r="AC11" s="88">
        <v>0</v>
      </c>
      <c r="AD11" s="88">
        <v>0</v>
      </c>
      <c r="AE11" s="89">
        <v>0</v>
      </c>
      <c r="AF11" s="91">
        <f t="shared" si="6"/>
        <v>0</v>
      </c>
      <c r="AG11" s="91">
        <f>IFERROR(VLOOKUP(B11,Incentive!$A$4:$J$10,7,0),0)</f>
        <v>2000000</v>
      </c>
      <c r="AH11" s="91">
        <f>SUMIF(Others!$B$3:$B$9,$B11,Others!$F$3:$F$9)</f>
        <v>0</v>
      </c>
      <c r="AI11" s="91">
        <v>0</v>
      </c>
      <c r="AJ11" s="88">
        <f>AI11+AH11+AG11+AF11+AD11+AC11+AB11+AA11+Z11+U11+R11+BN11</f>
        <v>11782258</v>
      </c>
      <c r="AK11" s="88">
        <f>VLOOKUP(B11,OT!$A$3:$S$12,19,0)</f>
        <v>985466</v>
      </c>
      <c r="AL11" s="88">
        <f>VLOOKUP(B11,NS!$A$2:$H$10,8,0)</f>
        <v>10177</v>
      </c>
      <c r="AM11" s="88">
        <f>AI11</f>
        <v>0</v>
      </c>
      <c r="AN11" s="88">
        <f t="shared" si="20"/>
        <v>15500000</v>
      </c>
      <c r="AO11" s="89">
        <v>0</v>
      </c>
      <c r="AP11" s="88">
        <f t="shared" si="7"/>
        <v>0</v>
      </c>
      <c r="AQ11" s="88">
        <f t="shared" si="8"/>
        <v>424800</v>
      </c>
      <c r="AR11" s="88">
        <f t="shared" si="9"/>
        <v>79650</v>
      </c>
      <c r="AS11" s="88">
        <f t="shared" si="10"/>
        <v>53100</v>
      </c>
      <c r="AT11" s="91">
        <f>+AS11+AR11+AQ11</f>
        <v>557550</v>
      </c>
      <c r="AU11" s="91">
        <f>IF(BT11=1,0,MIN(Y11,730000))</f>
        <v>730000</v>
      </c>
      <c r="AV11" s="91">
        <f>AJ11-AK11-AL11-AM11-AU11</f>
        <v>10056615</v>
      </c>
      <c r="AW11" s="91">
        <f>MAX(AV11-AN11-AP11-AT11,0)</f>
        <v>0</v>
      </c>
      <c r="AX11" s="92">
        <f t="shared" si="11"/>
        <v>0</v>
      </c>
      <c r="AY11" s="93">
        <f>IF(BT11=1,0,IF(AW11&gt;80000000,9850000,IF(AW11&gt;52000000,5850000,IF(AW11&gt;32000000,3250000,IF(AW11&gt;18000000,1650000,IF(AW11&gt;10000000,750000,IF(AW11&gt;5000000,250000,0)))))))</f>
        <v>0</v>
      </c>
      <c r="AZ11" s="94">
        <f>ROUND(AW11*AX11-AY11,0)</f>
        <v>0</v>
      </c>
      <c r="BA11" s="88">
        <f t="shared" si="12"/>
        <v>902700.00000000012</v>
      </c>
      <c r="BB11" s="88">
        <f t="shared" si="13"/>
        <v>159300</v>
      </c>
      <c r="BC11" s="88">
        <f t="shared" si="14"/>
        <v>53100</v>
      </c>
      <c r="BD11" s="88">
        <f t="shared" si="15"/>
        <v>26550</v>
      </c>
      <c r="BE11" s="88">
        <f>SUM(BA11:BD11)</f>
        <v>1141650</v>
      </c>
      <c r="BF11" s="88">
        <f t="shared" si="16"/>
        <v>5310000</v>
      </c>
      <c r="BG11" s="88">
        <f t="shared" si="17"/>
        <v>5310000</v>
      </c>
      <c r="BH11" s="88">
        <v>0</v>
      </c>
      <c r="BI11" s="88">
        <v>0</v>
      </c>
      <c r="BJ11" s="88">
        <f>IF(BS11=1,BF11*2%,0)</f>
        <v>106200</v>
      </c>
      <c r="BK11" s="88">
        <f>IF(BU11=1,40000,0)</f>
        <v>40000</v>
      </c>
      <c r="BL11" s="88">
        <f t="shared" si="18"/>
        <v>100000</v>
      </c>
      <c r="BM11" s="95">
        <f>AJ11-AT11-AZ11-BK11-BL11-BN11-BO11-BP11</f>
        <v>11084708</v>
      </c>
      <c r="BN11" s="91">
        <f>IFERROR(VLOOKUP(B11,'Benefit tính thuế'!$A$2:$G$12,7,0),0)</f>
        <v>0</v>
      </c>
      <c r="BO11" s="95">
        <v>0</v>
      </c>
      <c r="BP11" s="95">
        <v>0</v>
      </c>
      <c r="BQ11" s="96">
        <f>AN11+AP11+AU11</f>
        <v>16230000</v>
      </c>
      <c r="BR11" s="96">
        <f>+AZ11+AT11</f>
        <v>557550</v>
      </c>
      <c r="BS11" s="96">
        <v>1</v>
      </c>
      <c r="BT11" s="97">
        <v>0</v>
      </c>
      <c r="BU11" s="96">
        <v>1</v>
      </c>
      <c r="BV11" s="96">
        <v>1</v>
      </c>
      <c r="BW11" s="96">
        <v>20</v>
      </c>
      <c r="BX11" s="98"/>
    </row>
    <row r="12" spans="1:86" s="99" customFormat="1" ht="22.5" customHeight="1">
      <c r="A12" s="84">
        <v>1</v>
      </c>
      <c r="B12" s="84" t="s">
        <v>162</v>
      </c>
      <c r="C12" s="84"/>
      <c r="D12" s="85" t="s">
        <v>188</v>
      </c>
      <c r="E12" s="86" t="s">
        <v>82</v>
      </c>
      <c r="F12" s="86" t="s">
        <v>166</v>
      </c>
      <c r="G12" s="87" t="s">
        <v>21</v>
      </c>
      <c r="H12" s="87" t="s">
        <v>23</v>
      </c>
      <c r="I12" s="100" t="s">
        <v>75</v>
      </c>
      <c r="J12" s="88">
        <v>6841000</v>
      </c>
      <c r="K12" s="88">
        <v>5310000</v>
      </c>
      <c r="L12" s="88">
        <f t="shared" si="0"/>
        <v>1531000</v>
      </c>
      <c r="M12" s="88">
        <v>26</v>
      </c>
      <c r="N12" s="89">
        <f>IFERROR(VLOOKUP(B12,' TimeTB 1'!$B$4:$AT$5,5,0),0)</f>
        <v>0</v>
      </c>
      <c r="O12" s="89">
        <f>VLOOKUP(B12,'TimeTB 2'!$B$4:$O$11,14,0)</f>
        <v>26</v>
      </c>
      <c r="P12" s="90">
        <f t="shared" si="19"/>
        <v>0</v>
      </c>
      <c r="Q12" s="90">
        <f t="shared" si="1"/>
        <v>5310000</v>
      </c>
      <c r="R12" s="88">
        <f t="shared" si="2"/>
        <v>5310000</v>
      </c>
      <c r="S12" s="90">
        <f t="shared" si="3"/>
        <v>0</v>
      </c>
      <c r="T12" s="90">
        <f t="shared" si="4"/>
        <v>1531000</v>
      </c>
      <c r="U12" s="88">
        <f t="shared" si="5"/>
        <v>1531000</v>
      </c>
      <c r="V12" s="88">
        <v>0</v>
      </c>
      <c r="W12" s="88">
        <v>0</v>
      </c>
      <c r="X12" s="88">
        <v>0</v>
      </c>
      <c r="Y12" s="88">
        <f>VLOOKUP(B12,'PC cơm '!$A$3:$K$11,11,0)</f>
        <v>960000</v>
      </c>
      <c r="Z12" s="88">
        <f>SUM(V12:Y12)</f>
        <v>960000</v>
      </c>
      <c r="AA12" s="88">
        <f>VLOOKUP(B12,OT!$A$3:$S$10,17,0)</f>
        <v>0</v>
      </c>
      <c r="AB12" s="88">
        <f>VLOOKUP(B12,NS!$A$2:$H$9,6,0)</f>
        <v>49334</v>
      </c>
      <c r="AC12" s="88">
        <v>0</v>
      </c>
      <c r="AD12" s="88">
        <v>0</v>
      </c>
      <c r="AE12" s="89">
        <v>0</v>
      </c>
      <c r="AF12" s="91">
        <f t="shared" si="6"/>
        <v>0</v>
      </c>
      <c r="AG12" s="91">
        <f>IFERROR(VLOOKUP(B12,Incentive!$A$4:$J$10,7,0),0)</f>
        <v>2600000</v>
      </c>
      <c r="AH12" s="91">
        <f>SUMIF(Others!$B$3:$B$9,$B12,Others!$F$3:$F$9)</f>
        <v>0</v>
      </c>
      <c r="AI12" s="91">
        <v>0</v>
      </c>
      <c r="AJ12" s="88">
        <f>AI12+AH12+AG12+AF12+AD12+AC12+AB12+AA12+Z12+U12+R12+BN12</f>
        <v>10450334</v>
      </c>
      <c r="AK12" s="88">
        <f>VLOOKUP(B12,OT!$A$3:$S$12,19,0)</f>
        <v>0</v>
      </c>
      <c r="AL12" s="88">
        <f>VLOOKUP(B12,NS!$A$2:$H$10,8,0)</f>
        <v>49334</v>
      </c>
      <c r="AM12" s="88">
        <f>AI12</f>
        <v>0</v>
      </c>
      <c r="AN12" s="88">
        <f t="shared" si="20"/>
        <v>15500000</v>
      </c>
      <c r="AO12" s="89">
        <v>0</v>
      </c>
      <c r="AP12" s="88">
        <f t="shared" si="7"/>
        <v>0</v>
      </c>
      <c r="AQ12" s="88">
        <f t="shared" si="8"/>
        <v>424800</v>
      </c>
      <c r="AR12" s="88">
        <f t="shared" si="9"/>
        <v>79650</v>
      </c>
      <c r="AS12" s="88">
        <f t="shared" si="10"/>
        <v>53100</v>
      </c>
      <c r="AT12" s="91">
        <f>+AS12+AR12+AQ12</f>
        <v>557550</v>
      </c>
      <c r="AU12" s="91">
        <f>IF(BT12=1,0,MIN(Y12,730000))</f>
        <v>730000</v>
      </c>
      <c r="AV12" s="91">
        <f>AJ12-AK12-AL12-AM12-AU12</f>
        <v>9671000</v>
      </c>
      <c r="AW12" s="91">
        <f>MAX(AV12-AN12-AP12-AT12,0)</f>
        <v>0</v>
      </c>
      <c r="AX12" s="92">
        <f t="shared" si="11"/>
        <v>0</v>
      </c>
      <c r="AY12" s="93">
        <f>IF(BT12=1,0,IF(AW12&gt;80000000,9850000,IF(AW12&gt;52000000,5850000,IF(AW12&gt;32000000,3250000,IF(AW12&gt;18000000,1650000,IF(AW12&gt;10000000,750000,IF(AW12&gt;5000000,250000,0)))))))</f>
        <v>0</v>
      </c>
      <c r="AZ12" s="94">
        <f>ROUND(AW12*AX12-AY12,0)</f>
        <v>0</v>
      </c>
      <c r="BA12" s="88">
        <f t="shared" si="12"/>
        <v>902700.00000000012</v>
      </c>
      <c r="BB12" s="88">
        <f t="shared" si="13"/>
        <v>159300</v>
      </c>
      <c r="BC12" s="88">
        <f t="shared" si="14"/>
        <v>53100</v>
      </c>
      <c r="BD12" s="88">
        <f t="shared" si="15"/>
        <v>26550</v>
      </c>
      <c r="BE12" s="88">
        <f>SUM(BA12:BD12)</f>
        <v>1141650</v>
      </c>
      <c r="BF12" s="88">
        <f t="shared" si="16"/>
        <v>5310000</v>
      </c>
      <c r="BG12" s="88">
        <f t="shared" si="17"/>
        <v>5310000</v>
      </c>
      <c r="BH12" s="88">
        <v>0</v>
      </c>
      <c r="BI12" s="88">
        <v>0</v>
      </c>
      <c r="BJ12" s="88">
        <f>IF(BS12=1,BF12*2%,0)</f>
        <v>106200</v>
      </c>
      <c r="BK12" s="88">
        <f>IF(BU12=1,40000,0)</f>
        <v>40000</v>
      </c>
      <c r="BL12" s="88">
        <f t="shared" si="18"/>
        <v>0</v>
      </c>
      <c r="BM12" s="95">
        <f>AJ12-AT12-AZ12-BK12-BL12-BN12-BO12-BP12</f>
        <v>9852784</v>
      </c>
      <c r="BN12" s="91">
        <f>IFERROR(VLOOKUP(B12,'Benefit tính thuế'!$A$2:$G$12,7,0),0)</f>
        <v>0</v>
      </c>
      <c r="BO12" s="95">
        <v>0</v>
      </c>
      <c r="BP12" s="95">
        <v>0</v>
      </c>
      <c r="BQ12" s="96">
        <f>AN12+AP12+AU12</f>
        <v>16230000</v>
      </c>
      <c r="BR12" s="96">
        <f>+AZ12+AT12</f>
        <v>557550</v>
      </c>
      <c r="BS12" s="96">
        <v>1</v>
      </c>
      <c r="BT12" s="97">
        <v>0</v>
      </c>
      <c r="BU12" s="96">
        <v>1</v>
      </c>
      <c r="BV12" s="97">
        <v>0</v>
      </c>
      <c r="BW12" s="96">
        <v>20</v>
      </c>
      <c r="BX12" s="98"/>
    </row>
    <row r="13" spans="1:86" s="99" customFormat="1" ht="22.5" customHeight="1">
      <c r="A13" s="84">
        <v>1</v>
      </c>
      <c r="B13" s="84" t="s">
        <v>176</v>
      </c>
      <c r="C13" s="84"/>
      <c r="D13" s="85" t="s">
        <v>189</v>
      </c>
      <c r="E13" s="105">
        <v>45738</v>
      </c>
      <c r="F13" s="86" t="s">
        <v>167</v>
      </c>
      <c r="G13" s="87" t="s">
        <v>50</v>
      </c>
      <c r="H13" s="87" t="s">
        <v>23</v>
      </c>
      <c r="I13" s="87" t="s">
        <v>98</v>
      </c>
      <c r="J13" s="88">
        <v>11000000</v>
      </c>
      <c r="K13" s="88">
        <v>5800000</v>
      </c>
      <c r="L13" s="88">
        <f t="shared" si="0"/>
        <v>5200000</v>
      </c>
      <c r="M13" s="88">
        <v>26</v>
      </c>
      <c r="N13" s="89">
        <f>IFERROR(VLOOKUP(B13,' TimeTB 1'!$B$4:$AT$5,5,0),0)</f>
        <v>4</v>
      </c>
      <c r="O13" s="89">
        <f>VLOOKUP(B13,'TimeTB 2'!$B$4:$O$11,14,0)</f>
        <v>26</v>
      </c>
      <c r="P13" s="90">
        <f t="shared" si="19"/>
        <v>892308</v>
      </c>
      <c r="Q13" s="90">
        <f t="shared" si="1"/>
        <v>5800000</v>
      </c>
      <c r="R13" s="88">
        <f>SUM(P13:Q13)</f>
        <v>6692308</v>
      </c>
      <c r="S13" s="90">
        <f t="shared" si="3"/>
        <v>800000</v>
      </c>
      <c r="T13" s="90">
        <f t="shared" si="4"/>
        <v>5200000</v>
      </c>
      <c r="U13" s="88">
        <f t="shared" si="5"/>
        <v>6000000</v>
      </c>
      <c r="V13" s="88">
        <v>0</v>
      </c>
      <c r="W13" s="88">
        <v>0</v>
      </c>
      <c r="X13" s="88">
        <v>0</v>
      </c>
      <c r="Y13" s="88">
        <f>VLOOKUP(B13,'PC cơm '!$A$3:$K$11,11,0)</f>
        <v>1120000</v>
      </c>
      <c r="Z13" s="88">
        <f>SUM(V13:Y13)</f>
        <v>1120000</v>
      </c>
      <c r="AA13" s="88">
        <f>VLOOKUP(B13,OT!$A$3:$S$10,17,0)</f>
        <v>2488221</v>
      </c>
      <c r="AB13" s="88">
        <f>VLOOKUP(B13,NS!$A$2:$H$9,6,0)</f>
        <v>95192</v>
      </c>
      <c r="AC13" s="88">
        <v>0</v>
      </c>
      <c r="AD13" s="88">
        <v>0</v>
      </c>
      <c r="AE13" s="89">
        <v>0</v>
      </c>
      <c r="AF13" s="91">
        <f t="shared" si="6"/>
        <v>0</v>
      </c>
      <c r="AG13" s="91">
        <f>IFERROR(VLOOKUP(B13,Incentive!$A$4:$J$10,7,0),0)</f>
        <v>5610000</v>
      </c>
      <c r="AH13" s="91">
        <f>SUMIF(Others!$B$3:$B$9,$B13,Others!$F$3:$F$9)</f>
        <v>0</v>
      </c>
      <c r="AI13" s="91">
        <v>0</v>
      </c>
      <c r="AJ13" s="88">
        <f>AI13+AH13+AG13+AF13+AD13+AC13+AB13+AA13+Z13+U13+R13+BN13</f>
        <v>22005721</v>
      </c>
      <c r="AK13" s="88">
        <f>VLOOKUP(B13,OT!$A$3:$S$12,19,0)</f>
        <v>1536298</v>
      </c>
      <c r="AL13" s="88">
        <f>VLOOKUP(B13,NS!$A$2:$H$10,8,0)</f>
        <v>95192</v>
      </c>
      <c r="AM13" s="88">
        <f>AI13</f>
        <v>0</v>
      </c>
      <c r="AN13" s="88">
        <f>IF(BT13=1,0,11000000)</f>
        <v>0</v>
      </c>
      <c r="AO13" s="89">
        <v>0</v>
      </c>
      <c r="AP13" s="88">
        <f t="shared" si="7"/>
        <v>0</v>
      </c>
      <c r="AQ13" s="88">
        <f t="shared" si="8"/>
        <v>0</v>
      </c>
      <c r="AR13" s="88">
        <f t="shared" si="9"/>
        <v>0</v>
      </c>
      <c r="AS13" s="88">
        <f t="shared" si="10"/>
        <v>0</v>
      </c>
      <c r="AT13" s="91">
        <f>+AS13+AR13+AQ13</f>
        <v>0</v>
      </c>
      <c r="AU13" s="91">
        <f>IF(BT13=1,0,MIN(Y13,730000))</f>
        <v>0</v>
      </c>
      <c r="AV13" s="91">
        <f t="shared" ref="AV13" si="36">AJ13-AK13-AL13-AM13-AU13</f>
        <v>20374231</v>
      </c>
      <c r="AW13" s="91">
        <f>MAX(AV13-AN13-AP13-AT13,0)</f>
        <v>20374231</v>
      </c>
      <c r="AX13" s="92">
        <f t="shared" si="11"/>
        <v>0.1</v>
      </c>
      <c r="AY13" s="93">
        <f>IF(BT13=1,0,IF(AW13&gt;80000000,9850000,IF(AW13&gt;52000000,5850000,IF(AW13&gt;32000000,3250000,IF(AW13&gt;18000000,1650000,IF(AW13&gt;10000000,750000,IF(AW13&gt;5000000,250000,0)))))))</f>
        <v>0</v>
      </c>
      <c r="AZ13" s="94">
        <f>ROUND(AW13*AX13-AY13,0)</f>
        <v>2037423</v>
      </c>
      <c r="BA13" s="88">
        <f t="shared" si="12"/>
        <v>0</v>
      </c>
      <c r="BB13" s="88">
        <f t="shared" si="13"/>
        <v>0</v>
      </c>
      <c r="BC13" s="88">
        <f t="shared" si="14"/>
        <v>0</v>
      </c>
      <c r="BD13" s="88">
        <f t="shared" si="15"/>
        <v>0</v>
      </c>
      <c r="BE13" s="88">
        <f>SUM(BA13:BD13)</f>
        <v>0</v>
      </c>
      <c r="BF13" s="88">
        <f t="shared" si="16"/>
        <v>0</v>
      </c>
      <c r="BG13" s="88">
        <f t="shared" si="17"/>
        <v>0</v>
      </c>
      <c r="BH13" s="88">
        <v>0</v>
      </c>
      <c r="BI13" s="88">
        <v>0</v>
      </c>
      <c r="BJ13" s="88">
        <f>IF(BS13=1,BF13*2%,0)</f>
        <v>0</v>
      </c>
      <c r="BK13" s="88">
        <f>IF(BU13=1,40000,0)</f>
        <v>0</v>
      </c>
      <c r="BL13" s="88">
        <f t="shared" si="18"/>
        <v>0</v>
      </c>
      <c r="BM13" s="95">
        <f>AJ13-AT13-AZ13-BK13-BL13-BN13-BO13-BP13</f>
        <v>19968298</v>
      </c>
      <c r="BN13" s="91">
        <f>IFERROR(VLOOKUP(B13,'Benefit tính thuế'!$A$2:$G$12,7,0),0)</f>
        <v>0</v>
      </c>
      <c r="BO13" s="95">
        <v>0</v>
      </c>
      <c r="BP13" s="95">
        <v>0</v>
      </c>
      <c r="BQ13" s="96">
        <f>AN13+AP13+AU13</f>
        <v>0</v>
      </c>
      <c r="BR13" s="96">
        <f>+AZ13+AT13</f>
        <v>2037423</v>
      </c>
      <c r="BS13" s="97">
        <v>0</v>
      </c>
      <c r="BT13" s="96">
        <v>1</v>
      </c>
      <c r="BU13" s="97">
        <v>0</v>
      </c>
      <c r="BV13" s="97">
        <v>0</v>
      </c>
      <c r="BW13" s="96">
        <v>20</v>
      </c>
      <c r="BX13" s="98"/>
    </row>
    <row r="25" spans="54:56">
      <c r="BB25" s="46">
        <f>CG5/2</f>
        <v>23400000</v>
      </c>
      <c r="BD25" s="46">
        <f>CH5/2</f>
        <v>49600000</v>
      </c>
    </row>
  </sheetData>
  <sheetProtection deleteColumns="0"/>
  <mergeCells count="1">
    <mergeCell ref="AK2:AP2"/>
  </mergeCells>
  <dataValidations count="1">
    <dataValidation allowBlank="1" showErrorMessage="1" sqref="BM3 AJ3:AL3 A3:K3 M3:R3 V3:AH3 BQ3:XFD3 BN6:XFD1048576 E6:I8 A6:C8 A1:XFD2 G11 L9:L11 J7:J9 R9:T9 P9:Q11 G9:I10 D7:D8 G12:H12 A9:F12 S10:U11 K10:K11 P12:U12 K6:M8 O9:O12 J12:N12 AN6:AN7 N6:N11 O6:O7 A8:M8 P6:X8 Y6:Y12 V9:X12 A13:Y1048576 O8:X8 Z6:AL1048576 AM6:AM8 AM8:BM1048576 AO6:BM8 A4:BR5 AN3:AO3 AT3:AZ3 BE3 BH3:BK3 BY5:CH5 BX4:BX5 CI4:XFD5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B28" sqref="B28"/>
    </sheetView>
  </sheetViews>
  <sheetFormatPr baseColWidth="10" defaultColWidth="9.1640625" defaultRowHeight="15"/>
  <cols>
    <col min="1" max="1" width="14.1640625" style="37" customWidth="1"/>
    <col min="2" max="2" width="27.5" style="37" customWidth="1"/>
    <col min="3" max="3" width="14.33203125" style="37" customWidth="1"/>
    <col min="4" max="4" width="21" style="37" customWidth="1"/>
    <col min="5" max="5" width="9.6640625" style="37" customWidth="1"/>
    <col min="6" max="6" width="10.1640625" style="37" customWidth="1"/>
    <col min="7" max="7" width="9.1640625" style="37" customWidth="1"/>
    <col min="8" max="8" width="15.6640625" style="37" customWidth="1"/>
    <col min="9" max="9" width="11.6640625" style="37" customWidth="1"/>
    <col min="10" max="10" width="15" style="37" customWidth="1"/>
    <col min="11" max="11" width="15.1640625" style="37" customWidth="1"/>
    <col min="12" max="12" width="17.83203125" style="37" customWidth="1"/>
    <col min="13" max="16384" width="9.1640625" style="37"/>
  </cols>
  <sheetData>
    <row r="1" spans="1:12" s="44" customFormat="1" ht="63.75" customHeight="1">
      <c r="A1" s="325" t="s">
        <v>27</v>
      </c>
      <c r="B1" s="327" t="s">
        <v>11</v>
      </c>
      <c r="C1" s="327" t="s">
        <v>190</v>
      </c>
      <c r="D1" s="327" t="s">
        <v>191</v>
      </c>
      <c r="E1" s="329" t="s">
        <v>192</v>
      </c>
      <c r="F1" s="330" t="s">
        <v>193</v>
      </c>
      <c r="G1" s="330" t="s">
        <v>194</v>
      </c>
      <c r="H1" s="127" t="s">
        <v>195</v>
      </c>
      <c r="I1" s="127" t="s">
        <v>196</v>
      </c>
      <c r="J1" s="127" t="s">
        <v>197</v>
      </c>
      <c r="K1" s="332" t="s">
        <v>198</v>
      </c>
      <c r="L1" s="323" t="s">
        <v>199</v>
      </c>
    </row>
    <row r="2" spans="1:12" s="44" customFormat="1" ht="15.75" customHeight="1">
      <c r="A2" s="326"/>
      <c r="B2" s="328"/>
      <c r="C2" s="328"/>
      <c r="D2" s="328"/>
      <c r="E2" s="328"/>
      <c r="F2" s="331"/>
      <c r="G2" s="331"/>
      <c r="H2" s="281">
        <v>40000</v>
      </c>
      <c r="I2" s="281">
        <v>40000</v>
      </c>
      <c r="J2" s="281">
        <v>80000</v>
      </c>
      <c r="K2" s="333"/>
      <c r="L2" s="324"/>
    </row>
    <row r="3" spans="1:12" ht="16">
      <c r="A3" s="128" t="s">
        <v>174</v>
      </c>
      <c r="B3" s="112" t="s">
        <v>182</v>
      </c>
      <c r="C3" s="129">
        <v>43466</v>
      </c>
      <c r="D3" s="130" t="s">
        <v>155</v>
      </c>
      <c r="E3" s="131">
        <f>VLOOKUP($A3,'TimeTB 2'!$B$4:$P$11,15,0)</f>
        <v>25</v>
      </c>
      <c r="F3" s="131">
        <f>VLOOKUP($A3,'TimeTB 2'!$B$4:$R$11,17,0)</f>
        <v>0</v>
      </c>
      <c r="G3" s="131">
        <f>VLOOKUP($A3,'TimeTB 2'!$B$4:$R$11,16,0)</f>
        <v>0</v>
      </c>
      <c r="H3" s="132">
        <f>E3*$H$2</f>
        <v>1000000</v>
      </c>
      <c r="I3" s="132">
        <f>F3*$I$2</f>
        <v>0</v>
      </c>
      <c r="J3" s="132">
        <f>G3*$J$2</f>
        <v>0</v>
      </c>
      <c r="K3" s="133">
        <f>SUM(H3:J3)</f>
        <v>1000000</v>
      </c>
      <c r="L3" s="128"/>
    </row>
    <row r="4" spans="1:12" ht="16">
      <c r="A4" s="38" t="s">
        <v>175</v>
      </c>
      <c r="B4" s="85" t="s">
        <v>183</v>
      </c>
      <c r="C4" s="43">
        <v>43831</v>
      </c>
      <c r="D4" s="42" t="s">
        <v>156</v>
      </c>
      <c r="E4" s="41">
        <f>VLOOKUP($A4,'TimeTB 2'!$B$4:$P$11,15,0)</f>
        <v>26</v>
      </c>
      <c r="F4" s="41">
        <f>VLOOKUP($A4,'TimeTB 2'!$B$4:$R$11,17,0)</f>
        <v>0</v>
      </c>
      <c r="G4" s="41">
        <f>VLOOKUP($A4,'TimeTB 2'!$B$4:$R$11,16,0)</f>
        <v>1</v>
      </c>
      <c r="H4" s="39">
        <f>E4*$H$2</f>
        <v>1040000</v>
      </c>
      <c r="I4" s="39">
        <f>F4*$I$2</f>
        <v>0</v>
      </c>
      <c r="J4" s="39">
        <f>G4*$J$2</f>
        <v>80000</v>
      </c>
      <c r="K4" s="40">
        <f t="shared" ref="K4:K10" si="0">SUM(H4:J4)</f>
        <v>1120000</v>
      </c>
      <c r="L4" s="38"/>
    </row>
    <row r="5" spans="1:12" ht="16">
      <c r="A5" s="38" t="s">
        <v>158</v>
      </c>
      <c r="B5" s="85" t="s">
        <v>184</v>
      </c>
      <c r="C5" s="43">
        <v>44197</v>
      </c>
      <c r="D5" s="42" t="s">
        <v>50</v>
      </c>
      <c r="E5" s="41">
        <f>VLOOKUP($A5,'TimeTB 2'!$B$4:$P$11,15,0)</f>
        <v>24</v>
      </c>
      <c r="F5" s="41">
        <f>VLOOKUP($A5,'TimeTB 2'!$B$4:$R$11,17,0)</f>
        <v>0</v>
      </c>
      <c r="G5" s="41">
        <f>VLOOKUP($A5,'TimeTB 2'!$B$4:$R$11,16,0)</f>
        <v>0</v>
      </c>
      <c r="H5" s="39">
        <f>E5*$H$2</f>
        <v>960000</v>
      </c>
      <c r="I5" s="39">
        <f>F5*$I$2</f>
        <v>0</v>
      </c>
      <c r="J5" s="39">
        <f t="shared" ref="J5:J10" si="1">G5*$J$2</f>
        <v>0</v>
      </c>
      <c r="K5" s="40">
        <f t="shared" si="0"/>
        <v>960000</v>
      </c>
      <c r="L5" s="38"/>
    </row>
    <row r="6" spans="1:12" ht="16">
      <c r="A6" s="38" t="s">
        <v>159</v>
      </c>
      <c r="B6" s="85" t="s">
        <v>185</v>
      </c>
      <c r="C6" s="43">
        <v>44562</v>
      </c>
      <c r="D6" s="42" t="s">
        <v>234</v>
      </c>
      <c r="E6" s="41">
        <f>VLOOKUP($A6,'TimeTB 2'!$B$4:$P$11,15,0)</f>
        <v>16</v>
      </c>
      <c r="F6" s="41">
        <f>VLOOKUP($A6,'TimeTB 2'!$B$4:$R$11,17,0)</f>
        <v>0</v>
      </c>
      <c r="G6" s="41">
        <f>VLOOKUP($A6,'TimeTB 2'!$B$4:$R$11,16,0)</f>
        <v>1</v>
      </c>
      <c r="H6" s="39">
        <f t="shared" ref="H6:H10" si="2">E6*$H$2</f>
        <v>640000</v>
      </c>
      <c r="I6" s="39">
        <f t="shared" ref="I6:I10" si="3">F6*$I$2</f>
        <v>0</v>
      </c>
      <c r="J6" s="39">
        <f t="shared" si="1"/>
        <v>80000</v>
      </c>
      <c r="K6" s="40">
        <f t="shared" si="0"/>
        <v>720000</v>
      </c>
      <c r="L6" s="38"/>
    </row>
    <row r="7" spans="1:12" ht="16">
      <c r="A7" s="38" t="s">
        <v>160</v>
      </c>
      <c r="B7" s="85" t="s">
        <v>186</v>
      </c>
      <c r="C7" s="43">
        <v>45740</v>
      </c>
      <c r="D7" s="42" t="s">
        <v>234</v>
      </c>
      <c r="E7" s="41">
        <f>VLOOKUP($A7,'TimeTB 2'!$B$4:$P$11,15,0)</f>
        <v>26</v>
      </c>
      <c r="F7" s="41">
        <f>VLOOKUP($A7,'TimeTB 2'!$B$4:$R$11,17,0)</f>
        <v>0</v>
      </c>
      <c r="G7" s="41">
        <f>VLOOKUP($A7,'TimeTB 2'!$B$4:$R$11,16,0)</f>
        <v>1</v>
      </c>
      <c r="H7" s="39">
        <f t="shared" si="2"/>
        <v>1040000</v>
      </c>
      <c r="I7" s="39">
        <f t="shared" si="3"/>
        <v>0</v>
      </c>
      <c r="J7" s="39">
        <f t="shared" si="1"/>
        <v>80000</v>
      </c>
      <c r="K7" s="40">
        <f t="shared" si="0"/>
        <v>1120000</v>
      </c>
      <c r="L7" s="38"/>
    </row>
    <row r="8" spans="1:12" ht="16">
      <c r="A8" s="38" t="s">
        <v>161</v>
      </c>
      <c r="B8" s="85" t="s">
        <v>187</v>
      </c>
      <c r="C8" s="43">
        <v>44927</v>
      </c>
      <c r="D8" s="42" t="s">
        <v>59</v>
      </c>
      <c r="E8" s="41">
        <f>VLOOKUP($A8,'TimeTB 2'!$B$4:$P$11,15,0)</f>
        <v>26</v>
      </c>
      <c r="F8" s="41">
        <f>VLOOKUP($A8,'TimeTB 2'!$B$4:$R$11,17,0)</f>
        <v>0</v>
      </c>
      <c r="G8" s="41">
        <f>VLOOKUP($A8,'TimeTB 2'!$B$4:$R$11,16,0)</f>
        <v>1</v>
      </c>
      <c r="H8" s="39">
        <f t="shared" si="2"/>
        <v>1040000</v>
      </c>
      <c r="I8" s="39">
        <f t="shared" si="3"/>
        <v>0</v>
      </c>
      <c r="J8" s="39">
        <f t="shared" si="1"/>
        <v>80000</v>
      </c>
      <c r="K8" s="40">
        <f t="shared" si="0"/>
        <v>1120000</v>
      </c>
      <c r="L8" s="38"/>
    </row>
    <row r="9" spans="1:12" ht="16">
      <c r="A9" s="38" t="s">
        <v>162</v>
      </c>
      <c r="B9" s="85" t="s">
        <v>188</v>
      </c>
      <c r="C9" s="43">
        <v>45292</v>
      </c>
      <c r="D9" s="42" t="s">
        <v>59</v>
      </c>
      <c r="E9" s="41">
        <f>VLOOKUP($A9,'TimeTB 2'!$B$4:$P$11,15,0)</f>
        <v>24</v>
      </c>
      <c r="F9" s="41">
        <f>VLOOKUP($A9,'TimeTB 2'!$B$4:$R$11,17,0)</f>
        <v>0</v>
      </c>
      <c r="G9" s="41">
        <f>VLOOKUP($A9,'TimeTB 2'!$B$4:$R$11,16,0)</f>
        <v>0</v>
      </c>
      <c r="H9" s="39">
        <f t="shared" si="2"/>
        <v>960000</v>
      </c>
      <c r="I9" s="39">
        <f t="shared" si="3"/>
        <v>0</v>
      </c>
      <c r="J9" s="39">
        <f t="shared" si="1"/>
        <v>0</v>
      </c>
      <c r="K9" s="40">
        <f t="shared" si="0"/>
        <v>960000</v>
      </c>
      <c r="L9" s="38"/>
    </row>
    <row r="10" spans="1:12" ht="16">
      <c r="A10" s="38" t="s">
        <v>176</v>
      </c>
      <c r="B10" s="85" t="s">
        <v>189</v>
      </c>
      <c r="C10" s="43">
        <v>45738</v>
      </c>
      <c r="D10" s="42" t="s">
        <v>50</v>
      </c>
      <c r="E10" s="41">
        <f>VLOOKUP($A10,'TimeTB 2'!$B$4:$P$11,15,0)</f>
        <v>26</v>
      </c>
      <c r="F10" s="41">
        <f>VLOOKUP($A10,'TimeTB 2'!$B$4:$R$11,17,0)</f>
        <v>0</v>
      </c>
      <c r="G10" s="41">
        <f>VLOOKUP($A10,'TimeTB 2'!$B$4:$R$11,16,0)</f>
        <v>1</v>
      </c>
      <c r="H10" s="39">
        <f t="shared" si="2"/>
        <v>1040000</v>
      </c>
      <c r="I10" s="39">
        <f t="shared" si="3"/>
        <v>0</v>
      </c>
      <c r="J10" s="39">
        <f t="shared" si="1"/>
        <v>80000</v>
      </c>
      <c r="K10" s="40">
        <f t="shared" si="0"/>
        <v>1120000</v>
      </c>
      <c r="L10" s="38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dataValidations count="1">
    <dataValidation allowBlank="1" showErrorMessage="1" sqref="B4:B10" xr:uid="{18EB5A6D-DB45-1A4A-986A-E41C299A32F9}"/>
  </dataValidations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37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C16" sqref="C16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55" customWidth="1" outlineLevel="1"/>
    <col min="7" max="7" width="21.5" customWidth="1" outlineLevel="1"/>
    <col min="8" max="8" width="12.5" style="54" customWidth="1" outlineLevel="1"/>
    <col min="9" max="10" width="8.5" customWidth="1"/>
    <col min="11" max="11" width="10.83203125" customWidth="1"/>
    <col min="12" max="12" width="11.5" style="56" customWidth="1"/>
    <col min="13" max="13" width="12.6640625" customWidth="1"/>
    <col min="14" max="14" width="7.1640625" customWidth="1"/>
    <col min="15" max="18" width="12.83203125" style="53" customWidth="1"/>
    <col min="19" max="19" width="12.6640625" customWidth="1"/>
    <col min="20" max="20" width="9.1640625" customWidth="1"/>
    <col min="21" max="21" width="22" customWidth="1"/>
  </cols>
  <sheetData>
    <row r="1" spans="1:19" ht="18.75" customHeight="1">
      <c r="B1" s="340" t="s">
        <v>27</v>
      </c>
      <c r="C1" s="340" t="s">
        <v>11</v>
      </c>
      <c r="D1" s="340" t="s">
        <v>51</v>
      </c>
      <c r="E1" s="340" t="s">
        <v>33</v>
      </c>
      <c r="F1" s="340" t="s">
        <v>69</v>
      </c>
      <c r="G1" s="340" t="s">
        <v>70</v>
      </c>
      <c r="H1" s="346" t="s">
        <v>45</v>
      </c>
      <c r="I1" s="334" t="s">
        <v>200</v>
      </c>
      <c r="J1" s="334" t="s">
        <v>201</v>
      </c>
      <c r="K1" s="334" t="s">
        <v>96</v>
      </c>
      <c r="L1" s="334" t="s">
        <v>202</v>
      </c>
      <c r="M1" s="334" t="s">
        <v>53</v>
      </c>
      <c r="N1" s="343" t="s">
        <v>203</v>
      </c>
      <c r="O1" s="334" t="s">
        <v>204</v>
      </c>
      <c r="P1" s="334" t="s">
        <v>205</v>
      </c>
      <c r="Q1" s="334" t="s">
        <v>206</v>
      </c>
      <c r="R1" s="334" t="s">
        <v>207</v>
      </c>
      <c r="S1" s="337" t="s">
        <v>208</v>
      </c>
    </row>
    <row r="2" spans="1:19" ht="45.75" customHeight="1">
      <c r="B2" s="341"/>
      <c r="C2" s="341"/>
      <c r="D2" s="341"/>
      <c r="E2" s="341"/>
      <c r="F2" s="341"/>
      <c r="G2" s="341"/>
      <c r="H2" s="344"/>
      <c r="I2" s="335"/>
      <c r="J2" s="335"/>
      <c r="K2" s="335"/>
      <c r="L2" s="335"/>
      <c r="M2" s="335"/>
      <c r="N2" s="344"/>
      <c r="O2" s="335"/>
      <c r="P2" s="335"/>
      <c r="Q2" s="335"/>
      <c r="R2" s="335"/>
      <c r="S2" s="338"/>
    </row>
    <row r="3" spans="1:19" ht="46.5" customHeight="1">
      <c r="B3" s="342"/>
      <c r="C3" s="342"/>
      <c r="D3" s="342"/>
      <c r="E3" s="342"/>
      <c r="F3" s="342"/>
      <c r="G3" s="342"/>
      <c r="H3" s="345"/>
      <c r="I3" s="336"/>
      <c r="J3" s="336"/>
      <c r="K3" s="336"/>
      <c r="L3" s="336"/>
      <c r="M3" s="336"/>
      <c r="N3" s="345"/>
      <c r="O3" s="336"/>
      <c r="P3" s="336"/>
      <c r="Q3" s="336"/>
      <c r="R3" s="336"/>
      <c r="S3" s="339"/>
    </row>
    <row r="4" spans="1:19" ht="29.25" customHeight="1">
      <c r="A4">
        <v>1</v>
      </c>
      <c r="B4" s="160" t="s">
        <v>174</v>
      </c>
      <c r="C4" s="112" t="s">
        <v>182</v>
      </c>
      <c r="D4" s="161">
        <v>43466</v>
      </c>
      <c r="E4" s="162"/>
      <c r="F4" s="163"/>
      <c r="G4" s="161" t="s">
        <v>113</v>
      </c>
      <c r="H4" s="164"/>
      <c r="I4" s="165">
        <v>4</v>
      </c>
      <c r="J4" s="166">
        <v>0</v>
      </c>
      <c r="K4" s="166">
        <v>1</v>
      </c>
      <c r="L4" s="167">
        <v>25</v>
      </c>
      <c r="M4" s="166">
        <f>+K4+L4</f>
        <v>26</v>
      </c>
      <c r="N4" s="168"/>
      <c r="O4" s="169">
        <f>MIN((M4+N4),26)</f>
        <v>26</v>
      </c>
      <c r="P4" s="167">
        <v>25</v>
      </c>
      <c r="Q4" s="167">
        <v>0</v>
      </c>
      <c r="R4" s="170">
        <v>0</v>
      </c>
      <c r="S4" s="171"/>
    </row>
    <row r="5" spans="1:19" ht="29.25" customHeight="1">
      <c r="A5">
        <f>+A3+1</f>
        <v>1</v>
      </c>
      <c r="B5" s="135" t="s">
        <v>175</v>
      </c>
      <c r="C5" s="85" t="s">
        <v>183</v>
      </c>
      <c r="D5" s="136">
        <v>43831</v>
      </c>
      <c r="E5" s="137"/>
      <c r="F5" s="138"/>
      <c r="G5" s="136" t="s">
        <v>100</v>
      </c>
      <c r="H5" s="150"/>
      <c r="I5" s="151">
        <v>5</v>
      </c>
      <c r="J5" s="152">
        <v>0</v>
      </c>
      <c r="K5" s="152">
        <v>0</v>
      </c>
      <c r="L5" s="156">
        <v>26</v>
      </c>
      <c r="M5" s="152">
        <f t="shared" ref="M5" si="0">+K5+L5</f>
        <v>26</v>
      </c>
      <c r="N5" s="144"/>
      <c r="O5" s="154">
        <f t="shared" ref="O5" si="1">MIN((M5+N5),26)</f>
        <v>26</v>
      </c>
      <c r="P5" s="153">
        <v>26</v>
      </c>
      <c r="Q5" s="153">
        <v>1</v>
      </c>
      <c r="R5" s="155">
        <v>0</v>
      </c>
      <c r="S5" s="145"/>
    </row>
    <row r="6" spans="1:19" ht="29.25" customHeight="1">
      <c r="A6">
        <f>+A5+1</f>
        <v>2</v>
      </c>
      <c r="B6" s="139" t="s">
        <v>158</v>
      </c>
      <c r="C6" s="85" t="s">
        <v>184</v>
      </c>
      <c r="D6" s="100">
        <v>44197</v>
      </c>
      <c r="E6" s="140"/>
      <c r="F6" s="141"/>
      <c r="G6" s="100" t="s">
        <v>230</v>
      </c>
      <c r="H6" s="157"/>
      <c r="I6" s="151">
        <v>4</v>
      </c>
      <c r="J6" s="152">
        <v>1</v>
      </c>
      <c r="K6" s="152">
        <v>1</v>
      </c>
      <c r="L6" s="156">
        <v>24</v>
      </c>
      <c r="M6" s="152">
        <f t="shared" ref="M6:M11" si="2">+K6+L6</f>
        <v>25</v>
      </c>
      <c r="N6" s="146"/>
      <c r="O6" s="155">
        <f t="shared" ref="O6:O11" si="3">MIN((M6+N6),26)</f>
        <v>25</v>
      </c>
      <c r="P6" s="153">
        <v>24</v>
      </c>
      <c r="Q6" s="153">
        <v>0</v>
      </c>
      <c r="R6" s="155">
        <v>0</v>
      </c>
      <c r="S6" s="147"/>
    </row>
    <row r="7" spans="1:19" ht="29.25" customHeight="1">
      <c r="A7">
        <f t="shared" ref="A7:A11" si="4">+A6+1</f>
        <v>3</v>
      </c>
      <c r="B7" s="139" t="s">
        <v>159</v>
      </c>
      <c r="C7" s="85" t="s">
        <v>185</v>
      </c>
      <c r="D7" s="100">
        <v>44562</v>
      </c>
      <c r="E7" s="140"/>
      <c r="F7" s="141"/>
      <c r="G7" s="100" t="s">
        <v>231</v>
      </c>
      <c r="H7" s="157"/>
      <c r="I7" s="151">
        <v>2</v>
      </c>
      <c r="J7" s="152">
        <v>0</v>
      </c>
      <c r="K7" s="152">
        <v>0</v>
      </c>
      <c r="L7" s="156">
        <v>16</v>
      </c>
      <c r="M7" s="152">
        <f t="shared" si="2"/>
        <v>16</v>
      </c>
      <c r="N7" s="148"/>
      <c r="O7" s="155">
        <f t="shared" si="3"/>
        <v>16</v>
      </c>
      <c r="P7" s="153">
        <v>16</v>
      </c>
      <c r="Q7" s="153">
        <v>1</v>
      </c>
      <c r="R7" s="155">
        <v>0</v>
      </c>
      <c r="S7" s="147"/>
    </row>
    <row r="8" spans="1:19" ht="29.25" customHeight="1">
      <c r="A8">
        <f t="shared" si="4"/>
        <v>4</v>
      </c>
      <c r="B8" s="139" t="s">
        <v>160</v>
      </c>
      <c r="C8" s="85" t="s">
        <v>186</v>
      </c>
      <c r="D8" s="100">
        <v>45740</v>
      </c>
      <c r="E8" s="140"/>
      <c r="F8" s="141"/>
      <c r="G8" s="100" t="s">
        <v>232</v>
      </c>
      <c r="H8" s="157"/>
      <c r="I8" s="151">
        <v>4</v>
      </c>
      <c r="J8" s="152">
        <v>0</v>
      </c>
      <c r="K8" s="152">
        <v>0.5</v>
      </c>
      <c r="L8" s="156">
        <v>26.5</v>
      </c>
      <c r="M8" s="152">
        <f t="shared" si="2"/>
        <v>27</v>
      </c>
      <c r="N8" s="146"/>
      <c r="O8" s="155">
        <f t="shared" si="3"/>
        <v>26</v>
      </c>
      <c r="P8" s="153">
        <v>26</v>
      </c>
      <c r="Q8" s="153">
        <v>1</v>
      </c>
      <c r="R8" s="155">
        <v>0</v>
      </c>
      <c r="S8" s="147"/>
    </row>
    <row r="9" spans="1:19" ht="29.25" customHeight="1">
      <c r="A9">
        <f>+A8+1</f>
        <v>5</v>
      </c>
      <c r="B9" s="139" t="s">
        <v>161</v>
      </c>
      <c r="C9" s="85" t="s">
        <v>187</v>
      </c>
      <c r="D9" s="100">
        <v>44927</v>
      </c>
      <c r="E9" s="140"/>
      <c r="F9" s="141"/>
      <c r="G9" s="100" t="s">
        <v>114</v>
      </c>
      <c r="H9" s="157"/>
      <c r="I9" s="151">
        <v>5</v>
      </c>
      <c r="J9" s="152">
        <v>0</v>
      </c>
      <c r="K9" s="152">
        <v>0</v>
      </c>
      <c r="L9" s="156">
        <v>26</v>
      </c>
      <c r="M9" s="152">
        <f t="shared" si="2"/>
        <v>26</v>
      </c>
      <c r="N9" s="146"/>
      <c r="O9" s="155">
        <f t="shared" si="3"/>
        <v>26</v>
      </c>
      <c r="P9" s="153">
        <v>26</v>
      </c>
      <c r="Q9" s="153">
        <v>1</v>
      </c>
      <c r="R9" s="155">
        <v>0</v>
      </c>
      <c r="S9" s="147"/>
    </row>
    <row r="10" spans="1:19" ht="29.25" customHeight="1">
      <c r="A10">
        <f t="shared" si="4"/>
        <v>6</v>
      </c>
      <c r="B10" s="139" t="s">
        <v>162</v>
      </c>
      <c r="C10" s="85" t="s">
        <v>188</v>
      </c>
      <c r="D10" s="100">
        <v>45292</v>
      </c>
      <c r="E10" s="140"/>
      <c r="F10" s="141"/>
      <c r="G10" s="100" t="s">
        <v>75</v>
      </c>
      <c r="H10" s="149"/>
      <c r="I10" s="151">
        <v>4</v>
      </c>
      <c r="J10" s="152">
        <v>1</v>
      </c>
      <c r="K10" s="152">
        <v>2</v>
      </c>
      <c r="L10" s="156">
        <v>24</v>
      </c>
      <c r="M10" s="152">
        <f t="shared" si="2"/>
        <v>26</v>
      </c>
      <c r="N10" s="146"/>
      <c r="O10" s="155">
        <f t="shared" si="3"/>
        <v>26</v>
      </c>
      <c r="P10" s="153">
        <v>24</v>
      </c>
      <c r="Q10" s="153">
        <v>0</v>
      </c>
      <c r="R10" s="155">
        <v>0</v>
      </c>
      <c r="S10" s="147"/>
    </row>
    <row r="11" spans="1:19" ht="29.25" customHeight="1">
      <c r="A11">
        <f t="shared" si="4"/>
        <v>7</v>
      </c>
      <c r="B11" s="139" t="s">
        <v>176</v>
      </c>
      <c r="C11" s="85" t="s">
        <v>189</v>
      </c>
      <c r="D11" s="100">
        <v>45738</v>
      </c>
      <c r="E11" s="140"/>
      <c r="F11" s="141"/>
      <c r="G11" s="100" t="s">
        <v>233</v>
      </c>
      <c r="H11" s="157"/>
      <c r="I11" s="151">
        <v>4</v>
      </c>
      <c r="J11" s="152">
        <v>0</v>
      </c>
      <c r="K11" s="152">
        <v>0</v>
      </c>
      <c r="L11" s="156">
        <v>27</v>
      </c>
      <c r="M11" s="152">
        <f t="shared" si="2"/>
        <v>27</v>
      </c>
      <c r="N11" s="146"/>
      <c r="O11" s="155">
        <f t="shared" si="3"/>
        <v>26</v>
      </c>
      <c r="P11" s="153">
        <v>26</v>
      </c>
      <c r="Q11" s="153">
        <v>1</v>
      </c>
      <c r="R11" s="155">
        <v>0</v>
      </c>
      <c r="S11" s="147"/>
    </row>
    <row r="12" spans="1:19" ht="28.5" customHeight="1">
      <c r="B12" s="158" t="s">
        <v>131</v>
      </c>
      <c r="C12" s="134"/>
      <c r="D12" s="134"/>
      <c r="E12" s="134"/>
      <c r="F12" s="142"/>
      <c r="G12" s="134"/>
      <c r="H12" s="143"/>
    </row>
    <row r="13" spans="1:19">
      <c r="B13" s="159" t="s">
        <v>37</v>
      </c>
      <c r="C13" s="57" t="s">
        <v>130</v>
      </c>
      <c r="D13" s="58"/>
      <c r="E13" s="58"/>
      <c r="F13" s="58"/>
      <c r="G13" s="58"/>
      <c r="H13" s="59"/>
    </row>
    <row r="14" spans="1:19">
      <c r="B14" s="159" t="s">
        <v>85</v>
      </c>
      <c r="C14" s="57" t="s">
        <v>86</v>
      </c>
      <c r="D14" s="58"/>
      <c r="E14" s="58"/>
      <c r="F14" s="58"/>
      <c r="G14" s="58"/>
      <c r="H14" s="59"/>
    </row>
    <row r="15" spans="1:19">
      <c r="B15" s="159" t="s">
        <v>38</v>
      </c>
      <c r="C15" s="57" t="s">
        <v>87</v>
      </c>
      <c r="D15" s="58"/>
      <c r="E15" s="58"/>
      <c r="F15" s="58"/>
      <c r="G15" s="58"/>
      <c r="H15" s="59"/>
    </row>
    <row r="16" spans="1:19">
      <c r="B16" s="159" t="s">
        <v>56</v>
      </c>
      <c r="C16" s="57" t="s">
        <v>88</v>
      </c>
      <c r="D16" s="58"/>
      <c r="E16" s="58"/>
      <c r="F16" s="58"/>
      <c r="G16" s="58"/>
      <c r="H16" s="59"/>
    </row>
    <row r="17" spans="2:8">
      <c r="B17" s="159" t="s">
        <v>74</v>
      </c>
      <c r="C17" s="57" t="s">
        <v>89</v>
      </c>
      <c r="D17" s="58"/>
      <c r="E17" s="58"/>
      <c r="F17" s="58"/>
      <c r="G17" s="58"/>
      <c r="H17" s="59"/>
    </row>
    <row r="18" spans="2:8">
      <c r="B18" s="159" t="s">
        <v>61</v>
      </c>
      <c r="C18" s="57" t="s">
        <v>90</v>
      </c>
      <c r="D18" s="58"/>
      <c r="E18" s="58"/>
      <c r="F18" s="58"/>
      <c r="G18" s="58"/>
      <c r="H18" s="59"/>
    </row>
    <row r="19" spans="2:8">
      <c r="B19" s="159" t="s">
        <v>58</v>
      </c>
      <c r="C19" s="57" t="s">
        <v>91</v>
      </c>
      <c r="D19" s="58"/>
      <c r="E19" s="58"/>
      <c r="F19" s="58"/>
      <c r="G19" s="58"/>
      <c r="H19" s="59"/>
    </row>
    <row r="20" spans="2:8">
      <c r="B20" s="159" t="s">
        <v>84</v>
      </c>
      <c r="C20" s="57" t="s">
        <v>92</v>
      </c>
      <c r="D20" s="58"/>
      <c r="E20" s="58"/>
      <c r="F20" s="58"/>
      <c r="G20" s="58"/>
      <c r="H20" s="59"/>
    </row>
    <row r="21" spans="2:8">
      <c r="B21" s="51" t="s">
        <v>57</v>
      </c>
      <c r="C21" s="57" t="s">
        <v>93</v>
      </c>
      <c r="D21" s="58"/>
      <c r="E21" s="58"/>
      <c r="F21" s="58"/>
      <c r="G21" s="58"/>
      <c r="H21" s="59"/>
    </row>
    <row r="22" spans="2:8">
      <c r="B22" s="51" t="s">
        <v>34</v>
      </c>
      <c r="C22" s="57" t="s">
        <v>62</v>
      </c>
      <c r="D22" s="58"/>
      <c r="E22" s="58"/>
      <c r="F22" s="58"/>
      <c r="G22" s="58"/>
      <c r="H22" s="59"/>
    </row>
    <row r="23" spans="2:8">
      <c r="B23" s="51" t="s">
        <v>60</v>
      </c>
      <c r="C23" s="57" t="s">
        <v>63</v>
      </c>
      <c r="D23" s="58"/>
      <c r="E23" s="58"/>
      <c r="F23" s="58"/>
      <c r="G23" s="58"/>
      <c r="H23" s="59"/>
    </row>
    <row r="24" spans="2:8" ht="22.5" customHeight="1">
      <c r="B24" s="51" t="s">
        <v>64</v>
      </c>
      <c r="C24" s="57" t="s">
        <v>65</v>
      </c>
      <c r="D24" s="58"/>
      <c r="E24" s="58"/>
      <c r="F24" s="58"/>
      <c r="G24" s="58"/>
      <c r="H24" s="59"/>
    </row>
    <row r="25" spans="2:8" ht="22.5" customHeight="1">
      <c r="B25" s="51" t="s">
        <v>66</v>
      </c>
      <c r="C25" s="57" t="s">
        <v>67</v>
      </c>
      <c r="D25" s="58"/>
      <c r="E25" s="58"/>
      <c r="F25" s="58"/>
      <c r="G25" s="58"/>
      <c r="H25" s="59"/>
    </row>
    <row r="26" spans="2:8" ht="22.5" customHeight="1">
      <c r="B26" s="51" t="s">
        <v>35</v>
      </c>
      <c r="C26" s="57" t="s">
        <v>94</v>
      </c>
      <c r="D26" s="58"/>
      <c r="E26" s="58"/>
      <c r="F26" s="58"/>
      <c r="G26" s="58"/>
      <c r="H26" s="59"/>
    </row>
    <row r="27" spans="2:8" ht="22.5" customHeight="1">
      <c r="B27" s="51" t="s">
        <v>36</v>
      </c>
      <c r="C27" s="57" t="s">
        <v>95</v>
      </c>
      <c r="D27" s="58"/>
      <c r="E27" s="58"/>
      <c r="F27" s="58"/>
      <c r="G27" s="58"/>
      <c r="H27" s="59"/>
    </row>
    <row r="29" spans="2:8">
      <c r="B29" s="52"/>
      <c r="G29" s="60"/>
      <c r="H29" s="61"/>
    </row>
    <row r="30" spans="2:8" ht="18" customHeight="1">
      <c r="G30" s="60"/>
      <c r="H30" s="61"/>
    </row>
    <row r="31" spans="2:8" ht="17.25" customHeight="1">
      <c r="G31" s="60"/>
      <c r="H31" s="61"/>
    </row>
    <row r="32" spans="2:8" ht="38.25" customHeight="1">
      <c r="G32" s="60"/>
      <c r="H32" s="61"/>
    </row>
    <row r="33" spans="7:8">
      <c r="G33" s="60"/>
      <c r="H33" s="61"/>
    </row>
    <row r="34" spans="7:8">
      <c r="G34" s="60"/>
      <c r="H34" s="61"/>
    </row>
    <row r="35" spans="7:8">
      <c r="G35" s="62"/>
      <c r="H35" s="61"/>
    </row>
    <row r="36" spans="7:8">
      <c r="G36" s="63"/>
      <c r="H36" s="61"/>
    </row>
    <row r="37" spans="7:8">
      <c r="G37" s="63"/>
      <c r="H37" s="61"/>
    </row>
  </sheetData>
  <autoFilter ref="A3:S5" xr:uid="{00000000-0009-0000-0000-00000D000000}"/>
  <mergeCells count="18">
    <mergeCell ref="B1:B3"/>
    <mergeCell ref="C1:C3"/>
    <mergeCell ref="D1:D3"/>
    <mergeCell ref="E1:E3"/>
    <mergeCell ref="F1:F3"/>
    <mergeCell ref="Q1:Q3"/>
    <mergeCell ref="R1:R3"/>
    <mergeCell ref="S1:S3"/>
    <mergeCell ref="G1:G3"/>
    <mergeCell ref="K1:K3"/>
    <mergeCell ref="L1:L3"/>
    <mergeCell ref="O1:O3"/>
    <mergeCell ref="P1:P3"/>
    <mergeCell ref="I1:I3"/>
    <mergeCell ref="J1:J3"/>
    <mergeCell ref="M1:M3"/>
    <mergeCell ref="N1:N3"/>
    <mergeCell ref="H1:H3"/>
  </mergeCells>
  <phoneticPr fontId="283" type="noConversion"/>
  <dataValidations count="1">
    <dataValidation allowBlank="1" showErrorMessage="1" sqref="C5:C11" xr:uid="{D4BB4886-62F4-594E-B8AE-19E944652204}"/>
  </dataValidations>
  <pageMargins left="0.25" right="0" top="0.5" bottom="0.5" header="0.3" footer="0.2"/>
  <pageSetup paperSize="9" scale="50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0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M20" sqref="M20"/>
    </sheetView>
  </sheetViews>
  <sheetFormatPr baseColWidth="10" defaultColWidth="13.5" defaultRowHeight="14" outlineLevelCol="1"/>
  <cols>
    <col min="1" max="1" width="11.5" style="64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64" customWidth="1"/>
    <col min="7" max="7" width="11.33203125" style="4" customWidth="1"/>
    <col min="8" max="8" width="8.6640625" style="3" customWidth="1"/>
    <col min="9" max="9" width="16.5" style="3" customWidth="1"/>
    <col min="10" max="12" width="11.6640625" style="3" customWidth="1" outlineLevel="1"/>
    <col min="13" max="13" width="17.6640625" style="3" customWidth="1" outlineLevel="1"/>
    <col min="14" max="14" width="11.6640625" style="3" customWidth="1" outlineLevel="1"/>
    <col min="15" max="15" width="14.83203125" style="3" customWidth="1" outlineLevel="1"/>
    <col min="16" max="16" width="15.5" style="3" customWidth="1"/>
    <col min="17" max="17" width="10.1640625" style="3" hidden="1" customWidth="1"/>
    <col min="18" max="18" width="28.6640625" style="3" hidden="1" customWidth="1"/>
    <col min="19" max="19" width="0" style="3" hidden="1" customWidth="1"/>
    <col min="20" max="16384" width="13.5" style="3"/>
  </cols>
  <sheetData>
    <row r="1" spans="1:19" s="64" customFormat="1" ht="21.75" customHeight="1">
      <c r="A1" s="347" t="s">
        <v>12</v>
      </c>
      <c r="B1" s="350" t="s">
        <v>27</v>
      </c>
      <c r="C1" s="350" t="s">
        <v>11</v>
      </c>
      <c r="D1" s="350" t="s">
        <v>44</v>
      </c>
      <c r="E1" s="350" t="s">
        <v>51</v>
      </c>
      <c r="F1" s="355" t="s">
        <v>217</v>
      </c>
      <c r="G1" s="350" t="s">
        <v>39</v>
      </c>
      <c r="H1" s="347" t="s">
        <v>40</v>
      </c>
      <c r="I1" s="350" t="s">
        <v>213</v>
      </c>
      <c r="J1" s="353" t="s">
        <v>214</v>
      </c>
      <c r="K1" s="347" t="s">
        <v>215</v>
      </c>
      <c r="L1" s="347" t="s">
        <v>30</v>
      </c>
      <c r="M1" s="347" t="s">
        <v>41</v>
      </c>
      <c r="N1" s="347" t="s">
        <v>42</v>
      </c>
      <c r="O1" s="347" t="s">
        <v>43</v>
      </c>
      <c r="P1" s="350" t="s">
        <v>216</v>
      </c>
    </row>
    <row r="2" spans="1:19" s="2" customFormat="1" ht="33.75" customHeight="1">
      <c r="A2" s="348"/>
      <c r="B2" s="344"/>
      <c r="C2" s="344"/>
      <c r="D2" s="344"/>
      <c r="E2" s="344"/>
      <c r="F2" s="356"/>
      <c r="G2" s="351"/>
      <c r="H2" s="348"/>
      <c r="I2" s="351"/>
      <c r="J2" s="353"/>
      <c r="K2" s="348"/>
      <c r="L2" s="348"/>
      <c r="M2" s="348"/>
      <c r="N2" s="348"/>
      <c r="O2" s="348"/>
      <c r="P2" s="351"/>
    </row>
    <row r="3" spans="1:19" s="2" customFormat="1" ht="27" customHeight="1">
      <c r="A3" s="349"/>
      <c r="B3" s="345"/>
      <c r="C3" s="345"/>
      <c r="D3" s="345"/>
      <c r="E3" s="345"/>
      <c r="F3" s="357"/>
      <c r="G3" s="352"/>
      <c r="H3" s="349"/>
      <c r="I3" s="352"/>
      <c r="J3" s="354"/>
      <c r="K3" s="349"/>
      <c r="L3" s="349"/>
      <c r="M3" s="349"/>
      <c r="N3" s="349"/>
      <c r="O3" s="349"/>
      <c r="P3" s="352"/>
    </row>
    <row r="4" spans="1:19" s="1" customFormat="1" ht="23.25" customHeight="1">
      <c r="A4" s="314"/>
      <c r="B4" s="111" t="s">
        <v>160</v>
      </c>
      <c r="C4" s="112" t="s">
        <v>186</v>
      </c>
      <c r="D4" s="315"/>
      <c r="E4" s="315">
        <v>45740</v>
      </c>
      <c r="F4" s="316">
        <v>2</v>
      </c>
      <c r="G4" s="317"/>
      <c r="H4" s="317"/>
      <c r="I4" s="317"/>
      <c r="J4" s="317"/>
      <c r="K4" s="317"/>
      <c r="L4" s="317"/>
      <c r="M4" s="317"/>
      <c r="N4" s="317"/>
      <c r="O4" s="317"/>
      <c r="P4" s="317"/>
    </row>
    <row r="5" spans="1:19" s="1" customFormat="1" ht="23.25" customHeight="1">
      <c r="A5" s="29"/>
      <c r="B5" s="65" t="s">
        <v>176</v>
      </c>
      <c r="C5" s="85" t="s">
        <v>189</v>
      </c>
      <c r="D5" s="66"/>
      <c r="E5" s="31">
        <v>45738</v>
      </c>
      <c r="F5" s="23">
        <v>4</v>
      </c>
      <c r="G5" s="172"/>
      <c r="H5" s="172"/>
      <c r="I5" s="172"/>
      <c r="J5" s="172"/>
      <c r="K5" s="172"/>
      <c r="L5" s="172"/>
      <c r="M5" s="172"/>
      <c r="N5" s="172"/>
      <c r="O5" s="172"/>
      <c r="P5" s="172"/>
      <c r="S5" s="1" t="e">
        <f>VLOOKUP(B5,[20]Timetable_T03!$B$9:$AS$19,44,0)</f>
        <v>#N/A</v>
      </c>
    </row>
    <row r="6" spans="1:19" s="1" customFormat="1" ht="23.25" customHeight="1">
      <c r="A6" s="28"/>
      <c r="B6" s="27"/>
      <c r="C6" s="22"/>
      <c r="D6" s="32"/>
      <c r="E6" s="32"/>
      <c r="F6" s="23">
        <f t="shared" ref="F6:F10" si="0">IF(OR(P6=26,P6=26),26,P6)</f>
        <v>0</v>
      </c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spans="1:19" s="1" customFormat="1" ht="23.25" customHeight="1">
      <c r="A7" s="33"/>
      <c r="B7" s="34"/>
      <c r="C7" s="35"/>
      <c r="D7" s="36"/>
      <c r="E7" s="36"/>
      <c r="F7" s="23">
        <f t="shared" si="0"/>
        <v>0</v>
      </c>
      <c r="G7" s="172"/>
      <c r="H7" s="172"/>
      <c r="I7" s="172"/>
      <c r="J7" s="172"/>
      <c r="K7" s="172"/>
      <c r="L7" s="172"/>
      <c r="M7" s="172"/>
      <c r="N7" s="172"/>
      <c r="O7" s="172"/>
      <c r="P7" s="172"/>
    </row>
    <row r="8" spans="1:19" s="1" customFormat="1" ht="23.25" customHeight="1">
      <c r="A8" s="33"/>
      <c r="B8" s="34"/>
      <c r="C8" s="35"/>
      <c r="D8" s="36"/>
      <c r="E8" s="36"/>
      <c r="F8" s="23">
        <f t="shared" si="0"/>
        <v>0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9" s="1" customFormat="1" ht="24" customHeight="1">
      <c r="A9" s="21"/>
      <c r="B9" s="27"/>
      <c r="C9" s="22"/>
      <c r="D9" s="30"/>
      <c r="E9" s="30"/>
      <c r="F9" s="23">
        <f t="shared" si="0"/>
        <v>0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</row>
    <row r="10" spans="1:19" s="1" customFormat="1" ht="22.5" customHeight="1">
      <c r="A10" s="21"/>
      <c r="B10" s="27"/>
      <c r="C10" s="22"/>
      <c r="D10" s="30"/>
      <c r="E10" s="30"/>
      <c r="F10" s="23">
        <f t="shared" si="0"/>
        <v>0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</row>
    <row r="12" spans="1:19" s="4" customFormat="1">
      <c r="A12" s="2"/>
      <c r="B12" s="2"/>
      <c r="F12" s="2"/>
    </row>
    <row r="13" spans="1:19" s="4" customFormat="1">
      <c r="A13" s="2"/>
      <c r="B13" s="2"/>
      <c r="F13" s="2"/>
    </row>
    <row r="14" spans="1:19" customFormat="1" ht="28.5" customHeight="1">
      <c r="B14" s="158" t="s">
        <v>131</v>
      </c>
      <c r="C14" s="134"/>
      <c r="D14" s="134"/>
      <c r="E14" s="134"/>
      <c r="F14" s="53"/>
      <c r="G14" s="6"/>
      <c r="H14" s="6"/>
      <c r="I14" s="6"/>
      <c r="J14" s="173"/>
      <c r="N14" s="56"/>
      <c r="Q14" s="53"/>
      <c r="R14" s="53"/>
      <c r="S14" s="53"/>
    </row>
    <row r="15" spans="1:19" customFormat="1" ht="19">
      <c r="B15" s="159" t="s">
        <v>37</v>
      </c>
      <c r="C15" s="57" t="s">
        <v>130</v>
      </c>
      <c r="D15" s="58"/>
      <c r="E15" s="58"/>
      <c r="F15" s="53"/>
      <c r="G15" s="6"/>
      <c r="H15" s="6"/>
      <c r="I15" s="6"/>
      <c r="J15" s="173"/>
      <c r="N15" s="56"/>
      <c r="Q15" s="53"/>
      <c r="R15" s="53"/>
      <c r="S15" s="53"/>
    </row>
    <row r="16" spans="1:19" customFormat="1" ht="19">
      <c r="B16" s="159" t="s">
        <v>85</v>
      </c>
      <c r="C16" s="57" t="s">
        <v>86</v>
      </c>
      <c r="D16" s="58"/>
      <c r="E16" s="58"/>
      <c r="F16" s="53"/>
      <c r="G16" s="6"/>
      <c r="H16" s="6"/>
      <c r="I16" s="6"/>
      <c r="J16" s="173"/>
      <c r="N16" s="56"/>
      <c r="Q16" s="53"/>
      <c r="R16" s="53"/>
      <c r="S16" s="53"/>
    </row>
    <row r="17" spans="2:19" customFormat="1" ht="19">
      <c r="B17" s="159" t="s">
        <v>38</v>
      </c>
      <c r="C17" s="57" t="s">
        <v>87</v>
      </c>
      <c r="D17" s="58"/>
      <c r="E17" s="58"/>
      <c r="F17" s="53"/>
      <c r="G17" s="6"/>
      <c r="H17" s="6"/>
      <c r="I17" s="6"/>
      <c r="J17" s="173"/>
      <c r="N17" s="56"/>
      <c r="Q17" s="53"/>
      <c r="R17" s="53"/>
      <c r="S17" s="53"/>
    </row>
    <row r="18" spans="2:19" customFormat="1" ht="19">
      <c r="B18" s="159" t="s">
        <v>56</v>
      </c>
      <c r="C18" s="57" t="s">
        <v>88</v>
      </c>
      <c r="D18" s="58"/>
      <c r="E18" s="58"/>
      <c r="F18" s="53"/>
      <c r="G18" s="6"/>
      <c r="H18" s="6"/>
      <c r="I18" s="6"/>
      <c r="J18" s="173"/>
      <c r="N18" s="56"/>
      <c r="Q18" s="53"/>
      <c r="R18" s="53"/>
      <c r="S18" s="53"/>
    </row>
    <row r="19" spans="2:19" customFormat="1" ht="19">
      <c r="B19" s="159" t="s">
        <v>74</v>
      </c>
      <c r="C19" s="57" t="s">
        <v>89</v>
      </c>
      <c r="D19" s="58"/>
      <c r="E19" s="58"/>
      <c r="F19" s="53"/>
      <c r="G19" s="6"/>
      <c r="H19" s="6"/>
      <c r="I19" s="6"/>
      <c r="J19" s="173"/>
      <c r="N19" s="56"/>
      <c r="Q19" s="53"/>
      <c r="R19" s="53"/>
      <c r="S19" s="53"/>
    </row>
    <row r="20" spans="2:19" customFormat="1" ht="19">
      <c r="B20" s="159" t="s">
        <v>61</v>
      </c>
      <c r="C20" s="57" t="s">
        <v>90</v>
      </c>
      <c r="D20" s="58"/>
      <c r="E20" s="58"/>
      <c r="F20" s="53"/>
      <c r="G20" s="6"/>
      <c r="H20" s="6"/>
      <c r="I20" s="6"/>
      <c r="J20" s="173"/>
      <c r="N20" s="56"/>
      <c r="Q20" s="53"/>
      <c r="R20" s="53"/>
      <c r="S20" s="53"/>
    </row>
    <row r="21" spans="2:19" customFormat="1" ht="19">
      <c r="B21" s="159" t="s">
        <v>58</v>
      </c>
      <c r="C21" s="57" t="s">
        <v>91</v>
      </c>
      <c r="D21" s="58"/>
      <c r="E21" s="58"/>
      <c r="F21" s="53"/>
      <c r="G21" s="6"/>
      <c r="H21" s="6"/>
      <c r="I21" s="6"/>
      <c r="J21" s="173"/>
      <c r="N21" s="56"/>
      <c r="Q21" s="53"/>
      <c r="R21" s="53"/>
      <c r="S21" s="53"/>
    </row>
    <row r="22" spans="2:19" customFormat="1" ht="19">
      <c r="B22" s="159" t="s">
        <v>84</v>
      </c>
      <c r="C22" s="57" t="s">
        <v>92</v>
      </c>
      <c r="D22" s="58"/>
      <c r="E22" s="58"/>
      <c r="F22" s="53"/>
      <c r="G22" s="6"/>
      <c r="H22" s="6"/>
      <c r="I22" s="6"/>
      <c r="J22" s="173"/>
      <c r="N22" s="56"/>
      <c r="Q22" s="53"/>
      <c r="R22" s="53"/>
      <c r="S22" s="53"/>
    </row>
    <row r="23" spans="2:19" customFormat="1" ht="19">
      <c r="B23" s="159" t="s">
        <v>57</v>
      </c>
      <c r="C23" s="57" t="s">
        <v>93</v>
      </c>
      <c r="D23" s="58"/>
      <c r="E23" s="58"/>
      <c r="F23" s="53"/>
      <c r="G23" s="6"/>
      <c r="H23" s="6"/>
      <c r="I23" s="6"/>
      <c r="J23" s="173"/>
      <c r="N23" s="56"/>
      <c r="Q23" s="53"/>
      <c r="R23" s="53"/>
      <c r="S23" s="53"/>
    </row>
    <row r="24" spans="2:19" customFormat="1" ht="19">
      <c r="B24" s="159" t="s">
        <v>34</v>
      </c>
      <c r="C24" s="57" t="s">
        <v>62</v>
      </c>
      <c r="D24" s="58"/>
      <c r="E24" s="58"/>
      <c r="F24" s="53"/>
      <c r="G24" s="6"/>
      <c r="H24" s="6"/>
      <c r="I24" s="6"/>
      <c r="J24" s="173"/>
      <c r="N24" s="56"/>
      <c r="Q24" s="53"/>
      <c r="R24" s="53"/>
      <c r="S24" s="53"/>
    </row>
    <row r="25" spans="2:19" customFormat="1" ht="19">
      <c r="B25" s="159" t="s">
        <v>60</v>
      </c>
      <c r="C25" s="57" t="s">
        <v>63</v>
      </c>
      <c r="D25" s="58"/>
      <c r="E25" s="58"/>
      <c r="F25" s="53"/>
      <c r="G25" s="6"/>
      <c r="H25" s="6"/>
      <c r="I25" s="6"/>
      <c r="J25" s="173"/>
      <c r="N25" s="56"/>
      <c r="Q25" s="53"/>
      <c r="R25" s="53"/>
      <c r="S25" s="53"/>
    </row>
    <row r="26" spans="2:19" customFormat="1" ht="22.5" customHeight="1">
      <c r="B26" s="159" t="s">
        <v>64</v>
      </c>
      <c r="C26" s="57" t="s">
        <v>65</v>
      </c>
      <c r="D26" s="58"/>
      <c r="E26" s="58"/>
      <c r="F26" s="53"/>
      <c r="G26" s="6"/>
      <c r="H26" s="6"/>
      <c r="I26" s="6"/>
      <c r="J26" s="173"/>
      <c r="N26" s="56"/>
      <c r="Q26" s="53"/>
      <c r="R26" s="53"/>
      <c r="S26" s="53"/>
    </row>
    <row r="27" spans="2:19" customFormat="1" ht="22.5" customHeight="1">
      <c r="B27" s="159" t="s">
        <v>66</v>
      </c>
      <c r="C27" s="57" t="s">
        <v>67</v>
      </c>
      <c r="D27" s="58"/>
      <c r="E27" s="58"/>
      <c r="F27" s="53"/>
      <c r="G27" s="6"/>
      <c r="H27" s="6"/>
      <c r="I27" s="6"/>
      <c r="J27" s="173"/>
      <c r="N27" s="56"/>
      <c r="Q27" s="53"/>
      <c r="R27" s="53"/>
      <c r="S27" s="53"/>
    </row>
    <row r="28" spans="2:19" customFormat="1" ht="22.5" customHeight="1">
      <c r="B28" s="159" t="s">
        <v>35</v>
      </c>
      <c r="C28" s="57" t="s">
        <v>94</v>
      </c>
      <c r="D28" s="58"/>
      <c r="E28" s="58"/>
      <c r="F28" s="53"/>
      <c r="G28" s="6"/>
      <c r="H28" s="6"/>
      <c r="I28" s="6"/>
      <c r="J28" s="173"/>
      <c r="N28" s="56"/>
      <c r="Q28" s="53"/>
      <c r="R28" s="53"/>
      <c r="S28" s="53"/>
    </row>
    <row r="29" spans="2:19" customFormat="1" ht="22.5" customHeight="1">
      <c r="B29" s="159" t="s">
        <v>36</v>
      </c>
      <c r="C29" s="57" t="s">
        <v>95</v>
      </c>
      <c r="D29" s="58"/>
      <c r="E29" s="58"/>
      <c r="F29" s="53"/>
      <c r="G29" s="6"/>
      <c r="H29" s="6"/>
      <c r="I29" s="6"/>
      <c r="J29" s="173"/>
      <c r="N29" s="56"/>
      <c r="Q29" s="53"/>
      <c r="R29" s="53"/>
      <c r="S29" s="53"/>
    </row>
    <row r="30" spans="2:19" customFormat="1" ht="19">
      <c r="F30" s="53"/>
      <c r="G30" s="6"/>
      <c r="H30" s="6"/>
      <c r="I30" s="6"/>
      <c r="J30" s="173"/>
      <c r="N30" s="56"/>
      <c r="Q30" s="53"/>
      <c r="R30" s="53"/>
      <c r="S30" s="53"/>
    </row>
    <row r="31" spans="2:19" customFormat="1" ht="19">
      <c r="B31" s="52"/>
      <c r="F31" s="53"/>
      <c r="G31" s="6"/>
      <c r="H31" s="6"/>
      <c r="I31" s="6"/>
      <c r="J31" s="173"/>
      <c r="N31" s="56"/>
      <c r="Q31" s="53"/>
      <c r="R31" s="53"/>
      <c r="S31" s="53"/>
    </row>
    <row r="32" spans="2:19" customFormat="1" ht="18" customHeight="1">
      <c r="F32" s="53"/>
      <c r="G32" s="6"/>
      <c r="H32" s="6"/>
      <c r="I32" s="6"/>
      <c r="J32" s="173"/>
      <c r="N32" s="56"/>
      <c r="Q32" s="53"/>
      <c r="R32" s="53"/>
      <c r="S32" s="53"/>
    </row>
    <row r="33" spans="6:20" customFormat="1" ht="17.25" customHeight="1">
      <c r="F33" s="53"/>
      <c r="G33" s="6"/>
      <c r="H33" s="6"/>
      <c r="I33" s="6"/>
      <c r="J33" s="173"/>
      <c r="N33" s="56"/>
      <c r="Q33" s="53"/>
      <c r="R33" s="53"/>
      <c r="S33" s="53"/>
    </row>
    <row r="34" spans="6:20" customFormat="1" ht="38.25" customHeight="1">
      <c r="F34" s="53"/>
      <c r="G34" s="6"/>
      <c r="H34" s="6"/>
      <c r="I34" s="6"/>
      <c r="J34" s="173"/>
      <c r="N34" s="56"/>
      <c r="Q34" s="53"/>
      <c r="R34" s="53"/>
      <c r="S34" s="53"/>
    </row>
    <row r="35" spans="6:20" customFormat="1" ht="19">
      <c r="F35" s="53"/>
      <c r="G35" s="6"/>
      <c r="H35" s="6"/>
      <c r="I35" s="6"/>
      <c r="J35" s="173"/>
      <c r="N35" s="56"/>
      <c r="Q35" s="53"/>
      <c r="R35" s="53"/>
      <c r="S35" s="53"/>
    </row>
    <row r="36" spans="6:20" customFormat="1" ht="19">
      <c r="F36" s="53"/>
      <c r="G36" s="6"/>
      <c r="H36" s="6"/>
      <c r="I36" s="6"/>
      <c r="J36" s="173"/>
      <c r="N36" s="56"/>
      <c r="Q36" s="53"/>
      <c r="R36" s="53"/>
      <c r="S36" s="53"/>
    </row>
    <row r="37" spans="6:20" customFormat="1" ht="19">
      <c r="F37" s="53"/>
      <c r="G37" s="6"/>
      <c r="H37" s="6"/>
      <c r="I37" s="6"/>
      <c r="J37" s="173"/>
      <c r="N37" s="56"/>
      <c r="Q37" s="53"/>
      <c r="R37" s="53"/>
      <c r="S37" s="53"/>
    </row>
    <row r="38" spans="6:20" customFormat="1" ht="19">
      <c r="F38" s="53"/>
      <c r="G38" s="6"/>
      <c r="H38" s="6"/>
      <c r="I38" s="6"/>
      <c r="J38" s="173"/>
      <c r="N38" s="56"/>
      <c r="Q38" s="53"/>
      <c r="R38" s="53"/>
      <c r="S38" s="53"/>
    </row>
    <row r="39" spans="6:20" customFormat="1" ht="19">
      <c r="F39" s="175"/>
      <c r="G39" s="6"/>
      <c r="H39" s="6"/>
      <c r="I39" s="6"/>
      <c r="J39" s="68"/>
      <c r="N39" s="56"/>
      <c r="Q39" s="175"/>
      <c r="R39" s="175"/>
      <c r="S39" s="175"/>
      <c r="T39" s="176"/>
    </row>
    <row r="40" spans="6:20" customFormat="1" ht="19">
      <c r="F40" s="175"/>
      <c r="G40" s="6"/>
      <c r="H40" s="6"/>
      <c r="I40" s="6"/>
      <c r="J40" s="67"/>
      <c r="N40" s="56"/>
      <c r="Q40" s="175"/>
      <c r="R40" s="175"/>
      <c r="S40" s="175"/>
      <c r="T40" s="176"/>
    </row>
  </sheetData>
  <mergeCells count="16">
    <mergeCell ref="A1:A3"/>
    <mergeCell ref="B1:B3"/>
    <mergeCell ref="C1:C3"/>
    <mergeCell ref="D1:D3"/>
    <mergeCell ref="P1:P3"/>
    <mergeCell ref="O1:O3"/>
    <mergeCell ref="N1:N3"/>
    <mergeCell ref="M1:M3"/>
    <mergeCell ref="E1:E3"/>
    <mergeCell ref="I1:I3"/>
    <mergeCell ref="G1:G3"/>
    <mergeCell ref="L1:L3"/>
    <mergeCell ref="K1:K3"/>
    <mergeCell ref="J1:J3"/>
    <mergeCell ref="H1:H3"/>
    <mergeCell ref="F1:F3"/>
  </mergeCells>
  <conditionalFormatting sqref="B1:B3">
    <cfRule type="duplicateValues" dxfId="87" priority="1"/>
  </conditionalFormatting>
  <conditionalFormatting sqref="B4:B10">
    <cfRule type="duplicateValues" dxfId="86" priority="1327759"/>
    <cfRule type="duplicateValues" dxfId="85" priority="1327757"/>
    <cfRule type="duplicateValues" dxfId="84" priority="1327758"/>
  </conditionalFormatting>
  <conditionalFormatting sqref="B14:B40">
    <cfRule type="duplicateValues" dxfId="83" priority="1327643"/>
    <cfRule type="duplicateValues" dxfId="82" priority="1327644"/>
    <cfRule type="duplicateValues" dxfId="81" priority="1327649"/>
    <cfRule type="duplicateValues" dxfId="80" priority="1327642"/>
    <cfRule type="duplicateValues" dxfId="79" priority="1327648"/>
  </conditionalFormatting>
  <conditionalFormatting sqref="B30">
    <cfRule type="duplicateValues" dxfId="78" priority="14"/>
  </conditionalFormatting>
  <conditionalFormatting sqref="B30:B40">
    <cfRule type="duplicateValues" dxfId="77" priority="17"/>
    <cfRule type="duplicateValues" dxfId="76" priority="20"/>
    <cfRule type="duplicateValues" dxfId="75" priority="21"/>
    <cfRule type="duplicateValues" dxfId="74" priority="22"/>
    <cfRule type="duplicateValues" dxfId="73" priority="23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3"/>
    <cfRule type="duplicateValues" dxfId="60" priority="5"/>
    <cfRule type="duplicateValues" dxfId="59" priority="4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activeCell="G28" sqref="G28"/>
    </sheetView>
  </sheetViews>
  <sheetFormatPr baseColWidth="10" defaultRowHeight="13"/>
  <cols>
    <col min="2" max="2" width="19.5" bestFit="1" customWidth="1"/>
  </cols>
  <sheetData>
    <row r="1" spans="1:19" ht="14">
      <c r="A1" s="360" t="s">
        <v>27</v>
      </c>
      <c r="B1" s="362" t="s">
        <v>28</v>
      </c>
      <c r="C1" s="364" t="s">
        <v>51</v>
      </c>
      <c r="D1" s="365" t="s">
        <v>177</v>
      </c>
      <c r="E1" s="182" t="s">
        <v>218</v>
      </c>
      <c r="F1" s="182" t="s">
        <v>219</v>
      </c>
      <c r="G1" s="183" t="s">
        <v>220</v>
      </c>
      <c r="H1" s="183" t="s">
        <v>221</v>
      </c>
      <c r="I1" s="183" t="s">
        <v>222</v>
      </c>
      <c r="J1" s="184" t="s">
        <v>223</v>
      </c>
      <c r="K1" s="182" t="s">
        <v>224</v>
      </c>
      <c r="L1" s="182" t="s">
        <v>225</v>
      </c>
      <c r="M1" s="182" t="s">
        <v>226</v>
      </c>
      <c r="N1" s="182" t="s">
        <v>227</v>
      </c>
      <c r="O1" s="182" t="s">
        <v>228</v>
      </c>
      <c r="P1" s="182" t="s">
        <v>229</v>
      </c>
      <c r="Q1" s="358" t="s">
        <v>48</v>
      </c>
      <c r="R1" s="358" t="s">
        <v>25</v>
      </c>
      <c r="S1" s="358" t="s">
        <v>26</v>
      </c>
    </row>
    <row r="2" spans="1:19">
      <c r="A2" s="361"/>
      <c r="B2" s="363"/>
      <c r="C2" s="364"/>
      <c r="D2" s="366"/>
      <c r="E2" s="179">
        <v>1.5</v>
      </c>
      <c r="F2" s="179">
        <v>2.15</v>
      </c>
      <c r="G2" s="179">
        <v>2</v>
      </c>
      <c r="H2" s="179">
        <v>2.8</v>
      </c>
      <c r="I2" s="179">
        <v>3</v>
      </c>
      <c r="J2" s="179">
        <v>4.0999999999999996</v>
      </c>
      <c r="K2" s="179">
        <v>1.5</v>
      </c>
      <c r="L2" s="179">
        <v>2.15</v>
      </c>
      <c r="M2" s="179">
        <v>2</v>
      </c>
      <c r="N2" s="179">
        <v>2.8</v>
      </c>
      <c r="O2" s="179">
        <v>3</v>
      </c>
      <c r="P2" s="179">
        <v>4.0999999999999996</v>
      </c>
      <c r="Q2" s="359"/>
      <c r="R2" s="359"/>
      <c r="S2" s="359"/>
    </row>
    <row r="3" spans="1:19" ht="14">
      <c r="A3" s="185" t="s">
        <v>174</v>
      </c>
      <c r="B3" s="112" t="s">
        <v>182</v>
      </c>
      <c r="C3" s="186">
        <v>43466</v>
      </c>
      <c r="D3" s="187">
        <f>VLOOKUP(A3,'Template Payroll'!$B$6:$J$16,9,0)</f>
        <v>47000000</v>
      </c>
      <c r="E3" s="188">
        <v>0</v>
      </c>
      <c r="F3" s="189">
        <v>0</v>
      </c>
      <c r="G3" s="189">
        <v>0</v>
      </c>
      <c r="H3" s="189">
        <v>0</v>
      </c>
      <c r="I3" s="189"/>
      <c r="J3" s="189"/>
      <c r="K3" s="190">
        <f>ROUND(D3/26/8*$K$2*E3,0)</f>
        <v>0</v>
      </c>
      <c r="L3" s="190">
        <f>ROUND(D3/26/8*$L$2*F3,0)</f>
        <v>0</v>
      </c>
      <c r="M3" s="190">
        <f>ROUND(D3/26/8*$M$2*G3,0)</f>
        <v>0</v>
      </c>
      <c r="N3" s="190">
        <f>ROUND(D3/26/8*$N$2*H3,0)</f>
        <v>0</v>
      </c>
      <c r="O3" s="190">
        <f>ROUND(D3/26/8*$O$2*I3,0)</f>
        <v>0</v>
      </c>
      <c r="P3" s="190">
        <f>ROUND(D3/26/8*$P$2*J3,0)</f>
        <v>0</v>
      </c>
      <c r="Q3" s="191">
        <f>ROUND(SUM(K3:P3),0)</f>
        <v>0</v>
      </c>
      <c r="R3" s="192">
        <f>ROUND(SUM(E3:J3)*D3/26/8,0)</f>
        <v>0</v>
      </c>
      <c r="S3" s="193">
        <f>ROUND(Q3-R3,0)</f>
        <v>0</v>
      </c>
    </row>
    <row r="4" spans="1:19" ht="14">
      <c r="A4" s="180" t="s">
        <v>175</v>
      </c>
      <c r="B4" s="85" t="s">
        <v>183</v>
      </c>
      <c r="C4" s="181">
        <v>43831</v>
      </c>
      <c r="D4" s="177">
        <f>VLOOKUP(A4,'Template Payroll'!$B$6:$J$16,9,0)</f>
        <v>31000000</v>
      </c>
      <c r="E4" s="178">
        <v>0</v>
      </c>
      <c r="F4" s="178">
        <v>6</v>
      </c>
      <c r="G4" s="178">
        <v>0</v>
      </c>
      <c r="H4" s="178">
        <v>0</v>
      </c>
      <c r="I4" s="178">
        <v>6</v>
      </c>
      <c r="J4" s="178">
        <v>2</v>
      </c>
      <c r="K4" s="310">
        <f t="shared" ref="K4:K10" si="0">ROUND(D4/26/8*$K$2*E4,0)</f>
        <v>0</v>
      </c>
      <c r="L4" s="310">
        <f t="shared" ref="L4:L10" si="1">ROUND(D4/26/8*$L$2*F4,0)</f>
        <v>1922596</v>
      </c>
      <c r="M4" s="310">
        <f t="shared" ref="M4:M10" si="2">ROUND(D4/26/8*$M$2*G4,0)</f>
        <v>0</v>
      </c>
      <c r="N4" s="310">
        <f t="shared" ref="N4:N10" si="3">ROUND(D4/26/8*$N$2*H4,0)</f>
        <v>0</v>
      </c>
      <c r="O4" s="310">
        <f t="shared" ref="O4:O10" si="4">ROUND(D4/26/8*$O$2*I4,0)</f>
        <v>2682692</v>
      </c>
      <c r="P4" s="310">
        <f t="shared" ref="P4:P10" si="5">ROUND(D4/26/8*$P$2*J4,0)</f>
        <v>1222115</v>
      </c>
      <c r="Q4" s="318">
        <f t="shared" ref="Q4:Q10" si="6">ROUND(SUM(K4:P4),0)</f>
        <v>5827403</v>
      </c>
      <c r="R4" s="319">
        <f t="shared" ref="R4:R10" si="7">ROUND(SUM(E4:J4)*D4/26/8,0)</f>
        <v>2086538</v>
      </c>
      <c r="S4" s="320">
        <f t="shared" ref="S4:S10" si="8">ROUND(Q4-R4,0)</f>
        <v>3740865</v>
      </c>
    </row>
    <row r="5" spans="1:19" ht="14">
      <c r="A5" s="180" t="s">
        <v>158</v>
      </c>
      <c r="B5" s="85" t="s">
        <v>184</v>
      </c>
      <c r="C5" s="181">
        <v>44197</v>
      </c>
      <c r="D5" s="177">
        <f>VLOOKUP(A5,'Template Payroll'!$B$6:$J$16,9,0)</f>
        <v>10448000</v>
      </c>
      <c r="E5" s="178">
        <v>0.5</v>
      </c>
      <c r="F5" s="178">
        <v>2.5</v>
      </c>
      <c r="G5" s="178">
        <v>0</v>
      </c>
      <c r="H5" s="178">
        <v>0</v>
      </c>
      <c r="I5" s="178">
        <v>0</v>
      </c>
      <c r="J5" s="178">
        <v>0</v>
      </c>
      <c r="K5" s="310">
        <f t="shared" si="0"/>
        <v>37673</v>
      </c>
      <c r="L5" s="310">
        <f t="shared" si="1"/>
        <v>269990</v>
      </c>
      <c r="M5" s="310">
        <f t="shared" si="2"/>
        <v>0</v>
      </c>
      <c r="N5" s="310">
        <f t="shared" si="3"/>
        <v>0</v>
      </c>
      <c r="O5" s="310">
        <f t="shared" si="4"/>
        <v>0</v>
      </c>
      <c r="P5" s="310">
        <f t="shared" si="5"/>
        <v>0</v>
      </c>
      <c r="Q5" s="318">
        <f t="shared" si="6"/>
        <v>307663</v>
      </c>
      <c r="R5" s="319">
        <f t="shared" si="7"/>
        <v>150692</v>
      </c>
      <c r="S5" s="320">
        <f t="shared" si="8"/>
        <v>156971</v>
      </c>
    </row>
    <row r="6" spans="1:19" ht="14">
      <c r="A6" s="180" t="s">
        <v>159</v>
      </c>
      <c r="B6" s="85" t="s">
        <v>185</v>
      </c>
      <c r="C6" s="181">
        <v>44562</v>
      </c>
      <c r="D6" s="177">
        <f>VLOOKUP(A6,'Template Payroll'!$B$6:$J$16,9,0)</f>
        <v>8000000</v>
      </c>
      <c r="E6" s="178">
        <v>0</v>
      </c>
      <c r="F6" s="178">
        <v>0</v>
      </c>
      <c r="G6" s="178">
        <v>0</v>
      </c>
      <c r="H6" s="178">
        <v>0</v>
      </c>
      <c r="I6" s="178">
        <v>7</v>
      </c>
      <c r="J6" s="178">
        <v>1</v>
      </c>
      <c r="K6" s="310">
        <f t="shared" si="0"/>
        <v>0</v>
      </c>
      <c r="L6" s="310">
        <f t="shared" si="1"/>
        <v>0</v>
      </c>
      <c r="M6" s="310">
        <f t="shared" si="2"/>
        <v>0</v>
      </c>
      <c r="N6" s="310">
        <f t="shared" si="3"/>
        <v>0</v>
      </c>
      <c r="O6" s="310">
        <f t="shared" si="4"/>
        <v>807692</v>
      </c>
      <c r="P6" s="310">
        <f t="shared" si="5"/>
        <v>157692</v>
      </c>
      <c r="Q6" s="318">
        <f t="shared" si="6"/>
        <v>965384</v>
      </c>
      <c r="R6" s="319">
        <f t="shared" si="7"/>
        <v>307692</v>
      </c>
      <c r="S6" s="320">
        <f t="shared" si="8"/>
        <v>657692</v>
      </c>
    </row>
    <row r="7" spans="1:19" ht="14">
      <c r="A7" s="180" t="s">
        <v>160</v>
      </c>
      <c r="B7" s="85" t="s">
        <v>186</v>
      </c>
      <c r="C7" s="181">
        <v>45740</v>
      </c>
      <c r="D7" s="177">
        <f>VLOOKUP(A7,'Template Payroll'!$B$6:$J$16,9,0)</f>
        <v>8500000</v>
      </c>
      <c r="E7" s="178">
        <v>0</v>
      </c>
      <c r="F7" s="178">
        <v>0</v>
      </c>
      <c r="G7" s="178">
        <v>0</v>
      </c>
      <c r="H7" s="178">
        <v>0</v>
      </c>
      <c r="I7" s="178">
        <v>8</v>
      </c>
      <c r="J7" s="178">
        <v>0</v>
      </c>
      <c r="K7" s="310">
        <f t="shared" si="0"/>
        <v>0</v>
      </c>
      <c r="L7" s="310">
        <f t="shared" si="1"/>
        <v>0</v>
      </c>
      <c r="M7" s="310">
        <f t="shared" si="2"/>
        <v>0</v>
      </c>
      <c r="N7" s="310">
        <f t="shared" si="3"/>
        <v>0</v>
      </c>
      <c r="O7" s="310">
        <f t="shared" si="4"/>
        <v>980769</v>
      </c>
      <c r="P7" s="310">
        <f t="shared" si="5"/>
        <v>0</v>
      </c>
      <c r="Q7" s="318">
        <f t="shared" si="6"/>
        <v>980769</v>
      </c>
      <c r="R7" s="319">
        <f t="shared" si="7"/>
        <v>326923</v>
      </c>
      <c r="S7" s="320">
        <f t="shared" si="8"/>
        <v>653846</v>
      </c>
    </row>
    <row r="8" spans="1:19" ht="14">
      <c r="A8" s="180" t="s">
        <v>161</v>
      </c>
      <c r="B8" s="85" t="s">
        <v>187</v>
      </c>
      <c r="C8" s="181">
        <v>44927</v>
      </c>
      <c r="D8" s="177">
        <f>VLOOKUP(A8,'Template Payroll'!$B$6:$J$16,9,0)</f>
        <v>7056000</v>
      </c>
      <c r="E8" s="178">
        <v>1</v>
      </c>
      <c r="F8" s="178">
        <v>9</v>
      </c>
      <c r="G8" s="178">
        <v>0</v>
      </c>
      <c r="H8" s="178">
        <v>0</v>
      </c>
      <c r="I8" s="178">
        <v>6</v>
      </c>
      <c r="J8" s="178">
        <v>2</v>
      </c>
      <c r="K8" s="310">
        <f t="shared" si="0"/>
        <v>50885</v>
      </c>
      <c r="L8" s="310">
        <f t="shared" si="1"/>
        <v>656412</v>
      </c>
      <c r="M8" s="310">
        <f t="shared" si="2"/>
        <v>0</v>
      </c>
      <c r="N8" s="310">
        <f t="shared" si="3"/>
        <v>0</v>
      </c>
      <c r="O8" s="310">
        <f t="shared" si="4"/>
        <v>610615</v>
      </c>
      <c r="P8" s="310">
        <f t="shared" si="5"/>
        <v>278169</v>
      </c>
      <c r="Q8" s="318">
        <f t="shared" si="6"/>
        <v>1596081</v>
      </c>
      <c r="R8" s="319">
        <f t="shared" si="7"/>
        <v>610615</v>
      </c>
      <c r="S8" s="320">
        <f t="shared" si="8"/>
        <v>985466</v>
      </c>
    </row>
    <row r="9" spans="1:19" ht="14">
      <c r="A9" s="180" t="s">
        <v>162</v>
      </c>
      <c r="B9" s="85" t="s">
        <v>188</v>
      </c>
      <c r="C9" s="181">
        <v>45292</v>
      </c>
      <c r="D9" s="177">
        <f>VLOOKUP(A9,'Template Payroll'!$B$6:$J$16,9,0)</f>
        <v>6841000</v>
      </c>
      <c r="E9" s="178">
        <v>0</v>
      </c>
      <c r="F9" s="178">
        <v>0</v>
      </c>
      <c r="G9" s="178">
        <v>0</v>
      </c>
      <c r="H9" s="178">
        <v>0</v>
      </c>
      <c r="I9" s="178">
        <v>0</v>
      </c>
      <c r="J9" s="178">
        <v>0</v>
      </c>
      <c r="K9" s="310">
        <f t="shared" si="0"/>
        <v>0</v>
      </c>
      <c r="L9" s="310">
        <f t="shared" si="1"/>
        <v>0</v>
      </c>
      <c r="M9" s="310">
        <f t="shared" si="2"/>
        <v>0</v>
      </c>
      <c r="N9" s="310">
        <f t="shared" si="3"/>
        <v>0</v>
      </c>
      <c r="O9" s="310">
        <f t="shared" si="4"/>
        <v>0</v>
      </c>
      <c r="P9" s="310">
        <f t="shared" si="5"/>
        <v>0</v>
      </c>
      <c r="Q9" s="318">
        <f t="shared" si="6"/>
        <v>0</v>
      </c>
      <c r="R9" s="319">
        <f t="shared" si="7"/>
        <v>0</v>
      </c>
      <c r="S9" s="320">
        <f t="shared" si="8"/>
        <v>0</v>
      </c>
    </row>
    <row r="10" spans="1:19" ht="14">
      <c r="A10" s="180" t="s">
        <v>176</v>
      </c>
      <c r="B10" s="85" t="s">
        <v>189</v>
      </c>
      <c r="C10" s="181">
        <v>45738</v>
      </c>
      <c r="D10" s="177">
        <f>VLOOKUP(A10,'Template Payroll'!$B$6:$J$16,9,0)</f>
        <v>11000000</v>
      </c>
      <c r="E10" s="178">
        <v>1</v>
      </c>
      <c r="F10" s="178">
        <v>9</v>
      </c>
      <c r="G10" s="178">
        <v>0</v>
      </c>
      <c r="H10" s="178">
        <v>0</v>
      </c>
      <c r="I10" s="178">
        <v>6</v>
      </c>
      <c r="J10" s="178">
        <v>2</v>
      </c>
      <c r="K10" s="310">
        <f t="shared" si="0"/>
        <v>79327</v>
      </c>
      <c r="L10" s="310">
        <f t="shared" si="1"/>
        <v>1023317</v>
      </c>
      <c r="M10" s="310">
        <f t="shared" si="2"/>
        <v>0</v>
      </c>
      <c r="N10" s="310">
        <f t="shared" si="3"/>
        <v>0</v>
      </c>
      <c r="O10" s="310">
        <f t="shared" si="4"/>
        <v>951923</v>
      </c>
      <c r="P10" s="310">
        <f t="shared" si="5"/>
        <v>433654</v>
      </c>
      <c r="Q10" s="318">
        <f t="shared" si="6"/>
        <v>2488221</v>
      </c>
      <c r="R10" s="319">
        <f t="shared" si="7"/>
        <v>951923</v>
      </c>
      <c r="S10" s="320">
        <f t="shared" si="8"/>
        <v>1536298</v>
      </c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7"/>
  </conditionalFormatting>
  <conditionalFormatting sqref="A4:A10">
    <cfRule type="duplicateValues" dxfId="57" priority="5"/>
  </conditionalFormatting>
  <dataValidations disablePrompts="1" count="1">
    <dataValidation allowBlank="1" showErrorMessage="1" sqref="A1 B4:B10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F50" sqref="F50"/>
    </sheetView>
  </sheetViews>
  <sheetFormatPr baseColWidth="10" defaultColWidth="9" defaultRowHeight="12"/>
  <cols>
    <col min="1" max="1" width="12.83203125" style="81" customWidth="1"/>
    <col min="2" max="2" width="19.1640625" style="81" customWidth="1"/>
    <col min="3" max="3" width="17.5" style="82" customWidth="1"/>
    <col min="4" max="4" width="17.5" style="81" customWidth="1"/>
    <col min="5" max="5" width="12.5" style="83" customWidth="1"/>
    <col min="6" max="6" width="17.33203125" style="83" customWidth="1"/>
    <col min="7" max="7" width="15.83203125" style="81" customWidth="1"/>
    <col min="8" max="8" width="15" style="81" customWidth="1"/>
    <col min="9" max="203" width="9" style="81"/>
    <col min="204" max="204" width="3.5" style="81" customWidth="1"/>
    <col min="205" max="205" width="19.1640625" style="81" customWidth="1"/>
    <col min="206" max="206" width="10.1640625" style="81" customWidth="1"/>
    <col min="207" max="207" width="10.6640625" style="81" customWidth="1"/>
    <col min="208" max="208" width="8.33203125" style="81" customWidth="1"/>
    <col min="209" max="209" width="8.6640625" style="81" customWidth="1"/>
    <col min="210" max="210" width="6.33203125" style="81" customWidth="1"/>
    <col min="211" max="211" width="7.1640625" style="81" customWidth="1"/>
    <col min="212" max="212" width="5.6640625" style="81" customWidth="1"/>
    <col min="213" max="213" width="5.83203125" style="81" customWidth="1"/>
    <col min="214" max="214" width="5.33203125" style="81" customWidth="1"/>
    <col min="215" max="215" width="6" style="81" customWidth="1"/>
    <col min="216" max="216" width="6.5" style="81" customWidth="1"/>
    <col min="217" max="217" width="6.1640625" style="81" customWidth="1"/>
    <col min="218" max="220" width="6.5" style="81" customWidth="1"/>
    <col min="221" max="221" width="7.1640625" style="81" customWidth="1"/>
    <col min="222" max="222" width="7.83203125" style="81" customWidth="1"/>
    <col min="223" max="223" width="5.5" style="81" customWidth="1"/>
    <col min="224" max="224" width="8.83203125" style="81" customWidth="1"/>
    <col min="225" max="225" width="12.5" style="81" customWidth="1"/>
    <col min="226" max="226" width="13.5" style="81" customWidth="1"/>
    <col min="227" max="228" width="7.5" style="81" customWidth="1"/>
    <col min="229" max="229" width="6" style="81" customWidth="1"/>
    <col min="230" max="230" width="8.5" style="81" customWidth="1"/>
    <col min="231" max="231" width="7.1640625" style="81" customWidth="1"/>
    <col min="232" max="16384" width="9" style="81"/>
  </cols>
  <sheetData>
    <row r="1" spans="1:9" s="76" customFormat="1" ht="54" customHeight="1">
      <c r="A1" s="194" t="s">
        <v>27</v>
      </c>
      <c r="B1" s="195" t="s">
        <v>28</v>
      </c>
      <c r="C1" s="196" t="s">
        <v>51</v>
      </c>
      <c r="D1" s="197" t="s">
        <v>117</v>
      </c>
      <c r="E1" s="198" t="s">
        <v>32</v>
      </c>
      <c r="F1" s="198" t="s">
        <v>178</v>
      </c>
      <c r="G1" s="198" t="s">
        <v>179</v>
      </c>
      <c r="H1" s="198" t="s">
        <v>180</v>
      </c>
    </row>
    <row r="2" spans="1:9" s="80" customFormat="1" ht="15.75" customHeight="1">
      <c r="A2" s="205" t="s">
        <v>174</v>
      </c>
      <c r="B2" s="312" t="s">
        <v>182</v>
      </c>
      <c r="C2" s="206">
        <v>43466</v>
      </c>
      <c r="D2" s="187">
        <f>IFERROR(VLOOKUP(A2,'Template Payroll'!$B$6:$J$13,9,0),0)</f>
        <v>47000000</v>
      </c>
      <c r="E2" s="207">
        <v>2</v>
      </c>
      <c r="F2" s="208">
        <f t="shared" ref="F2:F9" si="0">ROUND((D2/26/8)*30%*E2,0)</f>
        <v>135577</v>
      </c>
      <c r="G2" s="209">
        <f>F2-H2</f>
        <v>0</v>
      </c>
      <c r="H2" s="209">
        <f>F2</f>
        <v>135577</v>
      </c>
      <c r="I2" s="201"/>
    </row>
    <row r="3" spans="1:9" s="80" customFormat="1" ht="15.75" customHeight="1">
      <c r="A3" s="77" t="s">
        <v>175</v>
      </c>
      <c r="B3" s="313" t="s">
        <v>183</v>
      </c>
      <c r="C3" s="78">
        <v>43831</v>
      </c>
      <c r="D3" s="177">
        <f>IFERROR(VLOOKUP(A3,'Template Payroll'!$B$6:$J$13,9,0),0)</f>
        <v>31000000</v>
      </c>
      <c r="E3" s="199">
        <v>3</v>
      </c>
      <c r="F3" s="79">
        <f t="shared" si="0"/>
        <v>134135</v>
      </c>
      <c r="G3" s="200">
        <f t="shared" ref="G3:G9" si="1">F3-H3</f>
        <v>0</v>
      </c>
      <c r="H3" s="200">
        <f t="shared" ref="H3:H9" si="2">F3</f>
        <v>134135</v>
      </c>
      <c r="I3" s="201"/>
    </row>
    <row r="4" spans="1:9" s="80" customFormat="1" ht="15.75" customHeight="1">
      <c r="A4" s="77" t="s">
        <v>158</v>
      </c>
      <c r="B4" s="313" t="s">
        <v>184</v>
      </c>
      <c r="C4" s="78">
        <v>44197</v>
      </c>
      <c r="D4" s="177">
        <f>IFERROR(VLOOKUP(A4,'Template Payroll'!$B$6:$J$13,9,0),0)</f>
        <v>10448000</v>
      </c>
      <c r="E4" s="199">
        <v>4</v>
      </c>
      <c r="F4" s="79">
        <f t="shared" si="0"/>
        <v>60277</v>
      </c>
      <c r="G4" s="200">
        <f t="shared" si="1"/>
        <v>0</v>
      </c>
      <c r="H4" s="200">
        <f t="shared" si="2"/>
        <v>60277</v>
      </c>
      <c r="I4" s="201"/>
    </row>
    <row r="5" spans="1:9" s="80" customFormat="1" ht="15.75" customHeight="1">
      <c r="A5" s="77" t="s">
        <v>159</v>
      </c>
      <c r="B5" s="313" t="s">
        <v>185</v>
      </c>
      <c r="C5" s="78">
        <v>44562</v>
      </c>
      <c r="D5" s="177">
        <f>IFERROR(VLOOKUP(A5,'Template Payroll'!$B$6:$J$13,9,0),0)</f>
        <v>8000000</v>
      </c>
      <c r="E5" s="199">
        <v>1.5</v>
      </c>
      <c r="F5" s="79">
        <f t="shared" si="0"/>
        <v>17308</v>
      </c>
      <c r="G5" s="200">
        <f t="shared" si="1"/>
        <v>0</v>
      </c>
      <c r="H5" s="200">
        <f t="shared" si="2"/>
        <v>17308</v>
      </c>
      <c r="I5" s="201"/>
    </row>
    <row r="6" spans="1:9" ht="14">
      <c r="A6" s="77" t="s">
        <v>160</v>
      </c>
      <c r="B6" s="313" t="s">
        <v>186</v>
      </c>
      <c r="C6" s="78">
        <v>45740</v>
      </c>
      <c r="D6" s="177">
        <f>IFERROR(VLOOKUP(A6,'Template Payroll'!$B$6:$J$13,9,0),0)</f>
        <v>8500000</v>
      </c>
      <c r="E6" s="199">
        <v>0.5</v>
      </c>
      <c r="F6" s="79">
        <f t="shared" si="0"/>
        <v>6130</v>
      </c>
      <c r="G6" s="200">
        <f t="shared" si="1"/>
        <v>0</v>
      </c>
      <c r="H6" s="200">
        <f t="shared" si="2"/>
        <v>6130</v>
      </c>
      <c r="I6" s="202"/>
    </row>
    <row r="7" spans="1:9" ht="14">
      <c r="A7" s="77" t="s">
        <v>161</v>
      </c>
      <c r="B7" s="313" t="s">
        <v>187</v>
      </c>
      <c r="C7" s="78">
        <v>44927</v>
      </c>
      <c r="D7" s="177">
        <f>IFERROR(VLOOKUP(A7,'Template Payroll'!$B$6:$J$13,9,0),0)</f>
        <v>7056000</v>
      </c>
      <c r="E7" s="199">
        <v>1</v>
      </c>
      <c r="F7" s="79">
        <f t="shared" si="0"/>
        <v>10177</v>
      </c>
      <c r="G7" s="200">
        <f t="shared" si="1"/>
        <v>0</v>
      </c>
      <c r="H7" s="200">
        <f t="shared" si="2"/>
        <v>10177</v>
      </c>
      <c r="I7" s="202"/>
    </row>
    <row r="8" spans="1:9" ht="14">
      <c r="A8" s="77" t="s">
        <v>162</v>
      </c>
      <c r="B8" s="313" t="s">
        <v>188</v>
      </c>
      <c r="C8" s="78">
        <v>45292</v>
      </c>
      <c r="D8" s="177">
        <f>IFERROR(VLOOKUP(A8,'Template Payroll'!$B$6:$J$13,9,0),0)</f>
        <v>6841000</v>
      </c>
      <c r="E8" s="199">
        <v>5</v>
      </c>
      <c r="F8" s="79">
        <f t="shared" si="0"/>
        <v>49334</v>
      </c>
      <c r="G8" s="200">
        <f t="shared" si="1"/>
        <v>0</v>
      </c>
      <c r="H8" s="200">
        <f t="shared" si="2"/>
        <v>49334</v>
      </c>
      <c r="I8" s="202"/>
    </row>
    <row r="9" spans="1:9" ht="14">
      <c r="A9" s="77" t="s">
        <v>176</v>
      </c>
      <c r="B9" s="313" t="s">
        <v>189</v>
      </c>
      <c r="C9" s="78">
        <v>45738</v>
      </c>
      <c r="D9" s="177">
        <f>IFERROR(VLOOKUP(A9,'Template Payroll'!$B$6:$J$13,9,0),0)</f>
        <v>11000000</v>
      </c>
      <c r="E9" s="199">
        <v>6</v>
      </c>
      <c r="F9" s="79">
        <f t="shared" si="0"/>
        <v>95192</v>
      </c>
      <c r="G9" s="200">
        <f t="shared" si="1"/>
        <v>0</v>
      </c>
      <c r="H9" s="200">
        <f t="shared" si="2"/>
        <v>95192</v>
      </c>
      <c r="I9" s="202"/>
    </row>
    <row r="10" spans="1:9">
      <c r="A10" s="202"/>
      <c r="B10" s="202"/>
      <c r="C10" s="203"/>
      <c r="D10" s="202"/>
      <c r="E10" s="204"/>
      <c r="F10" s="204"/>
      <c r="G10" s="202"/>
      <c r="H10" s="202"/>
      <c r="I10" s="202"/>
    </row>
    <row r="11" spans="1:9">
      <c r="A11" s="202"/>
      <c r="B11" s="202"/>
      <c r="C11" s="203"/>
      <c r="D11" s="202"/>
      <c r="E11" s="204"/>
      <c r="F11" s="204"/>
      <c r="G11" s="202"/>
      <c r="H11" s="202"/>
      <c r="I11" s="202"/>
    </row>
    <row r="12" spans="1:9">
      <c r="A12" s="202"/>
      <c r="B12" s="202"/>
      <c r="C12" s="203"/>
      <c r="D12" s="202"/>
      <c r="E12" s="204"/>
      <c r="F12" s="204"/>
      <c r="G12" s="202"/>
      <c r="H12" s="202"/>
      <c r="I12" s="202"/>
    </row>
    <row r="13" spans="1:9">
      <c r="A13" s="202"/>
      <c r="B13" s="202"/>
      <c r="C13" s="203"/>
      <c r="D13" s="202"/>
      <c r="E13" s="204"/>
      <c r="F13" s="204"/>
      <c r="G13" s="202"/>
      <c r="H13" s="202"/>
      <c r="I13" s="202"/>
    </row>
    <row r="14" spans="1:9">
      <c r="A14" s="202"/>
      <c r="B14" s="202"/>
      <c r="C14" s="203"/>
      <c r="D14" s="202"/>
      <c r="E14" s="204"/>
      <c r="F14" s="204"/>
      <c r="G14" s="202"/>
      <c r="H14" s="202"/>
      <c r="I14" s="202"/>
    </row>
    <row r="15" spans="1:9">
      <c r="A15" s="202"/>
      <c r="B15" s="202"/>
      <c r="C15" s="203"/>
      <c r="D15" s="202"/>
      <c r="E15" s="204"/>
      <c r="F15" s="204"/>
      <c r="G15" s="202"/>
      <c r="H15" s="202"/>
      <c r="I15" s="202"/>
    </row>
    <row r="16" spans="1:9">
      <c r="A16" s="202"/>
      <c r="B16" s="202"/>
      <c r="C16" s="203"/>
      <c r="D16" s="202"/>
      <c r="E16" s="204"/>
      <c r="F16" s="204"/>
      <c r="G16" s="202"/>
      <c r="H16" s="202"/>
      <c r="I16" s="202"/>
    </row>
    <row r="17" spans="1:9">
      <c r="A17" s="202"/>
      <c r="B17" s="202"/>
      <c r="C17" s="203"/>
      <c r="D17" s="202"/>
      <c r="E17" s="204"/>
      <c r="F17" s="204"/>
      <c r="G17" s="202"/>
      <c r="H17" s="202"/>
      <c r="I17" s="202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88942"/>
    <cfRule type="duplicateValues" dxfId="54" priority="1327759"/>
    <cfRule type="duplicateValues" dxfId="53" priority="1327760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disablePrompts="1"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4"/>
  <sheetViews>
    <sheetView zoomScale="90" zoomScaleNormal="90" workbookViewId="0">
      <selection activeCell="C35" sqref="C35"/>
    </sheetView>
  </sheetViews>
  <sheetFormatPr baseColWidth="10" defaultColWidth="9.1640625" defaultRowHeight="15"/>
  <cols>
    <col min="1" max="1" width="7.5" style="237" customWidth="1"/>
    <col min="2" max="2" width="13.5" style="237" customWidth="1"/>
    <col min="3" max="3" width="27.83203125" style="237" customWidth="1"/>
    <col min="4" max="4" width="21" style="237" customWidth="1"/>
    <col min="5" max="5" width="22.5" style="237" customWidth="1"/>
    <col min="6" max="6" width="15" style="237" customWidth="1"/>
    <col min="7" max="7" width="13.33203125" style="237" customWidth="1"/>
    <col min="8" max="8" width="16.5" style="237" customWidth="1"/>
    <col min="9" max="9" width="19.6640625" style="237" customWidth="1"/>
    <col min="10" max="10" width="10.5" style="237" customWidth="1"/>
    <col min="11" max="11" width="6.6640625" style="237" customWidth="1"/>
    <col min="12" max="12" width="11.33203125" style="237" bestFit="1" customWidth="1"/>
    <col min="13" max="14" width="12.5" style="237" customWidth="1"/>
    <col min="15" max="15" width="13" style="237" customWidth="1"/>
    <col min="16" max="16" width="12.83203125" style="237" customWidth="1"/>
    <col min="17" max="16384" width="9.1640625" style="237"/>
  </cols>
  <sheetData>
    <row r="1" spans="1:12" ht="8.25" customHeight="1">
      <c r="A1" s="367" t="s">
        <v>9</v>
      </c>
      <c r="B1" s="367" t="s">
        <v>27</v>
      </c>
      <c r="C1" s="367" t="s">
        <v>11</v>
      </c>
      <c r="D1" s="367" t="s">
        <v>168</v>
      </c>
      <c r="E1" s="367" t="s">
        <v>169</v>
      </c>
      <c r="F1" s="367" t="s">
        <v>97</v>
      </c>
    </row>
    <row r="2" spans="1:12">
      <c r="A2" s="367"/>
      <c r="B2" s="367"/>
      <c r="C2" s="367"/>
      <c r="D2" s="367"/>
      <c r="E2" s="367"/>
      <c r="F2" s="367"/>
    </row>
    <row r="3" spans="1:12" ht="8.25" customHeight="1">
      <c r="A3" s="367"/>
      <c r="B3" s="367"/>
      <c r="C3" s="367"/>
      <c r="D3" s="367"/>
      <c r="E3" s="367"/>
      <c r="F3" s="367"/>
    </row>
    <row r="4" spans="1:12" ht="18" customHeight="1">
      <c r="A4" s="269">
        <v>1</v>
      </c>
      <c r="B4" s="270" t="s">
        <v>158</v>
      </c>
      <c r="C4" s="112" t="s">
        <v>184</v>
      </c>
      <c r="D4" s="271">
        <v>2000000</v>
      </c>
      <c r="E4" s="272">
        <f>VLOOKUP($B4,'TimeTB 2'!$B$4:$P$11,14,0)</f>
        <v>25</v>
      </c>
      <c r="F4" s="271">
        <f>D4/26*E4</f>
        <v>1923076.923076923</v>
      </c>
    </row>
    <row r="5" spans="1:12" ht="16">
      <c r="A5" s="239"/>
      <c r="B5" s="239"/>
      <c r="C5" s="239"/>
      <c r="D5" s="262"/>
      <c r="E5" s="229"/>
      <c r="F5" s="240">
        <f>E5*D5</f>
        <v>0</v>
      </c>
    </row>
    <row r="6" spans="1:12" ht="26.25" customHeight="1">
      <c r="A6" s="263" t="s">
        <v>83</v>
      </c>
      <c r="B6" s="264"/>
      <c r="C6" s="264"/>
      <c r="D6" s="264"/>
    </row>
    <row r="7" spans="1:12" ht="34">
      <c r="A7" s="241" t="s">
        <v>9</v>
      </c>
      <c r="B7" s="242" t="s">
        <v>10</v>
      </c>
      <c r="C7" s="242" t="s">
        <v>11</v>
      </c>
      <c r="D7" s="243" t="s">
        <v>78</v>
      </c>
      <c r="E7" s="243" t="s">
        <v>73</v>
      </c>
      <c r="F7" s="244" t="s">
        <v>97</v>
      </c>
    </row>
    <row r="8" spans="1:12" ht="16">
      <c r="A8" s="242">
        <v>1</v>
      </c>
      <c r="B8" s="238" t="s">
        <v>159</v>
      </c>
      <c r="C8" s="85" t="s">
        <v>185</v>
      </c>
      <c r="D8" s="230">
        <v>500000</v>
      </c>
      <c r="E8" s="311">
        <f>VLOOKUP($B8,'TimeTB 2'!$B$4:$P$11,14,0)</f>
        <v>16</v>
      </c>
      <c r="F8" s="321">
        <f>D8/26*E8</f>
        <v>307692.30769230769</v>
      </c>
    </row>
    <row r="9" spans="1:12" ht="16">
      <c r="A9" s="242">
        <f t="shared" ref="A9" si="0">1+A8</f>
        <v>2</v>
      </c>
      <c r="B9" s="238" t="s">
        <v>160</v>
      </c>
      <c r="C9" s="85" t="s">
        <v>186</v>
      </c>
      <c r="D9" s="230">
        <v>500000</v>
      </c>
      <c r="E9" s="311">
        <f>VLOOKUP($B9,'TimeTB 2'!$B$4:$P$11,14,0)</f>
        <v>26</v>
      </c>
      <c r="F9" s="321">
        <f>D9/26*E9</f>
        <v>500000</v>
      </c>
    </row>
    <row r="10" spans="1:12" ht="9" customHeight="1"/>
    <row r="11" spans="1:12" ht="9" customHeight="1"/>
    <row r="12" spans="1:12" ht="36" customHeight="1">
      <c r="A12" s="265" t="s">
        <v>116</v>
      </c>
      <c r="B12" s="245"/>
      <c r="C12" s="245"/>
      <c r="D12" s="245"/>
      <c r="E12" s="245"/>
      <c r="F12" s="245"/>
    </row>
    <row r="13" spans="1:12" ht="21.75" customHeight="1">
      <c r="A13" s="246" t="s">
        <v>9</v>
      </c>
      <c r="B13" s="247" t="s">
        <v>68</v>
      </c>
      <c r="C13" s="248" t="s">
        <v>31</v>
      </c>
      <c r="D13" s="231" t="s">
        <v>76</v>
      </c>
      <c r="E13" s="249" t="s">
        <v>77</v>
      </c>
      <c r="F13" s="232" t="s">
        <v>97</v>
      </c>
    </row>
    <row r="14" spans="1:12" ht="16">
      <c r="A14" s="250"/>
      <c r="B14" s="174"/>
      <c r="C14" s="233"/>
      <c r="D14" s="234"/>
      <c r="E14" s="251"/>
      <c r="F14" s="235"/>
      <c r="H14" s="252"/>
      <c r="I14" s="253"/>
      <c r="L14" s="252"/>
    </row>
    <row r="15" spans="1:12" ht="16">
      <c r="A15" s="250"/>
      <c r="B15" s="174"/>
      <c r="C15" s="233"/>
      <c r="D15" s="234"/>
      <c r="E15" s="251"/>
      <c r="F15" s="235"/>
      <c r="H15" s="252"/>
      <c r="L15" s="252"/>
    </row>
    <row r="16" spans="1:12" ht="16">
      <c r="A16" s="250"/>
      <c r="B16" s="174"/>
      <c r="C16" s="233"/>
      <c r="D16" s="234"/>
      <c r="E16" s="254"/>
      <c r="F16" s="236"/>
      <c r="H16" s="252"/>
      <c r="L16" s="252"/>
    </row>
    <row r="17" spans="1:16" ht="16">
      <c r="A17" s="250"/>
      <c r="B17" s="174"/>
      <c r="C17" s="233"/>
      <c r="D17" s="234"/>
      <c r="E17" s="254"/>
      <c r="F17" s="236"/>
      <c r="H17" s="252"/>
      <c r="L17" s="252"/>
    </row>
    <row r="18" spans="1:16" ht="16">
      <c r="A18" s="250"/>
      <c r="B18" s="174"/>
      <c r="C18" s="233"/>
      <c r="D18" s="234"/>
      <c r="E18" s="254"/>
      <c r="F18" s="236"/>
      <c r="H18" s="252"/>
      <c r="L18" s="252"/>
    </row>
    <row r="19" spans="1:16" ht="16">
      <c r="A19" s="250"/>
      <c r="B19" s="266"/>
      <c r="C19" s="233"/>
      <c r="D19" s="234"/>
      <c r="E19" s="255"/>
      <c r="F19" s="236"/>
      <c r="H19" s="252"/>
      <c r="L19" s="252"/>
    </row>
    <row r="20" spans="1:16" ht="16">
      <c r="A20" s="250"/>
      <c r="B20" s="266"/>
      <c r="C20" s="233"/>
      <c r="D20" s="234"/>
      <c r="E20" s="255"/>
      <c r="F20" s="236"/>
      <c r="H20" s="252"/>
      <c r="L20" s="252"/>
    </row>
    <row r="21" spans="1:16" ht="16">
      <c r="A21" s="250"/>
      <c r="B21" s="266"/>
      <c r="C21" s="233"/>
      <c r="D21" s="234"/>
      <c r="E21" s="255"/>
      <c r="F21" s="236"/>
      <c r="H21" s="252"/>
      <c r="L21" s="252"/>
    </row>
    <row r="22" spans="1:16" ht="16">
      <c r="A22" s="250">
        <f>ROW()-85</f>
        <v>-63</v>
      </c>
      <c r="B22" s="266"/>
      <c r="C22" s="233" t="e">
        <f>VLOOKUP($B22,#REF!,3,0)</f>
        <v>#REF!</v>
      </c>
      <c r="D22" s="234">
        <f>IFERROR(VLOOKUP(B22,#REF!,81,0),0)</f>
        <v>0</v>
      </c>
      <c r="E22" s="255"/>
      <c r="F22" s="236">
        <f>ROUND((D22/26*E22),0)</f>
        <v>0</v>
      </c>
      <c r="G22" s="237" t="e">
        <f>VLOOKUP(B22,#REF!,74,0)</f>
        <v>#REF!</v>
      </c>
      <c r="H22" s="252" t="e">
        <f>G22-E22</f>
        <v>#REF!</v>
      </c>
      <c r="L22" s="252"/>
    </row>
    <row r="23" spans="1:16" ht="16">
      <c r="A23" s="250">
        <f>ROW()-85</f>
        <v>-62</v>
      </c>
      <c r="B23" s="174"/>
      <c r="C23" s="233" t="e">
        <f>VLOOKUP($B23,#REF!,3,0)</f>
        <v>#REF!</v>
      </c>
      <c r="D23" s="234">
        <f>IFERROR(VLOOKUP(B23,#REF!,81,0),0)</f>
        <v>0</v>
      </c>
      <c r="E23" s="256"/>
      <c r="F23" s="236">
        <f>ROUND((D23/26*E23),0)</f>
        <v>0</v>
      </c>
      <c r="G23" s="237" t="e">
        <f>VLOOKUP(B23,#REF!,74,0)</f>
        <v>#REF!</v>
      </c>
      <c r="H23" s="252" t="e">
        <f>G23-E23</f>
        <v>#REF!</v>
      </c>
      <c r="L23" s="252"/>
    </row>
    <row r="24" spans="1:16" ht="16">
      <c r="A24" s="250">
        <f>ROW()-85</f>
        <v>-61</v>
      </c>
      <c r="B24" s="174"/>
      <c r="C24" s="233" t="e">
        <f>VLOOKUP($B24,#REF!,3,0)</f>
        <v>#REF!</v>
      </c>
      <c r="D24" s="234">
        <f>IFERROR(VLOOKUP(B24,#REF!,81,0),0)</f>
        <v>0</v>
      </c>
      <c r="E24" s="254"/>
      <c r="F24" s="236">
        <f>ROUND((D24/26*E24),0)</f>
        <v>0</v>
      </c>
      <c r="G24" s="237" t="e">
        <f>VLOOKUP(B24,#REF!,74,0)</f>
        <v>#REF!</v>
      </c>
      <c r="H24" s="252" t="e">
        <f>G24-E24</f>
        <v>#REF!</v>
      </c>
      <c r="L24" s="252"/>
    </row>
    <row r="25" spans="1:16" ht="16">
      <c r="A25" s="250">
        <f>ROW()-85</f>
        <v>-60</v>
      </c>
      <c r="B25" s="174"/>
      <c r="C25" s="233" t="e">
        <f>VLOOKUP($B25,#REF!,3,0)</f>
        <v>#REF!</v>
      </c>
      <c r="D25" s="234">
        <f>IFERROR(VLOOKUP(B25,#REF!,81,0),0)</f>
        <v>0</v>
      </c>
      <c r="E25" s="254"/>
      <c r="F25" s="236">
        <f>ROUND((D25/26*E25),0)</f>
        <v>0</v>
      </c>
      <c r="G25" s="237" t="e">
        <f>VLOOKUP(B25,#REF!,74,0)</f>
        <v>#REF!</v>
      </c>
      <c r="H25" s="252" t="e">
        <f>G25-E25</f>
        <v>#REF!</v>
      </c>
    </row>
    <row r="26" spans="1:16" ht="16">
      <c r="A26" s="250">
        <f>ROW()-85</f>
        <v>-59</v>
      </c>
      <c r="B26" s="174"/>
      <c r="C26" s="233"/>
      <c r="D26" s="234"/>
      <c r="E26" s="256"/>
      <c r="F26" s="236"/>
    </row>
    <row r="27" spans="1:16" ht="24.75" customHeight="1">
      <c r="A27" s="257"/>
      <c r="B27" s="258"/>
      <c r="C27" s="257" t="s">
        <v>53</v>
      </c>
      <c r="D27" s="259"/>
      <c r="E27" s="267">
        <f>SUM(E14:E26)</f>
        <v>0</v>
      </c>
      <c r="F27" s="268">
        <f>SUM(F14:F26)</f>
        <v>0</v>
      </c>
    </row>
    <row r="30" spans="1:16" ht="21.75" customHeight="1"/>
    <row r="31" spans="1:16" ht="19.5" customHeight="1">
      <c r="G31" s="260"/>
      <c r="H31" s="260"/>
      <c r="I31" s="260"/>
      <c r="J31" s="260"/>
      <c r="K31" s="260"/>
      <c r="L31" s="260"/>
      <c r="M31" s="260"/>
      <c r="N31" s="260"/>
      <c r="O31" s="260"/>
      <c r="P31" s="260"/>
    </row>
    <row r="32" spans="1:16" ht="19">
      <c r="G32" s="260"/>
      <c r="H32" s="260"/>
      <c r="I32" s="260"/>
      <c r="J32" s="260"/>
      <c r="K32" s="260"/>
      <c r="L32" s="261"/>
      <c r="M32" s="261"/>
      <c r="N32" s="261"/>
      <c r="O32" s="261"/>
      <c r="P32" s="261"/>
    </row>
    <row r="33" spans="7:16" ht="19">
      <c r="G33" s="260"/>
      <c r="H33" s="260"/>
      <c r="I33" s="260"/>
      <c r="J33" s="260"/>
      <c r="K33" s="260"/>
      <c r="L33" s="261"/>
      <c r="M33" s="261"/>
      <c r="N33" s="261"/>
      <c r="O33" s="261"/>
      <c r="P33" s="261"/>
    </row>
    <row r="34" spans="7:16" ht="19">
      <c r="G34" s="260"/>
      <c r="H34" s="260"/>
      <c r="I34" s="260"/>
      <c r="J34" s="260"/>
      <c r="K34" s="260"/>
      <c r="L34" s="261"/>
      <c r="M34" s="261"/>
      <c r="N34" s="261"/>
      <c r="O34" s="261"/>
      <c r="P34" s="261"/>
    </row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dataValidations count="1">
    <dataValidation allowBlank="1" showErrorMessage="1" sqref="C8:C9 C4" xr:uid="{7815C19B-298F-014B-809E-E5097866C5C1}"/>
  </dataValidations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H45" sqref="H45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20" customWidth="1"/>
    <col min="4" max="4" width="10.1640625" style="19" customWidth="1"/>
    <col min="5" max="5" width="10.1640625" style="5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7" customFormat="1" ht="21.75" hidden="1" customHeight="1">
      <c r="B1" s="9">
        <v>42004</v>
      </c>
      <c r="C1" s="10">
        <v>41974</v>
      </c>
      <c r="D1" s="8"/>
      <c r="E1" s="11"/>
      <c r="F1" s="11" t="s">
        <v>1</v>
      </c>
      <c r="G1" s="24">
        <f>SUBTOTAL(9,G4:G5)</f>
        <v>4600000</v>
      </c>
      <c r="H1" s="24">
        <f>SUBTOTAL(9,H4:H5)</f>
        <v>0</v>
      </c>
      <c r="I1" s="25">
        <f>SUBTOTAL(9,I4:I5)</f>
        <v>4000000</v>
      </c>
      <c r="J1" s="24">
        <f>SUBTOTAL(9,J4:J5)</f>
        <v>600000</v>
      </c>
    </row>
    <row r="2" spans="1:13" s="13" customFormat="1" ht="20.25" hidden="1" customHeight="1">
      <c r="A2" s="12"/>
      <c r="C2" s="14">
        <v>44561</v>
      </c>
      <c r="D2" s="15"/>
      <c r="E2" s="16">
        <v>42339</v>
      </c>
      <c r="F2" s="17">
        <v>364</v>
      </c>
      <c r="G2" s="26">
        <f>SUBTOTAL(9,G4:G7)</f>
        <v>10210000</v>
      </c>
      <c r="H2" s="26">
        <f>SUBTOTAL(9,H4:H7)</f>
        <v>5610000</v>
      </c>
      <c r="I2" s="26">
        <f>SUBTOTAL(9,I4:I7)</f>
        <v>4000000</v>
      </c>
      <c r="J2" s="26">
        <f>SUBTOTAL(9,J4:J7)</f>
        <v>600000</v>
      </c>
    </row>
    <row r="3" spans="1:13" s="286" customFormat="1" ht="27.75" customHeight="1">
      <c r="A3" s="194" t="s">
        <v>27</v>
      </c>
      <c r="B3" s="282" t="s">
        <v>11</v>
      </c>
      <c r="C3" s="283" t="s">
        <v>46</v>
      </c>
      <c r="D3" s="284" t="s">
        <v>49</v>
      </c>
      <c r="E3" s="285" t="s">
        <v>12</v>
      </c>
      <c r="F3" s="285" t="s">
        <v>13</v>
      </c>
      <c r="G3" s="300" t="s">
        <v>52</v>
      </c>
      <c r="H3" s="224" t="s">
        <v>72</v>
      </c>
      <c r="I3" s="224" t="s">
        <v>55</v>
      </c>
      <c r="J3" s="224" t="s">
        <v>54</v>
      </c>
      <c r="K3" s="218"/>
      <c r="L3" s="218"/>
      <c r="M3" s="218"/>
    </row>
    <row r="4" spans="1:13" s="18" customFormat="1" ht="15.75" customHeight="1">
      <c r="A4" s="225" t="s">
        <v>161</v>
      </c>
      <c r="B4" s="112" t="s">
        <v>187</v>
      </c>
      <c r="C4" s="227"/>
      <c r="D4" s="227"/>
      <c r="E4" s="226"/>
      <c r="F4" s="226" t="s">
        <v>59</v>
      </c>
      <c r="G4" s="228">
        <f t="shared" ref="G4:G6" si="0">ROUND(SUM($H4:$J4),0)</f>
        <v>2000000</v>
      </c>
      <c r="H4" s="228">
        <v>0</v>
      </c>
      <c r="I4" s="228">
        <v>2000000</v>
      </c>
      <c r="J4" s="228">
        <v>0</v>
      </c>
      <c r="K4" s="222" t="e">
        <f>VLOOKUP(A4,#REF!,36,0)</f>
        <v>#REF!</v>
      </c>
      <c r="L4" s="223" t="e">
        <f>K4=G4</f>
        <v>#REF!</v>
      </c>
      <c r="M4" s="222"/>
    </row>
    <row r="5" spans="1:13" s="18" customFormat="1" ht="15.75" customHeight="1">
      <c r="A5" s="210" t="s">
        <v>162</v>
      </c>
      <c r="B5" s="85" t="s">
        <v>188</v>
      </c>
      <c r="C5" s="212"/>
      <c r="D5" s="212"/>
      <c r="E5" s="211"/>
      <c r="F5" s="211" t="s">
        <v>59</v>
      </c>
      <c r="G5" s="213">
        <f t="shared" si="0"/>
        <v>2600000</v>
      </c>
      <c r="H5" s="213">
        <v>0</v>
      </c>
      <c r="I5" s="213">
        <v>2000000</v>
      </c>
      <c r="J5" s="213">
        <v>600000</v>
      </c>
      <c r="K5" s="222" t="e">
        <f>VLOOKUP(A5,#REF!,36,0)</f>
        <v>#REF!</v>
      </c>
      <c r="L5" s="223" t="e">
        <f t="shared" ref="L5:L6" si="1">K5=G5</f>
        <v>#REF!</v>
      </c>
      <c r="M5" s="222"/>
    </row>
    <row r="6" spans="1:13" s="18" customFormat="1" ht="15.75" customHeight="1">
      <c r="A6" s="214" t="s">
        <v>176</v>
      </c>
      <c r="B6" s="85" t="s">
        <v>189</v>
      </c>
      <c r="C6" s="215"/>
      <c r="D6" s="215"/>
      <c r="E6" s="216"/>
      <c r="F6" s="216" t="s">
        <v>50</v>
      </c>
      <c r="G6" s="213">
        <f t="shared" si="0"/>
        <v>5610000</v>
      </c>
      <c r="H6" s="213">
        <v>5610000</v>
      </c>
      <c r="I6" s="217"/>
      <c r="J6" s="217"/>
      <c r="K6" s="222" t="e">
        <f>VLOOKUP(A6,#REF!,36,0)</f>
        <v>#REF!</v>
      </c>
      <c r="L6" s="223" t="e">
        <f t="shared" si="1"/>
        <v>#REF!</v>
      </c>
      <c r="M6" s="222"/>
    </row>
    <row r="7" spans="1:13" s="18" customFormat="1" ht="15.75" customHeight="1">
      <c r="A7" s="214"/>
      <c r="B7" s="211"/>
      <c r="C7" s="215"/>
      <c r="D7" s="215"/>
      <c r="E7" s="216"/>
      <c r="F7" s="216"/>
      <c r="G7" s="213"/>
      <c r="H7" s="213"/>
      <c r="I7" s="217"/>
      <c r="J7" s="217"/>
      <c r="K7" s="222"/>
      <c r="L7" s="223"/>
      <c r="M7" s="222"/>
    </row>
    <row r="8" spans="1:13" ht="15" customHeight="1">
      <c r="A8" s="218"/>
      <c r="B8" s="218"/>
      <c r="C8" s="219"/>
      <c r="D8" s="220"/>
      <c r="E8" s="218"/>
      <c r="F8" s="218"/>
      <c r="G8" s="218"/>
      <c r="H8" s="218"/>
      <c r="I8" s="218"/>
      <c r="J8" s="218"/>
      <c r="K8" s="218"/>
      <c r="L8" s="218"/>
      <c r="M8" s="218"/>
    </row>
    <row r="9" spans="1:13">
      <c r="A9" s="218"/>
      <c r="B9" s="218"/>
      <c r="C9" s="221"/>
      <c r="D9" s="220"/>
      <c r="E9" s="218"/>
      <c r="F9" s="218"/>
      <c r="G9" s="218"/>
      <c r="H9" s="218"/>
      <c r="I9" s="218"/>
      <c r="J9" s="218"/>
    </row>
    <row r="10" spans="1:13">
      <c r="A10" s="218"/>
      <c r="B10" s="218"/>
      <c r="C10" s="221"/>
      <c r="D10" s="220"/>
      <c r="E10" s="218"/>
      <c r="F10" s="218"/>
      <c r="G10" s="218"/>
      <c r="H10" s="218"/>
      <c r="I10" s="218"/>
      <c r="J10" s="218"/>
    </row>
    <row r="11" spans="1:13">
      <c r="A11" s="218"/>
      <c r="B11" s="218"/>
      <c r="C11" s="221"/>
      <c r="D11" s="220"/>
      <c r="E11" s="218"/>
      <c r="F11" s="218"/>
      <c r="G11" s="218"/>
      <c r="H11" s="218"/>
      <c r="I11" s="218"/>
      <c r="J11" s="218"/>
    </row>
    <row r="12" spans="1:13">
      <c r="A12" s="218"/>
      <c r="B12" s="218"/>
      <c r="C12" s="221"/>
      <c r="D12" s="220"/>
      <c r="E12" s="218"/>
      <c r="F12" s="218"/>
      <c r="G12" s="218"/>
      <c r="H12" s="218"/>
      <c r="I12" s="218"/>
      <c r="J12" s="218"/>
    </row>
  </sheetData>
  <sheetProtection selectLockedCells="1" selectUnlockedCells="1"/>
  <autoFilter ref="A3:J7" xr:uid="{00000000-0009-0000-0000-000007000000}"/>
  <phoneticPr fontId="283" type="noConversion"/>
  <conditionalFormatting sqref="A1:A1048576">
    <cfRule type="duplicateValues" dxfId="48" priority="1"/>
    <cfRule type="duplicateValues" dxfId="47" priority="320509"/>
    <cfRule type="duplicateValues" dxfId="46" priority="1327392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56"/>
    <cfRule type="duplicateValues" dxfId="39" priority="164535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 B4:B6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G35" sqref="G35"/>
    </sheetView>
  </sheetViews>
  <sheetFormatPr baseColWidth="10" defaultColWidth="8.83203125" defaultRowHeight="15"/>
  <cols>
    <col min="1" max="1" width="17.5" style="72" customWidth="1"/>
    <col min="2" max="2" width="30.1640625" style="72" customWidth="1"/>
    <col min="3" max="3" width="14.5" style="72" customWidth="1"/>
    <col min="4" max="4" width="14.6640625" style="72" customWidth="1"/>
    <col min="5" max="6" width="13.5" style="72" customWidth="1"/>
    <col min="7" max="7" width="15.5" style="72" customWidth="1"/>
    <col min="8" max="8" width="24.33203125" style="72" customWidth="1"/>
    <col min="9" max="248" width="9.1640625" style="72"/>
    <col min="249" max="249" width="10.33203125" style="72" bestFit="1" customWidth="1"/>
    <col min="250" max="250" width="30.1640625" style="72" bestFit="1" customWidth="1"/>
    <col min="251" max="251" width="21" style="72" customWidth="1"/>
    <col min="252" max="253" width="13.5" style="72" customWidth="1"/>
    <col min="254" max="254" width="21.83203125" style="72" bestFit="1" customWidth="1"/>
    <col min="255" max="255" width="12" style="72" customWidth="1"/>
    <col min="256" max="256" width="11.5" style="72" bestFit="1" customWidth="1"/>
    <col min="257" max="257" width="13.5" style="72" customWidth="1"/>
    <col min="258" max="258" width="15.5" style="72" customWidth="1"/>
    <col min="259" max="260" width="18.5" style="72" customWidth="1"/>
    <col min="261" max="261" width="17.83203125" style="72" customWidth="1"/>
    <col min="262" max="504" width="9.1640625" style="72"/>
    <col min="505" max="505" width="10.33203125" style="72" bestFit="1" customWidth="1"/>
    <col min="506" max="506" width="30.1640625" style="72" bestFit="1" customWidth="1"/>
    <col min="507" max="507" width="21" style="72" customWidth="1"/>
    <col min="508" max="509" width="13.5" style="72" customWidth="1"/>
    <col min="510" max="510" width="21.83203125" style="72" bestFit="1" customWidth="1"/>
    <col min="511" max="511" width="12" style="72" customWidth="1"/>
    <col min="512" max="512" width="11.5" style="72" bestFit="1" customWidth="1"/>
    <col min="513" max="513" width="13.5" style="72" customWidth="1"/>
    <col min="514" max="514" width="15.5" style="72" customWidth="1"/>
    <col min="515" max="516" width="18.5" style="72" customWidth="1"/>
    <col min="517" max="517" width="17.83203125" style="72" customWidth="1"/>
    <col min="518" max="760" width="9.1640625" style="72"/>
    <col min="761" max="761" width="10.33203125" style="72" bestFit="1" customWidth="1"/>
    <col min="762" max="762" width="30.1640625" style="72" bestFit="1" customWidth="1"/>
    <col min="763" max="763" width="21" style="72" customWidth="1"/>
    <col min="764" max="765" width="13.5" style="72" customWidth="1"/>
    <col min="766" max="766" width="21.83203125" style="72" bestFit="1" customWidth="1"/>
    <col min="767" max="767" width="12" style="72" customWidth="1"/>
    <col min="768" max="768" width="11.5" style="72" bestFit="1" customWidth="1"/>
    <col min="769" max="769" width="13.5" style="72" customWidth="1"/>
    <col min="770" max="770" width="15.5" style="72" customWidth="1"/>
    <col min="771" max="772" width="18.5" style="72" customWidth="1"/>
    <col min="773" max="773" width="17.83203125" style="72" customWidth="1"/>
    <col min="774" max="1016" width="9.1640625" style="72"/>
    <col min="1017" max="1017" width="10.33203125" style="72" bestFit="1" customWidth="1"/>
    <col min="1018" max="1018" width="30.1640625" style="72" bestFit="1" customWidth="1"/>
    <col min="1019" max="1019" width="21" style="72" customWidth="1"/>
    <col min="1020" max="1021" width="13.5" style="72" customWidth="1"/>
    <col min="1022" max="1022" width="21.83203125" style="72" bestFit="1" customWidth="1"/>
    <col min="1023" max="1023" width="12" style="72" customWidth="1"/>
    <col min="1024" max="1024" width="11.5" style="72" bestFit="1" customWidth="1"/>
    <col min="1025" max="1025" width="13.5" style="72" customWidth="1"/>
    <col min="1026" max="1026" width="15.5" style="72" customWidth="1"/>
    <col min="1027" max="1028" width="18.5" style="72" customWidth="1"/>
    <col min="1029" max="1029" width="17.83203125" style="72" customWidth="1"/>
    <col min="1030" max="1272" width="9.1640625" style="72"/>
    <col min="1273" max="1273" width="10.33203125" style="72" bestFit="1" customWidth="1"/>
    <col min="1274" max="1274" width="30.1640625" style="72" bestFit="1" customWidth="1"/>
    <col min="1275" max="1275" width="21" style="72" customWidth="1"/>
    <col min="1276" max="1277" width="13.5" style="72" customWidth="1"/>
    <col min="1278" max="1278" width="21.83203125" style="72" bestFit="1" customWidth="1"/>
    <col min="1279" max="1279" width="12" style="72" customWidth="1"/>
    <col min="1280" max="1280" width="11.5" style="72" bestFit="1" customWidth="1"/>
    <col min="1281" max="1281" width="13.5" style="72" customWidth="1"/>
    <col min="1282" max="1282" width="15.5" style="72" customWidth="1"/>
    <col min="1283" max="1284" width="18.5" style="72" customWidth="1"/>
    <col min="1285" max="1285" width="17.83203125" style="72" customWidth="1"/>
    <col min="1286" max="1528" width="9.1640625" style="72"/>
    <col min="1529" max="1529" width="10.33203125" style="72" bestFit="1" customWidth="1"/>
    <col min="1530" max="1530" width="30.1640625" style="72" bestFit="1" customWidth="1"/>
    <col min="1531" max="1531" width="21" style="72" customWidth="1"/>
    <col min="1532" max="1533" width="13.5" style="72" customWidth="1"/>
    <col min="1534" max="1534" width="21.83203125" style="72" bestFit="1" customWidth="1"/>
    <col min="1535" max="1535" width="12" style="72" customWidth="1"/>
    <col min="1536" max="1536" width="11.5" style="72" bestFit="1" customWidth="1"/>
    <col min="1537" max="1537" width="13.5" style="72" customWidth="1"/>
    <col min="1538" max="1538" width="15.5" style="72" customWidth="1"/>
    <col min="1539" max="1540" width="18.5" style="72" customWidth="1"/>
    <col min="1541" max="1541" width="17.83203125" style="72" customWidth="1"/>
    <col min="1542" max="1784" width="9.1640625" style="72"/>
    <col min="1785" max="1785" width="10.33203125" style="72" bestFit="1" customWidth="1"/>
    <col min="1786" max="1786" width="30.1640625" style="72" bestFit="1" customWidth="1"/>
    <col min="1787" max="1787" width="21" style="72" customWidth="1"/>
    <col min="1788" max="1789" width="13.5" style="72" customWidth="1"/>
    <col min="1790" max="1790" width="21.83203125" style="72" bestFit="1" customWidth="1"/>
    <col min="1791" max="1791" width="12" style="72" customWidth="1"/>
    <col min="1792" max="1792" width="11.5" style="72" bestFit="1" customWidth="1"/>
    <col min="1793" max="1793" width="13.5" style="72" customWidth="1"/>
    <col min="1794" max="1794" width="15.5" style="72" customWidth="1"/>
    <col min="1795" max="1796" width="18.5" style="72" customWidth="1"/>
    <col min="1797" max="1797" width="17.83203125" style="72" customWidth="1"/>
    <col min="1798" max="2040" width="9.1640625" style="72"/>
    <col min="2041" max="2041" width="10.33203125" style="72" bestFit="1" customWidth="1"/>
    <col min="2042" max="2042" width="30.1640625" style="72" bestFit="1" customWidth="1"/>
    <col min="2043" max="2043" width="21" style="72" customWidth="1"/>
    <col min="2044" max="2045" width="13.5" style="72" customWidth="1"/>
    <col min="2046" max="2046" width="21.83203125" style="72" bestFit="1" customWidth="1"/>
    <col min="2047" max="2047" width="12" style="72" customWidth="1"/>
    <col min="2048" max="2048" width="11.5" style="72" bestFit="1" customWidth="1"/>
    <col min="2049" max="2049" width="13.5" style="72" customWidth="1"/>
    <col min="2050" max="2050" width="15.5" style="72" customWidth="1"/>
    <col min="2051" max="2052" width="18.5" style="72" customWidth="1"/>
    <col min="2053" max="2053" width="17.83203125" style="72" customWidth="1"/>
    <col min="2054" max="2296" width="9.1640625" style="72"/>
    <col min="2297" max="2297" width="10.33203125" style="72" bestFit="1" customWidth="1"/>
    <col min="2298" max="2298" width="30.1640625" style="72" bestFit="1" customWidth="1"/>
    <col min="2299" max="2299" width="21" style="72" customWidth="1"/>
    <col min="2300" max="2301" width="13.5" style="72" customWidth="1"/>
    <col min="2302" max="2302" width="21.83203125" style="72" bestFit="1" customWidth="1"/>
    <col min="2303" max="2303" width="12" style="72" customWidth="1"/>
    <col min="2304" max="2304" width="11.5" style="72" bestFit="1" customWidth="1"/>
    <col min="2305" max="2305" width="13.5" style="72" customWidth="1"/>
    <col min="2306" max="2306" width="15.5" style="72" customWidth="1"/>
    <col min="2307" max="2308" width="18.5" style="72" customWidth="1"/>
    <col min="2309" max="2309" width="17.83203125" style="72" customWidth="1"/>
    <col min="2310" max="2552" width="9.1640625" style="72"/>
    <col min="2553" max="2553" width="10.33203125" style="72" bestFit="1" customWidth="1"/>
    <col min="2554" max="2554" width="30.1640625" style="72" bestFit="1" customWidth="1"/>
    <col min="2555" max="2555" width="21" style="72" customWidth="1"/>
    <col min="2556" max="2557" width="13.5" style="72" customWidth="1"/>
    <col min="2558" max="2558" width="21.83203125" style="72" bestFit="1" customWidth="1"/>
    <col min="2559" max="2559" width="12" style="72" customWidth="1"/>
    <col min="2560" max="2560" width="11.5" style="72" bestFit="1" customWidth="1"/>
    <col min="2561" max="2561" width="13.5" style="72" customWidth="1"/>
    <col min="2562" max="2562" width="15.5" style="72" customWidth="1"/>
    <col min="2563" max="2564" width="18.5" style="72" customWidth="1"/>
    <col min="2565" max="2565" width="17.83203125" style="72" customWidth="1"/>
    <col min="2566" max="2808" width="9.1640625" style="72"/>
    <col min="2809" max="2809" width="10.33203125" style="72" bestFit="1" customWidth="1"/>
    <col min="2810" max="2810" width="30.1640625" style="72" bestFit="1" customWidth="1"/>
    <col min="2811" max="2811" width="21" style="72" customWidth="1"/>
    <col min="2812" max="2813" width="13.5" style="72" customWidth="1"/>
    <col min="2814" max="2814" width="21.83203125" style="72" bestFit="1" customWidth="1"/>
    <col min="2815" max="2815" width="12" style="72" customWidth="1"/>
    <col min="2816" max="2816" width="11.5" style="72" bestFit="1" customWidth="1"/>
    <col min="2817" max="2817" width="13.5" style="72" customWidth="1"/>
    <col min="2818" max="2818" width="15.5" style="72" customWidth="1"/>
    <col min="2819" max="2820" width="18.5" style="72" customWidth="1"/>
    <col min="2821" max="2821" width="17.83203125" style="72" customWidth="1"/>
    <col min="2822" max="3064" width="9.1640625" style="72"/>
    <col min="3065" max="3065" width="10.33203125" style="72" bestFit="1" customWidth="1"/>
    <col min="3066" max="3066" width="30.1640625" style="72" bestFit="1" customWidth="1"/>
    <col min="3067" max="3067" width="21" style="72" customWidth="1"/>
    <col min="3068" max="3069" width="13.5" style="72" customWidth="1"/>
    <col min="3070" max="3070" width="21.83203125" style="72" bestFit="1" customWidth="1"/>
    <col min="3071" max="3071" width="12" style="72" customWidth="1"/>
    <col min="3072" max="3072" width="11.5" style="72" bestFit="1" customWidth="1"/>
    <col min="3073" max="3073" width="13.5" style="72" customWidth="1"/>
    <col min="3074" max="3074" width="15.5" style="72" customWidth="1"/>
    <col min="3075" max="3076" width="18.5" style="72" customWidth="1"/>
    <col min="3077" max="3077" width="17.83203125" style="72" customWidth="1"/>
    <col min="3078" max="3320" width="9.1640625" style="72"/>
    <col min="3321" max="3321" width="10.33203125" style="72" bestFit="1" customWidth="1"/>
    <col min="3322" max="3322" width="30.1640625" style="72" bestFit="1" customWidth="1"/>
    <col min="3323" max="3323" width="21" style="72" customWidth="1"/>
    <col min="3324" max="3325" width="13.5" style="72" customWidth="1"/>
    <col min="3326" max="3326" width="21.83203125" style="72" bestFit="1" customWidth="1"/>
    <col min="3327" max="3327" width="12" style="72" customWidth="1"/>
    <col min="3328" max="3328" width="11.5" style="72" bestFit="1" customWidth="1"/>
    <col min="3329" max="3329" width="13.5" style="72" customWidth="1"/>
    <col min="3330" max="3330" width="15.5" style="72" customWidth="1"/>
    <col min="3331" max="3332" width="18.5" style="72" customWidth="1"/>
    <col min="3333" max="3333" width="17.83203125" style="72" customWidth="1"/>
    <col min="3334" max="3576" width="9.1640625" style="72"/>
    <col min="3577" max="3577" width="10.33203125" style="72" bestFit="1" customWidth="1"/>
    <col min="3578" max="3578" width="30.1640625" style="72" bestFit="1" customWidth="1"/>
    <col min="3579" max="3579" width="21" style="72" customWidth="1"/>
    <col min="3580" max="3581" width="13.5" style="72" customWidth="1"/>
    <col min="3582" max="3582" width="21.83203125" style="72" bestFit="1" customWidth="1"/>
    <col min="3583" max="3583" width="12" style="72" customWidth="1"/>
    <col min="3584" max="3584" width="11.5" style="72" bestFit="1" customWidth="1"/>
    <col min="3585" max="3585" width="13.5" style="72" customWidth="1"/>
    <col min="3586" max="3586" width="15.5" style="72" customWidth="1"/>
    <col min="3587" max="3588" width="18.5" style="72" customWidth="1"/>
    <col min="3589" max="3589" width="17.83203125" style="72" customWidth="1"/>
    <col min="3590" max="3832" width="9.1640625" style="72"/>
    <col min="3833" max="3833" width="10.33203125" style="72" bestFit="1" customWidth="1"/>
    <col min="3834" max="3834" width="30.1640625" style="72" bestFit="1" customWidth="1"/>
    <col min="3835" max="3835" width="21" style="72" customWidth="1"/>
    <col min="3836" max="3837" width="13.5" style="72" customWidth="1"/>
    <col min="3838" max="3838" width="21.83203125" style="72" bestFit="1" customWidth="1"/>
    <col min="3839" max="3839" width="12" style="72" customWidth="1"/>
    <col min="3840" max="3840" width="11.5" style="72" bestFit="1" customWidth="1"/>
    <col min="3841" max="3841" width="13.5" style="72" customWidth="1"/>
    <col min="3842" max="3842" width="15.5" style="72" customWidth="1"/>
    <col min="3843" max="3844" width="18.5" style="72" customWidth="1"/>
    <col min="3845" max="3845" width="17.83203125" style="72" customWidth="1"/>
    <col min="3846" max="4088" width="9.1640625" style="72"/>
    <col min="4089" max="4089" width="10.33203125" style="72" bestFit="1" customWidth="1"/>
    <col min="4090" max="4090" width="30.1640625" style="72" bestFit="1" customWidth="1"/>
    <col min="4091" max="4091" width="21" style="72" customWidth="1"/>
    <col min="4092" max="4093" width="13.5" style="72" customWidth="1"/>
    <col min="4094" max="4094" width="21.83203125" style="72" bestFit="1" customWidth="1"/>
    <col min="4095" max="4095" width="12" style="72" customWidth="1"/>
    <col min="4096" max="4096" width="11.5" style="72" bestFit="1" customWidth="1"/>
    <col min="4097" max="4097" width="13.5" style="72" customWidth="1"/>
    <col min="4098" max="4098" width="15.5" style="72" customWidth="1"/>
    <col min="4099" max="4100" width="18.5" style="72" customWidth="1"/>
    <col min="4101" max="4101" width="17.83203125" style="72" customWidth="1"/>
    <col min="4102" max="4344" width="9.1640625" style="72"/>
    <col min="4345" max="4345" width="10.33203125" style="72" bestFit="1" customWidth="1"/>
    <col min="4346" max="4346" width="30.1640625" style="72" bestFit="1" customWidth="1"/>
    <col min="4347" max="4347" width="21" style="72" customWidth="1"/>
    <col min="4348" max="4349" width="13.5" style="72" customWidth="1"/>
    <col min="4350" max="4350" width="21.83203125" style="72" bestFit="1" customWidth="1"/>
    <col min="4351" max="4351" width="12" style="72" customWidth="1"/>
    <col min="4352" max="4352" width="11.5" style="72" bestFit="1" customWidth="1"/>
    <col min="4353" max="4353" width="13.5" style="72" customWidth="1"/>
    <col min="4354" max="4354" width="15.5" style="72" customWidth="1"/>
    <col min="4355" max="4356" width="18.5" style="72" customWidth="1"/>
    <col min="4357" max="4357" width="17.83203125" style="72" customWidth="1"/>
    <col min="4358" max="4600" width="9.1640625" style="72"/>
    <col min="4601" max="4601" width="10.33203125" style="72" bestFit="1" customWidth="1"/>
    <col min="4602" max="4602" width="30.1640625" style="72" bestFit="1" customWidth="1"/>
    <col min="4603" max="4603" width="21" style="72" customWidth="1"/>
    <col min="4604" max="4605" width="13.5" style="72" customWidth="1"/>
    <col min="4606" max="4606" width="21.83203125" style="72" bestFit="1" customWidth="1"/>
    <col min="4607" max="4607" width="12" style="72" customWidth="1"/>
    <col min="4608" max="4608" width="11.5" style="72" bestFit="1" customWidth="1"/>
    <col min="4609" max="4609" width="13.5" style="72" customWidth="1"/>
    <col min="4610" max="4610" width="15.5" style="72" customWidth="1"/>
    <col min="4611" max="4612" width="18.5" style="72" customWidth="1"/>
    <col min="4613" max="4613" width="17.83203125" style="72" customWidth="1"/>
    <col min="4614" max="4856" width="9.1640625" style="72"/>
    <col min="4857" max="4857" width="10.33203125" style="72" bestFit="1" customWidth="1"/>
    <col min="4858" max="4858" width="30.1640625" style="72" bestFit="1" customWidth="1"/>
    <col min="4859" max="4859" width="21" style="72" customWidth="1"/>
    <col min="4860" max="4861" width="13.5" style="72" customWidth="1"/>
    <col min="4862" max="4862" width="21.83203125" style="72" bestFit="1" customWidth="1"/>
    <col min="4863" max="4863" width="12" style="72" customWidth="1"/>
    <col min="4864" max="4864" width="11.5" style="72" bestFit="1" customWidth="1"/>
    <col min="4865" max="4865" width="13.5" style="72" customWidth="1"/>
    <col min="4866" max="4866" width="15.5" style="72" customWidth="1"/>
    <col min="4867" max="4868" width="18.5" style="72" customWidth="1"/>
    <col min="4869" max="4869" width="17.83203125" style="72" customWidth="1"/>
    <col min="4870" max="5112" width="9.1640625" style="72"/>
    <col min="5113" max="5113" width="10.33203125" style="72" bestFit="1" customWidth="1"/>
    <col min="5114" max="5114" width="30.1640625" style="72" bestFit="1" customWidth="1"/>
    <col min="5115" max="5115" width="21" style="72" customWidth="1"/>
    <col min="5116" max="5117" width="13.5" style="72" customWidth="1"/>
    <col min="5118" max="5118" width="21.83203125" style="72" bestFit="1" customWidth="1"/>
    <col min="5119" max="5119" width="12" style="72" customWidth="1"/>
    <col min="5120" max="5120" width="11.5" style="72" bestFit="1" customWidth="1"/>
    <col min="5121" max="5121" width="13.5" style="72" customWidth="1"/>
    <col min="5122" max="5122" width="15.5" style="72" customWidth="1"/>
    <col min="5123" max="5124" width="18.5" style="72" customWidth="1"/>
    <col min="5125" max="5125" width="17.83203125" style="72" customWidth="1"/>
    <col min="5126" max="5368" width="9.1640625" style="72"/>
    <col min="5369" max="5369" width="10.33203125" style="72" bestFit="1" customWidth="1"/>
    <col min="5370" max="5370" width="30.1640625" style="72" bestFit="1" customWidth="1"/>
    <col min="5371" max="5371" width="21" style="72" customWidth="1"/>
    <col min="5372" max="5373" width="13.5" style="72" customWidth="1"/>
    <col min="5374" max="5374" width="21.83203125" style="72" bestFit="1" customWidth="1"/>
    <col min="5375" max="5375" width="12" style="72" customWidth="1"/>
    <col min="5376" max="5376" width="11.5" style="72" bestFit="1" customWidth="1"/>
    <col min="5377" max="5377" width="13.5" style="72" customWidth="1"/>
    <col min="5378" max="5378" width="15.5" style="72" customWidth="1"/>
    <col min="5379" max="5380" width="18.5" style="72" customWidth="1"/>
    <col min="5381" max="5381" width="17.83203125" style="72" customWidth="1"/>
    <col min="5382" max="5624" width="9.1640625" style="72"/>
    <col min="5625" max="5625" width="10.33203125" style="72" bestFit="1" customWidth="1"/>
    <col min="5626" max="5626" width="30.1640625" style="72" bestFit="1" customWidth="1"/>
    <col min="5627" max="5627" width="21" style="72" customWidth="1"/>
    <col min="5628" max="5629" width="13.5" style="72" customWidth="1"/>
    <col min="5630" max="5630" width="21.83203125" style="72" bestFit="1" customWidth="1"/>
    <col min="5631" max="5631" width="12" style="72" customWidth="1"/>
    <col min="5632" max="5632" width="11.5" style="72" bestFit="1" customWidth="1"/>
    <col min="5633" max="5633" width="13.5" style="72" customWidth="1"/>
    <col min="5634" max="5634" width="15.5" style="72" customWidth="1"/>
    <col min="5635" max="5636" width="18.5" style="72" customWidth="1"/>
    <col min="5637" max="5637" width="17.83203125" style="72" customWidth="1"/>
    <col min="5638" max="5880" width="9.1640625" style="72"/>
    <col min="5881" max="5881" width="10.33203125" style="72" bestFit="1" customWidth="1"/>
    <col min="5882" max="5882" width="30.1640625" style="72" bestFit="1" customWidth="1"/>
    <col min="5883" max="5883" width="21" style="72" customWidth="1"/>
    <col min="5884" max="5885" width="13.5" style="72" customWidth="1"/>
    <col min="5886" max="5886" width="21.83203125" style="72" bestFit="1" customWidth="1"/>
    <col min="5887" max="5887" width="12" style="72" customWidth="1"/>
    <col min="5888" max="5888" width="11.5" style="72" bestFit="1" customWidth="1"/>
    <col min="5889" max="5889" width="13.5" style="72" customWidth="1"/>
    <col min="5890" max="5890" width="15.5" style="72" customWidth="1"/>
    <col min="5891" max="5892" width="18.5" style="72" customWidth="1"/>
    <col min="5893" max="5893" width="17.83203125" style="72" customWidth="1"/>
    <col min="5894" max="6136" width="9.1640625" style="72"/>
    <col min="6137" max="6137" width="10.33203125" style="72" bestFit="1" customWidth="1"/>
    <col min="6138" max="6138" width="30.1640625" style="72" bestFit="1" customWidth="1"/>
    <col min="6139" max="6139" width="21" style="72" customWidth="1"/>
    <col min="6140" max="6141" width="13.5" style="72" customWidth="1"/>
    <col min="6142" max="6142" width="21.83203125" style="72" bestFit="1" customWidth="1"/>
    <col min="6143" max="6143" width="12" style="72" customWidth="1"/>
    <col min="6144" max="6144" width="11.5" style="72" bestFit="1" customWidth="1"/>
    <col min="6145" max="6145" width="13.5" style="72" customWidth="1"/>
    <col min="6146" max="6146" width="15.5" style="72" customWidth="1"/>
    <col min="6147" max="6148" width="18.5" style="72" customWidth="1"/>
    <col min="6149" max="6149" width="17.83203125" style="72" customWidth="1"/>
    <col min="6150" max="6392" width="9.1640625" style="72"/>
    <col min="6393" max="6393" width="10.33203125" style="72" bestFit="1" customWidth="1"/>
    <col min="6394" max="6394" width="30.1640625" style="72" bestFit="1" customWidth="1"/>
    <col min="6395" max="6395" width="21" style="72" customWidth="1"/>
    <col min="6396" max="6397" width="13.5" style="72" customWidth="1"/>
    <col min="6398" max="6398" width="21.83203125" style="72" bestFit="1" customWidth="1"/>
    <col min="6399" max="6399" width="12" style="72" customWidth="1"/>
    <col min="6400" max="6400" width="11.5" style="72" bestFit="1" customWidth="1"/>
    <col min="6401" max="6401" width="13.5" style="72" customWidth="1"/>
    <col min="6402" max="6402" width="15.5" style="72" customWidth="1"/>
    <col min="6403" max="6404" width="18.5" style="72" customWidth="1"/>
    <col min="6405" max="6405" width="17.83203125" style="72" customWidth="1"/>
    <col min="6406" max="6648" width="9.1640625" style="72"/>
    <col min="6649" max="6649" width="10.33203125" style="72" bestFit="1" customWidth="1"/>
    <col min="6650" max="6650" width="30.1640625" style="72" bestFit="1" customWidth="1"/>
    <col min="6651" max="6651" width="21" style="72" customWidth="1"/>
    <col min="6652" max="6653" width="13.5" style="72" customWidth="1"/>
    <col min="6654" max="6654" width="21.83203125" style="72" bestFit="1" customWidth="1"/>
    <col min="6655" max="6655" width="12" style="72" customWidth="1"/>
    <col min="6656" max="6656" width="11.5" style="72" bestFit="1" customWidth="1"/>
    <col min="6657" max="6657" width="13.5" style="72" customWidth="1"/>
    <col min="6658" max="6658" width="15.5" style="72" customWidth="1"/>
    <col min="6659" max="6660" width="18.5" style="72" customWidth="1"/>
    <col min="6661" max="6661" width="17.83203125" style="72" customWidth="1"/>
    <col min="6662" max="6904" width="9.1640625" style="72"/>
    <col min="6905" max="6905" width="10.33203125" style="72" bestFit="1" customWidth="1"/>
    <col min="6906" max="6906" width="30.1640625" style="72" bestFit="1" customWidth="1"/>
    <col min="6907" max="6907" width="21" style="72" customWidth="1"/>
    <col min="6908" max="6909" width="13.5" style="72" customWidth="1"/>
    <col min="6910" max="6910" width="21.83203125" style="72" bestFit="1" customWidth="1"/>
    <col min="6911" max="6911" width="12" style="72" customWidth="1"/>
    <col min="6912" max="6912" width="11.5" style="72" bestFit="1" customWidth="1"/>
    <col min="6913" max="6913" width="13.5" style="72" customWidth="1"/>
    <col min="6914" max="6914" width="15.5" style="72" customWidth="1"/>
    <col min="6915" max="6916" width="18.5" style="72" customWidth="1"/>
    <col min="6917" max="6917" width="17.83203125" style="72" customWidth="1"/>
    <col min="6918" max="7160" width="9.1640625" style="72"/>
    <col min="7161" max="7161" width="10.33203125" style="72" bestFit="1" customWidth="1"/>
    <col min="7162" max="7162" width="30.1640625" style="72" bestFit="1" customWidth="1"/>
    <col min="7163" max="7163" width="21" style="72" customWidth="1"/>
    <col min="7164" max="7165" width="13.5" style="72" customWidth="1"/>
    <col min="7166" max="7166" width="21.83203125" style="72" bestFit="1" customWidth="1"/>
    <col min="7167" max="7167" width="12" style="72" customWidth="1"/>
    <col min="7168" max="7168" width="11.5" style="72" bestFit="1" customWidth="1"/>
    <col min="7169" max="7169" width="13.5" style="72" customWidth="1"/>
    <col min="7170" max="7170" width="15.5" style="72" customWidth="1"/>
    <col min="7171" max="7172" width="18.5" style="72" customWidth="1"/>
    <col min="7173" max="7173" width="17.83203125" style="72" customWidth="1"/>
    <col min="7174" max="7416" width="9.1640625" style="72"/>
    <col min="7417" max="7417" width="10.33203125" style="72" bestFit="1" customWidth="1"/>
    <col min="7418" max="7418" width="30.1640625" style="72" bestFit="1" customWidth="1"/>
    <col min="7419" max="7419" width="21" style="72" customWidth="1"/>
    <col min="7420" max="7421" width="13.5" style="72" customWidth="1"/>
    <col min="7422" max="7422" width="21.83203125" style="72" bestFit="1" customWidth="1"/>
    <col min="7423" max="7423" width="12" style="72" customWidth="1"/>
    <col min="7424" max="7424" width="11.5" style="72" bestFit="1" customWidth="1"/>
    <col min="7425" max="7425" width="13.5" style="72" customWidth="1"/>
    <col min="7426" max="7426" width="15.5" style="72" customWidth="1"/>
    <col min="7427" max="7428" width="18.5" style="72" customWidth="1"/>
    <col min="7429" max="7429" width="17.83203125" style="72" customWidth="1"/>
    <col min="7430" max="7672" width="9.1640625" style="72"/>
    <col min="7673" max="7673" width="10.33203125" style="72" bestFit="1" customWidth="1"/>
    <col min="7674" max="7674" width="30.1640625" style="72" bestFit="1" customWidth="1"/>
    <col min="7675" max="7675" width="21" style="72" customWidth="1"/>
    <col min="7676" max="7677" width="13.5" style="72" customWidth="1"/>
    <col min="7678" max="7678" width="21.83203125" style="72" bestFit="1" customWidth="1"/>
    <col min="7679" max="7679" width="12" style="72" customWidth="1"/>
    <col min="7680" max="7680" width="11.5" style="72" bestFit="1" customWidth="1"/>
    <col min="7681" max="7681" width="13.5" style="72" customWidth="1"/>
    <col min="7682" max="7682" width="15.5" style="72" customWidth="1"/>
    <col min="7683" max="7684" width="18.5" style="72" customWidth="1"/>
    <col min="7685" max="7685" width="17.83203125" style="72" customWidth="1"/>
    <col min="7686" max="7928" width="9.1640625" style="72"/>
    <col min="7929" max="7929" width="10.33203125" style="72" bestFit="1" customWidth="1"/>
    <col min="7930" max="7930" width="30.1640625" style="72" bestFit="1" customWidth="1"/>
    <col min="7931" max="7931" width="21" style="72" customWidth="1"/>
    <col min="7932" max="7933" width="13.5" style="72" customWidth="1"/>
    <col min="7934" max="7934" width="21.83203125" style="72" bestFit="1" customWidth="1"/>
    <col min="7935" max="7935" width="12" style="72" customWidth="1"/>
    <col min="7936" max="7936" width="11.5" style="72" bestFit="1" customWidth="1"/>
    <col min="7937" max="7937" width="13.5" style="72" customWidth="1"/>
    <col min="7938" max="7938" width="15.5" style="72" customWidth="1"/>
    <col min="7939" max="7940" width="18.5" style="72" customWidth="1"/>
    <col min="7941" max="7941" width="17.83203125" style="72" customWidth="1"/>
    <col min="7942" max="8184" width="9.1640625" style="72"/>
    <col min="8185" max="8185" width="10.33203125" style="72" bestFit="1" customWidth="1"/>
    <col min="8186" max="8186" width="30.1640625" style="72" bestFit="1" customWidth="1"/>
    <col min="8187" max="8187" width="21" style="72" customWidth="1"/>
    <col min="8188" max="8189" width="13.5" style="72" customWidth="1"/>
    <col min="8190" max="8190" width="21.83203125" style="72" bestFit="1" customWidth="1"/>
    <col min="8191" max="8191" width="12" style="72" customWidth="1"/>
    <col min="8192" max="8192" width="11.5" style="72" bestFit="1" customWidth="1"/>
    <col min="8193" max="8193" width="13.5" style="72" customWidth="1"/>
    <col min="8194" max="8194" width="15.5" style="72" customWidth="1"/>
    <col min="8195" max="8196" width="18.5" style="72" customWidth="1"/>
    <col min="8197" max="8197" width="17.83203125" style="72" customWidth="1"/>
    <col min="8198" max="8440" width="9.1640625" style="72"/>
    <col min="8441" max="8441" width="10.33203125" style="72" bestFit="1" customWidth="1"/>
    <col min="8442" max="8442" width="30.1640625" style="72" bestFit="1" customWidth="1"/>
    <col min="8443" max="8443" width="21" style="72" customWidth="1"/>
    <col min="8444" max="8445" width="13.5" style="72" customWidth="1"/>
    <col min="8446" max="8446" width="21.83203125" style="72" bestFit="1" customWidth="1"/>
    <col min="8447" max="8447" width="12" style="72" customWidth="1"/>
    <col min="8448" max="8448" width="11.5" style="72" bestFit="1" customWidth="1"/>
    <col min="8449" max="8449" width="13.5" style="72" customWidth="1"/>
    <col min="8450" max="8450" width="15.5" style="72" customWidth="1"/>
    <col min="8451" max="8452" width="18.5" style="72" customWidth="1"/>
    <col min="8453" max="8453" width="17.83203125" style="72" customWidth="1"/>
    <col min="8454" max="8696" width="9.1640625" style="72"/>
    <col min="8697" max="8697" width="10.33203125" style="72" bestFit="1" customWidth="1"/>
    <col min="8698" max="8698" width="30.1640625" style="72" bestFit="1" customWidth="1"/>
    <col min="8699" max="8699" width="21" style="72" customWidth="1"/>
    <col min="8700" max="8701" width="13.5" style="72" customWidth="1"/>
    <col min="8702" max="8702" width="21.83203125" style="72" bestFit="1" customWidth="1"/>
    <col min="8703" max="8703" width="12" style="72" customWidth="1"/>
    <col min="8704" max="8704" width="11.5" style="72" bestFit="1" customWidth="1"/>
    <col min="8705" max="8705" width="13.5" style="72" customWidth="1"/>
    <col min="8706" max="8706" width="15.5" style="72" customWidth="1"/>
    <col min="8707" max="8708" width="18.5" style="72" customWidth="1"/>
    <col min="8709" max="8709" width="17.83203125" style="72" customWidth="1"/>
    <col min="8710" max="8952" width="9.1640625" style="72"/>
    <col min="8953" max="8953" width="10.33203125" style="72" bestFit="1" customWidth="1"/>
    <col min="8954" max="8954" width="30.1640625" style="72" bestFit="1" customWidth="1"/>
    <col min="8955" max="8955" width="21" style="72" customWidth="1"/>
    <col min="8956" max="8957" width="13.5" style="72" customWidth="1"/>
    <col min="8958" max="8958" width="21.83203125" style="72" bestFit="1" customWidth="1"/>
    <col min="8959" max="8959" width="12" style="72" customWidth="1"/>
    <col min="8960" max="8960" width="11.5" style="72" bestFit="1" customWidth="1"/>
    <col min="8961" max="8961" width="13.5" style="72" customWidth="1"/>
    <col min="8962" max="8962" width="15.5" style="72" customWidth="1"/>
    <col min="8963" max="8964" width="18.5" style="72" customWidth="1"/>
    <col min="8965" max="8965" width="17.83203125" style="72" customWidth="1"/>
    <col min="8966" max="9208" width="9.1640625" style="72"/>
    <col min="9209" max="9209" width="10.33203125" style="72" bestFit="1" customWidth="1"/>
    <col min="9210" max="9210" width="30.1640625" style="72" bestFit="1" customWidth="1"/>
    <col min="9211" max="9211" width="21" style="72" customWidth="1"/>
    <col min="9212" max="9213" width="13.5" style="72" customWidth="1"/>
    <col min="9214" max="9214" width="21.83203125" style="72" bestFit="1" customWidth="1"/>
    <col min="9215" max="9215" width="12" style="72" customWidth="1"/>
    <col min="9216" max="9216" width="11.5" style="72" bestFit="1" customWidth="1"/>
    <col min="9217" max="9217" width="13.5" style="72" customWidth="1"/>
    <col min="9218" max="9218" width="15.5" style="72" customWidth="1"/>
    <col min="9219" max="9220" width="18.5" style="72" customWidth="1"/>
    <col min="9221" max="9221" width="17.83203125" style="72" customWidth="1"/>
    <col min="9222" max="9464" width="9.1640625" style="72"/>
    <col min="9465" max="9465" width="10.33203125" style="72" bestFit="1" customWidth="1"/>
    <col min="9466" max="9466" width="30.1640625" style="72" bestFit="1" customWidth="1"/>
    <col min="9467" max="9467" width="21" style="72" customWidth="1"/>
    <col min="9468" max="9469" width="13.5" style="72" customWidth="1"/>
    <col min="9470" max="9470" width="21.83203125" style="72" bestFit="1" customWidth="1"/>
    <col min="9471" max="9471" width="12" style="72" customWidth="1"/>
    <col min="9472" max="9472" width="11.5" style="72" bestFit="1" customWidth="1"/>
    <col min="9473" max="9473" width="13.5" style="72" customWidth="1"/>
    <col min="9474" max="9474" width="15.5" style="72" customWidth="1"/>
    <col min="9475" max="9476" width="18.5" style="72" customWidth="1"/>
    <col min="9477" max="9477" width="17.83203125" style="72" customWidth="1"/>
    <col min="9478" max="9720" width="9.1640625" style="72"/>
    <col min="9721" max="9721" width="10.33203125" style="72" bestFit="1" customWidth="1"/>
    <col min="9722" max="9722" width="30.1640625" style="72" bestFit="1" customWidth="1"/>
    <col min="9723" max="9723" width="21" style="72" customWidth="1"/>
    <col min="9724" max="9725" width="13.5" style="72" customWidth="1"/>
    <col min="9726" max="9726" width="21.83203125" style="72" bestFit="1" customWidth="1"/>
    <col min="9727" max="9727" width="12" style="72" customWidth="1"/>
    <col min="9728" max="9728" width="11.5" style="72" bestFit="1" customWidth="1"/>
    <col min="9729" max="9729" width="13.5" style="72" customWidth="1"/>
    <col min="9730" max="9730" width="15.5" style="72" customWidth="1"/>
    <col min="9731" max="9732" width="18.5" style="72" customWidth="1"/>
    <col min="9733" max="9733" width="17.83203125" style="72" customWidth="1"/>
    <col min="9734" max="9976" width="9.1640625" style="72"/>
    <col min="9977" max="9977" width="10.33203125" style="72" bestFit="1" customWidth="1"/>
    <col min="9978" max="9978" width="30.1640625" style="72" bestFit="1" customWidth="1"/>
    <col min="9979" max="9979" width="21" style="72" customWidth="1"/>
    <col min="9980" max="9981" width="13.5" style="72" customWidth="1"/>
    <col min="9982" max="9982" width="21.83203125" style="72" bestFit="1" customWidth="1"/>
    <col min="9983" max="9983" width="12" style="72" customWidth="1"/>
    <col min="9984" max="9984" width="11.5" style="72" bestFit="1" customWidth="1"/>
    <col min="9985" max="9985" width="13.5" style="72" customWidth="1"/>
    <col min="9986" max="9986" width="15.5" style="72" customWidth="1"/>
    <col min="9987" max="9988" width="18.5" style="72" customWidth="1"/>
    <col min="9989" max="9989" width="17.83203125" style="72" customWidth="1"/>
    <col min="9990" max="10232" width="9.1640625" style="72"/>
    <col min="10233" max="10233" width="10.33203125" style="72" bestFit="1" customWidth="1"/>
    <col min="10234" max="10234" width="30.1640625" style="72" bestFit="1" customWidth="1"/>
    <col min="10235" max="10235" width="21" style="72" customWidth="1"/>
    <col min="10236" max="10237" width="13.5" style="72" customWidth="1"/>
    <col min="10238" max="10238" width="21.83203125" style="72" bestFit="1" customWidth="1"/>
    <col min="10239" max="10239" width="12" style="72" customWidth="1"/>
    <col min="10240" max="10240" width="11.5" style="72" bestFit="1" customWidth="1"/>
    <col min="10241" max="10241" width="13.5" style="72" customWidth="1"/>
    <col min="10242" max="10242" width="15.5" style="72" customWidth="1"/>
    <col min="10243" max="10244" width="18.5" style="72" customWidth="1"/>
    <col min="10245" max="10245" width="17.83203125" style="72" customWidth="1"/>
    <col min="10246" max="10488" width="9.1640625" style="72"/>
    <col min="10489" max="10489" width="10.33203125" style="72" bestFit="1" customWidth="1"/>
    <col min="10490" max="10490" width="30.1640625" style="72" bestFit="1" customWidth="1"/>
    <col min="10491" max="10491" width="21" style="72" customWidth="1"/>
    <col min="10492" max="10493" width="13.5" style="72" customWidth="1"/>
    <col min="10494" max="10494" width="21.83203125" style="72" bestFit="1" customWidth="1"/>
    <col min="10495" max="10495" width="12" style="72" customWidth="1"/>
    <col min="10496" max="10496" width="11.5" style="72" bestFit="1" customWidth="1"/>
    <col min="10497" max="10497" width="13.5" style="72" customWidth="1"/>
    <col min="10498" max="10498" width="15.5" style="72" customWidth="1"/>
    <col min="10499" max="10500" width="18.5" style="72" customWidth="1"/>
    <col min="10501" max="10501" width="17.83203125" style="72" customWidth="1"/>
    <col min="10502" max="10744" width="9.1640625" style="72"/>
    <col min="10745" max="10745" width="10.33203125" style="72" bestFit="1" customWidth="1"/>
    <col min="10746" max="10746" width="30.1640625" style="72" bestFit="1" customWidth="1"/>
    <col min="10747" max="10747" width="21" style="72" customWidth="1"/>
    <col min="10748" max="10749" width="13.5" style="72" customWidth="1"/>
    <col min="10750" max="10750" width="21.83203125" style="72" bestFit="1" customWidth="1"/>
    <col min="10751" max="10751" width="12" style="72" customWidth="1"/>
    <col min="10752" max="10752" width="11.5" style="72" bestFit="1" customWidth="1"/>
    <col min="10753" max="10753" width="13.5" style="72" customWidth="1"/>
    <col min="10754" max="10754" width="15.5" style="72" customWidth="1"/>
    <col min="10755" max="10756" width="18.5" style="72" customWidth="1"/>
    <col min="10757" max="10757" width="17.83203125" style="72" customWidth="1"/>
    <col min="10758" max="11000" width="9.1640625" style="72"/>
    <col min="11001" max="11001" width="10.33203125" style="72" bestFit="1" customWidth="1"/>
    <col min="11002" max="11002" width="30.1640625" style="72" bestFit="1" customWidth="1"/>
    <col min="11003" max="11003" width="21" style="72" customWidth="1"/>
    <col min="11004" max="11005" width="13.5" style="72" customWidth="1"/>
    <col min="11006" max="11006" width="21.83203125" style="72" bestFit="1" customWidth="1"/>
    <col min="11007" max="11007" width="12" style="72" customWidth="1"/>
    <col min="11008" max="11008" width="11.5" style="72" bestFit="1" customWidth="1"/>
    <col min="11009" max="11009" width="13.5" style="72" customWidth="1"/>
    <col min="11010" max="11010" width="15.5" style="72" customWidth="1"/>
    <col min="11011" max="11012" width="18.5" style="72" customWidth="1"/>
    <col min="11013" max="11013" width="17.83203125" style="72" customWidth="1"/>
    <col min="11014" max="11256" width="9.1640625" style="72"/>
    <col min="11257" max="11257" width="10.33203125" style="72" bestFit="1" customWidth="1"/>
    <col min="11258" max="11258" width="30.1640625" style="72" bestFit="1" customWidth="1"/>
    <col min="11259" max="11259" width="21" style="72" customWidth="1"/>
    <col min="11260" max="11261" width="13.5" style="72" customWidth="1"/>
    <col min="11262" max="11262" width="21.83203125" style="72" bestFit="1" customWidth="1"/>
    <col min="11263" max="11263" width="12" style="72" customWidth="1"/>
    <col min="11264" max="11264" width="11.5" style="72" bestFit="1" customWidth="1"/>
    <col min="11265" max="11265" width="13.5" style="72" customWidth="1"/>
    <col min="11266" max="11266" width="15.5" style="72" customWidth="1"/>
    <col min="11267" max="11268" width="18.5" style="72" customWidth="1"/>
    <col min="11269" max="11269" width="17.83203125" style="72" customWidth="1"/>
    <col min="11270" max="11512" width="9.1640625" style="72"/>
    <col min="11513" max="11513" width="10.33203125" style="72" bestFit="1" customWidth="1"/>
    <col min="11514" max="11514" width="30.1640625" style="72" bestFit="1" customWidth="1"/>
    <col min="11515" max="11515" width="21" style="72" customWidth="1"/>
    <col min="11516" max="11517" width="13.5" style="72" customWidth="1"/>
    <col min="11518" max="11518" width="21.83203125" style="72" bestFit="1" customWidth="1"/>
    <col min="11519" max="11519" width="12" style="72" customWidth="1"/>
    <col min="11520" max="11520" width="11.5" style="72" bestFit="1" customWidth="1"/>
    <col min="11521" max="11521" width="13.5" style="72" customWidth="1"/>
    <col min="11522" max="11522" width="15.5" style="72" customWidth="1"/>
    <col min="11523" max="11524" width="18.5" style="72" customWidth="1"/>
    <col min="11525" max="11525" width="17.83203125" style="72" customWidth="1"/>
    <col min="11526" max="11768" width="9.1640625" style="72"/>
    <col min="11769" max="11769" width="10.33203125" style="72" bestFit="1" customWidth="1"/>
    <col min="11770" max="11770" width="30.1640625" style="72" bestFit="1" customWidth="1"/>
    <col min="11771" max="11771" width="21" style="72" customWidth="1"/>
    <col min="11772" max="11773" width="13.5" style="72" customWidth="1"/>
    <col min="11774" max="11774" width="21.83203125" style="72" bestFit="1" customWidth="1"/>
    <col min="11775" max="11775" width="12" style="72" customWidth="1"/>
    <col min="11776" max="11776" width="11.5" style="72" bestFit="1" customWidth="1"/>
    <col min="11777" max="11777" width="13.5" style="72" customWidth="1"/>
    <col min="11778" max="11778" width="15.5" style="72" customWidth="1"/>
    <col min="11779" max="11780" width="18.5" style="72" customWidth="1"/>
    <col min="11781" max="11781" width="17.83203125" style="72" customWidth="1"/>
    <col min="11782" max="12024" width="9.1640625" style="72"/>
    <col min="12025" max="12025" width="10.33203125" style="72" bestFit="1" customWidth="1"/>
    <col min="12026" max="12026" width="30.1640625" style="72" bestFit="1" customWidth="1"/>
    <col min="12027" max="12027" width="21" style="72" customWidth="1"/>
    <col min="12028" max="12029" width="13.5" style="72" customWidth="1"/>
    <col min="12030" max="12030" width="21.83203125" style="72" bestFit="1" customWidth="1"/>
    <col min="12031" max="12031" width="12" style="72" customWidth="1"/>
    <col min="12032" max="12032" width="11.5" style="72" bestFit="1" customWidth="1"/>
    <col min="12033" max="12033" width="13.5" style="72" customWidth="1"/>
    <col min="12034" max="12034" width="15.5" style="72" customWidth="1"/>
    <col min="12035" max="12036" width="18.5" style="72" customWidth="1"/>
    <col min="12037" max="12037" width="17.83203125" style="72" customWidth="1"/>
    <col min="12038" max="12280" width="9.1640625" style="72"/>
    <col min="12281" max="12281" width="10.33203125" style="72" bestFit="1" customWidth="1"/>
    <col min="12282" max="12282" width="30.1640625" style="72" bestFit="1" customWidth="1"/>
    <col min="12283" max="12283" width="21" style="72" customWidth="1"/>
    <col min="12284" max="12285" width="13.5" style="72" customWidth="1"/>
    <col min="12286" max="12286" width="21.83203125" style="72" bestFit="1" customWidth="1"/>
    <col min="12287" max="12287" width="12" style="72" customWidth="1"/>
    <col min="12288" max="12288" width="11.5" style="72" bestFit="1" customWidth="1"/>
    <col min="12289" max="12289" width="13.5" style="72" customWidth="1"/>
    <col min="12290" max="12290" width="15.5" style="72" customWidth="1"/>
    <col min="12291" max="12292" width="18.5" style="72" customWidth="1"/>
    <col min="12293" max="12293" width="17.83203125" style="72" customWidth="1"/>
    <col min="12294" max="12536" width="9.1640625" style="72"/>
    <col min="12537" max="12537" width="10.33203125" style="72" bestFit="1" customWidth="1"/>
    <col min="12538" max="12538" width="30.1640625" style="72" bestFit="1" customWidth="1"/>
    <col min="12539" max="12539" width="21" style="72" customWidth="1"/>
    <col min="12540" max="12541" width="13.5" style="72" customWidth="1"/>
    <col min="12542" max="12542" width="21.83203125" style="72" bestFit="1" customWidth="1"/>
    <col min="12543" max="12543" width="12" style="72" customWidth="1"/>
    <col min="12544" max="12544" width="11.5" style="72" bestFit="1" customWidth="1"/>
    <col min="12545" max="12545" width="13.5" style="72" customWidth="1"/>
    <col min="12546" max="12546" width="15.5" style="72" customWidth="1"/>
    <col min="12547" max="12548" width="18.5" style="72" customWidth="1"/>
    <col min="12549" max="12549" width="17.83203125" style="72" customWidth="1"/>
    <col min="12550" max="12792" width="9.1640625" style="72"/>
    <col min="12793" max="12793" width="10.33203125" style="72" bestFit="1" customWidth="1"/>
    <col min="12794" max="12794" width="30.1640625" style="72" bestFit="1" customWidth="1"/>
    <col min="12795" max="12795" width="21" style="72" customWidth="1"/>
    <col min="12796" max="12797" width="13.5" style="72" customWidth="1"/>
    <col min="12798" max="12798" width="21.83203125" style="72" bestFit="1" customWidth="1"/>
    <col min="12799" max="12799" width="12" style="72" customWidth="1"/>
    <col min="12800" max="12800" width="11.5" style="72" bestFit="1" customWidth="1"/>
    <col min="12801" max="12801" width="13.5" style="72" customWidth="1"/>
    <col min="12802" max="12802" width="15.5" style="72" customWidth="1"/>
    <col min="12803" max="12804" width="18.5" style="72" customWidth="1"/>
    <col min="12805" max="12805" width="17.83203125" style="72" customWidth="1"/>
    <col min="12806" max="13048" width="9.1640625" style="72"/>
    <col min="13049" max="13049" width="10.33203125" style="72" bestFit="1" customWidth="1"/>
    <col min="13050" max="13050" width="30.1640625" style="72" bestFit="1" customWidth="1"/>
    <col min="13051" max="13051" width="21" style="72" customWidth="1"/>
    <col min="13052" max="13053" width="13.5" style="72" customWidth="1"/>
    <col min="13054" max="13054" width="21.83203125" style="72" bestFit="1" customWidth="1"/>
    <col min="13055" max="13055" width="12" style="72" customWidth="1"/>
    <col min="13056" max="13056" width="11.5" style="72" bestFit="1" customWidth="1"/>
    <col min="13057" max="13057" width="13.5" style="72" customWidth="1"/>
    <col min="13058" max="13058" width="15.5" style="72" customWidth="1"/>
    <col min="13059" max="13060" width="18.5" style="72" customWidth="1"/>
    <col min="13061" max="13061" width="17.83203125" style="72" customWidth="1"/>
    <col min="13062" max="13304" width="9.1640625" style="72"/>
    <col min="13305" max="13305" width="10.33203125" style="72" bestFit="1" customWidth="1"/>
    <col min="13306" max="13306" width="30.1640625" style="72" bestFit="1" customWidth="1"/>
    <col min="13307" max="13307" width="21" style="72" customWidth="1"/>
    <col min="13308" max="13309" width="13.5" style="72" customWidth="1"/>
    <col min="13310" max="13310" width="21.83203125" style="72" bestFit="1" customWidth="1"/>
    <col min="13311" max="13311" width="12" style="72" customWidth="1"/>
    <col min="13312" max="13312" width="11.5" style="72" bestFit="1" customWidth="1"/>
    <col min="13313" max="13313" width="13.5" style="72" customWidth="1"/>
    <col min="13314" max="13314" width="15.5" style="72" customWidth="1"/>
    <col min="13315" max="13316" width="18.5" style="72" customWidth="1"/>
    <col min="13317" max="13317" width="17.83203125" style="72" customWidth="1"/>
    <col min="13318" max="13560" width="9.1640625" style="72"/>
    <col min="13561" max="13561" width="10.33203125" style="72" bestFit="1" customWidth="1"/>
    <col min="13562" max="13562" width="30.1640625" style="72" bestFit="1" customWidth="1"/>
    <col min="13563" max="13563" width="21" style="72" customWidth="1"/>
    <col min="13564" max="13565" width="13.5" style="72" customWidth="1"/>
    <col min="13566" max="13566" width="21.83203125" style="72" bestFit="1" customWidth="1"/>
    <col min="13567" max="13567" width="12" style="72" customWidth="1"/>
    <col min="13568" max="13568" width="11.5" style="72" bestFit="1" customWidth="1"/>
    <col min="13569" max="13569" width="13.5" style="72" customWidth="1"/>
    <col min="13570" max="13570" width="15.5" style="72" customWidth="1"/>
    <col min="13571" max="13572" width="18.5" style="72" customWidth="1"/>
    <col min="13573" max="13573" width="17.83203125" style="72" customWidth="1"/>
    <col min="13574" max="13816" width="9.1640625" style="72"/>
    <col min="13817" max="13817" width="10.33203125" style="72" bestFit="1" customWidth="1"/>
    <col min="13818" max="13818" width="30.1640625" style="72" bestFit="1" customWidth="1"/>
    <col min="13819" max="13819" width="21" style="72" customWidth="1"/>
    <col min="13820" max="13821" width="13.5" style="72" customWidth="1"/>
    <col min="13822" max="13822" width="21.83203125" style="72" bestFit="1" customWidth="1"/>
    <col min="13823" max="13823" width="12" style="72" customWidth="1"/>
    <col min="13824" max="13824" width="11.5" style="72" bestFit="1" customWidth="1"/>
    <col min="13825" max="13825" width="13.5" style="72" customWidth="1"/>
    <col min="13826" max="13826" width="15.5" style="72" customWidth="1"/>
    <col min="13827" max="13828" width="18.5" style="72" customWidth="1"/>
    <col min="13829" max="13829" width="17.83203125" style="72" customWidth="1"/>
    <col min="13830" max="14072" width="9.1640625" style="72"/>
    <col min="14073" max="14073" width="10.33203125" style="72" bestFit="1" customWidth="1"/>
    <col min="14074" max="14074" width="30.1640625" style="72" bestFit="1" customWidth="1"/>
    <col min="14075" max="14075" width="21" style="72" customWidth="1"/>
    <col min="14076" max="14077" width="13.5" style="72" customWidth="1"/>
    <col min="14078" max="14078" width="21.83203125" style="72" bestFit="1" customWidth="1"/>
    <col min="14079" max="14079" width="12" style="72" customWidth="1"/>
    <col min="14080" max="14080" width="11.5" style="72" bestFit="1" customWidth="1"/>
    <col min="14081" max="14081" width="13.5" style="72" customWidth="1"/>
    <col min="14082" max="14082" width="15.5" style="72" customWidth="1"/>
    <col min="14083" max="14084" width="18.5" style="72" customWidth="1"/>
    <col min="14085" max="14085" width="17.83203125" style="72" customWidth="1"/>
    <col min="14086" max="14328" width="9.1640625" style="72"/>
    <col min="14329" max="14329" width="10.33203125" style="72" bestFit="1" customWidth="1"/>
    <col min="14330" max="14330" width="30.1640625" style="72" bestFit="1" customWidth="1"/>
    <col min="14331" max="14331" width="21" style="72" customWidth="1"/>
    <col min="14332" max="14333" width="13.5" style="72" customWidth="1"/>
    <col min="14334" max="14334" width="21.83203125" style="72" bestFit="1" customWidth="1"/>
    <col min="14335" max="14335" width="12" style="72" customWidth="1"/>
    <col min="14336" max="14336" width="11.5" style="72" bestFit="1" customWidth="1"/>
    <col min="14337" max="14337" width="13.5" style="72" customWidth="1"/>
    <col min="14338" max="14338" width="15.5" style="72" customWidth="1"/>
    <col min="14339" max="14340" width="18.5" style="72" customWidth="1"/>
    <col min="14341" max="14341" width="17.83203125" style="72" customWidth="1"/>
    <col min="14342" max="14584" width="9.1640625" style="72"/>
    <col min="14585" max="14585" width="10.33203125" style="72" bestFit="1" customWidth="1"/>
    <col min="14586" max="14586" width="30.1640625" style="72" bestFit="1" customWidth="1"/>
    <col min="14587" max="14587" width="21" style="72" customWidth="1"/>
    <col min="14588" max="14589" width="13.5" style="72" customWidth="1"/>
    <col min="14590" max="14590" width="21.83203125" style="72" bestFit="1" customWidth="1"/>
    <col min="14591" max="14591" width="12" style="72" customWidth="1"/>
    <col min="14592" max="14592" width="11.5" style="72" bestFit="1" customWidth="1"/>
    <col min="14593" max="14593" width="13.5" style="72" customWidth="1"/>
    <col min="14594" max="14594" width="15.5" style="72" customWidth="1"/>
    <col min="14595" max="14596" width="18.5" style="72" customWidth="1"/>
    <col min="14597" max="14597" width="17.83203125" style="72" customWidth="1"/>
    <col min="14598" max="14840" width="9.1640625" style="72"/>
    <col min="14841" max="14841" width="10.33203125" style="72" bestFit="1" customWidth="1"/>
    <col min="14842" max="14842" width="30.1640625" style="72" bestFit="1" customWidth="1"/>
    <col min="14843" max="14843" width="21" style="72" customWidth="1"/>
    <col min="14844" max="14845" width="13.5" style="72" customWidth="1"/>
    <col min="14846" max="14846" width="21.83203125" style="72" bestFit="1" customWidth="1"/>
    <col min="14847" max="14847" width="12" style="72" customWidth="1"/>
    <col min="14848" max="14848" width="11.5" style="72" bestFit="1" customWidth="1"/>
    <col min="14849" max="14849" width="13.5" style="72" customWidth="1"/>
    <col min="14850" max="14850" width="15.5" style="72" customWidth="1"/>
    <col min="14851" max="14852" width="18.5" style="72" customWidth="1"/>
    <col min="14853" max="14853" width="17.83203125" style="72" customWidth="1"/>
    <col min="14854" max="15096" width="9.1640625" style="72"/>
    <col min="15097" max="15097" width="10.33203125" style="72" bestFit="1" customWidth="1"/>
    <col min="15098" max="15098" width="30.1640625" style="72" bestFit="1" customWidth="1"/>
    <col min="15099" max="15099" width="21" style="72" customWidth="1"/>
    <col min="15100" max="15101" width="13.5" style="72" customWidth="1"/>
    <col min="15102" max="15102" width="21.83203125" style="72" bestFit="1" customWidth="1"/>
    <col min="15103" max="15103" width="12" style="72" customWidth="1"/>
    <col min="15104" max="15104" width="11.5" style="72" bestFit="1" customWidth="1"/>
    <col min="15105" max="15105" width="13.5" style="72" customWidth="1"/>
    <col min="15106" max="15106" width="15.5" style="72" customWidth="1"/>
    <col min="15107" max="15108" width="18.5" style="72" customWidth="1"/>
    <col min="15109" max="15109" width="17.83203125" style="72" customWidth="1"/>
    <col min="15110" max="15352" width="9.1640625" style="72"/>
    <col min="15353" max="15353" width="10.33203125" style="72" bestFit="1" customWidth="1"/>
    <col min="15354" max="15354" width="30.1640625" style="72" bestFit="1" customWidth="1"/>
    <col min="15355" max="15355" width="21" style="72" customWidth="1"/>
    <col min="15356" max="15357" width="13.5" style="72" customWidth="1"/>
    <col min="15358" max="15358" width="21.83203125" style="72" bestFit="1" customWidth="1"/>
    <col min="15359" max="15359" width="12" style="72" customWidth="1"/>
    <col min="15360" max="15360" width="11.5" style="72" bestFit="1" customWidth="1"/>
    <col min="15361" max="15361" width="13.5" style="72" customWidth="1"/>
    <col min="15362" max="15362" width="15.5" style="72" customWidth="1"/>
    <col min="15363" max="15364" width="18.5" style="72" customWidth="1"/>
    <col min="15365" max="15365" width="17.83203125" style="72" customWidth="1"/>
    <col min="15366" max="15608" width="9.1640625" style="72"/>
    <col min="15609" max="15609" width="10.33203125" style="72" bestFit="1" customWidth="1"/>
    <col min="15610" max="15610" width="30.1640625" style="72" bestFit="1" customWidth="1"/>
    <col min="15611" max="15611" width="21" style="72" customWidth="1"/>
    <col min="15612" max="15613" width="13.5" style="72" customWidth="1"/>
    <col min="15614" max="15614" width="21.83203125" style="72" bestFit="1" customWidth="1"/>
    <col min="15615" max="15615" width="12" style="72" customWidth="1"/>
    <col min="15616" max="15616" width="11.5" style="72" bestFit="1" customWidth="1"/>
    <col min="15617" max="15617" width="13.5" style="72" customWidth="1"/>
    <col min="15618" max="15618" width="15.5" style="72" customWidth="1"/>
    <col min="15619" max="15620" width="18.5" style="72" customWidth="1"/>
    <col min="15621" max="15621" width="17.83203125" style="72" customWidth="1"/>
    <col min="15622" max="15864" width="9.1640625" style="72"/>
    <col min="15865" max="15865" width="10.33203125" style="72" bestFit="1" customWidth="1"/>
    <col min="15866" max="15866" width="30.1640625" style="72" bestFit="1" customWidth="1"/>
    <col min="15867" max="15867" width="21" style="72" customWidth="1"/>
    <col min="15868" max="15869" width="13.5" style="72" customWidth="1"/>
    <col min="15870" max="15870" width="21.83203125" style="72" bestFit="1" customWidth="1"/>
    <col min="15871" max="15871" width="12" style="72" customWidth="1"/>
    <col min="15872" max="15872" width="11.5" style="72" bestFit="1" customWidth="1"/>
    <col min="15873" max="15873" width="13.5" style="72" customWidth="1"/>
    <col min="15874" max="15874" width="15.5" style="72" customWidth="1"/>
    <col min="15875" max="15876" width="18.5" style="72" customWidth="1"/>
    <col min="15877" max="15877" width="17.83203125" style="72" customWidth="1"/>
    <col min="15878" max="16120" width="9.1640625" style="72"/>
    <col min="16121" max="16121" width="10.33203125" style="72" bestFit="1" customWidth="1"/>
    <col min="16122" max="16122" width="30.1640625" style="72" bestFit="1" customWidth="1"/>
    <col min="16123" max="16123" width="21" style="72" customWidth="1"/>
    <col min="16124" max="16125" width="13.5" style="72" customWidth="1"/>
    <col min="16126" max="16126" width="21.83203125" style="72" bestFit="1" customWidth="1"/>
    <col min="16127" max="16127" width="12" style="72" customWidth="1"/>
    <col min="16128" max="16128" width="11.5" style="72" bestFit="1" customWidth="1"/>
    <col min="16129" max="16129" width="13.5" style="72" customWidth="1"/>
    <col min="16130" max="16130" width="15.5" style="72" customWidth="1"/>
    <col min="16131" max="16132" width="18.5" style="72" customWidth="1"/>
    <col min="16133" max="16133" width="17.83203125" style="72" customWidth="1"/>
    <col min="16134" max="16383" width="9.1640625" style="72"/>
    <col min="16384" max="16384" width="9.1640625" style="72" customWidth="1"/>
  </cols>
  <sheetData>
    <row r="1" spans="1:7" ht="43.5" customHeight="1">
      <c r="A1" s="194" t="s">
        <v>27</v>
      </c>
      <c r="B1" s="273" t="s">
        <v>28</v>
      </c>
      <c r="C1" s="274" t="s">
        <v>209</v>
      </c>
      <c r="D1" s="274" t="s">
        <v>210</v>
      </c>
      <c r="E1" s="273" t="s">
        <v>211</v>
      </c>
      <c r="F1" s="273" t="s">
        <v>173</v>
      </c>
      <c r="G1" s="275" t="s">
        <v>212</v>
      </c>
    </row>
    <row r="2" spans="1:7" ht="17">
      <c r="A2" s="276" t="s">
        <v>174</v>
      </c>
      <c r="B2" s="112" t="s">
        <v>182</v>
      </c>
      <c r="C2" s="277"/>
      <c r="D2" s="278">
        <v>200000</v>
      </c>
      <c r="E2" s="279"/>
      <c r="F2" s="279"/>
      <c r="G2" s="280">
        <f>SUM(C2:F2)</f>
        <v>200000</v>
      </c>
    </row>
    <row r="3" spans="1:7" ht="17">
      <c r="A3" s="69" t="s">
        <v>175</v>
      </c>
      <c r="B3" s="85" t="s">
        <v>183</v>
      </c>
      <c r="C3" s="73"/>
      <c r="D3" s="70"/>
      <c r="E3" s="71">
        <v>2000000</v>
      </c>
      <c r="F3" s="71"/>
      <c r="G3" s="74">
        <f>SUM(C3:F3)</f>
        <v>2000000</v>
      </c>
    </row>
    <row r="4" spans="1:7" ht="17">
      <c r="A4" s="69" t="s">
        <v>158</v>
      </c>
      <c r="B4" s="85" t="s">
        <v>184</v>
      </c>
      <c r="C4" s="73"/>
      <c r="D4" s="70"/>
      <c r="E4" s="71"/>
      <c r="F4" s="71">
        <v>1000000</v>
      </c>
      <c r="G4" s="74">
        <f>SUM(C4:F4)</f>
        <v>1000000</v>
      </c>
    </row>
    <row r="5" spans="1:7" ht="17">
      <c r="A5" s="69" t="s">
        <v>159</v>
      </c>
      <c r="B5" s="85" t="s">
        <v>185</v>
      </c>
      <c r="C5" s="73">
        <v>500000</v>
      </c>
      <c r="D5" s="70"/>
      <c r="E5" s="71"/>
      <c r="F5" s="71">
        <v>750000</v>
      </c>
      <c r="G5" s="74">
        <f>SUM(C5:F5)</f>
        <v>1250000</v>
      </c>
    </row>
    <row r="7" spans="1:7" ht="23.25" customHeight="1">
      <c r="B7" s="75"/>
    </row>
  </sheetData>
  <autoFilter ref="A1:G18" xr:uid="{00000000-0009-0000-0000-00001B000000}"/>
  <conditionalFormatting sqref="A1">
    <cfRule type="duplicateValues" dxfId="35" priority="2"/>
    <cfRule type="duplicateValues" dxfId="34" priority="3"/>
    <cfRule type="duplicateValues" dxfId="33" priority="4" stopIfTrue="1"/>
    <cfRule type="duplicateValues" dxfId="32" priority="5" stopIfTrue="1"/>
    <cfRule type="duplicateValues" dxfId="31" priority="6" stopIfTrue="1"/>
    <cfRule type="duplicateValues" dxfId="30" priority="7" stopIfTrue="1"/>
    <cfRule type="duplicateValues" dxfId="29" priority="1"/>
  </conditionalFormatting>
  <conditionalFormatting sqref="A2">
    <cfRule type="duplicateValues" dxfId="28" priority="1327433"/>
    <cfRule type="duplicateValues" dxfId="27" priority="1327435"/>
    <cfRule type="duplicateValues" dxfId="26" priority="1327434"/>
  </conditionalFormatting>
  <conditionalFormatting sqref="A2:A5">
    <cfRule type="duplicateValues" dxfId="25" priority="1327578"/>
    <cfRule type="duplicateValues" dxfId="24" priority="1327586" stopIfTrue="1"/>
    <cfRule type="duplicateValues" dxfId="23" priority="1327589"/>
    <cfRule type="duplicateValues" dxfId="22" priority="1327588" stopIfTrue="1"/>
    <cfRule type="duplicateValues" dxfId="21" priority="1327574"/>
    <cfRule type="duplicateValues" dxfId="20" priority="1327575"/>
    <cfRule type="duplicateValues" dxfId="19" priority="1327576"/>
    <cfRule type="duplicateValues" dxfId="18" priority="1327577"/>
    <cfRule type="duplicateValues" dxfId="17" priority="1327587" stopIfTrue="1"/>
    <cfRule type="duplicateValues" dxfId="16" priority="1327579"/>
    <cfRule type="duplicateValues" dxfId="15" priority="1327580"/>
    <cfRule type="duplicateValues" dxfId="14" priority="1327581"/>
    <cfRule type="duplicateValues" dxfId="13" priority="1327582"/>
    <cfRule type="duplicateValues" dxfId="12" priority="1327583" stopIfTrue="1"/>
    <cfRule type="duplicateValues" dxfId="11" priority="1327584" stopIfTrue="1"/>
    <cfRule type="duplicateValues" dxfId="10" priority="1327585" stopIfTrue="1"/>
  </conditionalFormatting>
  <conditionalFormatting sqref="A2:A1048576">
    <cfRule type="duplicateValues" dxfId="9" priority="192581"/>
    <cfRule type="duplicateValues" dxfId="8" priority="45"/>
    <cfRule type="duplicateValues" dxfId="7" priority="46"/>
  </conditionalFormatting>
  <conditionalFormatting sqref="A3:A5">
    <cfRule type="duplicateValues" dxfId="6" priority="1327590"/>
    <cfRule type="duplicateValues" dxfId="5" priority="1327591"/>
    <cfRule type="duplicateValues" dxfId="4" priority="1327592"/>
    <cfRule type="duplicateValues" dxfId="3" priority="1327593"/>
  </conditionalFormatting>
  <conditionalFormatting sqref="A6:A65156">
    <cfRule type="duplicateValues" dxfId="2" priority="1327772" stopIfTrue="1"/>
    <cfRule type="duplicateValues" dxfId="1" priority="1327773" stopIfTrue="1"/>
  </conditionalFormatting>
  <conditionalFormatting sqref="A6:A1048576">
    <cfRule type="duplicateValues" dxfId="0" priority="1276"/>
  </conditionalFormatting>
  <dataValidations count="1">
    <dataValidation allowBlank="1" showErrorMessage="1" sqref="A1 B3:B5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Others</vt:lpstr>
      <vt:lpstr>Incentive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2026-08-17T06:27:57Z</dcterms:modified>
</cp:coreProperties>
</file>