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881B46FD-8C82-1C45-B312-83F059592A6D}" xr6:coauthVersionLast="47" xr6:coauthVersionMax="47" xr10:uidLastSave="{00000000-0000-0000-0000-000000000000}"/>
  <bookViews>
    <workbookView xWindow="38540" yWindow="660" windowWidth="38100" windowHeight="2078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AG14" i="1" l="1"/>
  <c r="BE14" i="1"/>
  <c r="I17" i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G21" i="1" l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<sst xmlns="http://schemas.openxmlformats.org/spreadsheetml/2006/main" count="713" uniqueCount="162">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</sst>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48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0" fontId="57" fillId="3" borderId="17" xfId="0" applyFont="1" applyFill="1" applyBorder="1"/>
    <xf numFmtId="165" fontId="68" fillId="3" borderId="1" xfId="1" applyFont="1" applyFill="1" applyBorder="1" applyAlignment="1">
      <alignment horizontal="center" vertical="center" wrapText="1"/>
    </xf>
    <xf numFmtId="0" fontId="57" fillId="3" borderId="9" xfId="0" applyFont="1" applyFill="1" applyBorder="1"/>
    <xf numFmtId="164" fontId="20" fillId="3" borderId="17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73" fillId="3" borderId="1" xfId="1" applyNumberFormat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7" xfId="0" applyFont="1" applyFill="1" applyBorder="1"/>
    <xf numFmtId="164" fontId="43" fillId="3" borderId="1" xfId="1" applyNumberFormat="1" applyFont="1" applyFill="1" applyBorder="1" applyAlignment="1">
      <alignment horizontal="center" vertical="center" wrapText="1"/>
    </xf>
    <xf numFmtId="0" fontId="75" fillId="3" borderId="9" xfId="0" applyFont="1" applyFill="1" applyBorder="1"/>
    <xf numFmtId="0" fontId="75" fillId="3" borderId="17" xfId="0" applyFont="1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18" fillId="3" borderId="1" xfId="1" applyNumberFormat="1" applyFont="1" applyFill="1" applyBorder="1" applyAlignment="1">
      <alignment horizontal="center" vertical="center" wrapText="1"/>
    </xf>
    <xf numFmtId="164" fontId="49" fillId="3" borderId="1" xfId="1" applyNumberFormat="1" applyFont="1" applyFill="1" applyBorder="1" applyAlignment="1">
      <alignment horizontal="center" vertical="center" wrapText="1"/>
    </xf>
    <xf numFmtId="0" fontId="49" fillId="3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164" fontId="18" fillId="3" borderId="20" xfId="1" applyNumberFormat="1" applyFont="1" applyFill="1" applyBorder="1" applyAlignment="1">
      <alignment horizontal="center" vertical="center"/>
    </xf>
    <xf numFmtId="0" fontId="74" fillId="3" borderId="11" xfId="0" applyFont="1" applyFill="1" applyBorder="1"/>
    <xf numFmtId="0" fontId="74" fillId="3" borderId="15" xfId="0" applyFont="1" applyFill="1" applyBorder="1"/>
    <xf numFmtId="9" fontId="18" fillId="3" borderId="12" xfId="2" applyFont="1" applyFill="1" applyBorder="1" applyAlignment="1">
      <alignment horizontal="center" vertical="center" wrapText="1"/>
    </xf>
    <xf numFmtId="165" fontId="49" fillId="3" borderId="7" xfId="1" applyFont="1" applyFill="1" applyBorder="1" applyAlignment="1">
      <alignment horizontal="center" vertical="center" wrapText="1"/>
    </xf>
    <xf numFmtId="0" fontId="75" fillId="3" borderId="18" xfId="0" applyFont="1" applyFill="1" applyBorder="1"/>
    <xf numFmtId="165" fontId="4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164" fontId="14" fillId="6" borderId="0" xfId="1" applyNumberFormat="1" applyFont="1" applyFill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G2" zoomScale="110" zoomScaleNormal="110" zoomScaleSheetLayoutView="70" workbookViewId="0">
      <selection activeCell="BR15" sqref="BR15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3" t="s">
        <v>0</v>
      </c>
      <c r="B1" s="284"/>
      <c r="C1" s="285"/>
      <c r="D1" s="286"/>
      <c r="E1" s="286"/>
      <c r="F1" s="286"/>
      <c r="I1" s="287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89"/>
      <c r="BB1" s="289"/>
      <c r="BC1" s="289"/>
      <c r="BD1" s="290"/>
      <c r="BE1" s="289"/>
      <c r="BF1" s="290"/>
      <c r="BG1" s="289"/>
      <c r="BH1" s="289"/>
      <c r="BI1" s="289"/>
      <c r="BJ1" s="289"/>
      <c r="BK1" s="289"/>
      <c r="BL1" s="289"/>
      <c r="BM1" s="289"/>
      <c r="BN1" s="289"/>
      <c r="BO1" s="289"/>
      <c r="BP1" s="291"/>
      <c r="BQ1" s="289"/>
      <c r="BR1" s="289"/>
      <c r="BS1" s="289"/>
      <c r="BU1" s="289"/>
      <c r="BV1" s="289"/>
      <c r="BW1" s="292"/>
      <c r="BX1" s="292"/>
      <c r="BY1" s="292"/>
      <c r="BZ1" s="292"/>
      <c r="CA1" s="292"/>
      <c r="CB1" s="293"/>
      <c r="CC1" s="293"/>
      <c r="CD1" s="293"/>
    </row>
    <row r="2" spans="1:87" s="240" customFormat="1" ht="19.25" customHeight="1" outlineLevel="1">
      <c r="A2" s="294" t="s">
        <v>1</v>
      </c>
      <c r="B2" s="284"/>
      <c r="C2" s="295"/>
      <c r="D2" s="286"/>
      <c r="E2" s="286"/>
      <c r="F2" s="286"/>
      <c r="I2" s="287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  <c r="W2" s="288"/>
      <c r="X2" s="288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90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96"/>
      <c r="BX2" s="296"/>
      <c r="BY2" s="296"/>
      <c r="BZ2" s="296"/>
      <c r="CA2" s="296"/>
      <c r="CB2" s="295"/>
      <c r="CC2" s="295"/>
      <c r="CD2" s="295"/>
    </row>
    <row r="3" spans="1:87" s="14" customFormat="1" ht="24" customHeight="1" outlineLevel="1">
      <c r="A3" s="353"/>
      <c r="B3" s="352"/>
      <c r="C3" s="352"/>
      <c r="D3" s="352"/>
      <c r="E3" s="352"/>
      <c r="F3" s="352"/>
      <c r="G3" s="352"/>
      <c r="H3" s="352"/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2"/>
      <c r="AC3" s="352"/>
      <c r="AD3" s="352"/>
      <c r="AE3" s="352"/>
      <c r="AF3" s="352"/>
      <c r="AG3" s="352"/>
      <c r="AH3" s="352"/>
      <c r="AI3" s="352"/>
      <c r="AJ3" s="352"/>
      <c r="AK3" s="352"/>
      <c r="AL3" s="352"/>
      <c r="AM3" s="352"/>
      <c r="AN3" s="352"/>
      <c r="AO3" s="352"/>
      <c r="AP3" s="352"/>
      <c r="AQ3" s="352"/>
      <c r="AR3" s="352"/>
      <c r="AS3" s="352"/>
      <c r="AT3" s="352"/>
      <c r="AU3" s="352"/>
      <c r="AV3" s="352"/>
      <c r="AW3" s="352"/>
      <c r="AX3" s="352"/>
      <c r="AY3" s="352"/>
      <c r="AZ3" s="352"/>
      <c r="BA3" s="352"/>
      <c r="BB3" s="352"/>
      <c r="BC3" s="352"/>
      <c r="BD3" s="352"/>
      <c r="BE3" s="352"/>
      <c r="BF3" s="352"/>
      <c r="BG3" s="352"/>
      <c r="BH3" s="352"/>
      <c r="BI3" s="352"/>
      <c r="BJ3" s="352"/>
      <c r="BK3" s="352"/>
      <c r="BL3" s="352"/>
      <c r="BM3" s="352"/>
      <c r="BN3" s="352"/>
      <c r="BO3" s="352"/>
      <c r="BP3" s="352"/>
      <c r="BQ3" s="352"/>
      <c r="BR3" s="352"/>
      <c r="BS3" s="352"/>
      <c r="BT3" s="352"/>
      <c r="BU3" s="352"/>
      <c r="BV3" s="297"/>
      <c r="BW3" s="351" t="s">
        <v>2</v>
      </c>
      <c r="BX3" s="352"/>
      <c r="BY3" s="352"/>
      <c r="BZ3" s="352"/>
      <c r="CA3" s="352"/>
      <c r="CB3" s="352"/>
      <c r="CC3" s="299"/>
      <c r="CD3" s="299"/>
    </row>
    <row r="4" spans="1:87" s="14" customFormat="1" ht="21.5" customHeight="1" outlineLevel="1">
      <c r="A4" s="300"/>
      <c r="B4" s="300"/>
      <c r="C4" s="300"/>
      <c r="D4" s="300"/>
      <c r="E4" s="300"/>
      <c r="F4" s="300"/>
      <c r="G4" s="300"/>
      <c r="H4" s="300"/>
      <c r="I4" s="287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1"/>
      <c r="W4" s="301"/>
      <c r="X4" s="301"/>
      <c r="Y4" s="301"/>
      <c r="Z4" s="301"/>
      <c r="AA4" s="301"/>
      <c r="AB4" s="301"/>
      <c r="AC4" s="301"/>
      <c r="AD4" s="301"/>
      <c r="AE4" s="301"/>
      <c r="AF4" s="301"/>
      <c r="AG4" s="301"/>
      <c r="AH4" s="301"/>
      <c r="AI4" s="301"/>
      <c r="AJ4" s="301"/>
      <c r="AK4" s="301"/>
      <c r="AL4" s="301"/>
      <c r="AM4" s="300"/>
      <c r="AN4" s="300"/>
      <c r="AO4" s="300"/>
      <c r="AP4" s="300"/>
      <c r="AQ4" s="300"/>
      <c r="AR4" s="300"/>
      <c r="AS4" s="300"/>
      <c r="AT4" s="300"/>
      <c r="AU4" s="300"/>
      <c r="AV4" s="300"/>
      <c r="AW4" s="300"/>
      <c r="AX4" s="300"/>
      <c r="AY4" s="300"/>
      <c r="AZ4" s="300"/>
      <c r="BA4" s="300"/>
      <c r="BB4" s="300"/>
      <c r="BC4" s="300"/>
      <c r="BD4" s="300"/>
      <c r="BE4" s="300"/>
      <c r="BF4" s="300"/>
      <c r="BG4" s="300"/>
      <c r="BH4" s="300"/>
      <c r="BI4" s="300"/>
      <c r="BJ4" s="300"/>
      <c r="BK4" s="300"/>
      <c r="BL4" s="300"/>
      <c r="BM4" s="300"/>
      <c r="BN4" s="300"/>
      <c r="BO4" s="300"/>
      <c r="BP4" s="300"/>
      <c r="BQ4" s="300"/>
      <c r="BR4" s="300"/>
      <c r="BS4" s="300"/>
      <c r="BT4" s="300"/>
      <c r="BU4" s="300"/>
      <c r="BV4" s="300"/>
      <c r="BW4" s="352"/>
      <c r="BX4" s="352"/>
      <c r="BY4" s="352"/>
      <c r="BZ4" s="352"/>
      <c r="CA4" s="352"/>
      <c r="CB4" s="352"/>
      <c r="CC4" s="299"/>
      <c r="CD4" s="299"/>
    </row>
    <row r="5" spans="1:87" s="14" customFormat="1" ht="20.25" customHeight="1" outlineLevel="1">
      <c r="A5" s="300"/>
      <c r="B5" s="300"/>
      <c r="C5" s="300"/>
      <c r="D5" s="300"/>
      <c r="E5" s="300"/>
      <c r="F5" s="300"/>
      <c r="G5" s="300"/>
      <c r="H5" s="300"/>
      <c r="I5" s="287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0"/>
      <c r="AC5" s="300"/>
      <c r="AD5" s="300"/>
      <c r="AE5" s="300"/>
      <c r="AF5" s="300"/>
      <c r="AG5" s="300"/>
      <c r="AH5" s="300"/>
      <c r="AI5" s="300"/>
      <c r="AJ5" s="300"/>
      <c r="AK5" s="300"/>
      <c r="AL5" s="300"/>
      <c r="AM5" s="300"/>
      <c r="AN5" s="300"/>
      <c r="AO5" s="300"/>
      <c r="AP5" s="300"/>
      <c r="AQ5" s="300"/>
      <c r="AR5" s="300"/>
      <c r="AS5" s="300"/>
      <c r="AT5" s="300"/>
      <c r="AU5" s="300"/>
      <c r="AV5" s="300"/>
      <c r="AW5" s="300"/>
      <c r="AX5" s="300"/>
      <c r="AY5" s="300"/>
      <c r="AZ5" s="300"/>
      <c r="BA5" s="300"/>
      <c r="BB5" s="300"/>
      <c r="BC5" s="300"/>
      <c r="BD5" s="300"/>
      <c r="BE5" s="300"/>
      <c r="BF5" s="300"/>
      <c r="BG5" s="300"/>
      <c r="BH5" s="300"/>
      <c r="BI5" s="300"/>
      <c r="BJ5" s="300"/>
      <c r="BK5" s="300"/>
      <c r="BL5" s="300"/>
      <c r="BM5" s="300"/>
      <c r="BN5" s="300"/>
      <c r="BO5" s="300"/>
      <c r="BP5" s="300"/>
      <c r="BQ5" s="300"/>
      <c r="BR5" s="300"/>
      <c r="BS5" s="300"/>
      <c r="BT5" s="300"/>
      <c r="BU5" s="300"/>
      <c r="BV5" s="300"/>
      <c r="BW5" s="352"/>
      <c r="BX5" s="352"/>
      <c r="BY5" s="352"/>
      <c r="BZ5" s="352"/>
      <c r="CA5" s="352"/>
      <c r="CB5" s="352"/>
      <c r="CC5" s="299"/>
      <c r="CD5" s="299"/>
    </row>
    <row r="6" spans="1:87" s="14" customFormat="1" ht="34" customHeight="1" outlineLevel="1">
      <c r="A6" s="302"/>
      <c r="D6" s="302"/>
      <c r="E6" s="302"/>
      <c r="F6" s="302"/>
      <c r="G6" s="302"/>
      <c r="H6" s="302"/>
      <c r="I6" s="287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4"/>
      <c r="Z6" s="304"/>
      <c r="AA6" s="304"/>
      <c r="AB6" s="304"/>
      <c r="AC6" s="300"/>
      <c r="AD6" s="302"/>
      <c r="AE6" s="302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  <c r="AS6" s="302"/>
      <c r="AT6" s="302"/>
      <c r="AU6" s="302"/>
      <c r="AV6" s="302"/>
      <c r="AW6" s="302"/>
      <c r="AX6" s="302"/>
      <c r="AY6" s="302"/>
      <c r="AZ6" s="302"/>
      <c r="BA6" s="302"/>
      <c r="BB6" s="302"/>
      <c r="BC6" s="302"/>
      <c r="BD6" s="302"/>
      <c r="BE6" s="302"/>
      <c r="BF6" s="302"/>
      <c r="BG6" s="302"/>
      <c r="BH6" s="302"/>
      <c r="BI6" s="302"/>
      <c r="BJ6" s="302"/>
      <c r="BK6" s="302"/>
      <c r="BL6" s="302"/>
      <c r="BM6" s="302"/>
      <c r="BN6" s="302"/>
      <c r="BO6" s="302"/>
      <c r="BP6" s="302"/>
      <c r="BQ6" s="302"/>
      <c r="BR6" s="302"/>
      <c r="BS6" s="302"/>
      <c r="BT6" s="302"/>
      <c r="BU6" s="302"/>
      <c r="BV6" s="302"/>
      <c r="BW6" s="352"/>
      <c r="BX6" s="352"/>
      <c r="BY6" s="352"/>
      <c r="BZ6" s="352"/>
      <c r="CA6" s="352"/>
      <c r="CB6" s="352"/>
      <c r="CC6" s="299"/>
      <c r="CD6" s="299"/>
    </row>
    <row r="7" spans="1:87" s="322" customFormat="1" ht="31" outlineLevel="1">
      <c r="B7" s="302" t="s">
        <v>155</v>
      </c>
      <c r="C7" s="302" t="s">
        <v>155</v>
      </c>
      <c r="D7" s="323"/>
      <c r="E7" s="323" t="s">
        <v>156</v>
      </c>
      <c r="F7" s="324"/>
      <c r="G7" s="323" t="s">
        <v>156</v>
      </c>
      <c r="H7" s="323"/>
      <c r="I7" s="325" t="s">
        <v>158</v>
      </c>
      <c r="J7" s="322" t="s">
        <v>157</v>
      </c>
      <c r="K7" s="326"/>
      <c r="L7" s="326"/>
      <c r="M7" s="326"/>
      <c r="N7" s="326"/>
      <c r="O7" s="326"/>
      <c r="Q7" s="326"/>
      <c r="R7" s="326"/>
      <c r="S7" s="326"/>
      <c r="T7" s="326"/>
      <c r="U7" s="327"/>
      <c r="V7" s="326"/>
      <c r="W7" s="326"/>
      <c r="X7" s="326"/>
      <c r="Y7" s="328" t="s">
        <v>158</v>
      </c>
      <c r="Z7" s="328" t="s">
        <v>158</v>
      </c>
      <c r="AA7" s="328" t="s">
        <v>158</v>
      </c>
      <c r="AB7" s="328"/>
      <c r="AC7" s="326" t="s">
        <v>158</v>
      </c>
      <c r="AD7" s="302" t="s">
        <v>158</v>
      </c>
      <c r="AE7" s="302" t="s">
        <v>158</v>
      </c>
      <c r="AF7" s="302"/>
      <c r="AG7" s="302"/>
      <c r="AH7" s="302" t="s">
        <v>158</v>
      </c>
      <c r="AI7" s="302" t="s">
        <v>158</v>
      </c>
      <c r="AJ7" s="302"/>
      <c r="AK7" s="302"/>
      <c r="AL7" s="302" t="s">
        <v>158</v>
      </c>
      <c r="AM7" s="302" t="s">
        <v>158</v>
      </c>
      <c r="AN7" s="302" t="s">
        <v>158</v>
      </c>
      <c r="AO7" s="302" t="s">
        <v>158</v>
      </c>
      <c r="AP7" s="302" t="s">
        <v>159</v>
      </c>
      <c r="AQ7" s="302"/>
      <c r="AR7" s="302" t="s">
        <v>159</v>
      </c>
      <c r="AS7" s="302" t="s">
        <v>159</v>
      </c>
      <c r="AT7" s="302" t="s">
        <v>156</v>
      </c>
      <c r="AU7" s="302" t="s">
        <v>159</v>
      </c>
      <c r="AY7" s="323"/>
      <c r="BA7" s="323"/>
      <c r="BB7" s="323" t="s">
        <v>160</v>
      </c>
      <c r="BE7" s="323"/>
      <c r="BF7" s="323"/>
      <c r="BG7" s="323"/>
      <c r="BH7" s="323"/>
      <c r="BI7" s="323" t="s">
        <v>160</v>
      </c>
      <c r="BJ7" s="323"/>
      <c r="BK7" s="323"/>
      <c r="BL7" s="322" t="s">
        <v>160</v>
      </c>
      <c r="BN7" s="323"/>
      <c r="BP7" s="323"/>
      <c r="BT7" s="323" t="s">
        <v>161</v>
      </c>
      <c r="BU7" s="322" t="s">
        <v>161</v>
      </c>
      <c r="BW7" s="298"/>
      <c r="BX7" s="298" t="s">
        <v>156</v>
      </c>
      <c r="BY7" s="298" t="s">
        <v>156</v>
      </c>
      <c r="BZ7" s="298"/>
      <c r="CA7" s="298" t="s">
        <v>156</v>
      </c>
      <c r="CB7" s="327"/>
      <c r="CC7" s="327"/>
      <c r="CD7" s="327"/>
      <c r="CE7" s="302" t="s">
        <v>155</v>
      </c>
    </row>
    <row r="8" spans="1:87" s="305" customFormat="1" ht="19.25" customHeight="1">
      <c r="A8" s="350" t="s">
        <v>4</v>
      </c>
      <c r="B8" s="355" t="s">
        <v>5</v>
      </c>
      <c r="C8" s="338" t="s">
        <v>6</v>
      </c>
      <c r="D8" s="342" t="s">
        <v>7</v>
      </c>
      <c r="E8" s="342" t="s">
        <v>8</v>
      </c>
      <c r="F8" s="338" t="s">
        <v>9</v>
      </c>
      <c r="G8" s="427" t="s">
        <v>10</v>
      </c>
      <c r="H8" s="349" t="s">
        <v>11</v>
      </c>
      <c r="I8" s="349" t="s">
        <v>12</v>
      </c>
      <c r="J8" s="430" t="s">
        <v>13</v>
      </c>
      <c r="K8" s="363" t="s">
        <v>14</v>
      </c>
      <c r="L8" s="364"/>
      <c r="M8" s="364"/>
      <c r="N8" s="364"/>
      <c r="O8" s="364"/>
      <c r="P8" s="364"/>
      <c r="Q8" s="364"/>
      <c r="R8" s="364"/>
      <c r="S8" s="364"/>
      <c r="T8" s="364"/>
      <c r="U8" s="364"/>
      <c r="V8" s="364"/>
      <c r="W8" s="364"/>
      <c r="X8" s="364"/>
      <c r="Y8" s="368" t="s">
        <v>15</v>
      </c>
      <c r="Z8" s="364"/>
      <c r="AA8" s="364"/>
      <c r="AB8" s="364"/>
      <c r="AC8" s="364"/>
      <c r="AD8" s="364"/>
      <c r="AE8" s="364"/>
      <c r="AF8" s="364"/>
      <c r="AG8" s="364"/>
      <c r="AH8" s="364"/>
      <c r="AI8" s="364"/>
      <c r="AJ8" s="364"/>
      <c r="AK8" s="364"/>
      <c r="AL8" s="364"/>
      <c r="AM8" s="364"/>
      <c r="AN8" s="364"/>
      <c r="AO8" s="366"/>
      <c r="AP8" s="430" t="s">
        <v>16</v>
      </c>
      <c r="AQ8" s="430" t="s">
        <v>17</v>
      </c>
      <c r="AR8" s="430" t="s">
        <v>18</v>
      </c>
      <c r="AS8" s="430" t="s">
        <v>19</v>
      </c>
      <c r="AT8" s="430" t="s">
        <v>20</v>
      </c>
      <c r="AU8" s="430" t="s">
        <v>21</v>
      </c>
      <c r="AV8" s="338" t="s">
        <v>22</v>
      </c>
      <c r="AW8" s="435" t="s">
        <v>23</v>
      </c>
      <c r="AX8" s="338" t="s">
        <v>24</v>
      </c>
      <c r="AY8" s="365" t="s">
        <v>25</v>
      </c>
      <c r="AZ8" s="364"/>
      <c r="BA8" s="364"/>
      <c r="BB8" s="364"/>
      <c r="BC8" s="364"/>
      <c r="BD8" s="364"/>
      <c r="BE8" s="364"/>
      <c r="BF8" s="364"/>
      <c r="BG8" s="364"/>
      <c r="BH8" s="364"/>
      <c r="BI8" s="364"/>
      <c r="BJ8" s="364"/>
      <c r="BK8" s="364"/>
      <c r="BL8" s="364"/>
      <c r="BM8" s="364"/>
      <c r="BN8" s="364"/>
      <c r="BO8" s="364"/>
      <c r="BP8" s="364"/>
      <c r="BQ8" s="366"/>
      <c r="BR8" s="369" t="s">
        <v>26</v>
      </c>
      <c r="BS8" s="360"/>
      <c r="BT8" s="338" t="s">
        <v>27</v>
      </c>
      <c r="BU8" s="356" t="s">
        <v>28</v>
      </c>
      <c r="BV8" s="22"/>
      <c r="BW8" s="438" t="s">
        <v>29</v>
      </c>
      <c r="BX8" s="329" t="s">
        <v>30</v>
      </c>
      <c r="BY8" s="330"/>
      <c r="BZ8" s="330"/>
      <c r="CA8" s="331"/>
      <c r="CB8" s="370" t="s">
        <v>31</v>
      </c>
      <c r="CC8" s="444" t="s">
        <v>32</v>
      </c>
      <c r="CD8" s="442" t="s">
        <v>33</v>
      </c>
      <c r="CH8" s="241"/>
      <c r="CI8" s="241"/>
    </row>
    <row r="9" spans="1:87" s="305" customFormat="1" ht="19.25" customHeight="1">
      <c r="A9" s="347"/>
      <c r="B9" s="339"/>
      <c r="C9" s="339"/>
      <c r="D9" s="339"/>
      <c r="E9" s="339"/>
      <c r="F9" s="339"/>
      <c r="G9" s="428"/>
      <c r="H9" s="347"/>
      <c r="I9" s="347"/>
      <c r="J9" s="431"/>
      <c r="K9" s="346" t="s">
        <v>34</v>
      </c>
      <c r="L9" s="346" t="s">
        <v>35</v>
      </c>
      <c r="M9" s="346" t="s">
        <v>36</v>
      </c>
      <c r="N9" s="346" t="s">
        <v>37</v>
      </c>
      <c r="O9" s="346" t="s">
        <v>38</v>
      </c>
      <c r="P9" s="346" t="s">
        <v>39</v>
      </c>
      <c r="Q9" s="346" t="s">
        <v>40</v>
      </c>
      <c r="R9" s="346" t="s">
        <v>41</v>
      </c>
      <c r="S9" s="346" t="s">
        <v>42</v>
      </c>
      <c r="T9" s="346" t="s">
        <v>43</v>
      </c>
      <c r="U9" s="346" t="s">
        <v>44</v>
      </c>
      <c r="V9" s="359" t="s">
        <v>45</v>
      </c>
      <c r="W9" s="360"/>
      <c r="X9" s="346" t="s">
        <v>46</v>
      </c>
      <c r="Y9" s="341" t="s">
        <v>154</v>
      </c>
      <c r="Z9" s="341" t="s">
        <v>48</v>
      </c>
      <c r="AA9" s="341" t="s">
        <v>49</v>
      </c>
      <c r="AB9" s="341" t="s">
        <v>50</v>
      </c>
      <c r="AC9" s="341" t="s">
        <v>51</v>
      </c>
      <c r="AD9" s="341" t="s">
        <v>52</v>
      </c>
      <c r="AE9" s="341" t="s">
        <v>53</v>
      </c>
      <c r="AF9" s="341" t="s">
        <v>54</v>
      </c>
      <c r="AG9" s="341" t="s">
        <v>55</v>
      </c>
      <c r="AH9" s="341" t="s">
        <v>56</v>
      </c>
      <c r="AI9" s="341" t="s">
        <v>57</v>
      </c>
      <c r="AJ9" s="433" t="s">
        <v>58</v>
      </c>
      <c r="AK9" s="356" t="s">
        <v>59</v>
      </c>
      <c r="AL9" s="434" t="s">
        <v>60</v>
      </c>
      <c r="AM9" s="341" t="s">
        <v>61</v>
      </c>
      <c r="AN9" s="338" t="s">
        <v>62</v>
      </c>
      <c r="AO9" s="338" t="s">
        <v>63</v>
      </c>
      <c r="AP9" s="431"/>
      <c r="AQ9" s="431"/>
      <c r="AR9" s="431"/>
      <c r="AS9" s="431"/>
      <c r="AT9" s="431"/>
      <c r="AU9" s="431"/>
      <c r="AV9" s="339"/>
      <c r="AW9" s="431"/>
      <c r="AX9" s="339"/>
      <c r="AY9" s="372" t="s">
        <v>25</v>
      </c>
      <c r="AZ9" s="373"/>
      <c r="BA9" s="373"/>
      <c r="BB9" s="373"/>
      <c r="BC9" s="373"/>
      <c r="BD9" s="373"/>
      <c r="BE9" s="373"/>
      <c r="BF9" s="373"/>
      <c r="BG9" s="373"/>
      <c r="BH9" s="373"/>
      <c r="BI9" s="373"/>
      <c r="BJ9" s="373"/>
      <c r="BK9" s="373"/>
      <c r="BL9" s="374"/>
      <c r="BM9" s="372" t="s">
        <v>64</v>
      </c>
      <c r="BN9" s="373"/>
      <c r="BO9" s="373"/>
      <c r="BP9" s="373"/>
      <c r="BQ9" s="374"/>
      <c r="BR9" s="348" t="s">
        <v>65</v>
      </c>
      <c r="BS9" s="348" t="s">
        <v>66</v>
      </c>
      <c r="BT9" s="339"/>
      <c r="BU9" s="357"/>
      <c r="BV9" s="22"/>
      <c r="BW9" s="439"/>
      <c r="BX9" s="332"/>
      <c r="BY9" s="333"/>
      <c r="BZ9" s="333"/>
      <c r="CA9" s="334"/>
      <c r="CB9" s="339"/>
      <c r="CC9" s="445"/>
      <c r="CD9" s="431"/>
      <c r="CH9" s="241"/>
      <c r="CI9" s="241"/>
    </row>
    <row r="10" spans="1:87" s="306" customFormat="1" ht="19.25" customHeight="1">
      <c r="A10" s="347"/>
      <c r="B10" s="339"/>
      <c r="C10" s="339"/>
      <c r="D10" s="339"/>
      <c r="E10" s="339"/>
      <c r="F10" s="339"/>
      <c r="G10" s="428"/>
      <c r="H10" s="347"/>
      <c r="I10" s="347"/>
      <c r="J10" s="431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61"/>
      <c r="W10" s="362"/>
      <c r="X10" s="347"/>
      <c r="Y10" s="339"/>
      <c r="Z10" s="339"/>
      <c r="AA10" s="339"/>
      <c r="AB10" s="339"/>
      <c r="AC10" s="339"/>
      <c r="AD10" s="339"/>
      <c r="AE10" s="339"/>
      <c r="AF10" s="339"/>
      <c r="AG10" s="339"/>
      <c r="AH10" s="339"/>
      <c r="AI10" s="339"/>
      <c r="AJ10" s="428"/>
      <c r="AK10" s="357"/>
      <c r="AL10" s="428"/>
      <c r="AM10" s="339"/>
      <c r="AN10" s="339"/>
      <c r="AO10" s="339"/>
      <c r="AP10" s="431"/>
      <c r="AQ10" s="431"/>
      <c r="AR10" s="431"/>
      <c r="AS10" s="431"/>
      <c r="AT10" s="431"/>
      <c r="AU10" s="431"/>
      <c r="AV10" s="339"/>
      <c r="AW10" s="431"/>
      <c r="AX10" s="339"/>
      <c r="AY10" s="101" t="s">
        <v>67</v>
      </c>
      <c r="AZ10" s="101" t="s">
        <v>68</v>
      </c>
      <c r="BA10" s="101" t="s">
        <v>69</v>
      </c>
      <c r="BB10" s="354" t="s">
        <v>70</v>
      </c>
      <c r="BC10" s="436" t="s">
        <v>71</v>
      </c>
      <c r="BD10" s="436" t="s">
        <v>72</v>
      </c>
      <c r="BE10" s="343" t="s">
        <v>73</v>
      </c>
      <c r="BF10" s="343" t="s">
        <v>74</v>
      </c>
      <c r="BG10" s="344" t="s">
        <v>75</v>
      </c>
      <c r="BH10" s="436" t="s">
        <v>76</v>
      </c>
      <c r="BI10" s="437" t="s">
        <v>77</v>
      </c>
      <c r="BJ10" s="343" t="s">
        <v>78</v>
      </c>
      <c r="BK10" s="343" t="s">
        <v>79</v>
      </c>
      <c r="BL10" s="338" t="s">
        <v>80</v>
      </c>
      <c r="BM10" s="436" t="s">
        <v>81</v>
      </c>
      <c r="BN10" s="435" t="s">
        <v>82</v>
      </c>
      <c r="BO10" s="436" t="s">
        <v>83</v>
      </c>
      <c r="BP10" s="435" t="s">
        <v>84</v>
      </c>
      <c r="BQ10" s="435" t="s">
        <v>85</v>
      </c>
      <c r="BR10" s="347"/>
      <c r="BS10" s="347"/>
      <c r="BT10" s="339"/>
      <c r="BU10" s="357"/>
      <c r="BV10" s="22"/>
      <c r="BW10" s="439"/>
      <c r="BX10" s="335"/>
      <c r="BY10" s="336"/>
      <c r="BZ10" s="336"/>
      <c r="CA10" s="337"/>
      <c r="CB10" s="339"/>
      <c r="CC10" s="445"/>
      <c r="CD10" s="431"/>
      <c r="CE10" s="320" t="s">
        <v>3</v>
      </c>
      <c r="CH10" s="241"/>
      <c r="CI10" s="241"/>
    </row>
    <row r="11" spans="1:87" s="306" customFormat="1" ht="38.25" customHeight="1">
      <c r="A11" s="345"/>
      <c r="B11" s="340"/>
      <c r="C11" s="340"/>
      <c r="D11" s="340"/>
      <c r="E11" s="340"/>
      <c r="F11" s="340"/>
      <c r="G11" s="429"/>
      <c r="H11" s="345"/>
      <c r="I11" s="345"/>
      <c r="J11" s="432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269" t="s">
        <v>86</v>
      </c>
      <c r="W11" s="269" t="s">
        <v>87</v>
      </c>
      <c r="X11" s="345"/>
      <c r="Y11" s="340"/>
      <c r="Z11" s="340"/>
      <c r="AA11" s="340"/>
      <c r="AB11" s="340"/>
      <c r="AC11" s="340"/>
      <c r="AD11" s="340"/>
      <c r="AE11" s="340"/>
      <c r="AF11" s="340"/>
      <c r="AG11" s="340"/>
      <c r="AH11" s="340"/>
      <c r="AI11" s="340"/>
      <c r="AJ11" s="429"/>
      <c r="AK11" s="358"/>
      <c r="AL11" s="429"/>
      <c r="AM11" s="340"/>
      <c r="AN11" s="340"/>
      <c r="AO11" s="340"/>
      <c r="AP11" s="432"/>
      <c r="AQ11" s="432"/>
      <c r="AR11" s="432"/>
      <c r="AS11" s="432"/>
      <c r="AT11" s="432"/>
      <c r="AU11" s="432"/>
      <c r="AV11" s="340"/>
      <c r="AW11" s="432"/>
      <c r="AX11" s="340"/>
      <c r="AY11" s="321" t="s">
        <v>88</v>
      </c>
      <c r="AZ11" s="321" t="s">
        <v>89</v>
      </c>
      <c r="BA11" s="321" t="s">
        <v>90</v>
      </c>
      <c r="BB11" s="340"/>
      <c r="BC11" s="432"/>
      <c r="BD11" s="432"/>
      <c r="BE11" s="340"/>
      <c r="BF11" s="340"/>
      <c r="BG11" s="345"/>
      <c r="BH11" s="432"/>
      <c r="BI11" s="429"/>
      <c r="BJ11" s="340"/>
      <c r="BK11" s="340"/>
      <c r="BL11" s="340"/>
      <c r="BM11" s="432"/>
      <c r="BN11" s="432"/>
      <c r="BO11" s="432"/>
      <c r="BP11" s="432"/>
      <c r="BQ11" s="432"/>
      <c r="BR11" s="345"/>
      <c r="BS11" s="345"/>
      <c r="BT11" s="340"/>
      <c r="BU11" s="358"/>
      <c r="BV11" s="22"/>
      <c r="BW11" s="440"/>
      <c r="BX11" s="441" t="s">
        <v>91</v>
      </c>
      <c r="BY11" s="441" t="s">
        <v>92</v>
      </c>
      <c r="BZ11" s="441" t="s">
        <v>93</v>
      </c>
      <c r="CA11" s="270" t="s">
        <v>94</v>
      </c>
      <c r="CB11" s="371"/>
      <c r="CC11" s="446"/>
      <c r="CD11" s="443"/>
      <c r="CE11" s="319">
        <v>26</v>
      </c>
      <c r="CF11" s="307"/>
      <c r="CH11" s="241"/>
      <c r="CI11" s="241"/>
    </row>
    <row r="12" spans="1:87" s="312" customFormat="1" ht="15" customHeight="1">
      <c r="A12" s="308">
        <v>1</v>
      </c>
      <c r="B12" s="309">
        <f>A12+1</f>
        <v>2</v>
      </c>
      <c r="C12" s="309">
        <f>B12+1</f>
        <v>3</v>
      </c>
      <c r="D12" s="309">
        <f>C12+1</f>
        <v>4</v>
      </c>
      <c r="E12" s="309"/>
      <c r="F12" s="309">
        <f>D12+1</f>
        <v>5</v>
      </c>
      <c r="G12" s="309">
        <f t="shared" ref="G12:AV12" si="0">F12+1</f>
        <v>6</v>
      </c>
      <c r="H12" s="309">
        <f t="shared" si="0"/>
        <v>7</v>
      </c>
      <c r="I12" s="309">
        <f t="shared" si="0"/>
        <v>8</v>
      </c>
      <c r="J12" s="309">
        <f t="shared" si="0"/>
        <v>9</v>
      </c>
      <c r="K12" s="309">
        <f t="shared" si="0"/>
        <v>10</v>
      </c>
      <c r="L12" s="309">
        <f t="shared" si="0"/>
        <v>11</v>
      </c>
      <c r="M12" s="309">
        <f t="shared" si="0"/>
        <v>12</v>
      </c>
      <c r="N12" s="309">
        <f t="shared" si="0"/>
        <v>13</v>
      </c>
      <c r="O12" s="309">
        <f t="shared" si="0"/>
        <v>14</v>
      </c>
      <c r="P12" s="309">
        <f t="shared" si="0"/>
        <v>15</v>
      </c>
      <c r="Q12" s="309">
        <f t="shared" si="0"/>
        <v>16</v>
      </c>
      <c r="R12" s="309">
        <f t="shared" si="0"/>
        <v>17</v>
      </c>
      <c r="S12" s="309">
        <f t="shared" si="0"/>
        <v>18</v>
      </c>
      <c r="T12" s="309">
        <f t="shared" si="0"/>
        <v>19</v>
      </c>
      <c r="U12" s="309">
        <f t="shared" si="0"/>
        <v>20</v>
      </c>
      <c r="V12" s="309">
        <f t="shared" si="0"/>
        <v>21</v>
      </c>
      <c r="W12" s="309">
        <f t="shared" si="0"/>
        <v>22</v>
      </c>
      <c r="X12" s="309">
        <f t="shared" si="0"/>
        <v>23</v>
      </c>
      <c r="Y12" s="309">
        <f t="shared" si="0"/>
        <v>24</v>
      </c>
      <c r="Z12" s="309">
        <f t="shared" si="0"/>
        <v>25</v>
      </c>
      <c r="AA12" s="309">
        <f t="shared" si="0"/>
        <v>26</v>
      </c>
      <c r="AB12" s="309">
        <f t="shared" si="0"/>
        <v>27</v>
      </c>
      <c r="AC12" s="309">
        <f t="shared" si="0"/>
        <v>28</v>
      </c>
      <c r="AD12" s="309">
        <f t="shared" si="0"/>
        <v>29</v>
      </c>
      <c r="AE12" s="309">
        <f t="shared" si="0"/>
        <v>30</v>
      </c>
      <c r="AF12" s="309">
        <f t="shared" si="0"/>
        <v>31</v>
      </c>
      <c r="AG12" s="309">
        <f t="shared" si="0"/>
        <v>32</v>
      </c>
      <c r="AH12" s="309">
        <f t="shared" si="0"/>
        <v>33</v>
      </c>
      <c r="AI12" s="309">
        <f t="shared" si="0"/>
        <v>34</v>
      </c>
      <c r="AJ12" s="309">
        <f t="shared" si="0"/>
        <v>35</v>
      </c>
      <c r="AK12" s="309">
        <f t="shared" si="0"/>
        <v>36</v>
      </c>
      <c r="AL12" s="309">
        <f t="shared" si="0"/>
        <v>37</v>
      </c>
      <c r="AM12" s="309">
        <f t="shared" si="0"/>
        <v>38</v>
      </c>
      <c r="AN12" s="309">
        <f t="shared" si="0"/>
        <v>39</v>
      </c>
      <c r="AO12" s="309">
        <f t="shared" si="0"/>
        <v>40</v>
      </c>
      <c r="AP12" s="309">
        <f t="shared" si="0"/>
        <v>41</v>
      </c>
      <c r="AQ12" s="309">
        <f t="shared" si="0"/>
        <v>42</v>
      </c>
      <c r="AR12" s="309">
        <f t="shared" si="0"/>
        <v>43</v>
      </c>
      <c r="AS12" s="309">
        <f t="shared" si="0"/>
        <v>44</v>
      </c>
      <c r="AT12" s="309">
        <f t="shared" si="0"/>
        <v>45</v>
      </c>
      <c r="AU12" s="309">
        <f t="shared" si="0"/>
        <v>46</v>
      </c>
      <c r="AV12" s="309">
        <f t="shared" si="0"/>
        <v>47</v>
      </c>
      <c r="AW12" s="309"/>
      <c r="AX12" s="309"/>
      <c r="AY12" s="309">
        <f>AV12+1</f>
        <v>48</v>
      </c>
      <c r="AZ12" s="309">
        <f t="shared" ref="AZ12:BE12" si="1">AY12+1</f>
        <v>49</v>
      </c>
      <c r="BA12" s="309">
        <f t="shared" si="1"/>
        <v>50</v>
      </c>
      <c r="BB12" s="309">
        <f t="shared" si="1"/>
        <v>51</v>
      </c>
      <c r="BC12" s="309">
        <f t="shared" si="1"/>
        <v>52</v>
      </c>
      <c r="BD12" s="309">
        <f t="shared" si="1"/>
        <v>53</v>
      </c>
      <c r="BE12" s="309">
        <f t="shared" si="1"/>
        <v>54</v>
      </c>
      <c r="BF12" s="309"/>
      <c r="BG12" s="309"/>
      <c r="BH12" s="309"/>
      <c r="BI12" s="309"/>
      <c r="BJ12" s="309"/>
      <c r="BK12" s="309"/>
      <c r="BL12" s="309">
        <f>BE12+1</f>
        <v>55</v>
      </c>
      <c r="BM12" s="309">
        <f t="shared" ref="BM12:BU12" si="2">BL12+1</f>
        <v>56</v>
      </c>
      <c r="BN12" s="309">
        <f t="shared" si="2"/>
        <v>57</v>
      </c>
      <c r="BO12" s="309">
        <f t="shared" si="2"/>
        <v>58</v>
      </c>
      <c r="BP12" s="309">
        <f t="shared" si="2"/>
        <v>59</v>
      </c>
      <c r="BQ12" s="309">
        <f t="shared" si="2"/>
        <v>60</v>
      </c>
      <c r="BR12" s="309">
        <f t="shared" si="2"/>
        <v>61</v>
      </c>
      <c r="BS12" s="309">
        <f t="shared" si="2"/>
        <v>62</v>
      </c>
      <c r="BT12" s="309">
        <f t="shared" si="2"/>
        <v>63</v>
      </c>
      <c r="BU12" s="309">
        <f t="shared" si="2"/>
        <v>64</v>
      </c>
      <c r="BV12" s="310"/>
      <c r="BW12" s="311" t="s">
        <v>95</v>
      </c>
      <c r="BX12" s="309">
        <f t="shared" ref="BX12:CD12" si="3">BW12+1</f>
        <v>66</v>
      </c>
      <c r="BY12" s="309">
        <f t="shared" si="3"/>
        <v>67</v>
      </c>
      <c r="BZ12" s="309">
        <f t="shared" si="3"/>
        <v>68</v>
      </c>
      <c r="CA12" s="309">
        <f t="shared" si="3"/>
        <v>69</v>
      </c>
      <c r="CB12" s="309">
        <f t="shared" si="3"/>
        <v>70</v>
      </c>
      <c r="CC12" s="309">
        <f t="shared" si="3"/>
        <v>71</v>
      </c>
      <c r="CD12" s="309">
        <f t="shared" si="3"/>
        <v>72</v>
      </c>
      <c r="CG12" s="306"/>
      <c r="CH12" s="241"/>
      <c r="CI12" s="241"/>
    </row>
    <row r="13" spans="1:87" s="312" customFormat="1" ht="15" customHeight="1">
      <c r="A13" s="308" t="s">
        <v>96</v>
      </c>
      <c r="B13" s="308" t="s">
        <v>96</v>
      </c>
      <c r="C13" s="308" t="s">
        <v>96</v>
      </c>
      <c r="D13" s="309"/>
      <c r="E13" s="309"/>
      <c r="F13" s="309"/>
      <c r="G13" s="308" t="s">
        <v>96</v>
      </c>
      <c r="H13" s="308" t="s">
        <v>96</v>
      </c>
      <c r="I13" s="308" t="s">
        <v>96</v>
      </c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  <c r="AF13" s="309"/>
      <c r="AG13" s="309"/>
      <c r="AH13" s="309"/>
      <c r="AI13" s="309"/>
      <c r="AJ13" s="309"/>
      <c r="AK13" s="309"/>
      <c r="AL13" s="309"/>
      <c r="AM13" s="309"/>
      <c r="AN13" s="309"/>
      <c r="AO13" s="309"/>
      <c r="AP13" s="309"/>
      <c r="AQ13" s="309"/>
      <c r="AR13" s="309"/>
      <c r="AS13" s="309"/>
      <c r="AT13" s="309"/>
      <c r="AU13" s="309"/>
      <c r="AV13" s="309"/>
      <c r="AW13" s="309"/>
      <c r="AX13" s="309"/>
      <c r="AY13" s="309"/>
      <c r="AZ13" s="309"/>
      <c r="BA13" s="309"/>
      <c r="BB13" s="309"/>
      <c r="BC13" s="309"/>
      <c r="BD13" s="309"/>
      <c r="BE13" s="309"/>
      <c r="BF13" s="309"/>
      <c r="BG13" s="309"/>
      <c r="BH13" s="309"/>
      <c r="BI13" s="309"/>
      <c r="BJ13" s="309"/>
      <c r="BK13" s="309"/>
      <c r="BL13" s="309"/>
      <c r="BM13" s="309"/>
      <c r="BN13" s="309"/>
      <c r="BO13" s="309"/>
      <c r="BP13" s="309"/>
      <c r="BQ13" s="309"/>
      <c r="BR13" s="309"/>
      <c r="BS13" s="309"/>
      <c r="BT13" s="309"/>
      <c r="BU13" s="313"/>
      <c r="BV13" s="310"/>
      <c r="BW13" s="311"/>
      <c r="BX13" s="309"/>
      <c r="BY13" s="309"/>
      <c r="BZ13" s="309"/>
      <c r="CA13" s="309"/>
      <c r="CB13" s="309"/>
      <c r="CC13" s="309"/>
      <c r="CD13" s="309"/>
      <c r="CG13" s="306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300000</v>
      </c>
      <c r="I14" s="94">
        <f>SUM(I15:I21)</f>
        <v>183399990</v>
      </c>
      <c r="J14" s="94"/>
      <c r="K14" s="314">
        <f t="shared" ref="K14:S14" si="4">SUM(K15:K21)</f>
        <v>166</v>
      </c>
      <c r="L14" s="314">
        <f t="shared" si="4"/>
        <v>8</v>
      </c>
      <c r="M14" s="314">
        <f t="shared" si="4"/>
        <v>2</v>
      </c>
      <c r="N14" s="314">
        <f t="shared" si="4"/>
        <v>2</v>
      </c>
      <c r="O14" s="314">
        <f t="shared" si="4"/>
        <v>0</v>
      </c>
      <c r="P14" s="314">
        <f t="shared" si="4"/>
        <v>5</v>
      </c>
      <c r="Q14" s="314">
        <f t="shared" si="4"/>
        <v>2</v>
      </c>
      <c r="R14" s="314">
        <f t="shared" si="4"/>
        <v>0</v>
      </c>
      <c r="S14" s="314">
        <f t="shared" si="4"/>
        <v>2</v>
      </c>
      <c r="T14" s="314"/>
      <c r="U14" s="314">
        <f>SUM(U15:U21)</f>
        <v>2</v>
      </c>
      <c r="V14" s="314">
        <f>SUM(V15:V21)</f>
        <v>0</v>
      </c>
      <c r="W14" s="314">
        <f>SUM(W15:W21)</f>
        <v>0</v>
      </c>
      <c r="X14" s="314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181303448.65384617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3756801</v>
      </c>
      <c r="AZ14" s="94">
        <f>SUM(AZ15:AZ21)</f>
        <v>704400</v>
      </c>
      <c r="BA14" s="94">
        <f>SUM(BA15:BA21)</f>
        <v>469600</v>
      </c>
      <c r="BB14" s="94">
        <f>SUM(BB15:BB21)</f>
        <v>4930801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10161488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5">
        <f>SUM(BU15:BU21)</f>
        <v>226721558.59230769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1">
        <f>IF(B15=0,"",COUNTA($B$15:(B15)))</f>
        <v>1</v>
      </c>
      <c r="B15" s="272">
        <v>2405236</v>
      </c>
      <c r="C15" s="273" t="s">
        <v>97</v>
      </c>
      <c r="D15" s="274" t="s">
        <v>98</v>
      </c>
      <c r="E15" s="275" t="s">
        <v>99</v>
      </c>
      <c r="F15" s="275" t="s">
        <v>100</v>
      </c>
      <c r="G15" s="276">
        <v>9520000</v>
      </c>
      <c r="H15" s="276">
        <f t="shared" ref="H15:H21" si="7">+IF(OR(CC15="ĐT PCCC",CC15="ĐP PCCC"),780000,IF(CC15="AT-VSV",300000,0))</f>
        <v>0</v>
      </c>
      <c r="I15" s="276">
        <f t="shared" ref="I15:I21" si="8">CB15-BZ15-G15-H15</f>
        <v>53480000</v>
      </c>
      <c r="J15" s="277">
        <v>1</v>
      </c>
      <c r="K15" s="278">
        <v>26</v>
      </c>
      <c r="L15" s="278">
        <v>0</v>
      </c>
      <c r="M15" s="278">
        <v>0</v>
      </c>
      <c r="N15" s="278">
        <v>0</v>
      </c>
      <c r="O15" s="278">
        <v>0</v>
      </c>
      <c r="P15" s="278">
        <v>0</v>
      </c>
      <c r="Q15" s="278">
        <v>0</v>
      </c>
      <c r="R15" s="278">
        <v>0</v>
      </c>
      <c r="S15" s="278">
        <v>0</v>
      </c>
      <c r="T15" s="278"/>
      <c r="U15" s="278">
        <v>0</v>
      </c>
      <c r="V15" s="278">
        <v>0</v>
      </c>
      <c r="W15" s="278">
        <v>0</v>
      </c>
      <c r="X15" s="278">
        <v>0</v>
      </c>
      <c r="Y15" s="276">
        <f t="shared" ref="Y15:Y21" si="9">G15*(K15+L15)/26</f>
        <v>9520000</v>
      </c>
      <c r="Z15" s="276">
        <f t="shared" ref="Z15:Z21" si="10">M15*G15/26</f>
        <v>0</v>
      </c>
      <c r="AA15" s="276">
        <f t="shared" ref="AA15:AA21" si="11">G15*N15/26</f>
        <v>0</v>
      </c>
      <c r="AB15" s="276">
        <f t="shared" ref="AB15:AB21" si="12">G15*O15/26</f>
        <v>0</v>
      </c>
      <c r="AC15" s="276">
        <f t="shared" ref="AC15:AC21" si="13">G15*P15*150%/26</f>
        <v>0</v>
      </c>
      <c r="AD15" s="276">
        <f t="shared" ref="AD15:AD21" si="14">G15*Q15/26*200%</f>
        <v>0</v>
      </c>
      <c r="AE15" s="276">
        <f t="shared" ref="AE15:AE21" si="15">G15*R15/26*300%</f>
        <v>0</v>
      </c>
      <c r="AF15" s="276">
        <f>ROUND((G15+H15)/26*S15*30%,0)</f>
        <v>0</v>
      </c>
      <c r="AG15" s="276">
        <f t="shared" ref="AG15:AG21" si="16">T15*G15/26/8</f>
        <v>0</v>
      </c>
      <c r="AH15" s="276">
        <f t="shared" ref="AH15:AH21" si="17">CB15/26*U15</f>
        <v>0</v>
      </c>
      <c r="AI15" s="276">
        <f t="shared" ref="AI15:AI21" si="18">G15*V15/26</f>
        <v>0</v>
      </c>
      <c r="AJ15" s="276"/>
      <c r="AK15" s="276">
        <f t="shared" ref="AK15:AK21" si="19">BZ15*L15/26</f>
        <v>0</v>
      </c>
      <c r="AL15" s="276"/>
      <c r="AM15" s="276">
        <f t="shared" ref="AM15:AM21" si="20">X15*CD15</f>
        <v>0</v>
      </c>
      <c r="AN15" s="276">
        <f>H15/26*(K15+L15)</f>
        <v>0</v>
      </c>
      <c r="AO15" s="276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6"/>
      <c r="AQ15" s="276"/>
      <c r="AR15" s="276">
        <v>1000000</v>
      </c>
      <c r="AS15" s="276"/>
      <c r="AT15" s="276"/>
      <c r="AU15" s="276"/>
      <c r="AV15" s="276">
        <f t="shared" ref="AV15:AV21" si="22">Y15+Z15+AA15+AB15+AC15+AD15+AE15+AF15+AG15+AI15+AJ15+AK15+AL15+AM15+AN15+AO15+AP15-AQ15+AR15+AS15+AT15+AU15</f>
        <v>64000000</v>
      </c>
      <c r="AW15" s="276"/>
      <c r="AX15" s="276" t="str">
        <f t="shared" ref="AX15:AX21" si="23">IF(E15="CT","x",0)</f>
        <v>x</v>
      </c>
      <c r="AY15" s="279">
        <f t="shared" ref="AY15:BA21" si="24">ROUND(IF($AX15="x",($G15+$H15)*AY$11,0),0)</f>
        <v>761600</v>
      </c>
      <c r="AZ15" s="279">
        <f t="shared" si="24"/>
        <v>142800</v>
      </c>
      <c r="BA15" s="279">
        <f t="shared" si="24"/>
        <v>95200</v>
      </c>
      <c r="BB15" s="279">
        <f t="shared" ref="BB15:BB21" si="25">SUM(AY15:BA15)</f>
        <v>999600</v>
      </c>
      <c r="BC15" s="279"/>
      <c r="BD15" s="279"/>
      <c r="BE15" s="279">
        <f t="shared" ref="BE15:BE21" si="26">IF(G15*1%&gt;=234000,234000,G15*1%)</f>
        <v>95200</v>
      </c>
      <c r="BF15" s="279">
        <f>AM15+IF(E15="CT",IF(AR15&gt;=730000,730000,AR15),0)+IF(((AV15-AM15-IF(AR15&gt;=730000,730000,AR15)-AS15)*15%-AS15)&gt;0,((AV15-AM15-IF(AR15&gt;=730000,730000,AR15)-AS15)*15%-AS15),0)</f>
        <v>10220500</v>
      </c>
      <c r="BG15" s="279">
        <f t="shared" ref="BG15:BG21" si="27">AV15-BF15+AW15</f>
        <v>53779500</v>
      </c>
      <c r="BH15" s="279">
        <v>3</v>
      </c>
      <c r="BI15" s="279">
        <v>6200000</v>
      </c>
      <c r="BJ15" s="279">
        <f>IF(E15="CT",15500000,0)</f>
        <v>15500000</v>
      </c>
      <c r="BK15" s="279">
        <f t="shared" ref="BK15:BK21" si="28">BG15-BB15-BC15+BD15-BH15*BI15-BJ15</f>
        <v>18679900</v>
      </c>
      <c r="BL15" s="280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9"/>
      <c r="BN15" s="279"/>
      <c r="BO15" s="279">
        <v>0</v>
      </c>
      <c r="BP15" s="279"/>
      <c r="BQ15" s="279"/>
      <c r="BR15" s="279"/>
      <c r="BS15" s="279"/>
      <c r="BT15" s="447"/>
      <c r="BU15" s="281">
        <f t="shared" ref="BU15:BU21" si="30">AV15-BB15-BC15+BD15-BE15-BL15-BM15-BN15-BO15-BP15-BQ15-BR15+BS15-BT15</f>
        <v>60819220</v>
      </c>
      <c r="BV15" s="252"/>
      <c r="BW15" s="282">
        <v>60000000</v>
      </c>
      <c r="BX15" s="280">
        <v>0</v>
      </c>
      <c r="BY15" s="280"/>
      <c r="BZ15" s="280">
        <v>200000</v>
      </c>
      <c r="CA15" s="280">
        <f t="shared" ref="CA15:CA21" si="31">+BW15*5%</f>
        <v>3000000</v>
      </c>
      <c r="CB15" s="280">
        <f t="shared" ref="CB15:CB21" si="32">SUM(BW15:CA15)</f>
        <v>63200000</v>
      </c>
      <c r="CC15" s="280"/>
      <c r="CD15" s="280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9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9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39447689.615384616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9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9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11625326.923076924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9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22681850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9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6"/>
      <c r="X22" s="316"/>
      <c r="AC22" s="317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8"/>
      <c r="X24" s="318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T9:T11"/>
    <mergeCell ref="BQ10:BQ11"/>
    <mergeCell ref="AB9:AB11"/>
    <mergeCell ref="Y8:AO8"/>
    <mergeCell ref="BJ10:BJ11"/>
    <mergeCell ref="AS8:AS11"/>
    <mergeCell ref="AV8:AV11"/>
    <mergeCell ref="AJ9:AJ11"/>
    <mergeCell ref="P9:P11"/>
    <mergeCell ref="E8:E11"/>
    <mergeCell ref="G8:G11"/>
    <mergeCell ref="H8:H11"/>
    <mergeCell ref="J8:J11"/>
    <mergeCell ref="I8:I11"/>
    <mergeCell ref="L9:L11"/>
    <mergeCell ref="F8:F11"/>
    <mergeCell ref="AY8:BQ8"/>
    <mergeCell ref="BC10:BC11"/>
    <mergeCell ref="Z9:Z11"/>
    <mergeCell ref="AD9:AD11"/>
    <mergeCell ref="BT8:BT11"/>
    <mergeCell ref="BE10:BE11"/>
    <mergeCell ref="AR8:AR11"/>
    <mergeCell ref="AT8:AT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8"/>
      <c r="B3" s="396"/>
      <c r="C3" s="396"/>
      <c r="D3" s="396"/>
      <c r="E3" s="396"/>
      <c r="F3" s="396"/>
      <c r="G3" s="396"/>
      <c r="H3" s="396"/>
      <c r="I3" s="396"/>
      <c r="J3" s="396"/>
      <c r="K3" s="396"/>
      <c r="L3" s="396"/>
      <c r="M3" s="396"/>
      <c r="N3" s="396"/>
      <c r="O3" s="396"/>
      <c r="P3" s="396"/>
      <c r="Q3" s="396"/>
      <c r="R3" s="396"/>
      <c r="S3" s="396"/>
      <c r="T3" s="396"/>
      <c r="U3" s="396"/>
      <c r="V3" s="396"/>
      <c r="W3" s="396"/>
      <c r="X3" s="396"/>
      <c r="Y3" s="396"/>
      <c r="Z3" s="396"/>
      <c r="AA3" s="396"/>
      <c r="AB3" s="396"/>
      <c r="AC3" s="396"/>
      <c r="AD3" s="396"/>
      <c r="AE3" s="396"/>
      <c r="AF3" s="396"/>
      <c r="AG3" s="396"/>
      <c r="AH3" s="396"/>
      <c r="AI3" s="396"/>
      <c r="AJ3" s="396"/>
      <c r="AK3" s="396"/>
      <c r="AL3" s="396"/>
      <c r="AM3" s="396"/>
      <c r="AN3" s="396"/>
      <c r="AO3" s="396"/>
      <c r="AP3" s="396"/>
      <c r="AQ3" s="396"/>
      <c r="AR3" s="396"/>
      <c r="AS3" s="396"/>
      <c r="AT3" s="396"/>
      <c r="AU3" s="396"/>
      <c r="AV3" s="396"/>
      <c r="AW3" s="396"/>
      <c r="AX3" s="396"/>
      <c r="AY3" s="396"/>
      <c r="AZ3" s="396"/>
      <c r="BA3" s="396"/>
      <c r="BB3" s="396"/>
      <c r="BC3" s="396"/>
      <c r="BD3" s="396"/>
      <c r="BE3" s="396"/>
      <c r="BF3" s="396"/>
      <c r="BG3" s="396"/>
      <c r="BH3" s="396"/>
      <c r="BI3" s="396"/>
      <c r="BJ3" s="396"/>
      <c r="BK3" s="396"/>
      <c r="BL3" s="396"/>
      <c r="BM3" s="396"/>
      <c r="BN3" s="396"/>
      <c r="BO3" s="396"/>
      <c r="BP3" s="396"/>
      <c r="BQ3" s="396"/>
      <c r="BR3" s="396"/>
      <c r="BS3" s="396"/>
      <c r="BT3" s="396"/>
      <c r="BU3" s="396"/>
      <c r="BW3" s="395" t="s">
        <v>2</v>
      </c>
      <c r="BX3" s="396"/>
      <c r="BY3" s="396"/>
      <c r="BZ3" s="396"/>
      <c r="CA3" s="396"/>
      <c r="CB3" s="396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6"/>
      <c r="BX4" s="396"/>
      <c r="BY4" s="396"/>
      <c r="BZ4" s="396"/>
      <c r="CA4" s="396"/>
      <c r="CB4" s="396"/>
      <c r="CC4" s="133"/>
      <c r="CD4" s="133"/>
    </row>
    <row r="5" spans="1:87" s="136" customFormat="1">
      <c r="A5" s="383" t="s">
        <v>4</v>
      </c>
      <c r="B5" s="394" t="s">
        <v>5</v>
      </c>
      <c r="C5" s="382" t="s">
        <v>6</v>
      </c>
      <c r="D5" s="389" t="s">
        <v>7</v>
      </c>
      <c r="E5" s="389" t="s">
        <v>8</v>
      </c>
      <c r="F5" s="382" t="s">
        <v>9</v>
      </c>
      <c r="G5" s="382" t="s">
        <v>10</v>
      </c>
      <c r="H5" s="338" t="s">
        <v>11</v>
      </c>
      <c r="I5" s="338" t="s">
        <v>12</v>
      </c>
      <c r="J5" s="382" t="s">
        <v>13</v>
      </c>
      <c r="K5" s="387" t="s">
        <v>14</v>
      </c>
      <c r="L5" s="379"/>
      <c r="M5" s="379"/>
      <c r="N5" s="379"/>
      <c r="O5" s="379"/>
      <c r="P5" s="379"/>
      <c r="Q5" s="379"/>
      <c r="R5" s="379"/>
      <c r="S5" s="379"/>
      <c r="T5" s="379"/>
      <c r="U5" s="379"/>
      <c r="V5" s="379"/>
      <c r="W5" s="379"/>
      <c r="X5" s="379"/>
      <c r="Y5" s="382" t="s">
        <v>15</v>
      </c>
      <c r="Z5" s="379"/>
      <c r="AA5" s="379"/>
      <c r="AB5" s="379"/>
      <c r="AC5" s="379"/>
      <c r="AD5" s="379"/>
      <c r="AE5" s="379"/>
      <c r="AF5" s="379"/>
      <c r="AG5" s="379"/>
      <c r="AH5" s="379"/>
      <c r="AI5" s="379"/>
      <c r="AJ5" s="379"/>
      <c r="AK5" s="379"/>
      <c r="AL5" s="379"/>
      <c r="AM5" s="379"/>
      <c r="AN5" s="379"/>
      <c r="AO5" s="380"/>
      <c r="AP5" s="382" t="s">
        <v>16</v>
      </c>
      <c r="AQ5" s="382" t="s">
        <v>17</v>
      </c>
      <c r="AR5" s="382" t="s">
        <v>18</v>
      </c>
      <c r="AS5" s="382" t="s">
        <v>19</v>
      </c>
      <c r="AT5" s="382" t="s">
        <v>20</v>
      </c>
      <c r="AU5" s="382" t="s">
        <v>21</v>
      </c>
      <c r="AV5" s="382" t="s">
        <v>22</v>
      </c>
      <c r="AW5" s="382" t="s">
        <v>23</v>
      </c>
      <c r="AX5" s="382" t="s">
        <v>24</v>
      </c>
      <c r="AY5" s="378" t="s">
        <v>25</v>
      </c>
      <c r="AZ5" s="379"/>
      <c r="BA5" s="379"/>
      <c r="BB5" s="379"/>
      <c r="BC5" s="379"/>
      <c r="BD5" s="379"/>
      <c r="BE5" s="379"/>
      <c r="BF5" s="379"/>
      <c r="BG5" s="379"/>
      <c r="BH5" s="379"/>
      <c r="BI5" s="379"/>
      <c r="BJ5" s="379"/>
      <c r="BK5" s="379"/>
      <c r="BL5" s="379"/>
      <c r="BM5" s="379"/>
      <c r="BN5" s="379"/>
      <c r="BO5" s="379"/>
      <c r="BP5" s="379"/>
      <c r="BQ5" s="380"/>
      <c r="BR5" s="399" t="s">
        <v>26</v>
      </c>
      <c r="BS5" s="392"/>
      <c r="BT5" s="378" t="s">
        <v>27</v>
      </c>
      <c r="BU5" s="410" t="s">
        <v>28</v>
      </c>
      <c r="BW5" s="411" t="s">
        <v>29</v>
      </c>
      <c r="BX5" s="400" t="s">
        <v>30</v>
      </c>
      <c r="BY5" s="401"/>
      <c r="BZ5" s="401"/>
      <c r="CA5" s="392"/>
      <c r="CB5" s="412" t="s">
        <v>31</v>
      </c>
      <c r="CC5" s="397" t="s">
        <v>32</v>
      </c>
      <c r="CD5" s="397" t="s">
        <v>33</v>
      </c>
      <c r="CH5" s="137"/>
      <c r="CI5" s="138"/>
    </row>
    <row r="6" spans="1:87" s="136" customFormat="1">
      <c r="A6" s="376"/>
      <c r="B6" s="376"/>
      <c r="C6" s="376"/>
      <c r="D6" s="376"/>
      <c r="E6" s="376"/>
      <c r="F6" s="376"/>
      <c r="G6" s="376"/>
      <c r="H6" s="376"/>
      <c r="I6" s="376"/>
      <c r="J6" s="376"/>
      <c r="K6" s="390" t="s">
        <v>34</v>
      </c>
      <c r="L6" s="390" t="s">
        <v>35</v>
      </c>
      <c r="M6" s="390" t="s">
        <v>36</v>
      </c>
      <c r="N6" s="390" t="s">
        <v>37</v>
      </c>
      <c r="O6" s="390" t="s">
        <v>38</v>
      </c>
      <c r="P6" s="390" t="s">
        <v>39</v>
      </c>
      <c r="Q6" s="390" t="s">
        <v>40</v>
      </c>
      <c r="R6" s="390" t="s">
        <v>41</v>
      </c>
      <c r="S6" s="390" t="s">
        <v>42</v>
      </c>
      <c r="T6" s="390" t="s">
        <v>43</v>
      </c>
      <c r="U6" s="390" t="s">
        <v>44</v>
      </c>
      <c r="V6" s="391" t="s">
        <v>45</v>
      </c>
      <c r="W6" s="392"/>
      <c r="X6" s="390" t="s">
        <v>46</v>
      </c>
      <c r="Y6" s="382" t="s">
        <v>47</v>
      </c>
      <c r="Z6" s="382" t="s">
        <v>48</v>
      </c>
      <c r="AA6" s="382" t="s">
        <v>49</v>
      </c>
      <c r="AB6" s="382" t="s">
        <v>50</v>
      </c>
      <c r="AC6" s="338" t="s">
        <v>51</v>
      </c>
      <c r="AD6" s="338" t="s">
        <v>52</v>
      </c>
      <c r="AE6" s="338" t="s">
        <v>53</v>
      </c>
      <c r="AF6" s="338" t="s">
        <v>54</v>
      </c>
      <c r="AG6" s="382" t="s">
        <v>55</v>
      </c>
      <c r="AH6" s="338" t="s">
        <v>56</v>
      </c>
      <c r="AI6" s="338" t="s">
        <v>57</v>
      </c>
      <c r="AJ6" s="382" t="s">
        <v>58</v>
      </c>
      <c r="AK6" s="384" t="s">
        <v>59</v>
      </c>
      <c r="AL6" s="382" t="s">
        <v>60</v>
      </c>
      <c r="AM6" s="382" t="s">
        <v>61</v>
      </c>
      <c r="AN6" s="388" t="s">
        <v>62</v>
      </c>
      <c r="AO6" s="382" t="s">
        <v>63</v>
      </c>
      <c r="AP6" s="376"/>
      <c r="AQ6" s="376"/>
      <c r="AR6" s="376"/>
      <c r="AS6" s="376"/>
      <c r="AT6" s="376"/>
      <c r="AU6" s="376"/>
      <c r="AV6" s="376"/>
      <c r="AW6" s="376"/>
      <c r="AX6" s="376"/>
      <c r="AY6" s="378" t="s">
        <v>25</v>
      </c>
      <c r="AZ6" s="379"/>
      <c r="BA6" s="379"/>
      <c r="BB6" s="379"/>
      <c r="BC6" s="379"/>
      <c r="BD6" s="379"/>
      <c r="BE6" s="379"/>
      <c r="BF6" s="379"/>
      <c r="BG6" s="379"/>
      <c r="BH6" s="379"/>
      <c r="BI6" s="379"/>
      <c r="BJ6" s="379"/>
      <c r="BK6" s="379"/>
      <c r="BL6" s="380"/>
      <c r="BM6" s="378" t="s">
        <v>64</v>
      </c>
      <c r="BN6" s="379"/>
      <c r="BO6" s="379"/>
      <c r="BP6" s="379"/>
      <c r="BQ6" s="380"/>
      <c r="BR6" s="375" t="s">
        <v>65</v>
      </c>
      <c r="BS6" s="375" t="s">
        <v>66</v>
      </c>
      <c r="BT6" s="376"/>
      <c r="BU6" s="385"/>
      <c r="BW6" s="403"/>
      <c r="BX6" s="385"/>
      <c r="BY6" s="402"/>
      <c r="BZ6" s="402"/>
      <c r="CA6" s="403"/>
      <c r="CB6" s="376"/>
      <c r="CC6" s="376"/>
      <c r="CD6" s="376"/>
      <c r="CH6" s="137"/>
      <c r="CI6" s="138"/>
    </row>
    <row r="7" spans="1:87" s="139" customFormat="1" ht="12">
      <c r="A7" s="376"/>
      <c r="B7" s="376"/>
      <c r="C7" s="376"/>
      <c r="D7" s="376"/>
      <c r="E7" s="376"/>
      <c r="F7" s="376"/>
      <c r="G7" s="376"/>
      <c r="H7" s="376"/>
      <c r="I7" s="376"/>
      <c r="J7" s="376"/>
      <c r="K7" s="376"/>
      <c r="L7" s="376"/>
      <c r="M7" s="376"/>
      <c r="N7" s="376"/>
      <c r="O7" s="376"/>
      <c r="P7" s="376"/>
      <c r="Q7" s="376"/>
      <c r="R7" s="376"/>
      <c r="S7" s="376"/>
      <c r="T7" s="376"/>
      <c r="U7" s="376"/>
      <c r="V7" s="386"/>
      <c r="W7" s="393"/>
      <c r="X7" s="376"/>
      <c r="Y7" s="376"/>
      <c r="Z7" s="376"/>
      <c r="AA7" s="376"/>
      <c r="AB7" s="376"/>
      <c r="AC7" s="376"/>
      <c r="AD7" s="376"/>
      <c r="AE7" s="376"/>
      <c r="AF7" s="376"/>
      <c r="AG7" s="376"/>
      <c r="AH7" s="376"/>
      <c r="AI7" s="376"/>
      <c r="AJ7" s="376"/>
      <c r="AK7" s="385"/>
      <c r="AL7" s="376"/>
      <c r="AM7" s="376"/>
      <c r="AN7" s="376"/>
      <c r="AO7" s="376"/>
      <c r="AP7" s="376"/>
      <c r="AQ7" s="376"/>
      <c r="AR7" s="376"/>
      <c r="AS7" s="376"/>
      <c r="AT7" s="376"/>
      <c r="AU7" s="376"/>
      <c r="AV7" s="376"/>
      <c r="AW7" s="376"/>
      <c r="AX7" s="376"/>
      <c r="AY7" s="101" t="s">
        <v>67</v>
      </c>
      <c r="AZ7" s="101" t="s">
        <v>68</v>
      </c>
      <c r="BA7" s="101" t="s">
        <v>69</v>
      </c>
      <c r="BB7" s="378" t="s">
        <v>70</v>
      </c>
      <c r="BC7" s="381" t="s">
        <v>71</v>
      </c>
      <c r="BD7" s="381" t="s">
        <v>72</v>
      </c>
      <c r="BE7" s="407" t="s">
        <v>73</v>
      </c>
      <c r="BF7" s="381" t="s">
        <v>74</v>
      </c>
      <c r="BG7" s="381" t="s">
        <v>75</v>
      </c>
      <c r="BH7" s="381" t="s">
        <v>76</v>
      </c>
      <c r="BI7" s="381" t="s">
        <v>77</v>
      </c>
      <c r="BJ7" s="381" t="s">
        <v>78</v>
      </c>
      <c r="BK7" s="381" t="s">
        <v>79</v>
      </c>
      <c r="BL7" s="409" t="s">
        <v>80</v>
      </c>
      <c r="BM7" s="381" t="s">
        <v>81</v>
      </c>
      <c r="BN7" s="378" t="s">
        <v>82</v>
      </c>
      <c r="BO7" s="381" t="s">
        <v>83</v>
      </c>
      <c r="BP7" s="378" t="s">
        <v>84</v>
      </c>
      <c r="BQ7" s="378" t="s">
        <v>85</v>
      </c>
      <c r="BR7" s="376"/>
      <c r="BS7" s="376"/>
      <c r="BT7" s="376"/>
      <c r="BU7" s="385"/>
      <c r="BW7" s="403"/>
      <c r="BX7" s="404"/>
      <c r="BY7" s="405"/>
      <c r="BZ7" s="405"/>
      <c r="CA7" s="406"/>
      <c r="CB7" s="376"/>
      <c r="CC7" s="376"/>
      <c r="CD7" s="376"/>
      <c r="CH7" s="137"/>
      <c r="CI7" s="138"/>
    </row>
    <row r="8" spans="1:87" s="139" customFormat="1" ht="12">
      <c r="A8" s="377"/>
      <c r="B8" s="377"/>
      <c r="C8" s="377"/>
      <c r="D8" s="377"/>
      <c r="E8" s="377"/>
      <c r="F8" s="377"/>
      <c r="G8" s="377"/>
      <c r="H8" s="377"/>
      <c r="I8" s="377"/>
      <c r="J8" s="377"/>
      <c r="K8" s="377"/>
      <c r="L8" s="377"/>
      <c r="M8" s="377"/>
      <c r="N8" s="377"/>
      <c r="O8" s="377"/>
      <c r="P8" s="377"/>
      <c r="Q8" s="377"/>
      <c r="R8" s="377"/>
      <c r="S8" s="377"/>
      <c r="T8" s="377"/>
      <c r="U8" s="377"/>
      <c r="V8" s="140" t="s">
        <v>86</v>
      </c>
      <c r="W8" s="140" t="s">
        <v>87</v>
      </c>
      <c r="X8" s="377"/>
      <c r="Y8" s="377"/>
      <c r="Z8" s="377"/>
      <c r="AA8" s="377"/>
      <c r="AB8" s="377"/>
      <c r="AC8" s="377"/>
      <c r="AD8" s="377"/>
      <c r="AE8" s="377"/>
      <c r="AF8" s="377"/>
      <c r="AG8" s="377"/>
      <c r="AH8" s="377"/>
      <c r="AI8" s="377"/>
      <c r="AJ8" s="377"/>
      <c r="AK8" s="386"/>
      <c r="AL8" s="377"/>
      <c r="AM8" s="377"/>
      <c r="AN8" s="377"/>
      <c r="AO8" s="377"/>
      <c r="AP8" s="377"/>
      <c r="AQ8" s="377"/>
      <c r="AR8" s="377"/>
      <c r="AS8" s="377"/>
      <c r="AT8" s="377"/>
      <c r="AU8" s="377"/>
      <c r="AV8" s="377"/>
      <c r="AW8" s="377"/>
      <c r="AX8" s="377"/>
      <c r="AY8" s="102" t="s">
        <v>88</v>
      </c>
      <c r="AZ8" s="102" t="s">
        <v>89</v>
      </c>
      <c r="BA8" s="102" t="s">
        <v>90</v>
      </c>
      <c r="BB8" s="377"/>
      <c r="BC8" s="377"/>
      <c r="BD8" s="377"/>
      <c r="BE8" s="377"/>
      <c r="BF8" s="377"/>
      <c r="BG8" s="377"/>
      <c r="BH8" s="377"/>
      <c r="BI8" s="377"/>
      <c r="BJ8" s="377"/>
      <c r="BK8" s="377"/>
      <c r="BL8" s="377"/>
      <c r="BM8" s="377"/>
      <c r="BN8" s="377"/>
      <c r="BO8" s="377"/>
      <c r="BP8" s="377"/>
      <c r="BQ8" s="377"/>
      <c r="BR8" s="377"/>
      <c r="BS8" s="377"/>
      <c r="BT8" s="377"/>
      <c r="BU8" s="386"/>
      <c r="BW8" s="406"/>
      <c r="BX8" s="72" t="s">
        <v>91</v>
      </c>
      <c r="BY8" s="72" t="s">
        <v>92</v>
      </c>
      <c r="BZ8" s="72" t="s">
        <v>93</v>
      </c>
      <c r="CA8" s="73" t="s">
        <v>94</v>
      </c>
      <c r="CB8" s="398"/>
      <c r="CC8" s="398"/>
      <c r="CD8" s="398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BB15" activePane="bottomRight" state="frozen"/>
      <selection pane="topRight" activeCell="E18" sqref="E18"/>
      <selection pane="bottomLeft" activeCell="E18" sqref="E18"/>
      <selection pane="bottomRight" activeCell="BD18" sqref="BD18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3"/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2"/>
      <c r="AP3" s="422"/>
      <c r="AQ3" s="422"/>
      <c r="AR3" s="422"/>
      <c r="AS3" s="422"/>
      <c r="AT3" s="422"/>
      <c r="AU3" s="422"/>
      <c r="AV3" s="422"/>
      <c r="AW3" s="422"/>
      <c r="AX3" s="422"/>
      <c r="AY3" s="422"/>
      <c r="AZ3" s="422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BM3" s="422"/>
      <c r="BN3" s="422"/>
      <c r="BO3" s="422"/>
      <c r="BP3" s="422"/>
      <c r="BQ3" s="422"/>
      <c r="BR3" s="422"/>
      <c r="BS3" s="422"/>
      <c r="BT3" s="422"/>
      <c r="BU3" s="422"/>
      <c r="BV3" s="110"/>
      <c r="BW3" s="421" t="s">
        <v>2</v>
      </c>
      <c r="BX3" s="422"/>
      <c r="BY3" s="422"/>
      <c r="BZ3" s="422"/>
      <c r="CA3" s="422"/>
      <c r="CB3" s="422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2"/>
      <c r="BX4" s="422"/>
      <c r="BY4" s="422"/>
      <c r="BZ4" s="422"/>
      <c r="CA4" s="422"/>
      <c r="CB4" s="422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52"/>
      <c r="BX5" s="352"/>
      <c r="BY5" s="352"/>
      <c r="BZ5" s="352"/>
      <c r="CA5" s="352"/>
      <c r="CB5" s="352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52"/>
      <c r="BX6" s="352"/>
      <c r="BY6" s="352"/>
      <c r="BZ6" s="352"/>
      <c r="CA6" s="352"/>
      <c r="CB6" s="352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83" t="s">
        <v>4</v>
      </c>
      <c r="B8" s="394" t="s">
        <v>5</v>
      </c>
      <c r="C8" s="382" t="s">
        <v>6</v>
      </c>
      <c r="D8" s="389" t="s">
        <v>141</v>
      </c>
      <c r="E8" s="389" t="s">
        <v>8</v>
      </c>
      <c r="F8" s="419" t="s">
        <v>142</v>
      </c>
      <c r="G8" s="416" t="s">
        <v>10</v>
      </c>
      <c r="H8" s="367" t="s">
        <v>11</v>
      </c>
      <c r="I8" s="367" t="s">
        <v>12</v>
      </c>
      <c r="J8" s="416" t="s">
        <v>13</v>
      </c>
      <c r="K8" s="420" t="s">
        <v>14</v>
      </c>
      <c r="L8" s="379"/>
      <c r="M8" s="379"/>
      <c r="N8" s="379"/>
      <c r="O8" s="379"/>
      <c r="P8" s="379"/>
      <c r="Q8" s="379"/>
      <c r="R8" s="379"/>
      <c r="S8" s="379"/>
      <c r="T8" s="379"/>
      <c r="U8" s="379"/>
      <c r="V8" s="379"/>
      <c r="W8" s="379"/>
      <c r="X8" s="379"/>
      <c r="Y8" s="416" t="s">
        <v>15</v>
      </c>
      <c r="Z8" s="379"/>
      <c r="AA8" s="379"/>
      <c r="AB8" s="379"/>
      <c r="AC8" s="379"/>
      <c r="AD8" s="379"/>
      <c r="AE8" s="379"/>
      <c r="AF8" s="379"/>
      <c r="AG8" s="379"/>
      <c r="AH8" s="379"/>
      <c r="AI8" s="379"/>
      <c r="AJ8" s="379"/>
      <c r="AK8" s="379"/>
      <c r="AL8" s="379"/>
      <c r="AM8" s="379"/>
      <c r="AN8" s="379"/>
      <c r="AO8" s="380"/>
      <c r="AP8" s="416" t="s">
        <v>16</v>
      </c>
      <c r="AQ8" s="416" t="s">
        <v>17</v>
      </c>
      <c r="AR8" s="416" t="s">
        <v>18</v>
      </c>
      <c r="AS8" s="416" t="s">
        <v>19</v>
      </c>
      <c r="AT8" s="416" t="s">
        <v>20</v>
      </c>
      <c r="AU8" s="416" t="s">
        <v>21</v>
      </c>
      <c r="AV8" s="382" t="s">
        <v>22</v>
      </c>
      <c r="AW8" s="382" t="s">
        <v>23</v>
      </c>
      <c r="AX8" s="382" t="s">
        <v>24</v>
      </c>
      <c r="AY8" s="378" t="s">
        <v>25</v>
      </c>
      <c r="AZ8" s="379"/>
      <c r="BA8" s="379"/>
      <c r="BB8" s="379"/>
      <c r="BC8" s="379"/>
      <c r="BD8" s="379"/>
      <c r="BE8" s="379"/>
      <c r="BF8" s="379"/>
      <c r="BG8" s="379"/>
      <c r="BH8" s="379"/>
      <c r="BI8" s="379"/>
      <c r="BJ8" s="379"/>
      <c r="BK8" s="379"/>
      <c r="BL8" s="379"/>
      <c r="BM8" s="379"/>
      <c r="BN8" s="379"/>
      <c r="BO8" s="379"/>
      <c r="BP8" s="380"/>
      <c r="BQ8" s="399" t="s">
        <v>26</v>
      </c>
      <c r="BR8" s="392"/>
      <c r="BS8" s="378" t="s">
        <v>143</v>
      </c>
      <c r="BT8" s="378" t="s">
        <v>27</v>
      </c>
      <c r="BU8" s="410" t="s">
        <v>28</v>
      </c>
      <c r="BV8" s="114"/>
      <c r="BW8" s="411" t="s">
        <v>29</v>
      </c>
      <c r="BX8" s="400" t="s">
        <v>30</v>
      </c>
      <c r="BY8" s="401"/>
      <c r="BZ8" s="401"/>
      <c r="CA8" s="392"/>
      <c r="CB8" s="412" t="s">
        <v>31</v>
      </c>
      <c r="CC8" s="397" t="s">
        <v>32</v>
      </c>
      <c r="CD8" s="397" t="s">
        <v>33</v>
      </c>
      <c r="CH8" s="27"/>
      <c r="CI8" s="28"/>
    </row>
    <row r="9" spans="1:87" s="11" customFormat="1" ht="19.25" customHeight="1">
      <c r="A9" s="376"/>
      <c r="B9" s="376"/>
      <c r="C9" s="376"/>
      <c r="D9" s="376"/>
      <c r="E9" s="376"/>
      <c r="F9" s="376"/>
      <c r="G9" s="376"/>
      <c r="H9" s="376"/>
      <c r="I9" s="376"/>
      <c r="J9" s="376"/>
      <c r="K9" s="413" t="s">
        <v>34</v>
      </c>
      <c r="L9" s="413" t="s">
        <v>35</v>
      </c>
      <c r="M9" s="413" t="s">
        <v>36</v>
      </c>
      <c r="N9" s="413" t="s">
        <v>37</v>
      </c>
      <c r="O9" s="413" t="s">
        <v>38</v>
      </c>
      <c r="P9" s="413" t="s">
        <v>39</v>
      </c>
      <c r="Q9" s="413" t="s">
        <v>40</v>
      </c>
      <c r="R9" s="413" t="s">
        <v>41</v>
      </c>
      <c r="S9" s="413" t="s">
        <v>42</v>
      </c>
      <c r="T9" s="413" t="s">
        <v>43</v>
      </c>
      <c r="U9" s="413" t="s">
        <v>44</v>
      </c>
      <c r="V9" s="425" t="s">
        <v>45</v>
      </c>
      <c r="W9" s="392"/>
      <c r="X9" s="413" t="s">
        <v>46</v>
      </c>
      <c r="Y9" s="415" t="s">
        <v>154</v>
      </c>
      <c r="Z9" s="415" t="s">
        <v>48</v>
      </c>
      <c r="AA9" s="415" t="s">
        <v>49</v>
      </c>
      <c r="AB9" s="415" t="s">
        <v>50</v>
      </c>
      <c r="AC9" s="341" t="s">
        <v>51</v>
      </c>
      <c r="AD9" s="341" t="s">
        <v>144</v>
      </c>
      <c r="AE9" s="341" t="s">
        <v>53</v>
      </c>
      <c r="AF9" s="341" t="s">
        <v>54</v>
      </c>
      <c r="AG9" s="415" t="s">
        <v>55</v>
      </c>
      <c r="AH9" s="341" t="s">
        <v>56</v>
      </c>
      <c r="AI9" s="341" t="s">
        <v>57</v>
      </c>
      <c r="AJ9" s="415" t="s">
        <v>58</v>
      </c>
      <c r="AK9" s="384" t="s">
        <v>59</v>
      </c>
      <c r="AL9" s="382" t="s">
        <v>60</v>
      </c>
      <c r="AM9" s="415" t="s">
        <v>61</v>
      </c>
      <c r="AN9" s="388" t="s">
        <v>62</v>
      </c>
      <c r="AO9" s="382" t="s">
        <v>63</v>
      </c>
      <c r="AP9" s="376"/>
      <c r="AQ9" s="376"/>
      <c r="AR9" s="376"/>
      <c r="AS9" s="376"/>
      <c r="AT9" s="376"/>
      <c r="AU9" s="376"/>
      <c r="AV9" s="376"/>
      <c r="AW9" s="376"/>
      <c r="AX9" s="376"/>
      <c r="AY9" s="378" t="s">
        <v>25</v>
      </c>
      <c r="AZ9" s="379"/>
      <c r="BA9" s="379"/>
      <c r="BB9" s="379"/>
      <c r="BC9" s="379"/>
      <c r="BD9" s="379"/>
      <c r="BE9" s="379"/>
      <c r="BF9" s="379"/>
      <c r="BG9" s="379"/>
      <c r="BH9" s="379"/>
      <c r="BI9" s="379"/>
      <c r="BJ9" s="380"/>
      <c r="BK9" s="378" t="s">
        <v>64</v>
      </c>
      <c r="BL9" s="379"/>
      <c r="BM9" s="379"/>
      <c r="BN9" s="379"/>
      <c r="BO9" s="379"/>
      <c r="BP9" s="380"/>
      <c r="BQ9" s="375" t="s">
        <v>65</v>
      </c>
      <c r="BR9" s="375" t="s">
        <v>66</v>
      </c>
      <c r="BS9" s="376"/>
      <c r="BT9" s="376"/>
      <c r="BU9" s="385"/>
      <c r="BV9" s="114"/>
      <c r="BW9" s="403"/>
      <c r="BX9" s="385"/>
      <c r="BY9" s="417"/>
      <c r="BZ9" s="417"/>
      <c r="CA9" s="403"/>
      <c r="CB9" s="376"/>
      <c r="CC9" s="376"/>
      <c r="CD9" s="376"/>
      <c r="CH9" s="27"/>
      <c r="CI9" s="28"/>
    </row>
    <row r="10" spans="1:87" s="29" customFormat="1" ht="19.25" customHeight="1">
      <c r="A10" s="376"/>
      <c r="B10" s="376"/>
      <c r="C10" s="376"/>
      <c r="D10" s="376"/>
      <c r="E10" s="376"/>
      <c r="F10" s="376"/>
      <c r="G10" s="376"/>
      <c r="H10" s="376"/>
      <c r="I10" s="376"/>
      <c r="J10" s="376"/>
      <c r="K10" s="376"/>
      <c r="L10" s="376"/>
      <c r="M10" s="376"/>
      <c r="N10" s="376"/>
      <c r="O10" s="376"/>
      <c r="P10" s="376"/>
      <c r="Q10" s="376"/>
      <c r="R10" s="376"/>
      <c r="S10" s="376"/>
      <c r="T10" s="376"/>
      <c r="U10" s="376"/>
      <c r="V10" s="386"/>
      <c r="W10" s="393"/>
      <c r="X10" s="376"/>
      <c r="Y10" s="376"/>
      <c r="Z10" s="376"/>
      <c r="AA10" s="376"/>
      <c r="AB10" s="376"/>
      <c r="AC10" s="376"/>
      <c r="AD10" s="376"/>
      <c r="AE10" s="376"/>
      <c r="AF10" s="376"/>
      <c r="AG10" s="376"/>
      <c r="AH10" s="376"/>
      <c r="AI10" s="376"/>
      <c r="AJ10" s="376"/>
      <c r="AK10" s="385"/>
      <c r="AL10" s="376"/>
      <c r="AM10" s="376"/>
      <c r="AN10" s="376"/>
      <c r="AO10" s="376"/>
      <c r="AP10" s="376"/>
      <c r="AQ10" s="376"/>
      <c r="AR10" s="376"/>
      <c r="AS10" s="376"/>
      <c r="AT10" s="376"/>
      <c r="AU10" s="376"/>
      <c r="AV10" s="376"/>
      <c r="AW10" s="376"/>
      <c r="AX10" s="376"/>
      <c r="AY10" s="101" t="s">
        <v>67</v>
      </c>
      <c r="AZ10" s="101" t="s">
        <v>68</v>
      </c>
      <c r="BA10" s="101" t="s">
        <v>69</v>
      </c>
      <c r="BB10" s="424" t="s">
        <v>70</v>
      </c>
      <c r="BC10" s="414" t="s">
        <v>71</v>
      </c>
      <c r="BD10" s="414" t="s">
        <v>72</v>
      </c>
      <c r="BE10" s="414" t="s">
        <v>145</v>
      </c>
      <c r="BF10" s="414" t="s">
        <v>74</v>
      </c>
      <c r="BG10" s="414" t="s">
        <v>75</v>
      </c>
      <c r="BH10" s="414" t="s">
        <v>76</v>
      </c>
      <c r="BI10" s="414" t="s">
        <v>79</v>
      </c>
      <c r="BJ10" s="426" t="s">
        <v>80</v>
      </c>
      <c r="BK10" s="414" t="s">
        <v>81</v>
      </c>
      <c r="BL10" s="418" t="s">
        <v>82</v>
      </c>
      <c r="BM10" s="414" t="s">
        <v>83</v>
      </c>
      <c r="BN10" s="418" t="s">
        <v>84</v>
      </c>
      <c r="BO10" s="418" t="s">
        <v>146</v>
      </c>
      <c r="BP10" s="378" t="s">
        <v>85</v>
      </c>
      <c r="BQ10" s="376"/>
      <c r="BR10" s="376"/>
      <c r="BS10" s="376"/>
      <c r="BT10" s="376"/>
      <c r="BU10" s="385"/>
      <c r="BV10" s="114"/>
      <c r="BW10" s="403"/>
      <c r="BX10" s="404"/>
      <c r="BY10" s="405"/>
      <c r="BZ10" s="405"/>
      <c r="CA10" s="406"/>
      <c r="CB10" s="376"/>
      <c r="CC10" s="376"/>
      <c r="CD10" s="376"/>
      <c r="CH10" s="27"/>
      <c r="CI10" s="28"/>
    </row>
    <row r="11" spans="1:87" s="29" customFormat="1" ht="38.25" customHeight="1">
      <c r="A11" s="377"/>
      <c r="B11" s="377"/>
      <c r="C11" s="377"/>
      <c r="D11" s="377"/>
      <c r="E11" s="377"/>
      <c r="F11" s="377"/>
      <c r="G11" s="377"/>
      <c r="H11" s="377"/>
      <c r="I11" s="377"/>
      <c r="J11" s="377"/>
      <c r="K11" s="377"/>
      <c r="L11" s="377"/>
      <c r="M11" s="377"/>
      <c r="N11" s="377"/>
      <c r="O11" s="377"/>
      <c r="P11" s="377"/>
      <c r="Q11" s="377"/>
      <c r="R11" s="377"/>
      <c r="S11" s="377"/>
      <c r="T11" s="377"/>
      <c r="U11" s="377"/>
      <c r="V11" s="30" t="s">
        <v>86</v>
      </c>
      <c r="W11" s="30" t="s">
        <v>87</v>
      </c>
      <c r="X11" s="377"/>
      <c r="Y11" s="377"/>
      <c r="Z11" s="377"/>
      <c r="AA11" s="377"/>
      <c r="AB11" s="377"/>
      <c r="AC11" s="377"/>
      <c r="AD11" s="377"/>
      <c r="AE11" s="377"/>
      <c r="AF11" s="377"/>
      <c r="AG11" s="377"/>
      <c r="AH11" s="377"/>
      <c r="AI11" s="377"/>
      <c r="AJ11" s="377"/>
      <c r="AK11" s="386"/>
      <c r="AL11" s="377"/>
      <c r="AM11" s="377"/>
      <c r="AN11" s="377"/>
      <c r="AO11" s="377"/>
      <c r="AP11" s="377"/>
      <c r="AQ11" s="377"/>
      <c r="AR11" s="377"/>
      <c r="AS11" s="377"/>
      <c r="AT11" s="377"/>
      <c r="AU11" s="377"/>
      <c r="AV11" s="377"/>
      <c r="AW11" s="377"/>
      <c r="AX11" s="377"/>
      <c r="AY11" s="102" t="s">
        <v>88</v>
      </c>
      <c r="AZ11" s="102" t="s">
        <v>89</v>
      </c>
      <c r="BA11" s="102" t="s">
        <v>90</v>
      </c>
      <c r="BB11" s="377"/>
      <c r="BC11" s="377"/>
      <c r="BD11" s="377"/>
      <c r="BE11" s="377"/>
      <c r="BF11" s="377"/>
      <c r="BG11" s="377"/>
      <c r="BH11" s="377"/>
      <c r="BI11" s="377"/>
      <c r="BJ11" s="377"/>
      <c r="BK11" s="377"/>
      <c r="BL11" s="377"/>
      <c r="BM11" s="377"/>
      <c r="BN11" s="377"/>
      <c r="BO11" s="377"/>
      <c r="BP11" s="377"/>
      <c r="BQ11" s="377"/>
      <c r="BR11" s="377"/>
      <c r="BS11" s="377"/>
      <c r="BT11" s="377"/>
      <c r="BU11" s="386"/>
      <c r="BV11" s="114"/>
      <c r="BW11" s="406"/>
      <c r="BX11" s="72" t="s">
        <v>91</v>
      </c>
      <c r="BY11" s="72" t="s">
        <v>92</v>
      </c>
      <c r="BZ11" s="72" t="s">
        <v>93</v>
      </c>
      <c r="CA11" s="73" t="s">
        <v>94</v>
      </c>
      <c r="CB11" s="398"/>
      <c r="CC11" s="398"/>
      <c r="CD11" s="398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8"/>
      <c r="B3" s="396"/>
      <c r="C3" s="396"/>
      <c r="D3" s="396"/>
      <c r="E3" s="396"/>
      <c r="F3" s="396"/>
      <c r="G3" s="396"/>
      <c r="H3" s="396"/>
      <c r="I3" s="396"/>
      <c r="J3" s="396"/>
      <c r="K3" s="396"/>
      <c r="L3" s="396"/>
      <c r="M3" s="396"/>
      <c r="N3" s="396"/>
      <c r="O3" s="396"/>
      <c r="P3" s="396"/>
      <c r="Q3" s="396"/>
      <c r="R3" s="396"/>
      <c r="S3" s="396"/>
      <c r="T3" s="396"/>
      <c r="U3" s="396"/>
      <c r="V3" s="396"/>
      <c r="W3" s="396"/>
      <c r="X3" s="396"/>
      <c r="Y3" s="396"/>
      <c r="Z3" s="396"/>
      <c r="AA3" s="396"/>
      <c r="AB3" s="396"/>
      <c r="AC3" s="396"/>
      <c r="AD3" s="396"/>
      <c r="AE3" s="396"/>
      <c r="AF3" s="396"/>
      <c r="AG3" s="396"/>
      <c r="AH3" s="396"/>
      <c r="AI3" s="396"/>
      <c r="AJ3" s="396"/>
      <c r="AK3" s="396"/>
      <c r="AL3" s="396"/>
      <c r="AM3" s="396"/>
      <c r="AN3" s="396"/>
      <c r="AO3" s="396"/>
      <c r="AP3" s="396"/>
      <c r="AQ3" s="396"/>
      <c r="AR3" s="396"/>
      <c r="AS3" s="396"/>
      <c r="AT3" s="396"/>
      <c r="AU3" s="396"/>
      <c r="AV3" s="396"/>
      <c r="AW3" s="396"/>
      <c r="AX3" s="396"/>
      <c r="AY3" s="396"/>
      <c r="AZ3" s="396"/>
      <c r="BA3" s="396"/>
      <c r="BB3" s="396"/>
      <c r="BC3" s="396"/>
      <c r="BD3" s="396"/>
      <c r="BE3" s="396"/>
      <c r="BF3" s="396"/>
      <c r="BG3" s="396"/>
      <c r="BH3" s="396"/>
      <c r="BI3" s="396"/>
      <c r="BJ3" s="396"/>
      <c r="BK3" s="396"/>
      <c r="BL3" s="396"/>
      <c r="BM3" s="396"/>
      <c r="BN3" s="396"/>
      <c r="BO3" s="396"/>
      <c r="BP3" s="396"/>
      <c r="BQ3" s="396"/>
      <c r="BR3" s="396"/>
      <c r="BS3" s="396"/>
      <c r="BT3" s="396"/>
      <c r="BU3" s="396"/>
      <c r="BW3" s="395" t="s">
        <v>2</v>
      </c>
      <c r="BX3" s="396"/>
      <c r="BY3" s="396"/>
      <c r="BZ3" s="396"/>
      <c r="CA3" s="396"/>
      <c r="CB3" s="396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6"/>
      <c r="BX4" s="396"/>
      <c r="BY4" s="396"/>
      <c r="BZ4" s="396"/>
      <c r="CA4" s="396"/>
      <c r="CB4" s="396"/>
      <c r="CC4" s="133"/>
      <c r="CD4" s="133"/>
    </row>
    <row r="5" spans="1:87" s="136" customFormat="1">
      <c r="A5" s="383" t="s">
        <v>4</v>
      </c>
      <c r="B5" s="394" t="s">
        <v>5</v>
      </c>
      <c r="C5" s="382" t="s">
        <v>6</v>
      </c>
      <c r="D5" s="389" t="s">
        <v>141</v>
      </c>
      <c r="E5" s="389" t="s">
        <v>8</v>
      </c>
      <c r="F5" s="419" t="s">
        <v>142</v>
      </c>
      <c r="G5" s="382" t="s">
        <v>10</v>
      </c>
      <c r="H5" s="338" t="s">
        <v>11</v>
      </c>
      <c r="I5" s="338" t="s">
        <v>12</v>
      </c>
      <c r="J5" s="382" t="s">
        <v>13</v>
      </c>
      <c r="K5" s="387" t="s">
        <v>14</v>
      </c>
      <c r="L5" s="379"/>
      <c r="M5" s="379"/>
      <c r="N5" s="379"/>
      <c r="O5" s="379"/>
      <c r="P5" s="379"/>
      <c r="Q5" s="379"/>
      <c r="R5" s="379"/>
      <c r="S5" s="379"/>
      <c r="T5" s="379"/>
      <c r="U5" s="379"/>
      <c r="V5" s="379"/>
      <c r="W5" s="379"/>
      <c r="X5" s="379"/>
      <c r="Y5" s="382" t="s">
        <v>15</v>
      </c>
      <c r="Z5" s="379"/>
      <c r="AA5" s="379"/>
      <c r="AB5" s="379"/>
      <c r="AC5" s="379"/>
      <c r="AD5" s="379"/>
      <c r="AE5" s="379"/>
      <c r="AF5" s="379"/>
      <c r="AG5" s="379"/>
      <c r="AH5" s="379"/>
      <c r="AI5" s="379"/>
      <c r="AJ5" s="379"/>
      <c r="AK5" s="379"/>
      <c r="AL5" s="379"/>
      <c r="AM5" s="379"/>
      <c r="AN5" s="379"/>
      <c r="AO5" s="380"/>
      <c r="AP5" s="382" t="s">
        <v>16</v>
      </c>
      <c r="AQ5" s="382" t="s">
        <v>17</v>
      </c>
      <c r="AR5" s="382" t="s">
        <v>18</v>
      </c>
      <c r="AS5" s="382" t="s">
        <v>19</v>
      </c>
      <c r="AT5" s="382" t="s">
        <v>20</v>
      </c>
      <c r="AU5" s="382" t="s">
        <v>21</v>
      </c>
      <c r="AV5" s="382" t="s">
        <v>22</v>
      </c>
      <c r="AW5" s="382" t="s">
        <v>23</v>
      </c>
      <c r="AX5" s="382" t="s">
        <v>24</v>
      </c>
      <c r="AY5" s="378" t="s">
        <v>25</v>
      </c>
      <c r="AZ5" s="379"/>
      <c r="BA5" s="379"/>
      <c r="BB5" s="379"/>
      <c r="BC5" s="379"/>
      <c r="BD5" s="379"/>
      <c r="BE5" s="379"/>
      <c r="BF5" s="379"/>
      <c r="BG5" s="379"/>
      <c r="BH5" s="379"/>
      <c r="BI5" s="379"/>
      <c r="BJ5" s="379"/>
      <c r="BK5" s="379"/>
      <c r="BL5" s="379"/>
      <c r="BM5" s="379"/>
      <c r="BN5" s="379"/>
      <c r="BO5" s="379"/>
      <c r="BP5" s="380"/>
      <c r="BQ5" s="399" t="s">
        <v>26</v>
      </c>
      <c r="BR5" s="392"/>
      <c r="BS5" s="378" t="s">
        <v>143</v>
      </c>
      <c r="BT5" s="378" t="s">
        <v>27</v>
      </c>
      <c r="BU5" s="410" t="s">
        <v>28</v>
      </c>
      <c r="BW5" s="411" t="s">
        <v>29</v>
      </c>
      <c r="BX5" s="400" t="s">
        <v>30</v>
      </c>
      <c r="BY5" s="401"/>
      <c r="BZ5" s="401"/>
      <c r="CA5" s="392"/>
      <c r="CB5" s="412" t="s">
        <v>31</v>
      </c>
      <c r="CC5" s="397" t="s">
        <v>32</v>
      </c>
      <c r="CD5" s="397" t="s">
        <v>33</v>
      </c>
      <c r="CH5" s="137"/>
      <c r="CI5" s="138"/>
    </row>
    <row r="6" spans="1:87" s="136" customFormat="1">
      <c r="A6" s="376"/>
      <c r="B6" s="376"/>
      <c r="C6" s="376"/>
      <c r="D6" s="376"/>
      <c r="E6" s="376"/>
      <c r="F6" s="376"/>
      <c r="G6" s="376"/>
      <c r="H6" s="376"/>
      <c r="I6" s="376"/>
      <c r="J6" s="376"/>
      <c r="K6" s="390" t="s">
        <v>34</v>
      </c>
      <c r="L6" s="390" t="s">
        <v>35</v>
      </c>
      <c r="M6" s="390" t="s">
        <v>36</v>
      </c>
      <c r="N6" s="390" t="s">
        <v>37</v>
      </c>
      <c r="O6" s="390" t="s">
        <v>38</v>
      </c>
      <c r="P6" s="390" t="s">
        <v>39</v>
      </c>
      <c r="Q6" s="390" t="s">
        <v>40</v>
      </c>
      <c r="R6" s="390" t="s">
        <v>41</v>
      </c>
      <c r="S6" s="390" t="s">
        <v>42</v>
      </c>
      <c r="T6" s="390" t="s">
        <v>43</v>
      </c>
      <c r="U6" s="390" t="s">
        <v>44</v>
      </c>
      <c r="V6" s="391" t="s">
        <v>45</v>
      </c>
      <c r="W6" s="392"/>
      <c r="X6" s="390" t="s">
        <v>46</v>
      </c>
      <c r="Y6" s="382" t="s">
        <v>47</v>
      </c>
      <c r="Z6" s="382" t="s">
        <v>48</v>
      </c>
      <c r="AA6" s="382" t="s">
        <v>49</v>
      </c>
      <c r="AB6" s="382" t="s">
        <v>50</v>
      </c>
      <c r="AC6" s="338" t="s">
        <v>51</v>
      </c>
      <c r="AD6" s="338" t="s">
        <v>144</v>
      </c>
      <c r="AE6" s="338" t="s">
        <v>53</v>
      </c>
      <c r="AF6" s="338" t="s">
        <v>54</v>
      </c>
      <c r="AG6" s="382" t="s">
        <v>55</v>
      </c>
      <c r="AH6" s="338" t="s">
        <v>56</v>
      </c>
      <c r="AI6" s="338" t="s">
        <v>57</v>
      </c>
      <c r="AJ6" s="382" t="s">
        <v>58</v>
      </c>
      <c r="AK6" s="384" t="s">
        <v>59</v>
      </c>
      <c r="AL6" s="382" t="s">
        <v>60</v>
      </c>
      <c r="AM6" s="382" t="s">
        <v>61</v>
      </c>
      <c r="AN6" s="388" t="s">
        <v>62</v>
      </c>
      <c r="AO6" s="382" t="s">
        <v>63</v>
      </c>
      <c r="AP6" s="376"/>
      <c r="AQ6" s="376"/>
      <c r="AR6" s="376"/>
      <c r="AS6" s="376"/>
      <c r="AT6" s="376"/>
      <c r="AU6" s="376"/>
      <c r="AV6" s="376"/>
      <c r="AW6" s="376"/>
      <c r="AX6" s="376"/>
      <c r="AY6" s="378" t="s">
        <v>25</v>
      </c>
      <c r="AZ6" s="379"/>
      <c r="BA6" s="379"/>
      <c r="BB6" s="379"/>
      <c r="BC6" s="379"/>
      <c r="BD6" s="379"/>
      <c r="BE6" s="379"/>
      <c r="BF6" s="379"/>
      <c r="BG6" s="379"/>
      <c r="BH6" s="379"/>
      <c r="BI6" s="379"/>
      <c r="BJ6" s="380"/>
      <c r="BK6" s="378" t="s">
        <v>64</v>
      </c>
      <c r="BL6" s="379"/>
      <c r="BM6" s="379"/>
      <c r="BN6" s="379"/>
      <c r="BO6" s="379"/>
      <c r="BP6" s="380"/>
      <c r="BQ6" s="375" t="s">
        <v>65</v>
      </c>
      <c r="BR6" s="375" t="s">
        <v>66</v>
      </c>
      <c r="BS6" s="376"/>
      <c r="BT6" s="376"/>
      <c r="BU6" s="385"/>
      <c r="BW6" s="403"/>
      <c r="BX6" s="385"/>
      <c r="BY6" s="402"/>
      <c r="BZ6" s="402"/>
      <c r="CA6" s="403"/>
      <c r="CB6" s="376"/>
      <c r="CC6" s="376"/>
      <c r="CD6" s="376"/>
      <c r="CH6" s="137"/>
      <c r="CI6" s="138"/>
    </row>
    <row r="7" spans="1:87" s="136" customFormat="1" ht="12">
      <c r="A7" s="376"/>
      <c r="B7" s="376"/>
      <c r="C7" s="376"/>
      <c r="D7" s="376"/>
      <c r="E7" s="376"/>
      <c r="F7" s="376"/>
      <c r="G7" s="376"/>
      <c r="H7" s="376"/>
      <c r="I7" s="376"/>
      <c r="J7" s="376"/>
      <c r="K7" s="376"/>
      <c r="L7" s="376"/>
      <c r="M7" s="376"/>
      <c r="N7" s="376"/>
      <c r="O7" s="376"/>
      <c r="P7" s="376"/>
      <c r="Q7" s="376"/>
      <c r="R7" s="376"/>
      <c r="S7" s="376"/>
      <c r="T7" s="376"/>
      <c r="U7" s="376"/>
      <c r="V7" s="386"/>
      <c r="W7" s="393"/>
      <c r="X7" s="376"/>
      <c r="Y7" s="376"/>
      <c r="Z7" s="376"/>
      <c r="AA7" s="376"/>
      <c r="AB7" s="376"/>
      <c r="AC7" s="376"/>
      <c r="AD7" s="376"/>
      <c r="AE7" s="376"/>
      <c r="AF7" s="376"/>
      <c r="AG7" s="376"/>
      <c r="AH7" s="376"/>
      <c r="AI7" s="376"/>
      <c r="AJ7" s="376"/>
      <c r="AK7" s="385"/>
      <c r="AL7" s="376"/>
      <c r="AM7" s="376"/>
      <c r="AN7" s="376"/>
      <c r="AO7" s="376"/>
      <c r="AP7" s="376"/>
      <c r="AQ7" s="376"/>
      <c r="AR7" s="376"/>
      <c r="AS7" s="376"/>
      <c r="AT7" s="376"/>
      <c r="AU7" s="376"/>
      <c r="AV7" s="376"/>
      <c r="AW7" s="376"/>
      <c r="AX7" s="376"/>
      <c r="AY7" s="101" t="s">
        <v>67</v>
      </c>
      <c r="AZ7" s="101" t="s">
        <v>68</v>
      </c>
      <c r="BA7" s="101" t="s">
        <v>69</v>
      </c>
      <c r="BB7" s="378" t="s">
        <v>70</v>
      </c>
      <c r="BC7" s="381" t="s">
        <v>71</v>
      </c>
      <c r="BD7" s="381" t="s">
        <v>72</v>
      </c>
      <c r="BE7" s="381" t="s">
        <v>145</v>
      </c>
      <c r="BF7" s="381" t="s">
        <v>74</v>
      </c>
      <c r="BG7" s="381" t="s">
        <v>75</v>
      </c>
      <c r="BH7" s="381" t="s">
        <v>76</v>
      </c>
      <c r="BI7" s="381" t="s">
        <v>79</v>
      </c>
      <c r="BJ7" s="409" t="s">
        <v>80</v>
      </c>
      <c r="BK7" s="381" t="s">
        <v>81</v>
      </c>
      <c r="BL7" s="378" t="s">
        <v>82</v>
      </c>
      <c r="BM7" s="381" t="s">
        <v>83</v>
      </c>
      <c r="BN7" s="378" t="s">
        <v>84</v>
      </c>
      <c r="BO7" s="378" t="s">
        <v>146</v>
      </c>
      <c r="BP7" s="378" t="s">
        <v>85</v>
      </c>
      <c r="BQ7" s="376"/>
      <c r="BR7" s="376"/>
      <c r="BS7" s="376"/>
      <c r="BT7" s="376"/>
      <c r="BU7" s="385"/>
      <c r="BW7" s="403"/>
      <c r="BX7" s="404"/>
      <c r="BY7" s="405"/>
      <c r="BZ7" s="405"/>
      <c r="CA7" s="406"/>
      <c r="CB7" s="376"/>
      <c r="CC7" s="376"/>
      <c r="CD7" s="376"/>
      <c r="CH7" s="137"/>
      <c r="CI7" s="138"/>
    </row>
    <row r="8" spans="1:87" s="136" customFormat="1" ht="22.5" customHeight="1">
      <c r="A8" s="377"/>
      <c r="B8" s="377"/>
      <c r="C8" s="377"/>
      <c r="D8" s="377"/>
      <c r="E8" s="377"/>
      <c r="F8" s="377"/>
      <c r="G8" s="377"/>
      <c r="H8" s="377"/>
      <c r="I8" s="377"/>
      <c r="J8" s="377"/>
      <c r="K8" s="377"/>
      <c r="L8" s="377"/>
      <c r="M8" s="377"/>
      <c r="N8" s="377"/>
      <c r="O8" s="377"/>
      <c r="P8" s="377"/>
      <c r="Q8" s="377"/>
      <c r="R8" s="377"/>
      <c r="S8" s="377"/>
      <c r="T8" s="377"/>
      <c r="U8" s="377"/>
      <c r="V8" s="140" t="s">
        <v>86</v>
      </c>
      <c r="W8" s="140" t="s">
        <v>87</v>
      </c>
      <c r="X8" s="377"/>
      <c r="Y8" s="377"/>
      <c r="Z8" s="377"/>
      <c r="AA8" s="377"/>
      <c r="AB8" s="377"/>
      <c r="AC8" s="377"/>
      <c r="AD8" s="377"/>
      <c r="AE8" s="377"/>
      <c r="AF8" s="377"/>
      <c r="AG8" s="377"/>
      <c r="AH8" s="377"/>
      <c r="AI8" s="377"/>
      <c r="AJ8" s="377"/>
      <c r="AK8" s="386"/>
      <c r="AL8" s="377"/>
      <c r="AM8" s="377"/>
      <c r="AN8" s="377"/>
      <c r="AO8" s="377"/>
      <c r="AP8" s="377"/>
      <c r="AQ8" s="377"/>
      <c r="AR8" s="377"/>
      <c r="AS8" s="377"/>
      <c r="AT8" s="377"/>
      <c r="AU8" s="377"/>
      <c r="AV8" s="377"/>
      <c r="AW8" s="377"/>
      <c r="AX8" s="377"/>
      <c r="AY8" s="102" t="s">
        <v>88</v>
      </c>
      <c r="AZ8" s="102" t="s">
        <v>89</v>
      </c>
      <c r="BA8" s="102" t="s">
        <v>90</v>
      </c>
      <c r="BB8" s="377"/>
      <c r="BC8" s="377"/>
      <c r="BD8" s="377"/>
      <c r="BE8" s="377"/>
      <c r="BF8" s="377"/>
      <c r="BG8" s="377"/>
      <c r="BH8" s="377"/>
      <c r="BI8" s="377"/>
      <c r="BJ8" s="377"/>
      <c r="BK8" s="377"/>
      <c r="BL8" s="377"/>
      <c r="BM8" s="377"/>
      <c r="BN8" s="377"/>
      <c r="BO8" s="377"/>
      <c r="BP8" s="377"/>
      <c r="BQ8" s="377"/>
      <c r="BR8" s="377"/>
      <c r="BS8" s="377"/>
      <c r="BT8" s="377"/>
      <c r="BU8" s="386"/>
      <c r="BW8" s="406"/>
      <c r="BX8" s="72" t="s">
        <v>91</v>
      </c>
      <c r="BY8" s="72" t="s">
        <v>92</v>
      </c>
      <c r="BZ8" s="72" t="s">
        <v>93</v>
      </c>
      <c r="CA8" s="73" t="s">
        <v>94</v>
      </c>
      <c r="CB8" s="398"/>
      <c r="CC8" s="398"/>
      <c r="CD8" s="398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BF7:BF8"/>
    <mergeCell ref="BH7:BH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2026-01-11T18:11:03Z</dcterms:modified>
</cp:coreProperties>
</file>