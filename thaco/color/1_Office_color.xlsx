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974E8750-93BA-534D-B323-F3F0640C665D}" xr6:coauthVersionLast="47" xr6:coauthVersionMax="47" xr10:uidLastSave="{00000000-0000-0000-0000-000000000000}"/>
  <bookViews>
    <workbookView xWindow="39900" yWindow="500" windowWidth="37160" windowHeight="2104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BA21" i="1" l="1"/>
  <c r="AF18" i="1"/>
  <c r="BA18" i="1"/>
  <c r="AZ18" i="1"/>
  <c r="AG14" i="1"/>
  <c r="BE14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B17" i="1" l="1"/>
  <c r="BB18" i="1"/>
  <c r="AV19" i="1"/>
  <c r="BF19" i="1" s="1"/>
  <c r="BG21" i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G19" i="1" l="1"/>
  <c r="BK19" i="1" s="1"/>
  <c r="BL19" i="1" s="1"/>
  <c r="BS14" i="4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5" i="1" s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<sst xmlns="http://schemas.openxmlformats.org/spreadsheetml/2006/main" count="716" uniqueCount="162">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</sst>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11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7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8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69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164" fontId="22" fillId="0" borderId="0" xfId="1" applyNumberFormat="1" applyFont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75" fillId="0" borderId="1" xfId="1" applyNumberFormat="1" applyFont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0" fontId="70" fillId="3" borderId="9" xfId="0" applyFont="1" applyFill="1" applyBorder="1"/>
    <xf numFmtId="0" fontId="70" fillId="3" borderId="17" xfId="0" applyFont="1" applyFill="1" applyBorder="1"/>
    <xf numFmtId="164" fontId="18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0" fontId="72" fillId="3" borderId="17" xfId="0" applyFont="1" applyFill="1" applyBorder="1"/>
    <xf numFmtId="165" fontId="27" fillId="3" borderId="1" xfId="1" applyFont="1" applyFill="1" applyBorder="1" applyAlignment="1">
      <alignment horizontal="center" vertical="center" wrapText="1"/>
    </xf>
    <xf numFmtId="164" fontId="22" fillId="3" borderId="17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22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8" xfId="0" applyFont="1" applyFill="1" applyBorder="1"/>
    <xf numFmtId="164" fontId="18" fillId="3" borderId="1" xfId="1" applyNumberFormat="1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73" fillId="3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0" fillId="3" borderId="10" xfId="0" applyFont="1" applyFill="1" applyBorder="1"/>
    <xf numFmtId="0" fontId="70" fillId="3" borderId="19" xfId="0" applyFont="1" applyFill="1" applyBorder="1"/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0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zoomScale="110" zoomScaleNormal="110" zoomScaleSheetLayoutView="70" workbookViewId="0">
      <selection activeCell="E28" sqref="E28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54"/>
      <c r="B3" s="349"/>
      <c r="C3" s="349"/>
      <c r="D3" s="349"/>
      <c r="E3" s="349"/>
      <c r="F3" s="349"/>
      <c r="G3" s="349"/>
      <c r="H3" s="349"/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49"/>
      <c r="AC3" s="349"/>
      <c r="AD3" s="349"/>
      <c r="AE3" s="349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49"/>
      <c r="AQ3" s="349"/>
      <c r="AR3" s="349"/>
      <c r="AS3" s="349"/>
      <c r="AT3" s="349"/>
      <c r="AU3" s="349"/>
      <c r="AV3" s="349"/>
      <c r="AW3" s="349"/>
      <c r="AX3" s="349"/>
      <c r="AY3" s="349"/>
      <c r="AZ3" s="349"/>
      <c r="BA3" s="349"/>
      <c r="BB3" s="349"/>
      <c r="BC3" s="349"/>
      <c r="BD3" s="349"/>
      <c r="BE3" s="349"/>
      <c r="BF3" s="349"/>
      <c r="BG3" s="349"/>
      <c r="BH3" s="349"/>
      <c r="BI3" s="349"/>
      <c r="BJ3" s="349"/>
      <c r="BK3" s="349"/>
      <c r="BL3" s="349"/>
      <c r="BM3" s="349"/>
      <c r="BN3" s="349"/>
      <c r="BO3" s="349"/>
      <c r="BP3" s="349"/>
      <c r="BQ3" s="349"/>
      <c r="BR3" s="349"/>
      <c r="BS3" s="349"/>
      <c r="BT3" s="349"/>
      <c r="BU3" s="349"/>
      <c r="BV3" s="296"/>
      <c r="BW3" s="348" t="s">
        <v>2</v>
      </c>
      <c r="BX3" s="349"/>
      <c r="BY3" s="349"/>
      <c r="BZ3" s="349"/>
      <c r="CA3" s="349"/>
      <c r="CB3" s="349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49"/>
      <c r="BX4" s="349"/>
      <c r="BY4" s="349"/>
      <c r="BZ4" s="349"/>
      <c r="CA4" s="349"/>
      <c r="CB4" s="349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49"/>
      <c r="BX5" s="349"/>
      <c r="BY5" s="349"/>
      <c r="BZ5" s="349"/>
      <c r="CA5" s="349"/>
      <c r="CB5" s="349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49"/>
      <c r="BX6" s="349"/>
      <c r="BY6" s="349"/>
      <c r="BZ6" s="349"/>
      <c r="CA6" s="349"/>
      <c r="CB6" s="349"/>
      <c r="CC6" s="298"/>
      <c r="CD6" s="298"/>
    </row>
    <row r="7" spans="1:87" s="320" customFormat="1" ht="31" outlineLevel="1">
      <c r="B7" s="301"/>
      <c r="C7" s="301"/>
      <c r="D7" s="321"/>
      <c r="E7" s="321" t="s">
        <v>156</v>
      </c>
      <c r="F7" s="322"/>
      <c r="G7" s="321" t="s">
        <v>156</v>
      </c>
      <c r="H7" s="321"/>
      <c r="I7" s="323" t="s">
        <v>158</v>
      </c>
      <c r="J7" s="320" t="s">
        <v>157</v>
      </c>
      <c r="K7" s="324"/>
      <c r="L7" s="324"/>
      <c r="M7" s="324"/>
      <c r="N7" s="324"/>
      <c r="O7" s="324"/>
      <c r="Q7" s="324"/>
      <c r="R7" s="324"/>
      <c r="S7" s="324"/>
      <c r="T7" s="324"/>
      <c r="U7" s="325"/>
      <c r="V7" s="324"/>
      <c r="W7" s="324"/>
      <c r="X7" s="324"/>
      <c r="Y7" s="326" t="s">
        <v>158</v>
      </c>
      <c r="Z7" s="326" t="s">
        <v>158</v>
      </c>
      <c r="AA7" s="326" t="s">
        <v>158</v>
      </c>
      <c r="AB7" s="326"/>
      <c r="AC7" s="324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1"/>
      <c r="BA7" s="321"/>
      <c r="BB7" s="321" t="s">
        <v>160</v>
      </c>
      <c r="BE7" s="321"/>
      <c r="BF7" s="321"/>
      <c r="BG7" s="321"/>
      <c r="BH7" s="321"/>
      <c r="BI7" s="321" t="s">
        <v>160</v>
      </c>
      <c r="BJ7" s="321"/>
      <c r="BK7" s="321"/>
      <c r="BL7" s="320" t="s">
        <v>160</v>
      </c>
      <c r="BN7" s="321"/>
      <c r="BP7" s="321"/>
      <c r="BT7" s="321" t="s">
        <v>161</v>
      </c>
      <c r="BU7" s="320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5"/>
      <c r="CC7" s="325"/>
      <c r="CD7" s="325"/>
      <c r="CE7" s="301" t="s">
        <v>155</v>
      </c>
    </row>
    <row r="8" spans="1:87" s="304" customFormat="1" ht="19.25" customHeight="1">
      <c r="A8" s="347" t="s">
        <v>4</v>
      </c>
      <c r="B8" s="356" t="s">
        <v>5</v>
      </c>
      <c r="C8" s="332" t="s">
        <v>6</v>
      </c>
      <c r="D8" s="339" t="s">
        <v>7</v>
      </c>
      <c r="E8" s="339" t="s">
        <v>8</v>
      </c>
      <c r="F8" s="332" t="s">
        <v>9</v>
      </c>
      <c r="G8" s="345" t="s">
        <v>10</v>
      </c>
      <c r="H8" s="372" t="s">
        <v>11</v>
      </c>
      <c r="I8" s="372" t="s">
        <v>12</v>
      </c>
      <c r="J8" s="345" t="s">
        <v>13</v>
      </c>
      <c r="K8" s="370" t="s">
        <v>14</v>
      </c>
      <c r="L8" s="371"/>
      <c r="M8" s="371"/>
      <c r="N8" s="371"/>
      <c r="O8" s="371"/>
      <c r="P8" s="371"/>
      <c r="Q8" s="371"/>
      <c r="R8" s="371"/>
      <c r="S8" s="371"/>
      <c r="T8" s="371"/>
      <c r="U8" s="371"/>
      <c r="V8" s="371"/>
      <c r="W8" s="371"/>
      <c r="X8" s="371"/>
      <c r="Y8" s="373" t="s">
        <v>15</v>
      </c>
      <c r="Z8" s="371"/>
      <c r="AA8" s="371"/>
      <c r="AB8" s="371"/>
      <c r="AC8" s="371"/>
      <c r="AD8" s="371"/>
      <c r="AE8" s="371"/>
      <c r="AF8" s="371"/>
      <c r="AG8" s="371"/>
      <c r="AH8" s="371"/>
      <c r="AI8" s="371"/>
      <c r="AJ8" s="371"/>
      <c r="AK8" s="371"/>
      <c r="AL8" s="371"/>
      <c r="AM8" s="371"/>
      <c r="AN8" s="371"/>
      <c r="AO8" s="374"/>
      <c r="AP8" s="345" t="s">
        <v>16</v>
      </c>
      <c r="AQ8" s="345" t="s">
        <v>17</v>
      </c>
      <c r="AR8" s="345" t="s">
        <v>18</v>
      </c>
      <c r="AS8" s="345" t="s">
        <v>19</v>
      </c>
      <c r="AT8" s="345" t="s">
        <v>20</v>
      </c>
      <c r="AU8" s="345" t="s">
        <v>21</v>
      </c>
      <c r="AV8" s="332" t="s">
        <v>22</v>
      </c>
      <c r="AW8" s="353" t="s">
        <v>23</v>
      </c>
      <c r="AX8" s="332" t="s">
        <v>24</v>
      </c>
      <c r="AY8" s="376" t="s">
        <v>25</v>
      </c>
      <c r="AZ8" s="371"/>
      <c r="BA8" s="371"/>
      <c r="BB8" s="371"/>
      <c r="BC8" s="371"/>
      <c r="BD8" s="371"/>
      <c r="BE8" s="371"/>
      <c r="BF8" s="371"/>
      <c r="BG8" s="371"/>
      <c r="BH8" s="371"/>
      <c r="BI8" s="371"/>
      <c r="BJ8" s="371"/>
      <c r="BK8" s="371"/>
      <c r="BL8" s="371"/>
      <c r="BM8" s="371"/>
      <c r="BN8" s="371"/>
      <c r="BO8" s="371"/>
      <c r="BP8" s="371"/>
      <c r="BQ8" s="374"/>
      <c r="BR8" s="380" t="s">
        <v>26</v>
      </c>
      <c r="BS8" s="367"/>
      <c r="BT8" s="332" t="s">
        <v>27</v>
      </c>
      <c r="BU8" s="377" t="s">
        <v>28</v>
      </c>
      <c r="BV8" s="329"/>
      <c r="BW8" s="335" t="s">
        <v>29</v>
      </c>
      <c r="BX8" s="357" t="s">
        <v>30</v>
      </c>
      <c r="BY8" s="358"/>
      <c r="BZ8" s="358"/>
      <c r="CA8" s="359"/>
      <c r="CB8" s="381" t="s">
        <v>31</v>
      </c>
      <c r="CC8" s="350" t="s">
        <v>32</v>
      </c>
      <c r="CD8" s="350" t="s">
        <v>33</v>
      </c>
      <c r="CH8" s="241"/>
      <c r="CI8" s="241"/>
    </row>
    <row r="9" spans="1:87" s="304" customFormat="1" ht="19.25" customHeight="1">
      <c r="A9" s="333"/>
      <c r="B9" s="333"/>
      <c r="C9" s="333"/>
      <c r="D9" s="333"/>
      <c r="E9" s="333"/>
      <c r="F9" s="333"/>
      <c r="G9" s="346"/>
      <c r="H9" s="333"/>
      <c r="I9" s="333"/>
      <c r="J9" s="346"/>
      <c r="K9" s="343" t="s">
        <v>34</v>
      </c>
      <c r="L9" s="343" t="s">
        <v>35</v>
      </c>
      <c r="M9" s="343" t="s">
        <v>36</v>
      </c>
      <c r="N9" s="343" t="s">
        <v>37</v>
      </c>
      <c r="O9" s="343" t="s">
        <v>38</v>
      </c>
      <c r="P9" s="343" t="s">
        <v>39</v>
      </c>
      <c r="Q9" s="343" t="s">
        <v>40</v>
      </c>
      <c r="R9" s="343" t="s">
        <v>41</v>
      </c>
      <c r="S9" s="343" t="s">
        <v>42</v>
      </c>
      <c r="T9" s="343" t="s">
        <v>43</v>
      </c>
      <c r="U9" s="343" t="s">
        <v>44</v>
      </c>
      <c r="V9" s="366" t="s">
        <v>45</v>
      </c>
      <c r="W9" s="367"/>
      <c r="X9" s="343" t="s">
        <v>46</v>
      </c>
      <c r="Y9" s="338" t="s">
        <v>154</v>
      </c>
      <c r="Z9" s="338" t="s">
        <v>48</v>
      </c>
      <c r="AA9" s="338" t="s">
        <v>49</v>
      </c>
      <c r="AB9" s="338" t="s">
        <v>50</v>
      </c>
      <c r="AC9" s="338" t="s">
        <v>51</v>
      </c>
      <c r="AD9" s="338" t="s">
        <v>52</v>
      </c>
      <c r="AE9" s="338" t="s">
        <v>53</v>
      </c>
      <c r="AF9" s="338" t="s">
        <v>54</v>
      </c>
      <c r="AG9" s="338" t="s">
        <v>55</v>
      </c>
      <c r="AH9" s="338" t="s">
        <v>56</v>
      </c>
      <c r="AI9" s="338" t="s">
        <v>57</v>
      </c>
      <c r="AJ9" s="375" t="s">
        <v>58</v>
      </c>
      <c r="AK9" s="377" t="s">
        <v>59</v>
      </c>
      <c r="AL9" s="353" t="s">
        <v>60</v>
      </c>
      <c r="AM9" s="338" t="s">
        <v>61</v>
      </c>
      <c r="AN9" s="332" t="s">
        <v>62</v>
      </c>
      <c r="AO9" s="332" t="s">
        <v>63</v>
      </c>
      <c r="AP9" s="346"/>
      <c r="AQ9" s="346"/>
      <c r="AR9" s="346"/>
      <c r="AS9" s="346"/>
      <c r="AT9" s="346"/>
      <c r="AU9" s="346"/>
      <c r="AV9" s="333"/>
      <c r="AW9" s="346"/>
      <c r="AX9" s="333"/>
      <c r="AY9" s="383" t="s">
        <v>25</v>
      </c>
      <c r="AZ9" s="384"/>
      <c r="BA9" s="384"/>
      <c r="BB9" s="384"/>
      <c r="BC9" s="384"/>
      <c r="BD9" s="384"/>
      <c r="BE9" s="384"/>
      <c r="BF9" s="384"/>
      <c r="BG9" s="384"/>
      <c r="BH9" s="384"/>
      <c r="BI9" s="384"/>
      <c r="BJ9" s="384"/>
      <c r="BK9" s="384"/>
      <c r="BL9" s="385"/>
      <c r="BM9" s="383" t="s">
        <v>64</v>
      </c>
      <c r="BN9" s="384"/>
      <c r="BO9" s="384"/>
      <c r="BP9" s="384"/>
      <c r="BQ9" s="385"/>
      <c r="BR9" s="344" t="s">
        <v>65</v>
      </c>
      <c r="BS9" s="344" t="s">
        <v>66</v>
      </c>
      <c r="BT9" s="333"/>
      <c r="BU9" s="378"/>
      <c r="BV9" s="329"/>
      <c r="BW9" s="336"/>
      <c r="BX9" s="360"/>
      <c r="BY9" s="361"/>
      <c r="BZ9" s="361"/>
      <c r="CA9" s="362"/>
      <c r="CB9" s="333"/>
      <c r="CC9" s="351"/>
      <c r="CD9" s="351"/>
      <c r="CH9" s="241"/>
      <c r="CI9" s="241"/>
    </row>
    <row r="10" spans="1:87" s="305" customFormat="1" ht="19.25" customHeight="1">
      <c r="A10" s="333"/>
      <c r="B10" s="333"/>
      <c r="C10" s="333"/>
      <c r="D10" s="333"/>
      <c r="E10" s="333"/>
      <c r="F10" s="333"/>
      <c r="G10" s="346"/>
      <c r="H10" s="333"/>
      <c r="I10" s="333"/>
      <c r="J10" s="346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68"/>
      <c r="W10" s="369"/>
      <c r="X10" s="333"/>
      <c r="Y10" s="333"/>
      <c r="Z10" s="333"/>
      <c r="AA10" s="333"/>
      <c r="AB10" s="333"/>
      <c r="AC10" s="333"/>
      <c r="AD10" s="333"/>
      <c r="AE10" s="333"/>
      <c r="AF10" s="333"/>
      <c r="AG10" s="333"/>
      <c r="AH10" s="333"/>
      <c r="AI10" s="333"/>
      <c r="AJ10" s="346"/>
      <c r="AK10" s="378"/>
      <c r="AL10" s="346"/>
      <c r="AM10" s="333"/>
      <c r="AN10" s="333"/>
      <c r="AO10" s="333"/>
      <c r="AP10" s="346"/>
      <c r="AQ10" s="346"/>
      <c r="AR10" s="346"/>
      <c r="AS10" s="346"/>
      <c r="AT10" s="346"/>
      <c r="AU10" s="346"/>
      <c r="AV10" s="333"/>
      <c r="AW10" s="346"/>
      <c r="AX10" s="333"/>
      <c r="AY10" s="101" t="s">
        <v>67</v>
      </c>
      <c r="AZ10" s="101" t="s">
        <v>68</v>
      </c>
      <c r="BA10" s="101" t="s">
        <v>69</v>
      </c>
      <c r="BB10" s="355" t="s">
        <v>70</v>
      </c>
      <c r="BC10" s="341" t="s">
        <v>71</v>
      </c>
      <c r="BD10" s="341" t="s">
        <v>72</v>
      </c>
      <c r="BE10" s="340" t="s">
        <v>73</v>
      </c>
      <c r="BF10" s="340" t="s">
        <v>74</v>
      </c>
      <c r="BG10" s="340" t="s">
        <v>75</v>
      </c>
      <c r="BH10" s="341" t="s">
        <v>76</v>
      </c>
      <c r="BI10" s="341" t="s">
        <v>77</v>
      </c>
      <c r="BJ10" s="340" t="s">
        <v>78</v>
      </c>
      <c r="BK10" s="340" t="s">
        <v>79</v>
      </c>
      <c r="BL10" s="332" t="s">
        <v>80</v>
      </c>
      <c r="BM10" s="341" t="s">
        <v>81</v>
      </c>
      <c r="BN10" s="353" t="s">
        <v>82</v>
      </c>
      <c r="BO10" s="341" t="s">
        <v>83</v>
      </c>
      <c r="BP10" s="353" t="s">
        <v>84</v>
      </c>
      <c r="BQ10" s="353" t="s">
        <v>85</v>
      </c>
      <c r="BR10" s="333"/>
      <c r="BS10" s="333"/>
      <c r="BT10" s="333"/>
      <c r="BU10" s="378"/>
      <c r="BV10" s="329"/>
      <c r="BW10" s="336"/>
      <c r="BX10" s="363"/>
      <c r="BY10" s="364"/>
      <c r="BZ10" s="364"/>
      <c r="CA10" s="365"/>
      <c r="CB10" s="333"/>
      <c r="CC10" s="351"/>
      <c r="CD10" s="351"/>
      <c r="CE10" s="319" t="s">
        <v>3</v>
      </c>
      <c r="CH10" s="241"/>
      <c r="CI10" s="241"/>
    </row>
    <row r="11" spans="1:87" s="305" customFormat="1" ht="38.25" customHeight="1">
      <c r="A11" s="334"/>
      <c r="B11" s="334"/>
      <c r="C11" s="334"/>
      <c r="D11" s="334"/>
      <c r="E11" s="334"/>
      <c r="F11" s="334"/>
      <c r="G11" s="342"/>
      <c r="H11" s="334"/>
      <c r="I11" s="334"/>
      <c r="J11" s="342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0" t="s">
        <v>86</v>
      </c>
      <c r="W11" s="330" t="s">
        <v>87</v>
      </c>
      <c r="X11" s="334"/>
      <c r="Y11" s="334"/>
      <c r="Z11" s="334"/>
      <c r="AA11" s="334"/>
      <c r="AB11" s="334"/>
      <c r="AC11" s="334"/>
      <c r="AD11" s="334"/>
      <c r="AE11" s="334"/>
      <c r="AF11" s="334"/>
      <c r="AG11" s="334"/>
      <c r="AH11" s="334"/>
      <c r="AI11" s="334"/>
      <c r="AJ11" s="342"/>
      <c r="AK11" s="379"/>
      <c r="AL11" s="342"/>
      <c r="AM11" s="334"/>
      <c r="AN11" s="334"/>
      <c r="AO11" s="334"/>
      <c r="AP11" s="342"/>
      <c r="AQ11" s="342"/>
      <c r="AR11" s="342"/>
      <c r="AS11" s="342"/>
      <c r="AT11" s="342"/>
      <c r="AU11" s="342"/>
      <c r="AV11" s="334"/>
      <c r="AW11" s="342"/>
      <c r="AX11" s="334"/>
      <c r="AY11" s="331" t="s">
        <v>88</v>
      </c>
      <c r="AZ11" s="331" t="s">
        <v>89</v>
      </c>
      <c r="BA11" s="331" t="s">
        <v>90</v>
      </c>
      <c r="BB11" s="334"/>
      <c r="BC11" s="342"/>
      <c r="BD11" s="342"/>
      <c r="BE11" s="334"/>
      <c r="BF11" s="334"/>
      <c r="BG11" s="334"/>
      <c r="BH11" s="342"/>
      <c r="BI11" s="342"/>
      <c r="BJ11" s="334"/>
      <c r="BK11" s="334"/>
      <c r="BL11" s="334"/>
      <c r="BM11" s="342"/>
      <c r="BN11" s="342"/>
      <c r="BO11" s="342"/>
      <c r="BP11" s="342"/>
      <c r="BQ11" s="342"/>
      <c r="BR11" s="334"/>
      <c r="BS11" s="334"/>
      <c r="BT11" s="334"/>
      <c r="BU11" s="379"/>
      <c r="BV11" s="329"/>
      <c r="BW11" s="337"/>
      <c r="BX11" s="327" t="s">
        <v>91</v>
      </c>
      <c r="BY11" s="327" t="s">
        <v>92</v>
      </c>
      <c r="BZ11" s="327" t="s">
        <v>93</v>
      </c>
      <c r="CA11" s="269" t="s">
        <v>94</v>
      </c>
      <c r="CB11" s="382"/>
      <c r="CC11" s="352"/>
      <c r="CD11" s="352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900000</v>
      </c>
      <c r="I14" s="94">
        <f>SUM(I15:I21)</f>
        <v>182799990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118846.15384615383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830769.23076923075</v>
      </c>
      <c r="AO14" s="94">
        <f t="shared" si="5"/>
        <v>180765756.34615386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3550401</v>
      </c>
      <c r="AZ14" s="94">
        <f>SUM(AZ15:AZ21)</f>
        <v>665700</v>
      </c>
      <c r="BA14" s="94">
        <f>SUM(BA15:BA21)</f>
        <v>443800</v>
      </c>
      <c r="BB14" s="94">
        <f>SUM(BB15:BB21)</f>
        <v>4659901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9753498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4">
        <f>SUM(BU15:BU21)</f>
        <v>227400448.59230769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v>1</v>
      </c>
      <c r="B15" s="271">
        <v>2405236</v>
      </c>
      <c r="C15" s="272" t="s">
        <v>97</v>
      </c>
      <c r="D15" s="273" t="s">
        <v>98</v>
      </c>
      <c r="E15" s="274" t="s">
        <v>113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>
        <f t="shared" ref="AX15:AX21" si="23">IF(E15="CT","x",0)</f>
        <v>0</v>
      </c>
      <c r="AY15" s="278">
        <f t="shared" ref="AY15:BA21" si="24">ROUND(IF($AX15="x",($G15+$H15)*AY$11,0),0)</f>
        <v>0</v>
      </c>
      <c r="AZ15" s="278">
        <f t="shared" si="24"/>
        <v>0</v>
      </c>
      <c r="BA15" s="278">
        <f t="shared" si="24"/>
        <v>0</v>
      </c>
      <c r="BB15" s="278">
        <f t="shared" ref="BB15:BB21" si="25">SUM(AY15:BA15)</f>
        <v>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9490500</v>
      </c>
      <c r="BG15" s="278">
        <f t="shared" ref="BG15:BG21" si="27">AV15-BF15+AW15</f>
        <v>54509500</v>
      </c>
      <c r="BH15" s="278">
        <v>3</v>
      </c>
      <c r="BI15" s="278">
        <v>6200000</v>
      </c>
      <c r="BJ15" s="278">
        <f>IF(E15="CT",15500000,0)</f>
        <v>0</v>
      </c>
      <c r="BK15" s="278">
        <f t="shared" ref="BK15:BK21" si="28">BG15-BB15-BC15+BD15-BH15*BI15-BJ15</f>
        <v>35909500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3590950</v>
      </c>
      <c r="BM15" s="278"/>
      <c r="BN15" s="278"/>
      <c r="BO15" s="278">
        <v>0</v>
      </c>
      <c r="BP15" s="278"/>
      <c r="BQ15" s="278"/>
      <c r="BR15" s="278"/>
      <c r="BS15" s="278"/>
      <c r="BT15" s="328"/>
      <c r="BU15" s="280">
        <f t="shared" ref="BU15:BU21" si="30">AV15-BB15-BC15+BD15-BE15-BL15-BM15-BN15-BO15-BP15-BQ15-BR15+BS15-BT15</f>
        <v>60313850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84" t="s">
        <v>122</v>
      </c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84" t="s">
        <v>114</v>
      </c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300000</v>
      </c>
      <c r="I17" s="94">
        <f t="shared" si="8"/>
        <v>33880000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276923.07692307694</v>
      </c>
      <c r="AO17" s="94">
        <f t="shared" si="21"/>
        <v>34520000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649600</v>
      </c>
      <c r="AZ17" s="250">
        <f t="shared" si="24"/>
        <v>121800</v>
      </c>
      <c r="BA17" s="250">
        <f t="shared" si="24"/>
        <v>81200</v>
      </c>
      <c r="BB17" s="250">
        <f t="shared" si="25"/>
        <v>852600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19360476.923076928</v>
      </c>
      <c r="BL17" s="243">
        <f t="shared" si="29"/>
        <v>2222095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39422489.615384616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84" t="s">
        <v>118</v>
      </c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84" t="s">
        <v>114</v>
      </c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300000</v>
      </c>
      <c r="I19" s="94">
        <f t="shared" si="8"/>
        <v>6400000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118846.15384615383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253846.15384615387</v>
      </c>
      <c r="AO19" s="94">
        <f t="shared" si="21"/>
        <v>6400384.615384615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412000</v>
      </c>
      <c r="AZ19" s="250">
        <f t="shared" si="24"/>
        <v>77250</v>
      </c>
      <c r="BA19" s="250">
        <f t="shared" si="24"/>
        <v>51500</v>
      </c>
      <c r="BB19" s="250">
        <f t="shared" si="25"/>
        <v>540750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-6161134.6153846141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11593826.923076924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84" t="s">
        <v>118</v>
      </c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 t="str">
        <f t="shared" si="23"/>
        <v>x</v>
      </c>
      <c r="AY20" s="250">
        <f t="shared" si="24"/>
        <v>507200</v>
      </c>
      <c r="AZ20" s="250">
        <f t="shared" si="24"/>
        <v>95100</v>
      </c>
      <c r="BA20" s="250">
        <f t="shared" si="24"/>
        <v>63400</v>
      </c>
      <c r="BB20" s="250">
        <f t="shared" si="25"/>
        <v>665700</v>
      </c>
      <c r="BC20" s="250"/>
      <c r="BD20" s="250"/>
      <c r="BE20" s="250">
        <f t="shared" si="26"/>
        <v>63400</v>
      </c>
      <c r="BF20" s="250">
        <f t="shared" si="34"/>
        <v>4342500</v>
      </c>
      <c r="BG20" s="250">
        <f t="shared" si="27"/>
        <v>20527500</v>
      </c>
      <c r="BH20" s="250"/>
      <c r="BI20" s="278">
        <v>6200000</v>
      </c>
      <c r="BJ20" s="250">
        <f t="shared" si="35"/>
        <v>15500000</v>
      </c>
      <c r="BK20" s="250">
        <f t="shared" si="28"/>
        <v>4361800</v>
      </c>
      <c r="BL20" s="243">
        <f t="shared" si="29"/>
        <v>218090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23922810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84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84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8"/>
      <c r="B3" s="407"/>
      <c r="C3" s="407"/>
      <c r="D3" s="407"/>
      <c r="E3" s="407"/>
      <c r="F3" s="407"/>
      <c r="G3" s="407"/>
      <c r="H3" s="407"/>
      <c r="I3" s="407"/>
      <c r="J3" s="407"/>
      <c r="K3" s="407"/>
      <c r="L3" s="407"/>
      <c r="M3" s="407"/>
      <c r="N3" s="407"/>
      <c r="O3" s="407"/>
      <c r="P3" s="407"/>
      <c r="Q3" s="407"/>
      <c r="R3" s="407"/>
      <c r="S3" s="407"/>
      <c r="T3" s="407"/>
      <c r="U3" s="407"/>
      <c r="V3" s="407"/>
      <c r="W3" s="407"/>
      <c r="X3" s="407"/>
      <c r="Y3" s="407"/>
      <c r="Z3" s="407"/>
      <c r="AA3" s="407"/>
      <c r="AB3" s="407"/>
      <c r="AC3" s="407"/>
      <c r="AD3" s="407"/>
      <c r="AE3" s="407"/>
      <c r="AF3" s="407"/>
      <c r="AG3" s="407"/>
      <c r="AH3" s="407"/>
      <c r="AI3" s="407"/>
      <c r="AJ3" s="407"/>
      <c r="AK3" s="407"/>
      <c r="AL3" s="407"/>
      <c r="AM3" s="407"/>
      <c r="AN3" s="407"/>
      <c r="AO3" s="407"/>
      <c r="AP3" s="407"/>
      <c r="AQ3" s="407"/>
      <c r="AR3" s="407"/>
      <c r="AS3" s="407"/>
      <c r="AT3" s="407"/>
      <c r="AU3" s="407"/>
      <c r="AV3" s="407"/>
      <c r="AW3" s="407"/>
      <c r="AX3" s="407"/>
      <c r="AY3" s="407"/>
      <c r="AZ3" s="407"/>
      <c r="BA3" s="407"/>
      <c r="BB3" s="407"/>
      <c r="BC3" s="407"/>
      <c r="BD3" s="407"/>
      <c r="BE3" s="407"/>
      <c r="BF3" s="407"/>
      <c r="BG3" s="407"/>
      <c r="BH3" s="407"/>
      <c r="BI3" s="407"/>
      <c r="BJ3" s="407"/>
      <c r="BK3" s="407"/>
      <c r="BL3" s="407"/>
      <c r="BM3" s="407"/>
      <c r="BN3" s="407"/>
      <c r="BO3" s="407"/>
      <c r="BP3" s="407"/>
      <c r="BQ3" s="407"/>
      <c r="BR3" s="407"/>
      <c r="BS3" s="407"/>
      <c r="BT3" s="407"/>
      <c r="BU3" s="407"/>
      <c r="BW3" s="406" t="s">
        <v>2</v>
      </c>
      <c r="BX3" s="407"/>
      <c r="BY3" s="407"/>
      <c r="BZ3" s="407"/>
      <c r="CA3" s="407"/>
      <c r="CB3" s="407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7"/>
      <c r="BX4" s="407"/>
      <c r="BY4" s="407"/>
      <c r="BZ4" s="407"/>
      <c r="CA4" s="407"/>
      <c r="CB4" s="407"/>
      <c r="CC4" s="133"/>
      <c r="CD4" s="133"/>
    </row>
    <row r="5" spans="1:87" s="136" customFormat="1">
      <c r="A5" s="394" t="s">
        <v>4</v>
      </c>
      <c r="B5" s="405" t="s">
        <v>5</v>
      </c>
      <c r="C5" s="393" t="s">
        <v>6</v>
      </c>
      <c r="D5" s="400" t="s">
        <v>7</v>
      </c>
      <c r="E5" s="400" t="s">
        <v>8</v>
      </c>
      <c r="F5" s="393" t="s">
        <v>9</v>
      </c>
      <c r="G5" s="393" t="s">
        <v>10</v>
      </c>
      <c r="H5" s="332" t="s">
        <v>11</v>
      </c>
      <c r="I5" s="332" t="s">
        <v>12</v>
      </c>
      <c r="J5" s="393" t="s">
        <v>13</v>
      </c>
      <c r="K5" s="398" t="s">
        <v>14</v>
      </c>
      <c r="L5" s="390"/>
      <c r="M5" s="390"/>
      <c r="N5" s="390"/>
      <c r="O5" s="390"/>
      <c r="P5" s="390"/>
      <c r="Q5" s="390"/>
      <c r="R5" s="390"/>
      <c r="S5" s="390"/>
      <c r="T5" s="390"/>
      <c r="U5" s="390"/>
      <c r="V5" s="390"/>
      <c r="W5" s="390"/>
      <c r="X5" s="390"/>
      <c r="Y5" s="393" t="s">
        <v>15</v>
      </c>
      <c r="Z5" s="390"/>
      <c r="AA5" s="390"/>
      <c r="AB5" s="390"/>
      <c r="AC5" s="390"/>
      <c r="AD5" s="390"/>
      <c r="AE5" s="390"/>
      <c r="AF5" s="390"/>
      <c r="AG5" s="390"/>
      <c r="AH5" s="390"/>
      <c r="AI5" s="390"/>
      <c r="AJ5" s="390"/>
      <c r="AK5" s="390"/>
      <c r="AL5" s="390"/>
      <c r="AM5" s="390"/>
      <c r="AN5" s="390"/>
      <c r="AO5" s="391"/>
      <c r="AP5" s="393" t="s">
        <v>16</v>
      </c>
      <c r="AQ5" s="393" t="s">
        <v>17</v>
      </c>
      <c r="AR5" s="393" t="s">
        <v>18</v>
      </c>
      <c r="AS5" s="393" t="s">
        <v>19</v>
      </c>
      <c r="AT5" s="393" t="s">
        <v>20</v>
      </c>
      <c r="AU5" s="393" t="s">
        <v>21</v>
      </c>
      <c r="AV5" s="393" t="s">
        <v>22</v>
      </c>
      <c r="AW5" s="393" t="s">
        <v>23</v>
      </c>
      <c r="AX5" s="393" t="s">
        <v>24</v>
      </c>
      <c r="AY5" s="389" t="s">
        <v>25</v>
      </c>
      <c r="AZ5" s="390"/>
      <c r="BA5" s="390"/>
      <c r="BB5" s="390"/>
      <c r="BC5" s="390"/>
      <c r="BD5" s="390"/>
      <c r="BE5" s="390"/>
      <c r="BF5" s="390"/>
      <c r="BG5" s="390"/>
      <c r="BH5" s="390"/>
      <c r="BI5" s="390"/>
      <c r="BJ5" s="390"/>
      <c r="BK5" s="390"/>
      <c r="BL5" s="390"/>
      <c r="BM5" s="390"/>
      <c r="BN5" s="390"/>
      <c r="BO5" s="390"/>
      <c r="BP5" s="390"/>
      <c r="BQ5" s="391"/>
      <c r="BR5" s="409" t="s">
        <v>26</v>
      </c>
      <c r="BS5" s="403"/>
      <c r="BT5" s="389" t="s">
        <v>27</v>
      </c>
      <c r="BU5" s="420" t="s">
        <v>28</v>
      </c>
      <c r="BW5" s="421" t="s">
        <v>29</v>
      </c>
      <c r="BX5" s="410" t="s">
        <v>30</v>
      </c>
      <c r="BY5" s="411"/>
      <c r="BZ5" s="411"/>
      <c r="CA5" s="403"/>
      <c r="CB5" s="422" t="s">
        <v>31</v>
      </c>
      <c r="CC5" s="350" t="s">
        <v>32</v>
      </c>
      <c r="CD5" s="350" t="s">
        <v>33</v>
      </c>
      <c r="CH5" s="137"/>
      <c r="CI5" s="138"/>
    </row>
    <row r="6" spans="1:87" s="136" customFormat="1">
      <c r="A6" s="387"/>
      <c r="B6" s="387"/>
      <c r="C6" s="387"/>
      <c r="D6" s="387"/>
      <c r="E6" s="387"/>
      <c r="F6" s="387"/>
      <c r="G6" s="387"/>
      <c r="H6" s="387"/>
      <c r="I6" s="387"/>
      <c r="J6" s="387"/>
      <c r="K6" s="401" t="s">
        <v>34</v>
      </c>
      <c r="L6" s="401" t="s">
        <v>35</v>
      </c>
      <c r="M6" s="401" t="s">
        <v>36</v>
      </c>
      <c r="N6" s="401" t="s">
        <v>37</v>
      </c>
      <c r="O6" s="401" t="s">
        <v>38</v>
      </c>
      <c r="P6" s="401" t="s">
        <v>39</v>
      </c>
      <c r="Q6" s="401" t="s">
        <v>40</v>
      </c>
      <c r="R6" s="401" t="s">
        <v>41</v>
      </c>
      <c r="S6" s="401" t="s">
        <v>42</v>
      </c>
      <c r="T6" s="401" t="s">
        <v>43</v>
      </c>
      <c r="U6" s="401" t="s">
        <v>44</v>
      </c>
      <c r="V6" s="402" t="s">
        <v>45</v>
      </c>
      <c r="W6" s="403"/>
      <c r="X6" s="401" t="s">
        <v>46</v>
      </c>
      <c r="Y6" s="393" t="s">
        <v>47</v>
      </c>
      <c r="Z6" s="393" t="s">
        <v>48</v>
      </c>
      <c r="AA6" s="393" t="s">
        <v>49</v>
      </c>
      <c r="AB6" s="393" t="s">
        <v>50</v>
      </c>
      <c r="AC6" s="332" t="s">
        <v>51</v>
      </c>
      <c r="AD6" s="332" t="s">
        <v>52</v>
      </c>
      <c r="AE6" s="332" t="s">
        <v>53</v>
      </c>
      <c r="AF6" s="332" t="s">
        <v>54</v>
      </c>
      <c r="AG6" s="393" t="s">
        <v>55</v>
      </c>
      <c r="AH6" s="332" t="s">
        <v>56</v>
      </c>
      <c r="AI6" s="332" t="s">
        <v>57</v>
      </c>
      <c r="AJ6" s="393" t="s">
        <v>58</v>
      </c>
      <c r="AK6" s="395" t="s">
        <v>59</v>
      </c>
      <c r="AL6" s="393" t="s">
        <v>60</v>
      </c>
      <c r="AM6" s="393" t="s">
        <v>61</v>
      </c>
      <c r="AN6" s="399" t="s">
        <v>62</v>
      </c>
      <c r="AO6" s="393" t="s">
        <v>63</v>
      </c>
      <c r="AP6" s="387"/>
      <c r="AQ6" s="387"/>
      <c r="AR6" s="387"/>
      <c r="AS6" s="387"/>
      <c r="AT6" s="387"/>
      <c r="AU6" s="387"/>
      <c r="AV6" s="387"/>
      <c r="AW6" s="387"/>
      <c r="AX6" s="387"/>
      <c r="AY6" s="389" t="s">
        <v>25</v>
      </c>
      <c r="AZ6" s="390"/>
      <c r="BA6" s="390"/>
      <c r="BB6" s="390"/>
      <c r="BC6" s="390"/>
      <c r="BD6" s="390"/>
      <c r="BE6" s="390"/>
      <c r="BF6" s="390"/>
      <c r="BG6" s="390"/>
      <c r="BH6" s="390"/>
      <c r="BI6" s="390"/>
      <c r="BJ6" s="390"/>
      <c r="BK6" s="390"/>
      <c r="BL6" s="391"/>
      <c r="BM6" s="389" t="s">
        <v>64</v>
      </c>
      <c r="BN6" s="390"/>
      <c r="BO6" s="390"/>
      <c r="BP6" s="390"/>
      <c r="BQ6" s="391"/>
      <c r="BR6" s="386" t="s">
        <v>65</v>
      </c>
      <c r="BS6" s="386" t="s">
        <v>66</v>
      </c>
      <c r="BT6" s="387"/>
      <c r="BU6" s="396"/>
      <c r="BW6" s="413"/>
      <c r="BX6" s="396"/>
      <c r="BY6" s="412"/>
      <c r="BZ6" s="412"/>
      <c r="CA6" s="413"/>
      <c r="CB6" s="387"/>
      <c r="CC6" s="387"/>
      <c r="CD6" s="387"/>
      <c r="CH6" s="137"/>
      <c r="CI6" s="138"/>
    </row>
    <row r="7" spans="1:87" s="139" customFormat="1" ht="12">
      <c r="A7" s="387"/>
      <c r="B7" s="387"/>
      <c r="C7" s="387"/>
      <c r="D7" s="387"/>
      <c r="E7" s="387"/>
      <c r="F7" s="387"/>
      <c r="G7" s="387"/>
      <c r="H7" s="387"/>
      <c r="I7" s="387"/>
      <c r="J7" s="387"/>
      <c r="K7" s="387"/>
      <c r="L7" s="387"/>
      <c r="M7" s="387"/>
      <c r="N7" s="387"/>
      <c r="O7" s="387"/>
      <c r="P7" s="387"/>
      <c r="Q7" s="387"/>
      <c r="R7" s="387"/>
      <c r="S7" s="387"/>
      <c r="T7" s="387"/>
      <c r="U7" s="387"/>
      <c r="V7" s="397"/>
      <c r="W7" s="404"/>
      <c r="X7" s="387"/>
      <c r="Y7" s="387"/>
      <c r="Z7" s="387"/>
      <c r="AA7" s="387"/>
      <c r="AB7" s="387"/>
      <c r="AC7" s="387"/>
      <c r="AD7" s="387"/>
      <c r="AE7" s="387"/>
      <c r="AF7" s="387"/>
      <c r="AG7" s="387"/>
      <c r="AH7" s="387"/>
      <c r="AI7" s="387"/>
      <c r="AJ7" s="387"/>
      <c r="AK7" s="396"/>
      <c r="AL7" s="387"/>
      <c r="AM7" s="387"/>
      <c r="AN7" s="387"/>
      <c r="AO7" s="387"/>
      <c r="AP7" s="387"/>
      <c r="AQ7" s="387"/>
      <c r="AR7" s="387"/>
      <c r="AS7" s="387"/>
      <c r="AT7" s="387"/>
      <c r="AU7" s="387"/>
      <c r="AV7" s="387"/>
      <c r="AW7" s="387"/>
      <c r="AX7" s="387"/>
      <c r="AY7" s="101" t="s">
        <v>67</v>
      </c>
      <c r="AZ7" s="101" t="s">
        <v>68</v>
      </c>
      <c r="BA7" s="101" t="s">
        <v>69</v>
      </c>
      <c r="BB7" s="389" t="s">
        <v>70</v>
      </c>
      <c r="BC7" s="392" t="s">
        <v>71</v>
      </c>
      <c r="BD7" s="392" t="s">
        <v>72</v>
      </c>
      <c r="BE7" s="417" t="s">
        <v>73</v>
      </c>
      <c r="BF7" s="392" t="s">
        <v>74</v>
      </c>
      <c r="BG7" s="392" t="s">
        <v>75</v>
      </c>
      <c r="BH7" s="392" t="s">
        <v>76</v>
      </c>
      <c r="BI7" s="392" t="s">
        <v>77</v>
      </c>
      <c r="BJ7" s="392" t="s">
        <v>78</v>
      </c>
      <c r="BK7" s="392" t="s">
        <v>79</v>
      </c>
      <c r="BL7" s="419" t="s">
        <v>80</v>
      </c>
      <c r="BM7" s="392" t="s">
        <v>81</v>
      </c>
      <c r="BN7" s="389" t="s">
        <v>82</v>
      </c>
      <c r="BO7" s="392" t="s">
        <v>83</v>
      </c>
      <c r="BP7" s="389" t="s">
        <v>84</v>
      </c>
      <c r="BQ7" s="389" t="s">
        <v>85</v>
      </c>
      <c r="BR7" s="387"/>
      <c r="BS7" s="387"/>
      <c r="BT7" s="387"/>
      <c r="BU7" s="396"/>
      <c r="BW7" s="413"/>
      <c r="BX7" s="414"/>
      <c r="BY7" s="415"/>
      <c r="BZ7" s="415"/>
      <c r="CA7" s="416"/>
      <c r="CB7" s="387"/>
      <c r="CC7" s="387"/>
      <c r="CD7" s="387"/>
      <c r="CH7" s="137"/>
      <c r="CI7" s="138"/>
    </row>
    <row r="8" spans="1:87" s="139" customFormat="1" ht="12">
      <c r="A8" s="388"/>
      <c r="B8" s="388"/>
      <c r="C8" s="388"/>
      <c r="D8" s="388"/>
      <c r="E8" s="388"/>
      <c r="F8" s="388"/>
      <c r="G8" s="388"/>
      <c r="H8" s="388"/>
      <c r="I8" s="388"/>
      <c r="J8" s="388"/>
      <c r="K8" s="388"/>
      <c r="L8" s="388"/>
      <c r="M8" s="388"/>
      <c r="N8" s="388"/>
      <c r="O8" s="388"/>
      <c r="P8" s="388"/>
      <c r="Q8" s="388"/>
      <c r="R8" s="388"/>
      <c r="S8" s="388"/>
      <c r="T8" s="388"/>
      <c r="U8" s="388"/>
      <c r="V8" s="140" t="s">
        <v>86</v>
      </c>
      <c r="W8" s="140" t="s">
        <v>87</v>
      </c>
      <c r="X8" s="388"/>
      <c r="Y8" s="388"/>
      <c r="Z8" s="388"/>
      <c r="AA8" s="388"/>
      <c r="AB8" s="388"/>
      <c r="AC8" s="388"/>
      <c r="AD8" s="388"/>
      <c r="AE8" s="388"/>
      <c r="AF8" s="388"/>
      <c r="AG8" s="388"/>
      <c r="AH8" s="388"/>
      <c r="AI8" s="388"/>
      <c r="AJ8" s="388"/>
      <c r="AK8" s="397"/>
      <c r="AL8" s="388"/>
      <c r="AM8" s="388"/>
      <c r="AN8" s="388"/>
      <c r="AO8" s="388"/>
      <c r="AP8" s="388"/>
      <c r="AQ8" s="388"/>
      <c r="AR8" s="388"/>
      <c r="AS8" s="388"/>
      <c r="AT8" s="388"/>
      <c r="AU8" s="388"/>
      <c r="AV8" s="388"/>
      <c r="AW8" s="388"/>
      <c r="AX8" s="388"/>
      <c r="AY8" s="102" t="s">
        <v>88</v>
      </c>
      <c r="AZ8" s="102" t="s">
        <v>89</v>
      </c>
      <c r="BA8" s="102" t="s">
        <v>90</v>
      </c>
      <c r="BB8" s="388"/>
      <c r="BC8" s="388"/>
      <c r="BD8" s="388"/>
      <c r="BE8" s="388"/>
      <c r="BF8" s="388"/>
      <c r="BG8" s="388"/>
      <c r="BH8" s="388"/>
      <c r="BI8" s="388"/>
      <c r="BJ8" s="388"/>
      <c r="BK8" s="388"/>
      <c r="BL8" s="388"/>
      <c r="BM8" s="388"/>
      <c r="BN8" s="388"/>
      <c r="BO8" s="388"/>
      <c r="BP8" s="388"/>
      <c r="BQ8" s="388"/>
      <c r="BR8" s="388"/>
      <c r="BS8" s="388"/>
      <c r="BT8" s="388"/>
      <c r="BU8" s="397"/>
      <c r="BW8" s="416"/>
      <c r="BX8" s="72" t="s">
        <v>91</v>
      </c>
      <c r="BY8" s="72" t="s">
        <v>92</v>
      </c>
      <c r="BZ8" s="72" t="s">
        <v>93</v>
      </c>
      <c r="CA8" s="73" t="s">
        <v>94</v>
      </c>
      <c r="CB8" s="408"/>
      <c r="CC8" s="408"/>
      <c r="CD8" s="408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A17" sqref="A17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33"/>
      <c r="B3" s="432"/>
      <c r="C3" s="432"/>
      <c r="D3" s="432"/>
      <c r="E3" s="432"/>
      <c r="F3" s="432"/>
      <c r="G3" s="432"/>
      <c r="H3" s="432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32"/>
      <c r="W3" s="432"/>
      <c r="X3" s="432"/>
      <c r="Y3" s="432"/>
      <c r="Z3" s="432"/>
      <c r="AA3" s="432"/>
      <c r="AB3" s="432"/>
      <c r="AC3" s="432"/>
      <c r="AD3" s="432"/>
      <c r="AE3" s="432"/>
      <c r="AF3" s="432"/>
      <c r="AG3" s="432"/>
      <c r="AH3" s="432"/>
      <c r="AI3" s="432"/>
      <c r="AJ3" s="432"/>
      <c r="AK3" s="432"/>
      <c r="AL3" s="432"/>
      <c r="AM3" s="432"/>
      <c r="AN3" s="432"/>
      <c r="AO3" s="432"/>
      <c r="AP3" s="432"/>
      <c r="AQ3" s="432"/>
      <c r="AR3" s="432"/>
      <c r="AS3" s="432"/>
      <c r="AT3" s="432"/>
      <c r="AU3" s="432"/>
      <c r="AV3" s="432"/>
      <c r="AW3" s="432"/>
      <c r="AX3" s="432"/>
      <c r="AY3" s="432"/>
      <c r="AZ3" s="432"/>
      <c r="BA3" s="432"/>
      <c r="BB3" s="432"/>
      <c r="BC3" s="432"/>
      <c r="BD3" s="432"/>
      <c r="BE3" s="432"/>
      <c r="BF3" s="432"/>
      <c r="BG3" s="432"/>
      <c r="BH3" s="432"/>
      <c r="BI3" s="432"/>
      <c r="BJ3" s="432"/>
      <c r="BK3" s="432"/>
      <c r="BL3" s="432"/>
      <c r="BM3" s="432"/>
      <c r="BN3" s="432"/>
      <c r="BO3" s="432"/>
      <c r="BP3" s="432"/>
      <c r="BQ3" s="432"/>
      <c r="BR3" s="432"/>
      <c r="BS3" s="432"/>
      <c r="BT3" s="432"/>
      <c r="BU3" s="432"/>
      <c r="BV3" s="110"/>
      <c r="BW3" s="431" t="s">
        <v>2</v>
      </c>
      <c r="BX3" s="432"/>
      <c r="BY3" s="432"/>
      <c r="BZ3" s="432"/>
      <c r="CA3" s="432"/>
      <c r="CB3" s="432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32"/>
      <c r="BX4" s="432"/>
      <c r="BY4" s="432"/>
      <c r="BZ4" s="432"/>
      <c r="CA4" s="432"/>
      <c r="CB4" s="432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49"/>
      <c r="BX5" s="349"/>
      <c r="BY5" s="349"/>
      <c r="BZ5" s="349"/>
      <c r="CA5" s="349"/>
      <c r="CB5" s="349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49"/>
      <c r="BX6" s="349"/>
      <c r="BY6" s="349"/>
      <c r="BZ6" s="349"/>
      <c r="CA6" s="349"/>
      <c r="CB6" s="349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94" t="s">
        <v>4</v>
      </c>
      <c r="B8" s="405" t="s">
        <v>5</v>
      </c>
      <c r="C8" s="393" t="s">
        <v>6</v>
      </c>
      <c r="D8" s="400" t="s">
        <v>141</v>
      </c>
      <c r="E8" s="400" t="s">
        <v>8</v>
      </c>
      <c r="F8" s="429" t="s">
        <v>142</v>
      </c>
      <c r="G8" s="426" t="s">
        <v>10</v>
      </c>
      <c r="H8" s="372" t="s">
        <v>11</v>
      </c>
      <c r="I8" s="372" t="s">
        <v>12</v>
      </c>
      <c r="J8" s="426" t="s">
        <v>13</v>
      </c>
      <c r="K8" s="430" t="s">
        <v>14</v>
      </c>
      <c r="L8" s="390"/>
      <c r="M8" s="390"/>
      <c r="N8" s="390"/>
      <c r="O8" s="390"/>
      <c r="P8" s="390"/>
      <c r="Q8" s="390"/>
      <c r="R8" s="390"/>
      <c r="S8" s="390"/>
      <c r="T8" s="390"/>
      <c r="U8" s="390"/>
      <c r="V8" s="390"/>
      <c r="W8" s="390"/>
      <c r="X8" s="390"/>
      <c r="Y8" s="426" t="s">
        <v>15</v>
      </c>
      <c r="Z8" s="390"/>
      <c r="AA8" s="390"/>
      <c r="AB8" s="390"/>
      <c r="AC8" s="390"/>
      <c r="AD8" s="390"/>
      <c r="AE8" s="390"/>
      <c r="AF8" s="390"/>
      <c r="AG8" s="390"/>
      <c r="AH8" s="390"/>
      <c r="AI8" s="390"/>
      <c r="AJ8" s="390"/>
      <c r="AK8" s="390"/>
      <c r="AL8" s="390"/>
      <c r="AM8" s="390"/>
      <c r="AN8" s="390"/>
      <c r="AO8" s="391"/>
      <c r="AP8" s="426" t="s">
        <v>16</v>
      </c>
      <c r="AQ8" s="426" t="s">
        <v>17</v>
      </c>
      <c r="AR8" s="426" t="s">
        <v>18</v>
      </c>
      <c r="AS8" s="426" t="s">
        <v>19</v>
      </c>
      <c r="AT8" s="426" t="s">
        <v>20</v>
      </c>
      <c r="AU8" s="426" t="s">
        <v>21</v>
      </c>
      <c r="AV8" s="393" t="s">
        <v>22</v>
      </c>
      <c r="AW8" s="393" t="s">
        <v>23</v>
      </c>
      <c r="AX8" s="393" t="s">
        <v>24</v>
      </c>
      <c r="AY8" s="389" t="s">
        <v>25</v>
      </c>
      <c r="AZ8" s="390"/>
      <c r="BA8" s="390"/>
      <c r="BB8" s="390"/>
      <c r="BC8" s="390"/>
      <c r="BD8" s="390"/>
      <c r="BE8" s="390"/>
      <c r="BF8" s="390"/>
      <c r="BG8" s="390"/>
      <c r="BH8" s="390"/>
      <c r="BI8" s="390"/>
      <c r="BJ8" s="390"/>
      <c r="BK8" s="390"/>
      <c r="BL8" s="390"/>
      <c r="BM8" s="390"/>
      <c r="BN8" s="390"/>
      <c r="BO8" s="390"/>
      <c r="BP8" s="391"/>
      <c r="BQ8" s="409" t="s">
        <v>26</v>
      </c>
      <c r="BR8" s="403"/>
      <c r="BS8" s="389" t="s">
        <v>143</v>
      </c>
      <c r="BT8" s="389" t="s">
        <v>27</v>
      </c>
      <c r="BU8" s="420" t="s">
        <v>28</v>
      </c>
      <c r="BV8" s="114"/>
      <c r="BW8" s="421" t="s">
        <v>29</v>
      </c>
      <c r="BX8" s="410" t="s">
        <v>30</v>
      </c>
      <c r="BY8" s="411"/>
      <c r="BZ8" s="411"/>
      <c r="CA8" s="403"/>
      <c r="CB8" s="422" t="s">
        <v>31</v>
      </c>
      <c r="CC8" s="350" t="s">
        <v>32</v>
      </c>
      <c r="CD8" s="350" t="s">
        <v>33</v>
      </c>
      <c r="CH8" s="27"/>
      <c r="CI8" s="28"/>
    </row>
    <row r="9" spans="1:87" s="11" customFormat="1" ht="19.25" customHeight="1">
      <c r="A9" s="387"/>
      <c r="B9" s="387"/>
      <c r="C9" s="387"/>
      <c r="D9" s="387"/>
      <c r="E9" s="387"/>
      <c r="F9" s="387"/>
      <c r="G9" s="387"/>
      <c r="H9" s="387"/>
      <c r="I9" s="387"/>
      <c r="J9" s="387"/>
      <c r="K9" s="423" t="s">
        <v>34</v>
      </c>
      <c r="L9" s="423" t="s">
        <v>35</v>
      </c>
      <c r="M9" s="423" t="s">
        <v>36</v>
      </c>
      <c r="N9" s="423" t="s">
        <v>37</v>
      </c>
      <c r="O9" s="423" t="s">
        <v>38</v>
      </c>
      <c r="P9" s="423" t="s">
        <v>39</v>
      </c>
      <c r="Q9" s="423" t="s">
        <v>40</v>
      </c>
      <c r="R9" s="423" t="s">
        <v>41</v>
      </c>
      <c r="S9" s="423" t="s">
        <v>42</v>
      </c>
      <c r="T9" s="423" t="s">
        <v>43</v>
      </c>
      <c r="U9" s="423" t="s">
        <v>44</v>
      </c>
      <c r="V9" s="435" t="s">
        <v>45</v>
      </c>
      <c r="W9" s="403"/>
      <c r="X9" s="423" t="s">
        <v>46</v>
      </c>
      <c r="Y9" s="425" t="s">
        <v>154</v>
      </c>
      <c r="Z9" s="425" t="s">
        <v>48</v>
      </c>
      <c r="AA9" s="425" t="s">
        <v>49</v>
      </c>
      <c r="AB9" s="425" t="s">
        <v>50</v>
      </c>
      <c r="AC9" s="338" t="s">
        <v>51</v>
      </c>
      <c r="AD9" s="338" t="s">
        <v>144</v>
      </c>
      <c r="AE9" s="338" t="s">
        <v>53</v>
      </c>
      <c r="AF9" s="338" t="s">
        <v>54</v>
      </c>
      <c r="AG9" s="425" t="s">
        <v>55</v>
      </c>
      <c r="AH9" s="338" t="s">
        <v>56</v>
      </c>
      <c r="AI9" s="338" t="s">
        <v>57</v>
      </c>
      <c r="AJ9" s="425" t="s">
        <v>58</v>
      </c>
      <c r="AK9" s="395" t="s">
        <v>59</v>
      </c>
      <c r="AL9" s="393" t="s">
        <v>60</v>
      </c>
      <c r="AM9" s="425" t="s">
        <v>61</v>
      </c>
      <c r="AN9" s="399" t="s">
        <v>62</v>
      </c>
      <c r="AO9" s="393" t="s">
        <v>63</v>
      </c>
      <c r="AP9" s="387"/>
      <c r="AQ9" s="387"/>
      <c r="AR9" s="387"/>
      <c r="AS9" s="387"/>
      <c r="AT9" s="387"/>
      <c r="AU9" s="387"/>
      <c r="AV9" s="387"/>
      <c r="AW9" s="387"/>
      <c r="AX9" s="387"/>
      <c r="AY9" s="389" t="s">
        <v>25</v>
      </c>
      <c r="AZ9" s="390"/>
      <c r="BA9" s="390"/>
      <c r="BB9" s="390"/>
      <c r="BC9" s="390"/>
      <c r="BD9" s="390"/>
      <c r="BE9" s="390"/>
      <c r="BF9" s="390"/>
      <c r="BG9" s="390"/>
      <c r="BH9" s="390"/>
      <c r="BI9" s="390"/>
      <c r="BJ9" s="391"/>
      <c r="BK9" s="389" t="s">
        <v>64</v>
      </c>
      <c r="BL9" s="390"/>
      <c r="BM9" s="390"/>
      <c r="BN9" s="390"/>
      <c r="BO9" s="390"/>
      <c r="BP9" s="391"/>
      <c r="BQ9" s="386" t="s">
        <v>65</v>
      </c>
      <c r="BR9" s="386" t="s">
        <v>66</v>
      </c>
      <c r="BS9" s="387"/>
      <c r="BT9" s="387"/>
      <c r="BU9" s="396"/>
      <c r="BV9" s="114"/>
      <c r="BW9" s="413"/>
      <c r="BX9" s="396"/>
      <c r="BY9" s="427"/>
      <c r="BZ9" s="427"/>
      <c r="CA9" s="413"/>
      <c r="CB9" s="387"/>
      <c r="CC9" s="387"/>
      <c r="CD9" s="387"/>
      <c r="CH9" s="27"/>
      <c r="CI9" s="28"/>
    </row>
    <row r="10" spans="1:87" s="29" customFormat="1" ht="19.25" customHeight="1">
      <c r="A10" s="387"/>
      <c r="B10" s="387"/>
      <c r="C10" s="387"/>
      <c r="D10" s="387"/>
      <c r="E10" s="387"/>
      <c r="F10" s="387"/>
      <c r="G10" s="387"/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97"/>
      <c r="W10" s="404"/>
      <c r="X10" s="387"/>
      <c r="Y10" s="387"/>
      <c r="Z10" s="387"/>
      <c r="AA10" s="387"/>
      <c r="AB10" s="387"/>
      <c r="AC10" s="387"/>
      <c r="AD10" s="387"/>
      <c r="AE10" s="387"/>
      <c r="AF10" s="387"/>
      <c r="AG10" s="387"/>
      <c r="AH10" s="387"/>
      <c r="AI10" s="387"/>
      <c r="AJ10" s="387"/>
      <c r="AK10" s="396"/>
      <c r="AL10" s="387"/>
      <c r="AM10" s="387"/>
      <c r="AN10" s="387"/>
      <c r="AO10" s="387"/>
      <c r="AP10" s="387"/>
      <c r="AQ10" s="387"/>
      <c r="AR10" s="387"/>
      <c r="AS10" s="387"/>
      <c r="AT10" s="387"/>
      <c r="AU10" s="387"/>
      <c r="AV10" s="387"/>
      <c r="AW10" s="387"/>
      <c r="AX10" s="387"/>
      <c r="AY10" s="101" t="s">
        <v>67</v>
      </c>
      <c r="AZ10" s="101" t="s">
        <v>68</v>
      </c>
      <c r="BA10" s="101" t="s">
        <v>69</v>
      </c>
      <c r="BB10" s="434" t="s">
        <v>70</v>
      </c>
      <c r="BC10" s="424" t="s">
        <v>71</v>
      </c>
      <c r="BD10" s="424" t="s">
        <v>72</v>
      </c>
      <c r="BE10" s="424" t="s">
        <v>145</v>
      </c>
      <c r="BF10" s="424" t="s">
        <v>74</v>
      </c>
      <c r="BG10" s="424" t="s">
        <v>75</v>
      </c>
      <c r="BH10" s="424" t="s">
        <v>76</v>
      </c>
      <c r="BI10" s="424" t="s">
        <v>79</v>
      </c>
      <c r="BJ10" s="436" t="s">
        <v>80</v>
      </c>
      <c r="BK10" s="424" t="s">
        <v>81</v>
      </c>
      <c r="BL10" s="428" t="s">
        <v>82</v>
      </c>
      <c r="BM10" s="424" t="s">
        <v>83</v>
      </c>
      <c r="BN10" s="428" t="s">
        <v>84</v>
      </c>
      <c r="BO10" s="428" t="s">
        <v>146</v>
      </c>
      <c r="BP10" s="389" t="s">
        <v>85</v>
      </c>
      <c r="BQ10" s="387"/>
      <c r="BR10" s="387"/>
      <c r="BS10" s="387"/>
      <c r="BT10" s="387"/>
      <c r="BU10" s="396"/>
      <c r="BV10" s="114"/>
      <c r="BW10" s="413"/>
      <c r="BX10" s="414"/>
      <c r="BY10" s="415"/>
      <c r="BZ10" s="415"/>
      <c r="CA10" s="416"/>
      <c r="CB10" s="387"/>
      <c r="CC10" s="387"/>
      <c r="CD10" s="387"/>
      <c r="CH10" s="27"/>
      <c r="CI10" s="28"/>
    </row>
    <row r="11" spans="1:87" s="29" customFormat="1" ht="38.25" customHeight="1">
      <c r="A11" s="388"/>
      <c r="B11" s="388"/>
      <c r="C11" s="388"/>
      <c r="D11" s="388"/>
      <c r="E11" s="388"/>
      <c r="F11" s="388"/>
      <c r="G11" s="388"/>
      <c r="H11" s="388"/>
      <c r="I11" s="388"/>
      <c r="J11" s="388"/>
      <c r="K11" s="388"/>
      <c r="L11" s="388"/>
      <c r="M11" s="388"/>
      <c r="N11" s="388"/>
      <c r="O11" s="388"/>
      <c r="P11" s="388"/>
      <c r="Q11" s="388"/>
      <c r="R11" s="388"/>
      <c r="S11" s="388"/>
      <c r="T11" s="388"/>
      <c r="U11" s="388"/>
      <c r="V11" s="30" t="s">
        <v>86</v>
      </c>
      <c r="W11" s="30" t="s">
        <v>87</v>
      </c>
      <c r="X11" s="388"/>
      <c r="Y11" s="388"/>
      <c r="Z11" s="388"/>
      <c r="AA11" s="388"/>
      <c r="AB11" s="388"/>
      <c r="AC11" s="388"/>
      <c r="AD11" s="388"/>
      <c r="AE11" s="388"/>
      <c r="AF11" s="388"/>
      <c r="AG11" s="388"/>
      <c r="AH11" s="388"/>
      <c r="AI11" s="388"/>
      <c r="AJ11" s="388"/>
      <c r="AK11" s="397"/>
      <c r="AL11" s="388"/>
      <c r="AM11" s="388"/>
      <c r="AN11" s="388"/>
      <c r="AO11" s="388"/>
      <c r="AP11" s="388"/>
      <c r="AQ11" s="388"/>
      <c r="AR11" s="388"/>
      <c r="AS11" s="388"/>
      <c r="AT11" s="388"/>
      <c r="AU11" s="388"/>
      <c r="AV11" s="388"/>
      <c r="AW11" s="388"/>
      <c r="AX11" s="388"/>
      <c r="AY11" s="102" t="s">
        <v>88</v>
      </c>
      <c r="AZ11" s="102" t="s">
        <v>89</v>
      </c>
      <c r="BA11" s="102" t="s">
        <v>90</v>
      </c>
      <c r="BB11" s="388"/>
      <c r="BC11" s="388"/>
      <c r="BD11" s="388"/>
      <c r="BE11" s="388"/>
      <c r="BF11" s="388"/>
      <c r="BG11" s="388"/>
      <c r="BH11" s="388"/>
      <c r="BI11" s="388"/>
      <c r="BJ11" s="388"/>
      <c r="BK11" s="388"/>
      <c r="BL11" s="388"/>
      <c r="BM11" s="388"/>
      <c r="BN11" s="388"/>
      <c r="BO11" s="388"/>
      <c r="BP11" s="388"/>
      <c r="BQ11" s="388"/>
      <c r="BR11" s="388"/>
      <c r="BS11" s="388"/>
      <c r="BT11" s="388"/>
      <c r="BU11" s="397"/>
      <c r="BV11" s="114"/>
      <c r="BW11" s="416"/>
      <c r="BX11" s="72" t="s">
        <v>91</v>
      </c>
      <c r="BY11" s="72" t="s">
        <v>92</v>
      </c>
      <c r="BZ11" s="72" t="s">
        <v>93</v>
      </c>
      <c r="CA11" s="73" t="s">
        <v>94</v>
      </c>
      <c r="CB11" s="408"/>
      <c r="CC11" s="408"/>
      <c r="CD11" s="408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8"/>
      <c r="B3" s="407"/>
      <c r="C3" s="407"/>
      <c r="D3" s="407"/>
      <c r="E3" s="407"/>
      <c r="F3" s="407"/>
      <c r="G3" s="407"/>
      <c r="H3" s="407"/>
      <c r="I3" s="407"/>
      <c r="J3" s="407"/>
      <c r="K3" s="407"/>
      <c r="L3" s="407"/>
      <c r="M3" s="407"/>
      <c r="N3" s="407"/>
      <c r="O3" s="407"/>
      <c r="P3" s="407"/>
      <c r="Q3" s="407"/>
      <c r="R3" s="407"/>
      <c r="S3" s="407"/>
      <c r="T3" s="407"/>
      <c r="U3" s="407"/>
      <c r="V3" s="407"/>
      <c r="W3" s="407"/>
      <c r="X3" s="407"/>
      <c r="Y3" s="407"/>
      <c r="Z3" s="407"/>
      <c r="AA3" s="407"/>
      <c r="AB3" s="407"/>
      <c r="AC3" s="407"/>
      <c r="AD3" s="407"/>
      <c r="AE3" s="407"/>
      <c r="AF3" s="407"/>
      <c r="AG3" s="407"/>
      <c r="AH3" s="407"/>
      <c r="AI3" s="407"/>
      <c r="AJ3" s="407"/>
      <c r="AK3" s="407"/>
      <c r="AL3" s="407"/>
      <c r="AM3" s="407"/>
      <c r="AN3" s="407"/>
      <c r="AO3" s="407"/>
      <c r="AP3" s="407"/>
      <c r="AQ3" s="407"/>
      <c r="AR3" s="407"/>
      <c r="AS3" s="407"/>
      <c r="AT3" s="407"/>
      <c r="AU3" s="407"/>
      <c r="AV3" s="407"/>
      <c r="AW3" s="407"/>
      <c r="AX3" s="407"/>
      <c r="AY3" s="407"/>
      <c r="AZ3" s="407"/>
      <c r="BA3" s="407"/>
      <c r="BB3" s="407"/>
      <c r="BC3" s="407"/>
      <c r="BD3" s="407"/>
      <c r="BE3" s="407"/>
      <c r="BF3" s="407"/>
      <c r="BG3" s="407"/>
      <c r="BH3" s="407"/>
      <c r="BI3" s="407"/>
      <c r="BJ3" s="407"/>
      <c r="BK3" s="407"/>
      <c r="BL3" s="407"/>
      <c r="BM3" s="407"/>
      <c r="BN3" s="407"/>
      <c r="BO3" s="407"/>
      <c r="BP3" s="407"/>
      <c r="BQ3" s="407"/>
      <c r="BR3" s="407"/>
      <c r="BS3" s="407"/>
      <c r="BT3" s="407"/>
      <c r="BU3" s="407"/>
      <c r="BW3" s="406" t="s">
        <v>2</v>
      </c>
      <c r="BX3" s="407"/>
      <c r="BY3" s="407"/>
      <c r="BZ3" s="407"/>
      <c r="CA3" s="407"/>
      <c r="CB3" s="407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7"/>
      <c r="BX4" s="407"/>
      <c r="BY4" s="407"/>
      <c r="BZ4" s="407"/>
      <c r="CA4" s="407"/>
      <c r="CB4" s="407"/>
      <c r="CC4" s="133"/>
      <c r="CD4" s="133"/>
    </row>
    <row r="5" spans="1:87" s="136" customFormat="1">
      <c r="A5" s="394" t="s">
        <v>4</v>
      </c>
      <c r="B5" s="405" t="s">
        <v>5</v>
      </c>
      <c r="C5" s="393" t="s">
        <v>6</v>
      </c>
      <c r="D5" s="400" t="s">
        <v>141</v>
      </c>
      <c r="E5" s="400" t="s">
        <v>8</v>
      </c>
      <c r="F5" s="429" t="s">
        <v>142</v>
      </c>
      <c r="G5" s="393" t="s">
        <v>10</v>
      </c>
      <c r="H5" s="332" t="s">
        <v>11</v>
      </c>
      <c r="I5" s="332" t="s">
        <v>12</v>
      </c>
      <c r="J5" s="393" t="s">
        <v>13</v>
      </c>
      <c r="K5" s="398" t="s">
        <v>14</v>
      </c>
      <c r="L5" s="390"/>
      <c r="M5" s="390"/>
      <c r="N5" s="390"/>
      <c r="O5" s="390"/>
      <c r="P5" s="390"/>
      <c r="Q5" s="390"/>
      <c r="R5" s="390"/>
      <c r="S5" s="390"/>
      <c r="T5" s="390"/>
      <c r="U5" s="390"/>
      <c r="V5" s="390"/>
      <c r="W5" s="390"/>
      <c r="X5" s="390"/>
      <c r="Y5" s="393" t="s">
        <v>15</v>
      </c>
      <c r="Z5" s="390"/>
      <c r="AA5" s="390"/>
      <c r="AB5" s="390"/>
      <c r="AC5" s="390"/>
      <c r="AD5" s="390"/>
      <c r="AE5" s="390"/>
      <c r="AF5" s="390"/>
      <c r="AG5" s="390"/>
      <c r="AH5" s="390"/>
      <c r="AI5" s="390"/>
      <c r="AJ5" s="390"/>
      <c r="AK5" s="390"/>
      <c r="AL5" s="390"/>
      <c r="AM5" s="390"/>
      <c r="AN5" s="390"/>
      <c r="AO5" s="391"/>
      <c r="AP5" s="393" t="s">
        <v>16</v>
      </c>
      <c r="AQ5" s="393" t="s">
        <v>17</v>
      </c>
      <c r="AR5" s="393" t="s">
        <v>18</v>
      </c>
      <c r="AS5" s="393" t="s">
        <v>19</v>
      </c>
      <c r="AT5" s="393" t="s">
        <v>20</v>
      </c>
      <c r="AU5" s="393" t="s">
        <v>21</v>
      </c>
      <c r="AV5" s="393" t="s">
        <v>22</v>
      </c>
      <c r="AW5" s="393" t="s">
        <v>23</v>
      </c>
      <c r="AX5" s="393" t="s">
        <v>24</v>
      </c>
      <c r="AY5" s="389" t="s">
        <v>25</v>
      </c>
      <c r="AZ5" s="390"/>
      <c r="BA5" s="390"/>
      <c r="BB5" s="390"/>
      <c r="BC5" s="390"/>
      <c r="BD5" s="390"/>
      <c r="BE5" s="390"/>
      <c r="BF5" s="390"/>
      <c r="BG5" s="390"/>
      <c r="BH5" s="390"/>
      <c r="BI5" s="390"/>
      <c r="BJ5" s="390"/>
      <c r="BK5" s="390"/>
      <c r="BL5" s="390"/>
      <c r="BM5" s="390"/>
      <c r="BN5" s="390"/>
      <c r="BO5" s="390"/>
      <c r="BP5" s="391"/>
      <c r="BQ5" s="409" t="s">
        <v>26</v>
      </c>
      <c r="BR5" s="403"/>
      <c r="BS5" s="389" t="s">
        <v>143</v>
      </c>
      <c r="BT5" s="389" t="s">
        <v>27</v>
      </c>
      <c r="BU5" s="420" t="s">
        <v>28</v>
      </c>
      <c r="BW5" s="421" t="s">
        <v>29</v>
      </c>
      <c r="BX5" s="410" t="s">
        <v>30</v>
      </c>
      <c r="BY5" s="411"/>
      <c r="BZ5" s="411"/>
      <c r="CA5" s="403"/>
      <c r="CB5" s="422" t="s">
        <v>31</v>
      </c>
      <c r="CC5" s="350" t="s">
        <v>32</v>
      </c>
      <c r="CD5" s="350" t="s">
        <v>33</v>
      </c>
      <c r="CH5" s="137"/>
      <c r="CI5" s="138"/>
    </row>
    <row r="6" spans="1:87" s="136" customFormat="1">
      <c r="A6" s="387"/>
      <c r="B6" s="387"/>
      <c r="C6" s="387"/>
      <c r="D6" s="387"/>
      <c r="E6" s="387"/>
      <c r="F6" s="387"/>
      <c r="G6" s="387"/>
      <c r="H6" s="387"/>
      <c r="I6" s="387"/>
      <c r="J6" s="387"/>
      <c r="K6" s="401" t="s">
        <v>34</v>
      </c>
      <c r="L6" s="401" t="s">
        <v>35</v>
      </c>
      <c r="M6" s="401" t="s">
        <v>36</v>
      </c>
      <c r="N6" s="401" t="s">
        <v>37</v>
      </c>
      <c r="O6" s="401" t="s">
        <v>38</v>
      </c>
      <c r="P6" s="401" t="s">
        <v>39</v>
      </c>
      <c r="Q6" s="401" t="s">
        <v>40</v>
      </c>
      <c r="R6" s="401" t="s">
        <v>41</v>
      </c>
      <c r="S6" s="401" t="s">
        <v>42</v>
      </c>
      <c r="T6" s="401" t="s">
        <v>43</v>
      </c>
      <c r="U6" s="401" t="s">
        <v>44</v>
      </c>
      <c r="V6" s="402" t="s">
        <v>45</v>
      </c>
      <c r="W6" s="403"/>
      <c r="X6" s="401" t="s">
        <v>46</v>
      </c>
      <c r="Y6" s="393" t="s">
        <v>47</v>
      </c>
      <c r="Z6" s="393" t="s">
        <v>48</v>
      </c>
      <c r="AA6" s="393" t="s">
        <v>49</v>
      </c>
      <c r="AB6" s="393" t="s">
        <v>50</v>
      </c>
      <c r="AC6" s="332" t="s">
        <v>51</v>
      </c>
      <c r="AD6" s="332" t="s">
        <v>144</v>
      </c>
      <c r="AE6" s="332" t="s">
        <v>53</v>
      </c>
      <c r="AF6" s="332" t="s">
        <v>54</v>
      </c>
      <c r="AG6" s="393" t="s">
        <v>55</v>
      </c>
      <c r="AH6" s="332" t="s">
        <v>56</v>
      </c>
      <c r="AI6" s="332" t="s">
        <v>57</v>
      </c>
      <c r="AJ6" s="393" t="s">
        <v>58</v>
      </c>
      <c r="AK6" s="395" t="s">
        <v>59</v>
      </c>
      <c r="AL6" s="393" t="s">
        <v>60</v>
      </c>
      <c r="AM6" s="393" t="s">
        <v>61</v>
      </c>
      <c r="AN6" s="399" t="s">
        <v>62</v>
      </c>
      <c r="AO6" s="393" t="s">
        <v>63</v>
      </c>
      <c r="AP6" s="387"/>
      <c r="AQ6" s="387"/>
      <c r="AR6" s="387"/>
      <c r="AS6" s="387"/>
      <c r="AT6" s="387"/>
      <c r="AU6" s="387"/>
      <c r="AV6" s="387"/>
      <c r="AW6" s="387"/>
      <c r="AX6" s="387"/>
      <c r="AY6" s="389" t="s">
        <v>25</v>
      </c>
      <c r="AZ6" s="390"/>
      <c r="BA6" s="390"/>
      <c r="BB6" s="390"/>
      <c r="BC6" s="390"/>
      <c r="BD6" s="390"/>
      <c r="BE6" s="390"/>
      <c r="BF6" s="390"/>
      <c r="BG6" s="390"/>
      <c r="BH6" s="390"/>
      <c r="BI6" s="390"/>
      <c r="BJ6" s="391"/>
      <c r="BK6" s="389" t="s">
        <v>64</v>
      </c>
      <c r="BL6" s="390"/>
      <c r="BM6" s="390"/>
      <c r="BN6" s="390"/>
      <c r="BO6" s="390"/>
      <c r="BP6" s="391"/>
      <c r="BQ6" s="386" t="s">
        <v>65</v>
      </c>
      <c r="BR6" s="386" t="s">
        <v>66</v>
      </c>
      <c r="BS6" s="387"/>
      <c r="BT6" s="387"/>
      <c r="BU6" s="396"/>
      <c r="BW6" s="413"/>
      <c r="BX6" s="396"/>
      <c r="BY6" s="412"/>
      <c r="BZ6" s="412"/>
      <c r="CA6" s="413"/>
      <c r="CB6" s="387"/>
      <c r="CC6" s="387"/>
      <c r="CD6" s="387"/>
      <c r="CH6" s="137"/>
      <c r="CI6" s="138"/>
    </row>
    <row r="7" spans="1:87" s="136" customFormat="1" ht="12">
      <c r="A7" s="387"/>
      <c r="B7" s="387"/>
      <c r="C7" s="387"/>
      <c r="D7" s="387"/>
      <c r="E7" s="387"/>
      <c r="F7" s="387"/>
      <c r="G7" s="387"/>
      <c r="H7" s="387"/>
      <c r="I7" s="387"/>
      <c r="J7" s="387"/>
      <c r="K7" s="387"/>
      <c r="L7" s="387"/>
      <c r="M7" s="387"/>
      <c r="N7" s="387"/>
      <c r="O7" s="387"/>
      <c r="P7" s="387"/>
      <c r="Q7" s="387"/>
      <c r="R7" s="387"/>
      <c r="S7" s="387"/>
      <c r="T7" s="387"/>
      <c r="U7" s="387"/>
      <c r="V7" s="397"/>
      <c r="W7" s="404"/>
      <c r="X7" s="387"/>
      <c r="Y7" s="387"/>
      <c r="Z7" s="387"/>
      <c r="AA7" s="387"/>
      <c r="AB7" s="387"/>
      <c r="AC7" s="387"/>
      <c r="AD7" s="387"/>
      <c r="AE7" s="387"/>
      <c r="AF7" s="387"/>
      <c r="AG7" s="387"/>
      <c r="AH7" s="387"/>
      <c r="AI7" s="387"/>
      <c r="AJ7" s="387"/>
      <c r="AK7" s="396"/>
      <c r="AL7" s="387"/>
      <c r="AM7" s="387"/>
      <c r="AN7" s="387"/>
      <c r="AO7" s="387"/>
      <c r="AP7" s="387"/>
      <c r="AQ7" s="387"/>
      <c r="AR7" s="387"/>
      <c r="AS7" s="387"/>
      <c r="AT7" s="387"/>
      <c r="AU7" s="387"/>
      <c r="AV7" s="387"/>
      <c r="AW7" s="387"/>
      <c r="AX7" s="387"/>
      <c r="AY7" s="101" t="s">
        <v>67</v>
      </c>
      <c r="AZ7" s="101" t="s">
        <v>68</v>
      </c>
      <c r="BA7" s="101" t="s">
        <v>69</v>
      </c>
      <c r="BB7" s="389" t="s">
        <v>70</v>
      </c>
      <c r="BC7" s="392" t="s">
        <v>71</v>
      </c>
      <c r="BD7" s="392" t="s">
        <v>72</v>
      </c>
      <c r="BE7" s="392" t="s">
        <v>145</v>
      </c>
      <c r="BF7" s="392" t="s">
        <v>74</v>
      </c>
      <c r="BG7" s="392" t="s">
        <v>75</v>
      </c>
      <c r="BH7" s="392" t="s">
        <v>76</v>
      </c>
      <c r="BI7" s="392" t="s">
        <v>79</v>
      </c>
      <c r="BJ7" s="419" t="s">
        <v>80</v>
      </c>
      <c r="BK7" s="392" t="s">
        <v>81</v>
      </c>
      <c r="BL7" s="389" t="s">
        <v>82</v>
      </c>
      <c r="BM7" s="392" t="s">
        <v>83</v>
      </c>
      <c r="BN7" s="389" t="s">
        <v>84</v>
      </c>
      <c r="BO7" s="389" t="s">
        <v>146</v>
      </c>
      <c r="BP7" s="389" t="s">
        <v>85</v>
      </c>
      <c r="BQ7" s="387"/>
      <c r="BR7" s="387"/>
      <c r="BS7" s="387"/>
      <c r="BT7" s="387"/>
      <c r="BU7" s="396"/>
      <c r="BW7" s="413"/>
      <c r="BX7" s="414"/>
      <c r="BY7" s="415"/>
      <c r="BZ7" s="415"/>
      <c r="CA7" s="416"/>
      <c r="CB7" s="387"/>
      <c r="CC7" s="387"/>
      <c r="CD7" s="387"/>
      <c r="CH7" s="137"/>
      <c r="CI7" s="138"/>
    </row>
    <row r="8" spans="1:87" s="136" customFormat="1" ht="22.5" customHeight="1">
      <c r="A8" s="388"/>
      <c r="B8" s="388"/>
      <c r="C8" s="388"/>
      <c r="D8" s="388"/>
      <c r="E8" s="388"/>
      <c r="F8" s="388"/>
      <c r="G8" s="388"/>
      <c r="H8" s="388"/>
      <c r="I8" s="388"/>
      <c r="J8" s="388"/>
      <c r="K8" s="388"/>
      <c r="L8" s="388"/>
      <c r="M8" s="388"/>
      <c r="N8" s="388"/>
      <c r="O8" s="388"/>
      <c r="P8" s="388"/>
      <c r="Q8" s="388"/>
      <c r="R8" s="388"/>
      <c r="S8" s="388"/>
      <c r="T8" s="388"/>
      <c r="U8" s="388"/>
      <c r="V8" s="140" t="s">
        <v>86</v>
      </c>
      <c r="W8" s="140" t="s">
        <v>87</v>
      </c>
      <c r="X8" s="388"/>
      <c r="Y8" s="388"/>
      <c r="Z8" s="388"/>
      <c r="AA8" s="388"/>
      <c r="AB8" s="388"/>
      <c r="AC8" s="388"/>
      <c r="AD8" s="388"/>
      <c r="AE8" s="388"/>
      <c r="AF8" s="388"/>
      <c r="AG8" s="388"/>
      <c r="AH8" s="388"/>
      <c r="AI8" s="388"/>
      <c r="AJ8" s="388"/>
      <c r="AK8" s="397"/>
      <c r="AL8" s="388"/>
      <c r="AM8" s="388"/>
      <c r="AN8" s="388"/>
      <c r="AO8" s="388"/>
      <c r="AP8" s="388"/>
      <c r="AQ8" s="388"/>
      <c r="AR8" s="388"/>
      <c r="AS8" s="388"/>
      <c r="AT8" s="388"/>
      <c r="AU8" s="388"/>
      <c r="AV8" s="388"/>
      <c r="AW8" s="388"/>
      <c r="AX8" s="388"/>
      <c r="AY8" s="102" t="s">
        <v>88</v>
      </c>
      <c r="AZ8" s="102" t="s">
        <v>89</v>
      </c>
      <c r="BA8" s="102" t="s">
        <v>90</v>
      </c>
      <c r="BB8" s="388"/>
      <c r="BC8" s="388"/>
      <c r="BD8" s="388"/>
      <c r="BE8" s="388"/>
      <c r="BF8" s="388"/>
      <c r="BG8" s="388"/>
      <c r="BH8" s="388"/>
      <c r="BI8" s="388"/>
      <c r="BJ8" s="388"/>
      <c r="BK8" s="388"/>
      <c r="BL8" s="388"/>
      <c r="BM8" s="388"/>
      <c r="BN8" s="388"/>
      <c r="BO8" s="388"/>
      <c r="BP8" s="388"/>
      <c r="BQ8" s="388"/>
      <c r="BR8" s="388"/>
      <c r="BS8" s="388"/>
      <c r="BT8" s="388"/>
      <c r="BU8" s="397"/>
      <c r="BW8" s="416"/>
      <c r="BX8" s="72" t="s">
        <v>91</v>
      </c>
      <c r="BY8" s="72" t="s">
        <v>92</v>
      </c>
      <c r="BZ8" s="72" t="s">
        <v>93</v>
      </c>
      <c r="CA8" s="73" t="s">
        <v>94</v>
      </c>
      <c r="CB8" s="408"/>
      <c r="CC8" s="408"/>
      <c r="CD8" s="408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Q6:Q8"/>
    <mergeCell ref="AC6:AC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AO6:AO8"/>
    <mergeCell ref="BF7:BF8"/>
    <mergeCell ref="N6:N8"/>
    <mergeCell ref="AU5:AU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2026-01-20T08:15:37Z</dcterms:modified>
</cp:coreProperties>
</file>