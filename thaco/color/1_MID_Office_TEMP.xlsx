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/>
  <mc:AlternateContent xmlns:mc="http://schemas.openxmlformats.org/markup-compatibility/2006">
    <mc:Choice Requires="x15">
      <x15ac:absPath xmlns:x15ac="http://schemas.microsoft.com/office/spreadsheetml/2010/11/ac" url="/Users/adity/Documents/GitHub/gitlocal/thaco/color/"/>
    </mc:Choice>
  </mc:AlternateContent>
  <xr:revisionPtr revIDLastSave="0" documentId="13_ncr:1_{C328DA69-8021-0B4F-90A9-27EEB24165D3}" xr6:coauthVersionLast="47" xr6:coauthVersionMax="47" xr10:uidLastSave="{00000000-0000-0000-0000-000000000000}"/>
  <bookViews>
    <workbookView xWindow="74360" yWindow="4420" windowWidth="38280" windowHeight="18260" tabRatio="761" activeTab="2" xr2:uid="{00000000-000D-0000-FFFF-FFFF00000000}"/>
  </bookViews>
  <sheets>
    <sheet name="Bảng lương CB-NV" sheetId="1" r:id="rId1"/>
    <sheet name="Mô tả Bảng lương CB-NV" sheetId="2" r:id="rId2"/>
    <sheet name="Bảng lương tạm ứng kỳ 1" sheetId="3" r:id="rId3"/>
    <sheet name="Mô tả Bảng lương tạm ứng kỳ 1" sheetId="4" r:id="rId4"/>
  </sheets>
  <definedNames>
    <definedName name="_">"SQRT"</definedName>
    <definedName name="___________NSO2" hidden="1">{"'Sheet1'!$L$16"}</definedName>
    <definedName name="__________NSO2" hidden="1">{"'Sheet1'!$L$16"}</definedName>
    <definedName name="_________NSO2" hidden="1">{"'Sheet1'!$L$16"}</definedName>
    <definedName name="________NSO2" hidden="1">{"'Sheet1'!$L$16"}</definedName>
    <definedName name="_______NSO2" hidden="1">{"'Sheet1'!$L$16"}</definedName>
    <definedName name="______NSO2" hidden="1">{"'Sheet1'!$L$16"}</definedName>
    <definedName name="_____KDX3">#REF!</definedName>
    <definedName name="_____NSO2" hidden="1">{"'Sheet1'!$L$16"}</definedName>
    <definedName name="____KDX3">#N/A</definedName>
    <definedName name="____NSO2" hidden="1">{"'Sheet1'!$L$16"}</definedName>
    <definedName name="___?">#REF!</definedName>
    <definedName name="___??????">#REF!</definedName>
    <definedName name="___a10">#N/A</definedName>
    <definedName name="___atn1">#REF!</definedName>
    <definedName name="___atn10">#REF!</definedName>
    <definedName name="___atn2">#REF!</definedName>
    <definedName name="___atn3">#REF!</definedName>
    <definedName name="___atn4">#REF!</definedName>
    <definedName name="___atn5">#REF!</definedName>
    <definedName name="___atn6">#REF!</definedName>
    <definedName name="___atn7">#REF!</definedName>
    <definedName name="___atn8">#REF!</definedName>
    <definedName name="___atn9">#REF!</definedName>
    <definedName name="___Bia1">#N/A</definedName>
    <definedName name="___Bia2">#N/A</definedName>
    <definedName name="___boi1">#REF!</definedName>
    <definedName name="___boi2">#REF!</definedName>
    <definedName name="___BTM150">#REF!</definedName>
    <definedName name="___BTM250">#REF!</definedName>
    <definedName name="___BTM300">#REF!</definedName>
    <definedName name="___cao1">#REF!</definedName>
    <definedName name="___cao2">#REF!</definedName>
    <definedName name="___cao3">#REF!</definedName>
    <definedName name="___cao4">#REF!</definedName>
    <definedName name="___cao5">#REF!</definedName>
    <definedName name="___cao6">#REF!</definedName>
    <definedName name="___coc250">#REF!</definedName>
    <definedName name="___coc300">#REF!</definedName>
    <definedName name="___coc350">#REF!</definedName>
    <definedName name="___CON1">#REF!</definedName>
    <definedName name="___CON2">#REF!</definedName>
    <definedName name="___cpd1">#REF!</definedName>
    <definedName name="___cpd2">#REF!</definedName>
    <definedName name="___Cus1">#N/A</definedName>
    <definedName name="___dai1">#REF!</definedName>
    <definedName name="___dai2">#REF!</definedName>
    <definedName name="___dai3">#REF!</definedName>
    <definedName name="___dai4">#REF!</definedName>
    <definedName name="___dai5">#REF!</definedName>
    <definedName name="___dai6">#REF!</definedName>
    <definedName name="___dan1">#REF!</definedName>
    <definedName name="___dan2">#REF!</definedName>
    <definedName name="___ddn400">#REF!</definedName>
    <definedName name="___ddn600">#REF!</definedName>
    <definedName name="___deo1">#REF!</definedName>
    <definedName name="___deo10">#REF!</definedName>
    <definedName name="___deo2">#REF!</definedName>
    <definedName name="___deo3">#REF!</definedName>
    <definedName name="___deo4">#REF!</definedName>
    <definedName name="___deo5">#REF!</definedName>
    <definedName name="___deo6">#REF!</definedName>
    <definedName name="___deo7">#REF!</definedName>
    <definedName name="___deo8">#REF!</definedName>
    <definedName name="___deo9">#REF!</definedName>
    <definedName name="___E99999">#REF!</definedName>
    <definedName name="___gon4">#N/A</definedName>
    <definedName name="___hom2">#N/A</definedName>
    <definedName name="___KDX3">#N/A</definedName>
    <definedName name="___lap1">#REF!</definedName>
    <definedName name="___lap2">#REF!</definedName>
    <definedName name="___LPS2" hidden="1">{#N/A,#N/A,FALSE,"단축1";#N/A,#N/A,FALSE,"단축2";#N/A,#N/A,FALSE,"단축3";#N/A,#N/A,FALSE,"장축";#N/A,#N/A,FALSE,"4WD"}</definedName>
    <definedName name="___MAC12">#REF!</definedName>
    <definedName name="___MAC46">#REF!</definedName>
    <definedName name="___nc151">#REF!</definedName>
    <definedName name="___NCL100">#REF!</definedName>
    <definedName name="___NCL200">#REF!</definedName>
    <definedName name="___NCL250">#REF!</definedName>
    <definedName name="___NET2">#REF!</definedName>
    <definedName name="___nin190">#REF!</definedName>
    <definedName name="__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NSO2" hidden="1">{"'Sheet1'!$L$16"}</definedName>
    <definedName name="___phi10">#REF!</definedName>
    <definedName name="___phi12">#REF!</definedName>
    <definedName name="___phi14">#REF!</definedName>
    <definedName name="___phi16">#REF!</definedName>
    <definedName name="___phi18">#REF!</definedName>
    <definedName name="___phi20">#REF!</definedName>
    <definedName name="___phi22">#REF!</definedName>
    <definedName name="___phi25">#REF!</definedName>
    <definedName name="___phi28">#REF!</definedName>
    <definedName name="___phi6">#REF!</definedName>
    <definedName name="___phi8">#REF!</definedName>
    <definedName name="___sc1">#REF!</definedName>
    <definedName name="___SC2">#REF!</definedName>
    <definedName name="___sc3">#REF!</definedName>
    <definedName name="___slg1">#REF!</definedName>
    <definedName name="___slg2">#REF!</definedName>
    <definedName name="___slg3">#REF!</definedName>
    <definedName name="___slg4">#REF!</definedName>
    <definedName name="___slg5">#REF!</definedName>
    <definedName name="___slg6">#REF!</definedName>
    <definedName name="___SN3">#REF!</definedName>
    <definedName name="___sua20">#N/A</definedName>
    <definedName name="___sua30">#N/A</definedName>
    <definedName name="___T2" hidden="1">{#N/A,#N/A,FALSE,"단축1";#N/A,#N/A,FALSE,"단축2";#N/A,#N/A,FALSE,"단축3";#N/A,#N/A,FALSE,"장축";#N/A,#N/A,FALSE,"4WD"}</definedName>
    <definedName name="___tct5">#REF!</definedName>
    <definedName name="___tg427">#REF!</definedName>
    <definedName name="___TH20">#REF!</definedName>
    <definedName name="___TL1">#REF!</definedName>
    <definedName name="___TL2">#REF!</definedName>
    <definedName name="___TL3">#REF!</definedName>
    <definedName name="___TLA120">#REF!</definedName>
    <definedName name="___TLA35">#REF!</definedName>
    <definedName name="___TLA50">#REF!</definedName>
    <definedName name="___TLA70">#REF!</definedName>
    <definedName name="___TLA95">#REF!</definedName>
    <definedName name="___tz593">#REF!</definedName>
    <definedName name="___VL100">#REF!</definedName>
    <definedName name="___VL200">#REF!</definedName>
    <definedName name="___VL250">#REF!</definedName>
    <definedName name="__?">#N/A</definedName>
    <definedName name="__??">#N/A</definedName>
    <definedName name="__??????">#REF!</definedName>
    <definedName name="__?1">#N/A</definedName>
    <definedName name="__?271">#N/A</definedName>
    <definedName name="__a1" hidden="1">{"'Sheet1'!$L$16"}</definedName>
    <definedName name="__a10">#REF!</definedName>
    <definedName name="__a2">#N/A</definedName>
    <definedName name="__a3">#N/A</definedName>
    <definedName name="__atn1">#REF!</definedName>
    <definedName name="__atn10">#REF!</definedName>
    <definedName name="__atn2">#REF!</definedName>
    <definedName name="__atn3">#REF!</definedName>
    <definedName name="__atn4">#REF!</definedName>
    <definedName name="__atn5">#REF!</definedName>
    <definedName name="__atn6">#REF!</definedName>
    <definedName name="__atn7">#REF!</definedName>
    <definedName name="__atn8">#REF!</definedName>
    <definedName name="__atn9">#REF!</definedName>
    <definedName name="__Bia1">#REF!</definedName>
    <definedName name="__Bia2">#REF!</definedName>
    <definedName name="__boi1">#REF!</definedName>
    <definedName name="__boi2">#REF!</definedName>
    <definedName name="__BTM150">#REF!</definedName>
    <definedName name="__BTM250">#REF!</definedName>
    <definedName name="__BTM300">#REF!</definedName>
    <definedName name="__C1244ㅁ1430">#N/A</definedName>
    <definedName name="__cao1">#REF!</definedName>
    <definedName name="__cao2">#REF!</definedName>
    <definedName name="__cao3">#REF!</definedName>
    <definedName name="__cao4">#REF!</definedName>
    <definedName name="__cao5">#REF!</definedName>
    <definedName name="__cao6">#REF!</definedName>
    <definedName name="__CN02" hidden="1">{"'Sheet1'!$L$16"}</definedName>
    <definedName name="__CN1" hidden="1">{"'Sheet1'!$L$16"}</definedName>
    <definedName name="__coc250">#REF!</definedName>
    <definedName name="__coc300">#REF!</definedName>
    <definedName name="__coc350">#REF!</definedName>
    <definedName name="__CON1">#REF!</definedName>
    <definedName name="__CON2">#REF!</definedName>
    <definedName name="__cpd1">#REF!</definedName>
    <definedName name="__cpd2">#REF!</definedName>
    <definedName name="__CT4" hidden="1">{"'Sheet1'!$L$16"}</definedName>
    <definedName name="__Cus1">#REF!</definedName>
    <definedName name="__dai1">#REF!</definedName>
    <definedName name="__dai2">#REF!</definedName>
    <definedName name="__dai3">#REF!</definedName>
    <definedName name="__dai4">#REF!</definedName>
    <definedName name="__dai5">#REF!</definedName>
    <definedName name="__dai6">#REF!</definedName>
    <definedName name="__dan1">#REF!</definedName>
    <definedName name="__dan2">#REF!</definedName>
    <definedName name="__ddn400">#REF!</definedName>
    <definedName name="__ddn600">#REF!</definedName>
    <definedName name="__deo1">#REF!</definedName>
    <definedName name="__deo10">#REF!</definedName>
    <definedName name="__deo2">#REF!</definedName>
    <definedName name="__deo3">#REF!</definedName>
    <definedName name="__deo4">#REF!</definedName>
    <definedName name="__deo5">#REF!</definedName>
    <definedName name="__deo6">#REF!</definedName>
    <definedName name="__deo7">#REF!</definedName>
    <definedName name="__deo8">#REF!</definedName>
    <definedName name="__deo9">#REF!</definedName>
    <definedName name="__E99999">#REF!</definedName>
    <definedName name="__ELF1" hidden="1">{"'Sheet1'!$L$16"}</definedName>
    <definedName name="__ELF2" hidden="1">{"'Sheet1'!$L$16"}</definedName>
    <definedName name="__G1">{"th152.xls"}</definedName>
    <definedName name="__G2" hidden="1">{"'Sheet1'!$L$16"}</definedName>
    <definedName name="__gon4">#REF!</definedName>
    <definedName name="__H1" hidden="1">{"'Sheet1'!$L$16"}</definedName>
    <definedName name="__hom2">#REF!</definedName>
    <definedName name="__HX1">{"th152.xls"}</definedName>
    <definedName name="__IntlFixup" hidden="1">TRUE</definedName>
    <definedName name="__KDX3">#N/A</definedName>
    <definedName name="__lap1">#REF!</definedName>
    <definedName name="__lap2">#REF!</definedName>
    <definedName name="__LPS2" hidden="1">{#N/A,#N/A,FALSE,"단축1";#N/A,#N/A,FALSE,"단축2";#N/A,#N/A,FALSE,"단축3";#N/A,#N/A,FALSE,"장축";#N/A,#N/A,FALSE,"4WD"}</definedName>
    <definedName name="__MAC12">#REF!</definedName>
    <definedName name="__MAC46">#REF!</definedName>
    <definedName name="__mau03" hidden="1">{"'Sheet1'!$L$16"}</definedName>
    <definedName name="__nc151">#REF!</definedName>
    <definedName name="__NCL100">#REF!</definedName>
    <definedName name="__NCL200">#REF!</definedName>
    <definedName name="__NCL250">#REF!</definedName>
    <definedName name="__NET2">#REF!</definedName>
    <definedName name="__nin190">#REF!</definedName>
    <definedName name="_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NSO2" hidden="1">{"'Sheet1'!$L$16"}</definedName>
    <definedName name="__phi10">#REF!</definedName>
    <definedName name="__phi12">#REF!</definedName>
    <definedName name="__phi14">#REF!</definedName>
    <definedName name="__phi16">#REF!</definedName>
    <definedName name="__phi18">#REF!</definedName>
    <definedName name="__phi20">#REF!</definedName>
    <definedName name="__phi22">#REF!</definedName>
    <definedName name="__phi25">#REF!</definedName>
    <definedName name="__phi28">#REF!</definedName>
    <definedName name="__phi6">#REF!</definedName>
    <definedName name="__phi8">#REF!</definedName>
    <definedName name="__PPG1">{"th152.xls"}</definedName>
    <definedName name="__PPG15" hidden="1">{"'Sheet1'!$L$16"}</definedName>
    <definedName name="__PPG2" hidden="1">{"'Sheet1'!$L$16"}</definedName>
    <definedName name="__S1" hidden="1">{"'Sheet1'!$L$16"}</definedName>
    <definedName name="__S11" hidden="1">{"'Sheet1'!$L$16"}</definedName>
    <definedName name="__S2" hidden="1">{"'Sheet1'!$L$16"}</definedName>
    <definedName name="__sc1">#REF!</definedName>
    <definedName name="__SC2">#REF!</definedName>
    <definedName name="__sc3">#REF!</definedName>
    <definedName name="__SD11">{"Thuxm2.xls","Sheet1"}</definedName>
    <definedName name="__slg1">#REF!</definedName>
    <definedName name="__slg2">#REF!</definedName>
    <definedName name="__slg3">#REF!</definedName>
    <definedName name="__slg4">#REF!</definedName>
    <definedName name="__slg5">#REF!</definedName>
    <definedName name="__slg6">#REF!</definedName>
    <definedName name="__SN3">#REF!</definedName>
    <definedName name="__sua20">#REF!</definedName>
    <definedName name="__sua30">#REF!</definedName>
    <definedName name="__T2" hidden="1">{#N/A,#N/A,FALSE,"단축1";#N/A,#N/A,FALSE,"단축2";#N/A,#N/A,FALSE,"단축3";#N/A,#N/A,FALSE,"장축";#N/A,#N/A,FALSE,"4WD"}</definedName>
    <definedName name="__tct5">#REF!</definedName>
    <definedName name="__tg427">#REF!</definedName>
    <definedName name="__TH20">#REF!</definedName>
    <definedName name="__TL1">#REF!</definedName>
    <definedName name="__TL2">#REF!</definedName>
    <definedName name="__TL3">#REF!</definedName>
    <definedName name="__TLA120">#REF!</definedName>
    <definedName name="__TLA35">#REF!</definedName>
    <definedName name="__TLA50">#REF!</definedName>
    <definedName name="__TLA70">#REF!</definedName>
    <definedName name="__TLA95">#REF!</definedName>
    <definedName name="__TT1" hidden="1">{"'Sheet1'!$L$16"}</definedName>
    <definedName name="__tz593">#REF!</definedName>
    <definedName name="__VL100">#REF!</definedName>
    <definedName name="__VL250">#REF!</definedName>
    <definedName name="__XL3" localSheetId="2">BlankMacro1</definedName>
    <definedName name="__XL3" localSheetId="1">BlankMacro1</definedName>
    <definedName name="__XL3" localSheetId="3">BlankMacro1</definedName>
    <definedName name="__XL3">BlankMacro1</definedName>
    <definedName name="__xlfn.BAHTTEXT" hidden="1">#NAME?</definedName>
    <definedName name="__Y2" hidden="1">{"'Sheet1'!$L$16"}</definedName>
    <definedName name="_?">#REF!</definedName>
    <definedName name="_??">#N/A</definedName>
    <definedName name="_??????">#REF!</definedName>
    <definedName name="_??????1" localSheetId="2">BlankMacro1</definedName>
    <definedName name="_??????1" localSheetId="1">BlankMacro1</definedName>
    <definedName name="_??????1" localSheetId="3">BlankMacro1</definedName>
    <definedName name="_??????1">BlankMacro1</definedName>
    <definedName name="_??????2" localSheetId="2">BlankMacro1</definedName>
    <definedName name="_??????2" localSheetId="1">BlankMacro1</definedName>
    <definedName name="_??????2" localSheetId="3">BlankMacro1</definedName>
    <definedName name="_??????2">BlankMacro1</definedName>
    <definedName name="_??????3" localSheetId="2">BlankMacro1</definedName>
    <definedName name="_??????3" localSheetId="1">BlankMacro1</definedName>
    <definedName name="_??????3" localSheetId="3">BlankMacro1</definedName>
    <definedName name="_??????3">BlankMacro1</definedName>
    <definedName name="_??????4" localSheetId="2">BlankMacro1</definedName>
    <definedName name="_??????4" localSheetId="1">BlankMacro1</definedName>
    <definedName name="_??????4" localSheetId="3">BlankMacro1</definedName>
    <definedName name="_??????4">BlankMacro1</definedName>
    <definedName name="_??????5" localSheetId="2">BlankMacro1</definedName>
    <definedName name="_??????5" localSheetId="1">BlankMacro1</definedName>
    <definedName name="_??????5" localSheetId="3">BlankMacro1</definedName>
    <definedName name="_??????5">BlankMacro1</definedName>
    <definedName name="_??????6" localSheetId="2">BlankMacro1</definedName>
    <definedName name="_??????6" localSheetId="1">BlankMacro1</definedName>
    <definedName name="_??????6" localSheetId="3">BlankMacro1</definedName>
    <definedName name="_??????6">BlankMacro1</definedName>
    <definedName name="_?1">#N/A</definedName>
    <definedName name="_?271">#N/A</definedName>
    <definedName name="_?춑_TOTAL">#N/A</definedName>
    <definedName name="_?춮t2">#N/A</definedName>
    <definedName name="_.._mik">#REF!</definedName>
    <definedName name="_0">#N/A</definedName>
    <definedName name="_01">#N/A</definedName>
    <definedName name="_01_11_2001">#N/A</definedName>
    <definedName name="_02">#N/A</definedName>
    <definedName name="_03">#N/A</definedName>
    <definedName name="_04">#N/A</definedName>
    <definedName name="_05">#N/A</definedName>
    <definedName name="_05.6022">#REF!</definedName>
    <definedName name="_05.60221">#N/A</definedName>
    <definedName name="_06">#N/A</definedName>
    <definedName name="_1">#REF!</definedName>
    <definedName name="_1000A01">#N/A</definedName>
    <definedName name="_101TEÂN_HAØNG">#REF!</definedName>
    <definedName name="_105TEÂN_KHAÙCH_HAØ">#REF!</definedName>
    <definedName name="_109THAØNH_TIEÀN">#REF!</definedName>
    <definedName name="_11_??????1" localSheetId="2">BlankMacro1</definedName>
    <definedName name="_11_??????1" localSheetId="1">BlankMacro1</definedName>
    <definedName name="_11_??????1" localSheetId="3">BlankMacro1</definedName>
    <definedName name="_11_??????1">BlankMacro1</definedName>
    <definedName name="_113TRÒ_GIAÙ">#REF!</definedName>
    <definedName name="_117TRÒ_GIAÙ__VAT">#REF!</definedName>
    <definedName name="_12_?">#REF!</definedName>
    <definedName name="_13_??">#N/A</definedName>
    <definedName name="_15_??????2" localSheetId="2">BlankMacro1</definedName>
    <definedName name="_15_??????2" localSheetId="1">BlankMacro1</definedName>
    <definedName name="_15_??????2" localSheetId="3">BlankMacro1</definedName>
    <definedName name="_15_??????2">BlankMacro1</definedName>
    <definedName name="_17_??????">#REF!</definedName>
    <definedName name="_18_?1">#N/A</definedName>
    <definedName name="_19_??????3" localSheetId="2">BlankMacro1</definedName>
    <definedName name="_19_??????3" localSheetId="1">BlankMacro1</definedName>
    <definedName name="_19_??????3" localSheetId="3">BlankMacro1</definedName>
    <definedName name="_19_??????3">BlankMacro1</definedName>
    <definedName name="_19_?271">#N/A</definedName>
    <definedName name="_2">#REF!</definedName>
    <definedName name="_23_??????4" localSheetId="2">BlankMacro1</definedName>
    <definedName name="_23_??????4" localSheetId="1">BlankMacro1</definedName>
    <definedName name="_23_??????4" localSheetId="3">BlankMacro1</definedName>
    <definedName name="_23_??????4">BlankMacro1</definedName>
    <definedName name="_23NA">#REF!</definedName>
    <definedName name="_23NB">#REF!</definedName>
    <definedName name="_23NC">#REF!</definedName>
    <definedName name="_24MAÕ_HAØNG">#REF!</definedName>
    <definedName name="_25MAÕ_SOÁ_THUEÁ">#REF!</definedName>
    <definedName name="_26ÑÔN_GIAÙ">#REF!</definedName>
    <definedName name="_27_??????5" localSheetId="2">BlankMacro1</definedName>
    <definedName name="_27_??????5" localSheetId="1">BlankMacro1</definedName>
    <definedName name="_27_??????5" localSheetId="3">BlankMacro1</definedName>
    <definedName name="_27_??????5">BlankMacro1</definedName>
    <definedName name="_27SOÁ_CTÖØ">#REF!</definedName>
    <definedName name="_28SOÁ_LÖÔÏNG">#REF!</definedName>
    <definedName name="_29TEÂN_HAØNG">#REF!</definedName>
    <definedName name="_3">#N/A</definedName>
    <definedName name="_3_?">#REF!</definedName>
    <definedName name="_30TEÂN_KHAÙCH_HAØ">#REF!</definedName>
    <definedName name="_31_??????6" localSheetId="2">BlankMacro1</definedName>
    <definedName name="_31_??????6" localSheetId="1">BlankMacro1</definedName>
    <definedName name="_31_??????6" localSheetId="3">BlankMacro1</definedName>
    <definedName name="_31_??????6">BlankMacro1</definedName>
    <definedName name="_31THAØNH_TIEÀN">#REF!</definedName>
    <definedName name="_32TRÒ_GIAÙ">#REF!</definedName>
    <definedName name="_33TRÒ_GIAÙ__VAT">#REF!</definedName>
    <definedName name="_38MAÕ_HAØNG">#REF!</definedName>
    <definedName name="_4_??">#N/A</definedName>
    <definedName name="_41MAÕ_SOÁ_THUEÁ">#REF!</definedName>
    <definedName name="_44ÑÔN_GIAÙ">#REF!</definedName>
    <definedName name="_47SOÁ_CTÖØ">#REF!</definedName>
    <definedName name="_48SOÁ_LÖÔÏNG">#REF!</definedName>
    <definedName name="_5_??????">#REF!</definedName>
    <definedName name="_51TEÂN_HAØNG">#REF!</definedName>
    <definedName name="_54TEÂN_KHAÙCH_HAØ">#REF!</definedName>
    <definedName name="_57THAØNH_TIEÀN">#REF!</definedName>
    <definedName name="_6_?1">#N/A</definedName>
    <definedName name="_60TRÒ_GIAÙ">#REF!</definedName>
    <definedName name="_63TRÒ_GIAÙ__VAT">#REF!</definedName>
    <definedName name="_7_??" localSheetId="2">BlankMacro1</definedName>
    <definedName name="_7_??" localSheetId="1">BlankMacro1</definedName>
    <definedName name="_7_??" localSheetId="3">BlankMacro1</definedName>
    <definedName name="_7_??">BlankMacro1</definedName>
    <definedName name="_7_?271">#N/A</definedName>
    <definedName name="_84MAÕ_HAØNG">#REF!</definedName>
    <definedName name="_88MAÕ_SOÁ_THUEÁ">#REF!</definedName>
    <definedName name="_92ÑÔN_GIAÙ">#REF!</definedName>
    <definedName name="_96SOÁ_CTÖØ">#REF!</definedName>
    <definedName name="_97SOÁ_LÖÔÏNG">#REF!</definedName>
    <definedName name="_a1">#REF!</definedName>
    <definedName name="_a10">#REF!</definedName>
    <definedName name="_a129" hidden="1">{"Offgrid",#N/A,FALSE,"OFFGRID";"Region",#N/A,FALSE,"REGION";"Offgrid -2",#N/A,FALSE,"OFFGRID";"WTP",#N/A,FALSE,"WTP";"WTP -2",#N/A,FALSE,"WTP";"Project",#N/A,FALSE,"PROJECT";"Summary -2",#N/A,FALSE,"SUMMARY"}</definedName>
    <definedName name="_a130" hidden="1">{"Offgrid",#N/A,FALSE,"OFFGRID";"Region",#N/A,FALSE,"REGION";"Offgrid -2",#N/A,FALSE,"OFFGRID";"WTP",#N/A,FALSE,"WTP";"WTP -2",#N/A,FALSE,"WTP";"Project",#N/A,FALSE,"PROJECT";"Summary -2",#N/A,FALSE,"SUMMARY"}</definedName>
    <definedName name="_a1O">#REF!,#REF!,#REF!,#REF!,#REF!</definedName>
    <definedName name="_a1Z">#REF!,#REF!,#REF!,#REF!,#REF!</definedName>
    <definedName name="_a2">#REF!</definedName>
    <definedName name="_a2O">#REF!,#REF!,#REF!,#REF!,#REF!</definedName>
    <definedName name="_a2Z">#REF!,#REF!,#REF!,#REF!,#REF!</definedName>
    <definedName name="_a3">#REF!</definedName>
    <definedName name="_a3O">#REF!,#REF!,#REF!,#REF!,#REF!</definedName>
    <definedName name="_a3Z">#REF!,#REF!,#REF!,#REF!,#REF!</definedName>
    <definedName name="_aA1">#REF!</definedName>
    <definedName name="_aA2">#REF!</definedName>
    <definedName name="_aA3">#REF!</definedName>
    <definedName name="_aO">_a1O,_a2O,_a3O</definedName>
    <definedName name="_aO_15">#REF!,#REF!,#REF!</definedName>
    <definedName name="_atn1">#REF!</definedName>
    <definedName name="_atn10">#REF!</definedName>
    <definedName name="_atn2">#REF!</definedName>
    <definedName name="_atn3">#REF!</definedName>
    <definedName name="_atn4">#REF!</definedName>
    <definedName name="_atn5">#REF!</definedName>
    <definedName name="_atn6">#REF!</definedName>
    <definedName name="_atn7">#REF!</definedName>
    <definedName name="_atn8">#REF!</definedName>
    <definedName name="_atn9">#REF!</definedName>
    <definedName name="_aZ">_a1Z,_a2Z,_a3Z</definedName>
    <definedName name="_aZ_15">#REF!,#REF!,#REF!</definedName>
    <definedName name="_bac1">#REF!</definedName>
    <definedName name="_bac2">#REF!</definedName>
    <definedName name="_Bal02">#REF!</definedName>
    <definedName name="_bat1">#REF!</definedName>
    <definedName name="_Bia1">#REF!</definedName>
    <definedName name="_Bia2">#REF!</definedName>
    <definedName name="_bmk_a">#REF!</definedName>
    <definedName name="_boi1">#REF!</definedName>
    <definedName name="_boi2">#REF!</definedName>
    <definedName name="_BTM150">#REF!</definedName>
    <definedName name="_BTM200">#REF!</definedName>
    <definedName name="_BTM250">#REF!</definedName>
    <definedName name="_BTM300">#REF!</definedName>
    <definedName name="_Builtin0">#REF!</definedName>
    <definedName name="_C1244ㅁ1430">#REF!</definedName>
    <definedName name="_Can2">#REF!</definedName>
    <definedName name="_cao1">#REF!</definedName>
    <definedName name="_cao2">#REF!</definedName>
    <definedName name="_cao3">#REF!</definedName>
    <definedName name="_cao4">#REF!</definedName>
    <definedName name="_cao5">#REF!</definedName>
    <definedName name="_cao6">#REF!</definedName>
    <definedName name="_chk1">#REF!</definedName>
    <definedName name="_chk110">#REF!</definedName>
    <definedName name="_chk2">#REF!</definedName>
    <definedName name="_chk210">#REF!</definedName>
    <definedName name="_ckt0405">#REF!</definedName>
    <definedName name="_CN02" hidden="1">{"'Sheet1'!$L$16"}</definedName>
    <definedName name="_CN1" hidden="1">{"'Sheet1'!$L$16"}</definedName>
    <definedName name="_coc250">#REF!</definedName>
    <definedName name="_coc300">#REF!</definedName>
    <definedName name="_coc350">#REF!</definedName>
    <definedName name="_CON1">#REF!</definedName>
    <definedName name="_CON2">#REF!</definedName>
    <definedName name="_cpd1">#REF!</definedName>
    <definedName name="_cpd2">#REF!</definedName>
    <definedName name="_CT250">#REF!</definedName>
    <definedName name="_CT4" hidden="1">{"'Sheet1'!$L$16"}</definedName>
    <definedName name="_Cus1">#REF!</definedName>
    <definedName name="_dai1">#REF!</definedName>
    <definedName name="_dai2">#REF!</definedName>
    <definedName name="_dai3">#REF!</definedName>
    <definedName name="_dai4">#REF!</definedName>
    <definedName name="_dai5">#REF!</definedName>
    <definedName name="_dai6">#REF!</definedName>
    <definedName name="_dan1">#REF!</definedName>
    <definedName name="_dan2">#REF!</definedName>
    <definedName name="_dat0405">#REF!</definedName>
    <definedName name="_ddn400">#REF!</definedName>
    <definedName name="_ddn600">#REF!</definedName>
    <definedName name="_deo1">#REF!</definedName>
    <definedName name="_deo10">#REF!</definedName>
    <definedName name="_deo2">#REF!</definedName>
    <definedName name="_deo3">#REF!</definedName>
    <definedName name="_deo4">#REF!</definedName>
    <definedName name="_deo5">#REF!</definedName>
    <definedName name="_deo6">#REF!</definedName>
    <definedName name="_deo7">#REF!</definedName>
    <definedName name="_deo8">#REF!</definedName>
    <definedName name="_deo9">#REF!</definedName>
    <definedName name="_dtT0705">#REF!</definedName>
    <definedName name="_E99999">#REF!</definedName>
    <definedName name="_ELF1" hidden="1">{"'Sheet1'!$L$16"}</definedName>
    <definedName name="_ELF2" hidden="1">{"'Sheet1'!$L$16"}</definedName>
    <definedName name="_Fill" hidden="1">#REF!</definedName>
    <definedName name="_xlnm._FilterDatabase" localSheetId="0" hidden="1">'Bảng lương CB-NV'!$A$12:$CI$21</definedName>
    <definedName name="_xlnm._FilterDatabase" localSheetId="1" hidden="1">'Mô tả Bảng lương CB-NV'!$A$9:$CI$14</definedName>
    <definedName name="_xlnm._FilterDatabase" localSheetId="3" hidden="1">'Mô tả Bảng lương tạm ứng kỳ 1'!$A$9:$CI$14</definedName>
    <definedName name="_G1">{"th152.xls"}</definedName>
    <definedName name="_G2" hidden="1">{"'Sheet1'!$L$16"}</definedName>
    <definedName name="_GIA1">#REF!</definedName>
    <definedName name="_gis150">#REF!</definedName>
    <definedName name="_gon4">#REF!</definedName>
    <definedName name="_H1" hidden="1">{"'Sheet1'!$L$16"}</definedName>
    <definedName name="_hom2">#REF!</definedName>
    <definedName name="_hom4">#N/A</definedName>
    <definedName name="_HX1">{"th152.xls"}</definedName>
    <definedName name="_itt0405">#REF!</definedName>
    <definedName name="_Iw1">#REF!</definedName>
    <definedName name="_j35015">#REF!</definedName>
    <definedName name="_KDX3">#N/A</definedName>
    <definedName name="_Key1" hidden="1">#REF!</definedName>
    <definedName name="_Key2" hidden="1">#REF!</definedName>
    <definedName name="_KL1">#REF!</definedName>
    <definedName name="_KL2">#REF!</definedName>
    <definedName name="_KL3">#REF!</definedName>
    <definedName name="_KL4">#REF!</definedName>
    <definedName name="_KL5">#REF!</definedName>
    <definedName name="_KL6">#REF!</definedName>
    <definedName name="_KL7">#REF!</definedName>
    <definedName name="_lap1">#REF!</definedName>
    <definedName name="_lap2">#REF!</definedName>
    <definedName name="_LPS2" hidden="1">{#N/A,#N/A,FALSE,"단축1";#N/A,#N/A,FALSE,"단축2";#N/A,#N/A,FALSE,"단축3";#N/A,#N/A,FALSE,"장축";#N/A,#N/A,FALSE,"4WD"}</definedName>
    <definedName name="_ma1">#REF!</definedName>
    <definedName name="_ma10">#REF!</definedName>
    <definedName name="_ma2">#REF!</definedName>
    <definedName name="_ma3">#REF!</definedName>
    <definedName name="_ma4">#REF!</definedName>
    <definedName name="_ma5">#REF!</definedName>
    <definedName name="_ma6">#REF!</definedName>
    <definedName name="_ma7">#REF!</definedName>
    <definedName name="_ma8">#REF!</definedName>
    <definedName name="_ma9">#REF!</definedName>
    <definedName name="_MAC12">#REF!</definedName>
    <definedName name="_MAC46">#REF!</definedName>
    <definedName name="_MAG1">#REF!</definedName>
    <definedName name="_mau03" hidden="1">{"'Sheet1'!$L$16"}</definedName>
    <definedName name="_Min1">#REF!</definedName>
    <definedName name="_Nam1">#REF!</definedName>
    <definedName name="_nc10">#REF!</definedName>
    <definedName name="_nc151">#REF!</definedName>
    <definedName name="_nc2">#REF!</definedName>
    <definedName name="_nc3">#REF!</definedName>
    <definedName name="_nc30">#REF!</definedName>
    <definedName name="_nc32">#REF!</definedName>
    <definedName name="_nc35">#REF!</definedName>
    <definedName name="_nc37">#REF!</definedName>
    <definedName name="_nc4">#REF!</definedName>
    <definedName name="_nc40">#REF!</definedName>
    <definedName name="_nc45">#REF!</definedName>
    <definedName name="_nc5">#REF!</definedName>
    <definedName name="_nc6">#REF!</definedName>
    <definedName name="_nc7">#REF!</definedName>
    <definedName name="_nc8">#REF!</definedName>
    <definedName name="_nc9">#REF!</definedName>
    <definedName name="_NCL100">#REF!</definedName>
    <definedName name="_NCL200">#REF!</definedName>
    <definedName name="_NCL250">#REF!</definedName>
    <definedName name="_NET2">#REF!</definedName>
    <definedName name="_nin190">#REF!</definedName>
    <definedName name="_NO09301">#REF!,#REF!</definedName>
    <definedName name="_NO9302">#REF!</definedName>
    <definedName name="_NO9303">#REF!</definedName>
    <definedName name="_NOA12">#REF!</definedName>
    <definedName name="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NPV11">#N/A</definedName>
    <definedName name="_npv22">#REF!</definedName>
    <definedName name="_NSO2" hidden="1">{"'Sheet1'!$L$16"}</definedName>
    <definedName name="_off1">#REF!</definedName>
    <definedName name="_Order1" hidden="1">255</definedName>
    <definedName name="_Order2" hidden="1">255</definedName>
    <definedName name="_pet0405">#REF!</definedName>
    <definedName name="_phi10">#REF!</definedName>
    <definedName name="_phi12">#REF!</definedName>
    <definedName name="_phi14">#REF!</definedName>
    <definedName name="_phi16">#REF!</definedName>
    <definedName name="_phi18">#REF!</definedName>
    <definedName name="_phi20">#REF!</definedName>
    <definedName name="_phi22">#REF!</definedName>
    <definedName name="_phi25">#REF!</definedName>
    <definedName name="_phi28">#REF!</definedName>
    <definedName name="_phi6">#REF!</definedName>
    <definedName name="_phi8">#REF!</definedName>
    <definedName name="_PPG1">{"th152.xls"}</definedName>
    <definedName name="_PPG15" hidden="1">{"'Sheet1'!$L$16"}</definedName>
    <definedName name="_PPG2" hidden="1">{"'Sheet1'!$L$16"}</definedName>
    <definedName name="_PRT0405">#REF!</definedName>
    <definedName name="_RC">#REF!</definedName>
    <definedName name="_Regression_Int" hidden="1">1</definedName>
    <definedName name="_RF3">#REF!</definedName>
    <definedName name="_RM1">#REF!</definedName>
    <definedName name="_RM2">#REF!</definedName>
    <definedName name="_RM3">#REF!</definedName>
    <definedName name="_S1" hidden="1">{"'Sheet1'!$L$16"}</definedName>
    <definedName name="_S11" hidden="1">{"'Sheet1'!$L$16"}</definedName>
    <definedName name="_S2" hidden="1">{"'Sheet1'!$L$16"}</definedName>
    <definedName name="_Sat27">#REF!</definedName>
    <definedName name="_Sat6">#REF!</definedName>
    <definedName name="_SBU10">#REF!</definedName>
    <definedName name="_SBU20">#REF!</definedName>
    <definedName name="_SBU30">#REF!</definedName>
    <definedName name="_SBU40">#REF!</definedName>
    <definedName name="_SBU50">#REF!</definedName>
    <definedName name="_SBU60">#REF!</definedName>
    <definedName name="_SBU90">#REF!</definedName>
    <definedName name="_sc1">#REF!</definedName>
    <definedName name="_SC2">#REF!</definedName>
    <definedName name="_sc3">#REF!</definedName>
    <definedName name="_SD11">{"Thuxm2.xls","Sheet1"}</definedName>
    <definedName name="_slg1">#REF!</definedName>
    <definedName name="_slg2">#REF!</definedName>
    <definedName name="_slg3">#REF!</definedName>
    <definedName name="_slg4">#REF!</definedName>
    <definedName name="_slg5">#REF!</definedName>
    <definedName name="_slg6">#REF!</definedName>
    <definedName name="_SN3">#REF!</definedName>
    <definedName name="_so1517">#REF!</definedName>
    <definedName name="_so1717">#REF!</definedName>
    <definedName name="_Sort" hidden="1">#REF!</definedName>
    <definedName name="_SQT10">#REF!</definedName>
    <definedName name="_SQT8">#REF!</definedName>
    <definedName name="_SQT9">#REF!</definedName>
    <definedName name="_sua20">#REF!</definedName>
    <definedName name="_sua30">#REF!</definedName>
    <definedName name="_T01" hidden="1">#REF!</definedName>
    <definedName name="_T2" hidden="1">{#N/A,#N/A,FALSE,"단축1";#N/A,#N/A,FALSE,"단축2";#N/A,#N/A,FALSE,"단축3";#N/A,#N/A,FALSE,"장축";#N/A,#N/A,FALSE,"4WD"}</definedName>
    <definedName name="_tam1">#REF!</definedName>
    <definedName name="_TB0902">#REF!</definedName>
    <definedName name="_TB1">#REF!</definedName>
    <definedName name="_tct5">#REF!</definedName>
    <definedName name="_tg427">#REF!</definedName>
    <definedName name="_TH20">#REF!</definedName>
    <definedName name="_thn11">#REF!,#REF!,#REF!</definedName>
    <definedName name="_TK2">#REF!</definedName>
    <definedName name="_TKT0405">#REF!</definedName>
    <definedName name="_TL1">#REF!</definedName>
    <definedName name="_TL2">#REF!</definedName>
    <definedName name="_TL3">#REF!</definedName>
    <definedName name="_TLA120">#REF!</definedName>
    <definedName name="_TLA35">#REF!</definedName>
    <definedName name="_TLA50">#REF!</definedName>
    <definedName name="_TLA70">#REF!</definedName>
    <definedName name="_TLA95">#REF!</definedName>
    <definedName name="_TM02">#REF!</definedName>
    <definedName name="_tnh10">#REF!</definedName>
    <definedName name="_TS1">#REF!</definedName>
    <definedName name="_TS2">#REF!</definedName>
    <definedName name="_TT1" hidden="1">{"'Sheet1'!$L$16"}</definedName>
    <definedName name="_tz593">#REF!</definedName>
    <definedName name="_vl10">#REF!</definedName>
    <definedName name="_VL100">#REF!</definedName>
    <definedName name="_vl2">#REF!</definedName>
    <definedName name="_VL200">#REF!</definedName>
    <definedName name="_VL250">#REF!</definedName>
    <definedName name="_vl3">#REF!</definedName>
    <definedName name="_vl4">#REF!</definedName>
    <definedName name="_vl5">#REF!</definedName>
    <definedName name="_vl6">#REF!</definedName>
    <definedName name="_vl7">#REF!</definedName>
    <definedName name="_vl8">#REF!</definedName>
    <definedName name="_vl9">#REF!</definedName>
    <definedName name="_XL3" localSheetId="2">BlankMacro1</definedName>
    <definedName name="_XL3" localSheetId="1">BlankMacro1</definedName>
    <definedName name="_XL3" localSheetId="3">BlankMacro1</definedName>
    <definedName name="_XL3">BlankMacro1</definedName>
    <definedName name="_Y2" hidden="1">{"'Sheet1'!$L$16"}</definedName>
    <definedName name="\a">#REF!</definedName>
    <definedName name="\b">#N/A</definedName>
    <definedName name="\c">#N/A</definedName>
    <definedName name="\d">#N/A</definedName>
    <definedName name="\p">#N/A</definedName>
    <definedName name="\T">#REF!</definedName>
    <definedName name="※_추후_NAVA__PROJECT는__부품_">#REF!</definedName>
    <definedName name="√">"SQRT"</definedName>
    <definedName name="￥">#N/A</definedName>
    <definedName name="②도입임차금_기타">#REF!</definedName>
    <definedName name="③단자인건비_인건비">#REF!</definedName>
    <definedName name="⑤이자리스료_일반">#REF!</definedName>
    <definedName name="A">"?A*"</definedName>
    <definedName name="a_">#REF!</definedName>
    <definedName name="a___May">#REF!</definedName>
    <definedName name="a___Nhan_cong">#REF!</definedName>
    <definedName name="a___vat_lieu">#REF!</definedName>
    <definedName name="A.">#REF!</definedName>
    <definedName name="A01_">#N/A</definedName>
    <definedName name="A01AC">#N/A</definedName>
    <definedName name="A01CAT">#N/A</definedName>
    <definedName name="A01CODE">#N/A</definedName>
    <definedName name="A01DATA">#N/A</definedName>
    <definedName name="A01MI">#N/A</definedName>
    <definedName name="A01TO">#N/A</definedName>
    <definedName name="A1_00근거" hidden="1">{#N/A,#N/A,FALSE,"단축1";#N/A,#N/A,FALSE,"단축2";#N/A,#N/A,FALSE,"단축3";#N/A,#N/A,FALSE,"장축";#N/A,#N/A,FALSE,"4WD"}</definedName>
    <definedName name="A120_">#REF!</definedName>
    <definedName name="A1A759">#REF!</definedName>
    <definedName name="â2">#REF!</definedName>
    <definedName name="a277Print_Titles">#REF!</definedName>
    <definedName name="A35_">#REF!</definedName>
    <definedName name="Ａ４">#N/A</definedName>
    <definedName name="A50_">#REF!</definedName>
    <definedName name="A70_">#REF!</definedName>
    <definedName name="A95_">#REF!</definedName>
    <definedName name="AA">#REF!</definedName>
    <definedName name="aâ18">#REF!</definedName>
    <definedName name="AAAA">#REF!</definedName>
    <definedName name="AAAAA" hidden="1">{#N/A,#N/A,FALSE,"단축1";#N/A,#N/A,FALSE,"단축2";#N/A,#N/A,FALSE,"단축3";#N/A,#N/A,FALSE,"장축";#N/A,#N/A,FALSE,"4WD"}</definedName>
    <definedName name="AAAAAAAAA">{"th152.xls"}</definedName>
    <definedName name="aaaaaaaaaaaaa">{"th152.xls"}</definedName>
    <definedName name="aaaaaaaasad" hidden="1">{0}</definedName>
    <definedName name="áADSAFSDGDF" hidden="1">#REF!</definedName>
    <definedName name="áàdsgfgfdg" hidden="1">{0}</definedName>
    <definedName name="Âaìo_moïng_cäüt_âáút_C2__r_1m__sáu_1m">#REF!</definedName>
    <definedName name="AAS">#REF!</definedName>
    <definedName name="ab">#REF!</definedName>
    <definedName name="ABC">#N/A</definedName>
    <definedName name="ABCD">#REF!</definedName>
    <definedName name="ABDD" hidden="1">{#N/A,#N/A,FALSE,"단축1";#N/A,#N/A,FALSE,"단축2";#N/A,#N/A,FALSE,"단축3";#N/A,#N/A,FALSE,"장축";#N/A,#N/A,FALSE,"4WD"}</definedName>
    <definedName name="ac">#REF!</definedName>
    <definedName name="AC_TRGT">#REF!</definedName>
    <definedName name="AC120_">#REF!</definedName>
    <definedName name="AC35_">#REF!</definedName>
    <definedName name="AC50_">#REF!</definedName>
    <definedName name="AC70_">#REF!</definedName>
    <definedName name="AC95_">#REF!</definedName>
    <definedName name="Access_Button" hidden="1">"업체현황_카드발송_List"</definedName>
    <definedName name="Access_Button1" hidden="1">"업체현황_카드발송_List"</definedName>
    <definedName name="Access_Button2" hidden="1">"업체현황_카드발송_List"</definedName>
    <definedName name="Access_Button3" hidden="1">"카드발송_카드발송_List1"</definedName>
    <definedName name="Access_Button4" hidden="1">"업체현황_카드발송_List"</definedName>
    <definedName name="AccessDatabase" hidden="1">"C:\dnkim\협력업체\카드발송.mdb"</definedName>
    <definedName name="acdc">#REF!</definedName>
    <definedName name="ad" hidden="1">#REF!</definedName>
    <definedName name="aDÁGDF" hidden="1">{"Offgrid",#N/A,FALSE,"OFFGRID";"Region",#N/A,FALSE,"REGION";"Offgrid -2",#N/A,FALSE,"OFFGRID";"WTP",#N/A,FALSE,"WTP";"WTP -2",#N/A,FALSE,"WTP";"Project",#N/A,FALSE,"PROJECT";"Summary -2",#N/A,FALSE,"SUMMARY"}</definedName>
    <definedName name="ADAY">#REF!</definedName>
    <definedName name="Address">#REF!</definedName>
    <definedName name="ADSA">{"th152.xls"}</definedName>
    <definedName name="ADSA_1">NA()</definedName>
    <definedName name="ADSadasgsdfyhdjhf">#REF!</definedName>
    <definedName name="adsadfsafsdgf" hidden="1">#REF!</definedName>
    <definedName name="AEDQWDE" hidden="1">{"'Sheet1'!$L$16"}</definedName>
    <definedName name="Ag_">#REF!</definedName>
    <definedName name="ag15F80">#REF!</definedName>
    <definedName name="AHAHH">#REF!</definedName>
    <definedName name="AI">#N/A</definedName>
    <definedName name="AL">{"th152.xls"}</definedName>
    <definedName name="All_Item">#REF!</definedName>
    <definedName name="ALPHA1" hidden="1">{"'Sheet1'!$L$16"}</definedName>
    <definedName name="ALPHAÙ" hidden="1">{"'Sheet1'!$L$16"}</definedName>
    <definedName name="ALPIN">#N/A</definedName>
    <definedName name="ALPJYOU">#N/A</definedName>
    <definedName name="ALPTOI">#N/A</definedName>
    <definedName name="ALTSS">#REF!</definedName>
    <definedName name="am">#REF!</definedName>
    <definedName name="ANHUNG">#REF!</definedName>
    <definedName name="anhung2">{"th152.xls"}</definedName>
    <definedName name="anhung2_1">NA()</definedName>
    <definedName name="ANLAC">#REF!</definedName>
    <definedName name="anpha">#REF!</definedName>
    <definedName name="ANSUONG">#REF!</definedName>
    <definedName name="ANTOAN" hidden="1">{"'Sheet1'!$L$16"}</definedName>
    <definedName name="AÕ">#REF!</definedName>
    <definedName name="aø18">#REF!</definedName>
    <definedName name="ap">#REF!</definedName>
    <definedName name="Aq">#REF!</definedName>
    <definedName name="AS">#REF!</definedName>
    <definedName name="As_">#REF!</definedName>
    <definedName name="AS.BB">#REF!</definedName>
    <definedName name="asa">#REF!</definedName>
    <definedName name="ấSẤ" hidden="1">{"'Sheet1'!$L$16"}</definedName>
    <definedName name="âsasasa" hidden="1">#REF!</definedName>
    <definedName name="asaSDADSADFS" hidden="1">{#N/A,#N/A,FALSE,"단축1";#N/A,#N/A,FALSE,"단축2";#N/A,#N/A,FALSE,"단축3";#N/A,#N/A,FALSE,"장축";#N/A,#N/A,FALSE,"4WD"}</definedName>
    <definedName name="ASD">#REF!</definedName>
    <definedName name="ASDAs" hidden="1">#REF!</definedName>
    <definedName name="aSEewqewq" hidden="1">#REF!</definedName>
    <definedName name="assa">#N/A</definedName>
    <definedName name="AsSDADSADASD" hidden="1">{"'Sheet1'!$L$16"}</definedName>
    <definedName name="ASSU">#N/A</definedName>
    <definedName name="ATP">#REF!</definedName>
    <definedName name="ATRAM">#REF!</definedName>
    <definedName name="AT대수">#REF!</definedName>
    <definedName name="AÙ">#REF!</definedName>
    <definedName name="auto">#N/A</definedName>
    <definedName name="AUTOEXEC">#REF!</definedName>
    <definedName name="avl">#REF!</definedName>
    <definedName name="AZ">#REF!</definedName>
    <definedName name="B">#REF!</definedName>
    <definedName name="b_1">#REF!</definedName>
    <definedName name="b_2">#REF!</definedName>
    <definedName name="b_240">#REF!</definedName>
    <definedName name="b_280">#REF!</definedName>
    <definedName name="b_3">#REF!</definedName>
    <definedName name="b_320">#REF!</definedName>
    <definedName name="b_4">#REF!</definedName>
    <definedName name="b_5">#REF!</definedName>
    <definedName name="b_6">#REF!</definedName>
    <definedName name="B_Isc">#REF!</definedName>
    <definedName name="B_tinh">#REF!</definedName>
    <definedName name="B.4">#REF!</definedName>
    <definedName name="B.5">#REF!</definedName>
    <definedName name="B.6">#REF!</definedName>
    <definedName name="B.7">#REF!</definedName>
    <definedName name="b.8">#REF!</definedName>
    <definedName name="b.9">#REF!</definedName>
    <definedName name="b23RTDKDK">#REF!</definedName>
    <definedName name="ba">#REF!</definedName>
    <definedName name="BAMUA1">#REF!</definedName>
    <definedName name="BAMUA2">#REF!</definedName>
    <definedName name="BAN">#REF!</definedName>
    <definedName name="Bang_cly">#REF!</definedName>
    <definedName name="Bang_CVC">#REF!</definedName>
    <definedName name="bang_gia">#REF!</definedName>
    <definedName name="Bang_travl">#REF!</definedName>
    <definedName name="bang1">#REF!</definedName>
    <definedName name="bang2">#REF!</definedName>
    <definedName name="bang3">#REF!</definedName>
    <definedName name="bang4">#REF!</definedName>
    <definedName name="bang5">#REF!</definedName>
    <definedName name="bang6">#REF!</definedName>
    <definedName name="bangchu">#REF!</definedName>
    <definedName name="BangCong_HoTen">#REF!</definedName>
    <definedName name="BangCong_MNV">#REF!</definedName>
    <definedName name="bangdo">#REF!</definedName>
    <definedName name="BANGOC">#REF!</definedName>
    <definedName name="bangtinh">#REF!</definedName>
    <definedName name="banhbo">#REF!</definedName>
    <definedName name="banhmi">#REF!</definedName>
    <definedName name="Banhtuoi">#REF!</definedName>
    <definedName name="Bank_CHRG">#REF!</definedName>
    <definedName name="baocao">#REF!</definedName>
    <definedName name="BarData">#REF!</definedName>
    <definedName name="BB">#REF!</definedName>
    <definedName name="bbb">#REF!</definedName>
    <definedName name="BBHU">#REF!</definedName>
    <definedName name="BBVBV" hidden="1">{#N/A,#N/A,FALSE,"기초1"}</definedName>
    <definedName name="BCC">{"th152.xls"}</definedName>
    <definedName name="BCNXT152153">#REF!</definedName>
    <definedName name="BCNXT155156">#REF!</definedName>
    <definedName name="Bcthu">#REF!</definedName>
    <definedName name="bd">#REF!</definedName>
    <definedName name="BDAY">#REF!</definedName>
    <definedName name="BDBDB" hidden="1">{"'Sheet1'!$L$16"}</definedName>
    <definedName name="BDFBF" hidden="1">{"'Sheet1'!$L$16"}</definedName>
    <definedName name="bdpoint">#REF!</definedName>
    <definedName name="Be_tong_do_tai_cho">#REF!</definedName>
    <definedName name="Be_tong_duc_san">#REF!</definedName>
    <definedName name="begin">#REF!</definedName>
    <definedName name="bengam">#REF!</definedName>
    <definedName name="benuoc">#REF!</definedName>
    <definedName name="beta">#REF!</definedName>
    <definedName name="BetongM150">#N/A</definedName>
    <definedName name="BetongM200">#N/A</definedName>
    <definedName name="BetongM50">#N/A</definedName>
    <definedName name="Bezugsfeld">#REF!</definedName>
    <definedName name="BFNGFN" hidden="1">{"'Sheet1'!$L$16"}</definedName>
    <definedName name="bg" hidden="1">{"'Sheet1'!$L$16"}</definedName>
    <definedName name="bgfdhgfjhg" hidden="1">#REF!</definedName>
    <definedName name="bgia">#REF!</definedName>
    <definedName name="BH">#REF!</definedName>
    <definedName name="BHS">#REF!</definedName>
    <definedName name="BIENHOA">#REF!</definedName>
    <definedName name="BigSizeLink">#REF!</definedName>
    <definedName name="BINHTAN">#REF!</definedName>
    <definedName name="BINHTHANH1">#REF!</definedName>
    <definedName name="BINHTHANH2">#REF!</definedName>
    <definedName name="BINHTRIEU">#REF!</definedName>
    <definedName name="BKE">#REF!</definedName>
    <definedName name="bkx_makhach">#REF!</definedName>
    <definedName name="bkx_mavattu">#REF!</definedName>
    <definedName name="bkx_soluong">#REF!</definedName>
    <definedName name="bkx_thanhtien">#REF!</definedName>
    <definedName name="bl">#REF!</definedName>
    <definedName name="blang">#REF!</definedName>
    <definedName name="blkh">#REF!</definedName>
    <definedName name="blkh1">#REF!</definedName>
    <definedName name="BLNK공정">#REF!</definedName>
    <definedName name="BLOCK1">#REF!</definedName>
    <definedName name="BLOCK2">#REF!</definedName>
    <definedName name="BLOCK3">#REF!</definedName>
    <definedName name="blong">#REF!</definedName>
    <definedName name="blop">#N/A</definedName>
    <definedName name="bmb">#REF!</definedName>
    <definedName name="bn" hidden="1">{"'Sheet1'!$L$16"}</definedName>
    <definedName name="bnc">#REF!</definedName>
    <definedName name="BNDFBNDF" hidden="1">{"'Sheet1'!$L$16"}</definedName>
    <definedName name="BNO">#REF!</definedName>
    <definedName name="BODY">#N/A</definedName>
    <definedName name="BOM">#REF!</definedName>
    <definedName name="bon">#REF!,#REF!,#REF!,#REF!,#REF!</definedName>
    <definedName name="bông">#REF!</definedName>
    <definedName name="Book2">#REF!</definedName>
    <definedName name="BOQ">#REF!</definedName>
    <definedName name="bp">#REF!</definedName>
    <definedName name="BQLTB">#REF!</definedName>
    <definedName name="BQLXL">#REF!</definedName>
    <definedName name="Broker_Rate">#REF!</definedName>
    <definedName name="bRTDKDK">#REF!</definedName>
    <definedName name="brush">#REF!</definedName>
    <definedName name="bs">#REF!</definedName>
    <definedName name="bsndsaf" hidden="1">#REF!</definedName>
    <definedName name="bson">#REF!</definedName>
    <definedName name="bt">#REF!</definedName>
    <definedName name="BT_125">#REF!</definedName>
    <definedName name="BT200_50">#REF!</definedName>
    <definedName name="BTÂ">#REF!</definedName>
    <definedName name="btchiuaxitm300">#REF!</definedName>
    <definedName name="BTchiuaxm200">#REF!</definedName>
    <definedName name="btcocM400">#REF!</definedName>
    <definedName name="btgdt0405">#REF!</definedName>
    <definedName name="btham">#REF!</definedName>
    <definedName name="BTlotm100">#REF!</definedName>
    <definedName name="BTM">#REF!</definedName>
    <definedName name="BTP">#REF!</definedName>
    <definedName name="BTRAM">#REF!</definedName>
    <definedName name="Budget">#REF!</definedName>
    <definedName name="Budget05">#REF!</definedName>
    <definedName name="BUN2V">#REF!</definedName>
    <definedName name="buoc">#REF!</definedName>
    <definedName name="Bust">#REF!</definedName>
    <definedName name="Button_26">"SOKTMAY1003_SOQUI_VND__List"</definedName>
    <definedName name="Button_28">"SOKTMAY1003_SOQUI_VND__List"</definedName>
    <definedName name="button_area_1">#REF!</definedName>
    <definedName name="buvenh">#REF!</definedName>
    <definedName name="BVCISUMMARY">#REF!</definedName>
    <definedName name="bvngoai">#REF!</definedName>
    <definedName name="bvtrong">#REF!</definedName>
    <definedName name="C_">#REF!</definedName>
    <definedName name="C_01">#REF!</definedName>
    <definedName name="C_04">#REF!</definedName>
    <definedName name="c_1">#REF!</definedName>
    <definedName name="c_2">#REF!</definedName>
    <definedName name="C_F">#REF!</definedName>
    <definedName name="C_LENGTH">#REF!</definedName>
    <definedName name="C_P">#REF!</definedName>
    <definedName name="C_WIDTH">#REF!</definedName>
    <definedName name="C.">#REF!</definedName>
    <definedName name="C.1.1..Phat_tuyen">#REF!</definedName>
    <definedName name="C.1.10..VC_Thu_cong_CG">#REF!</definedName>
    <definedName name="C.1.2..Chat_cay_thu_cong">#REF!</definedName>
    <definedName name="C.1.3..Chat_cay_may">#REF!</definedName>
    <definedName name="C.1.4..Dao_goc_cay">#REF!</definedName>
    <definedName name="C.1.5..Lam_duong_tam">#REF!</definedName>
    <definedName name="C.1.6..Lam_cau_tam">#REF!</definedName>
    <definedName name="C.1.7..Rai_da_chong_lun">#REF!</definedName>
    <definedName name="C.1.8..Lam_kho_tam">#REF!</definedName>
    <definedName name="C.1.8..San_mat_bang">#REF!</definedName>
    <definedName name="C.2.1..VC_Thu_cong">#REF!</definedName>
    <definedName name="C.2.2..VC_T_cong_CG">#REF!</definedName>
    <definedName name="C.2.3..Boc_do">#REF!</definedName>
    <definedName name="C.3.1..Dao_dat_mong_cot">#REF!</definedName>
    <definedName name="C.3.2..Dao_dat_de_dap">#REF!</definedName>
    <definedName name="C.3.3..Dap_dat_mong">#REF!</definedName>
    <definedName name="C.3.4..Dao_dap_TDia">#REF!</definedName>
    <definedName name="C.3.5..Dap_bo_bao">#REF!</definedName>
    <definedName name="C.3.6..Bom_tat_nuoc">#REF!</definedName>
    <definedName name="C.3.7..Dao_bun">#REF!</definedName>
    <definedName name="C.3.8..Dap_cat_CT">#REF!</definedName>
    <definedName name="C.3.9..Dao_pha_da">#REF!</definedName>
    <definedName name="C.4.1.Cot_thep">#REF!</definedName>
    <definedName name="C.4.2..Van_khuon">#REF!</definedName>
    <definedName name="C.4.3..Be_tong">#REF!</definedName>
    <definedName name="C.4.4..Lap_BT_D.San">#REF!</definedName>
    <definedName name="C.4.5..Xay_da_hoc">#REF!</definedName>
    <definedName name="C.4.6..Dong_coc">#REF!</definedName>
    <definedName name="C.4.7..Quet_Bi_tum">#REF!</definedName>
    <definedName name="C.5.1..Lap_cot_thep">#REF!</definedName>
    <definedName name="C.5.2..Lap_cot_BT">#REF!</definedName>
    <definedName name="C.5.3..Lap_dat_xa">#REF!</definedName>
    <definedName name="C.5.4..Lap_tiep_dia">#REF!</definedName>
    <definedName name="C.5.5..Son_sat_thep">#REF!</definedName>
    <definedName name="C.6.1..Lap_su_dung">#REF!</definedName>
    <definedName name="C.6.2..Lap_su_CS">#REF!</definedName>
    <definedName name="C.6.3..Su_chuoi_do">#REF!</definedName>
    <definedName name="C.6.4..Su_chuoi_neo">#REF!</definedName>
    <definedName name="C.6.5..Lap_phu_kien">#REF!</definedName>
    <definedName name="C.6.6..Ep_noi_day">#REF!</definedName>
    <definedName name="C.6.7..KD_vuot_CN">#REF!</definedName>
    <definedName name="C.6.8..Rai_cang_day">#REF!</definedName>
    <definedName name="C.6.9..Cap_quang">#REF!</definedName>
    <definedName name="ca">#REF!</definedName>
    <definedName name="CA_PTVT">#REF!</definedName>
    <definedName name="CACAU">298161</definedName>
    <definedName name="CanBQL">#REF!</definedName>
    <definedName name="CanLePhi">#REF!</definedName>
    <definedName name="CanMT">#REF!</definedName>
    <definedName name="CANTHO">#REF!</definedName>
    <definedName name="cao">#REF!</definedName>
    <definedName name="cap">#REF!</definedName>
    <definedName name="cap0.7">#REF!</definedName>
    <definedName name="CAS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t">#REF!</definedName>
    <definedName name="catch방안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tegory_All">#REF!</definedName>
    <definedName name="CATIN">#N/A</definedName>
    <definedName name="CATJYOU">#N/A</definedName>
    <definedName name="CatLai">#REF!</definedName>
    <definedName name="catmin">#REF!</definedName>
    <definedName name="CATREC">#N/A</definedName>
    <definedName name="CATSYU">#N/A</definedName>
    <definedName name="cavg" hidden="1">#REF!</definedName>
    <definedName name="Cb">#REF!</definedName>
    <definedName name="CBCV">#REF!</definedName>
    <definedName name="CC">#REF!</definedName>
    <definedName name="CC.QQ">#REF!</definedName>
    <definedName name="ccc">#REF!</definedName>
    <definedName name="cccddd" hidden="1">{#N/A,#N/A,FALSE,"단축1";#N/A,#N/A,FALSE,"단축2";#N/A,#N/A,FALSE,"단축3";#N/A,#N/A,FALSE,"장축";#N/A,#N/A,FALSE,"4WD"}</definedName>
    <definedName name="cch">#REF!</definedName>
    <definedName name="CCS">#REF!</definedName>
    <definedName name="cd">#REF!</definedName>
    <definedName name="CDAY">#REF!</definedName>
    <definedName name="CDCDZ22">#REF!</definedName>
    <definedName name="CDD">#REF!</definedName>
    <definedName name="CDDD">#REF!</definedName>
    <definedName name="CDDD1P">#REF!</definedName>
    <definedName name="CDDD1PHA">#REF!</definedName>
    <definedName name="CDDD3PHA">#REF!</definedName>
    <definedName name="CDEDZ04">#REF!</definedName>
    <definedName name="CDEDZ22">#REF!</definedName>
    <definedName name="Cdh">#N/A</definedName>
    <definedName name="cdn">#REF!</definedName>
    <definedName name="Cdnum">#REF!</definedName>
    <definedName name="cdsfdsgdsfhgfjhty">#REF!</definedName>
    <definedName name="celltips_area">#REF!</definedName>
    <definedName name="cfdsfdghg">#REF!</definedName>
    <definedName name="cfgg" hidden="1">{"'Sheet1'!$L$16"}</definedName>
    <definedName name="cfk">#REF!</definedName>
    <definedName name="CFLOW_C124">#REF!</definedName>
    <definedName name="CFLOW_C3">#REF!</definedName>
    <definedName name="CFprprprrkrkrkrkpdpddkdkdkdkdkd">#REF!</definedName>
    <definedName name="CGS_CLO">#REF!</definedName>
    <definedName name="chapoint">#REF!</definedName>
    <definedName name="chay1">#REF!</definedName>
    <definedName name="chay10">#REF!</definedName>
    <definedName name="chay2">#REF!</definedName>
    <definedName name="chay3">#REF!</definedName>
    <definedName name="chay4">#REF!</definedName>
    <definedName name="chay5">#REF!</definedName>
    <definedName name="chay6">#REF!</definedName>
    <definedName name="chay7">#REF!</definedName>
    <definedName name="chay8">#REF!</definedName>
    <definedName name="chay9">#REF!</definedName>
    <definedName name="Chinh_ngay">DATE(YEAR(#REF!),IF(DAY(#REF!)&gt;=16,MONTH(#REF!)+1,MONTH(#REF!)),1)</definedName>
    <definedName name="chiphi">#REF!</definedName>
    <definedName name="choco">#REF!</definedName>
    <definedName name="Choices_Wrapper">#N/A</definedName>
    <definedName name="CHSO4">#REF!</definedName>
    <definedName name="chulai" hidden="1">{"'Sheet1'!$L$16"}</definedName>
    <definedName name="chung">66</definedName>
    <definedName name="CHUYENDUNG">#REF!</definedName>
    <definedName name="ci" hidden="1">{#N/A,#N/A,FALSE,"단축1";#N/A,#N/A,FALSE,"단축2";#N/A,#N/A,FALSE,"단축3";#N/A,#N/A,FALSE,"장축";#N/A,#N/A,FALSE,"4WD"}</definedName>
    <definedName name="CI_PTVT">#REF!</definedName>
    <definedName name="City">#REF!</definedName>
    <definedName name="CK">#REF!</definedName>
    <definedName name="cl">#REF!</definedName>
    <definedName name="CLAIM">3</definedName>
    <definedName name="clamp">#REF!</definedName>
    <definedName name="clip">#REF!</definedName>
    <definedName name="CLVC3">0.1</definedName>
    <definedName name="CLVC35">#REF!</definedName>
    <definedName name="CLVCTB">#REF!</definedName>
    <definedName name="CLVL">#REF!</definedName>
    <definedName name="cmat0405">#REF!</definedName>
    <definedName name="cmbLOT">#REF!</definedName>
    <definedName name="cmb차종">#REF!</definedName>
    <definedName name="cmc">#REF!</definedName>
    <definedName name="CNKH131">#REF!</definedName>
    <definedName name="CNKH331">#REF!</definedName>
    <definedName name="Co">#REF!</definedName>
    <definedName name="coc">#REF!</definedName>
    <definedName name="cocbtct">#REF!</definedName>
    <definedName name="cocot">#REF!</definedName>
    <definedName name="cocott">#REF!</definedName>
    <definedName name="Code" hidden="1">#REF!</definedName>
    <definedName name="CÖÏ_LY_VAÄN_CHUYEÅN">#REF!</definedName>
    <definedName name="Cöï_ly_vaän_chuyeãn">#REF!</definedName>
    <definedName name="Com_CheckDangKy">#REF!</definedName>
    <definedName name="Com_CheckThuaTen">#REF!</definedName>
    <definedName name="Com_CheckTotal">#REF!</definedName>
    <definedName name="Com_CheckTrungTen">#REF!</definedName>
    <definedName name="Comm" localSheetId="2">BlankMacro1</definedName>
    <definedName name="Comm" localSheetId="1">BlankMacro1</definedName>
    <definedName name="Comm" localSheetId="3">BlankMacro1</definedName>
    <definedName name="Comm">BlankMacro1</definedName>
    <definedName name="COMMON">#REF!</definedName>
    <definedName name="comong">#REF!</definedName>
    <definedName name="Company">#REF!</definedName>
    <definedName name="CON_DUCT">#REF!</definedName>
    <definedName name="CON_EQP_COS">#REF!</definedName>
    <definedName name="CON_EQP_COST">#REF!</definedName>
    <definedName name="Concrete">#REF!</definedName>
    <definedName name="cong" hidden="1">{"'Sheet1'!$L$16"}</definedName>
    <definedName name="Cong_HM_DTCT">#REF!</definedName>
    <definedName name="Cong_M_DTCT">#REF!</definedName>
    <definedName name="Cong_NC_DTCT">#REF!</definedName>
    <definedName name="cong_tac_khac">#REF!</definedName>
    <definedName name="Cong_tac_rai_cang_day_lay_do_vong">#N/A</definedName>
    <definedName name="Cong_tac_van_chuyen_thu_cong">#N/A</definedName>
    <definedName name="Cong_tac_xay_da">#REF!</definedName>
    <definedName name="Cong_VL_DTCT">#REF!</definedName>
    <definedName name="congbengam">#REF!</definedName>
    <definedName name="congbenuoc">#REF!</definedName>
    <definedName name="congcoc">#REF!</definedName>
    <definedName name="congcocot">#REF!</definedName>
    <definedName name="congcocott">#REF!</definedName>
    <definedName name="congcomong">#REF!</definedName>
    <definedName name="congcottron">#REF!</definedName>
    <definedName name="congcotvuong">#REF!</definedName>
    <definedName name="congdam">#REF!</definedName>
    <definedName name="congdan1">#REF!</definedName>
    <definedName name="congdan2">#REF!</definedName>
    <definedName name="congdandusan">#REF!</definedName>
    <definedName name="conglanhto">#REF!</definedName>
    <definedName name="congmong">#REF!</definedName>
    <definedName name="congmongbang">#REF!</definedName>
    <definedName name="congmongdon">#REF!</definedName>
    <definedName name="congpanen">#REF!</definedName>
    <definedName name="congsan">#REF!</definedName>
    <definedName name="congthang">#REF!</definedName>
    <definedName name="CongVattu">#REF!</definedName>
    <definedName name="conroom">#REF!</definedName>
    <definedName name="CONST_EQ">#REF!</definedName>
    <definedName name="CONT">#REF!</definedName>
    <definedName name="Continue">#REF!</definedName>
    <definedName name="continue1">#REF!</definedName>
    <definedName name="conversion">#REF!</definedName>
    <definedName name="COT10DZ22">#REF!</definedName>
    <definedName name="COT12DZ22">#REF!</definedName>
    <definedName name="COT14DZ22">#REF!</definedName>
    <definedName name="COT20DZ22">#REF!</definedName>
    <definedName name="cot7.5">#REF!</definedName>
    <definedName name="cot8.5">#REF!</definedName>
    <definedName name="CotM">#REF!</definedName>
    <definedName name="COTPYLONEDZ04">#REF!</definedName>
    <definedName name="CotSau">#REF!</definedName>
    <definedName name="COTTHEP10DZ22">#REF!</definedName>
    <definedName name="COTTHEP12DZ22">#REF!</definedName>
    <definedName name="COTTHEP9DZ22">#REF!</definedName>
    <definedName name="cottron">#REF!</definedName>
    <definedName name="cotvuong">#REF!</definedName>
    <definedName name="COTVUONGDZ04">#REF!</definedName>
    <definedName name="COÙ">#REF!</definedName>
    <definedName name="Country">#REF!</definedName>
    <definedName name="COVER">#REF!</definedName>
    <definedName name="COVERING">#REF!</definedName>
    <definedName name="cp">#REF!</definedName>
    <definedName name="CPC">#REF!</definedName>
    <definedName name="cpdd1">#REF!</definedName>
    <definedName name="CPK">#REF!</definedName>
    <definedName name="cpktba">#REF!</definedName>
    <definedName name="CPT">#REF!</definedName>
    <definedName name="CPTK">#REF!</definedName>
    <definedName name="CPVC100">#REF!</definedName>
    <definedName name="CPVC35">#REF!</definedName>
    <definedName name="CPVCDN">#REF!</definedName>
    <definedName name="cr">#REF!</definedName>
    <definedName name="cracker">#REF!</definedName>
    <definedName name="CRD">#REF!</definedName>
    <definedName name="creditt0405">#REF!</definedName>
    <definedName name="CRITINST">#REF!</definedName>
    <definedName name="CRITPURC">#REF!</definedName>
    <definedName name="CRS">#REF!</definedName>
    <definedName name="CS">#REF!</definedName>
    <definedName name="CS_10">#REF!</definedName>
    <definedName name="CS_100">#REF!</definedName>
    <definedName name="CS_10S">#REF!</definedName>
    <definedName name="CS_120">#REF!</definedName>
    <definedName name="CS_140">#REF!</definedName>
    <definedName name="CS_160">#REF!</definedName>
    <definedName name="CS_20">#REF!</definedName>
    <definedName name="CS_30">#REF!</definedName>
    <definedName name="CS_40">#REF!</definedName>
    <definedName name="CS_40S">#REF!</definedName>
    <definedName name="CS_5S">#REF!</definedName>
    <definedName name="CS_60">#REF!</definedName>
    <definedName name="CS_80">#REF!</definedName>
    <definedName name="CS_80S">#REF!</definedName>
    <definedName name="CS_STD">#REF!</definedName>
    <definedName name="CS_XS">#REF!</definedName>
    <definedName name="CS_XXS">#REF!</definedName>
    <definedName name="cscsafsafsaf" hidden="1">#REF!</definedName>
    <definedName name="csd3p">#REF!</definedName>
    <definedName name="csddg1p">#REF!</definedName>
    <definedName name="csddt1p">#REF!</definedName>
    <definedName name="csht3p">#REF!</definedName>
    <definedName name="CT">#REF!</definedName>
    <definedName name="CT_50">#REF!</definedName>
    <definedName name="ctdn9697">#REF!</definedName>
    <definedName name="ctiep">#REF!</definedName>
    <definedName name="CTIET">#REF!</definedName>
    <definedName name="ctmai">#REF!</definedName>
    <definedName name="ctong">#REF!</definedName>
    <definedName name="CTÖØ">#REF!</definedName>
    <definedName name="ctr">#REF!</definedName>
    <definedName name="CTRAM">#REF!</definedName>
    <definedName name="ctre">#REF!</definedName>
    <definedName name="CTY" hidden="1">{"'Sheet1'!$L$16"}</definedName>
    <definedName name="Cty_TNHH_HYDRO_AGRI">#REF!</definedName>
    <definedName name="CTY_VTKTNN_CAÀN_THÔ">#REF!</definedName>
    <definedName name="CTYhc">{"th152.xls"}</definedName>
    <definedName name="cu">#REF!</definedName>
    <definedName name="CU_LY">#REF!</definedName>
    <definedName name="CUCHI">#REF!</definedName>
    <definedName name="cui">#REF!</definedName>
    <definedName name="Culy">#REF!</definedName>
    <definedName name="cuoc_vc">#REF!</definedName>
    <definedName name="CURRENCY">#REF!</definedName>
    <definedName name="current">#REF!</definedName>
    <definedName name="CURT">#N/A</definedName>
    <definedName name="cvabv" hidden="1">#REF!</definedName>
    <definedName name="cvcbvnghmjh.">#REF!</definedName>
    <definedName name="cvgfdgsdfhfjhgjmhgk">#REF!</definedName>
    <definedName name="cvt">#REF!</definedName>
    <definedName name="CX">#REF!</definedName>
    <definedName name="cxm">#REF!</definedName>
    <definedName name="cy">#REF!</definedName>
    <definedName name="D" hidden="1">{#N/A,#N/A,FALSE,"강교";#N/A,#N/A,FALSE,"한전";#N/A,#N/A,FALSE,"중방";#N/A,#N/A,FALSE,"회소"}</definedName>
    <definedName name="d_1">#REF!</definedName>
    <definedName name="d_2">#REF!</definedName>
    <definedName name="d_3">#REF!</definedName>
    <definedName name="d_4">#REF!</definedName>
    <definedName name="D_7101A_B">#REF!</definedName>
    <definedName name="d.d">#REF!</definedName>
    <definedName name="d.d1">#REF!</definedName>
    <definedName name="d.d2">#REF!</definedName>
    <definedName name="d.Xáy_âaï_häüc">#N/A</definedName>
    <definedName name="d05x1">#REF!</definedName>
    <definedName name="d0x4">#REF!</definedName>
    <definedName name="d1_">#REF!</definedName>
    <definedName name="d1a">#REF!</definedName>
    <definedName name="D1B">#REF!</definedName>
    <definedName name="D1C">#REF!</definedName>
    <definedName name="D1D">#REF!</definedName>
    <definedName name="d1x2">#REF!</definedName>
    <definedName name="d1x6">#N/A</definedName>
    <definedName name="d2_">#REF!</definedName>
    <definedName name="d2a">#REF!</definedName>
    <definedName name="D2B">#REF!</definedName>
    <definedName name="D2C">#REF!</definedName>
    <definedName name="D2D">#REF!</definedName>
    <definedName name="d3_">#REF!</definedName>
    <definedName name="d4x6">#REF!</definedName>
    <definedName name="da">#REF!</definedName>
    <definedName name="DABB">#REF!</definedName>
    <definedName name="DABP">#REF!</definedName>
    <definedName name="DABSB">#REF!</definedName>
    <definedName name="DABSP">#REF!</definedName>
    <definedName name="DACB">#REF!</definedName>
    <definedName name="DACP">#REF!</definedName>
    <definedName name="daDAdsa" hidden="1">#REF!</definedName>
    <definedName name="dadafsdf" hidden="1">{#N/A,#N/A,FALSE,"단축1";#N/A,#N/A,FALSE,"단축2";#N/A,#N/A,FALSE,"단축3";#N/A,#N/A,FALSE,"장축";#N/A,#N/A,FALSE,"4WD"}</definedName>
    <definedName name="daDFSGDGHFHJ" hidden="1">#REF!</definedName>
    <definedName name="dam">#REF!</definedName>
    <definedName name="DANANG">#REF!</definedName>
    <definedName name="danducsan">#REF!</definedName>
    <definedName name="DANHSACHPHEPNAM">#REF!</definedName>
    <definedName name="DAO">#REF!</definedName>
    <definedName name="Dao_dap_da">#REF!</definedName>
    <definedName name="Dao_dat">#N/A</definedName>
    <definedName name="Dao_dat_bang_may">#REF!</definedName>
    <definedName name="Dao_dat_bang_thu_cong">#REF!</definedName>
    <definedName name="Dao_dat_td">#N/A</definedName>
    <definedName name="Dap_dat">#N/A</definedName>
    <definedName name="Dap_dat_bang_may">#REF!</definedName>
    <definedName name="Dap_dat_bang_thu_cong">#REF!</definedName>
    <definedName name="dasdsadsdsd" hidden="1">#REF!</definedName>
    <definedName name="Dat_dao_mong">#REF!</definedName>
    <definedName name="Dat_dao_muong_cap">#REF!</definedName>
    <definedName name="data">#REF!</definedName>
    <definedName name="DATA_DATA2_List">#REF!</definedName>
    <definedName name="Data_Input_Area">#REF!</definedName>
    <definedName name="data1" hidden="1">#REF!</definedName>
    <definedName name="Data11">#REF!</definedName>
    <definedName name="data2" hidden="1">#REF!</definedName>
    <definedName name="data3" hidden="1">#REF!</definedName>
    <definedName name="DATA4">#REF!</definedName>
    <definedName name="Data41">#REF!</definedName>
    <definedName name="_xlnm.Database">#REF!</definedName>
    <definedName name="DATABASE1">#REF!</definedName>
    <definedName name="datak">#REF!</definedName>
    <definedName name="datal">#REF!</definedName>
    <definedName name="DATATKDT">#REF!</definedName>
    <definedName name="DATAÙ">#REF!</definedName>
    <definedName name="DATB">#REF!</definedName>
    <definedName name="DATDAO">#REF!</definedName>
    <definedName name="date">#REF!</definedName>
    <definedName name="DATP">#REF!</definedName>
    <definedName name="DAWB">#REF!</definedName>
    <definedName name="DAWP">#REF!</definedName>
    <definedName name="dbt">#REF!</definedName>
    <definedName name="DC_TD">#N/A</definedName>
    <definedName name="dche">#REF!</definedName>
    <definedName name="dcsadsadsadf">#REF!</definedName>
    <definedName name="dd">#REF!</definedName>
    <definedName name="dd4x6">#REF!</definedName>
    <definedName name="dDadaD" hidden="1">#REF!</definedName>
    <definedName name="DDAY">#REF!</definedName>
    <definedName name="ddd">#REF!</definedName>
    <definedName name="DDDDD" hidden="1">{#N/A,#N/A,FALSE,"단축1";#N/A,#N/A,FALSE,"단축2";#N/A,#N/A,FALSE,"단축3";#N/A,#N/A,FALSE,"장축";#N/A,#N/A,FALSE,"4WD"}</definedName>
    <definedName name="dddddd" hidden="1">#REF!</definedName>
    <definedName name="DDDDDDDDDDD" hidden="1">{"'Sheet1'!$L$16"}</definedName>
    <definedName name="DDDDDDDDDDDDDDDDDDD">#REF!</definedName>
    <definedName name="ddddddddddddddddddddd">#REF!</definedName>
    <definedName name="dden">#REF!</definedName>
    <definedName name="ddia">#REF!</definedName>
    <definedName name="DEARSERYTRTUIYI" hidden="1">#REF!</definedName>
    <definedName name="Dec">#REF!</definedName>
    <definedName name="Demur_CST">#REF!</definedName>
    <definedName name="den_bu">#REF!</definedName>
    <definedName name="DERW">#REF!</definedName>
    <definedName name="DESC">#REF!</definedName>
    <definedName name="DESCRIPTION">#REF!</definedName>
    <definedName name="Det32x3">#REF!</definedName>
    <definedName name="Det35x3">#REF!</definedName>
    <definedName name="Det40x4">#REF!</definedName>
    <definedName name="Det50x5">#REF!</definedName>
    <definedName name="Det63x6">#REF!</definedName>
    <definedName name="Det75x6">#REF!</definedName>
    <definedName name="Detent_CST">#REF!</definedName>
    <definedName name="Devend_CST">#REF!</definedName>
    <definedName name="DEW">#REF!</definedName>
    <definedName name="df" hidden="1">{"'Sheet1'!$L$16"}</definedName>
    <definedName name="dfbfsdngngfdn" hidden="1">{"'Sheet1'!$L$16"}</definedName>
    <definedName name="dfbhh" hidden="1">#REF!</definedName>
    <definedName name="dfdf">{"th152.xls"}</definedName>
    <definedName name="dfdfgffg" hidden="1">{"'Sheet1'!$L$16"}</definedName>
    <definedName name="dfdfl" hidden="1">#REF!</definedName>
    <definedName name="DFDFSDFSDFDSFSDFDSFSDFSDF" hidden="1">{#N/A,#N/A,FALSE,"단축1";#N/A,#N/A,FALSE,"단축2";#N/A,#N/A,FALSE,"단축3";#N/A,#N/A,FALSE,"장축";#N/A,#N/A,FALSE,"4WD"}</definedName>
    <definedName name="dfdh" hidden="1">#REF!</definedName>
    <definedName name="DFF" hidden="1">{#N/A,#N/A,FALSE,"단축1";#N/A,#N/A,FALSE,"단축2";#N/A,#N/A,FALSE,"단축3";#N/A,#N/A,FALSE,"장축";#N/A,#N/A,FALSE,"4WD"}</definedName>
    <definedName name="dffag" hidden="1">#REF!</definedName>
    <definedName name="dfffffdm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DFJFFJ">#REF!</definedName>
    <definedName name="dflt6">#REF!</definedName>
    <definedName name="DFST0405">#REF!</definedName>
    <definedName name="dg">#REF!</definedName>
    <definedName name="dg_66">#REF!</definedName>
    <definedName name="DGBBHop">#REF!</definedName>
    <definedName name="DGCTI592">#REF!</definedName>
    <definedName name="dgeereefer4r23r23e23r23er23er23">#REF!</definedName>
    <definedName name="đggzfdfdb" hidden="1">#REF!</definedName>
    <definedName name="dgnc">#REF!</definedName>
    <definedName name="DGTV">#REF!</definedName>
    <definedName name="dgvl">#REF!</definedName>
    <definedName name="DGVT">#REF!</definedName>
    <definedName name="DGVtu">#REF!</definedName>
    <definedName name="dh">#REF!</definedName>
    <definedName name="DHDFHH" hidden="1">{#N/A,#N/A,FALSE,"단축1";#N/A,#N/A,FALSE,"단축2";#N/A,#N/A,FALSE,"단축3";#N/A,#N/A,FALSE,"장축";#N/A,#N/A,FALSE,"4WD"}</definedName>
    <definedName name="dhom">#REF!</definedName>
    <definedName name="DICH11">#REF!</definedName>
    <definedName name="dich22">#N/A</definedName>
    <definedName name="dien">#REF!</definedName>
    <definedName name="dientichck">#REF!</definedName>
    <definedName name="DIFF">#REF!</definedName>
    <definedName name="DinhMuc">#REF!</definedName>
    <definedName name="Discount" hidden="1">#REF!</definedName>
    <definedName name="display_area_2" hidden="1">#REF!</definedName>
    <definedName name="DJ" hidden="1">#REF!</definedName>
    <definedName name="DJDJJ">#N/A</definedName>
    <definedName name="DJDJJDJ">#REF!</definedName>
    <definedName name="dk">#REF!</definedName>
    <definedName name="dkdlfdkfdfldl">#REF!</definedName>
    <definedName name="dl">#REF!</definedName>
    <definedName name="DLCC">#REF!</definedName>
    <definedName name="DLDL" hidden="1">{#N/A,#N/A,FALSE,"단축1";#N/A,#N/A,FALSE,"단축2";#N/A,#N/A,FALSE,"단축3";#N/A,#N/A,FALSE,"장축";#N/A,#N/A,FALSE,"4WD"}</definedName>
    <definedName name="DM">#REF!</definedName>
    <definedName name="dm_sp">#REF!</definedName>
    <definedName name="dm_to">#REF!</definedName>
    <definedName name="dm1.">#REF!</definedName>
    <definedName name="dm2.">#REF!</definedName>
    <definedName name="dmat">#REF!</definedName>
    <definedName name="dmdv">#REF!</definedName>
    <definedName name="DMHH">#REF!</definedName>
    <definedName name="DMKHXL">#REF!</definedName>
    <definedName name="dmoi">#REF!</definedName>
    <definedName name="DMXP">#NAME?</definedName>
    <definedName name="DNDZ22">#REF!</definedName>
    <definedName name="DÑt45x4">#REF!</definedName>
    <definedName name="doamEucaluptus" hidden="1">{"'Sheet1'!$L$16"}</definedName>
    <definedName name="doamEucalyptus1" hidden="1">{#N/A,#N/A,TRUE,"BT M200 da 10x20"}</definedName>
    <definedName name="doan1">#REF!</definedName>
    <definedName name="doan2">#REF!</definedName>
    <definedName name="doan3">#REF!</definedName>
    <definedName name="doan4">#REF!</definedName>
    <definedName name="doan5">#REF!</definedName>
    <definedName name="doan6">#REF!</definedName>
    <definedName name="dobt">#REF!</definedName>
    <definedName name="Doc">#REF!</definedName>
    <definedName name="DOCHAU2" hidden="1">#REF!</definedName>
    <definedName name="Document_array">{"th152.xls"}</definedName>
    <definedName name="Document_array_1">NA()</definedName>
    <definedName name="Documents_array">#REF!</definedName>
    <definedName name="DÖÏ_THAÀU">#REF!</definedName>
    <definedName name="Doituong">#REF!</definedName>
    <definedName name="Doku">#REF!</definedName>
    <definedName name="DOLLAR">#N/A</definedName>
    <definedName name="DOM">#N/A</definedName>
    <definedName name="DOMUSAGER">#N/A</definedName>
    <definedName name="DOMUSA저장">#N/A</definedName>
    <definedName name="DOM전장">#N/A</definedName>
    <definedName name="Dong_coc_cu">#REF!</definedName>
    <definedName name="dongia">#REF!</definedName>
    <definedName name="DONVI">#N/A</definedName>
    <definedName name="DoorWindow">#REF!</definedName>
    <definedName name="DP">#REF!</definedName>
    <definedName name="DPSB">#REF!</definedName>
    <definedName name="DPSP">#REF!</definedName>
    <definedName name="DRAW">#REF!</definedName>
    <definedName name="Drawpoints">1</definedName>
    <definedName name="drn">#REF!</definedName>
    <definedName name="DS">#REF!</definedName>
    <definedName name="DS1p1vc">#REF!</definedName>
    <definedName name="ds1pnc">#REF!</definedName>
    <definedName name="ds1pvl">#REF!</definedName>
    <definedName name="ds3pctnc">#REF!</definedName>
    <definedName name="ds3pctvc">#REF!</definedName>
    <definedName name="ds3pctvl">#REF!</definedName>
    <definedName name="ds3pnc">#REF!</definedName>
    <definedName name="ds3pvl">#REF!</definedName>
    <definedName name="dsadsads" hidden="1">{"'Sheet1'!$L$16"}</definedName>
    <definedName name="dsadsadsa" hidden="1">#REF!</definedName>
    <definedName name="dsadsadsadsds" hidden="1">#REF!</definedName>
    <definedName name="dsadsdsdsadsadsads" hidden="1">#REF!</definedName>
    <definedName name="dsadsdsfdfg" hidden="1">#REF!</definedName>
    <definedName name="dsadsf" hidden="1">#REF!</definedName>
    <definedName name="dsafsdfg" hidden="1">#REF!</definedName>
    <definedName name="đsàg" hidden="1">#REF!</definedName>
    <definedName name="dsaSAsA" hidden="1">#REF!</definedName>
    <definedName name="dsbs">{"th152.xls"}</definedName>
    <definedName name="dsbs_1">NA()</definedName>
    <definedName name="dsct3pnc">#REF!</definedName>
    <definedName name="dsct3pvl">#REF!</definedName>
    <definedName name="DSD">_a1O,_a2O,_a3O</definedName>
    <definedName name="dsdsfdsgjhgkjhk" hidden="1">#REF!</definedName>
    <definedName name="dsdsfgh" hidden="1">#REF!</definedName>
    <definedName name="dseagrgg" hidden="1">#REF!</definedName>
    <definedName name="đsfà" hidden="1">{"'Sheet1'!$L$16"}</definedName>
    <definedName name="DSFSDGFHG" hidden="1">{"'Sheet1'!$L$16"}</definedName>
    <definedName name="DSNL">{"th152.xls"}</definedName>
    <definedName name="DSNL_1">NA()</definedName>
    <definedName name="DSPHEPNAM">#REF!</definedName>
    <definedName name="DSPK1p1nc">#REF!</definedName>
    <definedName name="DSPK1p1vl">#REF!</definedName>
    <definedName name="DSPK1pnc">#REF!</definedName>
    <definedName name="DSPK1pvl">#REF!</definedName>
    <definedName name="DSTD_Clear">#N/A</definedName>
    <definedName name="DSUMDATA">#REF!</definedName>
    <definedName name="dsvab" hidden="1">#REF!</definedName>
    <definedName name="dt">#REF!</definedName>
    <definedName name="DT_VKHNN">#REF!</definedName>
    <definedName name="DTBH">#REF!</definedName>
    <definedName name="dtc">#REF!</definedName>
    <definedName name="DTCTANG_BD">#REF!</definedName>
    <definedName name="DTCTANG_HT_BD">#REF!</definedName>
    <definedName name="DTCTANG_HT_KT">#REF!</definedName>
    <definedName name="DTCTANG_KT">#REF!</definedName>
    <definedName name="dtdt">#REF!</definedName>
    <definedName name="dtich1">#REF!</definedName>
    <definedName name="dtich2">#REF!</definedName>
    <definedName name="dtich3">#REF!</definedName>
    <definedName name="dtich4">#REF!</definedName>
    <definedName name="dtich5">#REF!</definedName>
    <definedName name="dtich6">#REF!</definedName>
    <definedName name="dtndchoco">#REF!,#REF!,#REF!,#REF!,#REF!,#REF!</definedName>
    <definedName name="DU" hidden="1">{"'Sheet1'!$L$16"}</definedName>
    <definedName name="DUCTRONG">#REF!</definedName>
    <definedName name="dulieu">#REF!</definedName>
    <definedName name="duoi">#REF!</definedName>
    <definedName name="DUTHAU">#REF!</definedName>
    <definedName name="DutoanDongmo">#REF!</definedName>
    <definedName name="Duty_Rate">#REF!</definedName>
    <definedName name="duy" hidden="1">{#N/A,#N/A,TRUE,"BT M200 da 10x20"}</definedName>
    <definedName name="duyn">{"Book1","sotheodoiT8.xls"}</definedName>
    <definedName name="DV">#REF!</definedName>
    <definedName name="DW" hidden="1">{#N/A,#N/A,FALSE,"사업"}</definedName>
    <definedName name="dxsafsdgdfghf" hidden="1">{#N/A,#N/A,FALSE,"단축1";#N/A,#N/A,FALSE,"단축2";#N/A,#N/A,FALSE,"단축3";#N/A,#N/A,FALSE,"장축";#N/A,#N/A,FALSE,"4WD"}</definedName>
    <definedName name="DZ">#REF!</definedName>
    <definedName name="DZCT_VLNC">#N/A</definedName>
    <definedName name="E0RTRKE24.57RTRKE290.175.69RTRK">#REF!</definedName>
    <definedName name="ea">#REF!</definedName>
    <definedName name="Earthwork">#REF!</definedName>
    <definedName name="ED3__회훈_71.4_신창_4.9">#REF!</definedName>
    <definedName name="EDABB">#REF!</definedName>
    <definedName name="EDABP">#REF!</definedName>
    <definedName name="EDABSB">#REF!</definedName>
    <definedName name="EDABSP">#REF!</definedName>
    <definedName name="EDACB">#REF!</definedName>
    <definedName name="EDACP">#REF!</definedName>
    <definedName name="EDATB">#REF!</definedName>
    <definedName name="EDATP">#REF!</definedName>
    <definedName name="EDAWB">#REF!</definedName>
    <definedName name="EDAWP">#REF!</definedName>
    <definedName name="EDDSJDHH">#REF!</definedName>
    <definedName name="EDPSB">#REF!</definedName>
    <definedName name="EDPSP">#REF!</definedName>
    <definedName name="EE">#REF!</definedName>
    <definedName name="eee">#REF!</definedName>
    <definedName name="EF">#REF!</definedName>
    <definedName name="EGABB">#REF!</definedName>
    <definedName name="EGABP">#REF!</definedName>
    <definedName name="EGABSB">#REF!</definedName>
    <definedName name="EGABSP">#REF!</definedName>
    <definedName name="EGACB">#REF!</definedName>
    <definedName name="EGACP">#REF!</definedName>
    <definedName name="EGATB">#REF!</definedName>
    <definedName name="EGATP">#REF!</definedName>
    <definedName name="EGAWP">#REF!</definedName>
    <definedName name="EGPSB">#REF!</definedName>
    <definedName name="EGPSP">#REF!</definedName>
    <definedName name="EIRR11">#REF!</definedName>
    <definedName name="EIRR22">#N/A</definedName>
    <definedName name="ELF" hidden="1">{"'Sheet1'!$L$16"}</definedName>
    <definedName name="ELFF" hidden="1">{"'Sheet1'!$L$16"}</definedName>
    <definedName name="ELFF2" hidden="1">{"'Sheet1'!$L$16"}</definedName>
    <definedName name="Email">#REF!</definedName>
    <definedName name="END">#REF!</definedName>
    <definedName name="End_1">#REF!</definedName>
    <definedName name="End_10">#REF!</definedName>
    <definedName name="End_11">#REF!</definedName>
    <definedName name="End_12">#REF!</definedName>
    <definedName name="End_13">#REF!</definedName>
    <definedName name="End_2">#REF!</definedName>
    <definedName name="End_3">#REF!</definedName>
    <definedName name="End_4">#REF!</definedName>
    <definedName name="End_5">#REF!</definedName>
    <definedName name="End_6">#REF!</definedName>
    <definedName name="End_7">#REF!</definedName>
    <definedName name="End_8">#REF!</definedName>
    <definedName name="End_9">#REF!</definedName>
    <definedName name="EOGH" hidden="1">{#N/A,#N/A,FALSE,"단축1";#N/A,#N/A,FALSE,"단축2";#N/A,#N/A,FALSE,"단축3";#N/A,#N/A,FALSE,"장축";#N/A,#N/A,FALSE,"4WD"}</definedName>
    <definedName name="EONO">#N/A</definedName>
    <definedName name="EO관리신">#REF!</definedName>
    <definedName name="EO배포일">#N/A</definedName>
    <definedName name="EQP">#REF!</definedName>
    <definedName name="erewtry" hidden="1">{"Offgrid",#N/A,FALSE,"OFFGRID";"Region",#N/A,FALSE,"REGION";"Offgrid -2",#N/A,FALSE,"OFFGRID";"WTP",#N/A,FALSE,"WTP";"WTP -2",#N/A,FALSE,"WTP";"Project",#N/A,FALSE,"PROJECT";"Summary -2",#N/A,FALSE,"SUMMARY"}</definedName>
    <definedName name="erwerwe" hidden="1">#REF!</definedName>
    <definedName name="EUABSB">#REF!</definedName>
    <definedName name="EUABSP">#REF!</definedName>
    <definedName name="EUACB">#REF!</definedName>
    <definedName name="EUACP">#REF!</definedName>
    <definedName name="EUATB">#REF!</definedName>
    <definedName name="EUATP">#REF!</definedName>
    <definedName name="EUAWB">#REF!</definedName>
    <definedName name="EUAWP">#REF!</definedName>
    <definedName name="EUPSB">#REF!</definedName>
    <definedName name="EUPSP">#REF!</definedName>
    <definedName name="eweqweqe1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ewqewewq" hidden="1">#REF!</definedName>
    <definedName name="ewrewrewrewrwe" hidden="1">#REF!</definedName>
    <definedName name="ExactAddinReports" hidden="1">1</definedName>
    <definedName name="Excell_HCM">#REF!</definedName>
    <definedName name="EXCH">#REF!</definedName>
    <definedName name="EXCH_DM">#REF!</definedName>
    <definedName name="EXP_PILOT">#REF!</definedName>
    <definedName name="EXPE">#N/A</definedName>
    <definedName name="exrate">#REF!</definedName>
    <definedName name="_xlnm.Extract">#REF!</definedName>
    <definedName name="f">#REF!</definedName>
    <definedName name="f...Be_tong_lât_nÒn__mâng">#N/A</definedName>
    <definedName name="FACTOR">#REF!</definedName>
    <definedName name="fagdjhj" hidden="1">#REF!</definedName>
    <definedName name="Fax">#REF!</definedName>
    <definedName name="FB">#REF!</definedName>
    <definedName name="fbbnb" hidden="1">#REF!</definedName>
    <definedName name="FC_00">0</definedName>
    <definedName name="FC_00_1">0</definedName>
    <definedName name="FC_01">70700</definedName>
    <definedName name="FC_01_1">70700</definedName>
    <definedName name="FC_02">74700</definedName>
    <definedName name="FC_02_1">74700</definedName>
    <definedName name="FC_03">76300</definedName>
    <definedName name="FC_03_1">76300</definedName>
    <definedName name="FC_04">77700</definedName>
    <definedName name="FC_04_1">77700</definedName>
    <definedName name="FC_05">78200</definedName>
    <definedName name="FC_05_1">78200</definedName>
    <definedName name="FC_06">78300</definedName>
    <definedName name="FC_06_1">78300</definedName>
    <definedName name="FC_07">3900+79200</definedName>
    <definedName name="FC_07_1">3900+79200</definedName>
    <definedName name="FC_99">0</definedName>
    <definedName name="FC_99_1">0</definedName>
    <definedName name="FCode" hidden="1">#REF!</definedName>
    <definedName name="fdbfbh" hidden="1">#REF!</definedName>
    <definedName name="fdegfdvbdg">{"Book1","BoQ2.XLS"}</definedName>
    <definedName name="fdfdff">#N/A</definedName>
    <definedName name="fdfdfkkfk" hidden="1">#REF!</definedName>
    <definedName name="fdfdkffk" hidden="1">#REF!</definedName>
    <definedName name="fdfdlfdkfl" hidden="1">#REF!</definedName>
    <definedName name="fdfjdfkdfk" hidden="1">#REF!</definedName>
    <definedName name="fdgdsfsdfsfsa" hidden="1">#REF!</definedName>
    <definedName name="fdsdfsdfdsfgdg" hidden="1">#REF!</definedName>
    <definedName name="FDSFDGFJHJHG" hidden="1">{"'Sheet1'!$L$16"}</definedName>
    <definedName name="fdsfdsfdfs" hidden="1">#REF!</definedName>
    <definedName name="fdsfdsfdsf">#REF!</definedName>
    <definedName name="fdsfdsfdsfdsf" hidden="1">#REF!</definedName>
    <definedName name="fdsfdsgfdhg">#REF!</definedName>
    <definedName name="fdsfsdgfdgfdg" hidden="1">#REF!</definedName>
    <definedName name="fdtgdyfu" hidden="1">#REF!</definedName>
    <definedName name="fdyfcgjifghk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FEEEEEEEEEEEEE" hidden="1">#REF!</definedName>
    <definedName name="FEWFERGFER">#N/A</definedName>
    <definedName name="FF">#REF!</definedName>
    <definedName name="fff" hidden="1">{#N/A,#N/A,FALSE,"사업"}</definedName>
    <definedName name="ffff">#REF!</definedName>
    <definedName name="fffff" hidden="1">#REF!</definedName>
    <definedName name="fffffffffff">#REF!</definedName>
    <definedName name="fffjkff">#REF!</definedName>
    <definedName name="fffkkf">#REF!</definedName>
    <definedName name="fffldfkdk">#REF!</definedName>
    <definedName name="FFÖØEEÂ¨">_a1Z,_a2Z,_a3Z</definedName>
    <definedName name="fg" hidden="1">{"'Sheet1'!$L$16"}</definedName>
    <definedName name="FG12TBTB2RTDKDKGMLRT">#N/A</definedName>
    <definedName name="FG24RTDKDK">#REF!</definedName>
    <definedName name="fgagh" hidden="1">#REF!</definedName>
    <definedName name="FGASDUEI">{"th152.xls"}</definedName>
    <definedName name="FGASDUEI_1">NA()</definedName>
    <definedName name="fgdgfhgfj">#REF!</definedName>
    <definedName name="FGF">2</definedName>
    <definedName name="fgfg" hidden="1">{#N/A,#N/A,FALSE,"기초1";#N/A,#N/A,FALSE,"기초2"}</definedName>
    <definedName name="fggfg">#N/A</definedName>
    <definedName name="FGHJ" hidden="1">{#N/A,#N/A,FALSE,"단축1";#N/A,#N/A,FALSE,"단축2";#N/A,#N/A,FALSE,"단축3";#N/A,#N/A,FALSE,"장축";#N/A,#N/A,FALSE,"4WD"}</definedName>
    <definedName name="fgn" hidden="1">{"'Sheet1'!$L$16"}</definedName>
    <definedName name="fgPRRKRKRKTBTB1RT">#REF!</definedName>
    <definedName name="FGR12C15TBTB1RTDKDK">#REF!</definedName>
    <definedName name="fgrgfgh" hidden="1">#REF!</definedName>
    <definedName name="fgTBTB3RTDKDK">#REF!</definedName>
    <definedName name="fgTBTB4RTDKDK">#REF!</definedName>
    <definedName name="FGtbtbspspsprtdkdk">#REF!</definedName>
    <definedName name="fhffdf">#REF!</definedName>
    <definedName name="Fi">#REF!</definedName>
    <definedName name="FinishWork">#REF!</definedName>
    <definedName name="FIT" localSheetId="2">BlankMacro1</definedName>
    <definedName name="FIT" localSheetId="1">BlankMacro1</definedName>
    <definedName name="FIT" localSheetId="3">BlankMacro1</definedName>
    <definedName name="FIT">BlankMacro1</definedName>
    <definedName name="FITT2" localSheetId="2">BlankMacro1</definedName>
    <definedName name="FITT2" localSheetId="1">BlankMacro1</definedName>
    <definedName name="FITT2" localSheetId="3">BlankMacro1</definedName>
    <definedName name="FITT2">BlankMacro1</definedName>
    <definedName name="FITTING2" localSheetId="2">BlankMacro1</definedName>
    <definedName name="FITTING2" localSheetId="1">BlankMacro1</definedName>
    <definedName name="FITTING2" localSheetId="3">BlankMacro1</definedName>
    <definedName name="FITTING2">BlankMacro1</definedName>
    <definedName name="FJFJ" hidden="1">{#N/A,#N/A,FALSE,"단축1";#N/A,#N/A,FALSE,"단축2";#N/A,#N/A,FALSE,"단축3";#N/A,#N/A,FALSE,"장축";#N/A,#N/A,FALSE,"4WD"}</definedName>
    <definedName name="fjkfđfdfll">#REF!</definedName>
    <definedName name="fkfdlfdfjdfk">#REF!</definedName>
    <definedName name="fkfff">#REF!</definedName>
    <definedName name="flfkdlfdf">#REF!</definedName>
    <definedName name="FLG" localSheetId="2">BlankMacro1</definedName>
    <definedName name="FLG" localSheetId="1">BlankMacro1</definedName>
    <definedName name="FLG" localSheetId="3">BlankMacro1</definedName>
    <definedName name="FLG">BlankMacro1</definedName>
    <definedName name="FO_00">56900</definedName>
    <definedName name="FO_01">60800</definedName>
    <definedName name="FO_01_1">60800</definedName>
    <definedName name="FO_02">68700</definedName>
    <definedName name="FO_02_1">68700</definedName>
    <definedName name="FO_03">70200</definedName>
    <definedName name="FO_03_1">70200</definedName>
    <definedName name="FO_04">69200</definedName>
    <definedName name="FO_04_1">69200</definedName>
    <definedName name="FO_05">36300</definedName>
    <definedName name="FO_05_1">36300</definedName>
    <definedName name="FO_06">0</definedName>
    <definedName name="FO_06_1">0</definedName>
    <definedName name="FO_07">0</definedName>
    <definedName name="FO_07_1">0</definedName>
    <definedName name="FO_99">23700</definedName>
    <definedName name="FO_99_1">23700</definedName>
    <definedName name="FOAM">#REF!</definedName>
    <definedName name="FORM_A1_44">#REF!</definedName>
    <definedName name="FORM_A13_14">#REF!</definedName>
    <definedName name="FORM_A22">#REF!</definedName>
    <definedName name="Format">#REF!</definedName>
    <definedName name="FREEWHEEL" hidden="1">#REF!</definedName>
    <definedName name="FREFER">#N/A</definedName>
    <definedName name="frmpoint">#REF!</definedName>
    <definedName name="frn3wayd집계표">#REF!</definedName>
    <definedName name="FRN일반">#REF!</definedName>
    <definedName name="FRN진개구입">#REF!</definedName>
    <definedName name="fs">#REF!</definedName>
    <definedName name="FSADFSADSADSA" hidden="1">{"'Sheet1'!$L$16"}</definedName>
    <definedName name="fsdfdgjk" hidden="1">#REF!</definedName>
    <definedName name="fsdfffsdf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fsdfsdfsd" hidden="1">#REF!</definedName>
    <definedName name="FSDH" hidden="1">#REF!</definedName>
    <definedName name="fsfgsgdhfg" hidden="1">{#N/A,#N/A,FALSE,"단축1";#N/A,#N/A,FALSE,"단축2";#N/A,#N/A,FALSE,"단축3";#N/A,#N/A,FALSE,"장축";#N/A,#N/A,FALSE,"4WD"}</definedName>
    <definedName name="fsfsdfsdfsd" hidden="1">#REF!</definedName>
    <definedName name="FSÑFS">_a1O,_a2O,_a3O</definedName>
    <definedName name="fu">#N/A</definedName>
    <definedName name="fv">#REF!</definedName>
    <definedName name="fvsdfgsdgdf" hidden="1">#REF!</definedName>
    <definedName name="FWEFWE" hidden="1">{#N/A,#N/A,FALSE,"단축1";#N/A,#N/A,FALSE,"단축2";#N/A,#N/A,FALSE,"단축3";#N/A,#N/A,FALSE,"장축";#N/A,#N/A,FALSE,"4WD"}</definedName>
    <definedName name="fwfwqgf" hidden="1">{"'Sheet1'!$L$16"}</definedName>
    <definedName name="FY">#N/A</definedName>
    <definedName name="fzgÐg">{"Thuxm2.xls","Sheet1"}</definedName>
    <definedName name="G_C">#N/A</definedName>
    <definedName name="G_ME">#REF!</definedName>
    <definedName name="g_탩Y">#REF!</definedName>
    <definedName name="g...Be_ton_dÀ">#N/A</definedName>
    <definedName name="Ga">#REF!</definedName>
    <definedName name="gachchongtron">#REF!</definedName>
    <definedName name="gachlanem">#REF!</definedName>
    <definedName name="gap">#REF!,#REF!,#REF!,#REF!,#REF!,#REF!,#REF!,#REF!,#REF!,#REF!,#REF!,#REF!,#REF!,#REF!,#REF!,#REF!,#REF!,#REF!,#REF!,#REF!,#REF!,#REF!,#REF!,#REF!,#REF!,#REF!,#REF!</definedName>
    <definedName name="gas">#REF!</definedName>
    <definedName name="Gb">#REF!</definedName>
    <definedName name="gchi">#REF!</definedName>
    <definedName name="gcm">#REF!</definedName>
    <definedName name="gd">#REF!</definedName>
    <definedName name="GDDCLTDZ22">#REF!</definedName>
    <definedName name="GDFGSDGDFGDFGDFG" hidden="1">{#N/A,#N/A,FALSE,"단축1";#N/A,#N/A,FALSE,"단축2";#N/A,#N/A,FALSE,"단축3";#N/A,#N/A,FALSE,"장축";#N/A,#N/A,FALSE,"4WD"}</definedName>
    <definedName name="gdgdfgfdhgfjgh" hidden="1">#REF!</definedName>
    <definedName name="gdgfdgdhhgfhhghf" hidden="1">#REF!</definedName>
    <definedName name="GDHKFGK">{"th152.xls"}</definedName>
    <definedName name="GDS" hidden="1">{"'Sheet1'!$L$16"}</definedName>
    <definedName name="gdsryhdfufu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geff">#REF!</definedName>
    <definedName name="GELALL">#N/A</definedName>
    <definedName name="GELALL전장2">#N/A</definedName>
    <definedName name="GER">#N/A</definedName>
    <definedName name="GER전장">#N/A</definedName>
    <definedName name="GEWH" hidden="1">{"'Sheet1'!$L$16"}</definedName>
    <definedName name="gfdg" hidden="1">{#N/A,#N/A,FALSE,"단축1";#N/A,#N/A,FALSE,"단축2";#N/A,#N/A,FALSE,"단축3";#N/A,#N/A,FALSE,"장축";#N/A,#N/A,FALSE,"4WD"}</definedName>
    <definedName name="GFDGDFGDF" hidden="1">{#N/A,#N/A,FALSE,"단축1";#N/A,#N/A,FALSE,"단축2";#N/A,#N/A,FALSE,"단축3";#N/A,#N/A,FALSE,"장축";#N/A,#N/A,FALSE,"4WD"}</definedName>
    <definedName name="gfdgfdgfdg" hidden="1">#REF!</definedName>
    <definedName name="GFDGFSDAG">#N/A</definedName>
    <definedName name="gfdgsdfgsdf" hidden="1">#REF!</definedName>
    <definedName name="GFDS" hidden="1">{#N/A,#N/A,FALSE,"단축1";#N/A,#N/A,FALSE,"단축2";#N/A,#N/A,FALSE,"단축3";#N/A,#N/A,FALSE,"장축";#N/A,#N/A,FALSE,"4WD"}</definedName>
    <definedName name="gfege" hidden="1">{"'Sheet1'!$L$16"}</definedName>
    <definedName name="gfggdfd" hidden="1">{"'Sheet1'!$L$16"}</definedName>
    <definedName name="gfsdghsh" hidden="1">#REF!</definedName>
    <definedName name="GFST04">#REF!</definedName>
    <definedName name="GG">#REF!</definedName>
    <definedName name="ggfdgggfgfgfdg" hidden="1">#REF!</definedName>
    <definedName name="ggfs" hidden="1">#REF!</definedName>
    <definedName name="GGG">#REF!</definedName>
    <definedName name="gggfdgh" hidden="1">#REF!</definedName>
    <definedName name="GGGG" hidden="1">#REF!</definedName>
    <definedName name="GGGGG" hidden="1">#REF!</definedName>
    <definedName name="gggggg">#REF!</definedName>
    <definedName name="GGGGGGGG">#REF!,#REF!,#REF!</definedName>
    <definedName name="gggggggggg">#REF!</definedName>
    <definedName name="GGH">14</definedName>
    <definedName name="GH">#REF!</definedName>
    <definedName name="ghgfhgfhtg" hidden="1">{#N/A,#N/A,FALSE,"기초2"}</definedName>
    <definedName name="ghip">#REF!</definedName>
    <definedName name="GHJGH">#REF!</definedName>
    <definedName name="Gia_CT">#REF!</definedName>
    <definedName name="Gia_tien">#REF!</definedName>
    <definedName name="gia_tien_BTN">#REF!</definedName>
    <definedName name="Gia_VLXD">#REF!</definedName>
    <definedName name="Gia_VT">#REF!</definedName>
    <definedName name="GIAVLIEUTN">#REF!</definedName>
    <definedName name="GiaVtu">#REF!</definedName>
    <definedName name="Giocong">#REF!</definedName>
    <definedName name="giotuoi">#REF!</definedName>
    <definedName name="gipa5">#N/A</definedName>
    <definedName name="gis">#REF!</definedName>
    <definedName name="gis150room">#REF!</definedName>
    <definedName name="GJ">#REF!</definedName>
    <definedName name="gjkjl" hidden="1">#REF!</definedName>
    <definedName name="gl3p">#REF!</definedName>
    <definedName name="Glazing">#REF!</definedName>
    <definedName name="gld">#REF!</definedName>
    <definedName name="GLS">#N/A</definedName>
    <definedName name="gnc">#REF!</definedName>
    <definedName name="GNPP">#REF!</definedName>
    <definedName name="GNPP_MB">#REF!</definedName>
    <definedName name="GNPP_NB">#REF!</definedName>
    <definedName name="Goc32x3">#REF!</definedName>
    <definedName name="Goc35x3">#REF!</definedName>
    <definedName name="Goc40x4">#REF!</definedName>
    <definedName name="Goc45x4">#REF!</definedName>
    <definedName name="Goc50x5">#REF!</definedName>
    <definedName name="Goc63x6">#REF!</definedName>
    <definedName name="Goc75x6">#REF!</definedName>
    <definedName name="GOVAP1">#REF!</definedName>
    <definedName name="GOVAP2">#REF!</definedName>
    <definedName name="GPE">IF(DATEDIF(Chinh_ngay,TODAY(),"y")=0,DATEDIF(Chinh_ngay,TODAY(),"m"),12+INT(DATEDIF(#REF!,TODAY(),"y")/5))</definedName>
    <definedName name="GRADE">#N/A</definedName>
    <definedName name="grand_total">#N/A</definedName>
    <definedName name="gs">#REF!</definedName>
    <definedName name="GSDGSDFGD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GSTC">#REF!</definedName>
    <definedName name="GT">#REF!</definedName>
    <definedName name="gtc">#REF!</definedName>
    <definedName name="GTDTCTANG_HT_NC_BD">#REF!</definedName>
    <definedName name="GTDTCTANG_HT_NC_KT">#REF!</definedName>
    <definedName name="GTDTCTANG_HT_VL_BD">#REF!</definedName>
    <definedName name="GTDTCTANG_HT_VL_KT">#REF!</definedName>
    <definedName name="GTDTCTANG_NC_BD">#REF!</definedName>
    <definedName name="GTDTCTANG_NC_KT">#REF!</definedName>
    <definedName name="GTDTCTANG_VL_BD">#REF!</definedName>
    <definedName name="GTDTCTANG_VL_KT">#REF!</definedName>
    <definedName name="GTRI">#REF!</definedName>
    <definedName name="GTXL">#REF!</definedName>
    <definedName name="GU" hidden="1">{"'Sheet1'!$L$16"}</definedName>
    <definedName name="gua">{"th152.xls"}</definedName>
    <definedName name="GƯD" hidden="1">{"'Sheet1'!$L$16"}</definedName>
    <definedName name="gvggvyu">{"th152.xls"}</definedName>
    <definedName name="gvk">#REF!</definedName>
    <definedName name="gvt">#REF!</definedName>
    <definedName name="gXM">1700</definedName>
    <definedName name="gyu" hidden="1">{#N/A,#N/A,FALSE,"Chi tiÆt"}</definedName>
    <definedName name="h" hidden="1">{"'Sheet1'!$L$16"}</definedName>
    <definedName name="H_ng_mòc_cáng_trÖnh">#REF!</definedName>
    <definedName name="H_THUCHTHH">#REF!</definedName>
    <definedName name="H_THUCTT">#REF!</definedName>
    <definedName name="H.">#REF!</definedName>
    <definedName name="h...Cçt_thÏp">#N/A</definedName>
    <definedName name="h...Gia_cäng_làõp_dæûng_vaì_thaïo_dåí_cäúp_pha">#N/A</definedName>
    <definedName name="H.4">#REF!</definedName>
    <definedName name="H.5">#REF!</definedName>
    <definedName name="H.6">#REF!</definedName>
    <definedName name="H.7">#REF!</definedName>
    <definedName name="h.8">#REF!</definedName>
    <definedName name="h.9">#REF!</definedName>
    <definedName name="H11A01K">#REF!</definedName>
    <definedName name="h7.5">#N/A</definedName>
    <definedName name="h8.5">#N/A</definedName>
    <definedName name="ha">#REF!</definedName>
    <definedName name="hall1">#REF!</definedName>
    <definedName name="hall2">#REF!</definedName>
    <definedName name="hang">#REF!</definedName>
    <definedName name="hanh" hidden="1">{"'Sheet1'!$L$16"}</definedName>
    <definedName name="hanh.excel" hidden="1">#REF!</definedName>
    <definedName name="hanoi">#REF!</definedName>
    <definedName name="HapCKVA">#REF!</definedName>
    <definedName name="HapCKvar">#REF!</definedName>
    <definedName name="HapCKW">#REF!</definedName>
    <definedName name="HapIKVA">#REF!</definedName>
    <definedName name="HapIKvar">#REF!</definedName>
    <definedName name="HapIKW">#REF!</definedName>
    <definedName name="HapKVA">#REF!</definedName>
    <definedName name="HapSKVA">#REF!</definedName>
    <definedName name="HapSKW">#REF!</definedName>
    <definedName name="HbHcOnOff">#REF!</definedName>
    <definedName name="HBTFF">#REF!</definedName>
    <definedName name="hc">#REF!</definedName>
    <definedName name="HChong">#REF!</definedName>
    <definedName name="HCM">#REF!</definedName>
    <definedName name="hd">#REF!</definedName>
    <definedName name="hdfdfkdkgk">#REF!</definedName>
    <definedName name="hdhdh">_a1O,_a2O,_a3O</definedName>
    <definedName name="Heä_soá_laép_xaø_H">1.7</definedName>
    <definedName name="heä_soá_sình_laày">#REF!</definedName>
    <definedName name="Height">30</definedName>
    <definedName name="Hello">#REF!</definedName>
    <definedName name="heso">#REF!</definedName>
    <definedName name="hfdgsdtygtytjhg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hfdhfghg" hidden="1">#REF!</definedName>
    <definedName name="HFFTRB">#REF!</definedName>
    <definedName name="HFFTSF">#REF!</definedName>
    <definedName name="hg">#REF!</definedName>
    <definedName name="hgfhgfhgfhgf" hidden="1">#REF!</definedName>
    <definedName name="HGFHHHHHHHHHJ">#N/A</definedName>
    <definedName name="HGHB">{"th152.xls"}</definedName>
    <definedName name="HGHB_1">NA()</definedName>
    <definedName name="HGHGHG">#N/A</definedName>
    <definedName name="hghjfghf" hidden="1">#REF!</definedName>
    <definedName name="hgjifjg" hidden="1">{"'Sheet1'!$L$16"}</definedName>
    <definedName name="HGLTB">#REF!</definedName>
    <definedName name="HH">#REF!</definedName>
    <definedName name="hhfdhh" hidden="1">{#N/A,#N/A,FALSE,"기초1"}</definedName>
    <definedName name="hhgfhghhghg" hidden="1">{#N/A,#N/A,FALSE,"단축1";#N/A,#N/A,FALSE,"단축2";#N/A,#N/A,FALSE,"단축3";#N/A,#N/A,FALSE,"장축";#N/A,#N/A,FALSE,"4WD"}</definedName>
    <definedName name="HHH">#REF!,#REF!,#REF!</definedName>
    <definedName name="hhhh" hidden="1">{"'Sheet1'!$L$16"}</definedName>
    <definedName name="hhhhh" hidden="1">{#N/A,#N/A,FALSE,"사업"}</definedName>
    <definedName name="hhhhhh" hidden="1">{#N/A,#N/A,FALSE,"단축1";#N/A,#N/A,FALSE,"단축2";#N/A,#N/A,FALSE,"단축3";#N/A,#N/A,FALSE,"장축";#N/A,#N/A,FALSE,"4WD"}</definedName>
    <definedName name="hhhhhhh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HHHHHHHHHH" hidden="1">{#N/A,#N/A,FALSE,"단축1";#N/A,#N/A,FALSE,"단축2";#N/A,#N/A,FALSE,"단축3";#N/A,#N/A,FALSE,"장축";#N/A,#N/A,FALSE,"4WD"}</definedName>
    <definedName name="hhsc">#REF!</definedName>
    <definedName name="hhtd">#REF!</definedName>
    <definedName name="HHTT">#REF!</definedName>
    <definedName name="HI" hidden="1">{"'Sheet1'!$L$16"}</definedName>
    <definedName name="HiddenRows" hidden="1">#REF!</definedName>
    <definedName name="hien">#REF!</definedName>
    <definedName name="Hinh_thuc">#REF!</definedName>
    <definedName name="hjhj">{"th152.xls"}</definedName>
    <definedName name="HJHKJK" hidden="1">#REF!</definedName>
    <definedName name="hjjkl" hidden="1">{"'Sheet1'!$L$16"}</definedName>
    <definedName name="HM">#REF!</definedName>
    <definedName name="HMC_COST">#REF!</definedName>
    <definedName name="hoc">55000</definedName>
    <definedName name="HOCMON">#REF!</definedName>
    <definedName name="HOCONGTHOAI">#REF!</definedName>
    <definedName name="HOME_MANP">#REF!</definedName>
    <definedName name="HOMEOFFICE_COST">#REF!</definedName>
    <definedName name="hong">_a1O,_a2O,_a3O</definedName>
    <definedName name="hòng">#N/A</definedName>
    <definedName name="hose">#REF!</definedName>
    <definedName name="hoten">#REF!</definedName>
    <definedName name="Hoü_vaì_tãn">#REF!</definedName>
    <definedName name="HPR">#REF!</definedName>
    <definedName name="Hsc">#REF!</definedName>
    <definedName name="HSCPCC">#REF!</definedName>
    <definedName name="HSCPCD">#REF!</definedName>
    <definedName name="hscq">#REF!</definedName>
    <definedName name="HSCT3">0.1</definedName>
    <definedName name="hscvcv">#REF!</definedName>
    <definedName name="HSDBGT">#REF!</definedName>
    <definedName name="hsdc">#REF!</definedName>
    <definedName name="hsdc1">#REF!</definedName>
    <definedName name="HSDN">2.5</definedName>
    <definedName name="HSFTRB">#REF!</definedName>
    <definedName name="HSGG">#REF!</definedName>
    <definedName name="hsh">#REF!</definedName>
    <definedName name="HSHH">#REF!</definedName>
    <definedName name="HSHHUT">#REF!</definedName>
    <definedName name="hsk">#REF!</definedName>
    <definedName name="HSKK35">#REF!</definedName>
    <definedName name="HSKT1">#REF!</definedName>
    <definedName name="HSKT2">#REF!</definedName>
    <definedName name="HSLT">#REF!</definedName>
    <definedName name="HSLX">#REF!</definedName>
    <definedName name="HSLXH">1.7</definedName>
    <definedName name="HSLXP">#REF!</definedName>
    <definedName name="HSSL">#REF!</definedName>
    <definedName name="hßm4">#REF!</definedName>
    <definedName name="hstn">#REF!</definedName>
    <definedName name="HSTNDN">#REF!</definedName>
    <definedName name="HSVAT">#REF!</definedName>
    <definedName name="HSVC">#REF!</definedName>
    <definedName name="HSVC1">#REF!</definedName>
    <definedName name="HSVC2">#REF!</definedName>
    <definedName name="HSVC3">#REF!</definedName>
    <definedName name="HsVCVLTH">#N/A</definedName>
    <definedName name="HSXM">#REF!</definedName>
    <definedName name="Ht">#REF!</definedName>
    <definedName name="HTHH">#REF!</definedName>
    <definedName name="HTML_CodePage" hidden="1">950</definedName>
    <definedName name="HTML_Control" hidden="1">{"'Sheet1'!$L$16"}</definedName>
    <definedName name="HTML_Control_1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Title" hidden="1">"00Q3961-SUM"</definedName>
    <definedName name="HTNC">#REF!</definedName>
    <definedName name="HTVL">#REF!</definedName>
    <definedName name="HUB">#REF!</definedName>
    <definedName name="huhasuyas" hidden="1">{#N/A,#N/A,FALSE,"단축1";#N/A,#N/A,FALSE,"단축2";#N/A,#N/A,FALSE,"단축3";#N/A,#N/A,FALSE,"장축";#N/A,#N/A,FALSE,"4WD"}</definedName>
    <definedName name="hung">{"th152.xls"}</definedName>
    <definedName name="hut">_a1O,_a2O,_a3O</definedName>
    <definedName name="huy" hidden="1">{"'Sheet1'!$L$16"}</definedName>
    <definedName name="huy_1" hidden="1">{"'Sheet1'!$L$16"}</definedName>
    <definedName name="huydd" hidden="1">{"'Sheet1'!$L$16"}</definedName>
    <definedName name="HUYHAN">#REF!</definedName>
    <definedName name="hvac">#REF!</definedName>
    <definedName name="hvacctr">#REF!</definedName>
    <definedName name="hvacgis">#REF!</definedName>
    <definedName name="hvacgis4">#REF!</definedName>
    <definedName name="HWARE">#REF!</definedName>
    <definedName name="I">#REF!</definedName>
    <definedName name="I_A">#REF!</definedName>
    <definedName name="I_B">#REF!</definedName>
    <definedName name="I_c">#REF!</definedName>
    <definedName name="i...KÕt_cÊu_gæ__cõa__thÏp">#N/A</definedName>
    <definedName name="ic" hidden="1">{#N/A,#N/A,FALSE,"단축1";#N/A,#N/A,FALSE,"단축2";#N/A,#N/A,FALSE,"단축3";#N/A,#N/A,FALSE,"장축";#N/A,#N/A,FALSE,"4WD"}</definedName>
    <definedName name="IDLAB_COST">#REF!</definedName>
    <definedName name="II">#REF!</definedName>
    <definedName name="II_A">#REF!</definedName>
    <definedName name="II_B">#REF!</definedName>
    <definedName name="II_c">#REF!</definedName>
    <definedName name="III">#N/A</definedName>
    <definedName name="III_a">#REF!</definedName>
    <definedName name="III_B">#REF!</definedName>
    <definedName name="III_c">#REF!</definedName>
    <definedName name="IIII" hidden="1">{#N/A,#N/A,FALSE,"단축1";#N/A,#N/A,FALSE,"단축2";#N/A,#N/A,FALSE,"단축3";#N/A,#N/A,FALSE,"장축";#N/A,#N/A,FALSE,"4WD"}</definedName>
    <definedName name="IND_LAB">#REF!</definedName>
    <definedName name="INDEX">#REF!</definedName>
    <definedName name="INDMANP">#REF!</definedName>
    <definedName name="INFL_Rate">#REF!</definedName>
    <definedName name="INLND_TRNSP">#REF!</definedName>
    <definedName name="INNER">#REF!</definedName>
    <definedName name="INS_RATE">#REF!</definedName>
    <definedName name="INS2_Rate">#REF!</definedName>
    <definedName name="INT_Rate">#REF!</definedName>
    <definedName name="IOS" hidden="1">#REF!</definedName>
    <definedName name="Ip">#REF!</definedName>
    <definedName name="IR">#REF!</definedName>
    <definedName name="IST">#REF!</definedName>
    <definedName name="ITEM">#REF!</definedName>
    <definedName name="IYYY" hidden="1">#REF!</definedName>
    <definedName name="j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j356C8">#REF!</definedName>
    <definedName name="jdfjffdfsdfsl">#REF!</definedName>
    <definedName name="JDHDHFH">#REF!</definedName>
    <definedName name="jgjhgjhgj" hidden="1">{#N/A,#N/A,FALSE,"단축1";#N/A,#N/A,FALSE,"단축2";#N/A,#N/A,FALSE,"단축3";#N/A,#N/A,FALSE,"장축";#N/A,#N/A,FALSE,"4WD"}</definedName>
    <definedName name="jhvujgh" hidden="1">#REF!</definedName>
    <definedName name="JJ">#REF!</definedName>
    <definedName name="JJJ">#N/A</definedName>
    <definedName name="JJJJ" hidden="1">#REF!</definedName>
    <definedName name="JJJJJJJJJJJ">#REF!</definedName>
    <definedName name="jjjjjjjjjjjjjjjjjjjj">#REF!</definedName>
    <definedName name="jjjjjjjjjjjjjjjjjjjjjj">#REF!</definedName>
    <definedName name="JJJJJJJJJJJJJJJJJJJJJJJJJJJJ">#REF!</definedName>
    <definedName name="jjjjjjjjjjjjjjjjjjjjjjjjjjjjjjjj">#REF!</definedName>
    <definedName name="JKFJFJ">#REF!</definedName>
    <definedName name="K">#REF!</definedName>
    <definedName name="k...MÀi">#N/A</definedName>
    <definedName name="k2b">#REF!</definedName>
    <definedName name="ka">#REF!</definedName>
    <definedName name="KAE">#REF!</definedName>
    <definedName name="KANG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KAS">#REF!</definedName>
    <definedName name="kb">#REF!</definedName>
    <definedName name="kbva">#REF!</definedName>
    <definedName name="kbvb">#REF!</definedName>
    <definedName name="kbvc">#REF!</definedName>
    <definedName name="KBVD">#REF!</definedName>
    <definedName name="kc">#REF!</definedName>
    <definedName name="kcong">#REF!</definedName>
    <definedName name="KD">#REF!</definedName>
    <definedName name="kdien">#REF!</definedName>
    <definedName name="KDQTT0405">#REF!</definedName>
    <definedName name="KE_HOACH_VON_PHU_THU">#REF!</definedName>
    <definedName name="keo">#REF!</definedName>
    <definedName name="KEY" hidden="1">#REF!</definedName>
    <definedName name="KeyFigure">#REF!</definedName>
    <definedName name="Kg">#REF!</definedName>
    <definedName name="KgBM">#REF!</definedName>
    <definedName name="Kgcot">#REF!</definedName>
    <definedName name="KgCTd4">#REF!</definedName>
    <definedName name="KgCTt4">#REF!</definedName>
    <definedName name="Kgdamd4">#REF!</definedName>
    <definedName name="Kgdamt4">#REF!</definedName>
    <definedName name="Kgmong">#REF!</definedName>
    <definedName name="KgNXOLdk">#REF!</definedName>
    <definedName name="Kgsan">#REF!</definedName>
    <definedName name="kh">#REF!</definedName>
    <definedName name="KH_Chang">#REF!</definedName>
    <definedName name="khac">2</definedName>
    <definedName name="Khâi">#REF!</definedName>
    <definedName name="KHJN">{"th152.xls"}</definedName>
    <definedName name="KHJN_1">NA()</definedName>
    <definedName name="khobac">#REF!</definedName>
    <definedName name="KHSXSnack">#REF!</definedName>
    <definedName name="Khuvuc">#REF!</definedName>
    <definedName name="KhuyenmaiUPS">"AutoShape 264"</definedName>
    <definedName name="KIA" hidden="1">{#N/A,#N/A,FALSE,"단축1";#N/A,#N/A,FALSE,"단축2";#N/A,#N/A,FALSE,"단축3";#N/A,#N/A,FALSE,"장축";#N/A,#N/A,FALSE,"4WD"}</definedName>
    <definedName name="Kiem_tra_trung_ten">#REF!</definedName>
    <definedName name="kiemtoant0405">#REF!</definedName>
    <definedName name="kiemtra">#REF!</definedName>
    <definedName name="KIM" hidden="1">{#N/A,#N/A,FALSE,"기초1";#N/A,#N/A,FALSE,"기초2"}</definedName>
    <definedName name="kj">#REF!</definedName>
    <definedName name="KK">#REF!</definedName>
    <definedName name="kl" hidden="1">{#N/A,#N/A,FALSE,"기초1"}</definedName>
    <definedName name="KL_C">#N/A</definedName>
    <definedName name="kl_ME">#REF!</definedName>
    <definedName name="KL1P">#REF!</definedName>
    <definedName name="KLC">#REF!</definedName>
    <definedName name="KLD">#REF!</definedName>
    <definedName name="kldd1p">#REF!</definedName>
    <definedName name="KLDL">#REF!</definedName>
    <definedName name="KLHH">#REF!</definedName>
    <definedName name="KLTHDN">#REF!</definedName>
    <definedName name="KLVANKHUON">#REF!</definedName>
    <definedName name="KM">#REF!</definedName>
    <definedName name="kma">#REF!</definedName>
    <definedName name="kmb">#REF!</definedName>
    <definedName name="kmc">#REF!</definedName>
    <definedName name="kmd">#REF!</definedName>
    <definedName name="KP">#REF!</definedName>
    <definedName name="KP_DBGT_Dang" hidden="1">{"'Sheet1'!$L$16"}</definedName>
    <definedName name="kp1ph">#REF!</definedName>
    <definedName name="KSTK">#REF!</definedName>
    <definedName name="kt">#REF!</definedName>
    <definedName name="ktcpt0405">#REF!</definedName>
    <definedName name="KVC">#REF!</definedName>
    <definedName name="KY">#REF!</definedName>
    <definedName name="kytt0405">#REF!</definedName>
    <definedName name="L">#REF!</definedName>
    <definedName name="l_1">#REF!</definedName>
    <definedName name="L_mong">#REF!</definedName>
    <definedName name="l...TrÀt">#N/A</definedName>
    <definedName name="laisuat">#REF!</definedName>
    <definedName name="lan" hidden="1">{#N/A,#N/A,TRUE,"BT M200 da 10x20"}</definedName>
    <definedName name="lanhto">#REF!</definedName>
    <definedName name="Lap_dat">#N/A</definedName>
    <definedName name="Lap_dat_td">#N/A</definedName>
    <definedName name="Lap_xa_neo">#N/A</definedName>
    <definedName name="Lapmay">#REF!</definedName>
    <definedName name="LBR">#REF!</definedName>
    <definedName name="LC">#REF!</definedName>
    <definedName name="LC_00">281000</definedName>
    <definedName name="LC_00_1">281000</definedName>
    <definedName name="LC_01">258000</definedName>
    <definedName name="LC_01_1">258000</definedName>
    <definedName name="LC_02">256600</definedName>
    <definedName name="LC_02_1">256600</definedName>
    <definedName name="LC_03">256600</definedName>
    <definedName name="LC_03_1">256600</definedName>
    <definedName name="LC_04">118200</definedName>
    <definedName name="LC_04_1">118200</definedName>
    <definedName name="LC_05">0</definedName>
    <definedName name="LC_05_1">0</definedName>
    <definedName name="LC_06">0</definedName>
    <definedName name="LC_06_1">0</definedName>
    <definedName name="LC_07">0</definedName>
    <definedName name="LC_07_1">0</definedName>
    <definedName name="LC_99">160400</definedName>
    <definedName name="LC_99_1">160400</definedName>
    <definedName name="LC3차서">#N/A</definedName>
    <definedName name="LCA">#REF!</definedName>
    <definedName name="lcb">#REF!</definedName>
    <definedName name="leak">#REF!</definedName>
    <definedName name="leak10">#REF!</definedName>
    <definedName name="lee">#N/A</definedName>
    <definedName name="LENS">#REF!</definedName>
    <definedName name="LG">#REF!</definedName>
    <definedName name="LGNDCHOCO1">#REF!,#REF!,#REF!,#REF!,#REF!,#REF!</definedName>
    <definedName name="lim">#REF!</definedName>
    <definedName name="LINE">#REF!</definedName>
    <definedName name="line15">#REF!</definedName>
    <definedName name="list">#REF!</definedName>
    <definedName name="LK_hathe">#REF!</definedName>
    <definedName name="LL">#REF!</definedName>
    <definedName name="llll">#REF!</definedName>
    <definedName name="LM">#REF!</definedName>
    <definedName name="Lmk">#REF!</definedName>
    <definedName name="LN">#REF!</definedName>
    <definedName name="Lnsc">#REF!</definedName>
    <definedName name="Lo">#REF!</definedName>
    <definedName name="LO283K">#REF!</definedName>
    <definedName name="LO815K">#REF!</definedName>
    <definedName name="LoÁi_BQL">#REF!</definedName>
    <definedName name="LoÁi_CT">#REF!</definedName>
    <definedName name="Loai_TD">#REF!</definedName>
    <definedName name="Loai_thung">#REF!</definedName>
    <definedName name="Loại_thùng">#REF!</definedName>
    <definedName name="Loai_xe">#REF!</definedName>
    <definedName name="LOAN" hidden="1">{#N/A,#N/A,FALSE,"단축1";#N/A,#N/A,FALSE,"단축2";#N/A,#N/A,FALSE,"단축3";#N/A,#N/A,FALSE,"장축";#N/A,#N/A,FALSE,"4WD"}</definedName>
    <definedName name="LOC">#REF!</definedName>
    <definedName name="Local_AVG_Price">#REF!</definedName>
    <definedName name="lón2">#REF!</definedName>
    <definedName name="lón3">#REF!</definedName>
    <definedName name="lón5">#REF!</definedName>
    <definedName name="LONGBIEN">#REF!</definedName>
    <definedName name="Lookup">#REF!</definedName>
    <definedName name="LOT">#N/A</definedName>
    <definedName name="LOT선택">#N/A</definedName>
    <definedName name="LOT수">#REF!</definedName>
    <definedName name="lps" hidden="1">{#N/A,#N/A,FALSE,"단축1";#N/A,#N/A,FALSE,"단축2";#N/A,#N/A,FALSE,"단축3";#N/A,#N/A,FALSE,"장축";#N/A,#N/A,FALSE,"4WD"}</definedName>
    <definedName name="LPTDDT">#REF!</definedName>
    <definedName name="LPTDTK">#REF!</definedName>
    <definedName name="lqv">#REF!</definedName>
    <definedName name="ltdbgt">#REF!</definedName>
    <definedName name="ltre">#REF!</definedName>
    <definedName name="luan" hidden="1">{"'Sheet1'!$L$16"}</definedName>
    <definedName name="luong">#REF!</definedName>
    <definedName name="lVC">#REF!</definedName>
    <definedName name="LWBBNO">#REF!</definedName>
    <definedName name="LWBSEQ">#REF!</definedName>
    <definedName name="LX_DATA">#REF!</definedName>
    <definedName name="LZ_00">15000</definedName>
    <definedName name="LZ_00_1">15000</definedName>
    <definedName name="LZ_01">24000</definedName>
    <definedName name="LZ_01_1">24000</definedName>
    <definedName name="LZ_02">37000</definedName>
    <definedName name="LZ_02_1">37000</definedName>
    <definedName name="LZ_03">39500</definedName>
    <definedName name="LZ_03_1">39500</definedName>
    <definedName name="LZ_04">34500</definedName>
    <definedName name="LZ_04_1">34500</definedName>
    <definedName name="LZ_05">0</definedName>
    <definedName name="LZ_05_1">0</definedName>
    <definedName name="LZ_06">0</definedName>
    <definedName name="LZ_06_1">0</definedName>
    <definedName name="LZ_07">0</definedName>
    <definedName name="LZ_07_1">0</definedName>
    <definedName name="LZ_99">8000</definedName>
    <definedName name="LZ_99_1">8000</definedName>
    <definedName name="M">#REF!</definedName>
    <definedName name="m_1">#REF!</definedName>
    <definedName name="m_2">#REF!</definedName>
    <definedName name="m_3">#REF!</definedName>
    <definedName name="m_4">#REF!</definedName>
    <definedName name="M_MODEL">#REF!</definedName>
    <definedName name="M12aavl">#REF!</definedName>
    <definedName name="M12ba3p">#REF!</definedName>
    <definedName name="M12bb1p">#REF!</definedName>
    <definedName name="M12bnnc">#REF!</definedName>
    <definedName name="M12bnvl">#REF!</definedName>
    <definedName name="M12cbnc">#REF!</definedName>
    <definedName name="M12cbvl">#REF!</definedName>
    <definedName name="M14bb1p">#REF!</definedName>
    <definedName name="M8a">#REF!</definedName>
    <definedName name="M8aa">#REF!</definedName>
    <definedName name="m8aanc">#REF!</definedName>
    <definedName name="m8aavl">#REF!</definedName>
    <definedName name="Ma_thung">#REF!</definedName>
    <definedName name="Ma3pnc">#REF!</definedName>
    <definedName name="Ma3pvl">#REF!</definedName>
    <definedName name="Maa3pnc">#REF!</definedName>
    <definedName name="Maa3pvl">#REF!</definedName>
    <definedName name="MACAPTGDK">#N/A</definedName>
    <definedName name="Macro16">#N/A</definedName>
    <definedName name="Macro2">#REF!</definedName>
    <definedName name="Macro6">#N/A</definedName>
    <definedName name="MACTANG_BD">#REF!</definedName>
    <definedName name="MACTANG_HT_BD">#REF!</definedName>
    <definedName name="MACTANG_HT_KT">#REF!</definedName>
    <definedName name="MACTANG_KT">#REF!</definedName>
    <definedName name="MADG">#REF!</definedName>
    <definedName name="MADL">#REF!</definedName>
    <definedName name="MADMDT">#REF!</definedName>
    <definedName name="MAG">#REF!</definedName>
    <definedName name="MAHANG">#REF!</definedName>
    <definedName name="mahang_tondk">#REF!</definedName>
    <definedName name="mahieu">#REF!</definedName>
    <definedName name="MAHMCTXL">#REF!</definedName>
    <definedName name="MAJ_CON_EQP">#REF!</definedName>
    <definedName name="MAKH">#REF!</definedName>
    <definedName name="MAKH1">#REF!</definedName>
    <definedName name="MAKHXL">#REF!</definedName>
    <definedName name="MAMS">#REF!</definedName>
    <definedName name="MAMS1">#REF!</definedName>
    <definedName name="man">#REF!</definedName>
    <definedName name="MANHAPLOAI2">#REF!</definedName>
    <definedName name="MANPP">#REF!</definedName>
    <definedName name="manrate">#REF!</definedName>
    <definedName name="MANXXMDEN">#REF!</definedName>
    <definedName name="MANXXMTRANG">#REF!</definedName>
    <definedName name="MAÕCOÙ">#REF!</definedName>
    <definedName name="MAÕNÔÏ">#REF!</definedName>
    <definedName name="MaPhuong">#REF!</definedName>
    <definedName name="MaQuan">#REF!</definedName>
    <definedName name="MaQuanHe">#REF!</definedName>
    <definedName name="MaQuocGia">#REF!</definedName>
    <definedName name="MART0405">#REF!</definedName>
    <definedName name="Masonry">#REF!</definedName>
    <definedName name="MASP">#REF!</definedName>
    <definedName name="MASP1">#REF!</definedName>
    <definedName name="material2">#REF!</definedName>
    <definedName name="MATK_M">#REF!</definedName>
    <definedName name="MATP_GT">#REF!</definedName>
    <definedName name="matprice">#REF!</definedName>
    <definedName name="matprice2">#REF!</definedName>
    <definedName name="MATT">#REF!</definedName>
    <definedName name="MAVANKHUON">#REF!</definedName>
    <definedName name="MAVLTHDN">#REF!</definedName>
    <definedName name="MaVua">#REF!</definedName>
    <definedName name="may">#REF!</definedName>
    <definedName name="Mba1p">#REF!</definedName>
    <definedName name="Mba3p">#REF!</definedName>
    <definedName name="Mbb3p">#REF!</definedName>
    <definedName name="mbm">#REF!</definedName>
    <definedName name="Mbn1p">#REF!</definedName>
    <definedName name="mc">#REF!</definedName>
    <definedName name="MC.CRDPTN">#REF!</definedName>
    <definedName name="mda">#REF!</definedName>
    <definedName name="mdb">#REF!</definedName>
    <definedName name="mdc">#REF!</definedName>
    <definedName name="mdd">#REF!</definedName>
    <definedName name="me">#REF!</definedName>
    <definedName name="METAL">#REF!</definedName>
    <definedName name="MetalWork">#REF!</definedName>
    <definedName name="mg">#REF!</definedName>
    <definedName name="MG_A">#REF!</definedName>
    <definedName name="mg1.">#REF!</definedName>
    <definedName name="mg2.">#REF!</definedName>
    <definedName name="mh">#REF!</definedName>
    <definedName name="MID">#REF!</definedName>
    <definedName name="MIENBAC">#REF!</definedName>
    <definedName name="MINH">#REF!</definedName>
    <definedName name="minh_1">#REF!</definedName>
    <definedName name="minh_mtk">#REF!</definedName>
    <definedName name="MIPX3">#N/A</definedName>
    <definedName name="MM">#REF!</definedName>
    <definedName name="mmn">#REF!</definedName>
    <definedName name="MN12DZ22">#REF!</definedName>
    <definedName name="MN15DZ22">#REF!</definedName>
    <definedName name="MN18DZ22">#REF!</definedName>
    <definedName name="mnb">#REF!</definedName>
    <definedName name="MNPP">#REF!</definedName>
    <definedName name="mns">#REF!</definedName>
    <definedName name="mo" hidden="1">{"'Sheet1'!$L$16"}</definedName>
    <definedName name="MOLD">#REF!</definedName>
    <definedName name="MON">#N/A</definedName>
    <definedName name="mong">#REF!</definedName>
    <definedName name="Mong_mat_duong_bo">#REF!</definedName>
    <definedName name="Mong_tru_thep">#REF!</definedName>
    <definedName name="Mong_tru_thep_cu">#N/A</definedName>
    <definedName name="mongbang">#REF!</definedName>
    <definedName name="mongdon">#REF!</definedName>
    <definedName name="MONGMSDZ04">#REF!</definedName>
    <definedName name="MONTH">#N/A</definedName>
    <definedName name="Morong">#REF!</definedName>
    <definedName name="Morong4054_85">#REF!</definedName>
    <definedName name="Moùng">#REF!</definedName>
    <definedName name="Mq">#N/A</definedName>
    <definedName name="MS5DZ22">#REF!</definedName>
    <definedName name="MS6DZ22">#REF!</definedName>
    <definedName name="MS7DZ22">#REF!</definedName>
    <definedName name="MSCT">#REF!</definedName>
    <definedName name="MSP">#REF!</definedName>
    <definedName name="MST">#REF!</definedName>
    <definedName name="msvt_bg">#REF!</definedName>
    <definedName name="MSVT_TAM">#REF!</definedName>
    <definedName name="MT2DZ22">#REF!</definedName>
    <definedName name="MT3DZ22">#REF!</definedName>
    <definedName name="MTC">#REF!</definedName>
    <definedName name="MTCMB">#REF!</definedName>
    <definedName name="mtk">#REF!</definedName>
    <definedName name="MTMAC12">#REF!</definedName>
    <definedName name="mtram">#REF!</definedName>
    <definedName name="MTXL">#REF!</definedName>
    <definedName name="MT대수">#REF!</definedName>
    <definedName name="MUA">#REF!</definedName>
    <definedName name="mv">#REF!</definedName>
    <definedName name="MVC">#REF!</definedName>
    <definedName name="MYHUYEN" hidden="1">{"'Sheet1'!$L$16"}</definedName>
    <definedName name="myle">#REF!</definedName>
    <definedName name="MZ">#REF!</definedName>
    <definedName name="M행">#REF!</definedName>
    <definedName name="N">"?N*"</definedName>
    <definedName name="n.d1">#REF!</definedName>
    <definedName name="n.d2">#REF!</definedName>
    <definedName name="N.THAÙNG">#REF!</definedName>
    <definedName name="n1pig">#REF!</definedName>
    <definedName name="N1pIGnc">#REF!</definedName>
    <definedName name="N1pIGvc">#REF!</definedName>
    <definedName name="N1pIGvl">#REF!</definedName>
    <definedName name="n1pind">#REF!</definedName>
    <definedName name="N1pINDnc">#REF!</definedName>
    <definedName name="N1pINDvc">#REF!</definedName>
    <definedName name="N1pINDvl">#REF!</definedName>
    <definedName name="n1ping">#REF!</definedName>
    <definedName name="N1pINGvc">#REF!</definedName>
    <definedName name="n1pint">#REF!</definedName>
    <definedName name="Na">#REF!</definedName>
    <definedName name="Nam" hidden="1">#REF!</definedName>
    <definedName name="NAME">#REF!</definedName>
    <definedName name="namerange">#REF!</definedName>
    <definedName name="nan">#REF!</definedName>
    <definedName name="NB">#REF!</definedName>
    <definedName name="nbsandsm" hidden="1">#REF!</definedName>
    <definedName name="nc">#REF!</definedName>
    <definedName name="nc1p">#REF!</definedName>
    <definedName name="nc3p">#REF!</definedName>
    <definedName name="NCBD">#N/A</definedName>
    <definedName name="NCBD100">#REF!</definedName>
    <definedName name="NCBD200">#REF!</definedName>
    <definedName name="NCBD250">#REF!</definedName>
    <definedName name="NCC">#REF!</definedName>
    <definedName name="NCcap0.7">#REF!</definedName>
    <definedName name="NCcap1">#REF!</definedName>
    <definedName name="NCCT3p">#REF!</definedName>
    <definedName name="NCD">#REF!</definedName>
    <definedName name="ncdm">#REF!</definedName>
    <definedName name="ncong">#REF!</definedName>
    <definedName name="NCT_BKTC">#REF!</definedName>
    <definedName name="Ncthu">#REF!</definedName>
    <definedName name="nctram">#REF!</definedName>
    <definedName name="NCVC">#REF!</definedName>
    <definedName name="NCVC_BD">#N/A</definedName>
    <definedName name="NCVC100">#REF!</definedName>
    <definedName name="NCVC200">#REF!</definedName>
    <definedName name="NCVC250">#REF!</definedName>
    <definedName name="NCVC3P">#REF!</definedName>
    <definedName name="ndsmdsm" hidden="1">#REF!</definedName>
    <definedName name="ner" hidden="1">{"'Sheet1'!$L$16"}</definedName>
    <definedName name="NET">#REF!</definedName>
    <definedName name="NET_1">#REF!</definedName>
    <definedName name="NET_ANA">#REF!</definedName>
    <definedName name="NET_ANA_1">#REF!</definedName>
    <definedName name="NET_ANA_2">#REF!</definedName>
    <definedName name="net_wt1">#N/A</definedName>
    <definedName name="net_wt2">#N/A</definedName>
    <definedName name="netl">#REF!</definedName>
    <definedName name="netwt">#REF!</definedName>
    <definedName name="NEWCODE">#N/A</definedName>
    <definedName name="ng">#REF!</definedName>
    <definedName name="NG_THANG">#REF!</definedName>
    <definedName name="ng1.">#REF!</definedName>
    <definedName name="ng2.">#REF!</definedName>
    <definedName name="NGAN" hidden="1">{"'Sheet1'!$L$16"}</definedName>
    <definedName name="nganquyt0405">#REF!</definedName>
    <definedName name="NGAØY">#REF!</definedName>
    <definedName name="ngau">#REF!</definedName>
    <definedName name="NgayXK">#REF!</definedName>
    <definedName name="nghfdhdhgfdg" hidden="1">#REF!</definedName>
    <definedName name="ngothilehong">_a1O,_a2O,_a3O</definedName>
    <definedName name="ngothilehong1">_a1O,_a2O,_a3O</definedName>
    <definedName name="NH">#REF!</definedName>
    <definedName name="Nh_n_cáng">#REF!</definedName>
    <definedName name="NHAÂN_COÂNG">#REF!</definedName>
    <definedName name="NHAÄP">#REF!</definedName>
    <definedName name="Nhâm_Ctr">#REF!</definedName>
    <definedName name="Nhan_hieu_xe">#REF!</definedName>
    <definedName name="NHAP_KL_TIEN_DO_THUC_HIEN">#REF!</definedName>
    <definedName name="nhapBO">#REF!</definedName>
    <definedName name="nhapmuaTT">#REF!</definedName>
    <definedName name="Nhapsolieu">#REF!</definedName>
    <definedName name="NHAPXMTRANG">#REF!</definedName>
    <definedName name="NHATMINH">{"th152.xls"}</definedName>
    <definedName name="nhd">#REF!</definedName>
    <definedName name="nhn">#REF!</definedName>
    <definedName name="nhon">_a1O,_a2O,_a3O</definedName>
    <definedName name="NHot">#REF!</definedName>
    <definedName name="nhsndjmkf">#REF!</definedName>
    <definedName name="nhua">#REF!</definedName>
    <definedName name="nig">#REF!</definedName>
    <definedName name="nig1p">#REF!</definedName>
    <definedName name="nig3p">#REF!</definedName>
    <definedName name="NIGnc">#REF!</definedName>
    <definedName name="nignc1p">#REF!</definedName>
    <definedName name="NIGvc">#REF!</definedName>
    <definedName name="NIGvl">#REF!</definedName>
    <definedName name="nigvl1p">#REF!</definedName>
    <definedName name="nin">#REF!</definedName>
    <definedName name="nin14nc3p">#REF!</definedName>
    <definedName name="nin14vl3p">#REF!</definedName>
    <definedName name="nin1903p">#REF!</definedName>
    <definedName name="nin190nc3p">#REF!</definedName>
    <definedName name="nin190vl3p">#REF!</definedName>
    <definedName name="nin2903p">#REF!</definedName>
    <definedName name="nin290nc3p">#REF!</definedName>
    <definedName name="nin290vl3p">#REF!</definedName>
    <definedName name="nin3p">#REF!</definedName>
    <definedName name="nind">#REF!</definedName>
    <definedName name="nind1p">#REF!</definedName>
    <definedName name="nind3p">#REF!</definedName>
    <definedName name="NINDnc">#REF!</definedName>
    <definedName name="nindnc1p">#REF!</definedName>
    <definedName name="nindnc3p">#REF!</definedName>
    <definedName name="NINDvc">#REF!</definedName>
    <definedName name="NINDvl">#REF!</definedName>
    <definedName name="nindvl1p">#REF!</definedName>
    <definedName name="nindvl3p">#REF!</definedName>
    <definedName name="ning1p">#REF!</definedName>
    <definedName name="ningnc1p">#REF!</definedName>
    <definedName name="ningvl1p">#REF!</definedName>
    <definedName name="NINnc">#REF!</definedName>
    <definedName name="ninnc3p">#REF!</definedName>
    <definedName name="nint1p">#REF!</definedName>
    <definedName name="nintnc1p">#REF!</definedName>
    <definedName name="nintvl1p">#REF!</definedName>
    <definedName name="NINvc">#REF!</definedName>
    <definedName name="NINvl">#REF!</definedName>
    <definedName name="ninvl3p">#REF!</definedName>
    <definedName name="nl">#REF!</definedName>
    <definedName name="NL12nc">#REF!</definedName>
    <definedName name="NL12vl">#REF!</definedName>
    <definedName name="nl1p">#REF!</definedName>
    <definedName name="nl3p">#REF!</definedName>
    <definedName name="nlht">#REF!</definedName>
    <definedName name="nlnc3p">#REF!</definedName>
    <definedName name="nlnc3pha">#REF!</definedName>
    <definedName name="NLOAI2">#REF!</definedName>
    <definedName name="NLTK1p">#REF!</definedName>
    <definedName name="nlvl3p">#REF!</definedName>
    <definedName name="Nms">#REF!</definedName>
    <definedName name="nn">#REF!</definedName>
    <definedName name="nn1p">#REF!</definedName>
    <definedName name="nn3p">#REF!</definedName>
    <definedName name="nnnc3p">#REF!</definedName>
    <definedName name="nnnn" hidden="1">{#N/A,#N/A,FALSE,"강교";#N/A,#N/A,FALSE,"한전";#N/A,#N/A,FALSE,"중방";#N/A,#N/A,FALSE,"회소"}</definedName>
    <definedName name="NNNNNN" hidden="1">#REF!</definedName>
    <definedName name="NNNNNNNNNNN" hidden="1">#REF!</definedName>
    <definedName name="nnvl3p">#REF!</definedName>
    <definedName name="No">#REF!</definedName>
    <definedName name="NO102A02">#REF!</definedName>
    <definedName name="NO102A05">#REF!</definedName>
    <definedName name="NO111A01">#REF!</definedName>
    <definedName name="NO111A02">#REF!</definedName>
    <definedName name="NO111A03">#REF!</definedName>
    <definedName name="NO111A04">#REF!</definedName>
    <definedName name="NO111A05">#REF!</definedName>
    <definedName name="NO111A06">#REF!</definedName>
    <definedName name="NO111A07">#REF!</definedName>
    <definedName name="NO111A08">#REF!</definedName>
    <definedName name="NO111A09">#REF!</definedName>
    <definedName name="NO111A10">#REF!</definedName>
    <definedName name="NO111A11">#REF!</definedName>
    <definedName name="NO111A12">#REF!</definedName>
    <definedName name="NO111A13">#REF!</definedName>
    <definedName name="NO111A14">#REF!</definedName>
    <definedName name="NO111A15">#REF!</definedName>
    <definedName name="NO111A16">#REF!</definedName>
    <definedName name="NO111A17">#REF!</definedName>
    <definedName name="NO111A18">#REF!</definedName>
    <definedName name="NO111A19">#REF!</definedName>
    <definedName name="NO111B01">#REF!</definedName>
    <definedName name="NO111B02">#REF!</definedName>
    <definedName name="NO111B03">#REF!</definedName>
    <definedName name="NO111B04">#REF!</definedName>
    <definedName name="NO111B05">#REF!</definedName>
    <definedName name="NO111B06">#REF!</definedName>
    <definedName name="NO111B07">#REF!</definedName>
    <definedName name="NO111B08">#REF!</definedName>
    <definedName name="NO111B09">#REF!</definedName>
    <definedName name="NO111B10">#REF!</definedName>
    <definedName name="NO111B11">#REF!</definedName>
    <definedName name="NO111B12">#REF!</definedName>
    <definedName name="NO111B13">#REF!</definedName>
    <definedName name="NO111B14">#REF!</definedName>
    <definedName name="NO111B15">#REF!</definedName>
    <definedName name="NO111B16">#REF!</definedName>
    <definedName name="NO111B17">#REF!</definedName>
    <definedName name="NO111B18">#REF!</definedName>
    <definedName name="NO111C01">#REF!</definedName>
    <definedName name="NO111C02">#REF!</definedName>
    <definedName name="NO111C03">#REF!</definedName>
    <definedName name="NO111C031">#REF!</definedName>
    <definedName name="NO111C04">#REF!</definedName>
    <definedName name="NO111C05">#REF!</definedName>
    <definedName name="NO111C06">#REF!</definedName>
    <definedName name="NO111C07">#REF!</definedName>
    <definedName name="NO111C08">#REF!</definedName>
    <definedName name="NO111C09">#REF!</definedName>
    <definedName name="NO111C10">#REF!</definedName>
    <definedName name="NO111C11">#REF!</definedName>
    <definedName name="NO111C12">#REF!</definedName>
    <definedName name="NO111C121">#REF!</definedName>
    <definedName name="NO111C13">#REF!</definedName>
    <definedName name="NO111C14">#REF!</definedName>
    <definedName name="NO111C15">#REF!</definedName>
    <definedName name="NO111C16">#REF!</definedName>
    <definedName name="NO111C17">#REF!</definedName>
    <definedName name="NO111C18">#REF!</definedName>
    <definedName name="NO111D01">#REF!</definedName>
    <definedName name="NO111D02">#REF!</definedName>
    <definedName name="NO111D03">#REF!</definedName>
    <definedName name="NO111D04">#REF!</definedName>
    <definedName name="NO111D05">#REF!</definedName>
    <definedName name="NO111D06">#REF!</definedName>
    <definedName name="NO111D07">#REF!</definedName>
    <definedName name="NO111D08">#REF!</definedName>
    <definedName name="NO111D09">#REF!</definedName>
    <definedName name="NO111D10">#REF!</definedName>
    <definedName name="NO111D11">#REF!</definedName>
    <definedName name="NO111D12">#REF!</definedName>
    <definedName name="NO111D13">#REF!</definedName>
    <definedName name="NO111D14">#REF!</definedName>
    <definedName name="NO111D15">#REF!</definedName>
    <definedName name="NO111D16">#REF!</definedName>
    <definedName name="NO111D17">#REF!</definedName>
    <definedName name="NO111D18">#REF!</definedName>
    <definedName name="NO2검사구">#REF!</definedName>
    <definedName name="NO93A01">#REF!</definedName>
    <definedName name="NO93A02">#REF!</definedName>
    <definedName name="NO93A03">#REF!</definedName>
    <definedName name="NO93A04">#REF!</definedName>
    <definedName name="NO93A05">#REF!</definedName>
    <definedName name="NO93A06">#REF!</definedName>
    <definedName name="NO93A07">#REF!</definedName>
    <definedName name="NO93A08">#REF!</definedName>
    <definedName name="NO93A10">#REF!</definedName>
    <definedName name="NO93A11">#REF!</definedName>
    <definedName name="NO93A12">#REF!</definedName>
    <definedName name="NO93A13">#REF!</definedName>
    <definedName name="NO93A14">#REF!</definedName>
    <definedName name="NO93A15">#REF!</definedName>
    <definedName name="NO93A16">#REF!</definedName>
    <definedName name="NO93A17">#REF!</definedName>
    <definedName name="NO93A18">#REF!</definedName>
    <definedName name="NO93B01">#REF!</definedName>
    <definedName name="NO93B02">#REF!</definedName>
    <definedName name="NO93B03">#REF!</definedName>
    <definedName name="NO93B04">#REF!</definedName>
    <definedName name="NO93B05">#REF!</definedName>
    <definedName name="NO93B06">#REF!</definedName>
    <definedName name="NO93B07">#REF!</definedName>
    <definedName name="NO93B08">#REF!</definedName>
    <definedName name="NO93B10">#REF!</definedName>
    <definedName name="NO93B11">#REF!</definedName>
    <definedName name="NO93B12">#REF!</definedName>
    <definedName name="NO93B13">#REF!</definedName>
    <definedName name="NO93B131">#REF!</definedName>
    <definedName name="NO93B14">#REF!</definedName>
    <definedName name="NO93B15">#REF!</definedName>
    <definedName name="NO93B16">#REF!</definedName>
    <definedName name="NO93B17">#REF!</definedName>
    <definedName name="NO93C01">#N/A</definedName>
    <definedName name="NO93C02">#N/A</definedName>
    <definedName name="NO93C03">#N/A</definedName>
    <definedName name="NO93C04">#REF!</definedName>
    <definedName name="NO93C05">#REF!</definedName>
    <definedName name="NO93C06">#REF!</definedName>
    <definedName name="NO93C07">#REF!</definedName>
    <definedName name="NO93C08">#REF!</definedName>
    <definedName name="NO93C10">#REF!</definedName>
    <definedName name="NO93C11">#REF!</definedName>
    <definedName name="NO93C12">#REF!</definedName>
    <definedName name="NO93C13">#REF!</definedName>
    <definedName name="NO93C14">#REF!</definedName>
    <definedName name="NO93C141">#REF!</definedName>
    <definedName name="NO93C15">#REF!</definedName>
    <definedName name="NO93C16">#REF!</definedName>
    <definedName name="NO96A16">#REF!</definedName>
    <definedName name="NO96A17">#REF!</definedName>
    <definedName name="NO96B12">#REF!</definedName>
    <definedName name="NO96C01A">#REF!</definedName>
    <definedName name="NOÄI_DUNG">#REF!</definedName>
    <definedName name="none">#REF!</definedName>
    <definedName name="Nov">#REF!</definedName>
    <definedName name="Np">#REF!</definedName>
    <definedName name="NPP">#REF!</definedName>
    <definedName name="NS">#REF!</definedName>
    <definedName name="nsl">#REF!</definedName>
    <definedName name="nsmdmfm" hidden="1">#REF!</definedName>
    <definedName name="nsn">#REF!</definedName>
    <definedName name="NU">#REF!</definedName>
    <definedName name="NUM">#N/A</definedName>
    <definedName name="nut">#REF!</definedName>
    <definedName name="nv">#REF!</definedName>
    <definedName name="NVL">#REF!</definedName>
    <definedName name="nvldm">#REF!</definedName>
    <definedName name="NVLxuatkho">#REF!</definedName>
    <definedName name="NVNT">#REF!</definedName>
    <definedName name="NX">#REF!</definedName>
    <definedName name="NXMDEN">#REF!</definedName>
    <definedName name="NXMTRA">#REF!</definedName>
    <definedName name="NXT">#REF!</definedName>
    <definedName name="nxtbaobi">#REF!</definedName>
    <definedName name="NXTBBTAM">#REF!</definedName>
    <definedName name="nxtkdc">#REF!</definedName>
    <definedName name="nxttrungthu">#REF!</definedName>
    <definedName name="N행">#REF!</definedName>
    <definedName name="O">#REF!</definedName>
    <definedName name="O_N">#REF!</definedName>
    <definedName name="o...TrÀt__câ_lìp_bÀm_dÛnh_bÂng_XM">#N/A</definedName>
    <definedName name="oa">#REF!</definedName>
    <definedName name="ob">#REF!</definedName>
    <definedName name="Oct">#REF!</definedName>
    <definedName name="OHP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ON">#REF!</definedName>
    <definedName name="ong">#REF!</definedName>
    <definedName name="openingrate">#REF!</definedName>
    <definedName name="ophom">#REF!</definedName>
    <definedName name="OrderTable" hidden="1">#REF!</definedName>
    <definedName name="osc">#REF!</definedName>
    <definedName name="outdia2">#REF!</definedName>
    <definedName name="OUTER">#REF!</definedName>
    <definedName name="oxy">#REF!</definedName>
    <definedName name="O행">#REF!</definedName>
    <definedName name="p...TrÀt_Granito">#N/A</definedName>
    <definedName name="pa">#REF!</definedName>
    <definedName name="PACKAGE3" hidden="1">{#N/A,#N/A,FALSE,"단축1";#N/A,#N/A,FALSE,"단축2";#N/A,#N/A,FALSE,"단축3";#N/A,#N/A,FALSE,"장축";#N/A,#N/A,FALSE,"4WD"}</definedName>
    <definedName name="Painting">#REF!</definedName>
    <definedName name="panen">#REF!</definedName>
    <definedName name="pantoi">#REF!</definedName>
    <definedName name="PART">#REF!</definedName>
    <definedName name="pb">#REF!</definedName>
    <definedName name="pc">#REF!</definedName>
    <definedName name="PChe">#REF!</definedName>
    <definedName name="Pd">#REF!</definedName>
    <definedName name="PELLET">#REF!</definedName>
    <definedName name="per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pgia">#REF!</definedName>
    <definedName name="PHAITRAPS">#REF!</definedName>
    <definedName name="PHANTHIET">#REF!</definedName>
    <definedName name="phapchet0405">#REF!</definedName>
    <definedName name="Phone">#REF!</definedName>
    <definedName name="phu_luc_vua">#REF!</definedName>
    <definedName name="PHUNHUAN">#REF!</definedName>
    <definedName name="PI">#REF!</definedName>
    <definedName name="PIL">#REF!</definedName>
    <definedName name="PILE">#REF!</definedName>
    <definedName name="PileType">#REF!</definedName>
    <definedName name="PIP" localSheetId="2">BlankMacro1</definedName>
    <definedName name="PIP" localSheetId="1">BlankMacro1</definedName>
    <definedName name="PIP" localSheetId="3">BlankMacro1</definedName>
    <definedName name="PIP">BlankMacro1</definedName>
    <definedName name="PIPE2" localSheetId="2">BlankMacro1</definedName>
    <definedName name="PIPE2" localSheetId="1">BlankMacro1</definedName>
    <definedName name="PIPE2" localSheetId="3">BlankMacro1</definedName>
    <definedName name="PIPE2">BlankMacro1</definedName>
    <definedName name="PK">#REF!</definedName>
    <definedName name="PL_???___P.B.___REST_P.B._????">#N/A</definedName>
    <definedName name="PLAN_2">1</definedName>
    <definedName name="Plaster">#REF!</definedName>
    <definedName name="PLASTIC">#REF!</definedName>
    <definedName name="plctel">#REF!</definedName>
    <definedName name="PLTH">#REF!</definedName>
    <definedName name="PL재질명">#REF!</definedName>
    <definedName name="PMT_TRM">#REF!</definedName>
    <definedName name="PMUX">#REF!</definedName>
    <definedName name="pna">#REF!</definedName>
    <definedName name="PNAME">#N/A</definedName>
    <definedName name="PNO">#N/A</definedName>
    <definedName name="POIL" hidden="1">{#N/A,#N/A,FALSE,"단축1";#N/A,#N/A,FALSE,"단축2";#N/A,#N/A,FALSE,"단축3";#N/A,#N/A,FALSE,"장축";#N/A,#N/A,FALSE,"4WD"}</definedName>
    <definedName name="POR439C124RTSQKS15C4LRTM0TB0TB0">#REF!</definedName>
    <definedName name="pp" hidden="1">#REF!</definedName>
    <definedName name="PPG" hidden="1">{"'Sheet1'!$L$16"}</definedName>
    <definedName name="PPGG" hidden="1">{"'Sheet1'!$L$16"}</definedName>
    <definedName name="PPP" localSheetId="2">BlankMacro1</definedName>
    <definedName name="PPP" localSheetId="1">BlankMacro1</definedName>
    <definedName name="PPP" localSheetId="3">BlankMacro1</definedName>
    <definedName name="PPP">BlankMacro1</definedName>
    <definedName name="PR">#REF!</definedName>
    <definedName name="PRC">#REF!</definedName>
    <definedName name="PRCA">#N/A</definedName>
    <definedName name="PRESS">#REF!</definedName>
    <definedName name="PRICE">#REF!</definedName>
    <definedName name="PRICE1">#REF!</definedName>
    <definedName name="_xlnm.Print_Area" localSheetId="0">'Bảng lương CB-NV'!$A$1:$BU$24</definedName>
    <definedName name="_xlnm.Print_Area" localSheetId="2">'Bảng lương tạm ứng kỳ 1'!$A$1:$BN$25</definedName>
    <definedName name="_xlnm.Print_Area" localSheetId="1">'Mô tả Bảng lương CB-NV'!$A$1:$BU$14</definedName>
    <definedName name="_xlnm.Print_Area" localSheetId="3">'Mô tả Bảng lương tạm ứng kỳ 1'!$A$1:$BU$14</definedName>
    <definedName name="PRINT_AREA_MI">#REF!</definedName>
    <definedName name="PRINT_AREA_MI1">#REF!</definedName>
    <definedName name="Print_CEM_cc5">#REF!</definedName>
    <definedName name="_xlnm.Print_Titles" localSheetId="0">'Bảng lương CB-NV'!$8:$11</definedName>
    <definedName name="_xlnm.Print_Titles" localSheetId="2">'Bảng lương tạm ứng kỳ 1'!$8:$11</definedName>
    <definedName name="_xlnm.Print_Titles" localSheetId="1">'Mô tả Bảng lương CB-NV'!$5:$8</definedName>
    <definedName name="_xlnm.Print_Titles" localSheetId="3">'Mô tả Bảng lương tạm ứng kỳ 1'!$5:$8</definedName>
    <definedName name="PRINT_TITLES_MI">#REF!</definedName>
    <definedName name="PRINT_TITLES_MI1">#REF!</definedName>
    <definedName name="PRINTA">#REF!</definedName>
    <definedName name="PRINTB">#REF!</definedName>
    <definedName name="PRINTC">#REF!</definedName>
    <definedName name="prjName">#REF!</definedName>
    <definedName name="prjNo">#REF!</definedName>
    <definedName name="ProdForm" hidden="1">#REF!</definedName>
    <definedName name="Product" hidden="1">#REF!</definedName>
    <definedName name="PROPOSAL">#REF!</definedName>
    <definedName name="PSMPLQ12C4LRTOR339C224RTMTBTBTB">#REF!</definedName>
    <definedName name="PSNo">#N/A</definedName>
    <definedName name="pt">#REF!</definedName>
    <definedName name="PT_Duong">#REF!</definedName>
    <definedName name="PTC">#REF!</definedName>
    <definedName name="PTD">#REF!</definedName>
    <definedName name="ptdg">#REF!</definedName>
    <definedName name="PTDG_cau">#REF!</definedName>
    <definedName name="ptdg_cong">#REF!</definedName>
    <definedName name="PTDG_DCV">#REF!</definedName>
    <definedName name="ptdg_duong">#REF!</definedName>
    <definedName name="PTDGBPTC">#REF!</definedName>
    <definedName name="ptdgc">#REF!</definedName>
    <definedName name="ptdgcd">#REF!</definedName>
    <definedName name="ptdgcdt">#REF!</definedName>
    <definedName name="ptdgd">#REF!</definedName>
    <definedName name="ptdggc">#REF!</definedName>
    <definedName name="ptdghg">#REF!</definedName>
    <definedName name="ptdgnv">#REF!</definedName>
    <definedName name="PTE">#REF!</definedName>
    <definedName name="ptgdsxt0405">#REF!</definedName>
    <definedName name="PtichDTL">#N/A</definedName>
    <definedName name="PTN">#REF!</definedName>
    <definedName name="PTNC">#REF!</definedName>
    <definedName name="PW_N_4_600이하">#REF!</definedName>
    <definedName name="py">#REF!</definedName>
    <definedName name="P행">#REF!</definedName>
    <definedName name="q">#REF!</definedName>
    <definedName name="Q_So">#REF!</definedName>
    <definedName name="q...çp_tg__tró">#N/A</definedName>
    <definedName name="Q1st03">#REF!</definedName>
    <definedName name="Q1st04">#REF!</definedName>
    <definedName name="Q2nd03">#REF!</definedName>
    <definedName name="Q2nd04">#REF!</definedName>
    <definedName name="qc">#REF!</definedName>
    <definedName name="qh">#REF!</definedName>
    <definedName name="QIII02" hidden="1">{"'Sheet1'!$L$16"}</definedName>
    <definedName name="qIII2005" hidden="1">{"'Sheet1'!$L$16"}</definedName>
    <definedName name="QPLE" hidden="1">#N/A</definedName>
    <definedName name="QQ">#REF!</definedName>
    <definedName name="qtdm">#REF!</definedName>
    <definedName name="QTY">#REF!</definedName>
    <definedName name="qu">#REF!</definedName>
    <definedName name="QUAN1">#REF!</definedName>
    <definedName name="QUAN10">#REF!</definedName>
    <definedName name="QUAN11">#REF!</definedName>
    <definedName name="QUAN12">#REF!</definedName>
    <definedName name="QUAN2">#REF!</definedName>
    <definedName name="QUAN4">#REF!</definedName>
    <definedName name="QUAN7">#REF!</definedName>
    <definedName name="QUAN8B">#REF!</definedName>
    <definedName name="QUANGTIEN2">#REF!</definedName>
    <definedName name="QuanHe">#REF!</definedName>
    <definedName name="Q행">#REF!</definedName>
    <definedName name="R_F">#REF!</definedName>
    <definedName name="r...LÀng_nÒn_san">#N/A</definedName>
    <definedName name="ra">#REF!</definedName>
    <definedName name="ra11p">#REF!</definedName>
    <definedName name="ra13p">#REF!</definedName>
    <definedName name="rack1">#REF!</definedName>
    <definedName name="rack2">#REF!</definedName>
    <definedName name="rack3">#REF!</definedName>
    <definedName name="rack4">#REF!</definedName>
    <definedName name="RAFT">#REF!</definedName>
    <definedName name="RATE">#REF!</definedName>
    <definedName name="RawData">#REF!</definedName>
    <definedName name="RawHeader">#REF!</definedName>
    <definedName name="rb">#REF!</definedName>
    <definedName name="RBL">#REF!</definedName>
    <definedName name="rbr">#REF!</definedName>
    <definedName name="rbva">#REF!</definedName>
    <definedName name="rbvb">#REF!</definedName>
    <definedName name="rbvc">#REF!</definedName>
    <definedName name="RBVD">#REF!</definedName>
    <definedName name="RC_frame">#REF!</definedName>
    <definedName name="RCArea" hidden="1">#REF!</definedName>
    <definedName name="rd">#REF!</definedName>
    <definedName name="rd_cost">#REF!</definedName>
    <definedName name="rd_rate">#REF!</definedName>
    <definedName name="rdr">#REF!</definedName>
    <definedName name="record">#REF!</definedName>
    <definedName name="_xlnm.Recorder">#REF!</definedName>
    <definedName name="RECOUT">#N/A</definedName>
    <definedName name="relay">#REF!</definedName>
    <definedName name="REP">#REF!</definedName>
    <definedName name="RET" hidden="1">#REF!</definedName>
    <definedName name="RF">#REF!</definedName>
    <definedName name="RFP003A">#REF!</definedName>
    <definedName name="RFP003B">#REF!</definedName>
    <definedName name="RFP003C">#REF!</definedName>
    <definedName name="RFP003D">#REF!</definedName>
    <definedName name="RFP003E">#REF!</definedName>
    <definedName name="RFP003F">#REF!</definedName>
    <definedName name="rgtserysud6rt" hidden="1">#REF!</definedName>
    <definedName name="RIB">#REF!</definedName>
    <definedName name="rjghjgfgf">#REF!</definedName>
    <definedName name="RM">#REF!</definedName>
    <definedName name="rm_wt1">#N/A</definedName>
    <definedName name="rm_wt2">#N/A</definedName>
    <definedName name="rma">#REF!</definedName>
    <definedName name="rmb">#REF!</definedName>
    <definedName name="rmc">#REF!</definedName>
    <definedName name="RMCOptions">"*100000000000000"</definedName>
    <definedName name="RMD">#REF!</definedName>
    <definedName name="rong1">#REF!</definedName>
    <definedName name="rong2">#REF!</definedName>
    <definedName name="rong3">#REF!</definedName>
    <definedName name="rong4">#REF!</definedName>
    <definedName name="rong5">#REF!</definedName>
    <definedName name="rong6">#REF!</definedName>
    <definedName name="room20kv">#REF!</definedName>
    <definedName name="ROW">#REF!</definedName>
    <definedName name="royalty">#REF!</definedName>
    <definedName name="royalty_rate">#REF!</definedName>
    <definedName name="rr">#REF!</definedName>
    <definedName name="rrdf" hidden="1">{#N/A,#N/A,FALSE,"기초2"}</definedName>
    <definedName name="rrerwewqeqeqweqr" hidden="1">#REF!</definedName>
    <definedName name="RRR" hidden="1">{#N/A,#N/A,FALSE,"사업"}</definedName>
    <definedName name="RT" hidden="1">{#N/A,#N/A,FALSE,"단축1";#N/A,#N/A,FALSE,"단축2";#N/A,#N/A,FALSE,"단축3";#N/A,#N/A,FALSE,"장축";#N/A,#N/A,FALSE,"4WD"}</definedName>
    <definedName name="RTCLCRCRCRCRCRCRDLRTDKDK">#REF!</definedName>
    <definedName name="RTCLDLRTDK">#REF!</definedName>
    <definedName name="RTERTETERTETERTERTERTETERTERTERTRTERTRTETET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rtryrtytrjuyju" hidden="1">{#N/A,#N/A,FALSE,"단축1";#N/A,#N/A,FALSE,"단축2";#N/A,#N/A,FALSE,"단축3";#N/A,#N/A,FALSE,"장축";#N/A,#N/A,FALSE,"4WD"}</definedName>
    <definedName name="RT울산시RTDKDK">#REF!</definedName>
    <definedName name="rưereyrtiu" hidden="1">#REF!</definedName>
    <definedName name="rưetertrdhfhg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R행">#REF!</definedName>
    <definedName name="S" hidden="1">{#N/A,#N/A,FALSE,"강교";#N/A,#N/A,FALSE,"한전";#N/A,#N/A,FALSE,"중방";#N/A,#N/A,FALSE,"회소"}</definedName>
    <definedName name="S_2_Bï_v_nh">#REF!</definedName>
    <definedName name="S_Ⅱ">#REF!</definedName>
    <definedName name="s...LÀt">#N/A</definedName>
    <definedName name="S1110S">#REF!</definedName>
    <definedName name="S1211S">#REF!</definedName>
    <definedName name="S1221S">#REF!</definedName>
    <definedName name="S1231S">#REF!</definedName>
    <definedName name="S1311S">#REF!</definedName>
    <definedName name="S1321S">#REF!</definedName>
    <definedName name="S1361S">#REF!</definedName>
    <definedName name="S1411S">#REF!</definedName>
    <definedName name="S1431S">#REF!</definedName>
    <definedName name="S1511S">#REF!</definedName>
    <definedName name="S1521S">#REF!</definedName>
    <definedName name="S1561S">#REF!</definedName>
    <definedName name="S1591S">#REF!</definedName>
    <definedName name="S1C00S">#REF!</definedName>
    <definedName name="S1D10S">#REF!</definedName>
    <definedName name="S1D20S">#REF!</definedName>
    <definedName name="S1D30S">#REF!</definedName>
    <definedName name="S1D40S">#REF!</definedName>
    <definedName name="S1D50S">#REF!</definedName>
    <definedName name="S1D60S">#REF!</definedName>
    <definedName name="S1E00S">#REF!</definedName>
    <definedName name="S1E01S">#REF!</definedName>
    <definedName name="S1G10S">#REF!</definedName>
    <definedName name="S1G20S">#REF!</definedName>
    <definedName name="S1G50S">#REF!</definedName>
    <definedName name="S1G60S">#REF!</definedName>
    <definedName name="S1H00S">#REF!</definedName>
    <definedName name="S1I00S">#REF!</definedName>
    <definedName name="S1J00S">#REF!</definedName>
    <definedName name="S1K11S">#REF!</definedName>
    <definedName name="S1K21S">#REF!</definedName>
    <definedName name="S1K31S">#REF!</definedName>
    <definedName name="S1L11S">#REF!</definedName>
    <definedName name="S1L12S">#REF!</definedName>
    <definedName name="S1L31S">#REF!</definedName>
    <definedName name="S1L61S">#REF!</definedName>
    <definedName name="S1M00S">#REF!</definedName>
    <definedName name="S1N00S">#REF!</definedName>
    <definedName name="S2620S">#REF!</definedName>
    <definedName name="S2626S">#REF!</definedName>
    <definedName name="S2640S">#REF!</definedName>
    <definedName name="S2650S">#REF!</definedName>
    <definedName name="S2660S">#REF!</definedName>
    <definedName name="S2C00S">#REF!</definedName>
    <definedName name="S2D00S">#REF!</definedName>
    <definedName name="S2E00S">#REF!</definedName>
    <definedName name="S2G00S">#REF!</definedName>
    <definedName name="S2H00S">#REF!</definedName>
    <definedName name="S2J00S">#REF!</definedName>
    <definedName name="S2K21S">#REF!</definedName>
    <definedName name="S2K31S">#REF!</definedName>
    <definedName name="S2M00S">#REF!</definedName>
    <definedName name="S3800S">#REF!</definedName>
    <definedName name="S3900S">#REF!</definedName>
    <definedName name="S3910S">#REF!</definedName>
    <definedName name="S3920S">#REF!</definedName>
    <definedName name="S3930S">#REF!</definedName>
    <definedName name="S3940S">#REF!</definedName>
    <definedName name="S3990S">#REF!</definedName>
    <definedName name="SA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sâ" hidden="1">{"'Sheet1'!$L$16"}</definedName>
    <definedName name="sÁáẤsA" hidden="1">#REF!</definedName>
    <definedName name="sadsada" hidden="1">{"'Sheet1'!$L$16"}</definedName>
    <definedName name="sadsafdsfs" hidden="1">#REF!</definedName>
    <definedName name="sadsfdsfds" hidden="1">#REF!</definedName>
    <definedName name="sadsfdsgdfghgfjjhkjhkjk">#REF!</definedName>
    <definedName name="san">#REF!</definedName>
    <definedName name="SANPHAM">#REF!</definedName>
    <definedName name="sâs" hidden="1">{"'Sheet1'!$L$16"}</definedName>
    <definedName name="saSAs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saSAsÁ">#REF!</definedName>
    <definedName name="SAsaSAsAS" hidden="1">{#N/A,#N/A,FALSE,"강교";#N/A,#N/A,FALSE,"한전";#N/A,#N/A,FALSE,"중방";#N/A,#N/A,FALSE,"회소"}</definedName>
    <definedName name="satt">#REF!</definedName>
    <definedName name="SBEND">#REF!</definedName>
    <definedName name="SBLANK">#REF!</definedName>
    <definedName name="sbv">#REF!</definedName>
    <definedName name="SC_PIERC">#REF!</definedName>
    <definedName name="SCCR">#REF!</definedName>
    <definedName name="SCDT">#REF!</definedName>
    <definedName name="SCementS">#REF!</definedName>
    <definedName name="SCH">#REF!</definedName>
    <definedName name="SClinkerS">#REF!</definedName>
    <definedName name="scrapcost">#REF!</definedName>
    <definedName name="scrapprice">#REF!</definedName>
    <definedName name="SCRAP단가">#REF!</definedName>
    <definedName name="scsfwafw" hidden="1">{"'Sheet1'!$L$16"}</definedName>
    <definedName name="SCT">#REF!</definedName>
    <definedName name="SCT_BKTC">#REF!</definedName>
    <definedName name="sd1p">#REF!</definedName>
    <definedName name="sd3p">#REF!</definedName>
    <definedName name="sdadsafdsf" hidden="1">#REF!</definedName>
    <definedName name="sdf">#REF!</definedName>
    <definedName name="sdfdhhryru">#REF!</definedName>
    <definedName name="sdfsfdsfg" hidden="1">#REF!</definedName>
    <definedName name="sdfsfsdgdfgh" hidden="1">#REF!</definedName>
    <definedName name="SDMONG">#REF!</definedName>
    <definedName name="SDRAW">#REF!</definedName>
    <definedName name="sdsafsdfdsgfdgdf" hidden="1">#REF!</definedName>
    <definedName name="sdsbgn">#REF!,#REF!,#REF!,#REF!,#REF!</definedName>
    <definedName name="sdsds">#REF!</definedName>
    <definedName name="sdsdsadsa" hidden="1">#REF!</definedName>
    <definedName name="sdsgfdytfjghkjlj">#REF!</definedName>
    <definedName name="sdtsrtser" hidden="1">#REF!</definedName>
    <definedName name="SEDI">#REF!</definedName>
    <definedName name="SEQ">#REF!</definedName>
    <definedName name="sfdseftdfgfhj" hidden="1">{#N/A,#N/A,FALSE,"단축1";#N/A,#N/A,FALSE,"단축2";#N/A,#N/A,FALSE,"단축3";#N/A,#N/A,FALSE,"장축";#N/A,#N/A,FALSE,"4WD"}</definedName>
    <definedName name="SFFF" hidden="1">#REF!</definedName>
    <definedName name="sfhfgjghk">#REF!</definedName>
    <definedName name="SFL">#REF!</definedName>
    <definedName name="SFORM">#REF!</definedName>
    <definedName name="SFSFAFSDFD" hidden="1">#REF!</definedName>
    <definedName name="sg">#N/A</definedName>
    <definedName name="sg1.">#N/A</definedName>
    <definedName name="sg2.">#N/A</definedName>
    <definedName name="sgfdgfdgfhgfhghgf">#REF!</definedName>
    <definedName name="sgh" hidden="1">#REF!</definedName>
    <definedName name="sgsdg" hidden="1">{"'Sheet1'!$L$16"}</definedName>
    <definedName name="SH">#REF!</definedName>
    <definedName name="SHALL">#REF!</definedName>
    <definedName name="SHDGC">#REF!</definedName>
    <definedName name="SHDGD">#REF!</definedName>
    <definedName name="Sheet1">#REF!</definedName>
    <definedName name="Sheûet" hidden="1">{"'Sheet1'!$L$16"}</definedName>
    <definedName name="Sheûet_1" hidden="1">{"'Sheet1'!$L$16"}</definedName>
    <definedName name="sho">#REF!</definedName>
    <definedName name="SHPC">#REF!</definedName>
    <definedName name="SHPD">#REF!</definedName>
    <definedName name="SHRG공정">#REF!</definedName>
    <definedName name="sht">#REF!</definedName>
    <definedName name="sht1p">#REF!</definedName>
    <definedName name="sht3p">#REF!</definedName>
    <definedName name="sieucao">#REF!</definedName>
    <definedName name="SIMUL">#REF!</definedName>
    <definedName name="Singleta" hidden="1">{#N/A,#N/A,FALSE,"강교";#N/A,#N/A,FALSE,"한전";#N/A,#N/A,FALSE,"중방";#N/A,#N/A,FALSE,"회소"}</definedName>
    <definedName name="Singletan" hidden="1">{#N/A,#N/A,FALSE,"강교";#N/A,#N/A,FALSE,"한전";#N/A,#N/A,FALSE,"중방";#N/A,#N/A,FALSE,"회소"}</definedName>
    <definedName name="SIZE">#REF!</definedName>
    <definedName name="SJ00S">#REF!</definedName>
    <definedName name="SJSBS">#REF!,#REF!,#REF!</definedName>
    <definedName name="sk">#REF!</definedName>
    <definedName name="SL">#REF!</definedName>
    <definedName name="SL_CRD">#REF!</definedName>
    <definedName name="SL_CRS">#REF!</definedName>
    <definedName name="SL_CS">#REF!</definedName>
    <definedName name="SL_DD">#REF!</definedName>
    <definedName name="SLF">#REF!</definedName>
    <definedName name="slg">#REF!</definedName>
    <definedName name="slk">#REF!</definedName>
    <definedName name="sll">#REF!</definedName>
    <definedName name="SLVtu">#REF!</definedName>
    <definedName name="SM">#REF!</definedName>
    <definedName name="SM_00">63400</definedName>
    <definedName name="SM_00_1">63400</definedName>
    <definedName name="SM_01">77300</definedName>
    <definedName name="SM_01_1">77300</definedName>
    <definedName name="SM_02">82700</definedName>
    <definedName name="SM_02_1">82700</definedName>
    <definedName name="SM_03">85100</definedName>
    <definedName name="SM_03_1">85100</definedName>
    <definedName name="SM_04">85700</definedName>
    <definedName name="SM_04_1">85700</definedName>
    <definedName name="SM_05">78300</definedName>
    <definedName name="SM_05_1">78300</definedName>
    <definedName name="SM_06">3000</definedName>
    <definedName name="SM_06_1">3000</definedName>
    <definedName name="SM_07">0</definedName>
    <definedName name="SM_07_1">0</definedName>
    <definedName name="SM_99">4000</definedName>
    <definedName name="SM_99_1">4000</definedName>
    <definedName name="sn">#REF!</definedName>
    <definedName name="snack">#REF!</definedName>
    <definedName name="SO">#REF!</definedName>
    <definedName name="soc3p">#REF!</definedName>
    <definedName name="socando">#REF!</definedName>
    <definedName name="SOCT">#REF!</definedName>
    <definedName name="SoDuCK">#N/A</definedName>
    <definedName name="SODUDKTG">#N/A</definedName>
    <definedName name="soho">#N/A</definedName>
    <definedName name="Soi">#REF!</definedName>
    <definedName name="SoilType">#REF!</definedName>
    <definedName name="solieu">#REF!</definedName>
    <definedName name="solomont0405">#REF!</definedName>
    <definedName name="son">#REF!</definedName>
    <definedName name="SORT">#REF!</definedName>
    <definedName name="SortName">#REF!</definedName>
    <definedName name="SOTIEN_BKTC">#REF!</definedName>
    <definedName name="SOTIEN_NO_NK">#N/A</definedName>
    <definedName name="SOTIENPS">#N/A</definedName>
    <definedName name="SPA">#REF!</definedName>
    <definedName name="SPEC">#REF!</definedName>
    <definedName name="SpecialPrice" hidden="1">#REF!</definedName>
    <definedName name="SPECSUMMARY">#REF!</definedName>
    <definedName name="SPGPTN">#REF!</definedName>
    <definedName name="SPG수출">#REF!</definedName>
    <definedName name="SPIERC">#REF!</definedName>
    <definedName name="spk1p">#REF!</definedName>
    <definedName name="SQDKT10">#REF!</definedName>
    <definedName name="SQDKT11">#REF!</definedName>
    <definedName name="SQDKT9">#REF!</definedName>
    <definedName name="SR_00">32600</definedName>
    <definedName name="SR_00_1">32600</definedName>
    <definedName name="SR_01">38500</definedName>
    <definedName name="SR_01_1">38500</definedName>
    <definedName name="SR_02">46100</definedName>
    <definedName name="SR_02_1">46100</definedName>
    <definedName name="SR_03">52700</definedName>
    <definedName name="SR_03_1">52700</definedName>
    <definedName name="SR_04">53900</definedName>
    <definedName name="SR_04_1">53900</definedName>
    <definedName name="SR_05">55400</definedName>
    <definedName name="SR_05_1">55400</definedName>
    <definedName name="SR_06">56500</definedName>
    <definedName name="SR_06_1">56500</definedName>
    <definedName name="SR_07">57300</definedName>
    <definedName name="SR_07_1">57300</definedName>
    <definedName name="SR_99">20700</definedName>
    <definedName name="SR_99_1">20700</definedName>
    <definedName name="SRC">#N/A</definedName>
    <definedName name="SRSQI">#REF!</definedName>
    <definedName name="srwerwetret" hidden="1">#REF!</definedName>
    <definedName name="ss" hidden="1">{"'Sheet1'!$L$16"}</definedName>
    <definedName name="ssâsâsâs" hidden="1">{#N/A,#N/A,FALSE,"강교";#N/A,#N/A,FALSE,"한전";#N/A,#N/A,FALSE,"중방";#N/A,#N/A,FALSE,"회소"}</definedName>
    <definedName name="ssdsfdsf" hidden="1">{"'Sheet1'!$L$16"}</definedName>
    <definedName name="ssdwd">_a1O,_a2O,_a3O</definedName>
    <definedName name="SSEPARAT">#REF!</definedName>
    <definedName name="SSRR">#N/A</definedName>
    <definedName name="sss" hidden="1">{"'Sheet1'!$L$16"}</definedName>
    <definedName name="SSSS" hidden="1">{#N/A,#N/A,FALSE,"강교";#N/A,#N/A,FALSE,"한전";#N/A,#N/A,FALSE,"중방";#N/A,#N/A,FALSE,"회소"}</definedName>
    <definedName name="st">#REF!</definedName>
    <definedName name="ST_TH2_131">3</definedName>
    <definedName name="st1p">#REF!</definedName>
    <definedName name="st3p">#REF!</definedName>
    <definedName name="Start_1">#REF!</definedName>
    <definedName name="Start_10">#REF!</definedName>
    <definedName name="Start_11">#REF!</definedName>
    <definedName name="Start_12">#REF!</definedName>
    <definedName name="Start_13">#REF!</definedName>
    <definedName name="Start_2">#REF!</definedName>
    <definedName name="Start_3">#REF!</definedName>
    <definedName name="Start_4">#REF!</definedName>
    <definedName name="Start_5">#REF!</definedName>
    <definedName name="Start_6">#REF!</definedName>
    <definedName name="Start_7">#REF!</definedName>
    <definedName name="Start_8">#REF!</definedName>
    <definedName name="Start_9">#REF!</definedName>
    <definedName name="StartValue">-0.00506271473511073</definedName>
    <definedName name="State">#REF!</definedName>
    <definedName name="Stck.">#REF!</definedName>
    <definedName name="STEEL">#REF!</definedName>
    <definedName name="StepValue">0.000315629990474312</definedName>
    <definedName name="stor">#REF!</definedName>
    <definedName name="STRIM">#REF!</definedName>
    <definedName name="Stt">#REF!</definedName>
    <definedName name="sum">#REF!,#REF!</definedName>
    <definedName name="suminet">#REF!</definedName>
    <definedName name="sumitb">#REF!</definedName>
    <definedName name="SUMMARY">#REF!</definedName>
    <definedName name="sumTB">#REF!</definedName>
    <definedName name="sumXL">#REF!</definedName>
    <definedName name="surface">#REF!</definedName>
    <definedName name="surface10">#REF!</definedName>
    <definedName name="sv">#N/A</definedName>
    <definedName name="svn">#N/A</definedName>
    <definedName name="SW">#REF!</definedName>
    <definedName name="SWBBNO">#REF!</definedName>
    <definedName name="S행">#REF!</definedName>
    <definedName name="T">#REF!</definedName>
    <definedName name="T_Ⅲ">#REF!</definedName>
    <definedName name="T_P">#REF!</definedName>
    <definedName name="t...TrÇn">#N/A</definedName>
    <definedName name="t101p">#REF!</definedName>
    <definedName name="t103p">#REF!</definedName>
    <definedName name="t10m">#REF!</definedName>
    <definedName name="t10nc1p">#REF!</definedName>
    <definedName name="t10vl1p">#REF!</definedName>
    <definedName name="T12.2016">#N/A</definedName>
    <definedName name="t121p">#REF!</definedName>
    <definedName name="t123p">#REF!</definedName>
    <definedName name="T12nc">#REF!</definedName>
    <definedName name="t12nc3p">#REF!</definedName>
    <definedName name="T12vc">#REF!</definedName>
    <definedName name="T12vl">#REF!</definedName>
    <definedName name="t141p">#REF!</definedName>
    <definedName name="t143p">#REF!</definedName>
    <definedName name="t14nc3p">#REF!</definedName>
    <definedName name="t14vl3p">#REF!</definedName>
    <definedName name="T3.2013">#REF!</definedName>
    <definedName name="T44QUAN3">#REF!</definedName>
    <definedName name="T45GOVAP1">#REF!</definedName>
    <definedName name="T45HCUCHI">#REF!</definedName>
    <definedName name="T45HHOCMON">#REF!</definedName>
    <definedName name="T45QBINHCHANH">#REF!</definedName>
    <definedName name="T45QBINHTAN">#REF!</definedName>
    <definedName name="T45QBINHTHANH1">#REF!</definedName>
    <definedName name="T45QBINHTHANH2">#REF!</definedName>
    <definedName name="T45QGOVAP1">#REF!</definedName>
    <definedName name="T45QGOVAP2">#REF!</definedName>
    <definedName name="T45QPHUNHUAN">#REF!</definedName>
    <definedName name="T45QTANBINH2">#REF!</definedName>
    <definedName name="T45QTANHBINH1">#REF!</definedName>
    <definedName name="T45QTANPHU">#REF!</definedName>
    <definedName name="T45QTHUDUC1">#REF!</definedName>
    <definedName name="T45QTHUDUC2">#REF!</definedName>
    <definedName name="T45QUAN1">#REF!</definedName>
    <definedName name="T45QUAN10">#REF!</definedName>
    <definedName name="T45QUAN11">#REF!</definedName>
    <definedName name="T45QUAN12">#REF!</definedName>
    <definedName name="T45QUAN2">#REF!</definedName>
    <definedName name="T45QUAN3">#REF!</definedName>
    <definedName name="T45QUAN4">#REF!</definedName>
    <definedName name="T45QUAN6A">#REF!</definedName>
    <definedName name="T45QUAN6B">#REF!</definedName>
    <definedName name="T45QUAN7">#REF!</definedName>
    <definedName name="T45QUAN8B">#REF!</definedName>
    <definedName name="T45QUAN9">#REF!</definedName>
    <definedName name="t7m">#REF!</definedName>
    <definedName name="t8m">#REF!</definedName>
    <definedName name="ta">#REF!</definedName>
    <definedName name="tab">#N/A</definedName>
    <definedName name="TABLE1">#REF!</definedName>
    <definedName name="Table2">#REF!</definedName>
    <definedName name="Table3">#REF!</definedName>
    <definedName name="tadao">#REF!</definedName>
    <definedName name="Tai_trong">#REF!</definedName>
    <definedName name="TaiSanDK">SUMIF(MACAPTGDK,"*"&amp;#REF!&amp;"*",SODUDKTG)</definedName>
    <definedName name="tam">{"Book1","BoQ2.XLS"}</definedName>
    <definedName name="TAMTINH">#REF!</definedName>
    <definedName name="TANBINH1">#REF!</definedName>
    <definedName name="TANBINH2">#REF!</definedName>
    <definedName name="tanggiam">#REF!</definedName>
    <definedName name="TANPHU">#REF!</definedName>
    <definedName name="TÄØNG_HÅÜP__DÆÛ_THÁÖU_VÁÛT_LIÃÛU___NHÁN_CÄNG___MAÏY_THI_CÄNG">#REF!</definedName>
    <definedName name="TÄØNG_HÅÜP_KINH_PHÊ_DÆÛ_THÁÖU_TBA2_50KVA__2_11_2_0_4KV">#REF!</definedName>
    <definedName name="TÄØNG_HÅÜP_KINH_PHÊ_DÆÛ_THÁU_ÂZ_0_4_KV">#REF!</definedName>
    <definedName name="TÄØNG_HÅÜP_KINH_PHÊ_TBA_3_50KVA__22_11_2_0_4KV">#REF!</definedName>
    <definedName name="TAPE">#N/A</definedName>
    <definedName name="TAPE단가">#N/A</definedName>
    <definedName name="TAPE재질명">#REF!</definedName>
    <definedName name="TARGET">#REF!</definedName>
    <definedName name="TaxTV">10%</definedName>
    <definedName name="TaxTV_1">10%</definedName>
    <definedName name="TaxXL">5%</definedName>
    <definedName name="TaxXL_1">5%</definedName>
    <definedName name="tb">#REF!</definedName>
    <definedName name="TB_Data">#REF!</definedName>
    <definedName name="Tb.18">#REF!</definedName>
    <definedName name="TBA">#REF!</definedName>
    <definedName name="tbCY">#REF!</definedName>
    <definedName name="tbl_ProdInfo" hidden="1">#REF!</definedName>
    <definedName name="tbtram">#REF!</definedName>
    <definedName name="TBV">#REF!</definedName>
    <definedName name="tbva">#REF!</definedName>
    <definedName name="tbvb">#REF!</definedName>
    <definedName name="tbvc">#REF!</definedName>
    <definedName name="TBVD">#REF!</definedName>
    <definedName name="TBXD">#REF!</definedName>
    <definedName name="tc" hidden="1">{#N/A,#N/A,FALSE,"단축1";#N/A,#N/A,FALSE,"단축2";#N/A,#N/A,FALSE,"단축3";#N/A,#N/A,FALSE,"장축";#N/A,#N/A,FALSE,"4WD"}</definedName>
    <definedName name="TC_NHANH1">#REF!</definedName>
    <definedName name="TC44HCUCHI">#REF!</definedName>
    <definedName name="TC44HHOCMON">#REF!</definedName>
    <definedName name="TC44QBINHCHANH">#REF!</definedName>
    <definedName name="TC44QBINHTAN">#REF!</definedName>
    <definedName name="TC44QBINHTHANH1">#REF!</definedName>
    <definedName name="TC44QBINHTHANH2">#REF!</definedName>
    <definedName name="TC44QGOVAP1">#REF!</definedName>
    <definedName name="TC44QGOVAP2">#REF!</definedName>
    <definedName name="TC44QPHUNHUAN">#REF!</definedName>
    <definedName name="TC44QTANBINH1">#REF!</definedName>
    <definedName name="TC44QTANBINH2">#REF!</definedName>
    <definedName name="TC44QTANPHU">#REF!</definedName>
    <definedName name="TC44QTHUDUC1">#REF!</definedName>
    <definedName name="TC44QTHUDUC2">#REF!</definedName>
    <definedName name="TC44QUAN1">#REF!</definedName>
    <definedName name="TC44QUAN10">#REF!</definedName>
    <definedName name="TC44QUAN11">#REF!</definedName>
    <definedName name="TC44QUAN12">#REF!</definedName>
    <definedName name="TC44QUAN2">#REF!</definedName>
    <definedName name="TC44QUAN32">#REF!</definedName>
    <definedName name="TC44QUAN4">#REF!</definedName>
    <definedName name="TC44QUAN5">#REF!</definedName>
    <definedName name="TC44QUAN6A">#REF!</definedName>
    <definedName name="TC44QUAN6B">#REF!</definedName>
    <definedName name="TC44QUAN7">#REF!</definedName>
    <definedName name="TC44QUAN8A">#REF!</definedName>
    <definedName name="TC44QUAN8B">#REF!</definedName>
    <definedName name="Tchuan">#REF!</definedName>
    <definedName name="tci" hidden="1">{#N/A,#N/A,FALSE,"단축1";#N/A,#N/A,FALSE,"단축2";#N/A,#N/A,FALSE,"단축3";#N/A,#N/A,FALSE,"장축";#N/A,#N/A,FALSE,"4WD"}</definedName>
    <definedName name="tcost">#REF!</definedName>
    <definedName name="td">#REF!</definedName>
    <definedName name="Td.18">#REF!</definedName>
    <definedName name="td10vl">#REF!</definedName>
    <definedName name="td12nc">#REF!</definedName>
    <definedName name="TD12vl">#REF!</definedName>
    <definedName name="td1p">#REF!</definedName>
    <definedName name="TD1p1nc">#REF!</definedName>
    <definedName name="td1p1vc">#REF!</definedName>
    <definedName name="TD1p1vl">#REF!</definedName>
    <definedName name="td3p">#REF!</definedName>
    <definedName name="TDctnc">#REF!</definedName>
    <definedName name="TDctvc">#REF!</definedName>
    <definedName name="TDctvl">#REF!</definedName>
    <definedName name="TDDZ04">#REF!</definedName>
    <definedName name="TDDZ22">#REF!</definedName>
    <definedName name="tdia">#REF!</definedName>
    <definedName name="TdinhQT">#REF!</definedName>
    <definedName name="tdnc1p">#REF!</definedName>
    <definedName name="tdo">#REF!</definedName>
    <definedName name="tdtr2cnc">#REF!</definedName>
    <definedName name="tdtr2cvl">#REF!</definedName>
    <definedName name="tdvl1p">#REF!</definedName>
    <definedName name="TEAM">#REF!</definedName>
    <definedName name="TenBang">#REF!</definedName>
    <definedName name="tenck">#REF!</definedName>
    <definedName name="TenCtr">#REF!</definedName>
    <definedName name="TenHMuc">#REF!</definedName>
    <definedName name="TenPhuong">#REF!</definedName>
    <definedName name="TenQuan">#REF!</definedName>
    <definedName name="TenQuocGia">#REF!</definedName>
    <definedName name="TenTinh">#REF!</definedName>
    <definedName name="TenVtu">#REF!</definedName>
    <definedName name="test">#REF!</definedName>
    <definedName name="text">#REF!</definedName>
    <definedName name="TG">#REF!</definedName>
    <definedName name="TGYHRTYRTY" hidden="1">{#N/A,#N/A,FALSE,"단축1";#N/A,#N/A,FALSE,"단축2";#N/A,#N/A,FALSE,"단축3";#N/A,#N/A,FALSE,"장축";#N/A,#N/A,FALSE,"4WD"}</definedName>
    <definedName name="th">#REF!</definedName>
    <definedName name="TH_VKHNN">#REF!</definedName>
    <definedName name="TH4B">#N/A</definedName>
    <definedName name="TH4S">#N/A</definedName>
    <definedName name="tha" hidden="1">{"'Sheet1'!$L$16"}</definedName>
    <definedName name="THACOBUS2" hidden="1">#REF!</definedName>
    <definedName name="THAINGUYEN">#REF!</definedName>
    <definedName name="thang">#REF!</definedName>
    <definedName name="THANG1">_a1Z,_a2Z,_a3Z</definedName>
    <definedName name="THANHHOA">#REF!</definedName>
    <definedName name="ThanhPhan">#REF!</definedName>
    <definedName name="thanhtien">#REF!</definedName>
    <definedName name="THCB">{"th152.xls"}</definedName>
    <definedName name="THDGia">#REF!</definedName>
    <definedName name="THDGia1">#REF!</definedName>
    <definedName name="the" hidden="1">{"'Sheet1'!$L$16"}</definedName>
    <definedName name="THEME_CODE">#REF!</definedName>
    <definedName name="THEP">#REF!</definedName>
    <definedName name="thepban">#REF!</definedName>
    <definedName name="thepto">#REF!</definedName>
    <definedName name="thetichck">#REF!</definedName>
    <definedName name="THFG">{"th152.xls"}</definedName>
    <definedName name="THFG_1">NA()</definedName>
    <definedName name="THGO1pnc">#REF!</definedName>
    <definedName name="thh">#REF!</definedName>
    <definedName name="thht">#REF!</definedName>
    <definedName name="THI">#REF!</definedName>
    <definedName name="thickness2">#REF!</definedName>
    <definedName name="THIENVU">{"th152.xls"}</definedName>
    <definedName name="THKP">#REF!</definedName>
    <definedName name="thkp3">#REF!</definedName>
    <definedName name="thoai" hidden="1">#REF!</definedName>
    <definedName name="THop2">#REF!</definedName>
    <definedName name="THT">#REF!</definedName>
    <definedName name="thtich1">#REF!</definedName>
    <definedName name="thtich2">#REF!</definedName>
    <definedName name="thtich3">#REF!</definedName>
    <definedName name="thtich4">#REF!</definedName>
    <definedName name="thtich5">#REF!</definedName>
    <definedName name="thtich6">#REF!</definedName>
    <definedName name="thtt">#REF!</definedName>
    <definedName name="THU_VIEN">#REF!</definedName>
    <definedName name="THUDUC1">#REF!</definedName>
    <definedName name="THUDUC2">#REF!</definedName>
    <definedName name="thue">#REF!</definedName>
    <definedName name="Thuong">#REF!</definedName>
    <definedName name="THUONG1">#REF!</definedName>
    <definedName name="THUONG2">#REF!</definedName>
    <definedName name="THUONG3">#REF!</definedName>
    <definedName name="THUONG4">#REF!</definedName>
    <definedName name="TI">#REF!</definedName>
    <definedName name="Tien">#REF!</definedName>
    <definedName name="TIENGIANG">#REF!</definedName>
    <definedName name="TileStone">#REF!</definedName>
    <definedName name="Tim_Lan_Xuat_Hien">#REF!</definedName>
    <definedName name="Tim_lan_xuat_hien_duong">#REF!</definedName>
    <definedName name="tim_xuat_hien">#REF!</definedName>
    <definedName name="TITAN">#REF!</definedName>
    <definedName name="TK">#REF!</definedName>
    <definedName name="TK_131___Phaíi_thu_khaïch_haìng">#REF!</definedName>
    <definedName name="TK_3334___Thuãú_thu_nháûp_doanh_nghiãûp">#REF!</definedName>
    <definedName name="TK_627k___Chi_phê_SXC___khoan">#REF!</definedName>
    <definedName name="TKCO">#N/A</definedName>
    <definedName name="TKCOÙ">#REF!</definedName>
    <definedName name="TKNK" hidden="1">{#N/A,#N/A,FALSE,"기초1"}</definedName>
    <definedName name="TKNO">#N/A</definedName>
    <definedName name="TKNO_NK">#N/A</definedName>
    <definedName name="TKNÔÏ">#REF!</definedName>
    <definedName name="TKYB">"TKYB"</definedName>
    <definedName name="TLAC120">#REF!</definedName>
    <definedName name="TLAC35">#REF!</definedName>
    <definedName name="TLAC50">#REF!</definedName>
    <definedName name="TLAC70">#REF!</definedName>
    <definedName name="TLAC95">#REF!</definedName>
    <definedName name="tlc" hidden="1">{"'Sheet1'!$L$16"}</definedName>
    <definedName name="Tle">#REF!</definedName>
    <definedName name="TLTT_KHO1">#REF!</definedName>
    <definedName name="TLTT_UOT1">#REF!</definedName>
    <definedName name="TLTT_UOT2">#REF!</definedName>
    <definedName name="TLTT_UOT3">#REF!</definedName>
    <definedName name="TLTT_UOT4">#REF!</definedName>
    <definedName name="TLTT_UOT5">#REF!</definedName>
    <definedName name="TLTT_UOT6">#REF!</definedName>
    <definedName name="TLTT_UOT7">#REF!</definedName>
    <definedName name="tluong">#REF!</definedName>
    <definedName name="TM">#N/A</definedName>
    <definedName name="tmda">#REF!</definedName>
    <definedName name="tmdb">#REF!</definedName>
    <definedName name="tmdc">#REF!</definedName>
    <definedName name="tmdd">#REF!</definedName>
    <definedName name="TMProtection">#REF!</definedName>
    <definedName name="TOANCAU" hidden="1">{"'Sheet1'!$L$16"}</definedName>
    <definedName name="TOÂNG">#REF!</definedName>
    <definedName name="tole">#REF!</definedName>
    <definedName name="ton">#REF!</definedName>
    <definedName name="Tong_nhom">#REF!</definedName>
    <definedName name="tongbt">#REF!</definedName>
    <definedName name="tongcong">#REF!</definedName>
    <definedName name="tongdientich">#REF!</definedName>
    <definedName name="TONGDUTOAN">#REF!</definedName>
    <definedName name="tongmay">#REF!</definedName>
    <definedName name="tongnc">#REF!</definedName>
    <definedName name="tongthep">#REF!</definedName>
    <definedName name="tongthetich">#REF!</definedName>
    <definedName name="tongvl">#REF!</definedName>
    <definedName name="TOOL_AID">#REF!</definedName>
    <definedName name="TOP">#REF!</definedName>
    <definedName name="TORK">#REF!</definedName>
    <definedName name="TOT_PR_1">#REF!</definedName>
    <definedName name="TOT_PR_2">#REF!</definedName>
    <definedName name="TOT_PR_3">#REF!</definedName>
    <definedName name="TOT_PR_4">#REF!</definedName>
    <definedName name="TOTAL">#REF!</definedName>
    <definedName name="Total__Company">#REF!</definedName>
    <definedName name="totald">#REF!</definedName>
    <definedName name="TOYOTA">#REF!</definedName>
    <definedName name="TPLRP">#REF!</definedName>
    <definedName name="TQT" hidden="1">{"'Sheet1'!$L$16"}</definedName>
    <definedName name="TR">#REF!</definedName>
    <definedName name="Tra_DM_su_dung">#REF!</definedName>
    <definedName name="Tra_don_gia_KS">#REF!</definedName>
    <definedName name="Tra_DTCT">#REF!</definedName>
    <definedName name="Tra_KS">#N/A</definedName>
    <definedName name="Tra_tim_hang_mucPT_trung">#REF!</definedName>
    <definedName name="Tra_TL">#REF!</definedName>
    <definedName name="Tra_ty_le2">#REF!</definedName>
    <definedName name="Tra_ty_le3">#REF!</definedName>
    <definedName name="Tra_ty_le4">#REF!</definedName>
    <definedName name="Tra_ty_le5">#REF!</definedName>
    <definedName name="TRA_VAT_LIEU">#REF!</definedName>
    <definedName name="TRA_VL">#REF!</definedName>
    <definedName name="Tracp">#REF!</definedName>
    <definedName name="TRADE2">#REF!</definedName>
    <definedName name="TRAM">#REF!</definedName>
    <definedName name="traTNHH">#REF!</definedName>
    <definedName name="TRAvH">#REF!</definedName>
    <definedName name="TRAVL">#REF!</definedName>
    <definedName name="TRISO">#REF!</definedName>
    <definedName name="trt">#REF!</definedName>
    <definedName name="trungthu">#REF!</definedName>
    <definedName name="ts">#REF!</definedName>
    <definedName name="tsI">#REF!</definedName>
    <definedName name="TT" hidden="1">{#N/A,#N/A,FALSE,"단축1";#N/A,#N/A,FALSE,"단축2";#N/A,#N/A,FALSE,"단축3";#N/A,#N/A,FALSE,"장축";#N/A,#N/A,FALSE,"4WD"}</definedName>
    <definedName name="TT_1P">#REF!</definedName>
    <definedName name="TT_3p">#REF!</definedName>
    <definedName name="ttam">#REF!</definedName>
    <definedName name="ttao">#REF!</definedName>
    <definedName name="ttbt">#REF!</definedName>
    <definedName name="TTDD1P">#REF!</definedName>
    <definedName name="TTDKKH">#REF!</definedName>
    <definedName name="ttgtt" hidden="1">{#N/A,#N/A,TRUE,"BT M200 da 10x20"}</definedName>
    <definedName name="TTHBCMTDKQII">#REF!</definedName>
    <definedName name="TTHBCMTDKT5">#REF!</definedName>
    <definedName name="TTHBCMTQI">#REF!</definedName>
    <definedName name="TTHBCMTT4">#REF!</definedName>
    <definedName name="tthi">#REF!</definedName>
    <definedName name="ttronmk">#REF!</definedName>
    <definedName name="ttt" hidden="1">{#N/A,#N/A,FALSE,"단축1";#N/A,#N/A,FALSE,"단축2";#N/A,#N/A,FALSE,"단축3";#N/A,#N/A,FALSE,"장축";#N/A,#N/A,FALSE,"4WD"}</definedName>
    <definedName name="ttttt0405">#REF!</definedName>
    <definedName name="tttttttttttu" hidden="1">{#N/A,#N/A,FALSE,0;#N/A,#N/A,FALSE,0;#N/A,#N/A,FALSE,0;#N/A,#N/A,FALSE,0;#N/A,#N/A,FALSE,0}</definedName>
    <definedName name="TUAN" hidden="1">{"'Sheet1'!$L$16"}</definedName>
    <definedName name="TUAN45">#REF!</definedName>
    <definedName name="TUAN46">#REF!</definedName>
    <definedName name="TUAN48">#REF!</definedName>
    <definedName name="TUAN49">#REF!</definedName>
    <definedName name="TUAN50">#REF!</definedName>
    <definedName name="TUAN51">#REF!</definedName>
    <definedName name="TUAN52">#REF!</definedName>
    <definedName name="TUBE">#REF!</definedName>
    <definedName name="tung">#REF!</definedName>
    <definedName name="tv75nc">#REF!</definedName>
    <definedName name="tv75vl">#REF!</definedName>
    <definedName name="tvah" hidden="1">{"'Sheet1'!$L$16"}</definedName>
    <definedName name="tvl">#REF!</definedName>
    <definedName name="TXB11QBINHCHANH">#REF!</definedName>
    <definedName name="TXB11QBINHTAN">#REF!</definedName>
    <definedName name="TXB11QBINHTHANH1">#REF!</definedName>
    <definedName name="TXB11QBINHTHANH2">#REF!</definedName>
    <definedName name="TXB11QCUCHI">#REF!</definedName>
    <definedName name="TXB11QGOVAP1">#REF!</definedName>
    <definedName name="TXB11QGOVAP2">#REF!</definedName>
    <definedName name="TXB11QHOCMON">#REF!</definedName>
    <definedName name="TXB11QPHUNHUAN">#REF!</definedName>
    <definedName name="TXB11QTANBINH1">#REF!</definedName>
    <definedName name="TXB11QTANBINH2">#REF!</definedName>
    <definedName name="TXB11QTANPHU">#REF!</definedName>
    <definedName name="TXB11QTHUDUC1">#REF!</definedName>
    <definedName name="TXB11QTHUDUC2">#REF!</definedName>
    <definedName name="TXB11QUAN1">#REF!</definedName>
    <definedName name="TXB11QUAN10">#REF!</definedName>
    <definedName name="TXB11QUAN11">#REF!</definedName>
    <definedName name="TXB11QUAN12">#REF!</definedName>
    <definedName name="TXB11QUAN2">#REF!</definedName>
    <definedName name="TXB11QUAN4">#REF!</definedName>
    <definedName name="TXB11QUAN6B">#REF!</definedName>
    <definedName name="TXB11QUAN7">#REF!</definedName>
    <definedName name="TXB11QUAN8A">#REF!</definedName>
    <definedName name="TXB11QUAN8B">#REF!</definedName>
    <definedName name="TXB44QUAN5">#REF!</definedName>
    <definedName name="TXB44QUAN6A">#REF!</definedName>
    <definedName name="TXL">#N/A</definedName>
    <definedName name="TY">#N/A</definedName>
    <definedName name="ty_le">#REF!</definedName>
    <definedName name="Ty_Le_1">#N/A</definedName>
    <definedName name="ty_le_BTN">#REF!</definedName>
    <definedName name="Ty_le1">#REF!</definedName>
    <definedName name="tygia">15716</definedName>
    <definedName name="TYT" localSheetId="2">BlankMacro1</definedName>
    <definedName name="TYT" localSheetId="1">BlankMacro1</definedName>
    <definedName name="TYT" localSheetId="3">BlankMacro1</definedName>
    <definedName name="TYT">BlankMacro1</definedName>
    <definedName name="tyuyu" hidden="1">{"'Sheet1'!$L$16"}</definedName>
    <definedName name="TYYYYY" hidden="1">{#N/A,#N/A,FALSE,"단축1";#N/A,#N/A,FALSE,"단축2";#N/A,#N/A,FALSE,"단축3";#N/A,#N/A,FALSE,"장축";#N/A,#N/A,FALSE,"4WD"}</definedName>
    <definedName name="T행">#REF!</definedName>
    <definedName name="u">#REF!</definedName>
    <definedName name="Ư">_a1O,_a2O,_a3O</definedName>
    <definedName name="ứ">{"Book1","BoQ2.XLS"}</definedName>
    <definedName name="u...Mèc_trang_trÛ">#N/A</definedName>
    <definedName name="ƯEFEEF">#REF!,#REF!,_a3O</definedName>
    <definedName name="ưewqewqewqewq" hidden="1">#REF!</definedName>
    <definedName name="ưewrwer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ừgreghr" hidden="1">{"'Sheet1'!$L$16"}</definedName>
    <definedName name="UIII" hidden="1">{"'Sheet1'!$L$16"}</definedName>
    <definedName name="UNIT">#REF!</definedName>
    <definedName name="Unit_FLGHT_CST">#REF!</definedName>
    <definedName name="UNIT_FWDG_CST">#REF!</definedName>
    <definedName name="unitt" localSheetId="2">BlankMacro1</definedName>
    <definedName name="unitt" localSheetId="1">BlankMacro1</definedName>
    <definedName name="unitt" localSheetId="3">BlankMacro1</definedName>
    <definedName name="unitt">BlankMacro1</definedName>
    <definedName name="UnPKG_CST">#REF!</definedName>
    <definedName name="UP">#REF!</definedName>
    <definedName name="ưqewrr" hidden="1">#REF!</definedName>
    <definedName name="USD">#REF!</definedName>
    <definedName name="ut" localSheetId="2">BlankMacro1</definedName>
    <definedName name="ut" localSheetId="1">BlankMacro1</definedName>
    <definedName name="ut" localSheetId="3">BlankMacro1</definedName>
    <definedName name="ut">BlankMacro1</definedName>
    <definedName name="UTILITY_SPECIFICATION">#N/A</definedName>
    <definedName name="utytrytryrtyeee" hidden="1">#REF!</definedName>
    <definedName name="UU">#REF!</definedName>
    <definedName name="uuuuuuu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UYL" hidden="1">{#N/A,#N/A,FALSE,"단축1";#N/A,#N/A,FALSE,"단축2";#N/A,#N/A,FALSE,"단축3";#N/A,#N/A,FALSE,"장축";#N/A,#N/A,FALSE,"4WD"}</definedName>
    <definedName name="U행">#REF!</definedName>
    <definedName name="v" hidden="1">{"'Sheet1'!$L$16"}</definedName>
    <definedName name="V_1">#N/A</definedName>
    <definedName name="V_2">#N/A</definedName>
    <definedName name="V_3">#N/A</definedName>
    <definedName name="V_4">#N/A</definedName>
    <definedName name="V_t_tõ">#REF!</definedName>
    <definedName name="v...GCLD_cæía_caïc_loaûi">#N/A</definedName>
    <definedName name="v...Queït_Väi__Sån">#N/A</definedName>
    <definedName name="V.1">#REF!</definedName>
    <definedName name="V.10">#REF!</definedName>
    <definedName name="V.11">#REF!</definedName>
    <definedName name="V.12">#REF!</definedName>
    <definedName name="V.13">#REF!</definedName>
    <definedName name="V.14">#REF!</definedName>
    <definedName name="V.15">#REF!</definedName>
    <definedName name="V.16">#REF!</definedName>
    <definedName name="V.17">#REF!</definedName>
    <definedName name="V.18">#REF!</definedName>
    <definedName name="V.2">#REF!</definedName>
    <definedName name="V.3">#REF!</definedName>
    <definedName name="V.4">#REF!</definedName>
    <definedName name="V.5">#REF!</definedName>
    <definedName name="V.6">#REF!</definedName>
    <definedName name="V.7">#REF!</definedName>
    <definedName name="V.8">#REF!</definedName>
    <definedName name="V.9">#REF!</definedName>
    <definedName name="VAÄT_LIEÄU">"ATRAM"</definedName>
    <definedName name="Value0">#REF!</definedName>
    <definedName name="Value1">#REF!</definedName>
    <definedName name="Value10">#REF!</definedName>
    <definedName name="Value11">#REF!</definedName>
    <definedName name="Value12">#REF!</definedName>
    <definedName name="Value13">#REF!</definedName>
    <definedName name="Value14">#REF!</definedName>
    <definedName name="Value15">#REF!</definedName>
    <definedName name="Value16">#REF!</definedName>
    <definedName name="Value17">#REF!</definedName>
    <definedName name="Value18">#REF!</definedName>
    <definedName name="Value19">#REF!</definedName>
    <definedName name="Value2">#REF!</definedName>
    <definedName name="Value20">#REF!</definedName>
    <definedName name="Value21">#REF!</definedName>
    <definedName name="Value22">#REF!</definedName>
    <definedName name="Value23">#REF!</definedName>
    <definedName name="Value24">#REF!</definedName>
    <definedName name="Value25">#REF!</definedName>
    <definedName name="Value26">#REF!</definedName>
    <definedName name="Value27">#REF!</definedName>
    <definedName name="Value28">#REF!</definedName>
    <definedName name="Value29">#REF!</definedName>
    <definedName name="Value3">#REF!</definedName>
    <definedName name="Value30">#REF!</definedName>
    <definedName name="Value31">#REF!</definedName>
    <definedName name="Value32">#REF!</definedName>
    <definedName name="Value33">#REF!</definedName>
    <definedName name="Value34">#REF!</definedName>
    <definedName name="Value35">#REF!</definedName>
    <definedName name="Value36">#REF!</definedName>
    <definedName name="Value37">#REF!</definedName>
    <definedName name="Value38">#REF!</definedName>
    <definedName name="Value39">#REF!</definedName>
    <definedName name="Value4">#REF!</definedName>
    <definedName name="Value40">#REF!</definedName>
    <definedName name="Value41">#REF!</definedName>
    <definedName name="Value42">#REF!</definedName>
    <definedName name="Value43">#REF!</definedName>
    <definedName name="Value44">#REF!</definedName>
    <definedName name="Value45">#REF!</definedName>
    <definedName name="Value46">#REF!</definedName>
    <definedName name="Value47">#REF!</definedName>
    <definedName name="Value48">#REF!</definedName>
    <definedName name="Value49">#REF!</definedName>
    <definedName name="Value5">#REF!</definedName>
    <definedName name="Value50">#REF!</definedName>
    <definedName name="Value51">#REF!</definedName>
    <definedName name="Value52">#REF!</definedName>
    <definedName name="Value53">#REF!</definedName>
    <definedName name="Value54">#REF!</definedName>
    <definedName name="Value55">#REF!</definedName>
    <definedName name="Value6">#REF!</definedName>
    <definedName name="Value7">#REF!</definedName>
    <definedName name="Value8">#REF!</definedName>
    <definedName name="Value9">#REF!</definedName>
    <definedName name="vanchuyen">#REF!</definedName>
    <definedName name="Var">#REF!</definedName>
    <definedName name="VARIINST">#REF!</definedName>
    <definedName name="VARIPURC">#REF!</definedName>
    <definedName name="VAS">#REF!</definedName>
    <definedName name="VAS_Trial_balance">#REF!</definedName>
    <definedName name="vat">5</definedName>
    <definedName name="vat_lieu_KVIII">#REF!</definedName>
    <definedName name="Vat_tu">#REF!</definedName>
    <definedName name="VatLieuKhac">#REF!</definedName>
    <definedName name="Vattu">#REF!</definedName>
    <definedName name="VB">#N/A</definedName>
    <definedName name="vbtchongnuocm300">#REF!</definedName>
    <definedName name="vbtm150">#REF!</definedName>
    <definedName name="vbtm300">#REF!</definedName>
    <definedName name="vbtm400">#REF!</definedName>
    <definedName name="VC">#REF!</definedName>
    <definedName name="vccot">#REF!</definedName>
    <definedName name="VCHT">#REF!</definedName>
    <definedName name="vctb">#REF!</definedName>
    <definedName name="VCTT">#REF!</definedName>
    <definedName name="VCVBT1">#REF!</definedName>
    <definedName name="VCVBT2">#REF!</definedName>
    <definedName name="vd3p">#REF!</definedName>
    <definedName name="vgcxvcxvxcvx" hidden="1">#REF!</definedName>
    <definedName name="VGFBGFNHGF">#REF!,#REF!,#REF!</definedName>
    <definedName name="Viet" hidden="1">{"'Sheet1'!$L$16"}</definedName>
    <definedName name="vinh">#REF!</definedName>
    <definedName name="VINHPHUC">#REF!</definedName>
    <definedName name="vkcauthang">#REF!</definedName>
    <definedName name="vksan">#REF!</definedName>
    <definedName name="vl">#REF!</definedName>
    <definedName name="vl1p">#REF!</definedName>
    <definedName name="vl3p">#REF!</definedName>
    <definedName name="Vlcap0.7">#REF!</definedName>
    <definedName name="VLcap1">#REF!</definedName>
    <definedName name="VLCT3p">#REF!</definedName>
    <definedName name="vldn400">#REF!</definedName>
    <definedName name="vldn600">#REF!</definedName>
    <definedName name="VLNC">#REF!</definedName>
    <definedName name="vlookup">#REF!</definedName>
    <definedName name="vltram">#REF!</definedName>
    <definedName name="vm">#N/A</definedName>
    <definedName name="vm1.">#N/A</definedName>
    <definedName name="vm2.">#N/A</definedName>
    <definedName name="vn1.">#N/A</definedName>
    <definedName name="vn2.">#N/A</definedName>
    <definedName name="VND">#REF!</definedName>
    <definedName name="vohungtrang" hidden="1">#REF!</definedName>
    <definedName name="vr3p">#REF!</definedName>
    <definedName name="VRHDF">#REF!</definedName>
    <definedName name="vt">#REF!</definedName>
    <definedName name="Vtb">#REF!</definedName>
    <definedName name="vtu">#REF!</definedName>
    <definedName name="VÙ">#REF!</definedName>
    <definedName name="Vua">#REF!</definedName>
    <definedName name="VUKUK1DKDK">#N/A</definedName>
    <definedName name="VUKUK1RTDKDK">#N/A</definedName>
    <definedName name="vung">#REF!</definedName>
    <definedName name="vungdcd">#REF!</definedName>
    <definedName name="vungdcl">#REF!</definedName>
    <definedName name="vungnhapk">#REF!</definedName>
    <definedName name="vungnhapl">#REF!</definedName>
    <definedName name="VUNGTAU">#REF!</definedName>
    <definedName name="VungTL">#REF!</definedName>
    <definedName name="vungxuatk">#REF!</definedName>
    <definedName name="vungxuatl">#REF!</definedName>
    <definedName name="VV">#REF!</definedName>
    <definedName name="vx" hidden="1">{"'Sheet1'!$L$16"}</definedName>
    <definedName name="Vxl">#REF!</definedName>
    <definedName name="Vxl_Vtb">#REF!</definedName>
    <definedName name="V행">#REF!</definedName>
    <definedName name="W">#REF!</definedName>
    <definedName name="wc">#REF!</definedName>
    <definedName name="WD">#REF!</definedName>
    <definedName name="WEFWEFREW">#N/A</definedName>
    <definedName name="wer">#REF!</definedName>
    <definedName name="werewtrytui" hidden="1">#REF!</definedName>
    <definedName name="WETRWEREWR" hidden="1">#REF!</definedName>
    <definedName name="WHRL" hidden="1">{#N/A,#N/A,FALSE,"단축1";#N/A,#N/A,FALSE,"단축2";#N/A,#N/A,FALSE,"단축3";#N/A,#N/A,FALSE,"장축";#N/A,#N/A,FALSE,"4WD"}</definedName>
    <definedName name="Width">2</definedName>
    <definedName name="Winpoints">3</definedName>
    <definedName name="WIRE1">5</definedName>
    <definedName name="WIRING">#REF!</definedName>
    <definedName name="WPF">#REF!</definedName>
    <definedName name="wrn" hidden="1">{#N/A,#N/A,FALSE,"단축1";#N/A,#N/A,FALSE,"단축2";#N/A,#N/A,FALSE,"단축3";#N/A,#N/A,FALSE,"장축";#N/A,#N/A,FALSE,"4WD"}</definedName>
    <definedName name="wrn.BAOCAO." hidden="1">{#N/A,#N/A,FALSE,"sum";#N/A,#N/A,FALSE,"MARTV";#N/A,#N/A,FALSE,"APRTV"}</definedName>
    <definedName name="wrn.chi._.tiÆt." hidden="1">{#N/A,#N/A,FALSE,"Chi tiÆt"}</definedName>
    <definedName name="wrn.chi._.tiÆt._1" hidden="1">{#N/A,#N/A,FALSE,"Chi tiÆt"}</definedName>
    <definedName name="wrn.Report." hidden="1">{"Offgrid",#N/A,FALSE,"OFFGRID";"Region",#N/A,FALSE,"REGION";"Offgrid -2",#N/A,FALSE,"OFFGRID";"WTP",#N/A,FALSE,"WTP";"WTP -2",#N/A,FALSE,"WTP";"Project",#N/A,FALSE,"PROJECT";"Summary -2",#N/A,FALSE,"SUMMARY"}</definedName>
    <definedName name="wrn.RPT.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rn.vd." hidden="1">{#N/A,#N/A,TRUE,"BT M200 da 10x20"}</definedName>
    <definedName name="wrn.기본." hidden="1">{#N/A,#N/A,FALSE,"강교";#N/A,#N/A,FALSE,"한전";#N/A,#N/A,FALSE,"중방";#N/A,#N/A,FALSE,"회소"}</definedName>
    <definedName name="wrn.기초자료." hidden="1">{#N/A,#N/A,FALSE,"기초1"}</definedName>
    <definedName name="wrn.기초자료ㅡ종합ㅡ5매." hidden="1">{#N/A,#N/A,FALSE,"기초1";#N/A,#N/A,FALSE,"기초2"}</definedName>
    <definedName name="wrn.사업계획." hidden="1">{#N/A,#N/A,FALSE,"사업"}</definedName>
    <definedName name="wrn.생산계획ㅡㅡ10매.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wrn.수량계획자료." hidden="1">{#N/A,#N/A,FALSE,"기초2"}</definedName>
    <definedName name="wrn.신규dep._.full._.set." hidden="1">{#N/A,#N/A,FALSE,"신규dep";#N/A,#N/A,FALSE,"신규dep-금형상각후";#N/A,#N/A,FALSE,"신규dep-연구비상각후";#N/A,#N/A,FALSE,"신규dep-기계,공구상각후"}</definedName>
    <definedName name="wrn.일실적." hidden="1">{#N/A,#N/A,FALSE,"일별실적"}</definedName>
    <definedName name="wrn.자판정비._.월간회의자료.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wrn.전부인쇄." hidden="1">{#N/A,#N/A,FALSE,"단축1";#N/A,#N/A,FALSE,"단축2";#N/A,#N/A,FALSE,"단축3";#N/A,#N/A,FALSE,"장축";#N/A,#N/A,FALSE,"4WD"}</definedName>
    <definedName name="wrnf.report" hidden="1">{"Offgrid",#N/A,FALSE,"OFFGRID";"Region",#N/A,FALSE,"REGION";"Offgrid -2",#N/A,FALSE,"OFFGRID";"WTP",#N/A,FALSE,"WTP";"WTP -2",#N/A,FALSE,"WTP";"Project",#N/A,FALSE,"PROJECT";"Summary -2",#N/A,FALSE,"SUMMARY"}</definedName>
    <definedName name="wrwetreyt" hidden="1">{"'Sheet1'!$L$16"}</definedName>
    <definedName name="ws">#REF!</definedName>
    <definedName name="WW">#REF!</definedName>
    <definedName name="W행">#REF!</definedName>
    <definedName name="W행1">#N/A</definedName>
    <definedName name="X">#REF!</definedName>
    <definedName name="X_hien">#N/A</definedName>
    <definedName name="x1_">#REF!</definedName>
    <definedName name="x1pind">#REF!</definedName>
    <definedName name="X1pINDnc">#REF!</definedName>
    <definedName name="X1pINDvc">#REF!</definedName>
    <definedName name="X1pINDvl">#REF!</definedName>
    <definedName name="x1ping">#REF!</definedName>
    <definedName name="X1pINGnc">#REF!</definedName>
    <definedName name="X1pINGvc">#REF!</definedName>
    <definedName name="X1pINGvl">#REF!</definedName>
    <definedName name="x1pint">#REF!</definedName>
    <definedName name="x2_">#REF!</definedName>
    <definedName name="X3_DATA">#N/A</definedName>
    <definedName name="XADZ04">#REF!</definedName>
    <definedName name="xâxaxxa" hidden="1">#REF!</definedName>
    <definedName name="XBCNCKT">5600</definedName>
    <definedName name="XCCDZ22">#REF!</definedName>
    <definedName name="XCCT">0.5</definedName>
    <definedName name="XD_00">169900</definedName>
    <definedName name="XD_01">272600</definedName>
    <definedName name="XD_02">301800</definedName>
    <definedName name="XD_03">309400</definedName>
    <definedName name="XD_04">309100</definedName>
    <definedName name="XD_05">114700</definedName>
    <definedName name="XD_06">26600</definedName>
    <definedName name="XD_07">0</definedName>
    <definedName name="XD_99">0</definedName>
    <definedName name="xd0.6">#REF!</definedName>
    <definedName name="xd1.3">#REF!</definedName>
    <definedName name="xd1.5">#REF!</definedName>
    <definedName name="xdasds" hidden="1">{"'Sheet1'!$L$16"}</definedName>
    <definedName name="xdasfsdgdg" hidden="1">{#N/A,#N/A,FALSE,"단축1";#N/A,#N/A,FALSE,"단축2";#N/A,#N/A,FALSE,"단축3";#N/A,#N/A,FALSE,"장축";#N/A,#N/A,FALSE,"4WD"}</definedName>
    <definedName name="XDAUTRAMDZ22">#REF!</definedName>
    <definedName name="XDCL">#N/A</definedName>
    <definedName name="XDDZ22">#REF!</definedName>
    <definedName name="XDGHDZ22">#REF!</definedName>
    <definedName name="XDHDZ22">#REF!</definedName>
    <definedName name="xdra">#N/A</definedName>
    <definedName name="xdsadsadsfd">#REF!</definedName>
    <definedName name="XDTDZ22">#REF!</definedName>
    <definedName name="Xeploai">#REF!</definedName>
    <definedName name="xfco">#REF!</definedName>
    <definedName name="xfco3p">#REF!</definedName>
    <definedName name="XFCOnc">#REF!</definedName>
    <definedName name="xfcotnc">#REF!</definedName>
    <definedName name="xfcotvl">#REF!</definedName>
    <definedName name="XFCOvl">#REF!</definedName>
    <definedName name="XFTDZ22">#REF!</definedName>
    <definedName name="xh">#REF!</definedName>
    <definedName name="xhn">#REF!</definedName>
    <definedName name="xig">#REF!</definedName>
    <definedName name="xig1">#REF!</definedName>
    <definedName name="xig1p">#REF!</definedName>
    <definedName name="xig3p">#REF!</definedName>
    <definedName name="XIGnc">#REF!</definedName>
    <definedName name="xignc3p">#REF!</definedName>
    <definedName name="XIGvc">#REF!</definedName>
    <definedName name="XIGvl">#REF!</definedName>
    <definedName name="xigvl3p">#REF!</definedName>
    <definedName name="ximang">#N/A</definedName>
    <definedName name="xin">#REF!</definedName>
    <definedName name="xin190">#REF!</definedName>
    <definedName name="xin1903p">#REF!</definedName>
    <definedName name="xin2903p">#REF!</definedName>
    <definedName name="xin290nc3p">#REF!</definedName>
    <definedName name="xin290vl3p">#REF!</definedName>
    <definedName name="xin3p">#REF!</definedName>
    <definedName name="xind">#REF!</definedName>
    <definedName name="xind1p">#REF!</definedName>
    <definedName name="xind3p">#REF!</definedName>
    <definedName name="xindnc1p">#REF!</definedName>
    <definedName name="xindvl1p">#REF!</definedName>
    <definedName name="xing1p">#REF!</definedName>
    <definedName name="xingnc1p">#REF!</definedName>
    <definedName name="xingvl1p">#REF!</definedName>
    <definedName name="XINnc">#REF!</definedName>
    <definedName name="xinnc3p">#REF!</definedName>
    <definedName name="xint1p">#REF!</definedName>
    <definedName name="XINvc">#REF!</definedName>
    <definedName name="XINvl">#REF!</definedName>
    <definedName name="xinvl3p">#REF!</definedName>
    <definedName name="xit">#REF!</definedName>
    <definedName name="xit1">#REF!</definedName>
    <definedName name="xit1p">#REF!</definedName>
    <definedName name="xit2nc3p">#REF!</definedName>
    <definedName name="xit2vl3p">#REF!</definedName>
    <definedName name="xit3p">#REF!</definedName>
    <definedName name="XITnc">#REF!</definedName>
    <definedName name="xitnc3p">#REF!</definedName>
    <definedName name="XITvc">#REF!</definedName>
    <definedName name="XITvl">#REF!</definedName>
    <definedName name="xitvl3p">#REF!</definedName>
    <definedName name="xk0.6">#REF!</definedName>
    <definedName name="xk1.3">#REF!</definedName>
    <definedName name="xk1.5">#REF!</definedName>
    <definedName name="xl">#REF!</definedName>
    <definedName name="xlc">#REF!</definedName>
    <definedName name="xld1.4">#REF!</definedName>
    <definedName name="xlk">#REF!</definedName>
    <definedName name="xlk1.4">#REF!</definedName>
    <definedName name="XLOAI2">#REF!</definedName>
    <definedName name="xm">#REF!</definedName>
    <definedName name="xmcax">#REF!</definedName>
    <definedName name="xmp40">#REF!</definedName>
    <definedName name="xn">#REF!</definedName>
    <definedName name="XNDZ22">#REF!</definedName>
    <definedName name="XNHDZ22">#REF!</definedName>
    <definedName name="XNTDZ22">#REF!</definedName>
    <definedName name="xoanhapk">#REF!,#REF!</definedName>
    <definedName name="xoanhapl">#REF!,#REF!</definedName>
    <definedName name="xoaxuatk">#REF!</definedName>
    <definedName name="xoaxuatl">#REF!</definedName>
    <definedName name="XPSDZ22">#REF!</definedName>
    <definedName name="xsasasqwqw" hidden="1">{#N/A,#N/A,FALSE,"기초1";#N/A,#N/A,FALSE,"기초2"}</definedName>
    <definedName name="XTKKTTC">7500</definedName>
    <definedName name="XUAÁT">#REF!</definedName>
    <definedName name="Xuân">#REF!</definedName>
    <definedName name="xuattra">#REF!</definedName>
    <definedName name="XuatTT">#REF!</definedName>
    <definedName name="XUATXMTRANG">#REF!</definedName>
    <definedName name="xx">#REF!</definedName>
    <definedName name="XXMDEN">#REF!</definedName>
    <definedName name="XXX" hidden="1">{"'Sheet1'!$L$16"}</definedName>
    <definedName name="xxxs">#REF!</definedName>
    <definedName name="XXXXX" hidden="1">{#N/A,#N/A,FALSE,"단축1";#N/A,#N/A,FALSE,"단축2";#N/A,#N/A,FALSE,"단축3";#N/A,#N/A,FALSE,"장축";#N/A,#N/A,FALSE,"4WD"}</definedName>
    <definedName name="X행">#REF!</definedName>
    <definedName name="y">#REF!</definedName>
    <definedName name="YEAR2005_NPP_BAC">#REF!</definedName>
    <definedName name="YEAR2005_NPP_DONG">#REF!</definedName>
    <definedName name="YEAR2005_NPP_HCM">#REF!</definedName>
    <definedName name="YEAR2005_NPP_KA">#REF!</definedName>
    <definedName name="YEAR2005_NPP_ST">#REF!</definedName>
    <definedName name="YEAR2005_NPP_TAY">#REF!</definedName>
    <definedName name="YEAR2005_NPP_trung">#REF!</definedName>
    <definedName name="YEAR2006_NPP_BAC">#REF!</definedName>
    <definedName name="YEAR2006_NPP_DONG">#REF!</definedName>
    <definedName name="YEAR2006_NPP_HCM">#REF!</definedName>
    <definedName name="YEAR2006_NPP_KA">#REF!</definedName>
    <definedName name="YEAR2006_NPP_ST">#REF!</definedName>
    <definedName name="YEAR2006_NPP_TAY">#REF!</definedName>
    <definedName name="YEAR2006_NPP_TRUNG">#REF!</definedName>
    <definedName name="YEN">#N/A</definedName>
    <definedName name="yvy">#REF!</definedName>
    <definedName name="YY">#REF!</definedName>
    <definedName name="YYHY" hidden="1">{#N/A,#N/A,FALSE,"단축1";#N/A,#N/A,FALSE,"단축2";#N/A,#N/A,FALSE,"단축3";#N/A,#N/A,FALSE,"장축";#N/A,#N/A,FALSE,"4WD"}</definedName>
    <definedName name="z">#REF!</definedName>
    <definedName name="Z___Hang_muc_1">#REF!</definedName>
    <definedName name="z___Hang_muc_2">#REF!</definedName>
    <definedName name="z___Hang_muc_3">#REF!</definedName>
    <definedName name="z___Hang_muc_4">#REF!</definedName>
    <definedName name="z___Hang_muc_5">#REF!</definedName>
    <definedName name="zdfsfsdfsdf" hidden="1">#REF!</definedName>
    <definedName name="Zip">#REF!</definedName>
    <definedName name="ZXD">#REF!</definedName>
    <definedName name="ZYX">#REF!</definedName>
    <definedName name="ZZ">#REF!</definedName>
    <definedName name="ZZZ">#REF!</definedName>
    <definedName name="π">PI()</definedName>
    <definedName name="ㄱ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ㄱㅇ" hidden="1">{#N/A,#N/A,FALSE,"단축1";#N/A,#N/A,FALSE,"단축2";#N/A,#N/A,FALSE,"단축3";#N/A,#N/A,FALSE,"장축";#N/A,#N/A,FALSE,"4WD"}</definedName>
    <definedName name="가">#N/A</definedName>
    <definedName name="가공">#N/A</definedName>
    <definedName name="가공비계">#REF!</definedName>
    <definedName name="가공비자료">#N/A</definedName>
    <definedName name="가공비정보">#REF!</definedName>
    <definedName name="개발일정표">#REF!</definedName>
    <definedName name="개선과정" hidden="1">{#N/A,#N/A,FALSE,"단축1";#N/A,#N/A,FALSE,"단축2";#N/A,#N/A,FALSE,"단축3";#N/A,#N/A,FALSE,"장축";#N/A,#N/A,FALSE,"4WD"}</definedName>
    <definedName name="개선사례">#N/A</definedName>
    <definedName name="건물상각년수">#N/A</definedName>
    <definedName name="경비계">#REF!</definedName>
    <definedName name="경영CODE">#REF!,#REF!</definedName>
    <definedName name="경영계획">#REF!</definedName>
    <definedName name="계">#REF!</definedName>
    <definedName name="계상산">#REF!</definedName>
    <definedName name="계승산">#REF!</definedName>
    <definedName name="계약91">#REF!</definedName>
    <definedName name="계전산">#REF!</definedName>
    <definedName name="계획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고무">#N/A</definedName>
    <definedName name="공정1">#REF!</definedName>
    <definedName name="공정10">#REF!</definedName>
    <definedName name="공정11">#REF!</definedName>
    <definedName name="공정2">#REF!</definedName>
    <definedName name="공정3">#REF!</definedName>
    <definedName name="공정4">#REF!</definedName>
    <definedName name="공정5">#REF!</definedName>
    <definedName name="공정6">#REF!</definedName>
    <definedName name="공정7">#REF!</definedName>
    <definedName name="공정8">#REF!</definedName>
    <definedName name="공정9">#REF!</definedName>
    <definedName name="공정TABLE">#REF!</definedName>
    <definedName name="구list">#N/A</definedName>
    <definedName name="구분">#REF!</definedName>
    <definedName name="그것">#REF!</definedName>
    <definedName name="금형비">#REF!</definedName>
    <definedName name="금형상각기준">#REF!</definedName>
    <definedName name="기">#REF!</definedName>
    <definedName name="기계상각년수">#N/A</definedName>
    <definedName name="기아">#N/A</definedName>
    <definedName name="기안3">#REF!</definedName>
    <definedName name="기안갑">#REF!</definedName>
    <definedName name="기안서">#REF!</definedName>
    <definedName name="기안용지">#REF!</definedName>
    <definedName name="기안을">#REF!</definedName>
    <definedName name="기안을지">#REF!</definedName>
    <definedName name="기준월">#REF!</definedName>
    <definedName name="기타">#REF!</definedName>
    <definedName name="길이">#REF!</definedName>
    <definedName name="김영준">#REF!</definedName>
    <definedName name="ㄴ" hidden="1">{#N/A,#N/A,FALSE,"강교";#N/A,#N/A,FALSE,"한전";#N/A,#N/A,FALSE,"중방";#N/A,#N/A,FALSE,"회소"}</definedName>
    <definedName name="ㄴㄴ">#REF!</definedName>
    <definedName name="ㄴㄴㄴ">#N/A</definedName>
    <definedName name="ㄴㄹㄹ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ㄴㅇㄹㅁㄴㄹ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나">#REF!</definedName>
    <definedName name="나현상">#N/A</definedName>
    <definedName name="난이도">#REF!</definedName>
    <definedName name="납품보고">#N/A</definedName>
    <definedName name="내장">#N/A</definedName>
    <definedName name="년간작업시간">#N/A</definedName>
    <definedName name="년도__실적추정은_건설이자_미포">#N/A</definedName>
    <definedName name="노무비계">#REF!</definedName>
    <definedName name="니">#REF!</definedName>
    <definedName name="ㄷ">#REF!</definedName>
    <definedName name="ㄷㄱ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다">#REF!</definedName>
    <definedName name="다리미">_a1Z,_a2Z,_a3Z</definedName>
    <definedName name="다리미_15">#REF!,#REF!,#REF!</definedName>
    <definedName name="단가결정내역">#REF!</definedName>
    <definedName name="단계작동">#REF!</definedName>
    <definedName name="단위">1000</definedName>
    <definedName name="담당자">#REF!</definedName>
    <definedName name="대구목표누계">#N/A</definedName>
    <definedName name="대구실적누계">#REF!</definedName>
    <definedName name="대림PL">#N/A</definedName>
    <definedName name="대표자">#N/A</definedName>
    <definedName name="대회">#REF!</definedName>
    <definedName name="도어" hidden="1">#REF!</definedName>
    <definedName name="도어1" hidden="1">#REF!</definedName>
    <definedName name="도장사양기술" hidden="1">{#N/A,#N/A,FALSE,"강교";#N/A,#N/A,FALSE,"한전";#N/A,#N/A,FALSE,"중방";#N/A,#N/A,FALSE,"회소"}</definedName>
    <definedName name="동반진출">#N/A</definedName>
    <definedName name="동시작동">#REF!</definedName>
    <definedName name="두께">#REF!</definedName>
    <definedName name="또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ㄹㄹㄹ">#REF!</definedName>
    <definedName name="라">#REF!</definedName>
    <definedName name="랑해" hidden="1">#N/A</definedName>
    <definedName name="ㅁ">#N/A</definedName>
    <definedName name="ㅁ1">#N/A</definedName>
    <definedName name="ㅁ1430">#REF!</definedName>
    <definedName name="ㅁ169">#REF!</definedName>
    <definedName name="ㅁ65">#N/A</definedName>
    <definedName name="ㅁddd">#REF!</definedName>
    <definedName name="ㅁㄴ" hidden="1">{#N/A,#N/A,FALSE,"단축1";#N/A,#N/A,FALSE,"단축2";#N/A,#N/A,FALSE,"단축3";#N/A,#N/A,FALSE,"장축";#N/A,#N/A,FALSE,"4WD"}</definedName>
    <definedName name="ㅁㄴㄹㅁㄹ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ㄴㅇ" hidden="1">{#N/A,#N/A,FALSE,"기초2"}</definedName>
    <definedName name="ㅁㄴㅇㄹ" hidden="1">{#N/A,#N/A,FALSE,"단축1";#N/A,#N/A,FALSE,"단축2";#N/A,#N/A,FALSE,"단축3";#N/A,#N/A,FALSE,"장축";#N/A,#N/A,FALSE,"4WD"}</definedName>
    <definedName name="ㅁㄴㅇㄹ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ㅁ">#REF!</definedName>
    <definedName name="ㅁㅁㅁ">#N/A</definedName>
    <definedName name="ㅁㅁㅁㅁㅁ">#N/A</definedName>
    <definedName name="ㅁㅁㅁㅁㅁㅁ">#N/A</definedName>
    <definedName name="ㅁㅂ">#REF!</definedName>
    <definedName name="ㅁㅇㄹ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마">#REF!</definedName>
    <definedName name="만">#REF!</definedName>
    <definedName name="목표변동2">#N/A</definedName>
    <definedName name="무쏘TOTAL">#REF!</definedName>
    <definedName name="무영" hidden="1">#REF!</definedName>
    <definedName name="문서처리" hidden="1">{#N/A,#N/A,FALSE,"단축1";#N/A,#N/A,FALSE,"단축2";#N/A,#N/A,FALSE,"단축3";#N/A,#N/A,FALSE,"장축";#N/A,#N/A,FALSE,"4WD"}</definedName>
    <definedName name="문처">#REF!</definedName>
    <definedName name="물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미안">#REF!</definedName>
    <definedName name="ㅂ">#REF!</definedName>
    <definedName name="ㅂㅂㅂ" hidden="1">{#N/A,#N/A,FALSE,"단축1";#N/A,#N/A,FALSE,"단축2";#N/A,#N/A,FALSE,"단축3";#N/A,#N/A,FALSE,"장축";#N/A,#N/A,FALSE,"4WD"}</definedName>
    <definedName name="바">#REF!</definedName>
    <definedName name="바다" hidden="1">{#N/A,#N/A,FALSE,"단축1";#N/A,#N/A,FALSE,"단축2";#N/A,#N/A,FALSE,"단축3";#N/A,#N/A,FALSE,"장축";#N/A,#N/A,FALSE,"4WD"}</definedName>
    <definedName name="박종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발">#REF!</definedName>
    <definedName name="발주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방진고무" hidden="1">{#N/A,#N/A,FALSE,"단축1";#N/A,#N/A,FALSE,"단축2";#N/A,#N/A,FALSE,"단축3";#N/A,#N/A,FALSE,"장축";#N/A,#N/A,FALSE,"4WD"}</definedName>
    <definedName name="백만">1000000</definedName>
    <definedName name="베네">#N/A</definedName>
    <definedName name="벨트" hidden="1">#REF!</definedName>
    <definedName name="변경">#REF!</definedName>
    <definedName name="변경표">#N/A</definedName>
    <definedName name="보고" hidden="1">{#N/A,#N/A,FALSE,"단축1";#N/A,#N/A,FALSE,"단축2";#N/A,#N/A,FALSE,"단축3";#N/A,#N/A,FALSE,"장축";#N/A,#N/A,FALSE,"4WD"}</definedName>
    <definedName name="보고1">#REF!</definedName>
    <definedName name="보고2">#REF!</definedName>
    <definedName name="보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부___문">#N/A</definedName>
    <definedName name="부문">#N/A</definedName>
    <definedName name="ㅅㄷㄴㅅ">#N/A</definedName>
    <definedName name="사">#REF!</definedName>
    <definedName name="사급">#REF!</definedName>
    <definedName name="사라">_a1O,_a2O,_a3O</definedName>
    <definedName name="사라_15">#REF!,#REF!,#REF!</definedName>
    <definedName name="사업" hidden="1">{#N/A,#N/A,FALSE,"사업"}</definedName>
    <definedName name="사업부문">#N/A</definedName>
    <definedName name="사업투자">#REF!</definedName>
    <definedName name="산폐">#N/A</definedName>
    <definedName name="산폐비">#REF!</definedName>
    <definedName name="생산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생산.SPA">#REF!</definedName>
    <definedName name="생산.SPG">#REF!</definedName>
    <definedName name="생산95">#N/A</definedName>
    <definedName name="생산96">#N/A</definedName>
    <definedName name="생산97">#N/A</definedName>
    <definedName name="생산98">#N/A</definedName>
    <definedName name="생산CODE">#REF!,#REF!,#REF!,#REF!</definedName>
    <definedName name="생산계획">#REF!</definedName>
    <definedName name="생산대수">#REF!</definedName>
    <definedName name="서부목표누계">#REF!</definedName>
    <definedName name="서부산목표누계">#N/A</definedName>
    <definedName name="서부산실적누계">#REF!</definedName>
    <definedName name="서부실적누계">#REF!</definedName>
    <definedName name="서비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성남목표누계">#REF!</definedName>
    <definedName name="성남실적누계">#REF!</definedName>
    <definedName name="세왕123" hidden="1">{#N/A,#N/A,FALSE,"단축1";#N/A,#N/A,FALSE,"단축2";#N/A,#N/A,FALSE,"단축3";#N/A,#N/A,FALSE,"장축";#N/A,#N/A,FALSE,"4WD"}</definedName>
    <definedName name="소">#REF!</definedName>
    <definedName name="소재">#N/A</definedName>
    <definedName name="수고" hidden="1">{#N/A,#N/A,FALSE,"기초2"}</definedName>
    <definedName name="수량">#REF!</definedName>
    <definedName name="수정">#REF!</definedName>
    <definedName name="수첩제작">#REF!</definedName>
    <definedName name="수통" hidden="1">{#N/A,#N/A,FALSE,"단축1";#N/A,#N/A,FALSE,"단축2";#N/A,#N/A,FALSE,"단축3";#N/A,#N/A,FALSE,"장축";#N/A,#N/A,FALSE,"4WD"}</definedName>
    <definedName name="순서">#N/A</definedName>
    <definedName name="승상용">#REF!</definedName>
    <definedName name="시기조정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시험">#N/A</definedName>
    <definedName name="신">#N/A</definedName>
    <definedName name="신규">#N/A</definedName>
    <definedName name="신용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실적" hidden="1">{#N/A,#N/A,FALSE,"기초1"}</definedName>
    <definedName name="ㅇ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ㅇㄹㄴㄴㅇㄹㅇㄹ">#N/A</definedName>
    <definedName name="아">#REF!</definedName>
    <definedName name="아아">#N/A</definedName>
    <definedName name="아앙">#N/A</definedName>
    <definedName name="아ㅣㅇ">#N/A</definedName>
    <definedName name="아ㅣ아">#N/A</definedName>
    <definedName name="앙">#N/A</definedName>
    <definedName name="액슬" hidden="1">{#N/A,#N/A,FALSE,"단축1";#N/A,#N/A,FALSE,"단축2";#N/A,#N/A,FALSE,"단축3";#N/A,#N/A,FALSE,"장축";#N/A,#N/A,FALSE,"4WD"}</definedName>
    <definedName name="양대호" hidden="1">{#N/A,#N/A,FALSE,"단축1";#N/A,#N/A,FALSE,"단축2";#N/A,#N/A,FALSE,"단축3";#N/A,#N/A,FALSE,"장축";#N/A,#N/A,FALSE,"4WD"}</definedName>
    <definedName name="양산목표누계">#N/A</definedName>
    <definedName name="양산실적누계">#REF!</definedName>
    <definedName name="어쩌구">#REF!</definedName>
    <definedName name="업종">#REF!</definedName>
    <definedName name="업종선택">#REF!</definedName>
    <definedName name="업체">#REF!</definedName>
    <definedName name="업체명">#N/A</definedName>
    <definedName name="업체방문" hidden="1">{#N/A,#N/A,FALSE,"단축1";#N/A,#N/A,FALSE,"단축2";#N/A,#N/A,FALSE,"단축3";#N/A,#N/A,FALSE,"장축";#N/A,#N/A,FALSE,"4WD"}</definedName>
    <definedName name="업체별">#REF!</definedName>
    <definedName name="업체주소">#N/A</definedName>
    <definedName name="업체현황">#REF!</definedName>
    <definedName name="엉댜ㄷㅈ">#N/A</definedName>
    <definedName name="엉댜ㄷㅈ1">#N/A</definedName>
    <definedName name="에어벤트" hidden="1">{#N/A,#N/A,FALSE,"단축1";#N/A,#N/A,FALSE,"단축2";#N/A,#N/A,FALSE,"단축3";#N/A,#N/A,FALSE,"장축";#N/A,#N/A,FALSE,"4WD"}</definedName>
    <definedName name="여유분">#REF!</definedName>
    <definedName name="연구CODE">#N/A</definedName>
    <definedName name="연료펌프" hidden="1">#REF!</definedName>
    <definedName name="영업통보">#N/A</definedName>
    <definedName name="예상EO">#REF!</definedName>
    <definedName name="오">#N/A</definedName>
    <definedName name="외__감">#N/A</definedName>
    <definedName name="요청자료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운반CAP">#N/A</definedName>
    <definedName name="원">1</definedName>
    <definedName name="원가">#N/A</definedName>
    <definedName name="원가계산서">#REF!</definedName>
    <definedName name="원단위">#REF!</definedName>
    <definedName name="유첨" hidden="1">#N/A</definedName>
    <definedName name="유효면적">#N/A</definedName>
    <definedName name="을">#REF!</definedName>
    <definedName name="의장">#N/A</definedName>
    <definedName name="이">_a1O,_a2O,_a3O</definedName>
    <definedName name="이_15">#REF!,#REF!,#REF!</definedName>
    <definedName name="이란" hidden="1">{#N/A,#N/A,FALSE,"단축1";#N/A,#N/A,FALSE,"단축2";#N/A,#N/A,FALSE,"단축3";#N/A,#N/A,FALSE,"장축";#N/A,#N/A,FALSE,"4WD"}</definedName>
    <definedName name="이윤">#REF!</definedName>
    <definedName name="이윤율">#REF!</definedName>
    <definedName name="이종옥">#REF!</definedName>
    <definedName name="인몰드2" hidden="1">{#N/A,#N/A,FALSE,"단축1";#N/A,#N/A,FALSE,"단축2";#N/A,#N/A,FALSE,"단축3";#N/A,#N/A,FALSE,"장축";#N/A,#N/A,FALSE,"4WD"}</definedName>
    <definedName name="인몰드성형" hidden="1">{#N/A,#N/A,FALSE,"단축1";#N/A,#N/A,FALSE,"단축2";#N/A,#N/A,FALSE,"단축3";#N/A,#N/A,FALSE,"장축";#N/A,#N/A,FALSE,"4WD"}</definedName>
    <definedName name="인원">#N/A</definedName>
    <definedName name="인천목표누계">#N/A</definedName>
    <definedName name="인천실적누계">#REF!</definedName>
    <definedName name="일관비">#REF!</definedName>
    <definedName name="일관비율">#REF!</definedName>
    <definedName name="일괄인쇄">#N/A</definedName>
    <definedName name="일반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일반CODE">#REF!,#REF!,#REF!,#REF!,#REF!,#REF!,#REF!,#REF!,#REF!,#REF!</definedName>
    <definedName name="일반현황">#REF!</definedName>
    <definedName name="임률">#REF!</definedName>
    <definedName name="임율">#REF!</definedName>
    <definedName name="임율DATA">#REF!</definedName>
    <definedName name="임율선택">#REF!</definedName>
    <definedName name="ㅇㄻㄴㅇㄻㄴ">#REF!</definedName>
    <definedName name="ㅈ" hidden="1">#REF!</definedName>
    <definedName name="ㅈㄷㄱㅈㅁㄷㅅ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ㅈㅈㅈ" hidden="1">{#N/A,#N/A,FALSE,"단축1";#N/A,#N/A,FALSE,"단축2";#N/A,#N/A,FALSE,"단축3";#N/A,#N/A,FALSE,"장축";#N/A,#N/A,FALSE,"4WD"}</definedName>
    <definedName name="ㅈㅈㅈㅈ" hidden="1">{#N/A,#N/A,FALSE,"단축1";#N/A,#N/A,FALSE,"단축2";#N/A,#N/A,FALSE,"단축3";#N/A,#N/A,FALSE,"장축";#N/A,#N/A,FALSE,"4WD"}</definedName>
    <definedName name="자">#REF!</definedName>
    <definedName name="자라" hidden="1">{#N/A,#N/A,FALSE,"단축1";#N/A,#N/A,FALSE,"단축2";#N/A,#N/A,FALSE,"단축3";#N/A,#N/A,FALSE,"장축";#N/A,#N/A,FALSE,"4WD"}</definedName>
    <definedName name="자료정리" hidden="1">{#N/A,#N/A,FALSE,"단축1";#N/A,#N/A,FALSE,"단축2";#N/A,#N/A,FALSE,"단축3";#N/A,#N/A,FALSE,"장축";#N/A,#N/A,FALSE,"4WD"}</definedName>
    <definedName name="작성">#REF!</definedName>
    <definedName name="작성일">#REF!</definedName>
    <definedName name="장기투자.94.BB">#REF!</definedName>
    <definedName name="장비효율">#N/A</definedName>
    <definedName name="재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재관비">#REF!</definedName>
    <definedName name="재관비율">#REF!</definedName>
    <definedName name="재료단가">#REF!</definedName>
    <definedName name="재료비">#REF!</definedName>
    <definedName name="재료비계">#REF!</definedName>
    <definedName name="재질">#REF!</definedName>
    <definedName name="재질LIST">#N/A</definedName>
    <definedName name="재질명">#REF!</definedName>
    <definedName name="저쩌구">#REF!</definedName>
    <definedName name="전">#REF!</definedName>
    <definedName name="전력단가">#N/A</definedName>
    <definedName name="전자시">#N/A</definedName>
    <definedName name="전장">#N/A</definedName>
    <definedName name="전장DOM">#N/A</definedName>
    <definedName name="전체업체">#N/A</definedName>
    <definedName name="전후">#N/A</definedName>
    <definedName name="정비대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제목">#REF!</definedName>
    <definedName name="제조" hidden="1">{#N/A,#N/A,FALSE,"사업"}</definedName>
    <definedName name="제조원가">#REF!</definedName>
    <definedName name="조달단위전체">#REF!</definedName>
    <definedName name="주소">#N/A</definedName>
    <definedName name="주요업무실적">#REF!</definedName>
    <definedName name="주택사업본부">#REF!</definedName>
    <definedName name="주해" hidden="1">#REF!</definedName>
    <definedName name="준비시간은__가동율_80__적용반영">#REF!</definedName>
    <definedName name="중">#REF!</definedName>
    <definedName name="중복.13">"?A*"</definedName>
    <definedName name="중복.22">#N/A</definedName>
    <definedName name="중복.4">#N/A</definedName>
    <definedName name="중부목표누계">#N/A</definedName>
    <definedName name="중부실적누계">#REF!</definedName>
    <definedName name="중앙" hidden="1">{#N/A,#N/A,FALSE,"단축1";#N/A,#N/A,FALSE,"단축2";#N/A,#N/A,FALSE,"단축3";#N/A,#N/A,FALSE,"장축";#N/A,#N/A,FALSE,"4WD"}</definedName>
    <definedName name="지경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진급">#REF!</definedName>
    <definedName name="진출업체1">#N/A</definedName>
    <definedName name="진출의사보유" hidden="1">{#N/A,#N/A,FALSE,"단축1";#N/A,#N/A,FALSE,"단축2";#N/A,#N/A,FALSE,"단축3";#N/A,#N/A,FALSE,"장축";#N/A,#N/A,FALSE,"4WD"}</definedName>
    <definedName name="집게표1">#REF!</definedName>
    <definedName name="집계">#REF!</definedName>
    <definedName name="차">#REF!</definedName>
    <definedName name="차종">#REF!</definedName>
    <definedName name="차종선택">#REF!</definedName>
    <definedName name="차체BODY">#REF!</definedName>
    <definedName name="차체MOV">#N/A</definedName>
    <definedName name="참석자현황2차">#N/A</definedName>
    <definedName name="창동목표누계">#REF!</definedName>
    <definedName name="창동실적누계">#REF!</definedName>
    <definedName name="철구사업본부">#REF!</definedName>
    <definedName name="첨" hidden="1">{#N/A,#N/A,FALSE,"단축1";#N/A,#N/A,FALSE,"단축2";#N/A,#N/A,FALSE,"단축3";#N/A,#N/A,FALSE,"장축";#N/A,#N/A,FALSE,"4WD"}</definedName>
    <definedName name="첨부1">#N/A</definedName>
    <definedName name="체계화2">#N/A</definedName>
    <definedName name="총원가">#REF!</definedName>
    <definedName name="추가" hidden="1">#REF!</definedName>
    <definedName name="추가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진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카니발연료누유" hidden="1">#REF!</definedName>
    <definedName name="코">#N/A</definedName>
    <definedName name="클레임현황">#REF!</definedName>
    <definedName name="ㅌㅊ" hidden="1">{#N/A,#N/A,FALSE,"단축1";#N/A,#N/A,FALSE,"단축2";#N/A,#N/A,FALSE,"단축3";#N/A,#N/A,FALSE,"장축";#N/A,#N/A,FALSE,"4WD"}</definedName>
    <definedName name="템플리트모듈1" localSheetId="2">BlankMacro1</definedName>
    <definedName name="템플리트모듈1" localSheetId="1">BlankMacro1</definedName>
    <definedName name="템플리트모듈1" localSheetId="3">BlankMacro1</definedName>
    <definedName name="템플리트모듈1">BlankMacro1</definedName>
    <definedName name="템플리트모듈2" localSheetId="2">BlankMacro1</definedName>
    <definedName name="템플리트모듈2" localSheetId="1">BlankMacro1</definedName>
    <definedName name="템플리트모듈2" localSheetId="3">BlankMacro1</definedName>
    <definedName name="템플리트모듈2">BlankMacro1</definedName>
    <definedName name="템플리트모듈3" localSheetId="2">BlankMacro1</definedName>
    <definedName name="템플리트모듈3" localSheetId="1">BlankMacro1</definedName>
    <definedName name="템플리트모듈3" localSheetId="3">BlankMacro1</definedName>
    <definedName name="템플리트모듈3">BlankMacro1</definedName>
    <definedName name="템플리트모듈4" localSheetId="2">BlankMacro1</definedName>
    <definedName name="템플리트모듈4" localSheetId="1">BlankMacro1</definedName>
    <definedName name="템플리트모듈4" localSheetId="3">BlankMacro1</definedName>
    <definedName name="템플리트모듈4">BlankMacro1</definedName>
    <definedName name="템플리트모듈5" localSheetId="2">BlankMacro1</definedName>
    <definedName name="템플리트모듈5" localSheetId="1">BlankMacro1</definedName>
    <definedName name="템플리트모듈5" localSheetId="3">BlankMacro1</definedName>
    <definedName name="템플리트모듈5">BlankMacro1</definedName>
    <definedName name="템플리트모듈6" localSheetId="2">BlankMacro1</definedName>
    <definedName name="템플리트모듈6" localSheetId="1">BlankMacro1</definedName>
    <definedName name="템플리트모듈6" localSheetId="3">BlankMacro1</definedName>
    <definedName name="템플리트모듈6">BlankMacro1</definedName>
    <definedName name="투자비">#N/A</definedName>
    <definedName name="틀없애기">#N/A</definedName>
    <definedName name="판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판매보증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패달" hidden="1">#REF!</definedName>
    <definedName name="평균지가">#N/A</definedName>
    <definedName name="폭">#REF!</definedName>
    <definedName name="표준화실적99" hidden="1">{#N/A,#N/A,FALSE,"단축1";#N/A,#N/A,FALSE,"단축2";#N/A,#N/A,FALSE,"단축3";#N/A,#N/A,FALSE,"장축";#N/A,#N/A,FALSE,"4WD"}</definedName>
    <definedName name="표지" hidden="1">{#N/A,#N/A,FALSE,"단축1";#N/A,#N/A,FALSE,"단축2";#N/A,#N/A,FALSE,"단축3";#N/A,#N/A,FALSE,"장축";#N/A,#N/A,FALSE,"4WD"}</definedName>
    <definedName name="품질CODE">#N/A</definedName>
    <definedName name="프런toal" hidden="1">#REF!</definedName>
    <definedName name="피팅" localSheetId="2">BlankMacro1</definedName>
    <definedName name="피팅" localSheetId="1">BlankMacro1</definedName>
    <definedName name="피팅" localSheetId="3">BlankMacro1</definedName>
    <definedName name="피팅">BlankMacro1</definedName>
    <definedName name="하남" hidden="1">{#N/A,#N/A,FALSE,"기초1"}</definedName>
    <definedName name="학이" hidden="1">{#N/A,#N/A,FALSE,"기초1";#N/A,#N/A,FALSE,"기초2"}</definedName>
    <definedName name="할증율">#REF!</definedName>
    <definedName name="현대.기아">#N/A</definedName>
    <definedName name="현대기아9월">#N/A</definedName>
    <definedName name="현황">#N/A</definedName>
    <definedName name="호남목표누계">#N/A</definedName>
    <definedName name="호남실적누계">#REF!</definedName>
    <definedName name="호ㅓ">#N/A</definedName>
    <definedName name="호ㅓㅎㄹ">#N/A</definedName>
    <definedName name="확정하여_보고할것.">#REF!</definedName>
    <definedName name="활동이력">#REF!</definedName>
    <definedName name="회의">#N/A</definedName>
    <definedName name="흵____R3_t">#REF!</definedName>
    <definedName name="ㅏ">#REF!</definedName>
    <definedName name="ㅏ271">#REF!</definedName>
    <definedName name="ㅏㅏㅏ" hidden="1">{#N/A,#N/A,FALSE,"단축1";#N/A,#N/A,FALSE,"단축2";#N/A,#N/A,FALSE,"단축3";#N/A,#N/A,FALSE,"장축";#N/A,#N/A,FALSE,"4WD"}</definedName>
    <definedName name="ㅓ머ㅓㅁ">#REF!</definedName>
    <definedName name="ㅓㅏㅣㅎ러ㅏㅣ">#N/A</definedName>
    <definedName name="ㅓㅏㅣㅕㅑㅔ" hidden="1">{#N/A,#N/A,FALSE,"단축1";#N/A,#N/A,FALSE,"단축2";#N/A,#N/A,FALSE,"단축3";#N/A,#N/A,FALSE,"장축";#N/A,#N/A,FALSE,"4WD"}</definedName>
    <definedName name="ㅔㅔㅔ" hidden="1">{#N/A,#N/A,FALSE,"단축1";#N/A,#N/A,FALSE,"단축2";#N/A,#N/A,FALSE,"단축3";#N/A,#N/A,FALSE,"장축";#N/A,#N/A,FALSE,"4WD"}</definedName>
    <definedName name="ㅕㅕ" hidden="1">{#N/A,#N/A,FALSE,"단축1";#N/A,#N/A,FALSE,"단축2";#N/A,#N/A,FALSE,"단축3";#N/A,#N/A,FALSE,"장축";#N/A,#N/A,FALSE,"4WD"}</definedName>
    <definedName name="ㅗ허ㅏ">#N/A</definedName>
    <definedName name="ㅗㅓ">#N/A</definedName>
    <definedName name="ㅗㅓㅏㅣ" hidden="1">{#N/A,#N/A,FALSE,"단축1";#N/A,#N/A,FALSE,"단축2";#N/A,#N/A,FALSE,"단축3";#N/A,#N/A,FALSE,"장축";#N/A,#N/A,FALSE,"4WD"}</definedName>
    <definedName name="ㅠㅜ8">#REF!</definedName>
    <definedName name="ㅣㅏㅓ">#REF!</definedName>
    <definedName name="ㅣㅣㅣㅣ">#REF!</definedName>
    <definedName name="ㄻㄴ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ㄻㄴㄹㅁㄴ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小">#REF!</definedName>
    <definedName name="解_任_">#N/A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14" i="3" l="1"/>
  <c r="BS14" i="3"/>
  <c r="AX15" i="1" l="1"/>
  <c r="BJ16" i="1"/>
  <c r="BJ17" i="1"/>
  <c r="BJ18" i="1"/>
  <c r="BJ19" i="1"/>
  <c r="BJ20" i="1"/>
  <c r="BJ21" i="1"/>
  <c r="BJ15" i="1"/>
  <c r="CA15" i="1"/>
  <c r="CD18" i="4"/>
  <c r="CC18" i="4"/>
  <c r="CB18" i="4"/>
  <c r="CA18" i="4"/>
  <c r="BZ18" i="4"/>
  <c r="BY18" i="4"/>
  <c r="BX18" i="4"/>
  <c r="BW18" i="4"/>
  <c r="BU18" i="4"/>
  <c r="BT18" i="4"/>
  <c r="BS18" i="4"/>
  <c r="BR18" i="4"/>
  <c r="BQ18" i="4"/>
  <c r="BP18" i="4"/>
  <c r="BO18" i="4"/>
  <c r="BN18" i="4"/>
  <c r="BM18" i="4"/>
  <c r="BL18" i="4"/>
  <c r="BK18" i="4"/>
  <c r="BJ18" i="4"/>
  <c r="BI18" i="4"/>
  <c r="BH18" i="4"/>
  <c r="BG18" i="4"/>
  <c r="BF18" i="4"/>
  <c r="BE18" i="4"/>
  <c r="BD18" i="4"/>
  <c r="BC18" i="4"/>
  <c r="BB18" i="4"/>
  <c r="BA18" i="4"/>
  <c r="AZ18" i="4"/>
  <c r="AY18" i="4"/>
  <c r="AX18" i="4"/>
  <c r="AW18" i="4"/>
  <c r="AV18" i="4"/>
  <c r="AU18" i="4"/>
  <c r="AT18" i="4"/>
  <c r="AS18" i="4"/>
  <c r="AR18" i="4"/>
  <c r="AQ18" i="4"/>
  <c r="AP18" i="4"/>
  <c r="AO18" i="4"/>
  <c r="AN18" i="4"/>
  <c r="AM18" i="4"/>
  <c r="AL18" i="4"/>
  <c r="AK18" i="4"/>
  <c r="AJ18" i="4"/>
  <c r="AI18" i="4"/>
  <c r="AH18" i="4"/>
  <c r="AG18" i="4"/>
  <c r="AF18" i="4"/>
  <c r="AE18" i="4"/>
  <c r="AD18" i="4"/>
  <c r="AC18" i="4"/>
  <c r="AB18" i="4"/>
  <c r="AA18" i="4"/>
  <c r="Z18" i="4"/>
  <c r="Y18" i="4"/>
  <c r="X18" i="4"/>
  <c r="W18" i="4"/>
  <c r="V18" i="4"/>
  <c r="U18" i="4"/>
  <c r="T18" i="4"/>
  <c r="S18" i="4"/>
  <c r="R18" i="4"/>
  <c r="Q18" i="4"/>
  <c r="P18" i="4"/>
  <c r="O18" i="4"/>
  <c r="N18" i="4"/>
  <c r="M18" i="4"/>
  <c r="L18" i="4"/>
  <c r="K18" i="4"/>
  <c r="J18" i="4"/>
  <c r="I18" i="4"/>
  <c r="H18" i="4"/>
  <c r="G18" i="4"/>
  <c r="F18" i="4"/>
  <c r="E18" i="4"/>
  <c r="D18" i="4"/>
  <c r="C18" i="4"/>
  <c r="B18" i="4"/>
  <c r="A18" i="4"/>
  <c r="BP17" i="4"/>
  <c r="BI17" i="4"/>
  <c r="BJ19" i="4" s="1"/>
  <c r="BH17" i="4"/>
  <c r="BE17" i="4"/>
  <c r="BC17" i="4"/>
  <c r="BA17" i="4"/>
  <c r="AZ17" i="4"/>
  <c r="AX17" i="4"/>
  <c r="Y17" i="4"/>
  <c r="AV19" i="4" s="1"/>
  <c r="F17" i="4"/>
  <c r="AO19" i="4" s="1"/>
  <c r="B17" i="4"/>
  <c r="A19" i="4" s="1"/>
  <c r="A17" i="4"/>
  <c r="CA14" i="4"/>
  <c r="CB14" i="4" s="1"/>
  <c r="I14" i="4" s="1"/>
  <c r="BE14" i="4"/>
  <c r="AM14" i="4"/>
  <c r="AK14" i="4"/>
  <c r="AI14" i="4"/>
  <c r="AG14" i="4"/>
  <c r="AE14" i="4"/>
  <c r="AD14" i="4"/>
  <c r="AC14" i="4"/>
  <c r="AB14" i="4"/>
  <c r="AA14" i="4"/>
  <c r="Z14" i="4"/>
  <c r="Y14" i="4"/>
  <c r="H14" i="4"/>
  <c r="AZ14" i="4" s="1"/>
  <c r="F14" i="4"/>
  <c r="A14" i="4"/>
  <c r="CA13" i="4"/>
  <c r="CB13" i="4" s="1"/>
  <c r="BE13" i="4"/>
  <c r="BA13" i="4"/>
  <c r="AY13" i="4"/>
  <c r="AM13" i="4"/>
  <c r="AK13" i="4"/>
  <c r="AI13" i="4"/>
  <c r="AI11" i="4" s="1"/>
  <c r="AG13" i="4"/>
  <c r="AG11" i="4" s="1"/>
  <c r="AF13" i="4"/>
  <c r="AE13" i="4"/>
  <c r="AD13" i="4"/>
  <c r="AC13" i="4"/>
  <c r="AB13" i="4"/>
  <c r="AA13" i="4"/>
  <c r="Z13" i="4"/>
  <c r="Y13" i="4"/>
  <c r="H13" i="4"/>
  <c r="AN13" i="4" s="1"/>
  <c r="F13" i="4"/>
  <c r="A13" i="4"/>
  <c r="CB12" i="4"/>
  <c r="AH12" i="4" s="1"/>
  <c r="BE12" i="4"/>
  <c r="BA12" i="4"/>
  <c r="AZ12" i="4"/>
  <c r="AY12" i="4"/>
  <c r="BB12" i="4" s="1"/>
  <c r="AN12" i="4"/>
  <c r="AM12" i="4"/>
  <c r="AK12" i="4"/>
  <c r="AI12" i="4"/>
  <c r="AG12" i="4"/>
  <c r="AE12" i="4"/>
  <c r="AD12" i="4"/>
  <c r="AD11" i="4" s="1"/>
  <c r="AC12" i="4"/>
  <c r="AB12" i="4"/>
  <c r="AA12" i="4"/>
  <c r="Z12" i="4"/>
  <c r="Y12" i="4"/>
  <c r="H12" i="4"/>
  <c r="F12" i="4"/>
  <c r="AF12" i="4" s="1"/>
  <c r="A12" i="4"/>
  <c r="BU11" i="4"/>
  <c r="BP11" i="4"/>
  <c r="BN11" i="4"/>
  <c r="BM11" i="4"/>
  <c r="BL11" i="4"/>
  <c r="BK11" i="4"/>
  <c r="BE11" i="4"/>
  <c r="BC11" i="4"/>
  <c r="AM11" i="4"/>
  <c r="AL11" i="4"/>
  <c r="AK11" i="4"/>
  <c r="AJ11" i="4"/>
  <c r="AC11" i="4"/>
  <c r="X11" i="4"/>
  <c r="W11" i="4"/>
  <c r="V11" i="4"/>
  <c r="U11" i="4"/>
  <c r="S11" i="4"/>
  <c r="R11" i="4"/>
  <c r="K11" i="4"/>
  <c r="G11" i="4"/>
  <c r="BY9" i="4"/>
  <c r="BZ9" i="4" s="1"/>
  <c r="CA9" i="4" s="1"/>
  <c r="CB9" i="4" s="1"/>
  <c r="CC9" i="4" s="1"/>
  <c r="CD9" i="4" s="1"/>
  <c r="BX9" i="4"/>
  <c r="F9" i="4"/>
  <c r="G9" i="4" s="1"/>
  <c r="H9" i="4" s="1"/>
  <c r="I9" i="4" s="1"/>
  <c r="J9" i="4" s="1"/>
  <c r="K9" i="4" s="1"/>
  <c r="L9" i="4" s="1"/>
  <c r="M9" i="4" s="1"/>
  <c r="N9" i="4" s="1"/>
  <c r="O9" i="4" s="1"/>
  <c r="P9" i="4" s="1"/>
  <c r="Q9" i="4" s="1"/>
  <c r="R9" i="4" s="1"/>
  <c r="S9" i="4" s="1"/>
  <c r="T9" i="4" s="1"/>
  <c r="U9" i="4" s="1"/>
  <c r="V9" i="4" s="1"/>
  <c r="W9" i="4" s="1"/>
  <c r="X9" i="4" s="1"/>
  <c r="Y9" i="4" s="1"/>
  <c r="Z9" i="4" s="1"/>
  <c r="AA9" i="4" s="1"/>
  <c r="AB9" i="4" s="1"/>
  <c r="AC9" i="4" s="1"/>
  <c r="AD9" i="4" s="1"/>
  <c r="AE9" i="4" s="1"/>
  <c r="AF9" i="4" s="1"/>
  <c r="AG9" i="4" s="1"/>
  <c r="AH9" i="4" s="1"/>
  <c r="AI9" i="4" s="1"/>
  <c r="AJ9" i="4" s="1"/>
  <c r="AK9" i="4" s="1"/>
  <c r="AL9" i="4" s="1"/>
  <c r="AM9" i="4" s="1"/>
  <c r="AN9" i="4" s="1"/>
  <c r="AO9" i="4" s="1"/>
  <c r="AP9" i="4" s="1"/>
  <c r="AQ9" i="4" s="1"/>
  <c r="AR9" i="4" s="1"/>
  <c r="AS9" i="4" s="1"/>
  <c r="AT9" i="4" s="1"/>
  <c r="AU9" i="4" s="1"/>
  <c r="AV9" i="4" s="1"/>
  <c r="AY9" i="4" s="1"/>
  <c r="AZ9" i="4" s="1"/>
  <c r="BA9" i="4" s="1"/>
  <c r="BB9" i="4" s="1"/>
  <c r="BC9" i="4" s="1"/>
  <c r="BD9" i="4" s="1"/>
  <c r="BE9" i="4" s="1"/>
  <c r="BJ9" i="4" s="1"/>
  <c r="BK9" i="4" s="1"/>
  <c r="BL9" i="4" s="1"/>
  <c r="BM9" i="4" s="1"/>
  <c r="BN9" i="4" s="1"/>
  <c r="BP9" i="4" s="1"/>
  <c r="BQ9" i="4" s="1"/>
  <c r="BR9" i="4" s="1"/>
  <c r="BT9" i="4" s="1"/>
  <c r="BU9" i="4" s="1"/>
  <c r="C9" i="4"/>
  <c r="D9" i="4" s="1"/>
  <c r="B9" i="4"/>
  <c r="BS20" i="3"/>
  <c r="BT20" i="3" s="1"/>
  <c r="AH20" i="3" s="1"/>
  <c r="BA20" i="3"/>
  <c r="AM20" i="3"/>
  <c r="AK20" i="3"/>
  <c r="AI20" i="3"/>
  <c r="AG20" i="3"/>
  <c r="AF20" i="3"/>
  <c r="AE20" i="3"/>
  <c r="AD20" i="3"/>
  <c r="AC20" i="3"/>
  <c r="AB20" i="3"/>
  <c r="AA20" i="3"/>
  <c r="Z20" i="3"/>
  <c r="Y20" i="3"/>
  <c r="H20" i="3"/>
  <c r="BS19" i="3"/>
  <c r="BT19" i="3" s="1"/>
  <c r="BA19" i="3"/>
  <c r="AM19" i="3"/>
  <c r="AK19" i="3"/>
  <c r="AI19" i="3"/>
  <c r="AG19" i="3"/>
  <c r="AF19" i="3"/>
  <c r="AE19" i="3"/>
  <c r="AD19" i="3"/>
  <c r="AC19" i="3"/>
  <c r="AB19" i="3"/>
  <c r="AA19" i="3"/>
  <c r="Z19" i="3"/>
  <c r="Y19" i="3"/>
  <c r="H19" i="3"/>
  <c r="BS18" i="3"/>
  <c r="BT18" i="3" s="1"/>
  <c r="BA18" i="3"/>
  <c r="AM18" i="3"/>
  <c r="AK18" i="3"/>
  <c r="AI18" i="3"/>
  <c r="AG18" i="3"/>
  <c r="AE18" i="3"/>
  <c r="AD18" i="3"/>
  <c r="AC18" i="3"/>
  <c r="AB18" i="3"/>
  <c r="AA18" i="3"/>
  <c r="Z18" i="3"/>
  <c r="Y18" i="3"/>
  <c r="H18" i="3"/>
  <c r="AF18" i="3" s="1"/>
  <c r="BS17" i="3"/>
  <c r="BT17" i="3" s="1"/>
  <c r="AH17" i="3" s="1"/>
  <c r="BA17" i="3"/>
  <c r="AM17" i="3"/>
  <c r="AK17" i="3"/>
  <c r="AI17" i="3"/>
  <c r="AG17" i="3"/>
  <c r="AF17" i="3"/>
  <c r="AE17" i="3"/>
  <c r="AD17" i="3"/>
  <c r="AC17" i="3"/>
  <c r="AB17" i="3"/>
  <c r="AA17" i="3"/>
  <c r="Z17" i="3"/>
  <c r="Y17" i="3"/>
  <c r="H17" i="3"/>
  <c r="BS16" i="3"/>
  <c r="BT16" i="3" s="1"/>
  <c r="BA16" i="3"/>
  <c r="AM16" i="3"/>
  <c r="AK16" i="3"/>
  <c r="AI16" i="3"/>
  <c r="AG16" i="3"/>
  <c r="AF16" i="3"/>
  <c r="AE16" i="3"/>
  <c r="AD16" i="3"/>
  <c r="AC16" i="3"/>
  <c r="AB16" i="3"/>
  <c r="AA16" i="3"/>
  <c r="Z16" i="3"/>
  <c r="Y16" i="3"/>
  <c r="H16" i="3"/>
  <c r="BS15" i="3"/>
  <c r="BT15" i="3" s="1"/>
  <c r="BA15" i="3"/>
  <c r="AM15" i="3"/>
  <c r="AK15" i="3"/>
  <c r="AI15" i="3"/>
  <c r="AG15" i="3"/>
  <c r="AF15" i="3"/>
  <c r="AE15" i="3"/>
  <c r="AD15" i="3"/>
  <c r="AC15" i="3"/>
  <c r="AB15" i="3"/>
  <c r="AA15" i="3"/>
  <c r="Z15" i="3"/>
  <c r="Y15" i="3"/>
  <c r="H15" i="3"/>
  <c r="BT14" i="3"/>
  <c r="AH14" i="3" s="1"/>
  <c r="BA14" i="3"/>
  <c r="AM14" i="3"/>
  <c r="AK14" i="3"/>
  <c r="AI14" i="3"/>
  <c r="AG14" i="3"/>
  <c r="AF14" i="3"/>
  <c r="AE14" i="3"/>
  <c r="AD14" i="3"/>
  <c r="AC14" i="3"/>
  <c r="AB14" i="3"/>
  <c r="AA14" i="3"/>
  <c r="Z14" i="3"/>
  <c r="H14" i="3"/>
  <c r="BJ13" i="3"/>
  <c r="BH13" i="3"/>
  <c r="BG13" i="3"/>
  <c r="BF13" i="3"/>
  <c r="BE13" i="3"/>
  <c r="AY13" i="3"/>
  <c r="AL13" i="3"/>
  <c r="AJ13" i="3"/>
  <c r="X13" i="3"/>
  <c r="W13" i="3"/>
  <c r="V13" i="3"/>
  <c r="U13" i="3"/>
  <c r="S13" i="3"/>
  <c r="R13" i="3"/>
  <c r="K13" i="3"/>
  <c r="G13" i="3"/>
  <c r="BU19" i="2"/>
  <c r="CD18" i="2"/>
  <c r="CC18" i="2"/>
  <c r="CB18" i="2"/>
  <c r="CA18" i="2"/>
  <c r="BZ18" i="2"/>
  <c r="BY18" i="2"/>
  <c r="BX18" i="2"/>
  <c r="BW18" i="2"/>
  <c r="BU18" i="2"/>
  <c r="BT18" i="2"/>
  <c r="BS18" i="2"/>
  <c r="BR18" i="2"/>
  <c r="BQ18" i="2"/>
  <c r="BP18" i="2"/>
  <c r="BO18" i="2"/>
  <c r="BN18" i="2"/>
  <c r="BM18" i="2"/>
  <c r="BL18" i="2"/>
  <c r="BK18" i="2"/>
  <c r="BJ18" i="2"/>
  <c r="BI18" i="2"/>
  <c r="BH18" i="2"/>
  <c r="BG18" i="2"/>
  <c r="BF18" i="2"/>
  <c r="BE18" i="2"/>
  <c r="BD18" i="2"/>
  <c r="BC18" i="2"/>
  <c r="BB18" i="2"/>
  <c r="BA18" i="2"/>
  <c r="AZ18" i="2"/>
  <c r="AY18" i="2"/>
  <c r="AX18" i="2"/>
  <c r="AW18" i="2"/>
  <c r="AV18" i="2"/>
  <c r="AU18" i="2"/>
  <c r="AT18" i="2"/>
  <c r="AS18" i="2"/>
  <c r="AR18" i="2"/>
  <c r="AQ18" i="2"/>
  <c r="AP18" i="2"/>
  <c r="AO18" i="2"/>
  <c r="AN18" i="2"/>
  <c r="AM18" i="2"/>
  <c r="AL18" i="2"/>
  <c r="AK18" i="2"/>
  <c r="AJ18" i="2"/>
  <c r="AI18" i="2"/>
  <c r="AH18" i="2"/>
  <c r="AG18" i="2"/>
  <c r="AF18" i="2"/>
  <c r="AE18" i="2"/>
  <c r="AD18" i="2"/>
  <c r="AC18" i="2"/>
  <c r="AB18" i="2"/>
  <c r="AA18" i="2"/>
  <c r="Z18" i="2"/>
  <c r="Y18" i="2"/>
  <c r="X18" i="2"/>
  <c r="W18" i="2"/>
  <c r="V18" i="2"/>
  <c r="U18" i="2"/>
  <c r="T18" i="2"/>
  <c r="S18" i="2"/>
  <c r="R18" i="2"/>
  <c r="Q18" i="2"/>
  <c r="P18" i="2"/>
  <c r="O18" i="2"/>
  <c r="N18" i="2"/>
  <c r="M18" i="2"/>
  <c r="L18" i="2"/>
  <c r="K18" i="2"/>
  <c r="J18" i="2"/>
  <c r="I18" i="2"/>
  <c r="H18" i="2"/>
  <c r="G18" i="2"/>
  <c r="F18" i="2"/>
  <c r="E18" i="2"/>
  <c r="D18" i="2"/>
  <c r="C18" i="2"/>
  <c r="B18" i="2"/>
  <c r="A18" i="2"/>
  <c r="BR17" i="2"/>
  <c r="BQ17" i="2"/>
  <c r="BK17" i="2"/>
  <c r="BH17" i="2"/>
  <c r="BE17" i="2"/>
  <c r="BC17" i="2"/>
  <c r="BA17" i="2"/>
  <c r="AZ17" i="2"/>
  <c r="AY17" i="2"/>
  <c r="BB19" i="2" s="1"/>
  <c r="AX17" i="2"/>
  <c r="Y17" i="2"/>
  <c r="AV19" i="2" s="1"/>
  <c r="B17" i="2"/>
  <c r="BT12" i="2" s="1"/>
  <c r="A17" i="2"/>
  <c r="CA14" i="2"/>
  <c r="CB14" i="2" s="1"/>
  <c r="BJ14" i="2"/>
  <c r="BE14" i="2"/>
  <c r="BA14" i="2"/>
  <c r="AX14" i="2"/>
  <c r="AM14" i="2"/>
  <c r="AM11" i="2" s="1"/>
  <c r="AK14" i="2"/>
  <c r="AI14" i="2"/>
  <c r="AH14" i="2"/>
  <c r="AG14" i="2"/>
  <c r="AF14" i="2"/>
  <c r="AE14" i="2"/>
  <c r="AD14" i="2"/>
  <c r="AC14" i="2"/>
  <c r="AB14" i="2"/>
  <c r="AA14" i="2"/>
  <c r="Z14" i="2"/>
  <c r="Y14" i="2"/>
  <c r="H14" i="2"/>
  <c r="A14" i="2"/>
  <c r="CA13" i="2"/>
  <c r="CB13" i="2" s="1"/>
  <c r="BJ13" i="2"/>
  <c r="BE13" i="2"/>
  <c r="AY13" i="2"/>
  <c r="AX13" i="2"/>
  <c r="AZ13" i="2" s="1"/>
  <c r="AM13" i="2"/>
  <c r="AK13" i="2"/>
  <c r="AI13" i="2"/>
  <c r="AI11" i="2" s="1"/>
  <c r="AG13" i="2"/>
  <c r="AF13" i="2"/>
  <c r="AE13" i="2"/>
  <c r="AD13" i="2"/>
  <c r="AD11" i="2" s="1"/>
  <c r="AC13" i="2"/>
  <c r="AB13" i="2"/>
  <c r="AA13" i="2"/>
  <c r="Z13" i="2"/>
  <c r="Y13" i="2"/>
  <c r="H13" i="2"/>
  <c r="A13" i="2"/>
  <c r="CB12" i="2"/>
  <c r="BJ12" i="2"/>
  <c r="BE12" i="2"/>
  <c r="BE11" i="2" s="1"/>
  <c r="AX12" i="2"/>
  <c r="AZ12" i="2" s="1"/>
  <c r="AN12" i="2"/>
  <c r="AM12" i="2"/>
  <c r="AK12" i="2"/>
  <c r="AI12" i="2"/>
  <c r="AG12" i="2"/>
  <c r="AG11" i="2" s="1"/>
  <c r="AF12" i="2"/>
  <c r="AE12" i="2"/>
  <c r="AD12" i="2"/>
  <c r="AC12" i="2"/>
  <c r="AC11" i="2" s="1"/>
  <c r="AB12" i="2"/>
  <c r="AA12" i="2"/>
  <c r="Z12" i="2"/>
  <c r="Y12" i="2"/>
  <c r="H12" i="2"/>
  <c r="A12" i="2"/>
  <c r="BQ11" i="2"/>
  <c r="BP11" i="2"/>
  <c r="BO11" i="2"/>
  <c r="BN11" i="2"/>
  <c r="BM11" i="2"/>
  <c r="BC11" i="2"/>
  <c r="AL11" i="2"/>
  <c r="AK11" i="2"/>
  <c r="AJ11" i="2"/>
  <c r="Y11" i="2"/>
  <c r="X11" i="2"/>
  <c r="W11" i="2"/>
  <c r="V11" i="2"/>
  <c r="U11" i="2"/>
  <c r="S11" i="2"/>
  <c r="R11" i="2"/>
  <c r="K11" i="2"/>
  <c r="G11" i="2"/>
  <c r="BY9" i="2"/>
  <c r="BZ9" i="2" s="1"/>
  <c r="CA9" i="2" s="1"/>
  <c r="CB9" i="2" s="1"/>
  <c r="CC9" i="2" s="1"/>
  <c r="CD9" i="2" s="1"/>
  <c r="BX9" i="2"/>
  <c r="G9" i="2"/>
  <c r="H9" i="2" s="1"/>
  <c r="I9" i="2" s="1"/>
  <c r="J9" i="2" s="1"/>
  <c r="K9" i="2" s="1"/>
  <c r="L9" i="2" s="1"/>
  <c r="M9" i="2" s="1"/>
  <c r="N9" i="2" s="1"/>
  <c r="O9" i="2" s="1"/>
  <c r="P9" i="2" s="1"/>
  <c r="Q9" i="2" s="1"/>
  <c r="R9" i="2" s="1"/>
  <c r="S9" i="2" s="1"/>
  <c r="T9" i="2" s="1"/>
  <c r="U9" i="2" s="1"/>
  <c r="V9" i="2" s="1"/>
  <c r="W9" i="2" s="1"/>
  <c r="X9" i="2" s="1"/>
  <c r="Y9" i="2" s="1"/>
  <c r="Z9" i="2" s="1"/>
  <c r="AA9" i="2" s="1"/>
  <c r="AB9" i="2" s="1"/>
  <c r="AC9" i="2" s="1"/>
  <c r="AD9" i="2" s="1"/>
  <c r="AE9" i="2" s="1"/>
  <c r="AF9" i="2" s="1"/>
  <c r="AG9" i="2" s="1"/>
  <c r="AH9" i="2" s="1"/>
  <c r="AI9" i="2" s="1"/>
  <c r="AJ9" i="2" s="1"/>
  <c r="AK9" i="2" s="1"/>
  <c r="AL9" i="2" s="1"/>
  <c r="AM9" i="2" s="1"/>
  <c r="AN9" i="2" s="1"/>
  <c r="AO9" i="2" s="1"/>
  <c r="AP9" i="2" s="1"/>
  <c r="AQ9" i="2" s="1"/>
  <c r="AR9" i="2" s="1"/>
  <c r="AS9" i="2" s="1"/>
  <c r="AT9" i="2" s="1"/>
  <c r="AU9" i="2" s="1"/>
  <c r="AV9" i="2" s="1"/>
  <c r="AY9" i="2" s="1"/>
  <c r="AZ9" i="2" s="1"/>
  <c r="BA9" i="2" s="1"/>
  <c r="BB9" i="2" s="1"/>
  <c r="BC9" i="2" s="1"/>
  <c r="BD9" i="2" s="1"/>
  <c r="BE9" i="2" s="1"/>
  <c r="BL9" i="2" s="1"/>
  <c r="BM9" i="2" s="1"/>
  <c r="BN9" i="2" s="1"/>
  <c r="BO9" i="2" s="1"/>
  <c r="BP9" i="2" s="1"/>
  <c r="BQ9" i="2" s="1"/>
  <c r="BR9" i="2" s="1"/>
  <c r="BS9" i="2" s="1"/>
  <c r="BT9" i="2" s="1"/>
  <c r="BU9" i="2" s="1"/>
  <c r="C9" i="2"/>
  <c r="D9" i="2" s="1"/>
  <c r="F9" i="2" s="1"/>
  <c r="B9" i="2"/>
  <c r="BT13" i="2" s="1"/>
  <c r="CA21" i="1"/>
  <c r="CB21" i="1" s="1"/>
  <c r="AH21" i="1" s="1"/>
  <c r="BE21" i="1"/>
  <c r="AX21" i="1"/>
  <c r="AM21" i="1"/>
  <c r="AK21" i="1"/>
  <c r="AI21" i="1"/>
  <c r="AG21" i="1"/>
  <c r="AF21" i="1"/>
  <c r="AE21" i="1"/>
  <c r="AD21" i="1"/>
  <c r="AC21" i="1"/>
  <c r="AB21" i="1"/>
  <c r="AA21" i="1"/>
  <c r="Z21" i="1"/>
  <c r="Y21" i="1"/>
  <c r="H21" i="1"/>
  <c r="AN21" i="1" s="1"/>
  <c r="A21" i="1"/>
  <c r="CA20" i="1"/>
  <c r="CB20" i="1" s="1"/>
  <c r="AH20" i="1" s="1"/>
  <c r="BE20" i="1"/>
  <c r="AX20" i="1"/>
  <c r="BA20" i="1" s="1"/>
  <c r="AM20" i="1"/>
  <c r="AK20" i="1"/>
  <c r="AI20" i="1"/>
  <c r="AG20" i="1"/>
  <c r="AE20" i="1"/>
  <c r="AD20" i="1"/>
  <c r="AC20" i="1"/>
  <c r="AB20" i="1"/>
  <c r="AA20" i="1"/>
  <c r="Z20" i="1"/>
  <c r="Y20" i="1"/>
  <c r="H20" i="1"/>
  <c r="AN20" i="1" s="1"/>
  <c r="A20" i="1"/>
  <c r="CA19" i="1"/>
  <c r="CB19" i="1" s="1"/>
  <c r="AH19" i="1" s="1"/>
  <c r="BE19" i="1"/>
  <c r="AX19" i="1"/>
  <c r="AM19" i="1"/>
  <c r="AK19" i="1"/>
  <c r="AI19" i="1"/>
  <c r="AG19" i="1"/>
  <c r="AE19" i="1"/>
  <c r="AD19" i="1"/>
  <c r="AC19" i="1"/>
  <c r="AB19" i="1"/>
  <c r="AA19" i="1"/>
  <c r="Z19" i="1"/>
  <c r="Y19" i="1"/>
  <c r="H19" i="1"/>
  <c r="A19" i="1"/>
  <c r="CA18" i="1"/>
  <c r="CB18" i="1" s="1"/>
  <c r="BE18" i="1"/>
  <c r="AX18" i="1"/>
  <c r="AM18" i="1"/>
  <c r="AK18" i="1"/>
  <c r="AI18" i="1"/>
  <c r="AG18" i="1"/>
  <c r="AE18" i="1"/>
  <c r="AD18" i="1"/>
  <c r="AC18" i="1"/>
  <c r="AB18" i="1"/>
  <c r="AA18" i="1"/>
  <c r="Z18" i="1"/>
  <c r="Y18" i="1"/>
  <c r="H18" i="1"/>
  <c r="AN18" i="1" s="1"/>
  <c r="A18" i="1"/>
  <c r="CA17" i="1"/>
  <c r="CB17" i="1" s="1"/>
  <c r="BE17" i="1"/>
  <c r="AX17" i="1"/>
  <c r="AM17" i="1"/>
  <c r="AK17" i="1"/>
  <c r="AI17" i="1"/>
  <c r="AG17" i="1"/>
  <c r="AF17" i="1"/>
  <c r="AE17" i="1"/>
  <c r="AD17" i="1"/>
  <c r="AC17" i="1"/>
  <c r="AB17" i="1"/>
  <c r="AA17" i="1"/>
  <c r="Z17" i="1"/>
  <c r="Y17" i="1"/>
  <c r="H17" i="1"/>
  <c r="AN17" i="1" s="1"/>
  <c r="A17" i="1"/>
  <c r="CA16" i="1"/>
  <c r="CB16" i="1" s="1"/>
  <c r="BE16" i="1"/>
  <c r="AX16" i="1"/>
  <c r="AM16" i="1"/>
  <c r="AK16" i="1"/>
  <c r="AI16" i="1"/>
  <c r="AG16" i="1"/>
  <c r="AE16" i="1"/>
  <c r="AD16" i="1"/>
  <c r="AC16" i="1"/>
  <c r="AB16" i="1"/>
  <c r="AA16" i="1"/>
  <c r="Z16" i="1"/>
  <c r="Y16" i="1"/>
  <c r="H16" i="1"/>
  <c r="AF16" i="1" s="1"/>
  <c r="A16" i="1"/>
  <c r="CB15" i="1"/>
  <c r="AH15" i="1" s="1"/>
  <c r="BE15" i="1"/>
  <c r="AM15" i="1"/>
  <c r="AK15" i="1"/>
  <c r="AI15" i="1"/>
  <c r="AG15" i="1"/>
  <c r="AE15" i="1"/>
  <c r="AD15" i="1"/>
  <c r="AC15" i="1"/>
  <c r="AB15" i="1"/>
  <c r="AA15" i="1"/>
  <c r="Z15" i="1"/>
  <c r="Y15" i="1"/>
  <c r="H15" i="1"/>
  <c r="AN15" i="1" s="1"/>
  <c r="A15" i="1"/>
  <c r="BQ14" i="1"/>
  <c r="BP14" i="1"/>
  <c r="BO14" i="1"/>
  <c r="BN14" i="1"/>
  <c r="BM14" i="1"/>
  <c r="BC14" i="1"/>
  <c r="AL14" i="1"/>
  <c r="AJ14" i="1"/>
  <c r="X14" i="1"/>
  <c r="W14" i="1"/>
  <c r="V14" i="1"/>
  <c r="U14" i="1"/>
  <c r="S14" i="1"/>
  <c r="R14" i="1"/>
  <c r="Q14" i="1"/>
  <c r="P14" i="1"/>
  <c r="O14" i="1"/>
  <c r="N14" i="1"/>
  <c r="M14" i="1"/>
  <c r="L14" i="1"/>
  <c r="K14" i="1"/>
  <c r="G14" i="1"/>
  <c r="BX12" i="1"/>
  <c r="BY12" i="1" s="1"/>
  <c r="BZ12" i="1" s="1"/>
  <c r="CA12" i="1" s="1"/>
  <c r="CB12" i="1" s="1"/>
  <c r="CC12" i="1" s="1"/>
  <c r="CD12" i="1" s="1"/>
  <c r="B12" i="1"/>
  <c r="AC13" i="3" l="1"/>
  <c r="AF13" i="3"/>
  <c r="AK13" i="3"/>
  <c r="I20" i="3"/>
  <c r="BA13" i="3"/>
  <c r="AN20" i="3"/>
  <c r="AN18" i="3"/>
  <c r="H13" i="3"/>
  <c r="AN15" i="3"/>
  <c r="AI13" i="3"/>
  <c r="AD13" i="3"/>
  <c r="AG14" i="1"/>
  <c r="AF18" i="1"/>
  <c r="BE14" i="1"/>
  <c r="BA18" i="1"/>
  <c r="AZ18" i="1"/>
  <c r="I19" i="1"/>
  <c r="BA21" i="1"/>
  <c r="I17" i="1"/>
  <c r="AO17" i="1" s="1"/>
  <c r="AV17" i="1" s="1"/>
  <c r="BF17" i="1" s="1"/>
  <c r="AH17" i="1"/>
  <c r="AY21" i="1"/>
  <c r="AZ21" i="1"/>
  <c r="AN16" i="1"/>
  <c r="AN14" i="1" s="1"/>
  <c r="AK14" i="1"/>
  <c r="AZ16" i="1"/>
  <c r="AI14" i="1"/>
  <c r="AN19" i="1"/>
  <c r="AZ19" i="1"/>
  <c r="AY18" i="1"/>
  <c r="BA19" i="1"/>
  <c r="AY17" i="1"/>
  <c r="I21" i="1"/>
  <c r="AO21" i="1" s="1"/>
  <c r="AV21" i="1" s="1"/>
  <c r="BF21" i="1" s="1"/>
  <c r="BA17" i="1"/>
  <c r="AF19" i="1"/>
  <c r="I18" i="1"/>
  <c r="AH18" i="1"/>
  <c r="I13" i="4"/>
  <c r="AH13" i="4"/>
  <c r="I18" i="3"/>
  <c r="AH18" i="3"/>
  <c r="C12" i="1"/>
  <c r="D12" i="1" s="1"/>
  <c r="F12" i="1" s="1"/>
  <c r="G12" i="1" s="1"/>
  <c r="H12" i="1" s="1"/>
  <c r="I12" i="1" s="1"/>
  <c r="J12" i="1" s="1"/>
  <c r="K12" i="1" s="1"/>
  <c r="L12" i="1" s="1"/>
  <c r="M12" i="1" s="1"/>
  <c r="N12" i="1" s="1"/>
  <c r="O12" i="1" s="1"/>
  <c r="P12" i="1" s="1"/>
  <c r="Q12" i="1" s="1"/>
  <c r="R12" i="1" s="1"/>
  <c r="S12" i="1" s="1"/>
  <c r="T12" i="1" s="1"/>
  <c r="U12" i="1" s="1"/>
  <c r="V12" i="1" s="1"/>
  <c r="W12" i="1" s="1"/>
  <c r="X12" i="1" s="1"/>
  <c r="Y12" i="1" s="1"/>
  <c r="Z12" i="1" s="1"/>
  <c r="AA12" i="1" s="1"/>
  <c r="AB12" i="1" s="1"/>
  <c r="AC12" i="1" s="1"/>
  <c r="AD12" i="1" s="1"/>
  <c r="AE12" i="1" s="1"/>
  <c r="AF12" i="1" s="1"/>
  <c r="AG12" i="1" s="1"/>
  <c r="AH12" i="1" s="1"/>
  <c r="AI12" i="1" s="1"/>
  <c r="AJ12" i="1" s="1"/>
  <c r="AK12" i="1" s="1"/>
  <c r="AL12" i="1" s="1"/>
  <c r="AM12" i="1" s="1"/>
  <c r="AN12" i="1" s="1"/>
  <c r="AO12" i="1" s="1"/>
  <c r="AP12" i="1" s="1"/>
  <c r="AQ12" i="1" s="1"/>
  <c r="AR12" i="1" s="1"/>
  <c r="AS12" i="1" s="1"/>
  <c r="AT12" i="1" s="1"/>
  <c r="AU12" i="1" s="1"/>
  <c r="AV12" i="1" s="1"/>
  <c r="AY12" i="1" s="1"/>
  <c r="AZ12" i="1" s="1"/>
  <c r="BA12" i="1" s="1"/>
  <c r="BB12" i="1" s="1"/>
  <c r="BC12" i="1" s="1"/>
  <c r="BD12" i="1" s="1"/>
  <c r="BE12" i="1" s="1"/>
  <c r="BL12" i="1" s="1"/>
  <c r="BM12" i="1" s="1"/>
  <c r="BN12" i="1" s="1"/>
  <c r="BO12" i="1" s="1"/>
  <c r="BP12" i="1" s="1"/>
  <c r="BQ12" i="1" s="1"/>
  <c r="BR12" i="1" s="1"/>
  <c r="BS12" i="1" s="1"/>
  <c r="BT12" i="1" s="1"/>
  <c r="BU12" i="1" s="1"/>
  <c r="I15" i="1"/>
  <c r="AY12" i="2"/>
  <c r="BA13" i="2"/>
  <c r="BB13" i="2" s="1"/>
  <c r="I16" i="3"/>
  <c r="AH16" i="3"/>
  <c r="AN19" i="3"/>
  <c r="AM14" i="1"/>
  <c r="AF15" i="1"/>
  <c r="AY15" i="1"/>
  <c r="BA15" i="1"/>
  <c r="AZ15" i="1"/>
  <c r="H14" i="1"/>
  <c r="I16" i="1"/>
  <c r="AH16" i="1"/>
  <c r="I15" i="3"/>
  <c r="AH15" i="3"/>
  <c r="I17" i="3"/>
  <c r="AF11" i="2"/>
  <c r="AG13" i="3"/>
  <c r="AN16" i="3"/>
  <c r="Y14" i="1"/>
  <c r="I13" i="2"/>
  <c r="AO13" i="2" s="1"/>
  <c r="AH13" i="2"/>
  <c r="I14" i="2"/>
  <c r="AO14" i="2" s="1"/>
  <c r="AH14" i="4"/>
  <c r="AH11" i="4" s="1"/>
  <c r="AY16" i="1"/>
  <c r="AC14" i="1"/>
  <c r="BA16" i="1"/>
  <c r="AZ17" i="1"/>
  <c r="I12" i="2"/>
  <c r="AH12" i="2"/>
  <c r="AH11" i="2" s="1"/>
  <c r="I14" i="3"/>
  <c r="BA12" i="2"/>
  <c r="AD14" i="1"/>
  <c r="AZ14" i="2"/>
  <c r="AZ11" i="2" s="1"/>
  <c r="AY14" i="2"/>
  <c r="Y13" i="3"/>
  <c r="AM13" i="3"/>
  <c r="I19" i="3"/>
  <c r="AH19" i="3"/>
  <c r="I12" i="4"/>
  <c r="AO13" i="4"/>
  <c r="AV13" i="4" s="1"/>
  <c r="AF14" i="4"/>
  <c r="AF20" i="1"/>
  <c r="I20" i="1"/>
  <c r="H11" i="2"/>
  <c r="AN13" i="2"/>
  <c r="AN11" i="2" s="1"/>
  <c r="AV14" i="2"/>
  <c r="AN14" i="3"/>
  <c r="Y11" i="4"/>
  <c r="BA14" i="4"/>
  <c r="BA11" i="4" s="1"/>
  <c r="AZ13" i="4"/>
  <c r="AZ11" i="4" s="1"/>
  <c r="AN17" i="3"/>
  <c r="AN14" i="4"/>
  <c r="AN11" i="4" s="1"/>
  <c r="AY20" i="1"/>
  <c r="BT14" i="2"/>
  <c r="BT11" i="2" s="1"/>
  <c r="H11" i="4"/>
  <c r="AZ20" i="1"/>
  <c r="AY19" i="1"/>
  <c r="AO19" i="2"/>
  <c r="AY14" i="4"/>
  <c r="AY11" i="4" s="1"/>
  <c r="AO18" i="3" l="1"/>
  <c r="AV18" i="3" s="1"/>
  <c r="BB18" i="3" s="1"/>
  <c r="BC18" i="3" s="1"/>
  <c r="AO16" i="3"/>
  <c r="AV16" i="3" s="1"/>
  <c r="BB16" i="3" s="1"/>
  <c r="AO20" i="3"/>
  <c r="AV20" i="3" s="1"/>
  <c r="BB20" i="3" s="1"/>
  <c r="AH13" i="3"/>
  <c r="BB18" i="1"/>
  <c r="BG21" i="1"/>
  <c r="AH14" i="1"/>
  <c r="BB19" i="1"/>
  <c r="AO18" i="1"/>
  <c r="AV18" i="1" s="1"/>
  <c r="BF18" i="1" s="1"/>
  <c r="BB17" i="1"/>
  <c r="AO19" i="1"/>
  <c r="AV19" i="1" s="1"/>
  <c r="AZ14" i="1"/>
  <c r="BB21" i="1"/>
  <c r="BK21" i="1" s="1"/>
  <c r="BL21" i="1" s="1"/>
  <c r="AF14" i="1"/>
  <c r="BG17" i="1"/>
  <c r="AO14" i="4"/>
  <c r="AV14" i="4" s="1"/>
  <c r="BG13" i="4"/>
  <c r="BI13" i="4" s="1"/>
  <c r="BJ13" i="4" s="1"/>
  <c r="BS13" i="4"/>
  <c r="BT13" i="4" s="1"/>
  <c r="BF13" i="4"/>
  <c r="BA11" i="2"/>
  <c r="AO15" i="3"/>
  <c r="AV15" i="3" s="1"/>
  <c r="BB15" i="3" s="1"/>
  <c r="BB12" i="2"/>
  <c r="AY11" i="2"/>
  <c r="AO14" i="3"/>
  <c r="AV14" i="3" s="1"/>
  <c r="I13" i="3"/>
  <c r="AO16" i="1"/>
  <c r="AV16" i="1" s="1"/>
  <c r="BF16" i="1" s="1"/>
  <c r="BB16" i="1"/>
  <c r="BG18" i="1"/>
  <c r="BK18" i="1" s="1"/>
  <c r="BL18" i="1" s="1"/>
  <c r="I11" i="4"/>
  <c r="AO12" i="4"/>
  <c r="BA14" i="1"/>
  <c r="AN13" i="3"/>
  <c r="AO15" i="1"/>
  <c r="I14" i="1"/>
  <c r="AO17" i="3"/>
  <c r="AV17" i="3" s="1"/>
  <c r="BB17" i="3" s="1"/>
  <c r="BB15" i="1"/>
  <c r="AY14" i="1"/>
  <c r="AO19" i="3"/>
  <c r="AV19" i="3" s="1"/>
  <c r="BB19" i="3" s="1"/>
  <c r="AF11" i="4"/>
  <c r="BF14" i="2"/>
  <c r="BG14" i="2" s="1"/>
  <c r="BK14" i="2" s="1"/>
  <c r="BL14" i="2" s="1"/>
  <c r="BB20" i="1"/>
  <c r="AO20" i="1"/>
  <c r="AV20" i="1" s="1"/>
  <c r="BF20" i="1" s="1"/>
  <c r="BB14" i="2"/>
  <c r="BU14" i="2" s="1"/>
  <c r="I11" i="2"/>
  <c r="AO12" i="2"/>
  <c r="BB13" i="4"/>
  <c r="BB14" i="4"/>
  <c r="AV13" i="2"/>
  <c r="BM18" i="3" l="1"/>
  <c r="BN18" i="3" s="1"/>
  <c r="BC16" i="3"/>
  <c r="BM16" i="3"/>
  <c r="BN16" i="3" s="1"/>
  <c r="BB14" i="3"/>
  <c r="BC14" i="3" s="1"/>
  <c r="BC20" i="3"/>
  <c r="BM20" i="3"/>
  <c r="BN20" i="3" s="1"/>
  <c r="BF19" i="1"/>
  <c r="BG19" i="1" s="1"/>
  <c r="BK19" i="1" s="1"/>
  <c r="BL19" i="1" s="1"/>
  <c r="BU19" i="1" s="1"/>
  <c r="BK17" i="1"/>
  <c r="BL17" i="1" s="1"/>
  <c r="BS14" i="4"/>
  <c r="BT14" i="4" s="1"/>
  <c r="BF14" i="4"/>
  <c r="BG14" i="4" s="1"/>
  <c r="BI14" i="4" s="1"/>
  <c r="BJ14" i="4" s="1"/>
  <c r="BM17" i="3"/>
  <c r="BN17" i="3" s="1"/>
  <c r="BC17" i="3"/>
  <c r="BG20" i="1"/>
  <c r="BK20" i="1" s="1"/>
  <c r="BL20" i="1" s="1"/>
  <c r="BM15" i="3"/>
  <c r="BN15" i="3" s="1"/>
  <c r="BC15" i="3"/>
  <c r="BB11" i="4"/>
  <c r="BB14" i="1"/>
  <c r="BG16" i="1"/>
  <c r="BK16" i="1" s="1"/>
  <c r="BL16" i="1" s="1"/>
  <c r="BU16" i="1" s="1"/>
  <c r="BU21" i="1"/>
  <c r="AO11" i="2"/>
  <c r="AV12" i="2"/>
  <c r="AO13" i="3"/>
  <c r="AO14" i="1"/>
  <c r="AV13" i="3"/>
  <c r="BM14" i="3"/>
  <c r="BN14" i="3" s="1"/>
  <c r="AO11" i="4"/>
  <c r="AV12" i="4"/>
  <c r="BB11" i="2"/>
  <c r="AV15" i="1"/>
  <c r="BF15" i="1" s="1"/>
  <c r="BF13" i="2"/>
  <c r="BG13" i="2" s="1"/>
  <c r="BK13" i="2" s="1"/>
  <c r="BL13" i="2" s="1"/>
  <c r="BU13" i="2" s="1"/>
  <c r="BM19" i="3"/>
  <c r="BN19" i="3" s="1"/>
  <c r="BC19" i="3"/>
  <c r="BN13" i="3" l="1"/>
  <c r="BU17" i="1"/>
  <c r="BS12" i="4"/>
  <c r="AV11" i="4"/>
  <c r="BT12" i="4"/>
  <c r="BT11" i="4" s="1"/>
  <c r="BF12" i="4"/>
  <c r="BG12" i="4" s="1"/>
  <c r="BI12" i="4" s="1"/>
  <c r="BJ12" i="4" s="1"/>
  <c r="BJ11" i="4" s="1"/>
  <c r="BG12" i="2"/>
  <c r="BK12" i="2" s="1"/>
  <c r="BL12" i="2" s="1"/>
  <c r="BL11" i="2" s="1"/>
  <c r="AV11" i="2"/>
  <c r="BF12" i="2"/>
  <c r="BU20" i="1"/>
  <c r="BU18" i="1"/>
  <c r="AV14" i="1"/>
  <c r="BG15" i="1"/>
  <c r="BK15" i="1" s="1"/>
  <c r="BL15" i="1" s="1"/>
  <c r="BL14" i="1" l="1"/>
  <c r="BU15" i="1"/>
  <c r="BU14" i="1" s="1"/>
  <c r="BT14" i="1"/>
  <c r="BU12" i="2"/>
  <c r="BU11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tc={3B7FFEF4-AE63-4DFA-B536-7BAA2BEE4A14}</author>
    <author>tc={F2CA1CEE-0407-4ECA-B543-A94DFE1E09BB}</author>
  </authors>
  <commentList>
    <comment ref="E8" authorId="0" shapeId="0" xr:uid="{00000000-0006-0000-0000-000001000000}">
      <text>
        <r>
          <rPr>
            <sz val="11"/>
            <color rgb="FF000000"/>
            <rFont val="Calibri"/>
            <family val="2"/>
          </rPr>
          <t xml:space="preserve">[Threaded comment]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Comment:
</t>
        </r>
        <r>
          <rPr>
            <sz val="11"/>
            <color rgb="FF000000"/>
            <rFont val="Calibri"/>
            <family val="2"/>
          </rPr>
          <t xml:space="preserve">    TV: Thử việc
</t>
        </r>
        <r>
          <rPr>
            <sz val="11"/>
            <color rgb="FF000000"/>
            <rFont val="Calibri"/>
            <family val="2"/>
          </rPr>
          <t>CT: Chính thức</t>
        </r>
      </text>
    </comment>
    <comment ref="F8" authorId="1" shapeId="0" xr:uid="{00000000-0006-0000-0000-000002000000}">
      <text>
        <r>
          <rPr>
            <sz val="11"/>
            <color rgb="FF000000"/>
            <rFont val="Calibri"/>
            <family val="2"/>
          </rPr>
          <t xml:space="preserve">[Threaded comment]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Comment:
</t>
        </r>
        <r>
          <rPr>
            <sz val="11"/>
            <color rgb="FF000000"/>
            <rFont val="Calibri"/>
            <family val="2"/>
          </rPr>
          <t xml:space="preserve">    Đối tượng Lương ngày tại các TĐTV
</t>
        </r>
        <r>
          <rPr>
            <sz val="11"/>
            <color rgb="FF000000"/>
            <rFont val="Calibri"/>
            <family val="2"/>
          </rPr>
          <t xml:space="preserve">Reply:
</t>
        </r>
        <r>
          <rPr>
            <sz val="11"/>
            <color rgb="FF000000"/>
            <rFont val="Calibri"/>
            <family val="2"/>
          </rPr>
          <t xml:space="preserve">    LT: Lương Tháng
</t>
        </r>
        <r>
          <rPr>
            <sz val="11"/>
            <color rgb="FF000000"/>
            <rFont val="Calibri"/>
            <family val="2"/>
          </rPr>
          <t xml:space="preserve">LN: Lương ngày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tc={3B7FFEF4-AE63-4DFB-B536-7BAA2BEE4A14}</author>
    <author>tc={F2CA1CEE-0407-4ECB-B543-A94DFE1E09BB}</author>
  </authors>
  <commentList>
    <comment ref="E5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TV: Thử việc
CT: Chính thức</t>
        </r>
      </text>
    </comment>
    <comment ref="F5" authorId="1" shapeId="0" xr:uid="{00000000-0006-0000-0100-000002000000}">
      <text>
        <r>
          <rPr>
            <sz val="11"/>
            <color rgb="FF000000"/>
            <rFont val="Calibri"/>
            <family val="2"/>
          </rPr>
          <t xml:space="preserve">[Threaded comment]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Comment:
</t>
        </r>
        <r>
          <rPr>
            <sz val="11"/>
            <color rgb="FF000000"/>
            <rFont val="Calibri"/>
            <family val="2"/>
          </rPr>
          <t xml:space="preserve">    Đối tượng Lương ngày tại các TĐTV</t>
        </r>
      </text>
    </comment>
  </commentList>
</comments>
</file>

<file path=xl/sharedStrings.xml><?xml version="1.0" encoding="utf-8"?>
<sst xmlns="http://schemas.openxmlformats.org/spreadsheetml/2006/main" count="700" uniqueCount="162">
  <si>
    <t>COMPANY …..............</t>
  </si>
  <si>
    <t>DC:…………..</t>
  </si>
  <si>
    <t>SALARY STATISTICS</t>
  </si>
  <si>
    <t>Actual work day month</t>
  </si>
  <si>
    <t>TT</t>
  </si>
  <si>
    <t>MSNV</t>
  </si>
  <si>
    <t>Full name</t>
  </si>
  <si>
    <t>Unit</t>
  </si>
  <si>
    <t>Type of labor contract</t>
  </si>
  <si>
    <t>Subjects are counted as working overtime</t>
  </si>
  <si>
    <t>Labor contract salary</t>
  </si>
  <si>
    <t>Allowances (fire protection, safety)</t>
  </si>
  <si>
    <t>HQCV Bonus norms</t>
  </si>
  <si>
    <t>Percentage of HQCV bonus advance</t>
  </si>
  <si>
    <t>Workdays in the month</t>
  </si>
  <si>
    <t>Amounts received during the month</t>
  </si>
  <si>
    <t>Receiving salary</t>
  </si>
  <si>
    <t>Salary collection</t>
  </si>
  <si>
    <t>Rice support</t>
  </si>
  <si>
    <t>Housing Support</t>
  </si>
  <si>
    <t>Annual bonus</t>
  </si>
  <si>
    <t>Payment of unused annual leave</t>
  </si>
  <si>
    <t>Total income</t>
  </si>
  <si>
    <t>Other taxable income</t>
  </si>
  <si>
    <t>Tham gia BHXH</t>
  </si>
  <si>
    <t>Deductions</t>
  </si>
  <si>
    <t>Tax finalization</t>
  </si>
  <si>
    <t>Realization part 1</t>
  </si>
  <si>
    <t>Real acceptance part 2</t>
  </si>
  <si>
    <t>Salary quota</t>
  </si>
  <si>
    <t>Benefits</t>
  </si>
  <si>
    <t>Total salary and other PC payments</t>
  </si>
  <si>
    <t>Is a dispatcher, fire protection officer, and AT-VSV</t>
  </si>
  <si>
    <t>Level of health compensation</t>
  </si>
  <si>
    <t>Cong goes to work on weekdays</t>
  </si>
  <si>
    <t>Collaborate</t>
  </si>
  <si>
    <t>Permit year</t>
  </si>
  <si>
    <t>Vacation mode</t>
  </si>
  <si>
    <t>Holiday/Tet</t>
  </si>
  <si>
    <t>Overtime on weekdays</t>
  </si>
  <si>
    <t>Overtime on Sunday</t>
  </si>
  <si>
    <t>Overtime for Tet holiday</t>
  </si>
  <si>
    <t>Night allowance</t>
  </si>
  <si>
    <t>Working hours are off in HK</t>
  </si>
  <si>
    <t>Working on Saturdays is off</t>
  </si>
  <si>
    <t>Date of work stoppage in the month</t>
  </si>
  <si>
    <t>PHSK work day</t>
  </si>
  <si>
    <t>Lương
Ngày thường</t>
  </si>
  <si>
    <t>Salary for vacation days</t>
  </si>
  <si>
    <t>Salary for days off</t>
  </si>
  <si>
    <t>Holiday pay</t>
  </si>
  <si>
    <t>Salary Overtime on weekdays</t>
  </si>
  <si>
    <t>Overtime pay on holidays</t>
  </si>
  <si>
    <t>Overtime pay on Holidays/New Year</t>
  </si>
  <si>
    <t>Night allowance salary</t>
  </si>
  <si>
    <t>Salary female leave HK</t>
  </si>
  <si>
    <t>Salary for work on Saturdays is off</t>
  </si>
  <si>
    <t>Salary for days of temporary suspension</t>
  </si>
  <si>
    <t>Salary on duty to support security</t>
  </si>
  <si>
    <t>Working allowances</t>
  </si>
  <si>
    <t>Annual leave from work</t>
  </si>
  <si>
    <t>Nursing care training</t>
  </si>
  <si>
    <t>Fire protection allowance (DT, DP), Safety and sanitation allowance</t>
  </si>
  <si>
    <t>Advance payment of HQCV bonus</t>
  </si>
  <si>
    <t>Other fees/collections</t>
  </si>
  <si>
    <t>Truy thu theo QTT</t>
  </si>
  <si>
    <t>Refund according to QTT</t>
  </si>
  <si>
    <t>BHXH</t>
  </si>
  <si>
    <t>BHYT</t>
  </si>
  <si>
    <t>BHTN</t>
  </si>
  <si>
    <t>TOTAL social insurance</t>
  </si>
  <si>
    <t>Truy thu BHXH</t>
  </si>
  <si>
    <t>Refund of social insurance</t>
  </si>
  <si>
    <t>Phí 
công đoàn</t>
  </si>
  <si>
    <t>Tax-free income</t>
  </si>
  <si>
    <t>Taxable income</t>
  </si>
  <si>
    <t>NPT</t>
  </si>
  <si>
    <t>NPT deduction</t>
  </si>
  <si>
    <t>Personal deductions</t>
  </si>
  <si>
    <t>TNTT</t>
  </si>
  <si>
    <t>Personal income tax</t>
  </si>
  <si>
    <t>Collect advance payment</t>
  </si>
  <si>
    <t>Collect money for the Investment Company on behalf of the Reserve...,</t>
  </si>
  <si>
    <t>Excessive phone bill collection</t>
  </si>
  <si>
    <t>Funeral money</t>
  </si>
  <si>
    <t>…..............</t>
  </si>
  <si>
    <t>First 14 days</t>
  </si>
  <si>
    <t>From the 15th onwards</t>
  </si>
  <si>
    <t>8%</t>
  </si>
  <si>
    <t>1.5%</t>
  </si>
  <si>
    <t>1%</t>
  </si>
  <si>
    <t>PC title</t>
  </si>
  <si>
    <t>PC concurrently</t>
  </si>
  <si>
    <t>PC Seconded</t>
  </si>
  <si>
    <t>PC seniority</t>
  </si>
  <si>
    <t>65</t>
  </si>
  <si>
    <t>IN</t>
  </si>
  <si>
    <t>To Thanh Liem</t>
  </si>
  <si>
    <t>Accounting department</t>
  </si>
  <si>
    <t>CT</t>
  </si>
  <si>
    <t>LT</t>
  </si>
  <si>
    <t>x</t>
  </si>
  <si>
    <t>Nguyen Thanh An</t>
  </si>
  <si>
    <t>Human Resources Department</t>
  </si>
  <si>
    <t>2504023</t>
  </si>
  <si>
    <t>Nguyen Huu Tho</t>
  </si>
  <si>
    <t>Finance Department</t>
  </si>
  <si>
    <t>Truong Thi Thu Hien</t>
  </si>
  <si>
    <t>2305991</t>
  </si>
  <si>
    <t>Vo Thi Tu Trinh</t>
  </si>
  <si>
    <t>Administrative Department</t>
  </si>
  <si>
    <t>LN</t>
  </si>
  <si>
    <t>Nguyen Ngoc Thuy Tien</t>
  </si>
  <si>
    <t>TV</t>
  </si>
  <si>
    <t>Fire Department</t>
  </si>
  <si>
    <t>2006324</t>
  </si>
  <si>
    <t>Nguyen Hong Nhung</t>
  </si>
  <si>
    <t>Digital Transformation Department</t>
  </si>
  <si>
    <t>AT-VSV</t>
  </si>
  <si>
    <t/>
  </si>
  <si>
    <t>Nguyen Van A</t>
  </si>
  <si>
    <t>Ban…</t>
  </si>
  <si>
    <t>Fire prevention team</t>
  </si>
  <si>
    <t>Nguyen Van C</t>
  </si>
  <si>
    <t>789123</t>
  </si>
  <si>
    <t>Nguyen Thi B</t>
  </si>
  <si>
    <t>Numerical order</t>
  </si>
  <si>
    <t>Mã số nhân viên
Lấy từ phần mềm HRM</t>
  </si>
  <si>
    <t>Tên nhân viên
Lấy từ phần mềm HRM</t>
  </si>
  <si>
    <t>Phòng ban trực thuộc của nhân viên
Lấy từ phần mềm HRM</t>
  </si>
  <si>
    <t>Loại hợp đồng hiệu lực mới nhất của nhân viên
Lấy từ phần mềm HRM</t>
  </si>
  <si>
    <t>LT: Đối tượng hưởng lương tháng
LN: Đối tượng hưởng lương ngày</t>
  </si>
  <si>
    <t>Mức lương hợp đồng hiệu lực mới nhất của nhân viên
Lấy từ phần mềm HRM</t>
  </si>
  <si>
    <t>Import, default is 100%</t>
  </si>
  <si>
    <t>Số ngày công đi làm thực tế trong tháng
Lấy từ phần mềm chấm công</t>
  </si>
  <si>
    <t>Số ngày đi công tác trong tháng
Lấy từ phần mềm chấm công</t>
  </si>
  <si>
    <t>Số ngày nghỉ phép năm trong tháng
Lấy từ phần mềm Chấm công</t>
  </si>
  <si>
    <t>Số ngày nghỉ Lễ trong tháng
Lấy từ phần mềm Chấm công</t>
  </si>
  <si>
    <t>Số giờ tăng ca (loại tăng ca ngày thường) trong tháng
Lấy từ phần mềm Chấm công</t>
  </si>
  <si>
    <t>Số giờ tăng ca (loại tăng ca ngày CN) trong tháng
Lấy từ phần mềm Chấm công</t>
  </si>
  <si>
    <t>Số giờ tăng ca (loại tăng ca ngày Lễ) trong tháng
Lấy từ phần mềm Chấm công</t>
  </si>
  <si>
    <t>Block</t>
  </si>
  <si>
    <t>LN/LT</t>
  </si>
  <si>
    <t>Salary advance rate</t>
  </si>
  <si>
    <t>Sunday salary</t>
  </si>
  <si>
    <t>Phí 
công đoàn
(Lương HĐLĐ *1%)</t>
  </si>
  <si>
    <t>Food money</t>
  </si>
  <si>
    <t>s</t>
  </si>
  <si>
    <t>QTNV</t>
  </si>
  <si>
    <t>SXLR</t>
  </si>
  <si>
    <t>Officer and Employee Payroll</t>
  </si>
  <si>
    <t>Formula Reference</t>
  </si>
  <si>
    <t>Salary Advance Sheet - Period 1</t>
  </si>
  <si>
    <t>Description of Salary Advance Sheet - Period 1</t>
  </si>
  <si>
    <t>Salary Weekday</t>
  </si>
  <si>
    <t>A</t>
  </si>
  <si>
    <t>B</t>
  </si>
  <si>
    <t>C</t>
  </si>
  <si>
    <t>C1</t>
  </si>
  <si>
    <t>C2</t>
  </si>
  <si>
    <t>D</t>
  </si>
  <si>
    <t>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</si>
</sst>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_-* #,##0.00_-;\-* #,##0.00_-;_-* &quot;-&quot;??_-;_-@_-"/>
    <numFmt numFmtId="166" formatCode="_(* #,##0.0_);_(* \(#,##0.0\);_(* &quot;-&quot;??_);_(@_)"/>
    <numFmt numFmtId="167" formatCode="_-* #,##0.0_-;\-* #,##0.0_-;_-* &quot;-&quot;??_-;_-@_-"/>
  </numFmts>
  <fonts count="7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VNI-Times"/>
    </font>
    <font>
      <sz val="18"/>
      <color theme="1"/>
      <name val="Times New Roman"/>
      <family val="1"/>
    </font>
    <font>
      <b/>
      <sz val="8"/>
      <color theme="1"/>
      <name val="Times New Roman"/>
      <family val="1"/>
    </font>
    <font>
      <sz val="11"/>
      <name val="Times New Roman"/>
      <family val="1"/>
    </font>
    <font>
      <sz val="11"/>
      <color theme="1"/>
      <name val="Times New Roman"/>
      <family val="1"/>
    </font>
    <font>
      <b/>
      <sz val="8"/>
      <color rgb="FFFF0000"/>
      <name val="Times New Roman"/>
      <family val="1"/>
    </font>
    <font>
      <sz val="8"/>
      <name val="Times New Roman"/>
      <family val="1"/>
    </font>
    <font>
      <i/>
      <sz val="8"/>
      <name val="Times New Roman"/>
      <family val="1"/>
    </font>
    <font>
      <b/>
      <sz val="8"/>
      <name val="Times New Roman"/>
      <family val="1"/>
    </font>
    <font>
      <i/>
      <sz val="8"/>
      <color theme="1"/>
      <name val="Times New Roman"/>
      <family val="1"/>
    </font>
    <font>
      <sz val="11.5"/>
      <color theme="1"/>
      <name val="Times New Roman"/>
      <family val="1"/>
    </font>
    <font>
      <b/>
      <sz val="7"/>
      <name val="Times New Roman"/>
      <family val="1"/>
    </font>
    <font>
      <b/>
      <sz val="7.5"/>
      <name val="Times New Roman"/>
      <family val="1"/>
    </font>
    <font>
      <sz val="10"/>
      <color theme="1"/>
      <name val="Times New Roman"/>
      <family val="1"/>
    </font>
    <font>
      <b/>
      <sz val="8"/>
      <color theme="0"/>
      <name val="Times New Roman"/>
      <family val="1"/>
    </font>
    <font>
      <sz val="14"/>
      <name val="Times New Roman"/>
      <family val="1"/>
    </font>
    <font>
      <sz val="14"/>
      <name val="Calibri"/>
      <family val="2"/>
      <scheme val="minor"/>
    </font>
    <font>
      <i/>
      <sz val="14"/>
      <name val="Times New Roman"/>
      <family val="1"/>
    </font>
    <font>
      <sz val="16"/>
      <name val="Times New Roman"/>
      <family val="1"/>
    </font>
    <font>
      <sz val="16"/>
      <name val="Calibri"/>
      <family val="2"/>
      <scheme val="minor"/>
    </font>
    <font>
      <i/>
      <sz val="11"/>
      <color theme="1"/>
      <name val="Times New Roman"/>
      <family val="1"/>
    </font>
    <font>
      <sz val="10"/>
      <name val="Times New Roman"/>
      <family val="1"/>
    </font>
    <font>
      <sz val="10"/>
      <color rgb="FFFF0000"/>
      <name val="Times New Roman"/>
      <family val="1"/>
    </font>
    <font>
      <sz val="11"/>
      <color theme="1"/>
      <name val="Calibri"/>
      <family val="2"/>
      <charset val="163"/>
      <scheme val="minor"/>
    </font>
    <font>
      <sz val="8"/>
      <color theme="1"/>
      <name val="Times New Roman"/>
      <family val="1"/>
    </font>
    <font>
      <b/>
      <u/>
      <sz val="8"/>
      <color theme="1"/>
      <name val="Times New Roman"/>
      <family val="1"/>
    </font>
    <font>
      <b/>
      <sz val="8"/>
      <color rgb="FF0000FF"/>
      <name val="Times New Roman"/>
      <family val="1"/>
    </font>
    <font>
      <sz val="8"/>
      <color rgb="FFFF0000"/>
      <name val="Times New Roman"/>
      <family val="1"/>
    </font>
    <font>
      <sz val="8"/>
      <color theme="0"/>
      <name val="Times New Roman"/>
      <family val="1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3"/>
      <color rgb="FF3B3B3B"/>
      <name val="Arial"/>
      <family val="2"/>
    </font>
    <font>
      <b/>
      <sz val="22"/>
      <color theme="1"/>
      <name val="Times New Roman"/>
      <family val="1"/>
    </font>
    <font>
      <sz val="18"/>
      <name val="Times New Roman"/>
      <family val="1"/>
    </font>
    <font>
      <sz val="11"/>
      <name val="Calibri"/>
      <family val="2"/>
      <scheme val="minor"/>
    </font>
    <font>
      <sz val="11.5"/>
      <name val="Times New Roman"/>
      <family val="1"/>
    </font>
    <font>
      <sz val="22"/>
      <name val="Arial"/>
      <family val="2"/>
    </font>
    <font>
      <i/>
      <sz val="11"/>
      <name val="Times New Roman"/>
      <family val="1"/>
    </font>
    <font>
      <sz val="19"/>
      <name val="Times New Roman"/>
      <family val="1"/>
    </font>
    <font>
      <sz val="12"/>
      <name val="Times New Roman"/>
      <family val="1"/>
    </font>
    <font>
      <u/>
      <sz val="14"/>
      <name val="Times New Roman"/>
      <family val="1"/>
    </font>
    <font>
      <u/>
      <sz val="12"/>
      <name val="Times New Roman"/>
      <family val="1"/>
    </font>
    <font>
      <sz val="9"/>
      <name val="Times New Roman"/>
      <family val="1"/>
    </font>
    <font>
      <sz val="24"/>
      <name val="Times New Roman"/>
      <family val="1"/>
    </font>
    <font>
      <sz val="26"/>
      <name val="Times New Roman"/>
      <family val="1"/>
    </font>
    <font>
      <sz val="7"/>
      <name val="Times New Roman"/>
      <family val="1"/>
    </font>
    <font>
      <sz val="11"/>
      <color rgb="FF00B0F0"/>
      <name val="Times New Roman"/>
      <family val="1"/>
    </font>
    <font>
      <sz val="8"/>
      <color rgb="FF00B0F0"/>
      <name val="Times New Roman"/>
      <family val="1"/>
    </font>
    <font>
      <i/>
      <sz val="24"/>
      <name val="Times New Roman"/>
      <family val="1"/>
    </font>
    <font>
      <b/>
      <sz val="11"/>
      <name val="Calibri"/>
      <family val="2"/>
      <scheme val="minor"/>
    </font>
    <font>
      <b/>
      <sz val="10"/>
      <color rgb="FFFF0000"/>
      <name val="Times New Roman"/>
      <family val="1"/>
    </font>
    <font>
      <b/>
      <sz val="11"/>
      <color rgb="FFFF000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7.5"/>
      <color rgb="FFFF0000"/>
      <name val="Times New Roman"/>
      <family val="1"/>
    </font>
    <font>
      <sz val="14"/>
      <color theme="1"/>
      <name val="Times New Roman"/>
      <family val="1"/>
    </font>
    <font>
      <sz val="16"/>
      <color theme="1"/>
      <name val="Times New Roman"/>
      <family val="1"/>
    </font>
    <font>
      <sz val="19"/>
      <color theme="1"/>
      <name val="Times New Roman"/>
      <family val="1"/>
    </font>
    <font>
      <sz val="12"/>
      <color theme="1"/>
      <name val="Times New Roman"/>
      <family val="1"/>
    </font>
    <font>
      <u/>
      <sz val="14"/>
      <color theme="1"/>
      <name val="Times New Roman"/>
      <family val="1"/>
    </font>
    <font>
      <u/>
      <sz val="12"/>
      <color theme="1"/>
      <name val="Times New Roman"/>
      <family val="1"/>
    </font>
    <font>
      <sz val="9"/>
      <color theme="1"/>
      <name val="Times New Roman"/>
      <family val="1"/>
    </font>
    <font>
      <sz val="24"/>
      <color theme="1"/>
      <name val="Times New Roman"/>
      <family val="1"/>
    </font>
    <font>
      <sz val="26"/>
      <color theme="1"/>
      <name val="Times New Roman"/>
      <family val="1"/>
    </font>
    <font>
      <sz val="14"/>
      <color theme="1"/>
      <name val="Calibri"/>
      <family val="2"/>
      <scheme val="minor"/>
    </font>
    <font>
      <i/>
      <sz val="14"/>
      <color theme="1"/>
      <name val="Times New Roman"/>
      <family val="1"/>
    </font>
    <font>
      <sz val="16"/>
      <color theme="1"/>
      <name val="Calibri"/>
      <family val="2"/>
      <scheme val="minor"/>
    </font>
    <font>
      <sz val="13"/>
      <color theme="1"/>
      <name val="Arial"/>
      <family val="2"/>
    </font>
    <font>
      <b/>
      <i/>
      <sz val="8"/>
      <color theme="1"/>
      <name val="Times New Roman"/>
      <family val="1"/>
    </font>
    <font>
      <b/>
      <sz val="10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9"/>
      <color theme="1"/>
      <name val="Times New Roman"/>
      <family val="1"/>
    </font>
    <font>
      <b/>
      <sz val="11.5"/>
      <color theme="1"/>
      <name val="Times New Roman"/>
      <family val="1"/>
    </font>
    <font>
      <b/>
      <sz val="7"/>
      <color theme="1"/>
      <name val="Times New Roman"/>
      <family val="1"/>
    </font>
    <font>
      <b/>
      <sz val="7.5"/>
      <color theme="1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</borders>
  <cellStyleXfs count="9">
    <xf numFmtId="0" fontId="0" fillId="0" borderId="0"/>
    <xf numFmtId="165" fontId="1" fillId="0" borderId="0"/>
    <xf numFmtId="9" fontId="1" fillId="0" borderId="0"/>
    <xf numFmtId="0" fontId="2" fillId="0" borderId="0"/>
    <xf numFmtId="43" fontId="1" fillId="0" borderId="0"/>
    <xf numFmtId="43" fontId="1" fillId="0" borderId="0"/>
    <xf numFmtId="43" fontId="25" fillId="0" borderId="0"/>
    <xf numFmtId="0" fontId="25" fillId="0" borderId="0"/>
    <xf numFmtId="9" fontId="25" fillId="0" borderId="0"/>
  </cellStyleXfs>
  <cellXfs count="472">
    <xf numFmtId="0" fontId="0" fillId="0" borderId="0" xfId="0"/>
    <xf numFmtId="164" fontId="4" fillId="0" borderId="0" xfId="1" applyNumberFormat="1" applyFont="1" applyAlignment="1">
      <alignment vertical="center"/>
    </xf>
    <xf numFmtId="0" fontId="5" fillId="0" borderId="0" xfId="3" applyFont="1" applyAlignment="1">
      <alignment horizontal="center" vertical="center"/>
    </xf>
    <xf numFmtId="164" fontId="8" fillId="0" borderId="0" xfId="1" applyNumberFormat="1" applyFont="1" applyAlignment="1">
      <alignment horizontal="center" vertical="center" wrapText="1"/>
    </xf>
    <xf numFmtId="0" fontId="16" fillId="0" borderId="9" xfId="3" applyFont="1" applyBorder="1" applyAlignment="1">
      <alignment horizontal="center" vertical="center" shrinkToFit="1"/>
    </xf>
    <xf numFmtId="49" fontId="7" fillId="0" borderId="9" xfId="1" applyNumberFormat="1" applyFont="1" applyBorder="1" applyAlignment="1">
      <alignment horizontal="center" vertical="center" shrinkToFit="1"/>
    </xf>
    <xf numFmtId="0" fontId="17" fillId="0" borderId="0" xfId="0" applyFont="1"/>
    <xf numFmtId="0" fontId="17" fillId="0" borderId="0" xfId="0" applyFont="1" applyAlignment="1">
      <alignment horizontal="center"/>
    </xf>
    <xf numFmtId="0" fontId="18" fillId="0" borderId="0" xfId="0" applyFont="1"/>
    <xf numFmtId="166" fontId="17" fillId="0" borderId="0" xfId="1" applyNumberFormat="1" applyFont="1" applyAlignment="1">
      <alignment horizontal="center"/>
    </xf>
    <xf numFmtId="165" fontId="17" fillId="0" borderId="0" xfId="1" applyFont="1" applyAlignment="1">
      <alignment horizontal="center"/>
    </xf>
    <xf numFmtId="0" fontId="19" fillId="0" borderId="8" xfId="0" applyFont="1" applyBorder="1" applyAlignment="1">
      <alignment horizontal="center"/>
    </xf>
    <xf numFmtId="14" fontId="17" fillId="0" borderId="0" xfId="0" applyNumberFormat="1" applyFont="1"/>
    <xf numFmtId="164" fontId="17" fillId="0" borderId="0" xfId="1" applyNumberFormat="1" applyFont="1"/>
    <xf numFmtId="0" fontId="20" fillId="0" borderId="0" xfId="0" applyFont="1"/>
    <xf numFmtId="0" fontId="20" fillId="0" borderId="0" xfId="0" applyFont="1" applyAlignment="1">
      <alignment horizontal="center"/>
    </xf>
    <xf numFmtId="0" fontId="21" fillId="0" borderId="0" xfId="0" applyFont="1"/>
    <xf numFmtId="166" fontId="20" fillId="0" borderId="0" xfId="1" applyNumberFormat="1" applyFont="1" applyAlignment="1">
      <alignment horizontal="center"/>
    </xf>
    <xf numFmtId="165" fontId="20" fillId="0" borderId="0" xfId="1" applyFont="1" applyAlignment="1">
      <alignment horizontal="center"/>
    </xf>
    <xf numFmtId="164" fontId="20" fillId="0" borderId="0" xfId="0" applyNumberFormat="1" applyFont="1"/>
    <xf numFmtId="14" fontId="20" fillId="0" borderId="0" xfId="0" applyNumberFormat="1" applyFont="1"/>
    <xf numFmtId="164" fontId="20" fillId="0" borderId="0" xfId="1" applyNumberFormat="1" applyFont="1"/>
    <xf numFmtId="49" fontId="20" fillId="0" borderId="0" xfId="0" applyNumberFormat="1" applyFont="1" applyAlignment="1">
      <alignment horizontal="center"/>
    </xf>
    <xf numFmtId="9" fontId="4" fillId="2" borderId="12" xfId="2" applyFont="1" applyFill="1" applyBorder="1" applyAlignment="1">
      <alignment horizontal="center" vertical="center" wrapText="1"/>
    </xf>
    <xf numFmtId="164" fontId="4" fillId="2" borderId="12" xfId="1" applyNumberFormat="1" applyFont="1" applyFill="1" applyBorder="1" applyAlignment="1">
      <alignment horizontal="center" vertical="center" wrapText="1"/>
    </xf>
    <xf numFmtId="49" fontId="4" fillId="0" borderId="9" xfId="1" applyNumberFormat="1" applyFont="1" applyBorder="1" applyAlignment="1">
      <alignment horizontal="center" vertical="center" shrinkToFit="1"/>
    </xf>
    <xf numFmtId="0" fontId="7" fillId="0" borderId="9" xfId="3" applyFont="1" applyBorder="1" applyAlignment="1">
      <alignment horizontal="center" vertical="center" shrinkToFit="1"/>
    </xf>
    <xf numFmtId="9" fontId="23" fillId="0" borderId="17" xfId="1" applyNumberFormat="1" applyFont="1" applyBorder="1" applyAlignment="1">
      <alignment horizontal="center" vertical="center"/>
    </xf>
    <xf numFmtId="164" fontId="23" fillId="0" borderId="17" xfId="1" applyNumberFormat="1" applyFont="1" applyBorder="1" applyAlignment="1">
      <alignment horizontal="left" vertical="center"/>
    </xf>
    <xf numFmtId="164" fontId="10" fillId="3" borderId="1" xfId="1" applyNumberFormat="1" applyFont="1" applyFill="1" applyBorder="1" applyAlignment="1">
      <alignment horizontal="center" vertical="center" wrapText="1"/>
    </xf>
    <xf numFmtId="49" fontId="10" fillId="3" borderId="1" xfId="1" applyNumberFormat="1" applyFont="1" applyFill="1" applyBorder="1" applyAlignment="1">
      <alignment horizontal="center" vertical="center" wrapText="1"/>
    </xf>
    <xf numFmtId="49" fontId="4" fillId="0" borderId="10" xfId="1" applyNumberFormat="1" applyFont="1" applyBorder="1" applyAlignment="1">
      <alignment horizontal="center" vertical="center" shrinkToFit="1"/>
    </xf>
    <xf numFmtId="49" fontId="7" fillId="0" borderId="11" xfId="1" applyNumberFormat="1" applyFont="1" applyBorder="1" applyAlignment="1">
      <alignment horizontal="center" vertical="center" shrinkToFit="1"/>
    </xf>
    <xf numFmtId="49" fontId="4" fillId="0" borderId="11" xfId="1" applyNumberFormat="1" applyFont="1" applyBorder="1" applyAlignment="1">
      <alignment horizontal="center" vertical="center" shrinkToFit="1"/>
    </xf>
    <xf numFmtId="0" fontId="4" fillId="0" borderId="0" xfId="3" applyFont="1" applyAlignment="1">
      <alignment horizontal="left" vertical="center"/>
    </xf>
    <xf numFmtId="164" fontId="4" fillId="0" borderId="0" xfId="1" applyNumberFormat="1" applyFont="1" applyAlignment="1">
      <alignment horizontal="center" vertical="center"/>
    </xf>
    <xf numFmtId="0" fontId="26" fillId="0" borderId="0" xfId="3" applyFont="1" applyAlignment="1">
      <alignment vertical="center"/>
    </xf>
    <xf numFmtId="164" fontId="10" fillId="0" borderId="0" xfId="1" applyNumberFormat="1" applyFont="1" applyAlignment="1">
      <alignment vertical="center" wrapText="1"/>
    </xf>
    <xf numFmtId="165" fontId="4" fillId="0" borderId="0" xfId="1" applyFont="1" applyAlignment="1">
      <alignment vertical="center"/>
    </xf>
    <xf numFmtId="0" fontId="4" fillId="0" borderId="0" xfId="3" applyFont="1" applyAlignment="1">
      <alignment horizontal="center" vertical="center"/>
    </xf>
    <xf numFmtId="0" fontId="27" fillId="0" borderId="0" xfId="3" applyFont="1" applyAlignment="1">
      <alignment horizontal="left" vertical="center"/>
    </xf>
    <xf numFmtId="0" fontId="27" fillId="0" borderId="0" xfId="3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26" fillId="0" borderId="0" xfId="3" applyFont="1" applyAlignment="1">
      <alignment horizontal="center" vertical="center"/>
    </xf>
    <xf numFmtId="0" fontId="4" fillId="0" borderId="0" xfId="0" applyFont="1" applyAlignment="1">
      <alignment vertical="center"/>
    </xf>
    <xf numFmtId="0" fontId="16" fillId="0" borderId="0" xfId="0" applyFont="1" applyAlignment="1">
      <alignment horizontal="center" vertical="center"/>
    </xf>
    <xf numFmtId="164" fontId="26" fillId="0" borderId="0" xfId="0" applyNumberFormat="1" applyFont="1" applyAlignment="1">
      <alignment horizontal="left" vertical="center" shrinkToFit="1"/>
    </xf>
    <xf numFmtId="164" fontId="4" fillId="0" borderId="0" xfId="0" applyNumberFormat="1" applyFont="1" applyAlignment="1">
      <alignment horizontal="left" vertical="center" shrinkToFit="1"/>
    </xf>
    <xf numFmtId="0" fontId="16" fillId="0" borderId="0" xfId="0" applyFont="1" applyAlignment="1">
      <alignment horizontal="center"/>
    </xf>
    <xf numFmtId="0" fontId="26" fillId="2" borderId="1" xfId="0" applyFont="1" applyFill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0" xfId="0" applyFont="1" applyAlignment="1">
      <alignment horizontal="center" shrinkToFit="1"/>
    </xf>
    <xf numFmtId="0" fontId="4" fillId="0" borderId="0" xfId="0" applyFont="1" applyAlignment="1">
      <alignment horizontal="center" shrinkToFit="1"/>
    </xf>
    <xf numFmtId="0" fontId="4" fillId="0" borderId="0" xfId="0" applyFont="1" applyAlignment="1">
      <alignment horizontal="center"/>
    </xf>
    <xf numFmtId="0" fontId="28" fillId="0" borderId="17" xfId="3" applyFont="1" applyBorder="1" applyAlignment="1">
      <alignment horizontal="center" vertical="center"/>
    </xf>
    <xf numFmtId="164" fontId="28" fillId="0" borderId="17" xfId="1" applyNumberFormat="1" applyFont="1" applyBorder="1" applyAlignment="1">
      <alignment horizontal="left" vertical="center"/>
    </xf>
    <xf numFmtId="0" fontId="28" fillId="0" borderId="17" xfId="0" applyFont="1" applyBorder="1" applyAlignment="1">
      <alignment horizontal="left" vertical="center"/>
    </xf>
    <xf numFmtId="167" fontId="28" fillId="0" borderId="17" xfId="1" applyNumberFormat="1" applyFont="1" applyBorder="1" applyAlignment="1">
      <alignment horizontal="left" vertical="center"/>
    </xf>
    <xf numFmtId="167" fontId="28" fillId="2" borderId="17" xfId="1" applyNumberFormat="1" applyFont="1" applyFill="1" applyBorder="1" applyAlignment="1">
      <alignment horizontal="left" vertical="center"/>
    </xf>
    <xf numFmtId="164" fontId="28" fillId="0" borderId="19" xfId="1" applyNumberFormat="1" applyFont="1" applyBorder="1" applyAlignment="1">
      <alignment horizontal="left" vertical="center"/>
    </xf>
    <xf numFmtId="164" fontId="26" fillId="0" borderId="21" xfId="1" applyNumberFormat="1" applyFont="1" applyBorder="1" applyAlignment="1">
      <alignment horizontal="left" vertical="center"/>
    </xf>
    <xf numFmtId="164" fontId="26" fillId="0" borderId="12" xfId="1" applyNumberFormat="1" applyFont="1" applyBorder="1" applyAlignment="1">
      <alignment horizontal="left" vertical="center"/>
    </xf>
    <xf numFmtId="0" fontId="28" fillId="0" borderId="0" xfId="0" applyFont="1" applyAlignment="1">
      <alignment horizontal="left" vertical="center"/>
    </xf>
    <xf numFmtId="0" fontId="26" fillId="0" borderId="17" xfId="3" applyFont="1" applyBorder="1" applyAlignment="1">
      <alignment horizontal="center" vertical="center"/>
    </xf>
    <xf numFmtId="0" fontId="26" fillId="0" borderId="1" xfId="0" quotePrefix="1" applyFont="1" applyBorder="1" applyAlignment="1">
      <alignment horizontal="center" vertical="center"/>
    </xf>
    <xf numFmtId="0" fontId="26" fillId="0" borderId="1" xfId="0" applyFont="1" applyBorder="1" applyAlignment="1">
      <alignment horizontal="left" vertical="center"/>
    </xf>
    <xf numFmtId="0" fontId="26" fillId="0" borderId="17" xfId="0" applyFont="1" applyBorder="1" applyAlignment="1">
      <alignment horizontal="left" vertical="center"/>
    </xf>
    <xf numFmtId="0" fontId="26" fillId="0" borderId="17" xfId="0" applyFont="1" applyBorder="1" applyAlignment="1">
      <alignment horizontal="center" vertical="center"/>
    </xf>
    <xf numFmtId="0" fontId="29" fillId="0" borderId="17" xfId="0" applyFont="1" applyBorder="1" applyAlignment="1">
      <alignment horizontal="center" vertical="center"/>
    </xf>
    <xf numFmtId="164" fontId="26" fillId="0" borderId="17" xfId="1" applyNumberFormat="1" applyFont="1" applyBorder="1" applyAlignment="1">
      <alignment horizontal="left" vertical="center"/>
    </xf>
    <xf numFmtId="9" fontId="8" fillId="0" borderId="17" xfId="1" applyNumberFormat="1" applyFont="1" applyBorder="1" applyAlignment="1">
      <alignment horizontal="center" vertical="center"/>
    </xf>
    <xf numFmtId="165" fontId="26" fillId="0" borderId="17" xfId="1" applyFont="1" applyBorder="1" applyAlignment="1">
      <alignment horizontal="left" vertical="center"/>
    </xf>
    <xf numFmtId="165" fontId="26" fillId="2" borderId="17" xfId="1" applyFont="1" applyFill="1" applyBorder="1" applyAlignment="1">
      <alignment horizontal="left" vertical="center"/>
    </xf>
    <xf numFmtId="164" fontId="8" fillId="0" borderId="17" xfId="1" applyNumberFormat="1" applyFont="1" applyBorder="1" applyAlignment="1">
      <alignment horizontal="left" vertical="center"/>
    </xf>
    <xf numFmtId="164" fontId="26" fillId="0" borderId="1" xfId="1" applyNumberFormat="1" applyFont="1" applyBorder="1" applyAlignment="1">
      <alignment horizontal="left" vertical="center"/>
    </xf>
    <xf numFmtId="164" fontId="26" fillId="0" borderId="4" xfId="1" applyNumberFormat="1" applyFont="1" applyBorder="1" applyAlignment="1">
      <alignment horizontal="left" vertical="center"/>
    </xf>
    <xf numFmtId="164" fontId="29" fillId="0" borderId="0" xfId="2" applyNumberFormat="1" applyFont="1" applyAlignment="1">
      <alignment horizontal="left" vertical="center"/>
    </xf>
    <xf numFmtId="14" fontId="29" fillId="0" borderId="0" xfId="2" applyNumberFormat="1" applyFont="1" applyAlignment="1">
      <alignment horizontal="left" vertical="center"/>
    </xf>
    <xf numFmtId="164" fontId="26" fillId="0" borderId="0" xfId="0" applyNumberFormat="1" applyFont="1" applyAlignment="1">
      <alignment horizontal="left" vertical="center"/>
    </xf>
    <xf numFmtId="164" fontId="4" fillId="0" borderId="0" xfId="0" applyNumberFormat="1" applyFont="1" applyAlignment="1">
      <alignment horizontal="left" vertical="center"/>
    </xf>
    <xf numFmtId="0" fontId="26" fillId="0" borderId="0" xfId="0" applyFont="1" applyAlignment="1">
      <alignment horizontal="left" vertical="center"/>
    </xf>
    <xf numFmtId="49" fontId="26" fillId="0" borderId="1" xfId="0" applyNumberFormat="1" applyFont="1" applyBorder="1" applyAlignment="1">
      <alignment horizontal="center" vertical="center"/>
    </xf>
    <xf numFmtId="0" fontId="30" fillId="0" borderId="0" xfId="0" applyFont="1" applyAlignment="1">
      <alignment horizontal="center"/>
    </xf>
    <xf numFmtId="49" fontId="30" fillId="0" borderId="0" xfId="1" applyNumberFormat="1" applyFont="1" applyAlignment="1">
      <alignment horizontal="center"/>
    </xf>
    <xf numFmtId="164" fontId="30" fillId="0" borderId="0" xfId="1" applyNumberFormat="1" applyFont="1" applyAlignment="1">
      <alignment wrapText="1"/>
    </xf>
    <xf numFmtId="164" fontId="26" fillId="0" borderId="0" xfId="1" applyNumberFormat="1" applyFont="1" applyAlignment="1">
      <alignment horizontal="center"/>
    </xf>
    <xf numFmtId="164" fontId="11" fillId="0" borderId="0" xfId="1" applyNumberFormat="1" applyFont="1" applyAlignment="1">
      <alignment horizontal="center"/>
    </xf>
    <xf numFmtId="164" fontId="30" fillId="0" borderId="0" xfId="1" applyNumberFormat="1" applyFont="1"/>
    <xf numFmtId="0" fontId="31" fillId="0" borderId="0" xfId="0" applyFont="1"/>
    <xf numFmtId="165" fontId="26" fillId="0" borderId="0" xfId="1" applyFont="1" applyAlignment="1">
      <alignment horizontal="center"/>
    </xf>
    <xf numFmtId="164" fontId="26" fillId="0" borderId="0" xfId="1" applyNumberFormat="1" applyFont="1"/>
    <xf numFmtId="165" fontId="30" fillId="0" borderId="0" xfId="1" applyFont="1"/>
    <xf numFmtId="0" fontId="30" fillId="0" borderId="0" xfId="0" applyFont="1"/>
    <xf numFmtId="0" fontId="10" fillId="4" borderId="1" xfId="0" applyFont="1" applyFill="1" applyBorder="1" applyAlignment="1">
      <alignment horizontal="center" vertical="center" wrapText="1"/>
    </xf>
    <xf numFmtId="0" fontId="10" fillId="0" borderId="0" xfId="0" applyFont="1" applyAlignment="1">
      <alignment vertical="center" wrapText="1"/>
    </xf>
    <xf numFmtId="0" fontId="8" fillId="0" borderId="1" xfId="0" applyFont="1" applyBorder="1" applyAlignment="1">
      <alignment horizontal="center" vertical="center"/>
    </xf>
    <xf numFmtId="0" fontId="8" fillId="0" borderId="0" xfId="0" applyFont="1" applyAlignment="1">
      <alignment vertical="center"/>
    </xf>
    <xf numFmtId="0" fontId="8" fillId="0" borderId="0" xfId="0" applyFont="1" applyAlignment="1">
      <alignment horizontal="center"/>
    </xf>
    <xf numFmtId="49" fontId="8" fillId="0" borderId="0" xfId="1" applyNumberFormat="1" applyFont="1" applyAlignment="1">
      <alignment horizontal="center"/>
    </xf>
    <xf numFmtId="164" fontId="8" fillId="0" borderId="0" xfId="1" applyNumberFormat="1" applyFont="1" applyAlignment="1">
      <alignment wrapText="1"/>
    </xf>
    <xf numFmtId="164" fontId="8" fillId="0" borderId="0" xfId="1" applyNumberFormat="1" applyFont="1" applyAlignment="1">
      <alignment horizontal="center"/>
    </xf>
    <xf numFmtId="164" fontId="9" fillId="0" borderId="0" xfId="1" applyNumberFormat="1" applyFont="1" applyAlignment="1">
      <alignment horizontal="center"/>
    </xf>
    <xf numFmtId="164" fontId="8" fillId="0" borderId="0" xfId="1" applyNumberFormat="1" applyFont="1"/>
    <xf numFmtId="0" fontId="32" fillId="0" borderId="0" xfId="0" applyFont="1"/>
    <xf numFmtId="165" fontId="8" fillId="0" borderId="0" xfId="1" applyFont="1" applyAlignment="1">
      <alignment horizontal="center"/>
    </xf>
    <xf numFmtId="165" fontId="8" fillId="0" borderId="0" xfId="1" applyFont="1"/>
    <xf numFmtId="0" fontId="8" fillId="0" borderId="0" xfId="0" applyFont="1"/>
    <xf numFmtId="0" fontId="26" fillId="0" borderId="17" xfId="1" applyNumberFormat="1" applyFont="1" applyBorder="1" applyAlignment="1">
      <alignment horizontal="left" vertical="center" wrapText="1"/>
    </xf>
    <xf numFmtId="0" fontId="26" fillId="0" borderId="1" xfId="1" applyNumberFormat="1" applyFont="1" applyBorder="1" applyAlignment="1">
      <alignment horizontal="left" vertical="center" wrapText="1"/>
    </xf>
    <xf numFmtId="0" fontId="26" fillId="0" borderId="1" xfId="3" applyFont="1" applyBorder="1" applyAlignment="1">
      <alignment horizontal="center" vertical="center" wrapText="1"/>
    </xf>
    <xf numFmtId="0" fontId="26" fillId="0" borderId="1" xfId="0" quotePrefix="1" applyFont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 wrapText="1"/>
    </xf>
    <xf numFmtId="0" fontId="26" fillId="0" borderId="1" xfId="0" applyFont="1" applyBorder="1" applyAlignment="1">
      <alignment horizontal="center" vertical="center" wrapText="1"/>
    </xf>
    <xf numFmtId="0" fontId="29" fillId="0" borderId="1" xfId="0" applyFont="1" applyBorder="1" applyAlignment="1">
      <alignment horizontal="center" vertical="center" wrapText="1"/>
    </xf>
    <xf numFmtId="0" fontId="8" fillId="0" borderId="1" xfId="1" applyNumberFormat="1" applyFont="1" applyBorder="1" applyAlignment="1">
      <alignment horizontal="center" vertical="center" wrapText="1"/>
    </xf>
    <xf numFmtId="0" fontId="26" fillId="2" borderId="1" xfId="1" applyNumberFormat="1" applyFont="1" applyFill="1" applyBorder="1" applyAlignment="1">
      <alignment horizontal="left" vertical="center" wrapText="1"/>
    </xf>
    <xf numFmtId="0" fontId="8" fillId="0" borderId="1" xfId="1" applyNumberFormat="1" applyFont="1" applyBorder="1" applyAlignment="1">
      <alignment horizontal="left" vertical="center" wrapText="1"/>
    </xf>
    <xf numFmtId="0" fontId="29" fillId="0" borderId="0" xfId="2" applyNumberFormat="1" applyFont="1" applyAlignment="1">
      <alignment horizontal="left" vertical="center" wrapText="1"/>
    </xf>
    <xf numFmtId="0" fontId="26" fillId="0" borderId="0" xfId="0" applyFont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26" fillId="3" borderId="1" xfId="1" applyNumberFormat="1" applyFont="1" applyFill="1" applyBorder="1" applyAlignment="1">
      <alignment horizontal="left" vertical="center" wrapText="1"/>
    </xf>
    <xf numFmtId="0" fontId="31" fillId="0" borderId="0" xfId="0" applyFont="1" applyAlignment="1">
      <alignment vertical="center"/>
    </xf>
    <xf numFmtId="0" fontId="16" fillId="0" borderId="0" xfId="0" applyFont="1" applyAlignment="1">
      <alignment horizontal="center" vertical="center" shrinkToFit="1"/>
    </xf>
    <xf numFmtId="0" fontId="4" fillId="0" borderId="0" xfId="0" applyFont="1" applyAlignment="1">
      <alignment horizontal="center" vertical="center" shrinkToFit="1"/>
    </xf>
    <xf numFmtId="0" fontId="30" fillId="0" borderId="0" xfId="0" applyFont="1" applyAlignment="1">
      <alignment horizontal="center" vertical="center"/>
    </xf>
    <xf numFmtId="49" fontId="30" fillId="0" borderId="0" xfId="1" applyNumberFormat="1" applyFont="1" applyAlignment="1">
      <alignment horizontal="center" vertical="center"/>
    </xf>
    <xf numFmtId="164" fontId="30" fillId="0" borderId="0" xfId="1" applyNumberFormat="1" applyFont="1" applyAlignment="1">
      <alignment vertical="center" wrapText="1"/>
    </xf>
    <xf numFmtId="164" fontId="26" fillId="0" borderId="0" xfId="1" applyNumberFormat="1" applyFont="1" applyAlignment="1">
      <alignment horizontal="center" vertical="center"/>
    </xf>
    <xf numFmtId="164" fontId="11" fillId="0" borderId="0" xfId="1" applyNumberFormat="1" applyFont="1" applyAlignment="1">
      <alignment horizontal="center" vertical="center"/>
    </xf>
    <xf numFmtId="164" fontId="30" fillId="0" borderId="0" xfId="1" applyNumberFormat="1" applyFont="1" applyAlignment="1">
      <alignment vertical="center"/>
    </xf>
    <xf numFmtId="165" fontId="26" fillId="0" borderId="0" xfId="1" applyFont="1" applyAlignment="1">
      <alignment horizontal="center" vertical="center"/>
    </xf>
    <xf numFmtId="164" fontId="26" fillId="0" borderId="0" xfId="1" applyNumberFormat="1" applyFont="1" applyAlignment="1">
      <alignment vertical="center"/>
    </xf>
    <xf numFmtId="165" fontId="30" fillId="0" borderId="0" xfId="1" applyFont="1" applyAlignment="1">
      <alignment vertical="center"/>
    </xf>
    <xf numFmtId="0" fontId="30" fillId="0" borderId="0" xfId="0" applyFont="1" applyAlignment="1">
      <alignment vertical="center"/>
    </xf>
    <xf numFmtId="0" fontId="26" fillId="0" borderId="17" xfId="3" applyFont="1" applyBorder="1" applyAlignment="1">
      <alignment horizontal="center" vertical="center" wrapText="1"/>
    </xf>
    <xf numFmtId="0" fontId="26" fillId="0" borderId="17" xfId="0" applyFont="1" applyBorder="1" applyAlignment="1">
      <alignment horizontal="left" vertical="center" wrapText="1"/>
    </xf>
    <xf numFmtId="0" fontId="8" fillId="0" borderId="17" xfId="1" applyNumberFormat="1" applyFont="1" applyBorder="1" applyAlignment="1">
      <alignment horizontal="center" vertical="center" wrapText="1"/>
    </xf>
    <xf numFmtId="0" fontId="8" fillId="0" borderId="17" xfId="1" applyNumberFormat="1" applyFont="1" applyBorder="1" applyAlignment="1">
      <alignment horizontal="left" vertical="center" wrapText="1"/>
    </xf>
    <xf numFmtId="0" fontId="26" fillId="0" borderId="12" xfId="1" applyNumberFormat="1" applyFont="1" applyBorder="1" applyAlignment="1">
      <alignment horizontal="left" vertical="center" wrapText="1"/>
    </xf>
    <xf numFmtId="0" fontId="26" fillId="0" borderId="4" xfId="1" applyNumberFormat="1" applyFont="1" applyBorder="1" applyAlignment="1">
      <alignment horizontal="left" vertical="center" wrapText="1"/>
    </xf>
    <xf numFmtId="0" fontId="26" fillId="0" borderId="21" xfId="1" applyNumberFormat="1" applyFont="1" applyBorder="1" applyAlignment="1">
      <alignment horizontal="left" vertical="center" wrapText="1"/>
    </xf>
    <xf numFmtId="164" fontId="10" fillId="4" borderId="1" xfId="0" applyNumberFormat="1" applyFont="1" applyFill="1" applyBorder="1" applyAlignment="1">
      <alignment horizontal="center" vertical="center" wrapText="1"/>
    </xf>
    <xf numFmtId="9" fontId="10" fillId="4" borderId="1" xfId="0" applyNumberFormat="1" applyFont="1" applyFill="1" applyBorder="1" applyAlignment="1">
      <alignment horizontal="center" vertical="center" wrapText="1"/>
    </xf>
    <xf numFmtId="43" fontId="10" fillId="4" borderId="1" xfId="0" applyNumberFormat="1" applyFont="1" applyFill="1" applyBorder="1" applyAlignment="1">
      <alignment horizontal="center" vertical="center" wrapText="1"/>
    </xf>
    <xf numFmtId="0" fontId="34" fillId="0" borderId="0" xfId="0" applyFont="1"/>
    <xf numFmtId="164" fontId="35" fillId="0" borderId="0" xfId="1" applyNumberFormat="1" applyFont="1"/>
    <xf numFmtId="0" fontId="19" fillId="0" borderId="0" xfId="0" applyFont="1" applyAlignment="1">
      <alignment horizontal="center"/>
    </xf>
    <xf numFmtId="1" fontId="23" fillId="0" borderId="0" xfId="0" applyNumberFormat="1" applyFont="1"/>
    <xf numFmtId="164" fontId="5" fillId="0" borderId="0" xfId="0" applyNumberFormat="1" applyFont="1"/>
    <xf numFmtId="0" fontId="36" fillId="0" borderId="0" xfId="3" applyFont="1" applyAlignment="1">
      <alignment vertical="center"/>
    </xf>
    <xf numFmtId="164" fontId="38" fillId="0" borderId="0" xfId="0" applyNumberFormat="1" applyFont="1" applyAlignment="1">
      <alignment horizontal="left" vertical="center" shrinkToFit="1"/>
    </xf>
    <xf numFmtId="164" fontId="23" fillId="0" borderId="21" xfId="1" applyNumberFormat="1" applyFont="1" applyBorder="1" applyAlignment="1">
      <alignment horizontal="left" vertical="center"/>
    </xf>
    <xf numFmtId="164" fontId="23" fillId="0" borderId="12" xfId="1" applyNumberFormat="1" applyFont="1" applyBorder="1" applyAlignment="1">
      <alignment horizontal="left" vertical="center"/>
    </xf>
    <xf numFmtId="0" fontId="23" fillId="0" borderId="17" xfId="3" applyFont="1" applyBorder="1" applyAlignment="1">
      <alignment horizontal="center" vertical="center"/>
    </xf>
    <xf numFmtId="0" fontId="23" fillId="0" borderId="1" xfId="0" quotePrefix="1" applyFont="1" applyBorder="1" applyAlignment="1">
      <alignment horizontal="center" vertical="center"/>
    </xf>
    <xf numFmtId="0" fontId="23" fillId="0" borderId="1" xfId="0" applyFont="1" applyBorder="1" applyAlignment="1">
      <alignment horizontal="left" vertical="center"/>
    </xf>
    <xf numFmtId="0" fontId="23" fillId="0" borderId="17" xfId="0" applyFont="1" applyBorder="1" applyAlignment="1">
      <alignment horizontal="left" vertical="center"/>
    </xf>
    <xf numFmtId="0" fontId="23" fillId="0" borderId="17" xfId="0" applyFont="1" applyBorder="1" applyAlignment="1">
      <alignment horizontal="center" vertical="center"/>
    </xf>
    <xf numFmtId="165" fontId="23" fillId="0" borderId="17" xfId="1" applyFont="1" applyBorder="1" applyAlignment="1">
      <alignment horizontal="left" vertical="center"/>
    </xf>
    <xf numFmtId="164" fontId="23" fillId="0" borderId="1" xfId="1" applyNumberFormat="1" applyFont="1" applyBorder="1" applyAlignment="1">
      <alignment horizontal="left" vertical="center"/>
    </xf>
    <xf numFmtId="164" fontId="23" fillId="0" borderId="4" xfId="1" applyNumberFormat="1" applyFont="1" applyBorder="1" applyAlignment="1">
      <alignment horizontal="left" vertical="center"/>
    </xf>
    <xf numFmtId="164" fontId="23" fillId="0" borderId="0" xfId="1" applyNumberFormat="1" applyFont="1" applyAlignment="1">
      <alignment horizontal="left" vertical="center"/>
    </xf>
    <xf numFmtId="164" fontId="23" fillId="0" borderId="0" xfId="2" applyNumberFormat="1" applyFont="1" applyAlignment="1">
      <alignment horizontal="left" vertical="center"/>
    </xf>
    <xf numFmtId="14" fontId="23" fillId="0" borderId="0" xfId="2" applyNumberFormat="1" applyFont="1" applyAlignment="1">
      <alignment horizontal="left" vertical="center"/>
    </xf>
    <xf numFmtId="164" fontId="23" fillId="0" borderId="0" xfId="0" applyNumberFormat="1" applyFont="1" applyAlignment="1">
      <alignment horizontal="left" vertical="center"/>
    </xf>
    <xf numFmtId="0" fontId="23" fillId="0" borderId="0" xfId="0" applyFont="1" applyAlignment="1">
      <alignment horizontal="left" vertical="center"/>
    </xf>
    <xf numFmtId="49" fontId="23" fillId="0" borderId="1" xfId="0" applyNumberFormat="1" applyFont="1" applyBorder="1" applyAlignment="1">
      <alignment horizontal="center" vertical="center"/>
    </xf>
    <xf numFmtId="0" fontId="5" fillId="0" borderId="0" xfId="0" applyFont="1" applyAlignment="1">
      <alignment horizontal="center"/>
    </xf>
    <xf numFmtId="0" fontId="39" fillId="0" borderId="0" xfId="0" applyFont="1"/>
    <xf numFmtId="164" fontId="5" fillId="0" borderId="0" xfId="1" applyNumberFormat="1" applyFont="1" applyAlignment="1">
      <alignment wrapText="1"/>
    </xf>
    <xf numFmtId="164" fontId="5" fillId="0" borderId="0" xfId="1" applyNumberFormat="1" applyFont="1" applyAlignment="1">
      <alignment horizontal="center"/>
    </xf>
    <xf numFmtId="164" fontId="40" fillId="0" borderId="0" xfId="1" applyNumberFormat="1" applyFont="1" applyAlignment="1">
      <alignment horizontal="center"/>
    </xf>
    <xf numFmtId="164" fontId="5" fillId="0" borderId="0" xfId="1" applyNumberFormat="1" applyFont="1"/>
    <xf numFmtId="0" fontId="37" fillId="0" borderId="0" xfId="0" applyFont="1"/>
    <xf numFmtId="165" fontId="5" fillId="0" borderId="0" xfId="1" applyFont="1" applyAlignment="1">
      <alignment horizontal="center"/>
    </xf>
    <xf numFmtId="165" fontId="5" fillId="0" borderId="0" xfId="1" applyFont="1"/>
    <xf numFmtId="0" fontId="5" fillId="0" borderId="0" xfId="0" applyFont="1"/>
    <xf numFmtId="49" fontId="5" fillId="0" borderId="0" xfId="1" applyNumberFormat="1" applyFont="1" applyAlignment="1">
      <alignment horizontal="center"/>
    </xf>
    <xf numFmtId="0" fontId="23" fillId="3" borderId="1" xfId="0" applyFont="1" applyFill="1" applyBorder="1" applyAlignment="1">
      <alignment horizontal="center" vertical="center" wrapText="1"/>
    </xf>
    <xf numFmtId="0" fontId="23" fillId="5" borderId="17" xfId="3" applyFont="1" applyFill="1" applyBorder="1" applyAlignment="1">
      <alignment horizontal="center" vertical="center"/>
    </xf>
    <xf numFmtId="0" fontId="23" fillId="5" borderId="1" xfId="0" quotePrefix="1" applyFont="1" applyFill="1" applyBorder="1" applyAlignment="1">
      <alignment horizontal="center" vertical="center"/>
    </xf>
    <xf numFmtId="0" fontId="23" fillId="5" borderId="1" xfId="0" applyFont="1" applyFill="1" applyBorder="1" applyAlignment="1">
      <alignment horizontal="left" vertical="center"/>
    </xf>
    <xf numFmtId="0" fontId="23" fillId="5" borderId="17" xfId="0" applyFont="1" applyFill="1" applyBorder="1" applyAlignment="1">
      <alignment horizontal="left" vertical="center"/>
    </xf>
    <xf numFmtId="0" fontId="23" fillId="5" borderId="17" xfId="0" applyFont="1" applyFill="1" applyBorder="1" applyAlignment="1">
      <alignment horizontal="center" vertical="center"/>
    </xf>
    <xf numFmtId="164" fontId="23" fillId="5" borderId="17" xfId="1" applyNumberFormat="1" applyFont="1" applyFill="1" applyBorder="1" applyAlignment="1">
      <alignment horizontal="left" vertical="center"/>
    </xf>
    <xf numFmtId="9" fontId="23" fillId="5" borderId="17" xfId="1" applyNumberFormat="1" applyFont="1" applyFill="1" applyBorder="1" applyAlignment="1">
      <alignment horizontal="center" vertical="center"/>
    </xf>
    <xf numFmtId="165" fontId="23" fillId="5" borderId="17" xfId="1" applyFont="1" applyFill="1" applyBorder="1" applyAlignment="1">
      <alignment horizontal="left" vertical="center"/>
    </xf>
    <xf numFmtId="164" fontId="23" fillId="5" borderId="1" xfId="1" applyNumberFormat="1" applyFont="1" applyFill="1" applyBorder="1" applyAlignment="1">
      <alignment horizontal="left" vertical="center"/>
    </xf>
    <xf numFmtId="164" fontId="23" fillId="5" borderId="12" xfId="1" applyNumberFormat="1" applyFont="1" applyFill="1" applyBorder="1" applyAlignment="1">
      <alignment horizontal="left" vertical="center"/>
    </xf>
    <xf numFmtId="164" fontId="23" fillId="5" borderId="4" xfId="1" applyNumberFormat="1" applyFont="1" applyFill="1" applyBorder="1" applyAlignment="1">
      <alignment horizontal="left" vertical="center"/>
    </xf>
    <xf numFmtId="164" fontId="23" fillId="5" borderId="21" xfId="1" applyNumberFormat="1" applyFont="1" applyFill="1" applyBorder="1" applyAlignment="1">
      <alignment horizontal="left" vertical="center"/>
    </xf>
    <xf numFmtId="0" fontId="17" fillId="0" borderId="0" xfId="3" applyFont="1" applyAlignment="1">
      <alignment horizontal="left" vertical="center"/>
    </xf>
    <xf numFmtId="164" fontId="36" fillId="0" borderId="0" xfId="1" applyNumberFormat="1" applyFont="1" applyAlignment="1">
      <alignment horizontal="center" vertical="center"/>
    </xf>
    <xf numFmtId="0" fontId="20" fillId="0" borderId="0" xfId="3" applyFont="1" applyAlignment="1">
      <alignment horizontal="left" vertical="center"/>
    </xf>
    <xf numFmtId="164" fontId="36" fillId="0" borderId="0" xfId="1" applyNumberFormat="1" applyFont="1" applyAlignment="1">
      <alignment vertical="center"/>
    </xf>
    <xf numFmtId="164" fontId="23" fillId="0" borderId="0" xfId="1" applyNumberFormat="1" applyFont="1" applyAlignment="1">
      <alignment vertical="center" wrapText="1"/>
    </xf>
    <xf numFmtId="165" fontId="41" fillId="0" borderId="0" xfId="1" applyFont="1" applyAlignment="1">
      <alignment vertical="center"/>
    </xf>
    <xf numFmtId="164" fontId="41" fillId="0" borderId="0" xfId="1" applyNumberFormat="1" applyFont="1" applyAlignment="1">
      <alignment vertical="center"/>
    </xf>
    <xf numFmtId="164" fontId="5" fillId="0" borderId="0" xfId="1" applyNumberFormat="1" applyFont="1" applyAlignment="1">
      <alignment vertical="center"/>
    </xf>
    <xf numFmtId="164" fontId="42" fillId="0" borderId="0" xfId="1" applyNumberFormat="1" applyFont="1" applyAlignment="1">
      <alignment vertical="center"/>
    </xf>
    <xf numFmtId="164" fontId="8" fillId="0" borderId="0" xfId="1" applyNumberFormat="1" applyFont="1" applyAlignment="1">
      <alignment vertical="center"/>
    </xf>
    <xf numFmtId="0" fontId="42" fillId="0" borderId="0" xfId="3" applyFont="1" applyAlignment="1">
      <alignment horizontal="center" vertical="center"/>
    </xf>
    <xf numFmtId="0" fontId="43" fillId="0" borderId="0" xfId="3" applyFont="1" applyAlignment="1">
      <alignment horizontal="left" vertical="center"/>
    </xf>
    <xf numFmtId="0" fontId="44" fillId="0" borderId="0" xfId="3" applyFont="1" applyAlignment="1">
      <alignment horizontal="center" vertical="center"/>
    </xf>
    <xf numFmtId="164" fontId="45" fillId="0" borderId="0" xfId="1" applyNumberFormat="1" applyFont="1" applyAlignment="1">
      <alignment vertical="center"/>
    </xf>
    <xf numFmtId="0" fontId="36" fillId="0" borderId="0" xfId="0" applyFont="1" applyAlignment="1">
      <alignment horizontal="center" vertical="center"/>
    </xf>
    <xf numFmtId="164" fontId="46" fillId="0" borderId="0" xfId="1" applyNumberFormat="1" applyFont="1" applyAlignment="1">
      <alignment horizontal="center" vertical="center"/>
    </xf>
    <xf numFmtId="0" fontId="46" fillId="0" borderId="0" xfId="0" applyFont="1" applyAlignment="1">
      <alignment horizontal="center" vertical="center"/>
    </xf>
    <xf numFmtId="0" fontId="47" fillId="0" borderId="0" xfId="0" applyFont="1" applyAlignment="1">
      <alignment vertical="center"/>
    </xf>
    <xf numFmtId="0" fontId="36" fillId="0" borderId="0" xfId="0" applyFont="1" applyAlignment="1">
      <alignment vertical="center"/>
    </xf>
    <xf numFmtId="0" fontId="46" fillId="0" borderId="0" xfId="0" applyFont="1" applyAlignment="1">
      <alignment vertical="center"/>
    </xf>
    <xf numFmtId="165" fontId="46" fillId="0" borderId="0" xfId="1" applyFont="1" applyAlignment="1">
      <alignment vertical="center"/>
    </xf>
    <xf numFmtId="164" fontId="47" fillId="0" borderId="0" xfId="0" applyNumberFormat="1" applyFont="1" applyAlignment="1">
      <alignment vertical="center"/>
    </xf>
    <xf numFmtId="0" fontId="45" fillId="0" borderId="0" xfId="0" applyFont="1" applyAlignment="1">
      <alignment horizontal="center" vertical="center"/>
    </xf>
    <xf numFmtId="0" fontId="45" fillId="0" borderId="0" xfId="0" applyFont="1" applyAlignment="1">
      <alignment horizontal="center"/>
    </xf>
    <xf numFmtId="0" fontId="45" fillId="0" borderId="0" xfId="0" applyFont="1" applyAlignment="1">
      <alignment horizontal="center" vertical="center" wrapText="1"/>
    </xf>
    <xf numFmtId="0" fontId="8" fillId="0" borderId="9" xfId="3" applyFont="1" applyBorder="1" applyAlignment="1">
      <alignment horizontal="center" vertical="center" shrinkToFit="1"/>
    </xf>
    <xf numFmtId="49" fontId="8" fillId="0" borderId="9" xfId="1" applyNumberFormat="1" applyFont="1" applyBorder="1" applyAlignment="1">
      <alignment horizontal="center" vertical="center" shrinkToFit="1"/>
    </xf>
    <xf numFmtId="49" fontId="8" fillId="0" borderId="0" xfId="1" applyNumberFormat="1" applyFont="1" applyAlignment="1">
      <alignment horizontal="center" vertical="center" shrinkToFit="1"/>
    </xf>
    <xf numFmtId="49" fontId="8" fillId="0" borderId="11" xfId="1" applyNumberFormat="1" applyFont="1" applyBorder="1" applyAlignment="1">
      <alignment horizontal="center" vertical="center" shrinkToFit="1"/>
    </xf>
    <xf numFmtId="0" fontId="45" fillId="0" borderId="0" xfId="0" applyFont="1" applyAlignment="1">
      <alignment horizontal="center" shrinkToFit="1"/>
    </xf>
    <xf numFmtId="49" fontId="8" fillId="0" borderId="10" xfId="1" applyNumberFormat="1" applyFont="1" applyBorder="1" applyAlignment="1">
      <alignment horizontal="center" vertical="center" shrinkToFit="1"/>
    </xf>
    <xf numFmtId="167" fontId="23" fillId="0" borderId="17" xfId="1" applyNumberFormat="1" applyFont="1" applyBorder="1" applyAlignment="1">
      <alignment horizontal="left" vertical="center"/>
    </xf>
    <xf numFmtId="164" fontId="23" fillId="0" borderId="19" xfId="1" applyNumberFormat="1" applyFont="1" applyBorder="1" applyAlignment="1">
      <alignment horizontal="left" vertical="center"/>
    </xf>
    <xf numFmtId="165" fontId="17" fillId="0" borderId="0" xfId="1" applyFont="1"/>
    <xf numFmtId="165" fontId="17" fillId="0" borderId="0" xfId="0" applyNumberFormat="1" applyFont="1"/>
    <xf numFmtId="165" fontId="20" fillId="0" borderId="0" xfId="1" applyFont="1"/>
    <xf numFmtId="0" fontId="49" fillId="0" borderId="0" xfId="3" applyFont="1" applyAlignment="1">
      <alignment horizontal="center" vertical="center"/>
    </xf>
    <xf numFmtId="0" fontId="6" fillId="3" borderId="0" xfId="3" applyFont="1" applyFill="1" applyAlignment="1">
      <alignment horizontal="center" vertical="center"/>
    </xf>
    <xf numFmtId="49" fontId="50" fillId="0" borderId="1" xfId="1" applyNumberFormat="1" applyFont="1" applyBorder="1" applyAlignment="1">
      <alignment horizontal="center" vertical="center" wrapText="1"/>
    </xf>
    <xf numFmtId="0" fontId="46" fillId="0" borderId="0" xfId="3" applyFont="1" applyAlignment="1">
      <alignment horizontal="center" vertical="center"/>
    </xf>
    <xf numFmtId="164" fontId="46" fillId="0" borderId="0" xfId="1" applyNumberFormat="1" applyFont="1" applyAlignment="1">
      <alignment horizontal="center" vertical="center" wrapText="1"/>
    </xf>
    <xf numFmtId="164" fontId="51" fillId="0" borderId="0" xfId="1" applyNumberFormat="1" applyFont="1" applyAlignment="1">
      <alignment horizontal="center" vertical="center" wrapText="1"/>
    </xf>
    <xf numFmtId="164" fontId="46" fillId="0" borderId="0" xfId="1" applyNumberFormat="1" applyFont="1" applyAlignment="1">
      <alignment vertical="center" wrapText="1"/>
    </xf>
    <xf numFmtId="165" fontId="46" fillId="0" borderId="0" xfId="1" applyFont="1" applyAlignment="1">
      <alignment horizontal="center" vertical="center"/>
    </xf>
    <xf numFmtId="165" fontId="46" fillId="0" borderId="0" xfId="1" applyFont="1" applyAlignment="1">
      <alignment horizontal="center" vertical="center" wrapText="1"/>
    </xf>
    <xf numFmtId="164" fontId="46" fillId="0" borderId="0" xfId="0" applyNumberFormat="1" applyFont="1" applyAlignment="1">
      <alignment vertical="center"/>
    </xf>
    <xf numFmtId="9" fontId="7" fillId="3" borderId="12" xfId="2" applyFont="1" applyFill="1" applyBorder="1" applyAlignment="1">
      <alignment horizontal="center" vertical="center" wrapText="1"/>
    </xf>
    <xf numFmtId="164" fontId="7" fillId="3" borderId="12" xfId="1" applyNumberFormat="1" applyFont="1" applyFill="1" applyBorder="1" applyAlignment="1">
      <alignment horizontal="center" vertical="center" wrapText="1"/>
    </xf>
    <xf numFmtId="0" fontId="3" fillId="0" borderId="0" xfId="3" applyFont="1" applyAlignment="1">
      <alignment vertical="center"/>
    </xf>
    <xf numFmtId="0" fontId="6" fillId="0" borderId="0" xfId="3" applyFont="1" applyAlignment="1">
      <alignment horizontal="center" vertical="center"/>
    </xf>
    <xf numFmtId="164" fontId="12" fillId="0" borderId="0" xfId="0" applyNumberFormat="1" applyFont="1" applyAlignment="1">
      <alignment horizontal="left" vertical="center" shrinkToFit="1"/>
    </xf>
    <xf numFmtId="164" fontId="15" fillId="0" borderId="21" xfId="1" applyNumberFormat="1" applyFont="1" applyBorder="1" applyAlignment="1">
      <alignment horizontal="left" vertical="center"/>
    </xf>
    <xf numFmtId="164" fontId="15" fillId="0" borderId="12" xfId="1" applyNumberFormat="1" applyFont="1" applyBorder="1" applyAlignment="1">
      <alignment horizontal="left" vertical="center"/>
    </xf>
    <xf numFmtId="0" fontId="15" fillId="0" borderId="17" xfId="3" applyFont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/>
    </xf>
    <xf numFmtId="0" fontId="15" fillId="0" borderId="1" xfId="0" applyFont="1" applyBorder="1" applyAlignment="1">
      <alignment horizontal="left" vertical="center"/>
    </xf>
    <xf numFmtId="0" fontId="15" fillId="0" borderId="17" xfId="0" applyFont="1" applyBorder="1" applyAlignment="1">
      <alignment horizontal="left" vertical="center"/>
    </xf>
    <xf numFmtId="0" fontId="15" fillId="0" borderId="17" xfId="0" applyFont="1" applyBorder="1" applyAlignment="1">
      <alignment horizontal="center" vertical="center"/>
    </xf>
    <xf numFmtId="164" fontId="15" fillId="0" borderId="17" xfId="1" applyNumberFormat="1" applyFont="1" applyBorder="1" applyAlignment="1">
      <alignment horizontal="left" vertical="center"/>
    </xf>
    <xf numFmtId="165" fontId="15" fillId="0" borderId="17" xfId="1" applyFont="1" applyBorder="1" applyAlignment="1">
      <alignment horizontal="left" vertical="center"/>
    </xf>
    <xf numFmtId="164" fontId="15" fillId="0" borderId="1" xfId="1" applyNumberFormat="1" applyFont="1" applyBorder="1" applyAlignment="1">
      <alignment horizontal="left" vertical="center"/>
    </xf>
    <xf numFmtId="164" fontId="15" fillId="0" borderId="0" xfId="0" applyNumberFormat="1" applyFont="1" applyAlignment="1">
      <alignment horizontal="left" vertical="center"/>
    </xf>
    <xf numFmtId="0" fontId="15" fillId="0" borderId="0" xfId="0" applyFont="1" applyAlignment="1">
      <alignment horizontal="left" vertical="center"/>
    </xf>
    <xf numFmtId="49" fontId="15" fillId="0" borderId="1" xfId="0" applyNumberFormat="1" applyFont="1" applyBorder="1" applyAlignment="1">
      <alignment horizontal="center" vertical="center"/>
    </xf>
    <xf numFmtId="164" fontId="6" fillId="0" borderId="0" xfId="1" applyNumberFormat="1" applyFont="1" applyAlignment="1">
      <alignment horizontal="center"/>
    </xf>
    <xf numFmtId="164" fontId="22" fillId="0" borderId="0" xfId="1" applyNumberFormat="1" applyFont="1" applyAlignment="1">
      <alignment horizontal="center"/>
    </xf>
    <xf numFmtId="165" fontId="6" fillId="0" borderId="0" xfId="1" applyFont="1" applyAlignment="1">
      <alignment horizontal="center"/>
    </xf>
    <xf numFmtId="164" fontId="6" fillId="0" borderId="0" xfId="1" applyNumberFormat="1" applyFont="1"/>
    <xf numFmtId="0" fontId="57" fillId="0" borderId="0" xfId="3" applyFont="1" applyAlignment="1">
      <alignment horizontal="left" vertical="center"/>
    </xf>
    <xf numFmtId="164" fontId="3" fillId="0" borderId="0" xfId="1" applyNumberFormat="1" applyFont="1" applyAlignment="1">
      <alignment horizontal="center" vertical="center"/>
    </xf>
    <xf numFmtId="0" fontId="58" fillId="0" borderId="0" xfId="3" applyFont="1" applyAlignment="1">
      <alignment horizontal="left" vertical="center"/>
    </xf>
    <xf numFmtId="164" fontId="3" fillId="0" borderId="0" xfId="1" applyNumberFormat="1" applyFont="1" applyAlignment="1">
      <alignment vertical="center"/>
    </xf>
    <xf numFmtId="165" fontId="59" fillId="0" borderId="0" xfId="1" applyFont="1" applyAlignment="1">
      <alignment vertical="center"/>
    </xf>
    <xf numFmtId="164" fontId="59" fillId="0" borderId="0" xfId="1" applyNumberFormat="1" applyFont="1" applyAlignment="1">
      <alignment vertical="center"/>
    </xf>
    <xf numFmtId="164" fontId="60" fillId="0" borderId="0" xfId="1" applyNumberFormat="1" applyFont="1" applyAlignment="1">
      <alignment vertical="center"/>
    </xf>
    <xf numFmtId="0" fontId="60" fillId="0" borderId="0" xfId="3" applyFont="1" applyAlignment="1">
      <alignment horizontal="center" vertical="center"/>
    </xf>
    <xf numFmtId="0" fontId="61" fillId="0" borderId="0" xfId="3" applyFont="1" applyAlignment="1">
      <alignment horizontal="left" vertical="center"/>
    </xf>
    <xf numFmtId="0" fontId="62" fillId="0" borderId="0" xfId="3" applyFont="1" applyAlignment="1">
      <alignment horizontal="center" vertical="center"/>
    </xf>
    <xf numFmtId="164" fontId="63" fillId="0" borderId="0" xfId="1" applyNumberFormat="1" applyFont="1" applyAlignment="1">
      <alignment vertical="center"/>
    </xf>
    <xf numFmtId="0" fontId="64" fillId="0" borderId="0" xfId="0" applyFont="1" applyAlignment="1">
      <alignment horizontal="center" vertical="center"/>
    </xf>
    <xf numFmtId="0" fontId="65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64" fillId="0" borderId="0" xfId="0" applyFont="1" applyAlignment="1">
      <alignment vertical="center"/>
    </xf>
    <xf numFmtId="165" fontId="64" fillId="0" borderId="0" xfId="1" applyFont="1" applyAlignment="1">
      <alignment vertical="center"/>
    </xf>
    <xf numFmtId="164" fontId="65" fillId="0" borderId="0" xfId="0" applyNumberFormat="1" applyFont="1" applyAlignment="1">
      <alignment vertical="center"/>
    </xf>
    <xf numFmtId="49" fontId="26" fillId="0" borderId="9" xfId="1" applyNumberFormat="1" applyFont="1" applyBorder="1" applyAlignment="1">
      <alignment horizontal="center" vertical="center" shrinkToFit="1"/>
    </xf>
    <xf numFmtId="49" fontId="26" fillId="0" borderId="11" xfId="1" applyNumberFormat="1" applyFont="1" applyBorder="1" applyAlignment="1">
      <alignment horizontal="center" vertical="center" shrinkToFit="1"/>
    </xf>
    <xf numFmtId="0" fontId="63" fillId="0" borderId="0" xfId="0" applyFont="1" applyAlignment="1">
      <alignment horizontal="center" shrinkToFit="1"/>
    </xf>
    <xf numFmtId="0" fontId="63" fillId="0" borderId="0" xfId="0" applyFont="1" applyAlignment="1">
      <alignment horizontal="center"/>
    </xf>
    <xf numFmtId="164" fontId="15" fillId="0" borderId="0" xfId="1" applyNumberFormat="1" applyFont="1" applyAlignment="1">
      <alignment vertical="center" wrapText="1"/>
    </xf>
    <xf numFmtId="164" fontId="26" fillId="0" borderId="0" xfId="1" applyNumberFormat="1" applyFont="1" applyAlignment="1">
      <alignment horizontal="center" vertical="center" wrapText="1"/>
    </xf>
    <xf numFmtId="164" fontId="11" fillId="0" borderId="0" xfId="1" applyNumberFormat="1" applyFont="1" applyAlignment="1">
      <alignment horizontal="center" vertical="center" wrapText="1"/>
    </xf>
    <xf numFmtId="165" fontId="26" fillId="0" borderId="0" xfId="1" applyFont="1" applyAlignment="1">
      <alignment horizontal="center" vertical="center" wrapText="1"/>
    </xf>
    <xf numFmtId="0" fontId="26" fillId="0" borderId="9" xfId="3" applyFont="1" applyBorder="1" applyAlignment="1">
      <alignment horizontal="center" vertical="center" shrinkToFit="1"/>
    </xf>
    <xf numFmtId="167" fontId="15" fillId="0" borderId="17" xfId="1" applyNumberFormat="1" applyFont="1" applyBorder="1" applyAlignment="1">
      <alignment horizontal="left" vertical="center"/>
    </xf>
    <xf numFmtId="9" fontId="15" fillId="0" borderId="17" xfId="1" applyNumberFormat="1" applyFont="1" applyBorder="1" applyAlignment="1">
      <alignment horizontal="center" vertical="center"/>
    </xf>
    <xf numFmtId="164" fontId="15" fillId="0" borderId="0" xfId="2" applyNumberFormat="1" applyFont="1" applyAlignment="1">
      <alignment horizontal="left" vertical="center"/>
    </xf>
    <xf numFmtId="14" fontId="15" fillId="0" borderId="0" xfId="2" applyNumberFormat="1" applyFont="1" applyAlignment="1">
      <alignment horizontal="left" vertical="center"/>
    </xf>
    <xf numFmtId="0" fontId="57" fillId="0" borderId="0" xfId="0" applyFont="1"/>
    <xf numFmtId="0" fontId="57" fillId="0" borderId="0" xfId="0" applyFont="1" applyAlignment="1">
      <alignment horizontal="center"/>
    </xf>
    <xf numFmtId="0" fontId="66" fillId="0" borderId="0" xfId="0" applyFont="1"/>
    <xf numFmtId="166" fontId="57" fillId="0" borderId="0" xfId="1" applyNumberFormat="1" applyFont="1" applyAlignment="1">
      <alignment horizontal="center"/>
    </xf>
    <xf numFmtId="165" fontId="57" fillId="0" borderId="0" xfId="1" applyFont="1" applyAlignment="1">
      <alignment horizontal="center"/>
    </xf>
    <xf numFmtId="165" fontId="57" fillId="0" borderId="0" xfId="1" applyFont="1"/>
    <xf numFmtId="165" fontId="57" fillId="0" borderId="0" xfId="0" applyNumberFormat="1" applyFont="1"/>
    <xf numFmtId="0" fontId="67" fillId="0" borderId="8" xfId="0" applyFont="1" applyBorder="1" applyAlignment="1">
      <alignment horizontal="center"/>
    </xf>
    <xf numFmtId="164" fontId="57" fillId="0" borderId="0" xfId="1" applyNumberFormat="1" applyFont="1"/>
    <xf numFmtId="14" fontId="57" fillId="0" borderId="0" xfId="0" applyNumberFormat="1" applyFont="1"/>
    <xf numFmtId="0" fontId="58" fillId="0" borderId="0" xfId="0" applyFont="1"/>
    <xf numFmtId="0" fontId="58" fillId="0" borderId="0" xfId="0" applyFont="1" applyAlignment="1">
      <alignment horizontal="center"/>
    </xf>
    <xf numFmtId="0" fontId="68" fillId="0" borderId="0" xfId="0" applyFont="1"/>
    <xf numFmtId="166" fontId="58" fillId="0" borderId="0" xfId="1" applyNumberFormat="1" applyFont="1" applyAlignment="1">
      <alignment horizontal="center"/>
    </xf>
    <xf numFmtId="165" fontId="58" fillId="0" borderId="0" xfId="1" applyFont="1" applyAlignment="1">
      <alignment horizontal="center"/>
    </xf>
    <xf numFmtId="164" fontId="58" fillId="0" borderId="0" xfId="0" applyNumberFormat="1" applyFont="1"/>
    <xf numFmtId="164" fontId="58" fillId="0" borderId="0" xfId="1" applyNumberFormat="1" applyFont="1"/>
    <xf numFmtId="49" fontId="58" fillId="0" borderId="0" xfId="0" applyNumberFormat="1" applyFont="1" applyAlignment="1">
      <alignment horizontal="center"/>
    </xf>
    <xf numFmtId="165" fontId="58" fillId="0" borderId="0" xfId="1" applyFont="1"/>
    <xf numFmtId="14" fontId="58" fillId="0" borderId="0" xfId="0" applyNumberFormat="1" applyFont="1"/>
    <xf numFmtId="0" fontId="6" fillId="0" borderId="0" xfId="0" applyFont="1" applyAlignment="1">
      <alignment horizontal="center"/>
    </xf>
    <xf numFmtId="49" fontId="6" fillId="0" borderId="0" xfId="1" applyNumberFormat="1" applyFont="1" applyAlignment="1">
      <alignment horizontal="center"/>
    </xf>
    <xf numFmtId="164" fontId="6" fillId="0" borderId="0" xfId="1" applyNumberFormat="1" applyFont="1" applyAlignment="1">
      <alignment wrapText="1"/>
    </xf>
    <xf numFmtId="0" fontId="69" fillId="0" borderId="0" xfId="0" applyFont="1"/>
    <xf numFmtId="0" fontId="1" fillId="0" borderId="0" xfId="0" applyFont="1" applyAlignment="1">
      <alignment vertical="center"/>
    </xf>
    <xf numFmtId="0" fontId="1" fillId="0" borderId="0" xfId="0" applyFont="1"/>
    <xf numFmtId="165" fontId="6" fillId="0" borderId="0" xfId="1" applyFont="1"/>
    <xf numFmtId="0" fontId="6" fillId="0" borderId="0" xfId="0" applyFont="1"/>
    <xf numFmtId="14" fontId="12" fillId="0" borderId="0" xfId="2" applyNumberFormat="1" applyFont="1" applyAlignment="1">
      <alignment horizontal="left" vertical="center" shrinkToFit="1"/>
    </xf>
    <xf numFmtId="0" fontId="15" fillId="5" borderId="17" xfId="3" applyFont="1" applyFill="1" applyBorder="1" applyAlignment="1">
      <alignment horizontal="center" vertical="center"/>
    </xf>
    <xf numFmtId="0" fontId="15" fillId="5" borderId="1" xfId="0" quotePrefix="1" applyFont="1" applyFill="1" applyBorder="1" applyAlignment="1">
      <alignment horizontal="center" vertical="center"/>
    </xf>
    <xf numFmtId="0" fontId="15" fillId="5" borderId="1" xfId="0" applyFont="1" applyFill="1" applyBorder="1" applyAlignment="1">
      <alignment horizontal="left" vertical="center"/>
    </xf>
    <xf numFmtId="0" fontId="15" fillId="5" borderId="17" xfId="0" applyFont="1" applyFill="1" applyBorder="1" applyAlignment="1">
      <alignment horizontal="left" vertical="center"/>
    </xf>
    <xf numFmtId="0" fontId="15" fillId="5" borderId="17" xfId="0" applyFont="1" applyFill="1" applyBorder="1" applyAlignment="1">
      <alignment horizontal="center" vertical="center"/>
    </xf>
    <xf numFmtId="164" fontId="15" fillId="5" borderId="17" xfId="1" applyNumberFormat="1" applyFont="1" applyFill="1" applyBorder="1" applyAlignment="1">
      <alignment horizontal="left" vertical="center"/>
    </xf>
    <xf numFmtId="9" fontId="15" fillId="5" borderId="17" xfId="1" applyNumberFormat="1" applyFont="1" applyFill="1" applyBorder="1" applyAlignment="1">
      <alignment horizontal="center" vertical="center"/>
    </xf>
    <xf numFmtId="165" fontId="15" fillId="5" borderId="17" xfId="1" applyFont="1" applyFill="1" applyBorder="1" applyAlignment="1">
      <alignment horizontal="left" vertical="center"/>
    </xf>
    <xf numFmtId="164" fontId="15" fillId="5" borderId="1" xfId="1" applyNumberFormat="1" applyFont="1" applyFill="1" applyBorder="1" applyAlignment="1">
      <alignment horizontal="left" vertical="center"/>
    </xf>
    <xf numFmtId="164" fontId="15" fillId="5" borderId="12" xfId="1" applyNumberFormat="1" applyFont="1" applyFill="1" applyBorder="1" applyAlignment="1">
      <alignment horizontal="left" vertical="center"/>
    </xf>
    <xf numFmtId="164" fontId="15" fillId="5" borderId="21" xfId="1" applyNumberFormat="1" applyFont="1" applyFill="1" applyBorder="1" applyAlignment="1">
      <alignment horizontal="left" vertical="center"/>
    </xf>
    <xf numFmtId="0" fontId="73" fillId="0" borderId="0" xfId="0" applyFont="1" applyAlignment="1">
      <alignment horizontal="center" vertical="center"/>
    </xf>
    <xf numFmtId="164" fontId="74" fillId="0" borderId="0" xfId="0" applyNumberFormat="1" applyFont="1" applyAlignment="1">
      <alignment horizontal="left" vertical="center" shrinkToFit="1"/>
    </xf>
    <xf numFmtId="0" fontId="73" fillId="0" borderId="0" xfId="0" applyFont="1" applyAlignment="1">
      <alignment horizontal="center"/>
    </xf>
    <xf numFmtId="0" fontId="71" fillId="3" borderId="1" xfId="0" applyFont="1" applyFill="1" applyBorder="1" applyAlignment="1">
      <alignment horizontal="center" vertical="center" wrapText="1"/>
    </xf>
    <xf numFmtId="0" fontId="73" fillId="0" borderId="0" xfId="0" applyFont="1" applyAlignment="1">
      <alignment horizontal="center" vertical="center" wrapText="1"/>
    </xf>
    <xf numFmtId="165" fontId="26" fillId="3" borderId="7" xfId="1" applyFont="1" applyFill="1" applyBorder="1" applyAlignment="1">
      <alignment horizontal="center" vertical="center" wrapText="1"/>
    </xf>
    <xf numFmtId="0" fontId="1" fillId="3" borderId="9" xfId="0" applyFont="1" applyFill="1" applyBorder="1"/>
    <xf numFmtId="0" fontId="1" fillId="3" borderId="18" xfId="0" applyFont="1" applyFill="1" applyBorder="1"/>
    <xf numFmtId="164" fontId="14" fillId="3" borderId="1" xfId="1" applyNumberFormat="1" applyFont="1" applyFill="1" applyBorder="1" applyAlignment="1">
      <alignment horizontal="center" vertical="center" wrapText="1"/>
    </xf>
    <xf numFmtId="0" fontId="52" fillId="3" borderId="9" xfId="0" applyFont="1" applyFill="1" applyBorder="1"/>
    <xf numFmtId="0" fontId="52" fillId="3" borderId="17" xfId="0" applyFont="1" applyFill="1" applyBorder="1"/>
    <xf numFmtId="164" fontId="10" fillId="3" borderId="4" xfId="1" applyNumberFormat="1" applyFont="1" applyFill="1" applyBorder="1" applyAlignment="1">
      <alignment horizontal="center" vertical="center" wrapText="1"/>
    </xf>
    <xf numFmtId="0" fontId="52" fillId="3" borderId="10" xfId="0" applyFont="1" applyFill="1" applyBorder="1"/>
    <xf numFmtId="0" fontId="52" fillId="3" borderId="19" xfId="0" applyFont="1" applyFill="1" applyBorder="1"/>
    <xf numFmtId="164" fontId="7" fillId="3" borderId="1" xfId="1" applyNumberFormat="1" applyFont="1" applyFill="1" applyBorder="1" applyAlignment="1">
      <alignment horizontal="center" vertical="center" wrapText="1"/>
    </xf>
    <xf numFmtId="0" fontId="54" fillId="3" borderId="9" xfId="0" applyFont="1" applyFill="1" applyBorder="1"/>
    <xf numFmtId="0" fontId="54" fillId="3" borderId="17" xfId="0" applyFont="1" applyFill="1" applyBorder="1"/>
    <xf numFmtId="164" fontId="8" fillId="0" borderId="3" xfId="1" applyNumberFormat="1" applyFont="1" applyBorder="1" applyAlignment="1">
      <alignment horizontal="center" vertical="center" wrapText="1"/>
    </xf>
    <xf numFmtId="0" fontId="37" fillId="0" borderId="2" xfId="0" applyFont="1" applyBorder="1"/>
    <xf numFmtId="165" fontId="10" fillId="3" borderId="7" xfId="1" applyFont="1" applyFill="1" applyBorder="1" applyAlignment="1">
      <alignment horizontal="center" vertical="center" wrapText="1"/>
    </xf>
    <xf numFmtId="0" fontId="52" fillId="3" borderId="18" xfId="0" applyFont="1" applyFill="1" applyBorder="1"/>
    <xf numFmtId="164" fontId="8" fillId="0" borderId="1" xfId="1" applyNumberFormat="1" applyFont="1" applyBorder="1" applyAlignment="1">
      <alignment horizontal="center" vertical="center" wrapText="1"/>
    </xf>
    <xf numFmtId="0" fontId="37" fillId="0" borderId="5" xfId="0" applyFont="1" applyBorder="1"/>
    <xf numFmtId="0" fontId="37" fillId="0" borderId="6" xfId="0" applyFont="1" applyBorder="1"/>
    <xf numFmtId="164" fontId="10" fillId="3" borderId="1" xfId="1" applyNumberFormat="1" applyFont="1" applyFill="1" applyBorder="1" applyAlignment="1">
      <alignment horizontal="center" vertical="center" wrapText="1"/>
    </xf>
    <xf numFmtId="164" fontId="29" fillId="3" borderId="1" xfId="1" applyNumberFormat="1" applyFont="1" applyFill="1" applyBorder="1" applyAlignment="1">
      <alignment horizontal="center" vertical="center" wrapText="1"/>
    </xf>
    <xf numFmtId="0" fontId="55" fillId="3" borderId="17" xfId="0" applyFont="1" applyFill="1" applyBorder="1"/>
    <xf numFmtId="164" fontId="23" fillId="6" borderId="1" xfId="1" applyNumberFormat="1" applyFont="1" applyFill="1" applyBorder="1" applyAlignment="1">
      <alignment horizontal="center" vertical="center" wrapText="1"/>
    </xf>
    <xf numFmtId="0" fontId="37" fillId="6" borderId="5" xfId="0" applyFont="1" applyFill="1" applyBorder="1"/>
    <xf numFmtId="0" fontId="37" fillId="6" borderId="6" xfId="0" applyFont="1" applyFill="1" applyBorder="1"/>
    <xf numFmtId="0" fontId="10" fillId="3" borderId="1" xfId="1" applyNumberFormat="1" applyFont="1" applyFill="1" applyBorder="1" applyAlignment="1">
      <alignment horizontal="center" vertical="center" wrapText="1"/>
    </xf>
    <xf numFmtId="164" fontId="24" fillId="3" borderId="1" xfId="1" applyNumberFormat="1" applyFont="1" applyFill="1" applyBorder="1" applyAlignment="1">
      <alignment horizontal="center" vertical="center" wrapText="1"/>
    </xf>
    <xf numFmtId="0" fontId="55" fillId="3" borderId="9" xfId="0" applyFont="1" applyFill="1" applyBorder="1"/>
    <xf numFmtId="164" fontId="56" fillId="3" borderId="1" xfId="1" applyNumberFormat="1" applyFont="1" applyFill="1" applyBorder="1" applyAlignment="1">
      <alignment horizontal="center" vertical="center" wrapText="1"/>
    </xf>
    <xf numFmtId="164" fontId="8" fillId="6" borderId="1" xfId="1" applyNumberFormat="1" applyFont="1" applyFill="1" applyBorder="1" applyAlignment="1">
      <alignment horizontal="center" vertical="center" wrapText="1"/>
    </xf>
    <xf numFmtId="0" fontId="29" fillId="3" borderId="1" xfId="1" applyNumberFormat="1" applyFont="1" applyFill="1" applyBorder="1" applyAlignment="1">
      <alignment horizontal="center" vertical="center" wrapText="1"/>
    </xf>
    <xf numFmtId="164" fontId="10" fillId="3" borderId="1" xfId="1" applyNumberFormat="1" applyFont="1" applyFill="1" applyBorder="1" applyAlignment="1">
      <alignment horizontal="center" vertical="center"/>
    </xf>
    <xf numFmtId="164" fontId="53" fillId="3" borderId="1" xfId="1" applyNumberFormat="1" applyFont="1" applyFill="1" applyBorder="1" applyAlignment="1">
      <alignment horizontal="center" vertical="center" wrapText="1"/>
    </xf>
    <xf numFmtId="164" fontId="23" fillId="3" borderId="1" xfId="1" applyNumberFormat="1" applyFont="1" applyFill="1" applyBorder="1" applyAlignment="1">
      <alignment horizontal="center" vertical="center" wrapText="1"/>
    </xf>
    <xf numFmtId="0" fontId="37" fillId="3" borderId="9" xfId="0" applyFont="1" applyFill="1" applyBorder="1"/>
    <xf numFmtId="0" fontId="37" fillId="3" borderId="17" xfId="0" applyFont="1" applyFill="1" applyBorder="1"/>
    <xf numFmtId="164" fontId="8" fillId="3" borderId="17" xfId="1" applyNumberFormat="1" applyFont="1" applyFill="1" applyBorder="1" applyAlignment="1">
      <alignment horizontal="center" vertical="center" wrapText="1"/>
    </xf>
    <xf numFmtId="165" fontId="48" fillId="3" borderId="1" xfId="1" applyFont="1" applyFill="1" applyBorder="1" applyAlignment="1">
      <alignment horizontal="center" vertical="center" wrapText="1"/>
    </xf>
    <xf numFmtId="43" fontId="45" fillId="0" borderId="1" xfId="5" applyFont="1" applyBorder="1" applyAlignment="1">
      <alignment horizontal="center" vertical="center" wrapText="1"/>
    </xf>
    <xf numFmtId="0" fontId="37" fillId="0" borderId="19" xfId="0" applyFont="1" applyBorder="1"/>
    <xf numFmtId="0" fontId="37" fillId="0" borderId="16" xfId="0" applyFont="1" applyBorder="1"/>
    <xf numFmtId="0" fontId="7" fillId="3" borderId="3" xfId="1" applyNumberFormat="1" applyFont="1" applyFill="1" applyBorder="1" applyAlignment="1">
      <alignment horizontal="center" vertical="center" wrapText="1"/>
    </xf>
    <xf numFmtId="0" fontId="7" fillId="3" borderId="17" xfId="1" applyNumberFormat="1" applyFont="1" applyFill="1" applyBorder="1" applyAlignment="1">
      <alignment horizontal="center" vertical="center" wrapText="1"/>
    </xf>
    <xf numFmtId="165" fontId="23" fillId="6" borderId="4" xfId="1" applyFont="1" applyFill="1" applyBorder="1" applyAlignment="1">
      <alignment horizontal="center" vertical="center" wrapText="1"/>
    </xf>
    <xf numFmtId="0" fontId="8" fillId="3" borderId="1" xfId="3" applyFont="1" applyFill="1" applyBorder="1" applyAlignment="1">
      <alignment horizontal="center" vertical="center"/>
    </xf>
    <xf numFmtId="164" fontId="46" fillId="0" borderId="0" xfId="1" applyNumberFormat="1" applyFont="1" applyAlignment="1">
      <alignment horizontal="center" vertical="center"/>
    </xf>
    <xf numFmtId="0" fontId="5" fillId="0" borderId="0" xfId="3" applyFont="1" applyAlignment="1">
      <alignment horizontal="center" vertical="center"/>
    </xf>
    <xf numFmtId="0" fontId="36" fillId="0" borderId="0" xfId="0" applyFont="1" applyAlignment="1">
      <alignment horizontal="center" vertical="center"/>
    </xf>
    <xf numFmtId="164" fontId="13" fillId="3" borderId="1" xfId="1" applyNumberFormat="1" applyFont="1" applyFill="1" applyBorder="1" applyAlignment="1">
      <alignment horizontal="center" vertical="center" wrapText="1"/>
    </xf>
    <xf numFmtId="49" fontId="10" fillId="3" borderId="1" xfId="1" applyNumberFormat="1" applyFont="1" applyFill="1" applyBorder="1" applyAlignment="1">
      <alignment horizontal="center" vertical="center" wrapText="1"/>
    </xf>
    <xf numFmtId="9" fontId="8" fillId="6" borderId="7" xfId="2" applyFont="1" applyFill="1" applyBorder="1" applyAlignment="1">
      <alignment horizontal="center" vertical="center"/>
    </xf>
    <xf numFmtId="0" fontId="37" fillId="6" borderId="8" xfId="0" applyFont="1" applyFill="1" applyBorder="1"/>
    <xf numFmtId="0" fontId="37" fillId="6" borderId="2" xfId="0" applyFont="1" applyFill="1" applyBorder="1"/>
    <xf numFmtId="0" fontId="37" fillId="6" borderId="10" xfId="0" applyFont="1" applyFill="1" applyBorder="1"/>
    <xf numFmtId="0" fontId="45" fillId="6" borderId="0" xfId="0" applyFont="1" applyFill="1" applyAlignment="1">
      <alignment horizontal="center" vertical="center"/>
    </xf>
    <xf numFmtId="0" fontId="37" fillId="6" borderId="11" xfId="0" applyFont="1" applyFill="1" applyBorder="1"/>
    <xf numFmtId="0" fontId="37" fillId="6" borderId="13" xfId="0" applyFont="1" applyFill="1" applyBorder="1"/>
    <xf numFmtId="0" fontId="37" fillId="6" borderId="14" xfId="0" applyFont="1" applyFill="1" applyBorder="1"/>
    <xf numFmtId="0" fontId="37" fillId="6" borderId="15" xfId="0" applyFont="1" applyFill="1" applyBorder="1"/>
    <xf numFmtId="164" fontId="7" fillId="3" borderId="20" xfId="1" applyNumberFormat="1" applyFont="1" applyFill="1" applyBorder="1" applyAlignment="1">
      <alignment horizontal="center" vertical="center"/>
    </xf>
    <xf numFmtId="0" fontId="54" fillId="3" borderId="11" xfId="0" applyFont="1" applyFill="1" applyBorder="1"/>
    <xf numFmtId="0" fontId="54" fillId="3" borderId="15" xfId="0" applyFont="1" applyFill="1" applyBorder="1"/>
    <xf numFmtId="0" fontId="8" fillId="3" borderId="1" xfId="1" applyNumberFormat="1" applyFont="1" applyFill="1" applyBorder="1" applyAlignment="1">
      <alignment horizontal="center" vertical="center" wrapText="1"/>
    </xf>
    <xf numFmtId="165" fontId="4" fillId="3" borderId="7" xfId="1" applyFont="1" applyFill="1" applyBorder="1" applyAlignment="1">
      <alignment horizontal="center" vertical="center" wrapText="1"/>
    </xf>
    <xf numFmtId="0" fontId="0" fillId="0" borderId="9" xfId="0" applyBorder="1"/>
    <xf numFmtId="0" fontId="0" fillId="0" borderId="18" xfId="0" applyBorder="1"/>
    <xf numFmtId="164" fontId="10" fillId="4" borderId="17" xfId="1" applyNumberFormat="1" applyFont="1" applyFill="1" applyBorder="1" applyAlignment="1">
      <alignment horizontal="center" vertical="center" wrapText="1"/>
    </xf>
    <xf numFmtId="0" fontId="0" fillId="0" borderId="17" xfId="0" applyBorder="1"/>
    <xf numFmtId="164" fontId="10" fillId="2" borderId="1" xfId="1" applyNumberFormat="1" applyFont="1" applyFill="1" applyBorder="1" applyAlignment="1">
      <alignment horizontal="center" vertical="center" wrapText="1"/>
    </xf>
    <xf numFmtId="165" fontId="10" fillId="2" borderId="1" xfId="1" applyFont="1" applyFill="1" applyBorder="1" applyAlignment="1">
      <alignment horizontal="center" vertical="center" wrapText="1"/>
    </xf>
    <xf numFmtId="0" fontId="10" fillId="4" borderId="1" xfId="1" applyNumberFormat="1" applyFont="1" applyFill="1" applyBorder="1" applyAlignment="1">
      <alignment horizontal="center" vertical="center" wrapText="1"/>
    </xf>
    <xf numFmtId="164" fontId="7" fillId="4" borderId="1" xfId="1" applyNumberFormat="1" applyFont="1" applyFill="1" applyBorder="1" applyAlignment="1">
      <alignment horizontal="center" vertical="center" wrapText="1"/>
    </xf>
    <xf numFmtId="164" fontId="10" fillId="4" borderId="4" xfId="1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9" xfId="0" applyBorder="1"/>
    <xf numFmtId="164" fontId="4" fillId="2" borderId="20" xfId="1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15" xfId="0" applyBorder="1"/>
    <xf numFmtId="164" fontId="10" fillId="4" borderId="1" xfId="1" applyNumberFormat="1" applyFont="1" applyFill="1" applyBorder="1" applyAlignment="1">
      <alignment horizontal="center" vertical="center" wrapText="1"/>
    </xf>
    <xf numFmtId="0" fontId="0" fillId="0" borderId="5" xfId="0" applyBorder="1"/>
    <xf numFmtId="0" fontId="0" fillId="0" borderId="6" xfId="0" applyBorder="1"/>
    <xf numFmtId="165" fontId="4" fillId="2" borderId="7" xfId="1" applyFont="1" applyFill="1" applyBorder="1" applyAlignment="1">
      <alignment horizontal="center" vertical="center" wrapText="1"/>
    </xf>
    <xf numFmtId="164" fontId="4" fillId="0" borderId="0" xfId="1" applyNumberFormat="1" applyFont="1" applyAlignment="1">
      <alignment horizontal="center" vertical="center"/>
    </xf>
    <xf numFmtId="0" fontId="26" fillId="0" borderId="0" xfId="3" applyFont="1" applyAlignment="1">
      <alignment horizontal="center" vertical="center"/>
    </xf>
    <xf numFmtId="164" fontId="10" fillId="4" borderId="3" xfId="1" applyNumberFormat="1" applyFont="1" applyFill="1" applyBorder="1" applyAlignment="1">
      <alignment horizontal="center" vertical="center" wrapText="1"/>
    </xf>
    <xf numFmtId="0" fontId="0" fillId="0" borderId="2" xfId="0" applyBorder="1"/>
    <xf numFmtId="9" fontId="4" fillId="2" borderId="7" xfId="2" applyFont="1" applyFill="1" applyBorder="1" applyAlignment="1">
      <alignment horizontal="center" vertical="center"/>
    </xf>
    <xf numFmtId="0" fontId="0" fillId="0" borderId="8" xfId="0" applyBorder="1"/>
    <xf numFmtId="0" fontId="16" fillId="0" borderId="0" xfId="0" applyFont="1" applyAlignment="1">
      <alignment horizontal="center" vertical="center"/>
    </xf>
    <xf numFmtId="0" fontId="0" fillId="0" borderId="13" xfId="0" applyBorder="1"/>
    <xf numFmtId="0" fontId="0" fillId="0" borderId="14" xfId="0" applyBorder="1"/>
    <xf numFmtId="0" fontId="7" fillId="4" borderId="1" xfId="1" applyNumberFormat="1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164" fontId="10" fillId="2" borderId="1" xfId="1" applyNumberFormat="1" applyFont="1" applyFill="1" applyBorder="1" applyAlignment="1">
      <alignment horizontal="center" vertical="center"/>
    </xf>
    <xf numFmtId="49" fontId="10" fillId="2" borderId="1" xfId="1" applyNumberFormat="1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/>
    </xf>
    <xf numFmtId="164" fontId="10" fillId="2" borderId="4" xfId="1" applyNumberFormat="1" applyFont="1" applyFill="1" applyBorder="1" applyAlignment="1">
      <alignment horizontal="center" vertical="center" wrapText="1"/>
    </xf>
    <xf numFmtId="165" fontId="10" fillId="2" borderId="4" xfId="1" applyFont="1" applyFill="1" applyBorder="1" applyAlignment="1">
      <alignment horizontal="center" vertical="center" wrapText="1"/>
    </xf>
    <xf numFmtId="164" fontId="4" fillId="3" borderId="1" xfId="1" applyNumberFormat="1" applyFont="1" applyFill="1" applyBorder="1" applyAlignment="1">
      <alignment horizontal="center" vertical="center" wrapText="1"/>
    </xf>
    <xf numFmtId="43" fontId="10" fillId="2" borderId="1" xfId="5" applyFont="1" applyFill="1" applyBorder="1" applyAlignment="1">
      <alignment horizontal="center" vertical="center" wrapText="1"/>
    </xf>
    <xf numFmtId="0" fontId="0" fillId="0" borderId="16" xfId="0" applyBorder="1"/>
    <xf numFmtId="164" fontId="71" fillId="3" borderId="1" xfId="1" applyNumberFormat="1" applyFont="1" applyFill="1" applyBorder="1" applyAlignment="1">
      <alignment horizontal="center" vertical="center" wrapText="1"/>
    </xf>
    <xf numFmtId="0" fontId="72" fillId="3" borderId="9" xfId="0" applyFont="1" applyFill="1" applyBorder="1"/>
    <xf numFmtId="0" fontId="72" fillId="3" borderId="17" xfId="0" applyFont="1" applyFill="1" applyBorder="1"/>
    <xf numFmtId="164" fontId="70" fillId="3" borderId="1" xfId="1" applyNumberFormat="1" applyFont="1" applyFill="1" applyBorder="1" applyAlignment="1">
      <alignment horizontal="center" vertical="center" wrapText="1"/>
    </xf>
    <xf numFmtId="0" fontId="72" fillId="3" borderId="18" xfId="0" applyFont="1" applyFill="1" applyBorder="1"/>
    <xf numFmtId="164" fontId="76" fillId="3" borderId="1" xfId="1" applyNumberFormat="1" applyFont="1" applyFill="1" applyBorder="1" applyAlignment="1">
      <alignment horizontal="center" vertical="center" wrapText="1"/>
    </xf>
    <xf numFmtId="164" fontId="15" fillId="6" borderId="1" xfId="1" applyNumberFormat="1" applyFont="1" applyFill="1" applyBorder="1" applyAlignment="1">
      <alignment horizontal="center" vertical="center" wrapText="1"/>
    </xf>
    <xf numFmtId="0" fontId="0" fillId="6" borderId="5" xfId="0" applyFill="1" applyBorder="1"/>
    <xf numFmtId="0" fontId="0" fillId="6" borderId="6" xfId="0" applyFill="1" applyBorder="1"/>
    <xf numFmtId="165" fontId="75" fillId="3" borderId="1" xfId="1" applyFont="1" applyFill="1" applyBorder="1" applyAlignment="1">
      <alignment horizontal="center" vertical="center" wrapText="1"/>
    </xf>
    <xf numFmtId="164" fontId="4" fillId="3" borderId="17" xfId="1" applyNumberFormat="1" applyFont="1" applyFill="1" applyBorder="1" applyAlignment="1">
      <alignment horizontal="center" vertical="center" wrapText="1"/>
    </xf>
    <xf numFmtId="0" fontId="7" fillId="3" borderId="1" xfId="1" applyNumberFormat="1" applyFont="1" applyFill="1" applyBorder="1" applyAlignment="1">
      <alignment horizontal="center" vertical="top" wrapText="1"/>
    </xf>
    <xf numFmtId="164" fontId="7" fillId="3" borderId="1" xfId="1" applyNumberFormat="1" applyFont="1" applyFill="1" applyBorder="1" applyAlignment="1">
      <alignment horizontal="center" vertical="top" wrapText="1"/>
    </xf>
    <xf numFmtId="0" fontId="3" fillId="0" borderId="0" xfId="0" applyFont="1" applyAlignment="1">
      <alignment horizontal="center" vertical="center"/>
    </xf>
    <xf numFmtId="0" fontId="6" fillId="0" borderId="0" xfId="3" applyFont="1" applyAlignment="1">
      <alignment horizontal="center" vertical="center"/>
    </xf>
    <xf numFmtId="49" fontId="4" fillId="3" borderId="1" xfId="1" applyNumberFormat="1" applyFont="1" applyFill="1" applyBorder="1" applyAlignment="1">
      <alignment horizontal="center" vertical="center" wrapText="1"/>
    </xf>
    <xf numFmtId="164" fontId="26" fillId="0" borderId="1" xfId="1" applyNumberFormat="1" applyFont="1" applyBorder="1" applyAlignment="1">
      <alignment horizontal="center" vertical="center" wrapText="1"/>
    </xf>
    <xf numFmtId="164" fontId="4" fillId="3" borderId="1" xfId="1" applyNumberFormat="1" applyFont="1" applyFill="1" applyBorder="1" applyAlignment="1">
      <alignment horizontal="center" vertical="center"/>
    </xf>
    <xf numFmtId="0" fontId="4" fillId="3" borderId="1" xfId="1" applyNumberFormat="1" applyFont="1" applyFill="1" applyBorder="1" applyAlignment="1">
      <alignment horizontal="center" vertical="top" wrapText="1"/>
    </xf>
    <xf numFmtId="43" fontId="73" fillId="0" borderId="1" xfId="5" applyFont="1" applyBorder="1" applyAlignment="1">
      <alignment horizontal="center" vertical="center" wrapText="1"/>
    </xf>
    <xf numFmtId="0" fontId="72" fillId="0" borderId="2" xfId="0" applyFont="1" applyBorder="1"/>
    <xf numFmtId="0" fontId="72" fillId="0" borderId="19" xfId="0" applyFont="1" applyBorder="1"/>
    <xf numFmtId="0" fontId="72" fillId="0" borderId="16" xfId="0" applyFont="1" applyBorder="1"/>
    <xf numFmtId="164" fontId="64" fillId="0" borderId="0" xfId="1" applyNumberFormat="1" applyFont="1" applyAlignment="1">
      <alignment horizontal="center" vertical="center"/>
    </xf>
    <xf numFmtId="9" fontId="26" fillId="6" borderId="7" xfId="2" applyFont="1" applyFill="1" applyBorder="1" applyAlignment="1">
      <alignment horizontal="center" vertical="center"/>
    </xf>
    <xf numFmtId="0" fontId="0" fillId="6" borderId="8" xfId="0" applyFill="1" applyBorder="1"/>
    <xf numFmtId="0" fontId="0" fillId="6" borderId="2" xfId="0" applyFill="1" applyBorder="1"/>
    <xf numFmtId="0" fontId="0" fillId="6" borderId="10" xfId="0" applyFill="1" applyBorder="1"/>
    <xf numFmtId="0" fontId="63" fillId="6" borderId="0" xfId="0" applyFont="1" applyFill="1" applyAlignment="1">
      <alignment horizontal="center" vertical="center"/>
    </xf>
    <xf numFmtId="0" fontId="0" fillId="6" borderId="11" xfId="0" applyFill="1" applyBorder="1"/>
    <xf numFmtId="0" fontId="0" fillId="6" borderId="13" xfId="0" applyFill="1" applyBorder="1"/>
    <xf numFmtId="0" fontId="0" fillId="6" borderId="14" xfId="0" applyFill="1" applyBorder="1"/>
    <xf numFmtId="0" fontId="0" fillId="6" borderId="15" xfId="0" applyFill="1" applyBorder="1"/>
    <xf numFmtId="164" fontId="26" fillId="0" borderId="3" xfId="1" applyNumberFormat="1" applyFont="1" applyBorder="1" applyAlignment="1">
      <alignment horizontal="center" vertical="center" wrapText="1"/>
    </xf>
    <xf numFmtId="0" fontId="4" fillId="3" borderId="1" xfId="3" applyFont="1" applyFill="1" applyBorder="1" applyAlignment="1">
      <alignment horizontal="center" vertical="center"/>
    </xf>
    <xf numFmtId="165" fontId="15" fillId="6" borderId="4" xfId="1" applyFont="1" applyFill="1" applyBorder="1" applyAlignment="1">
      <alignment horizontal="center" vertical="center" wrapText="1"/>
    </xf>
    <xf numFmtId="164" fontId="11" fillId="2" borderId="1" xfId="1" applyNumberFormat="1" applyFont="1" applyFill="1" applyBorder="1" applyAlignment="1">
      <alignment horizontal="center" vertical="center" wrapText="1"/>
    </xf>
  </cellXfs>
  <cellStyles count="9">
    <cellStyle name="1991-" xfId="3" xr:uid="{00000000-0005-0000-0000-000003000000}"/>
    <cellStyle name="Comma" xfId="1" builtinId="3"/>
    <cellStyle name="Comma 16 2" xfId="4" xr:uid="{00000000-0005-0000-0000-000004000000}"/>
    <cellStyle name="Comma 2" xfId="6" xr:uid="{00000000-0005-0000-0000-000006000000}"/>
    <cellStyle name="Comma 21" xfId="5" xr:uid="{00000000-0005-0000-0000-000005000000}"/>
    <cellStyle name="Normal" xfId="0" builtinId="0"/>
    <cellStyle name="Normal 2" xfId="7" xr:uid="{00000000-0005-0000-0000-000007000000}"/>
    <cellStyle name="Per cent" xfId="2" builtinId="5"/>
    <cellStyle name="Percent 2" xfId="8" xr:uid="{00000000-0005-0000-0000-000008000000}"/>
  </cellStyles>
  <dxfs count="2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92D050"/>
  </sheetPr>
  <dimension ref="A1:CI26"/>
  <sheetViews>
    <sheetView topLeftCell="BP4" zoomScale="130" zoomScaleNormal="130" zoomScaleSheetLayoutView="70" workbookViewId="0">
      <selection activeCell="BW25" sqref="BW25"/>
    </sheetView>
  </sheetViews>
  <sheetFormatPr baseColWidth="10" defaultColWidth="9.1640625" defaultRowHeight="15" outlineLevelRow="1" outlineLevelCol="1"/>
  <cols>
    <col min="1" max="1" width="5.5" style="167" customWidth="1"/>
    <col min="2" max="2" width="8.5" style="177" customWidth="1"/>
    <col min="3" max="3" width="15.83203125" style="169" customWidth="1"/>
    <col min="4" max="4" width="15.83203125" style="170" customWidth="1" outlineLevel="1"/>
    <col min="5" max="5" width="14.1640625" style="170" bestFit="1" customWidth="1" outlineLevel="1"/>
    <col min="6" max="6" width="11.5" style="171" customWidth="1" outlineLevel="1"/>
    <col min="7" max="7" width="13.6640625" style="172" bestFit="1" customWidth="1"/>
    <col min="8" max="8" width="12.5" style="172" customWidth="1"/>
    <col min="9" max="9" width="12.5" style="173" customWidth="1"/>
    <col min="10" max="10" width="7.5" style="173" customWidth="1" outlineLevel="1"/>
    <col min="11" max="11" width="17.83203125" style="174" bestFit="1" customWidth="1"/>
    <col min="12" max="24" width="7.1640625" style="174" customWidth="1"/>
    <col min="25" max="47" width="12.33203125" style="172" customWidth="1"/>
    <col min="48" max="49" width="13" style="172" customWidth="1"/>
    <col min="50" max="50" width="6.6640625" style="172" customWidth="1"/>
    <col min="51" max="53" width="10.5" style="172" customWidth="1" outlineLevel="1"/>
    <col min="54" max="58" width="10.5" style="172" customWidth="1"/>
    <col min="59" max="59" width="13.6640625" style="172" bestFit="1" customWidth="1"/>
    <col min="60" max="71" width="10.5" style="172" customWidth="1"/>
    <col min="72" max="74" width="12.5" style="172" customWidth="1"/>
    <col min="75" max="79" width="12.6640625" style="172" customWidth="1" outlineLevel="1"/>
    <col min="80" max="80" width="12.6640625" style="175" customWidth="1" outlineLevel="1"/>
    <col min="81" max="82" width="10.6640625" style="175" customWidth="1" outlineLevel="1"/>
    <col min="83" max="83" width="19.5" style="176" customWidth="1"/>
    <col min="84" max="84" width="12.33203125" style="176" customWidth="1"/>
    <col min="85" max="85" width="12.5" style="176" customWidth="1"/>
    <col min="86" max="86" width="11.6640625" style="176" customWidth="1"/>
    <col min="87" max="87" width="9.1640625" style="176" customWidth="1"/>
    <col min="88" max="16384" width="9.1640625" style="176"/>
  </cols>
  <sheetData>
    <row r="1" spans="1:87" s="149" customFormat="1" ht="23.25" customHeight="1" outlineLevel="1">
      <c r="A1" s="191" t="s">
        <v>0</v>
      </c>
      <c r="B1" s="192"/>
      <c r="C1" s="193"/>
      <c r="D1" s="194"/>
      <c r="E1" s="194"/>
      <c r="F1" s="194"/>
      <c r="I1" s="195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7"/>
      <c r="Z1" s="197"/>
      <c r="AA1" s="197"/>
      <c r="AB1" s="197"/>
      <c r="AC1" s="197"/>
      <c r="AD1" s="197"/>
      <c r="AE1" s="197"/>
      <c r="AF1" s="197"/>
      <c r="AG1" s="197"/>
      <c r="AH1" s="197"/>
      <c r="AI1" s="197"/>
      <c r="AJ1" s="197"/>
      <c r="AK1" s="197"/>
      <c r="AL1" s="197"/>
      <c r="AM1" s="197"/>
      <c r="AN1" s="197"/>
      <c r="AO1" s="197"/>
      <c r="AP1" s="197"/>
      <c r="AQ1" s="197"/>
      <c r="AR1" s="197"/>
      <c r="AS1" s="197"/>
      <c r="AT1" s="197"/>
      <c r="AU1" s="197"/>
      <c r="AV1" s="197"/>
      <c r="AW1" s="197"/>
      <c r="AX1" s="197"/>
      <c r="AY1" s="197"/>
      <c r="AZ1" s="197"/>
      <c r="BA1" s="197"/>
      <c r="BB1" s="197"/>
      <c r="BC1" s="197"/>
      <c r="BD1" s="198"/>
      <c r="BE1" s="197"/>
      <c r="BF1" s="198"/>
      <c r="BG1" s="197"/>
      <c r="BH1" s="197"/>
      <c r="BI1" s="197"/>
      <c r="BJ1" s="197"/>
      <c r="BK1" s="197"/>
      <c r="BL1" s="197"/>
      <c r="BM1" s="197"/>
      <c r="BN1" s="197"/>
      <c r="BO1" s="197"/>
      <c r="BP1" s="199"/>
      <c r="BQ1" s="197"/>
      <c r="BR1" s="197"/>
      <c r="BS1" s="197"/>
      <c r="BU1" s="197"/>
      <c r="BV1" s="197"/>
      <c r="BW1" s="200"/>
      <c r="BX1" s="200"/>
      <c r="BY1" s="200"/>
      <c r="BZ1" s="200"/>
      <c r="CA1" s="200"/>
      <c r="CB1" s="201"/>
      <c r="CC1" s="201"/>
      <c r="CD1" s="201"/>
    </row>
    <row r="2" spans="1:87" s="149" customFormat="1" ht="19.25" customHeight="1" outlineLevel="1">
      <c r="A2" s="202" t="s">
        <v>1</v>
      </c>
      <c r="B2" s="192"/>
      <c r="C2" s="203"/>
      <c r="D2" s="194"/>
      <c r="E2" s="194"/>
      <c r="F2" s="194"/>
      <c r="I2" s="195"/>
      <c r="K2" s="196"/>
      <c r="L2" s="196"/>
      <c r="M2" s="196"/>
      <c r="N2" s="196"/>
      <c r="O2" s="196"/>
      <c r="P2" s="196"/>
      <c r="Q2" s="196"/>
      <c r="R2" s="196"/>
      <c r="S2" s="196"/>
      <c r="T2" s="196"/>
      <c r="U2" s="196"/>
      <c r="V2" s="196"/>
      <c r="W2" s="196"/>
      <c r="X2" s="196"/>
      <c r="Y2" s="197"/>
      <c r="Z2" s="197"/>
      <c r="AA2" s="197"/>
      <c r="AB2" s="197"/>
      <c r="AC2" s="197"/>
      <c r="AD2" s="197"/>
      <c r="AE2" s="197"/>
      <c r="AF2" s="197"/>
      <c r="AG2" s="197"/>
      <c r="AH2" s="197"/>
      <c r="AI2" s="197"/>
      <c r="AJ2" s="197"/>
      <c r="AK2" s="197"/>
      <c r="AL2" s="197"/>
      <c r="AM2" s="197"/>
      <c r="AN2" s="197"/>
      <c r="AO2" s="197"/>
      <c r="AP2" s="197"/>
      <c r="AQ2" s="197"/>
      <c r="AR2" s="197"/>
      <c r="AS2" s="197"/>
      <c r="AT2" s="197"/>
      <c r="AU2" s="197"/>
      <c r="AV2" s="197"/>
      <c r="AW2" s="197"/>
      <c r="AX2" s="197"/>
      <c r="AY2" s="197"/>
      <c r="AZ2" s="197"/>
      <c r="BA2" s="197"/>
      <c r="BB2" s="197"/>
      <c r="BC2" s="197"/>
      <c r="BD2" s="198"/>
      <c r="BE2" s="197"/>
      <c r="BF2" s="197"/>
      <c r="BG2" s="197"/>
      <c r="BH2" s="197"/>
      <c r="BI2" s="197"/>
      <c r="BJ2" s="197"/>
      <c r="BK2" s="197"/>
      <c r="BL2" s="197"/>
      <c r="BM2" s="197"/>
      <c r="BN2" s="197"/>
      <c r="BO2" s="197"/>
      <c r="BP2" s="197"/>
      <c r="BQ2" s="197"/>
      <c r="BR2" s="197"/>
      <c r="BS2" s="197"/>
      <c r="BT2" s="197"/>
      <c r="BU2" s="197"/>
      <c r="BV2" s="197"/>
      <c r="BW2" s="204"/>
      <c r="BX2" s="204"/>
      <c r="BY2" s="204"/>
      <c r="BZ2" s="204"/>
      <c r="CA2" s="204"/>
      <c r="CB2" s="203"/>
      <c r="CC2" s="203"/>
      <c r="CD2" s="203"/>
    </row>
    <row r="3" spans="1:87" s="2" customFormat="1" ht="24" customHeight="1" outlineLevel="1">
      <c r="A3" s="381"/>
      <c r="B3" s="380"/>
      <c r="C3" s="380"/>
      <c r="D3" s="380"/>
      <c r="E3" s="380"/>
      <c r="F3" s="380"/>
      <c r="G3" s="380"/>
      <c r="H3" s="380"/>
      <c r="I3" s="380"/>
      <c r="J3" s="380"/>
      <c r="K3" s="380"/>
      <c r="L3" s="380"/>
      <c r="M3" s="380"/>
      <c r="N3" s="380"/>
      <c r="O3" s="380"/>
      <c r="P3" s="380"/>
      <c r="Q3" s="380"/>
      <c r="R3" s="380"/>
      <c r="S3" s="380"/>
      <c r="T3" s="380"/>
      <c r="U3" s="380"/>
      <c r="V3" s="380"/>
      <c r="W3" s="380"/>
      <c r="X3" s="380"/>
      <c r="Y3" s="380"/>
      <c r="Z3" s="380"/>
      <c r="AA3" s="380"/>
      <c r="AB3" s="380"/>
      <c r="AC3" s="380"/>
      <c r="AD3" s="380"/>
      <c r="AE3" s="380"/>
      <c r="AF3" s="380"/>
      <c r="AG3" s="380"/>
      <c r="AH3" s="380"/>
      <c r="AI3" s="380"/>
      <c r="AJ3" s="380"/>
      <c r="AK3" s="380"/>
      <c r="AL3" s="380"/>
      <c r="AM3" s="380"/>
      <c r="AN3" s="380"/>
      <c r="AO3" s="380"/>
      <c r="AP3" s="380"/>
      <c r="AQ3" s="380"/>
      <c r="AR3" s="380"/>
      <c r="AS3" s="380"/>
      <c r="AT3" s="380"/>
      <c r="AU3" s="380"/>
      <c r="AV3" s="380"/>
      <c r="AW3" s="380"/>
      <c r="AX3" s="380"/>
      <c r="AY3" s="380"/>
      <c r="AZ3" s="380"/>
      <c r="BA3" s="380"/>
      <c r="BB3" s="380"/>
      <c r="BC3" s="380"/>
      <c r="BD3" s="380"/>
      <c r="BE3" s="380"/>
      <c r="BF3" s="380"/>
      <c r="BG3" s="380"/>
      <c r="BH3" s="380"/>
      <c r="BI3" s="380"/>
      <c r="BJ3" s="380"/>
      <c r="BK3" s="380"/>
      <c r="BL3" s="380"/>
      <c r="BM3" s="380"/>
      <c r="BN3" s="380"/>
      <c r="BO3" s="380"/>
      <c r="BP3" s="380"/>
      <c r="BQ3" s="380"/>
      <c r="BR3" s="380"/>
      <c r="BS3" s="380"/>
      <c r="BT3" s="380"/>
      <c r="BU3" s="380"/>
      <c r="BV3" s="205"/>
      <c r="BW3" s="379" t="s">
        <v>2</v>
      </c>
      <c r="BX3" s="380"/>
      <c r="BY3" s="380"/>
      <c r="BZ3" s="380"/>
      <c r="CA3" s="380"/>
      <c r="CB3" s="380"/>
      <c r="CC3" s="207"/>
      <c r="CD3" s="207"/>
    </row>
    <row r="4" spans="1:87" s="2" customFormat="1" ht="21.5" customHeight="1" outlineLevel="1">
      <c r="A4" s="208"/>
      <c r="B4" s="208"/>
      <c r="C4" s="208"/>
      <c r="D4" s="208"/>
      <c r="E4" s="208"/>
      <c r="F4" s="208"/>
      <c r="G4" s="208"/>
      <c r="H4" s="208"/>
      <c r="I4" s="195"/>
      <c r="K4" s="208"/>
      <c r="L4" s="208"/>
      <c r="M4" s="208"/>
      <c r="N4" s="208"/>
      <c r="O4" s="208"/>
      <c r="P4" s="208"/>
      <c r="Q4" s="208"/>
      <c r="R4" s="208"/>
      <c r="S4" s="208"/>
      <c r="T4" s="208"/>
      <c r="U4" s="208"/>
      <c r="V4" s="209"/>
      <c r="W4" s="209"/>
      <c r="X4" s="209"/>
      <c r="Y4" s="209"/>
      <c r="Z4" s="209"/>
      <c r="AA4" s="209"/>
      <c r="AB4" s="209"/>
      <c r="AC4" s="209"/>
      <c r="AD4" s="209"/>
      <c r="AE4" s="209"/>
      <c r="AF4" s="209"/>
      <c r="AG4" s="209"/>
      <c r="AH4" s="209"/>
      <c r="AI4" s="209"/>
      <c r="AJ4" s="209"/>
      <c r="AK4" s="209"/>
      <c r="AL4" s="209"/>
      <c r="AM4" s="208"/>
      <c r="AN4" s="208"/>
      <c r="AO4" s="208"/>
      <c r="AP4" s="208"/>
      <c r="AQ4" s="208"/>
      <c r="AR4" s="208"/>
      <c r="AS4" s="208"/>
      <c r="AT4" s="208"/>
      <c r="AU4" s="208"/>
      <c r="AV4" s="208"/>
      <c r="AW4" s="208"/>
      <c r="AX4" s="208"/>
      <c r="AY4" s="208"/>
      <c r="AZ4" s="208"/>
      <c r="BA4" s="208"/>
      <c r="BB4" s="208"/>
      <c r="BC4" s="208"/>
      <c r="BD4" s="208"/>
      <c r="BE4" s="208"/>
      <c r="BF4" s="208"/>
      <c r="BG4" s="208"/>
      <c r="BH4" s="208"/>
      <c r="BI4" s="208"/>
      <c r="BJ4" s="208"/>
      <c r="BK4" s="208"/>
      <c r="BL4" s="208"/>
      <c r="BM4" s="208"/>
      <c r="BN4" s="208"/>
      <c r="BO4" s="208"/>
      <c r="BP4" s="208"/>
      <c r="BQ4" s="208"/>
      <c r="BR4" s="208"/>
      <c r="BS4" s="208"/>
      <c r="BT4" s="208"/>
      <c r="BU4" s="208"/>
      <c r="BV4" s="208"/>
      <c r="BW4" s="380"/>
      <c r="BX4" s="380"/>
      <c r="BY4" s="380"/>
      <c r="BZ4" s="380"/>
      <c r="CA4" s="380"/>
      <c r="CB4" s="380"/>
      <c r="CC4" s="207"/>
      <c r="CD4" s="207"/>
    </row>
    <row r="5" spans="1:87" s="2" customFormat="1" ht="20.25" customHeight="1" outlineLevel="1">
      <c r="A5" s="208"/>
      <c r="B5" s="208"/>
      <c r="C5" s="208"/>
      <c r="D5" s="208"/>
      <c r="E5" s="208"/>
      <c r="F5" s="208"/>
      <c r="G5" s="208"/>
      <c r="H5" s="208"/>
      <c r="I5" s="195"/>
      <c r="K5" s="208"/>
      <c r="L5" s="208"/>
      <c r="M5" s="208"/>
      <c r="N5" s="208"/>
      <c r="O5" s="208"/>
      <c r="P5" s="208"/>
      <c r="Q5" s="208"/>
      <c r="R5" s="208"/>
      <c r="S5" s="208"/>
      <c r="T5" s="208"/>
      <c r="U5" s="208"/>
      <c r="V5" s="208"/>
      <c r="W5" s="208"/>
      <c r="X5" s="208"/>
      <c r="Y5" s="208"/>
      <c r="Z5" s="208"/>
      <c r="AA5" s="208"/>
      <c r="AB5" s="208"/>
      <c r="AC5" s="208"/>
      <c r="AD5" s="208"/>
      <c r="AE5" s="208"/>
      <c r="AF5" s="208"/>
      <c r="AG5" s="208"/>
      <c r="AH5" s="208"/>
      <c r="AI5" s="208"/>
      <c r="AJ5" s="208"/>
      <c r="AK5" s="208"/>
      <c r="AL5" s="208"/>
      <c r="AM5" s="208"/>
      <c r="AN5" s="208"/>
      <c r="AO5" s="208"/>
      <c r="AP5" s="208"/>
      <c r="AQ5" s="208"/>
      <c r="AR5" s="208"/>
      <c r="AS5" s="208"/>
      <c r="AT5" s="208"/>
      <c r="AU5" s="208"/>
      <c r="AV5" s="208"/>
      <c r="AW5" s="208"/>
      <c r="AX5" s="208"/>
      <c r="AY5" s="208"/>
      <c r="AZ5" s="208"/>
      <c r="BA5" s="208"/>
      <c r="BB5" s="208"/>
      <c r="BC5" s="208"/>
      <c r="BD5" s="208"/>
      <c r="BE5" s="208"/>
      <c r="BF5" s="208"/>
      <c r="BG5" s="208"/>
      <c r="BH5" s="208"/>
      <c r="BI5" s="208"/>
      <c r="BJ5" s="208"/>
      <c r="BK5" s="208"/>
      <c r="BL5" s="208"/>
      <c r="BM5" s="208"/>
      <c r="BN5" s="208"/>
      <c r="BO5" s="208"/>
      <c r="BP5" s="208"/>
      <c r="BQ5" s="208"/>
      <c r="BR5" s="208"/>
      <c r="BS5" s="208"/>
      <c r="BT5" s="208"/>
      <c r="BU5" s="208"/>
      <c r="BV5" s="208"/>
      <c r="BW5" s="380"/>
      <c r="BX5" s="380"/>
      <c r="BY5" s="380"/>
      <c r="BZ5" s="380"/>
      <c r="CA5" s="380"/>
      <c r="CB5" s="380"/>
      <c r="CC5" s="207"/>
      <c r="CD5" s="207"/>
    </row>
    <row r="6" spans="1:87" s="2" customFormat="1" ht="34" customHeight="1" outlineLevel="1">
      <c r="A6" s="210"/>
      <c r="D6" s="210"/>
      <c r="E6" s="210"/>
      <c r="F6" s="210"/>
      <c r="G6" s="210"/>
      <c r="H6" s="210"/>
      <c r="I6" s="195"/>
      <c r="K6" s="211"/>
      <c r="L6" s="211"/>
      <c r="M6" s="211"/>
      <c r="N6" s="211"/>
      <c r="O6" s="211"/>
      <c r="P6" s="211"/>
      <c r="Q6" s="211"/>
      <c r="R6" s="211"/>
      <c r="S6" s="211"/>
      <c r="T6" s="211"/>
      <c r="U6" s="211"/>
      <c r="V6" s="211"/>
      <c r="W6" s="211"/>
      <c r="X6" s="211"/>
      <c r="Y6" s="212"/>
      <c r="Z6" s="212"/>
      <c r="AA6" s="212"/>
      <c r="AB6" s="212"/>
      <c r="AC6" s="208"/>
      <c r="AD6" s="210"/>
      <c r="AE6" s="210"/>
      <c r="AF6" s="210"/>
      <c r="AG6" s="210"/>
      <c r="AH6" s="210"/>
      <c r="AI6" s="210"/>
      <c r="AJ6" s="210"/>
      <c r="AK6" s="210"/>
      <c r="AL6" s="210"/>
      <c r="AM6" s="210"/>
      <c r="AN6" s="210"/>
      <c r="AO6" s="210"/>
      <c r="AP6" s="210"/>
      <c r="AQ6" s="210"/>
      <c r="AR6" s="210"/>
      <c r="AS6" s="210"/>
      <c r="AT6" s="210"/>
      <c r="AU6" s="210"/>
      <c r="AV6" s="210"/>
      <c r="AW6" s="210"/>
      <c r="AX6" s="210"/>
      <c r="AY6" s="210"/>
      <c r="AZ6" s="210"/>
      <c r="BA6" s="210"/>
      <c r="BB6" s="210"/>
      <c r="BC6" s="210"/>
      <c r="BD6" s="210"/>
      <c r="BE6" s="210"/>
      <c r="BF6" s="210"/>
      <c r="BG6" s="210"/>
      <c r="BH6" s="210"/>
      <c r="BI6" s="210"/>
      <c r="BJ6" s="210"/>
      <c r="BK6" s="210"/>
      <c r="BL6" s="210"/>
      <c r="BM6" s="210"/>
      <c r="BN6" s="210"/>
      <c r="BO6" s="210"/>
      <c r="BP6" s="210"/>
      <c r="BQ6" s="210"/>
      <c r="BR6" s="210"/>
      <c r="BS6" s="210"/>
      <c r="BT6" s="210"/>
      <c r="BU6" s="210"/>
      <c r="BV6" s="210"/>
      <c r="BW6" s="380"/>
      <c r="BX6" s="380"/>
      <c r="BY6" s="380"/>
      <c r="BZ6" s="380"/>
      <c r="CA6" s="380"/>
      <c r="CB6" s="380"/>
      <c r="CC6" s="207"/>
      <c r="CD6" s="207"/>
    </row>
    <row r="7" spans="1:87" s="230" customFormat="1" ht="31" outlineLevel="1">
      <c r="B7" s="210" t="s">
        <v>155</v>
      </c>
      <c r="C7" s="210" t="s">
        <v>155</v>
      </c>
      <c r="D7" s="231"/>
      <c r="E7" s="231" t="s">
        <v>156</v>
      </c>
      <c r="F7" s="232"/>
      <c r="G7" s="231" t="s">
        <v>156</v>
      </c>
      <c r="H7" s="231"/>
      <c r="I7" s="233" t="s">
        <v>158</v>
      </c>
      <c r="J7" s="230" t="s">
        <v>157</v>
      </c>
      <c r="K7" s="234"/>
      <c r="L7" s="234"/>
      <c r="M7" s="234"/>
      <c r="N7" s="234"/>
      <c r="O7" s="234"/>
      <c r="Q7" s="234"/>
      <c r="R7" s="234"/>
      <c r="S7" s="234"/>
      <c r="T7" s="234"/>
      <c r="U7" s="235"/>
      <c r="V7" s="234"/>
      <c r="W7" s="234"/>
      <c r="X7" s="234"/>
      <c r="Y7" s="236" t="s">
        <v>158</v>
      </c>
      <c r="Z7" s="236" t="s">
        <v>158</v>
      </c>
      <c r="AA7" s="236" t="s">
        <v>158</v>
      </c>
      <c r="AB7" s="236"/>
      <c r="AC7" s="234" t="s">
        <v>158</v>
      </c>
      <c r="AD7" s="210" t="s">
        <v>158</v>
      </c>
      <c r="AE7" s="210" t="s">
        <v>158</v>
      </c>
      <c r="AF7" s="210"/>
      <c r="AG7" s="210"/>
      <c r="AH7" s="210" t="s">
        <v>158</v>
      </c>
      <c r="AI7" s="210" t="s">
        <v>158</v>
      </c>
      <c r="AJ7" s="210"/>
      <c r="AK7" s="210"/>
      <c r="AL7" s="210" t="s">
        <v>158</v>
      </c>
      <c r="AM7" s="210" t="s">
        <v>158</v>
      </c>
      <c r="AN7" s="210" t="s">
        <v>158</v>
      </c>
      <c r="AO7" s="210" t="s">
        <v>158</v>
      </c>
      <c r="AP7" s="210" t="s">
        <v>159</v>
      </c>
      <c r="AQ7" s="210"/>
      <c r="AR7" s="210" t="s">
        <v>159</v>
      </c>
      <c r="AS7" s="210" t="s">
        <v>159</v>
      </c>
      <c r="AT7" s="210" t="s">
        <v>156</v>
      </c>
      <c r="AU7" s="210" t="s">
        <v>159</v>
      </c>
      <c r="AY7" s="231"/>
      <c r="BA7" s="231"/>
      <c r="BB7" s="231" t="s">
        <v>160</v>
      </c>
      <c r="BE7" s="231"/>
      <c r="BF7" s="231"/>
      <c r="BG7" s="231"/>
      <c r="BH7" s="231"/>
      <c r="BI7" s="231" t="s">
        <v>160</v>
      </c>
      <c r="BJ7" s="231"/>
      <c r="BK7" s="231"/>
      <c r="BL7" s="230" t="s">
        <v>160</v>
      </c>
      <c r="BN7" s="231"/>
      <c r="BP7" s="231"/>
      <c r="BT7" s="231" t="s">
        <v>161</v>
      </c>
      <c r="BU7" s="230" t="s">
        <v>161</v>
      </c>
      <c r="BW7" s="206"/>
      <c r="BX7" s="206" t="s">
        <v>156</v>
      </c>
      <c r="BY7" s="206" t="s">
        <v>156</v>
      </c>
      <c r="BZ7" s="206"/>
      <c r="CA7" s="206" t="s">
        <v>156</v>
      </c>
      <c r="CB7" s="235"/>
      <c r="CC7" s="235"/>
      <c r="CD7" s="235"/>
      <c r="CE7" s="210" t="s">
        <v>155</v>
      </c>
    </row>
    <row r="8" spans="1:87" s="213" customFormat="1" ht="19.25" customHeight="1">
      <c r="A8" s="378" t="s">
        <v>4</v>
      </c>
      <c r="B8" s="383" t="s">
        <v>5</v>
      </c>
      <c r="C8" s="353" t="s">
        <v>6</v>
      </c>
      <c r="D8" s="365" t="s">
        <v>7</v>
      </c>
      <c r="E8" s="365" t="s">
        <v>8</v>
      </c>
      <c r="F8" s="353" t="s">
        <v>9</v>
      </c>
      <c r="G8" s="366" t="s">
        <v>10</v>
      </c>
      <c r="H8" s="367" t="s">
        <v>11</v>
      </c>
      <c r="I8" s="367" t="s">
        <v>12</v>
      </c>
      <c r="J8" s="360" t="s">
        <v>13</v>
      </c>
      <c r="K8" s="377" t="s">
        <v>14</v>
      </c>
      <c r="L8" s="357"/>
      <c r="M8" s="357"/>
      <c r="N8" s="357"/>
      <c r="O8" s="357"/>
      <c r="P8" s="357"/>
      <c r="Q8" s="357"/>
      <c r="R8" s="357"/>
      <c r="S8" s="357"/>
      <c r="T8" s="357"/>
      <c r="U8" s="357"/>
      <c r="V8" s="357"/>
      <c r="W8" s="357"/>
      <c r="X8" s="357"/>
      <c r="Y8" s="356" t="s">
        <v>15</v>
      </c>
      <c r="Z8" s="357"/>
      <c r="AA8" s="357"/>
      <c r="AB8" s="357"/>
      <c r="AC8" s="357"/>
      <c r="AD8" s="357"/>
      <c r="AE8" s="357"/>
      <c r="AF8" s="357"/>
      <c r="AG8" s="357"/>
      <c r="AH8" s="357"/>
      <c r="AI8" s="357"/>
      <c r="AJ8" s="357"/>
      <c r="AK8" s="357"/>
      <c r="AL8" s="357"/>
      <c r="AM8" s="357"/>
      <c r="AN8" s="357"/>
      <c r="AO8" s="358"/>
      <c r="AP8" s="360" t="s">
        <v>16</v>
      </c>
      <c r="AQ8" s="360" t="s">
        <v>17</v>
      </c>
      <c r="AR8" s="360" t="s">
        <v>18</v>
      </c>
      <c r="AS8" s="360" t="s">
        <v>19</v>
      </c>
      <c r="AT8" s="360" t="s">
        <v>20</v>
      </c>
      <c r="AU8" s="360" t="s">
        <v>21</v>
      </c>
      <c r="AV8" s="353" t="s">
        <v>22</v>
      </c>
      <c r="AW8" s="354" t="s">
        <v>23</v>
      </c>
      <c r="AX8" s="343" t="s">
        <v>24</v>
      </c>
      <c r="AY8" s="363" t="s">
        <v>25</v>
      </c>
      <c r="AZ8" s="357"/>
      <c r="BA8" s="357"/>
      <c r="BB8" s="357"/>
      <c r="BC8" s="357"/>
      <c r="BD8" s="357"/>
      <c r="BE8" s="357"/>
      <c r="BF8" s="357"/>
      <c r="BG8" s="357"/>
      <c r="BH8" s="357"/>
      <c r="BI8" s="357"/>
      <c r="BJ8" s="357"/>
      <c r="BK8" s="357"/>
      <c r="BL8" s="357"/>
      <c r="BM8" s="357"/>
      <c r="BN8" s="357"/>
      <c r="BO8" s="357"/>
      <c r="BP8" s="357"/>
      <c r="BQ8" s="358"/>
      <c r="BR8" s="346" t="s">
        <v>26</v>
      </c>
      <c r="BS8" s="347"/>
      <c r="BT8" s="353" t="s">
        <v>27</v>
      </c>
      <c r="BU8" s="340" t="s">
        <v>28</v>
      </c>
      <c r="BV8" s="3"/>
      <c r="BW8" s="393" t="s">
        <v>29</v>
      </c>
      <c r="BX8" s="384" t="s">
        <v>30</v>
      </c>
      <c r="BY8" s="385"/>
      <c r="BZ8" s="385"/>
      <c r="CA8" s="386"/>
      <c r="CB8" s="348" t="s">
        <v>31</v>
      </c>
      <c r="CC8" s="334" t="s">
        <v>32</v>
      </c>
      <c r="CD8" s="334" t="s">
        <v>33</v>
      </c>
      <c r="CH8" s="150"/>
      <c r="CI8" s="150"/>
    </row>
    <row r="9" spans="1:87" s="213" customFormat="1" ht="19.25" customHeight="1">
      <c r="A9" s="368"/>
      <c r="B9" s="338"/>
      <c r="C9" s="338"/>
      <c r="D9" s="338"/>
      <c r="E9" s="338"/>
      <c r="F9" s="338"/>
      <c r="G9" s="344"/>
      <c r="H9" s="368"/>
      <c r="I9" s="368"/>
      <c r="J9" s="361"/>
      <c r="K9" s="371" t="s">
        <v>34</v>
      </c>
      <c r="L9" s="371" t="s">
        <v>35</v>
      </c>
      <c r="M9" s="371" t="s">
        <v>36</v>
      </c>
      <c r="N9" s="371" t="s">
        <v>37</v>
      </c>
      <c r="O9" s="371" t="s">
        <v>38</v>
      </c>
      <c r="P9" s="371" t="s">
        <v>39</v>
      </c>
      <c r="Q9" s="371" t="s">
        <v>40</v>
      </c>
      <c r="R9" s="371" t="s">
        <v>41</v>
      </c>
      <c r="S9" s="371" t="s">
        <v>42</v>
      </c>
      <c r="T9" s="371" t="s">
        <v>43</v>
      </c>
      <c r="U9" s="371" t="s">
        <v>44</v>
      </c>
      <c r="V9" s="372" t="s">
        <v>45</v>
      </c>
      <c r="W9" s="347"/>
      <c r="X9" s="371" t="s">
        <v>46</v>
      </c>
      <c r="Y9" s="337" t="s">
        <v>154</v>
      </c>
      <c r="Z9" s="337" t="s">
        <v>48</v>
      </c>
      <c r="AA9" s="337" t="s">
        <v>49</v>
      </c>
      <c r="AB9" s="337" t="s">
        <v>50</v>
      </c>
      <c r="AC9" s="337" t="s">
        <v>51</v>
      </c>
      <c r="AD9" s="337" t="s">
        <v>52</v>
      </c>
      <c r="AE9" s="337" t="s">
        <v>53</v>
      </c>
      <c r="AF9" s="337" t="s">
        <v>54</v>
      </c>
      <c r="AG9" s="337" t="s">
        <v>55</v>
      </c>
      <c r="AH9" s="337" t="s">
        <v>56</v>
      </c>
      <c r="AI9" s="337" t="s">
        <v>57</v>
      </c>
      <c r="AJ9" s="362" t="s">
        <v>58</v>
      </c>
      <c r="AK9" s="340" t="s">
        <v>59</v>
      </c>
      <c r="AL9" s="343" t="s">
        <v>60</v>
      </c>
      <c r="AM9" s="337" t="s">
        <v>61</v>
      </c>
      <c r="AN9" s="353" t="s">
        <v>62</v>
      </c>
      <c r="AO9" s="353" t="s">
        <v>63</v>
      </c>
      <c r="AP9" s="361"/>
      <c r="AQ9" s="361"/>
      <c r="AR9" s="361"/>
      <c r="AS9" s="361"/>
      <c r="AT9" s="361"/>
      <c r="AU9" s="361"/>
      <c r="AV9" s="338"/>
      <c r="AW9" s="361"/>
      <c r="AX9" s="344"/>
      <c r="AY9" s="350" t="s">
        <v>25</v>
      </c>
      <c r="AZ9" s="351"/>
      <c r="BA9" s="351"/>
      <c r="BB9" s="351"/>
      <c r="BC9" s="351"/>
      <c r="BD9" s="351"/>
      <c r="BE9" s="351"/>
      <c r="BF9" s="351"/>
      <c r="BG9" s="351"/>
      <c r="BH9" s="351"/>
      <c r="BI9" s="351"/>
      <c r="BJ9" s="351"/>
      <c r="BK9" s="351"/>
      <c r="BL9" s="352"/>
      <c r="BM9" s="350" t="s">
        <v>64</v>
      </c>
      <c r="BN9" s="351"/>
      <c r="BO9" s="351"/>
      <c r="BP9" s="351"/>
      <c r="BQ9" s="352"/>
      <c r="BR9" s="370" t="s">
        <v>65</v>
      </c>
      <c r="BS9" s="370" t="s">
        <v>66</v>
      </c>
      <c r="BT9" s="338"/>
      <c r="BU9" s="341"/>
      <c r="BV9" s="3"/>
      <c r="BW9" s="394"/>
      <c r="BX9" s="387"/>
      <c r="BY9" s="388"/>
      <c r="BZ9" s="388"/>
      <c r="CA9" s="389"/>
      <c r="CB9" s="338"/>
      <c r="CC9" s="335"/>
      <c r="CD9" s="335"/>
      <c r="CH9" s="150"/>
      <c r="CI9" s="150"/>
    </row>
    <row r="10" spans="1:87" s="214" customFormat="1" ht="19.25" customHeight="1">
      <c r="A10" s="368"/>
      <c r="B10" s="338"/>
      <c r="C10" s="338"/>
      <c r="D10" s="338"/>
      <c r="E10" s="338"/>
      <c r="F10" s="338"/>
      <c r="G10" s="344"/>
      <c r="H10" s="368"/>
      <c r="I10" s="368"/>
      <c r="J10" s="361"/>
      <c r="K10" s="368"/>
      <c r="L10" s="368"/>
      <c r="M10" s="368"/>
      <c r="N10" s="368"/>
      <c r="O10" s="368"/>
      <c r="P10" s="368"/>
      <c r="Q10" s="368"/>
      <c r="R10" s="368"/>
      <c r="S10" s="368"/>
      <c r="T10" s="368"/>
      <c r="U10" s="368"/>
      <c r="V10" s="373"/>
      <c r="W10" s="374"/>
      <c r="X10" s="368"/>
      <c r="Y10" s="338"/>
      <c r="Z10" s="338"/>
      <c r="AA10" s="338"/>
      <c r="AB10" s="338"/>
      <c r="AC10" s="338"/>
      <c r="AD10" s="338"/>
      <c r="AE10" s="338"/>
      <c r="AF10" s="338"/>
      <c r="AG10" s="338"/>
      <c r="AH10" s="338"/>
      <c r="AI10" s="338"/>
      <c r="AJ10" s="344"/>
      <c r="AK10" s="341"/>
      <c r="AL10" s="344"/>
      <c r="AM10" s="338"/>
      <c r="AN10" s="338"/>
      <c r="AO10" s="338"/>
      <c r="AP10" s="361"/>
      <c r="AQ10" s="361"/>
      <c r="AR10" s="361"/>
      <c r="AS10" s="361"/>
      <c r="AT10" s="361"/>
      <c r="AU10" s="361"/>
      <c r="AV10" s="338"/>
      <c r="AW10" s="361"/>
      <c r="AX10" s="344"/>
      <c r="AY10" s="29" t="s">
        <v>67</v>
      </c>
      <c r="AZ10" s="29" t="s">
        <v>68</v>
      </c>
      <c r="BA10" s="29" t="s">
        <v>69</v>
      </c>
      <c r="BB10" s="382" t="s">
        <v>70</v>
      </c>
      <c r="BC10" s="364" t="s">
        <v>71</v>
      </c>
      <c r="BD10" s="364" t="s">
        <v>72</v>
      </c>
      <c r="BE10" s="359" t="s">
        <v>73</v>
      </c>
      <c r="BF10" s="359" t="s">
        <v>74</v>
      </c>
      <c r="BG10" s="396" t="s">
        <v>75</v>
      </c>
      <c r="BH10" s="364" t="s">
        <v>76</v>
      </c>
      <c r="BI10" s="375" t="s">
        <v>77</v>
      </c>
      <c r="BJ10" s="359" t="s">
        <v>78</v>
      </c>
      <c r="BK10" s="359" t="s">
        <v>79</v>
      </c>
      <c r="BL10" s="353" t="s">
        <v>80</v>
      </c>
      <c r="BM10" s="364" t="s">
        <v>81</v>
      </c>
      <c r="BN10" s="354" t="s">
        <v>82</v>
      </c>
      <c r="BO10" s="364" t="s">
        <v>83</v>
      </c>
      <c r="BP10" s="354" t="s">
        <v>84</v>
      </c>
      <c r="BQ10" s="354" t="s">
        <v>85</v>
      </c>
      <c r="BR10" s="368"/>
      <c r="BS10" s="368"/>
      <c r="BT10" s="338"/>
      <c r="BU10" s="341"/>
      <c r="BV10" s="3"/>
      <c r="BW10" s="394"/>
      <c r="BX10" s="390"/>
      <c r="BY10" s="391"/>
      <c r="BZ10" s="391"/>
      <c r="CA10" s="392"/>
      <c r="CB10" s="338"/>
      <c r="CC10" s="335"/>
      <c r="CD10" s="335"/>
      <c r="CE10" s="228" t="s">
        <v>3</v>
      </c>
      <c r="CH10" s="150"/>
      <c r="CI10" s="150"/>
    </row>
    <row r="11" spans="1:87" s="214" customFormat="1" ht="38.25" customHeight="1">
      <c r="A11" s="369"/>
      <c r="B11" s="339"/>
      <c r="C11" s="339"/>
      <c r="D11" s="339"/>
      <c r="E11" s="339"/>
      <c r="F11" s="339"/>
      <c r="G11" s="345"/>
      <c r="H11" s="369"/>
      <c r="I11" s="369"/>
      <c r="J11" s="355"/>
      <c r="K11" s="369"/>
      <c r="L11" s="369"/>
      <c r="M11" s="369"/>
      <c r="N11" s="369"/>
      <c r="O11" s="369"/>
      <c r="P11" s="369"/>
      <c r="Q11" s="369"/>
      <c r="R11" s="369"/>
      <c r="S11" s="369"/>
      <c r="T11" s="369"/>
      <c r="U11" s="369"/>
      <c r="V11" s="178" t="s">
        <v>86</v>
      </c>
      <c r="W11" s="178" t="s">
        <v>87</v>
      </c>
      <c r="X11" s="369"/>
      <c r="Y11" s="339"/>
      <c r="Z11" s="339"/>
      <c r="AA11" s="339"/>
      <c r="AB11" s="339"/>
      <c r="AC11" s="339"/>
      <c r="AD11" s="339"/>
      <c r="AE11" s="339"/>
      <c r="AF11" s="339"/>
      <c r="AG11" s="339"/>
      <c r="AH11" s="339"/>
      <c r="AI11" s="339"/>
      <c r="AJ11" s="345"/>
      <c r="AK11" s="342"/>
      <c r="AL11" s="345"/>
      <c r="AM11" s="339"/>
      <c r="AN11" s="339"/>
      <c r="AO11" s="339"/>
      <c r="AP11" s="355"/>
      <c r="AQ11" s="355"/>
      <c r="AR11" s="355"/>
      <c r="AS11" s="355"/>
      <c r="AT11" s="355"/>
      <c r="AU11" s="355"/>
      <c r="AV11" s="339"/>
      <c r="AW11" s="355"/>
      <c r="AX11" s="345"/>
      <c r="AY11" s="229" t="s">
        <v>88</v>
      </c>
      <c r="AZ11" s="229" t="s">
        <v>89</v>
      </c>
      <c r="BA11" s="229" t="s">
        <v>90</v>
      </c>
      <c r="BB11" s="339"/>
      <c r="BC11" s="355"/>
      <c r="BD11" s="355"/>
      <c r="BE11" s="339"/>
      <c r="BF11" s="339"/>
      <c r="BG11" s="369"/>
      <c r="BH11" s="355"/>
      <c r="BI11" s="376"/>
      <c r="BJ11" s="339"/>
      <c r="BK11" s="339"/>
      <c r="BL11" s="339"/>
      <c r="BM11" s="355"/>
      <c r="BN11" s="355"/>
      <c r="BO11" s="355"/>
      <c r="BP11" s="355"/>
      <c r="BQ11" s="355"/>
      <c r="BR11" s="369"/>
      <c r="BS11" s="369"/>
      <c r="BT11" s="339"/>
      <c r="BU11" s="342"/>
      <c r="BV11" s="3"/>
      <c r="BW11" s="395"/>
      <c r="BX11" s="237" t="s">
        <v>91</v>
      </c>
      <c r="BY11" s="237" t="s">
        <v>92</v>
      </c>
      <c r="BZ11" s="237" t="s">
        <v>93</v>
      </c>
      <c r="CA11" s="238" t="s">
        <v>94</v>
      </c>
      <c r="CB11" s="349"/>
      <c r="CC11" s="336"/>
      <c r="CD11" s="336"/>
      <c r="CE11" s="227">
        <v>26</v>
      </c>
      <c r="CF11" s="215"/>
      <c r="CH11" s="150"/>
      <c r="CI11" s="150"/>
    </row>
    <row r="12" spans="1:87" s="220" customFormat="1" ht="15" customHeight="1">
      <c r="A12" s="216">
        <v>1</v>
      </c>
      <c r="B12" s="217">
        <f>A12+1</f>
        <v>2</v>
      </c>
      <c r="C12" s="217">
        <f>B12+1</f>
        <v>3</v>
      </c>
      <c r="D12" s="217">
        <f>C12+1</f>
        <v>4</v>
      </c>
      <c r="E12" s="217"/>
      <c r="F12" s="217">
        <f>D12+1</f>
        <v>5</v>
      </c>
      <c r="G12" s="217">
        <f t="shared" ref="G12:AV12" si="0">F12+1</f>
        <v>6</v>
      </c>
      <c r="H12" s="217">
        <f t="shared" si="0"/>
        <v>7</v>
      </c>
      <c r="I12" s="217">
        <f t="shared" si="0"/>
        <v>8</v>
      </c>
      <c r="J12" s="217">
        <f t="shared" si="0"/>
        <v>9</v>
      </c>
      <c r="K12" s="217">
        <f t="shared" si="0"/>
        <v>10</v>
      </c>
      <c r="L12" s="217">
        <f t="shared" si="0"/>
        <v>11</v>
      </c>
      <c r="M12" s="217">
        <f t="shared" si="0"/>
        <v>12</v>
      </c>
      <c r="N12" s="217">
        <f t="shared" si="0"/>
        <v>13</v>
      </c>
      <c r="O12" s="217">
        <f t="shared" si="0"/>
        <v>14</v>
      </c>
      <c r="P12" s="217">
        <f t="shared" si="0"/>
        <v>15</v>
      </c>
      <c r="Q12" s="217">
        <f t="shared" si="0"/>
        <v>16</v>
      </c>
      <c r="R12" s="217">
        <f t="shared" si="0"/>
        <v>17</v>
      </c>
      <c r="S12" s="217">
        <f t="shared" si="0"/>
        <v>18</v>
      </c>
      <c r="T12" s="217">
        <f t="shared" si="0"/>
        <v>19</v>
      </c>
      <c r="U12" s="217">
        <f t="shared" si="0"/>
        <v>20</v>
      </c>
      <c r="V12" s="217">
        <f t="shared" si="0"/>
        <v>21</v>
      </c>
      <c r="W12" s="217">
        <f t="shared" si="0"/>
        <v>22</v>
      </c>
      <c r="X12" s="217">
        <f t="shared" si="0"/>
        <v>23</v>
      </c>
      <c r="Y12" s="217">
        <f t="shared" si="0"/>
        <v>24</v>
      </c>
      <c r="Z12" s="217">
        <f t="shared" si="0"/>
        <v>25</v>
      </c>
      <c r="AA12" s="217">
        <f t="shared" si="0"/>
        <v>26</v>
      </c>
      <c r="AB12" s="217">
        <f t="shared" si="0"/>
        <v>27</v>
      </c>
      <c r="AC12" s="217">
        <f t="shared" si="0"/>
        <v>28</v>
      </c>
      <c r="AD12" s="217">
        <f t="shared" si="0"/>
        <v>29</v>
      </c>
      <c r="AE12" s="217">
        <f t="shared" si="0"/>
        <v>30</v>
      </c>
      <c r="AF12" s="217">
        <f t="shared" si="0"/>
        <v>31</v>
      </c>
      <c r="AG12" s="217">
        <f t="shared" si="0"/>
        <v>32</v>
      </c>
      <c r="AH12" s="217">
        <f t="shared" si="0"/>
        <v>33</v>
      </c>
      <c r="AI12" s="217">
        <f t="shared" si="0"/>
        <v>34</v>
      </c>
      <c r="AJ12" s="217">
        <f t="shared" si="0"/>
        <v>35</v>
      </c>
      <c r="AK12" s="217">
        <f t="shared" si="0"/>
        <v>36</v>
      </c>
      <c r="AL12" s="217">
        <f t="shared" si="0"/>
        <v>37</v>
      </c>
      <c r="AM12" s="217">
        <f t="shared" si="0"/>
        <v>38</v>
      </c>
      <c r="AN12" s="217">
        <f t="shared" si="0"/>
        <v>39</v>
      </c>
      <c r="AO12" s="217">
        <f t="shared" si="0"/>
        <v>40</v>
      </c>
      <c r="AP12" s="217">
        <f t="shared" si="0"/>
        <v>41</v>
      </c>
      <c r="AQ12" s="217">
        <f t="shared" si="0"/>
        <v>42</v>
      </c>
      <c r="AR12" s="217">
        <f t="shared" si="0"/>
        <v>43</v>
      </c>
      <c r="AS12" s="217">
        <f t="shared" si="0"/>
        <v>44</v>
      </c>
      <c r="AT12" s="217">
        <f t="shared" si="0"/>
        <v>45</v>
      </c>
      <c r="AU12" s="217">
        <f t="shared" si="0"/>
        <v>46</v>
      </c>
      <c r="AV12" s="217">
        <f t="shared" si="0"/>
        <v>47</v>
      </c>
      <c r="AW12" s="217"/>
      <c r="AX12" s="217"/>
      <c r="AY12" s="217">
        <f>AV12+1</f>
        <v>48</v>
      </c>
      <c r="AZ12" s="217">
        <f t="shared" ref="AZ12:BE12" si="1">AY12+1</f>
        <v>49</v>
      </c>
      <c r="BA12" s="217">
        <f t="shared" si="1"/>
        <v>50</v>
      </c>
      <c r="BB12" s="217">
        <f t="shared" si="1"/>
        <v>51</v>
      </c>
      <c r="BC12" s="217">
        <f t="shared" si="1"/>
        <v>52</v>
      </c>
      <c r="BD12" s="217">
        <f t="shared" si="1"/>
        <v>53</v>
      </c>
      <c r="BE12" s="217">
        <f t="shared" si="1"/>
        <v>54</v>
      </c>
      <c r="BF12" s="217"/>
      <c r="BG12" s="217"/>
      <c r="BH12" s="217"/>
      <c r="BI12" s="217"/>
      <c r="BJ12" s="217"/>
      <c r="BK12" s="217"/>
      <c r="BL12" s="217">
        <f>BE12+1</f>
        <v>55</v>
      </c>
      <c r="BM12" s="217">
        <f t="shared" ref="BM12:BU12" si="2">BL12+1</f>
        <v>56</v>
      </c>
      <c r="BN12" s="217">
        <f t="shared" si="2"/>
        <v>57</v>
      </c>
      <c r="BO12" s="217">
        <f t="shared" si="2"/>
        <v>58</v>
      </c>
      <c r="BP12" s="217">
        <f t="shared" si="2"/>
        <v>59</v>
      </c>
      <c r="BQ12" s="217">
        <f t="shared" si="2"/>
        <v>60</v>
      </c>
      <c r="BR12" s="217">
        <f t="shared" si="2"/>
        <v>61</v>
      </c>
      <c r="BS12" s="217">
        <f t="shared" si="2"/>
        <v>62</v>
      </c>
      <c r="BT12" s="217">
        <f t="shared" si="2"/>
        <v>63</v>
      </c>
      <c r="BU12" s="217">
        <f t="shared" si="2"/>
        <v>64</v>
      </c>
      <c r="BV12" s="218"/>
      <c r="BW12" s="219" t="s">
        <v>95</v>
      </c>
      <c r="BX12" s="217">
        <f t="shared" ref="BX12:CD12" si="3">BW12+1</f>
        <v>66</v>
      </c>
      <c r="BY12" s="217">
        <f t="shared" si="3"/>
        <v>67</v>
      </c>
      <c r="BZ12" s="217">
        <f t="shared" si="3"/>
        <v>68</v>
      </c>
      <c r="CA12" s="217">
        <f t="shared" si="3"/>
        <v>69</v>
      </c>
      <c r="CB12" s="217">
        <f t="shared" si="3"/>
        <v>70</v>
      </c>
      <c r="CC12" s="217">
        <f t="shared" si="3"/>
        <v>71</v>
      </c>
      <c r="CD12" s="217">
        <f t="shared" si="3"/>
        <v>72</v>
      </c>
      <c r="CG12" s="214"/>
      <c r="CH12" s="150"/>
      <c r="CI12" s="150"/>
    </row>
    <row r="13" spans="1:87" s="220" customFormat="1" ht="15" customHeight="1">
      <c r="A13" s="216" t="s">
        <v>96</v>
      </c>
      <c r="B13" s="216" t="s">
        <v>96</v>
      </c>
      <c r="C13" s="216" t="s">
        <v>96</v>
      </c>
      <c r="D13" s="217"/>
      <c r="E13" s="217"/>
      <c r="F13" s="217"/>
      <c r="G13" s="216" t="s">
        <v>96</v>
      </c>
      <c r="H13" s="216" t="s">
        <v>96</v>
      </c>
      <c r="I13" s="216" t="s">
        <v>96</v>
      </c>
      <c r="J13" s="217"/>
      <c r="K13" s="217"/>
      <c r="L13" s="217"/>
      <c r="M13" s="217"/>
      <c r="N13" s="217"/>
      <c r="O13" s="217"/>
      <c r="P13" s="217"/>
      <c r="Q13" s="217"/>
      <c r="R13" s="217"/>
      <c r="S13" s="217"/>
      <c r="T13" s="217"/>
      <c r="U13" s="217"/>
      <c r="V13" s="217"/>
      <c r="W13" s="217"/>
      <c r="X13" s="217"/>
      <c r="Y13" s="217"/>
      <c r="Z13" s="217"/>
      <c r="AA13" s="217"/>
      <c r="AB13" s="217"/>
      <c r="AC13" s="217"/>
      <c r="AD13" s="217"/>
      <c r="AE13" s="217"/>
      <c r="AF13" s="217"/>
      <c r="AG13" s="217"/>
      <c r="AH13" s="217"/>
      <c r="AI13" s="217"/>
      <c r="AJ13" s="217"/>
      <c r="AK13" s="217"/>
      <c r="AL13" s="217"/>
      <c r="AM13" s="217"/>
      <c r="AN13" s="217"/>
      <c r="AO13" s="217"/>
      <c r="AP13" s="217"/>
      <c r="AQ13" s="217"/>
      <c r="AR13" s="217"/>
      <c r="AS13" s="217"/>
      <c r="AT13" s="217"/>
      <c r="AU13" s="217"/>
      <c r="AV13" s="217"/>
      <c r="AW13" s="217"/>
      <c r="AX13" s="217"/>
      <c r="AY13" s="217"/>
      <c r="AZ13" s="217"/>
      <c r="BA13" s="217"/>
      <c r="BB13" s="217"/>
      <c r="BC13" s="217"/>
      <c r="BD13" s="217"/>
      <c r="BE13" s="217"/>
      <c r="BF13" s="217"/>
      <c r="BG13" s="217"/>
      <c r="BH13" s="217"/>
      <c r="BI13" s="217"/>
      <c r="BJ13" s="217"/>
      <c r="BK13" s="217"/>
      <c r="BL13" s="217"/>
      <c r="BM13" s="217"/>
      <c r="BN13" s="217"/>
      <c r="BO13" s="217"/>
      <c r="BP13" s="217"/>
      <c r="BQ13" s="217"/>
      <c r="BR13" s="217"/>
      <c r="BS13" s="217"/>
      <c r="BT13" s="217"/>
      <c r="BU13" s="221"/>
      <c r="BV13" s="218"/>
      <c r="BW13" s="219"/>
      <c r="BX13" s="217"/>
      <c r="BY13" s="217"/>
      <c r="BZ13" s="217"/>
      <c r="CA13" s="217"/>
      <c r="CB13" s="217"/>
      <c r="CC13" s="217"/>
      <c r="CD13" s="217"/>
      <c r="CG13" s="214"/>
      <c r="CH13" s="150"/>
      <c r="CI13" s="150"/>
    </row>
    <row r="14" spans="1:87" s="165" customFormat="1" ht="21" customHeight="1">
      <c r="A14" s="153"/>
      <c r="B14" s="28"/>
      <c r="C14" s="28"/>
      <c r="D14" s="156"/>
      <c r="E14" s="156"/>
      <c r="F14" s="156"/>
      <c r="G14" s="28">
        <f>SUM(G15:G21)</f>
        <v>50340000</v>
      </c>
      <c r="H14" s="28">
        <f>SUM(H15:H21)</f>
        <v>300000</v>
      </c>
      <c r="I14" s="28">
        <f>SUM(I15:I21)</f>
        <v>186060000</v>
      </c>
      <c r="J14" s="28"/>
      <c r="K14" s="222">
        <f t="shared" ref="K14:S14" si="4">SUM(K15:K21)</f>
        <v>166</v>
      </c>
      <c r="L14" s="222">
        <f t="shared" si="4"/>
        <v>8</v>
      </c>
      <c r="M14" s="222">
        <f t="shared" si="4"/>
        <v>2</v>
      </c>
      <c r="N14" s="222">
        <f t="shared" si="4"/>
        <v>2</v>
      </c>
      <c r="O14" s="222">
        <f t="shared" si="4"/>
        <v>0</v>
      </c>
      <c r="P14" s="222">
        <f t="shared" si="4"/>
        <v>5</v>
      </c>
      <c r="Q14" s="222">
        <f t="shared" si="4"/>
        <v>2</v>
      </c>
      <c r="R14" s="222">
        <f t="shared" si="4"/>
        <v>0</v>
      </c>
      <c r="S14" s="222">
        <f t="shared" si="4"/>
        <v>2</v>
      </c>
      <c r="T14" s="222"/>
      <c r="U14" s="222">
        <f>SUM(U15:U21)</f>
        <v>2</v>
      </c>
      <c r="V14" s="222">
        <f>SUM(V15:V21)</f>
        <v>0</v>
      </c>
      <c r="W14" s="222">
        <f>SUM(W15:W21)</f>
        <v>0</v>
      </c>
      <c r="X14" s="222">
        <f>SUM(X15:X21)</f>
        <v>0</v>
      </c>
      <c r="Y14" s="28">
        <f>SUM(Y15:Y21)</f>
        <v>48340000</v>
      </c>
      <c r="Z14" s="28"/>
      <c r="AA14" s="28"/>
      <c r="AB14" s="28"/>
      <c r="AC14" s="28">
        <f>SUM(AC15:AC21)</f>
        <v>1828846.1538461538</v>
      </c>
      <c r="AD14" s="28">
        <f>SUM(AD15:AD21)</f>
        <v>975384.61538461538</v>
      </c>
      <c r="AE14" s="28"/>
      <c r="AF14" s="28">
        <f t="shared" ref="AF14:AO14" si="5">SUM(AF15:AF21)</f>
        <v>111923.07692307692</v>
      </c>
      <c r="AG14" s="28">
        <f t="shared" si="5"/>
        <v>0</v>
      </c>
      <c r="AH14" s="28">
        <f t="shared" si="5"/>
        <v>3246153.846153846</v>
      </c>
      <c r="AI14" s="28">
        <f t="shared" si="5"/>
        <v>0</v>
      </c>
      <c r="AJ14" s="28">
        <f t="shared" si="5"/>
        <v>0</v>
      </c>
      <c r="AK14" s="28">
        <f t="shared" si="5"/>
        <v>61538.461538461539</v>
      </c>
      <c r="AL14" s="28">
        <f t="shared" si="5"/>
        <v>0</v>
      </c>
      <c r="AM14" s="28">
        <f t="shared" si="5"/>
        <v>0</v>
      </c>
      <c r="AN14" s="28">
        <f t="shared" si="5"/>
        <v>300000</v>
      </c>
      <c r="AO14" s="28">
        <f t="shared" si="5"/>
        <v>185063076.92307696</v>
      </c>
      <c r="AP14" s="28"/>
      <c r="AQ14" s="28"/>
      <c r="AR14" s="28"/>
      <c r="AS14" s="28"/>
      <c r="AT14" s="28"/>
      <c r="AU14" s="28"/>
      <c r="AV14" s="28">
        <f>SUM(AV15:AV21)</f>
        <v>242266923.07692307</v>
      </c>
      <c r="AW14" s="28"/>
      <c r="AX14" s="28"/>
      <c r="AY14" s="28">
        <f>SUM(AY15:AY21)</f>
        <v>3544000</v>
      </c>
      <c r="AZ14" s="28">
        <f>SUM(AZ15:AZ21)</f>
        <v>664500</v>
      </c>
      <c r="BA14" s="28">
        <f>SUM(BA15:BA21)</f>
        <v>443000</v>
      </c>
      <c r="BB14" s="28">
        <f>SUM(BB15:BB21)</f>
        <v>4651500</v>
      </c>
      <c r="BC14" s="28">
        <f>SUM(BC15:BC21)</f>
        <v>0</v>
      </c>
      <c r="BD14" s="28"/>
      <c r="BE14" s="28">
        <f>SUM(BE15:BE21)</f>
        <v>503400</v>
      </c>
      <c r="BF14" s="28"/>
      <c r="BG14" s="28"/>
      <c r="BH14" s="28"/>
      <c r="BI14" s="28"/>
      <c r="BJ14" s="28"/>
      <c r="BK14" s="28"/>
      <c r="BL14" s="28">
        <f t="shared" ref="BL14:BQ14" si="6">SUM(BL15:BL21)</f>
        <v>10172184</v>
      </c>
      <c r="BM14" s="28">
        <f t="shared" si="6"/>
        <v>0</v>
      </c>
      <c r="BN14" s="28">
        <f t="shared" si="6"/>
        <v>0</v>
      </c>
      <c r="BO14" s="28">
        <f t="shared" si="6"/>
        <v>0</v>
      </c>
      <c r="BP14" s="28">
        <f t="shared" si="6"/>
        <v>0</v>
      </c>
      <c r="BQ14" s="28">
        <f t="shared" si="6"/>
        <v>0</v>
      </c>
      <c r="BR14" s="28"/>
      <c r="BS14" s="28"/>
      <c r="BT14" s="28">
        <f>SUM(BT15:BT21)</f>
        <v>92038615.384615406</v>
      </c>
      <c r="BU14" s="223">
        <f>SUM(BU15:BU21)</f>
        <v>134901223.69230768</v>
      </c>
      <c r="BV14" s="161"/>
      <c r="BW14" s="151"/>
      <c r="BX14" s="152"/>
      <c r="BY14" s="152"/>
      <c r="BZ14" s="152"/>
      <c r="CA14" s="152"/>
      <c r="CB14" s="152"/>
      <c r="CC14" s="152"/>
      <c r="CD14" s="152"/>
    </row>
    <row r="15" spans="1:87" s="165" customFormat="1" ht="30.5" customHeight="1">
      <c r="A15" s="179">
        <f>IF(B15=0,"",COUNTA($B$15:(B15)))</f>
        <v>1</v>
      </c>
      <c r="B15" s="180">
        <v>2405236</v>
      </c>
      <c r="C15" s="181" t="s">
        <v>97</v>
      </c>
      <c r="D15" s="182" t="s">
        <v>98</v>
      </c>
      <c r="E15" s="183" t="s">
        <v>99</v>
      </c>
      <c r="F15" s="183" t="s">
        <v>100</v>
      </c>
      <c r="G15" s="184">
        <v>9520000</v>
      </c>
      <c r="H15" s="184">
        <f t="shared" ref="H15:H21" si="7">+IF(OR(CC15="ĐT PCCC",CC15="ĐP PCCC"),780000,IF(CC15="AT-VSV",300000,0))</f>
        <v>0</v>
      </c>
      <c r="I15" s="184">
        <f t="shared" ref="I15:I21" si="8">CB15-BZ15-G15-H15</f>
        <v>53480000</v>
      </c>
      <c r="J15" s="185">
        <v>1</v>
      </c>
      <c r="K15" s="186">
        <v>26</v>
      </c>
      <c r="L15" s="186">
        <v>0</v>
      </c>
      <c r="M15" s="186">
        <v>0</v>
      </c>
      <c r="N15" s="186">
        <v>0</v>
      </c>
      <c r="O15" s="186">
        <v>0</v>
      </c>
      <c r="P15" s="186">
        <v>0</v>
      </c>
      <c r="Q15" s="186">
        <v>0</v>
      </c>
      <c r="R15" s="186">
        <v>0</v>
      </c>
      <c r="S15" s="186">
        <v>0</v>
      </c>
      <c r="T15" s="186"/>
      <c r="U15" s="186">
        <v>0</v>
      </c>
      <c r="V15" s="186">
        <v>0</v>
      </c>
      <c r="W15" s="186">
        <v>0</v>
      </c>
      <c r="X15" s="186">
        <v>0</v>
      </c>
      <c r="Y15" s="184">
        <f t="shared" ref="Y15:Y21" si="9">G15*(K15+L15)/26</f>
        <v>9520000</v>
      </c>
      <c r="Z15" s="184">
        <f t="shared" ref="Z15:Z21" si="10">M15*G15/26</f>
        <v>0</v>
      </c>
      <c r="AA15" s="184">
        <f t="shared" ref="AA15:AA21" si="11">G15*N15/26</f>
        <v>0</v>
      </c>
      <c r="AB15" s="184">
        <f t="shared" ref="AB15:AB21" si="12">G15*O15/26</f>
        <v>0</v>
      </c>
      <c r="AC15" s="184">
        <f t="shared" ref="AC15:AC21" si="13">G15*P15*150%/26</f>
        <v>0</v>
      </c>
      <c r="AD15" s="184">
        <f t="shared" ref="AD15:AD21" si="14">G15*Q15/26*200%</f>
        <v>0</v>
      </c>
      <c r="AE15" s="184">
        <f t="shared" ref="AE15:AE21" si="15">G15*R15/26*300%</f>
        <v>0</v>
      </c>
      <c r="AF15" s="184">
        <f>ROUND((G15+H15)/26*S15*30%,0)</f>
        <v>0</v>
      </c>
      <c r="AG15" s="184">
        <f t="shared" ref="AG15:AG21" si="16">T15*G15/26/8</f>
        <v>0</v>
      </c>
      <c r="AH15" s="184">
        <f t="shared" ref="AH15:AH21" si="17">CB15/26*U15</f>
        <v>0</v>
      </c>
      <c r="AI15" s="184">
        <f t="shared" ref="AI15:AI21" si="18">G15*V15/26</f>
        <v>0</v>
      </c>
      <c r="AJ15" s="184"/>
      <c r="AK15" s="184">
        <f t="shared" ref="AK15:AK21" si="19">BZ15*L15/26</f>
        <v>0</v>
      </c>
      <c r="AL15" s="184"/>
      <c r="AM15" s="184">
        <f t="shared" ref="AM15:AM21" si="20">X15*CD15</f>
        <v>0</v>
      </c>
      <c r="AN15" s="184">
        <f>H15/26*(K15+L15)</f>
        <v>0</v>
      </c>
      <c r="AO15" s="184">
        <f t="shared" ref="AO15:AO21" si="21">IF(F15="LN",I15*(K15+L15)/26+(H15+I15)*50%*M15/26+MAX($G15*P15/26*150%,P15*$BW15/26)-AC15+MAX($G15*Q15/26*200%,Q15*$BW15/26)-AD15+MAX($G15*R15/26*300%,R15*$BW15/26)-AE15+BW15*S15/26-AF15+AH15-AG15,I15-I15*($CE$11-K15-L15)/26+(H15+I15)*50%*M15/26+BW15*O15/26-AB15+MAX($G15*P15/26*150%,P15*$BW15/26)-AC15+MAX($G15*Q15/26*200%,Q15*$BW15/26)-AD15+MAX($G15*R15/26*300%,R15*$BW15/26)-AE15+BW15*S15/26-AF15+AH15-AG15+(G15-G15*($CE$11-K15-L15)/26-Y15)+(H15-H15*($CE$11-K15-L15)/26-AN15))</f>
        <v>53480000</v>
      </c>
      <c r="AP15" s="184"/>
      <c r="AQ15" s="184"/>
      <c r="AR15" s="184">
        <v>1000000</v>
      </c>
      <c r="AS15" s="184"/>
      <c r="AT15" s="184"/>
      <c r="AU15" s="184"/>
      <c r="AV15" s="184">
        <f t="shared" ref="AV15:AV21" si="22">Y15+Z15+AA15+AB15+AC15+AD15+AE15+AF15+AG15+AI15+AJ15+AK15+AL15+AM15+AN15+AO15+AP15-AQ15+AR15+AS15+AT15+AU15</f>
        <v>64000000</v>
      </c>
      <c r="AW15" s="184"/>
      <c r="AX15" s="184" t="str">
        <f t="shared" ref="AX15:AX21" si="23">IF(E15="CT","x",0)</f>
        <v>x</v>
      </c>
      <c r="AY15" s="187">
        <f t="shared" ref="AY15:BA21" si="24">ROUND(IF($AX15="x",($G15+$H15)*AY$11,0),0)</f>
        <v>761600</v>
      </c>
      <c r="AZ15" s="187">
        <f t="shared" si="24"/>
        <v>142800</v>
      </c>
      <c r="BA15" s="187">
        <f t="shared" si="24"/>
        <v>95200</v>
      </c>
      <c r="BB15" s="187">
        <f t="shared" ref="BB15:BB21" si="25">SUM(AY15:BA15)</f>
        <v>999600</v>
      </c>
      <c r="BC15" s="187"/>
      <c r="BD15" s="187"/>
      <c r="BE15" s="187">
        <f t="shared" ref="BE15:BE21" si="26">IF(G15*1%&gt;=234000,234000,G15*1%)</f>
        <v>95200</v>
      </c>
      <c r="BF15" s="187">
        <f>AM15+IF(E15="CT",IF(AR15&gt;=730000,730000,AR15),0)+IF(((AV15-AM15-IF(AR15&gt;=730000,730000,AR15)-AS15)*15%-AS15)&gt;0,((AV15-AM15-IF(AR15&gt;=730000,730000,AR15)-AS15)*15%-AS15),0)</f>
        <v>10220500</v>
      </c>
      <c r="BG15" s="187">
        <f t="shared" ref="BG15:BG21" si="27">AV15-BF15+AW15</f>
        <v>53779500</v>
      </c>
      <c r="BH15" s="187">
        <v>3</v>
      </c>
      <c r="BI15" s="187">
        <v>6200000</v>
      </c>
      <c r="BJ15" s="187">
        <f>IF(E15="CT",15500000,0)</f>
        <v>15500000</v>
      </c>
      <c r="BK15" s="187">
        <f t="shared" ref="BK15:BK21" si="28">BG15-BB15-BC15+BD15-BH15*BI15-BJ15</f>
        <v>18679900</v>
      </c>
      <c r="BL15" s="188">
        <f t="shared" ref="BL15:BL21" si="29">IF(E15="TV",BK15*10%,IF(BK15&gt;0,ROUND(IF(BK15&gt;=80000000,BK15*35%-9850000,IF(BK15&gt;=52000000,BK15*30%-5850000,IF(BK15&gt;=32000000,BK15*25%-3250000,IF(BK15&gt;=18000000,BK15*20%-1650000,IF(BK15&gt;=10000000,BK15*15%-750000,IF(BK15&gt;5000000,BK15*10%-250000,BK15*5%)))))),0),0))</f>
        <v>2085980</v>
      </c>
      <c r="BM15" s="187"/>
      <c r="BN15" s="187"/>
      <c r="BO15" s="187">
        <v>0</v>
      </c>
      <c r="BP15" s="187"/>
      <c r="BQ15" s="187"/>
      <c r="BR15" s="187"/>
      <c r="BS15" s="187"/>
      <c r="BT15" s="172">
        <v>25846153.846153852</v>
      </c>
      <c r="BU15" s="189">
        <f t="shared" ref="BU15:BU21" si="30">AV15-BB15-BC15+BD15-BE15-BL15-BM15-BN15-BO15-BP15-BQ15-BR15+BS15-BT15</f>
        <v>34973066.153846145</v>
      </c>
      <c r="BV15" s="161"/>
      <c r="BW15" s="190">
        <v>60000000</v>
      </c>
      <c r="BX15" s="188">
        <v>0</v>
      </c>
      <c r="BY15" s="188"/>
      <c r="BZ15" s="188">
        <v>200000</v>
      </c>
      <c r="CA15" s="188">
        <f t="shared" ref="CA15:CA21" si="31">+BW15*5%</f>
        <v>3000000</v>
      </c>
      <c r="CB15" s="188">
        <f t="shared" ref="CB15:CB21" si="32">SUM(BW15:CA15)</f>
        <v>63200000</v>
      </c>
      <c r="CC15" s="188"/>
      <c r="CD15" s="188"/>
      <c r="CE15" s="162"/>
      <c r="CF15" s="163"/>
      <c r="CG15" s="163"/>
      <c r="CH15" s="164"/>
      <c r="CI15" s="164"/>
    </row>
    <row r="16" spans="1:87" s="165" customFormat="1" ht="30.5" customHeight="1">
      <c r="A16" s="153">
        <f>IF(B16=0,"",COUNTA($B$15:(B16)))</f>
        <v>2</v>
      </c>
      <c r="B16" s="154">
        <v>2106723</v>
      </c>
      <c r="C16" s="155" t="s">
        <v>102</v>
      </c>
      <c r="D16" s="156" t="s">
        <v>103</v>
      </c>
      <c r="E16" s="157" t="s">
        <v>99</v>
      </c>
      <c r="F16" s="157" t="s">
        <v>100</v>
      </c>
      <c r="G16" s="28">
        <v>8480000</v>
      </c>
      <c r="H16" s="28">
        <f t="shared" si="7"/>
        <v>0</v>
      </c>
      <c r="I16" s="28">
        <f t="shared" si="8"/>
        <v>43520000</v>
      </c>
      <c r="J16" s="27">
        <v>1</v>
      </c>
      <c r="K16" s="158">
        <v>19</v>
      </c>
      <c r="L16" s="158">
        <v>5</v>
      </c>
      <c r="M16" s="158">
        <v>0</v>
      </c>
      <c r="N16" s="158">
        <v>0</v>
      </c>
      <c r="O16" s="158">
        <v>0</v>
      </c>
      <c r="P16" s="158">
        <v>0</v>
      </c>
      <c r="Q16" s="158">
        <v>0</v>
      </c>
      <c r="R16" s="158">
        <v>0</v>
      </c>
      <c r="S16" s="158">
        <v>0</v>
      </c>
      <c r="T16" s="158"/>
      <c r="U16" s="158">
        <v>0</v>
      </c>
      <c r="V16" s="158">
        <v>0</v>
      </c>
      <c r="W16" s="158">
        <v>0</v>
      </c>
      <c r="X16" s="158">
        <v>0</v>
      </c>
      <c r="Y16" s="28">
        <f t="shared" si="9"/>
        <v>7827692.307692308</v>
      </c>
      <c r="Z16" s="28">
        <f t="shared" si="10"/>
        <v>0</v>
      </c>
      <c r="AA16" s="28">
        <f t="shared" si="11"/>
        <v>0</v>
      </c>
      <c r="AB16" s="28">
        <f t="shared" si="12"/>
        <v>0</v>
      </c>
      <c r="AC16" s="28">
        <f t="shared" si="13"/>
        <v>0</v>
      </c>
      <c r="AD16" s="28">
        <f t="shared" si="14"/>
        <v>0</v>
      </c>
      <c r="AE16" s="28">
        <f t="shared" si="15"/>
        <v>0</v>
      </c>
      <c r="AF16" s="28">
        <f>ROUND((G16+H16)/26*S16*30%,0)</f>
        <v>0</v>
      </c>
      <c r="AG16" s="28">
        <f t="shared" si="16"/>
        <v>0</v>
      </c>
      <c r="AH16" s="28">
        <f t="shared" si="17"/>
        <v>0</v>
      </c>
      <c r="AI16" s="28">
        <f t="shared" si="18"/>
        <v>0</v>
      </c>
      <c r="AJ16" s="28"/>
      <c r="AK16" s="28">
        <f t="shared" si="19"/>
        <v>38461.538461538461</v>
      </c>
      <c r="AL16" s="28"/>
      <c r="AM16" s="28">
        <f t="shared" si="20"/>
        <v>0</v>
      </c>
      <c r="AN16" s="28">
        <f t="shared" ref="AN16:AN21" si="33">H16/26*K16</f>
        <v>0</v>
      </c>
      <c r="AO16" s="28">
        <f t="shared" si="21"/>
        <v>40172307.692307696</v>
      </c>
      <c r="AP16" s="28"/>
      <c r="AQ16" s="28"/>
      <c r="AR16" s="28">
        <v>720000</v>
      </c>
      <c r="AS16" s="28"/>
      <c r="AT16" s="28"/>
      <c r="AU16" s="28"/>
      <c r="AV16" s="28">
        <f t="shared" si="22"/>
        <v>48758461.538461544</v>
      </c>
      <c r="AW16" s="28"/>
      <c r="AX16" s="28" t="str">
        <f t="shared" si="23"/>
        <v>x</v>
      </c>
      <c r="AY16" s="159">
        <f t="shared" si="24"/>
        <v>678400</v>
      </c>
      <c r="AZ16" s="159">
        <f t="shared" si="24"/>
        <v>127200</v>
      </c>
      <c r="BA16" s="159">
        <f t="shared" si="24"/>
        <v>84800</v>
      </c>
      <c r="BB16" s="159">
        <f t="shared" si="25"/>
        <v>890400</v>
      </c>
      <c r="BC16" s="159"/>
      <c r="BD16" s="159"/>
      <c r="BE16" s="159">
        <f t="shared" si="26"/>
        <v>84800</v>
      </c>
      <c r="BF16" s="159">
        <f t="shared" ref="BF16:BF21" si="34">AM16+IF(E16="CT",IF(AR16&gt;=730000,730000,AR16),0)+IF(((AV16-AM16-IF(AR16&gt;=730000,730000,AR16)-AS16)*15%-AS16)&gt;0,((AV16-AM16-IF(AR16&gt;=730000,730000,AR16)-AS16)*15%-AS16),0)</f>
        <v>7925769.230769231</v>
      </c>
      <c r="BG16" s="159">
        <f t="shared" si="27"/>
        <v>40832692.307692312</v>
      </c>
      <c r="BH16" s="159"/>
      <c r="BI16" s="187">
        <v>6200000</v>
      </c>
      <c r="BJ16" s="159">
        <f t="shared" ref="BJ16:BJ21" si="35">IF(E16="CT",15500000,0)</f>
        <v>15500000</v>
      </c>
      <c r="BK16" s="159">
        <f t="shared" si="28"/>
        <v>24442292.307692312</v>
      </c>
      <c r="BL16" s="152">
        <f t="shared" si="29"/>
        <v>3238458</v>
      </c>
      <c r="BM16" s="159"/>
      <c r="BN16" s="159"/>
      <c r="BO16" s="159">
        <v>0</v>
      </c>
      <c r="BP16" s="159"/>
      <c r="BQ16" s="159"/>
      <c r="BR16" s="159"/>
      <c r="BS16" s="159"/>
      <c r="BT16" s="172">
        <v>0</v>
      </c>
      <c r="BU16" s="160">
        <f t="shared" si="30"/>
        <v>44544803.538461544</v>
      </c>
      <c r="BV16" s="161"/>
      <c r="BW16" s="151">
        <v>40000000</v>
      </c>
      <c r="BX16" s="152">
        <v>5000000</v>
      </c>
      <c r="BY16" s="152">
        <v>5000000</v>
      </c>
      <c r="BZ16" s="152">
        <v>200000</v>
      </c>
      <c r="CA16" s="152">
        <f t="shared" si="31"/>
        <v>2000000</v>
      </c>
      <c r="CB16" s="152">
        <f t="shared" si="32"/>
        <v>52200000</v>
      </c>
      <c r="CC16" s="152"/>
      <c r="CD16" s="152"/>
      <c r="CE16" s="162"/>
      <c r="CF16" s="163"/>
      <c r="CG16" s="163"/>
      <c r="CH16" s="164"/>
      <c r="CI16" s="164"/>
    </row>
    <row r="17" spans="1:87" s="165" customFormat="1" ht="30.5" customHeight="1">
      <c r="A17" s="153">
        <f>IF(B17=0,"",COUNTA($B$15:(B17)))</f>
        <v>3</v>
      </c>
      <c r="B17" s="166" t="s">
        <v>104</v>
      </c>
      <c r="C17" s="155" t="s">
        <v>105</v>
      </c>
      <c r="D17" s="156" t="s">
        <v>106</v>
      </c>
      <c r="E17" s="157" t="s">
        <v>99</v>
      </c>
      <c r="F17" s="157" t="s">
        <v>100</v>
      </c>
      <c r="G17" s="28">
        <v>7820000</v>
      </c>
      <c r="H17" s="28">
        <f t="shared" si="7"/>
        <v>0</v>
      </c>
      <c r="I17" s="28">
        <f t="shared" si="8"/>
        <v>34180000</v>
      </c>
      <c r="J17" s="27">
        <v>1</v>
      </c>
      <c r="K17" s="158">
        <v>24</v>
      </c>
      <c r="L17" s="158">
        <v>0</v>
      </c>
      <c r="M17" s="158">
        <v>0</v>
      </c>
      <c r="N17" s="158">
        <v>0</v>
      </c>
      <c r="O17" s="158">
        <v>0</v>
      </c>
      <c r="P17" s="158">
        <v>0</v>
      </c>
      <c r="Q17" s="158">
        <v>0</v>
      </c>
      <c r="R17" s="158">
        <v>0</v>
      </c>
      <c r="S17" s="158">
        <v>0</v>
      </c>
      <c r="T17" s="158"/>
      <c r="U17" s="158">
        <v>2</v>
      </c>
      <c r="V17" s="158">
        <v>0</v>
      </c>
      <c r="W17" s="158">
        <v>0</v>
      </c>
      <c r="X17" s="158">
        <v>0</v>
      </c>
      <c r="Y17" s="28">
        <f t="shared" si="9"/>
        <v>7218461.538461538</v>
      </c>
      <c r="Z17" s="28">
        <f t="shared" si="10"/>
        <v>0</v>
      </c>
      <c r="AA17" s="28">
        <f t="shared" si="11"/>
        <v>0</v>
      </c>
      <c r="AB17" s="28">
        <f t="shared" si="12"/>
        <v>0</v>
      </c>
      <c r="AC17" s="28">
        <f t="shared" si="13"/>
        <v>0</v>
      </c>
      <c r="AD17" s="28">
        <f t="shared" si="14"/>
        <v>0</v>
      </c>
      <c r="AE17" s="28">
        <f t="shared" si="15"/>
        <v>0</v>
      </c>
      <c r="AF17" s="28">
        <f>IF(F17="LN",(G17+H17)/26*S17*30%,0)</f>
        <v>0</v>
      </c>
      <c r="AG17" s="28">
        <f t="shared" si="16"/>
        <v>0</v>
      </c>
      <c r="AH17" s="28">
        <f t="shared" si="17"/>
        <v>3246153.846153846</v>
      </c>
      <c r="AI17" s="28">
        <f t="shared" si="18"/>
        <v>0</v>
      </c>
      <c r="AJ17" s="28"/>
      <c r="AK17" s="28">
        <f t="shared" si="19"/>
        <v>0</v>
      </c>
      <c r="AL17" s="28"/>
      <c r="AM17" s="28">
        <f t="shared" si="20"/>
        <v>0</v>
      </c>
      <c r="AN17" s="28">
        <f t="shared" si="33"/>
        <v>0</v>
      </c>
      <c r="AO17" s="28">
        <f t="shared" si="21"/>
        <v>34796923.07692308</v>
      </c>
      <c r="AP17" s="28"/>
      <c r="AQ17" s="28"/>
      <c r="AR17" s="28">
        <v>560000</v>
      </c>
      <c r="AS17" s="28"/>
      <c r="AT17" s="28"/>
      <c r="AU17" s="28"/>
      <c r="AV17" s="28">
        <f t="shared" si="22"/>
        <v>42575384.615384616</v>
      </c>
      <c r="AW17" s="28"/>
      <c r="AX17" s="28" t="str">
        <f t="shared" si="23"/>
        <v>x</v>
      </c>
      <c r="AY17" s="159">
        <f t="shared" si="24"/>
        <v>625600</v>
      </c>
      <c r="AZ17" s="159">
        <f t="shared" si="24"/>
        <v>117300</v>
      </c>
      <c r="BA17" s="159">
        <f t="shared" si="24"/>
        <v>78200</v>
      </c>
      <c r="BB17" s="159">
        <f t="shared" si="25"/>
        <v>821100</v>
      </c>
      <c r="BC17" s="159"/>
      <c r="BD17" s="159"/>
      <c r="BE17" s="159">
        <f t="shared" si="26"/>
        <v>78200</v>
      </c>
      <c r="BF17" s="159">
        <f t="shared" si="34"/>
        <v>6862307.692307692</v>
      </c>
      <c r="BG17" s="159">
        <f t="shared" si="27"/>
        <v>35713076.923076928</v>
      </c>
      <c r="BH17" s="159"/>
      <c r="BI17" s="187">
        <v>6200000</v>
      </c>
      <c r="BJ17" s="159">
        <f t="shared" si="35"/>
        <v>15500000</v>
      </c>
      <c r="BK17" s="159">
        <f t="shared" si="28"/>
        <v>19391976.923076928</v>
      </c>
      <c r="BL17" s="152">
        <f t="shared" si="29"/>
        <v>2228395</v>
      </c>
      <c r="BM17" s="159"/>
      <c r="BN17" s="159"/>
      <c r="BO17" s="159">
        <v>0</v>
      </c>
      <c r="BP17" s="159"/>
      <c r="BQ17" s="159"/>
      <c r="BR17" s="159"/>
      <c r="BS17" s="159"/>
      <c r="BT17" s="172">
        <v>25846153.846153852</v>
      </c>
      <c r="BU17" s="160">
        <f t="shared" si="30"/>
        <v>13601535.769230764</v>
      </c>
      <c r="BV17" s="161"/>
      <c r="BW17" s="151">
        <v>40000000</v>
      </c>
      <c r="BX17" s="152">
        <v>0</v>
      </c>
      <c r="BY17" s="152">
        <v>0</v>
      </c>
      <c r="BZ17" s="152">
        <v>200000</v>
      </c>
      <c r="CA17" s="152">
        <f t="shared" si="31"/>
        <v>2000000</v>
      </c>
      <c r="CB17" s="152">
        <f t="shared" si="32"/>
        <v>42200000</v>
      </c>
      <c r="CC17" s="152"/>
      <c r="CD17" s="152"/>
      <c r="CE17" s="162"/>
      <c r="CF17" s="163"/>
      <c r="CG17" s="163"/>
      <c r="CH17" s="164"/>
      <c r="CI17" s="164"/>
    </row>
    <row r="18" spans="1:87" s="165" customFormat="1" ht="30.5" customHeight="1">
      <c r="A18" s="153">
        <f>IF(B18=0,"",COUNTA($B$15:(B18)))</f>
        <v>4</v>
      </c>
      <c r="B18" s="154">
        <v>2406198</v>
      </c>
      <c r="C18" s="155" t="s">
        <v>107</v>
      </c>
      <c r="D18" s="156" t="s">
        <v>98</v>
      </c>
      <c r="E18" s="157" t="s">
        <v>99</v>
      </c>
      <c r="F18" s="157" t="s">
        <v>100</v>
      </c>
      <c r="G18" s="28">
        <v>6990000</v>
      </c>
      <c r="H18" s="28">
        <f t="shared" si="7"/>
        <v>0</v>
      </c>
      <c r="I18" s="28">
        <f t="shared" si="8"/>
        <v>19160000</v>
      </c>
      <c r="J18" s="27">
        <v>1</v>
      </c>
      <c r="K18" s="158">
        <v>23</v>
      </c>
      <c r="L18" s="158">
        <v>3</v>
      </c>
      <c r="M18" s="158">
        <v>0</v>
      </c>
      <c r="N18" s="158">
        <v>0</v>
      </c>
      <c r="O18" s="158">
        <v>0</v>
      </c>
      <c r="P18" s="158">
        <v>0</v>
      </c>
      <c r="Q18" s="158">
        <v>0</v>
      </c>
      <c r="R18" s="158">
        <v>0</v>
      </c>
      <c r="S18" s="158">
        <v>0</v>
      </c>
      <c r="T18" s="158"/>
      <c r="U18" s="158">
        <v>0</v>
      </c>
      <c r="V18" s="158">
        <v>0</v>
      </c>
      <c r="W18" s="158">
        <v>0</v>
      </c>
      <c r="X18" s="158">
        <v>0</v>
      </c>
      <c r="Y18" s="28">
        <f t="shared" si="9"/>
        <v>6990000</v>
      </c>
      <c r="Z18" s="28">
        <f t="shared" si="10"/>
        <v>0</v>
      </c>
      <c r="AA18" s="28">
        <f t="shared" si="11"/>
        <v>0</v>
      </c>
      <c r="AB18" s="28">
        <f t="shared" si="12"/>
        <v>0</v>
      </c>
      <c r="AC18" s="28">
        <f t="shared" si="13"/>
        <v>0</v>
      </c>
      <c r="AD18" s="28">
        <f t="shared" si="14"/>
        <v>0</v>
      </c>
      <c r="AE18" s="28">
        <f t="shared" si="15"/>
        <v>0</v>
      </c>
      <c r="AF18" s="28">
        <f>ROUND((G18+H18)/26*S18*30%,0)</f>
        <v>0</v>
      </c>
      <c r="AG18" s="28">
        <f t="shared" si="16"/>
        <v>0</v>
      </c>
      <c r="AH18" s="28">
        <f t="shared" si="17"/>
        <v>0</v>
      </c>
      <c r="AI18" s="28">
        <f t="shared" si="18"/>
        <v>0</v>
      </c>
      <c r="AJ18" s="28"/>
      <c r="AK18" s="28">
        <f t="shared" si="19"/>
        <v>23076.923076923078</v>
      </c>
      <c r="AL18" s="28"/>
      <c r="AM18" s="28">
        <f t="shared" si="20"/>
        <v>0</v>
      </c>
      <c r="AN18" s="28">
        <f t="shared" si="33"/>
        <v>0</v>
      </c>
      <c r="AO18" s="28">
        <f t="shared" si="21"/>
        <v>19160000</v>
      </c>
      <c r="AP18" s="28"/>
      <c r="AQ18" s="28"/>
      <c r="AR18" s="28">
        <v>720000</v>
      </c>
      <c r="AS18" s="28"/>
      <c r="AT18" s="28"/>
      <c r="AU18" s="28"/>
      <c r="AV18" s="28">
        <f t="shared" si="22"/>
        <v>26893076.923076924</v>
      </c>
      <c r="AW18" s="28"/>
      <c r="AX18" s="28" t="str">
        <f t="shared" si="23"/>
        <v>x</v>
      </c>
      <c r="AY18" s="159">
        <f t="shared" si="24"/>
        <v>559200</v>
      </c>
      <c r="AZ18" s="159">
        <f t="shared" si="24"/>
        <v>104850</v>
      </c>
      <c r="BA18" s="159">
        <f t="shared" si="24"/>
        <v>69900</v>
      </c>
      <c r="BB18" s="159">
        <f t="shared" si="25"/>
        <v>733950</v>
      </c>
      <c r="BC18" s="159"/>
      <c r="BD18" s="159"/>
      <c r="BE18" s="159">
        <f t="shared" si="26"/>
        <v>69900</v>
      </c>
      <c r="BF18" s="159">
        <f t="shared" si="34"/>
        <v>4645961.538461538</v>
      </c>
      <c r="BG18" s="159">
        <f t="shared" si="27"/>
        <v>22247115.384615384</v>
      </c>
      <c r="BH18" s="159"/>
      <c r="BI18" s="187">
        <v>6200000</v>
      </c>
      <c r="BJ18" s="159">
        <f t="shared" si="35"/>
        <v>15500000</v>
      </c>
      <c r="BK18" s="159">
        <f t="shared" si="28"/>
        <v>6013165.384615384</v>
      </c>
      <c r="BL18" s="152">
        <f t="shared" si="29"/>
        <v>351317</v>
      </c>
      <c r="BM18" s="159"/>
      <c r="BN18" s="159"/>
      <c r="BO18" s="159">
        <v>0</v>
      </c>
      <c r="BP18" s="159"/>
      <c r="BQ18" s="159"/>
      <c r="BR18" s="159"/>
      <c r="BS18" s="159"/>
      <c r="BT18" s="172">
        <v>10195307.692307694</v>
      </c>
      <c r="BU18" s="160">
        <f t="shared" si="30"/>
        <v>15542602.23076923</v>
      </c>
      <c r="BV18" s="161"/>
      <c r="BW18" s="151">
        <v>23000000</v>
      </c>
      <c r="BX18" s="152">
        <v>0</v>
      </c>
      <c r="BY18" s="152">
        <v>2000000</v>
      </c>
      <c r="BZ18" s="152">
        <v>200000</v>
      </c>
      <c r="CA18" s="152">
        <f t="shared" si="31"/>
        <v>1150000</v>
      </c>
      <c r="CB18" s="152">
        <f t="shared" si="32"/>
        <v>26350000</v>
      </c>
      <c r="CC18" s="152"/>
      <c r="CD18" s="152"/>
      <c r="CE18" s="162"/>
      <c r="CF18" s="163"/>
      <c r="CG18" s="163"/>
      <c r="CH18" s="164"/>
      <c r="CI18" s="164"/>
    </row>
    <row r="19" spans="1:87" s="165" customFormat="1" ht="30.5" customHeight="1">
      <c r="A19" s="153">
        <f>IF(B19=0,"",COUNTA($B$15:(B19)))</f>
        <v>5</v>
      </c>
      <c r="B19" s="166" t="s">
        <v>108</v>
      </c>
      <c r="C19" s="155" t="s">
        <v>109</v>
      </c>
      <c r="D19" s="156" t="s">
        <v>110</v>
      </c>
      <c r="E19" s="157" t="s">
        <v>99</v>
      </c>
      <c r="F19" s="157" t="s">
        <v>111</v>
      </c>
      <c r="G19" s="28">
        <v>4850000</v>
      </c>
      <c r="H19" s="28">
        <f t="shared" si="7"/>
        <v>0</v>
      </c>
      <c r="I19" s="28">
        <f t="shared" si="8"/>
        <v>6700000</v>
      </c>
      <c r="J19" s="27">
        <v>1</v>
      </c>
      <c r="K19" s="158">
        <v>22</v>
      </c>
      <c r="L19" s="158">
        <v>0</v>
      </c>
      <c r="M19" s="158">
        <v>2</v>
      </c>
      <c r="N19" s="158">
        <v>2</v>
      </c>
      <c r="O19" s="158">
        <v>0</v>
      </c>
      <c r="P19" s="158">
        <v>0</v>
      </c>
      <c r="Q19" s="158">
        <v>0</v>
      </c>
      <c r="R19" s="158">
        <v>0</v>
      </c>
      <c r="S19" s="158">
        <v>2</v>
      </c>
      <c r="T19" s="158"/>
      <c r="U19" s="158">
        <v>0</v>
      </c>
      <c r="V19" s="158">
        <v>0</v>
      </c>
      <c r="W19" s="158">
        <v>0</v>
      </c>
      <c r="X19" s="158">
        <v>0</v>
      </c>
      <c r="Y19" s="28">
        <f t="shared" si="9"/>
        <v>4103846.153846154</v>
      </c>
      <c r="Z19" s="28">
        <f t="shared" si="10"/>
        <v>373076.92307692306</v>
      </c>
      <c r="AA19" s="28">
        <f t="shared" si="11"/>
        <v>373076.92307692306</v>
      </c>
      <c r="AB19" s="28">
        <f t="shared" si="12"/>
        <v>0</v>
      </c>
      <c r="AC19" s="28">
        <f t="shared" si="13"/>
        <v>0</v>
      </c>
      <c r="AD19" s="28">
        <f t="shared" si="14"/>
        <v>0</v>
      </c>
      <c r="AE19" s="28">
        <f t="shared" si="15"/>
        <v>0</v>
      </c>
      <c r="AF19" s="28">
        <f>IF(F19="LN",(G19+H19)/26*S19*30%,0)</f>
        <v>111923.07692307692</v>
      </c>
      <c r="AG19" s="28">
        <f t="shared" si="16"/>
        <v>0</v>
      </c>
      <c r="AH19" s="28">
        <f t="shared" si="17"/>
        <v>0</v>
      </c>
      <c r="AI19" s="28">
        <f t="shared" si="18"/>
        <v>0</v>
      </c>
      <c r="AJ19" s="28"/>
      <c r="AK19" s="28">
        <f t="shared" si="19"/>
        <v>0</v>
      </c>
      <c r="AL19" s="28"/>
      <c r="AM19" s="28">
        <f t="shared" si="20"/>
        <v>0</v>
      </c>
      <c r="AN19" s="28">
        <f t="shared" si="33"/>
        <v>0</v>
      </c>
      <c r="AO19" s="28">
        <f t="shared" si="21"/>
        <v>6661153.846153846</v>
      </c>
      <c r="AP19" s="28"/>
      <c r="AQ19" s="28"/>
      <c r="AR19" s="28">
        <v>560000</v>
      </c>
      <c r="AS19" s="28"/>
      <c r="AT19" s="28"/>
      <c r="AU19" s="28"/>
      <c r="AV19" s="28">
        <f t="shared" si="22"/>
        <v>12183076.923076924</v>
      </c>
      <c r="AW19" s="28"/>
      <c r="AX19" s="28" t="str">
        <f t="shared" si="23"/>
        <v>x</v>
      </c>
      <c r="AY19" s="159">
        <f t="shared" si="24"/>
        <v>388000</v>
      </c>
      <c r="AZ19" s="159">
        <f t="shared" si="24"/>
        <v>72750</v>
      </c>
      <c r="BA19" s="159">
        <f t="shared" si="24"/>
        <v>48500</v>
      </c>
      <c r="BB19" s="159">
        <f t="shared" si="25"/>
        <v>509250</v>
      </c>
      <c r="BC19" s="159"/>
      <c r="BD19" s="159"/>
      <c r="BE19" s="159">
        <f t="shared" si="26"/>
        <v>48500</v>
      </c>
      <c r="BF19" s="159">
        <f t="shared" si="34"/>
        <v>2303461.5384615385</v>
      </c>
      <c r="BG19" s="159">
        <f t="shared" si="27"/>
        <v>9879615.3846153859</v>
      </c>
      <c r="BH19" s="159"/>
      <c r="BI19" s="187">
        <v>6200000</v>
      </c>
      <c r="BJ19" s="159">
        <f t="shared" si="35"/>
        <v>15500000</v>
      </c>
      <c r="BK19" s="159">
        <f t="shared" si="28"/>
        <v>-6129634.6153846141</v>
      </c>
      <c r="BL19" s="152">
        <f t="shared" si="29"/>
        <v>0</v>
      </c>
      <c r="BM19" s="159"/>
      <c r="BN19" s="159"/>
      <c r="BO19" s="159">
        <v>0</v>
      </c>
      <c r="BP19" s="159"/>
      <c r="BQ19" s="159"/>
      <c r="BR19" s="159"/>
      <c r="BS19" s="159"/>
      <c r="BT19" s="172">
        <v>9977846.153846154</v>
      </c>
      <c r="BU19" s="160">
        <f t="shared" si="30"/>
        <v>1647480.7692307699</v>
      </c>
      <c r="BV19" s="161"/>
      <c r="BW19" s="151">
        <v>11000000</v>
      </c>
      <c r="BX19" s="152">
        <v>0</v>
      </c>
      <c r="BY19" s="152">
        <v>0</v>
      </c>
      <c r="BZ19" s="152">
        <v>200000</v>
      </c>
      <c r="CA19" s="152">
        <f t="shared" si="31"/>
        <v>550000</v>
      </c>
      <c r="CB19" s="152">
        <f t="shared" si="32"/>
        <v>11750000</v>
      </c>
      <c r="CC19" s="152"/>
      <c r="CD19" s="152"/>
      <c r="CE19" s="162"/>
      <c r="CF19" s="163"/>
      <c r="CG19" s="163"/>
      <c r="CH19" s="164"/>
      <c r="CI19" s="164"/>
    </row>
    <row r="20" spans="1:87" s="165" customFormat="1" ht="30.5" customHeight="1">
      <c r="A20" s="153">
        <f>IF(B20=0,"",COUNTA($B$15:(B20)))</f>
        <v>6</v>
      </c>
      <c r="B20" s="154">
        <v>2406145</v>
      </c>
      <c r="C20" s="155" t="s">
        <v>112</v>
      </c>
      <c r="D20" s="156" t="s">
        <v>103</v>
      </c>
      <c r="E20" s="157" t="s">
        <v>113</v>
      </c>
      <c r="F20" s="157" t="s">
        <v>100</v>
      </c>
      <c r="G20" s="28">
        <v>6340000</v>
      </c>
      <c r="H20" s="28">
        <f t="shared" si="7"/>
        <v>0</v>
      </c>
      <c r="I20" s="28">
        <f t="shared" si="8"/>
        <v>17810000</v>
      </c>
      <c r="J20" s="27">
        <v>1</v>
      </c>
      <c r="K20" s="158">
        <v>26</v>
      </c>
      <c r="L20" s="158">
        <v>0</v>
      </c>
      <c r="M20" s="158">
        <v>0</v>
      </c>
      <c r="N20" s="158">
        <v>0</v>
      </c>
      <c r="O20" s="158">
        <v>0</v>
      </c>
      <c r="P20" s="158">
        <v>0</v>
      </c>
      <c r="Q20" s="158">
        <v>0</v>
      </c>
      <c r="R20" s="158">
        <v>0</v>
      </c>
      <c r="S20" s="158">
        <v>0</v>
      </c>
      <c r="T20" s="158"/>
      <c r="U20" s="158">
        <v>0</v>
      </c>
      <c r="V20" s="158">
        <v>0</v>
      </c>
      <c r="W20" s="158">
        <v>0</v>
      </c>
      <c r="X20" s="158">
        <v>0</v>
      </c>
      <c r="Y20" s="28">
        <f t="shared" si="9"/>
        <v>6340000</v>
      </c>
      <c r="Z20" s="28">
        <f t="shared" si="10"/>
        <v>0</v>
      </c>
      <c r="AA20" s="28">
        <f t="shared" si="11"/>
        <v>0</v>
      </c>
      <c r="AB20" s="28">
        <f t="shared" si="12"/>
        <v>0</v>
      </c>
      <c r="AC20" s="28">
        <f t="shared" si="13"/>
        <v>0</v>
      </c>
      <c r="AD20" s="28">
        <f t="shared" si="14"/>
        <v>0</v>
      </c>
      <c r="AE20" s="28">
        <f t="shared" si="15"/>
        <v>0</v>
      </c>
      <c r="AF20" s="28">
        <f>ROUND((G20+H20)/26*S20*30%,0)</f>
        <v>0</v>
      </c>
      <c r="AG20" s="28">
        <f t="shared" si="16"/>
        <v>0</v>
      </c>
      <c r="AH20" s="28">
        <f t="shared" si="17"/>
        <v>0</v>
      </c>
      <c r="AI20" s="28">
        <f t="shared" si="18"/>
        <v>0</v>
      </c>
      <c r="AJ20" s="28"/>
      <c r="AK20" s="28">
        <f t="shared" si="19"/>
        <v>0</v>
      </c>
      <c r="AL20" s="28"/>
      <c r="AM20" s="28">
        <f t="shared" si="20"/>
        <v>0</v>
      </c>
      <c r="AN20" s="28">
        <f t="shared" si="33"/>
        <v>0</v>
      </c>
      <c r="AO20" s="28">
        <f t="shared" si="21"/>
        <v>17810000</v>
      </c>
      <c r="AP20" s="28"/>
      <c r="AQ20" s="28"/>
      <c r="AR20" s="28">
        <v>720000</v>
      </c>
      <c r="AS20" s="28"/>
      <c r="AT20" s="28"/>
      <c r="AU20" s="28"/>
      <c r="AV20" s="28">
        <f t="shared" si="22"/>
        <v>24870000</v>
      </c>
      <c r="AW20" s="28"/>
      <c r="AX20" s="28">
        <f t="shared" si="23"/>
        <v>0</v>
      </c>
      <c r="AY20" s="159">
        <f t="shared" si="24"/>
        <v>0</v>
      </c>
      <c r="AZ20" s="159">
        <f t="shared" si="24"/>
        <v>0</v>
      </c>
      <c r="BA20" s="159">
        <f t="shared" si="24"/>
        <v>0</v>
      </c>
      <c r="BB20" s="159">
        <f t="shared" si="25"/>
        <v>0</v>
      </c>
      <c r="BC20" s="159"/>
      <c r="BD20" s="159"/>
      <c r="BE20" s="159">
        <f t="shared" si="26"/>
        <v>63400</v>
      </c>
      <c r="BF20" s="159">
        <f t="shared" si="34"/>
        <v>3622500</v>
      </c>
      <c r="BG20" s="159">
        <f t="shared" si="27"/>
        <v>21247500</v>
      </c>
      <c r="BH20" s="159"/>
      <c r="BI20" s="187">
        <v>6200000</v>
      </c>
      <c r="BJ20" s="159">
        <f t="shared" si="35"/>
        <v>0</v>
      </c>
      <c r="BK20" s="159">
        <f t="shared" si="28"/>
        <v>21247500</v>
      </c>
      <c r="BL20" s="152">
        <f t="shared" si="29"/>
        <v>2124750</v>
      </c>
      <c r="BM20" s="159"/>
      <c r="BN20" s="159"/>
      <c r="BO20" s="159">
        <v>0</v>
      </c>
      <c r="BP20" s="159"/>
      <c r="BQ20" s="159"/>
      <c r="BR20" s="159"/>
      <c r="BS20" s="159"/>
      <c r="BT20" s="172">
        <v>10195307.692307694</v>
      </c>
      <c r="BU20" s="160">
        <f t="shared" si="30"/>
        <v>12486542.307692306</v>
      </c>
      <c r="BV20" s="161"/>
      <c r="BW20" s="151">
        <v>23000000</v>
      </c>
      <c r="BX20" s="152">
        <v>0</v>
      </c>
      <c r="BY20" s="152">
        <v>0</v>
      </c>
      <c r="BZ20" s="152">
        <v>200000</v>
      </c>
      <c r="CA20" s="152">
        <f t="shared" si="31"/>
        <v>1150000</v>
      </c>
      <c r="CB20" s="152">
        <f t="shared" si="32"/>
        <v>24350000</v>
      </c>
      <c r="CC20" s="152" t="s">
        <v>114</v>
      </c>
      <c r="CD20" s="152"/>
      <c r="CE20" s="162"/>
      <c r="CF20" s="163"/>
      <c r="CG20" s="163"/>
      <c r="CH20" s="164"/>
      <c r="CI20" s="164"/>
    </row>
    <row r="21" spans="1:87" s="165" customFormat="1" ht="30.5" customHeight="1">
      <c r="A21" s="153">
        <f>IF(B21=0,"",COUNTA($B$15:(B21)))</f>
        <v>7</v>
      </c>
      <c r="B21" s="166" t="s">
        <v>115</v>
      </c>
      <c r="C21" s="155" t="s">
        <v>116</v>
      </c>
      <c r="D21" s="156" t="s">
        <v>117</v>
      </c>
      <c r="E21" s="157" t="s">
        <v>99</v>
      </c>
      <c r="F21" s="157" t="s">
        <v>100</v>
      </c>
      <c r="G21" s="28">
        <v>6340000</v>
      </c>
      <c r="H21" s="28">
        <f t="shared" si="7"/>
        <v>300000</v>
      </c>
      <c r="I21" s="28">
        <f t="shared" si="8"/>
        <v>11210000</v>
      </c>
      <c r="J21" s="27">
        <v>1</v>
      </c>
      <c r="K21" s="158">
        <v>26</v>
      </c>
      <c r="L21" s="158">
        <v>0</v>
      </c>
      <c r="M21" s="158">
        <v>0</v>
      </c>
      <c r="N21" s="158">
        <v>0</v>
      </c>
      <c r="O21" s="158">
        <v>0</v>
      </c>
      <c r="P21" s="158">
        <v>5</v>
      </c>
      <c r="Q21" s="158">
        <v>2</v>
      </c>
      <c r="R21" s="158">
        <v>0</v>
      </c>
      <c r="S21" s="158">
        <v>0</v>
      </c>
      <c r="T21" s="158"/>
      <c r="U21" s="158">
        <v>0</v>
      </c>
      <c r="V21" s="158">
        <v>0</v>
      </c>
      <c r="W21" s="158">
        <v>0</v>
      </c>
      <c r="X21" s="158">
        <v>0</v>
      </c>
      <c r="Y21" s="28">
        <f t="shared" si="9"/>
        <v>6340000</v>
      </c>
      <c r="Z21" s="28">
        <f t="shared" si="10"/>
        <v>0</v>
      </c>
      <c r="AA21" s="28">
        <f t="shared" si="11"/>
        <v>0</v>
      </c>
      <c r="AB21" s="28">
        <f t="shared" si="12"/>
        <v>0</v>
      </c>
      <c r="AC21" s="28">
        <f t="shared" si="13"/>
        <v>1828846.1538461538</v>
      </c>
      <c r="AD21" s="28">
        <f t="shared" si="14"/>
        <v>975384.61538461538</v>
      </c>
      <c r="AE21" s="28">
        <f t="shared" si="15"/>
        <v>0</v>
      </c>
      <c r="AF21" s="28">
        <f>IF(F21="LN",(G21+H21)/26*S21*30%,0)</f>
        <v>0</v>
      </c>
      <c r="AG21" s="28">
        <f t="shared" si="16"/>
        <v>0</v>
      </c>
      <c r="AH21" s="28">
        <f t="shared" si="17"/>
        <v>0</v>
      </c>
      <c r="AI21" s="28">
        <f t="shared" si="18"/>
        <v>0</v>
      </c>
      <c r="AJ21" s="28"/>
      <c r="AK21" s="28">
        <f t="shared" si="19"/>
        <v>0</v>
      </c>
      <c r="AL21" s="28"/>
      <c r="AM21" s="28">
        <f t="shared" si="20"/>
        <v>0</v>
      </c>
      <c r="AN21" s="28">
        <f t="shared" si="33"/>
        <v>300000</v>
      </c>
      <c r="AO21" s="28">
        <f t="shared" si="21"/>
        <v>12982692.307692306</v>
      </c>
      <c r="AP21" s="28"/>
      <c r="AQ21" s="28"/>
      <c r="AR21" s="28">
        <v>560000</v>
      </c>
      <c r="AS21" s="28"/>
      <c r="AT21" s="28"/>
      <c r="AU21" s="28"/>
      <c r="AV21" s="28">
        <f t="shared" si="22"/>
        <v>22986923.076923076</v>
      </c>
      <c r="AW21" s="28"/>
      <c r="AX21" s="28" t="str">
        <f t="shared" si="23"/>
        <v>x</v>
      </c>
      <c r="AY21" s="159">
        <f t="shared" si="24"/>
        <v>531200</v>
      </c>
      <c r="AZ21" s="159">
        <f t="shared" si="24"/>
        <v>99600</v>
      </c>
      <c r="BA21" s="159">
        <f t="shared" si="24"/>
        <v>66400</v>
      </c>
      <c r="BB21" s="159">
        <f t="shared" si="25"/>
        <v>697200</v>
      </c>
      <c r="BC21" s="159"/>
      <c r="BD21" s="159"/>
      <c r="BE21" s="159">
        <f t="shared" si="26"/>
        <v>63400</v>
      </c>
      <c r="BF21" s="159">
        <f t="shared" si="34"/>
        <v>3924038.4615384615</v>
      </c>
      <c r="BG21" s="159">
        <f t="shared" si="27"/>
        <v>19062884.615384616</v>
      </c>
      <c r="BH21" s="159"/>
      <c r="BI21" s="187">
        <v>6200000</v>
      </c>
      <c r="BJ21" s="159">
        <f t="shared" si="35"/>
        <v>15500000</v>
      </c>
      <c r="BK21" s="159">
        <f t="shared" si="28"/>
        <v>2865684.615384616</v>
      </c>
      <c r="BL21" s="152">
        <f t="shared" si="29"/>
        <v>143284</v>
      </c>
      <c r="BM21" s="159"/>
      <c r="BN21" s="159"/>
      <c r="BO21" s="159">
        <v>0</v>
      </c>
      <c r="BP21" s="159"/>
      <c r="BQ21" s="159"/>
      <c r="BR21" s="159"/>
      <c r="BS21" s="159"/>
      <c r="BT21" s="172">
        <v>9977846.153846154</v>
      </c>
      <c r="BU21" s="160">
        <f t="shared" si="30"/>
        <v>12105192.923076922</v>
      </c>
      <c r="BV21" s="161"/>
      <c r="BW21" s="151">
        <v>17000000</v>
      </c>
      <c r="BX21" s="152">
        <v>0</v>
      </c>
      <c r="BY21" s="152">
        <v>0</v>
      </c>
      <c r="BZ21" s="152">
        <v>200000</v>
      </c>
      <c r="CA21" s="152">
        <f t="shared" si="31"/>
        <v>850000</v>
      </c>
      <c r="CB21" s="152">
        <f t="shared" si="32"/>
        <v>18050000</v>
      </c>
      <c r="CC21" s="152" t="s">
        <v>118</v>
      </c>
      <c r="CD21" s="152"/>
      <c r="CE21" s="162"/>
      <c r="CF21" s="163"/>
      <c r="CG21" s="163"/>
      <c r="CH21" s="164"/>
      <c r="CI21" s="164"/>
    </row>
    <row r="22" spans="1:87" s="6" customFormat="1" ht="18.75" customHeight="1">
      <c r="B22" s="7"/>
      <c r="I22" s="8"/>
      <c r="J22" s="8"/>
      <c r="K22" s="9"/>
      <c r="L22" s="9"/>
      <c r="M22" s="9"/>
      <c r="N22" s="9"/>
      <c r="O22" s="9"/>
      <c r="P22" s="9"/>
      <c r="Q22" s="9"/>
      <c r="R22" s="9"/>
      <c r="S22" s="9"/>
      <c r="T22" s="9"/>
      <c r="U22" s="10"/>
      <c r="V22" s="10"/>
      <c r="W22" s="224"/>
      <c r="X22" s="224"/>
      <c r="AC22" s="225"/>
      <c r="BL22" s="11"/>
      <c r="BP22" s="11"/>
      <c r="BQ22" s="11"/>
      <c r="BR22" s="11"/>
      <c r="BS22" s="11"/>
      <c r="BT22" s="11"/>
      <c r="BU22" s="11"/>
      <c r="BV22" s="146"/>
      <c r="BW22" s="13"/>
      <c r="BX22" s="13"/>
      <c r="BY22" s="13"/>
      <c r="BZ22" s="13"/>
      <c r="CA22" s="13"/>
      <c r="CB22" s="147"/>
      <c r="CC22" s="148"/>
      <c r="CD22" s="148"/>
      <c r="CF22" s="12"/>
    </row>
    <row r="23" spans="1:87" s="14" customFormat="1" ht="21" customHeight="1">
      <c r="B23" s="15"/>
      <c r="C23" s="15"/>
      <c r="D23" s="15"/>
      <c r="E23" s="15"/>
      <c r="F23" s="15"/>
      <c r="G23" s="15"/>
      <c r="H23" s="15"/>
      <c r="I23" s="15"/>
      <c r="J23" s="16"/>
      <c r="K23" s="17"/>
      <c r="L23" s="17"/>
      <c r="M23" s="17"/>
      <c r="N23" s="17"/>
      <c r="O23" s="17"/>
      <c r="P23" s="17"/>
      <c r="Q23" s="17"/>
      <c r="U23" s="18"/>
      <c r="V23" s="17"/>
      <c r="W23" s="15"/>
      <c r="X23" s="15"/>
      <c r="Y23" s="15"/>
      <c r="Z23" s="15"/>
      <c r="AA23" s="15"/>
      <c r="AB23" s="15"/>
      <c r="AC23" s="15"/>
      <c r="AK23" s="15"/>
      <c r="AM23" s="15"/>
      <c r="AN23" s="15"/>
      <c r="AO23" s="15"/>
      <c r="AP23" s="15"/>
      <c r="AQ23" s="15"/>
      <c r="AR23" s="15"/>
      <c r="AS23" s="15"/>
      <c r="AT23" s="15"/>
      <c r="AU23" s="15"/>
      <c r="AV23" s="15"/>
      <c r="AW23" s="15"/>
      <c r="AX23" s="15"/>
      <c r="BC23" s="19"/>
      <c r="BD23" s="19"/>
      <c r="BL23" s="15"/>
      <c r="BN23" s="15"/>
      <c r="BO23" s="15"/>
      <c r="BP23" s="15" t="s">
        <v>119</v>
      </c>
      <c r="BQ23" s="15"/>
      <c r="BR23" s="15"/>
      <c r="BS23" s="15"/>
      <c r="BT23" s="15"/>
      <c r="BU23" s="15"/>
      <c r="BV23" s="15"/>
      <c r="BW23" s="21"/>
      <c r="BX23" s="21"/>
      <c r="BY23" s="21"/>
      <c r="BZ23" s="21"/>
      <c r="CA23" s="21"/>
      <c r="CD23" s="19"/>
    </row>
    <row r="24" spans="1:87" s="14" customFormat="1" ht="18" customHeight="1">
      <c r="B24" s="22"/>
      <c r="I24" s="16"/>
      <c r="J24" s="16"/>
      <c r="K24" s="18"/>
      <c r="L24" s="18"/>
      <c r="M24" s="18"/>
      <c r="N24" s="18"/>
      <c r="O24" s="18"/>
      <c r="P24" s="18"/>
      <c r="Q24" s="18"/>
      <c r="R24" s="17"/>
      <c r="U24" s="18"/>
      <c r="V24" s="18"/>
      <c r="W24" s="226"/>
      <c r="X24" s="226"/>
      <c r="AN24" s="21"/>
      <c r="AV24" s="15"/>
      <c r="AW24" s="15"/>
      <c r="AX24" s="15"/>
      <c r="AY24" s="21"/>
      <c r="AZ24" s="21"/>
      <c r="BA24" s="21"/>
      <c r="BB24" s="21"/>
      <c r="BN24" s="15"/>
      <c r="BO24" s="19"/>
      <c r="BW24" s="21"/>
      <c r="BX24" s="21"/>
      <c r="BY24" s="21"/>
      <c r="BZ24" s="21"/>
      <c r="CA24" s="21"/>
      <c r="CF24" s="20"/>
    </row>
    <row r="26" spans="1:87" ht="28">
      <c r="B26" s="168" t="s">
        <v>150</v>
      </c>
    </row>
  </sheetData>
  <autoFilter ref="A12:CI21" xr:uid="{00000000-0009-0000-0000-000000000000}"/>
  <mergeCells count="82">
    <mergeCell ref="C8:C11"/>
    <mergeCell ref="BW8:BW11"/>
    <mergeCell ref="AI9:AI11"/>
    <mergeCell ref="D8:D11"/>
    <mergeCell ref="BF10:BF11"/>
    <mergeCell ref="BO10:BO11"/>
    <mergeCell ref="Q9:Q11"/>
    <mergeCell ref="S9:S11"/>
    <mergeCell ref="BL10:BL11"/>
    <mergeCell ref="BS9:BS11"/>
    <mergeCell ref="AC9:AC11"/>
    <mergeCell ref="AP8:AP11"/>
    <mergeCell ref="N9:N11"/>
    <mergeCell ref="BG10:BG11"/>
    <mergeCell ref="AF9:AF11"/>
    <mergeCell ref="R9:R11"/>
    <mergeCell ref="A8:A11"/>
    <mergeCell ref="BW3:CB6"/>
    <mergeCell ref="CC8:CC11"/>
    <mergeCell ref="AU8:AU11"/>
    <mergeCell ref="AW8:AW11"/>
    <mergeCell ref="A3:BU3"/>
    <mergeCell ref="AE9:AE11"/>
    <mergeCell ref="AO9:AO11"/>
    <mergeCell ref="BB10:BB11"/>
    <mergeCell ref="B8:B11"/>
    <mergeCell ref="BD10:BD11"/>
    <mergeCell ref="K9:K11"/>
    <mergeCell ref="M9:M11"/>
    <mergeCell ref="O9:O11"/>
    <mergeCell ref="BH10:BH11"/>
    <mergeCell ref="BX8:CA10"/>
    <mergeCell ref="BR9:BR11"/>
    <mergeCell ref="BM10:BM11"/>
    <mergeCell ref="AQ8:AQ11"/>
    <mergeCell ref="U9:U11"/>
    <mergeCell ref="BN10:BN11"/>
    <mergeCell ref="BP10:BP11"/>
    <mergeCell ref="AG9:AG11"/>
    <mergeCell ref="V9:W10"/>
    <mergeCell ref="BI10:BI11"/>
    <mergeCell ref="X9:X11"/>
    <mergeCell ref="BK10:BK11"/>
    <mergeCell ref="K8:X8"/>
    <mergeCell ref="AH9:AH11"/>
    <mergeCell ref="P9:P11"/>
    <mergeCell ref="L9:L11"/>
    <mergeCell ref="T9:T11"/>
    <mergeCell ref="E8:E11"/>
    <mergeCell ref="G8:G11"/>
    <mergeCell ref="H8:H11"/>
    <mergeCell ref="J8:J11"/>
    <mergeCell ref="I8:I11"/>
    <mergeCell ref="F8:F11"/>
    <mergeCell ref="Y8:AO8"/>
    <mergeCell ref="BJ10:BJ11"/>
    <mergeCell ref="AS8:AS11"/>
    <mergeCell ref="AV8:AV11"/>
    <mergeCell ref="AJ9:AJ11"/>
    <mergeCell ref="AY8:BQ8"/>
    <mergeCell ref="BC10:BC11"/>
    <mergeCell ref="Z9:Z11"/>
    <mergeCell ref="AD9:AD11"/>
    <mergeCell ref="BE10:BE11"/>
    <mergeCell ref="AR8:AR11"/>
    <mergeCell ref="AT8:AT11"/>
    <mergeCell ref="CD8:CD11"/>
    <mergeCell ref="Y9:Y11"/>
    <mergeCell ref="AA9:AA11"/>
    <mergeCell ref="AK9:AK11"/>
    <mergeCell ref="AM9:AM11"/>
    <mergeCell ref="AX8:AX11"/>
    <mergeCell ref="BR8:BS8"/>
    <mergeCell ref="CB8:CB11"/>
    <mergeCell ref="AL9:AL11"/>
    <mergeCell ref="AY9:BL9"/>
    <mergeCell ref="AN9:AN11"/>
    <mergeCell ref="BM9:BQ9"/>
    <mergeCell ref="BT8:BT11"/>
    <mergeCell ref="BU8:BU11"/>
    <mergeCell ref="BQ10:BQ11"/>
    <mergeCell ref="AB9:AB11"/>
  </mergeCells>
  <conditionalFormatting sqref="B1:B5 B7:B12 B15:B25 C12:BU12 B37:B1048576 B27:B35">
    <cfRule type="duplicateValues" dxfId="22" priority="80"/>
    <cfRule type="duplicateValues" dxfId="21" priority="81"/>
  </conditionalFormatting>
  <conditionalFormatting sqref="B1:B5 B7:B12 B15:B25 C12:CD12 D13:F13 J13:BK13 BM13:CD13 B37:B1048576 B27:B35">
    <cfRule type="duplicateValues" dxfId="20" priority="94"/>
  </conditionalFormatting>
  <conditionalFormatting sqref="BL13">
    <cfRule type="duplicateValues" dxfId="19" priority="2"/>
  </conditionalFormatting>
  <printOptions horizontalCentered="1"/>
  <pageMargins left="0" right="0" top="0.21" bottom="0.17" header="0.196850393700787" footer="0.196850393700787"/>
  <pageSetup paperSize="9" scale="43" orientation="landscape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92D050"/>
  </sheetPr>
  <dimension ref="A1:CI26"/>
  <sheetViews>
    <sheetView topLeftCell="BM1" zoomScale="85" zoomScaleNormal="85" zoomScaleSheetLayoutView="70" workbookViewId="0">
      <selection activeCell="BP31" sqref="BP31"/>
    </sheetView>
  </sheetViews>
  <sheetFormatPr baseColWidth="10" defaultColWidth="20.6640625" defaultRowHeight="15" outlineLevelRow="1" outlineLevelCol="1"/>
  <cols>
    <col min="1" max="1" width="20.6640625" style="82" customWidth="1"/>
    <col min="2" max="2" width="20.6640625" style="83" customWidth="1"/>
    <col min="3" max="3" width="20.6640625" style="84" customWidth="1"/>
    <col min="4" max="5" width="20.6640625" style="85" customWidth="1" outlineLevel="1"/>
    <col min="6" max="6" width="20.6640625" style="86" customWidth="1" outlineLevel="1"/>
    <col min="7" max="8" width="20.6640625" style="87" customWidth="1"/>
    <col min="9" max="9" width="20.6640625" style="88" customWidth="1"/>
    <col min="10" max="10" width="20.6640625" style="88" customWidth="1" outlineLevel="1"/>
    <col min="11" max="24" width="20.6640625" style="89" customWidth="1"/>
    <col min="25" max="50" width="20.6640625" style="90" customWidth="1"/>
    <col min="51" max="53" width="20.6640625" style="90" customWidth="1" outlineLevel="1"/>
    <col min="54" max="73" width="20.6640625" style="90" customWidth="1"/>
    <col min="75" max="79" width="20.6640625" style="87" customWidth="1" outlineLevel="1"/>
    <col min="80" max="82" width="20.6640625" style="91" customWidth="1" outlineLevel="1"/>
    <col min="83" max="83" width="20.6640625" style="92" customWidth="1"/>
    <col min="84" max="16384" width="20.6640625" style="92"/>
  </cols>
  <sheetData>
    <row r="1" spans="1:87" s="36" customFormat="1" ht="11" outlineLevel="1">
      <c r="A1" s="34" t="s">
        <v>0</v>
      </c>
      <c r="B1" s="35"/>
      <c r="C1" s="34"/>
      <c r="D1" s="1"/>
      <c r="E1" s="1"/>
      <c r="F1" s="1"/>
      <c r="I1" s="37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U1" s="1"/>
      <c r="BW1" s="1"/>
      <c r="BX1" s="1"/>
      <c r="BY1" s="1"/>
      <c r="BZ1" s="1"/>
      <c r="CA1" s="1"/>
      <c r="CB1" s="39"/>
      <c r="CC1" s="39"/>
      <c r="CD1" s="39"/>
    </row>
    <row r="2" spans="1:87" s="36" customFormat="1" ht="11" outlineLevel="1">
      <c r="A2" s="40" t="s">
        <v>1</v>
      </c>
      <c r="B2" s="35"/>
      <c r="C2" s="41"/>
      <c r="D2" s="1"/>
      <c r="E2" s="1"/>
      <c r="F2" s="1"/>
      <c r="I2" s="37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W2" s="1"/>
      <c r="BX2" s="1"/>
      <c r="BY2" s="1"/>
      <c r="BZ2" s="1"/>
      <c r="CA2" s="1"/>
      <c r="CB2" s="41"/>
      <c r="CC2" s="41"/>
      <c r="CD2" s="41"/>
    </row>
    <row r="3" spans="1:87" s="43" customFormat="1" ht="11" outlineLevel="1">
      <c r="A3" s="426"/>
      <c r="B3" s="417"/>
      <c r="C3" s="417"/>
      <c r="D3" s="417"/>
      <c r="E3" s="417"/>
      <c r="F3" s="417"/>
      <c r="G3" s="417"/>
      <c r="H3" s="417"/>
      <c r="I3" s="417"/>
      <c r="J3" s="417"/>
      <c r="K3" s="417"/>
      <c r="L3" s="417"/>
      <c r="M3" s="417"/>
      <c r="N3" s="417"/>
      <c r="O3" s="417"/>
      <c r="P3" s="417"/>
      <c r="Q3" s="417"/>
      <c r="R3" s="417"/>
      <c r="S3" s="417"/>
      <c r="T3" s="417"/>
      <c r="U3" s="417"/>
      <c r="V3" s="417"/>
      <c r="W3" s="417"/>
      <c r="X3" s="417"/>
      <c r="Y3" s="417"/>
      <c r="Z3" s="417"/>
      <c r="AA3" s="417"/>
      <c r="AB3" s="417"/>
      <c r="AC3" s="417"/>
      <c r="AD3" s="417"/>
      <c r="AE3" s="417"/>
      <c r="AF3" s="417"/>
      <c r="AG3" s="417"/>
      <c r="AH3" s="417"/>
      <c r="AI3" s="417"/>
      <c r="AJ3" s="417"/>
      <c r="AK3" s="417"/>
      <c r="AL3" s="417"/>
      <c r="AM3" s="417"/>
      <c r="AN3" s="417"/>
      <c r="AO3" s="417"/>
      <c r="AP3" s="417"/>
      <c r="AQ3" s="417"/>
      <c r="AR3" s="417"/>
      <c r="AS3" s="417"/>
      <c r="AT3" s="417"/>
      <c r="AU3" s="417"/>
      <c r="AV3" s="417"/>
      <c r="AW3" s="417"/>
      <c r="AX3" s="417"/>
      <c r="AY3" s="417"/>
      <c r="AZ3" s="417"/>
      <c r="BA3" s="417"/>
      <c r="BB3" s="417"/>
      <c r="BC3" s="417"/>
      <c r="BD3" s="417"/>
      <c r="BE3" s="417"/>
      <c r="BF3" s="417"/>
      <c r="BG3" s="417"/>
      <c r="BH3" s="417"/>
      <c r="BI3" s="417"/>
      <c r="BJ3" s="417"/>
      <c r="BK3" s="417"/>
      <c r="BL3" s="417"/>
      <c r="BM3" s="417"/>
      <c r="BN3" s="417"/>
      <c r="BO3" s="417"/>
      <c r="BP3" s="417"/>
      <c r="BQ3" s="417"/>
      <c r="BR3" s="417"/>
      <c r="BS3" s="417"/>
      <c r="BT3" s="417"/>
      <c r="BU3" s="417"/>
      <c r="BW3" s="416" t="s">
        <v>2</v>
      </c>
      <c r="BX3" s="417"/>
      <c r="BY3" s="417"/>
      <c r="BZ3" s="417"/>
      <c r="CA3" s="417"/>
      <c r="CB3" s="417"/>
      <c r="CC3" s="42"/>
      <c r="CD3" s="42"/>
      <c r="CE3" s="43" t="s">
        <v>3</v>
      </c>
      <c r="CF3" s="43">
        <v>26</v>
      </c>
    </row>
    <row r="4" spans="1:87" s="43" customFormat="1" ht="11" outlineLevel="1">
      <c r="A4" s="44"/>
      <c r="B4" s="44"/>
      <c r="C4" s="44"/>
      <c r="D4" s="44"/>
      <c r="E4" s="44"/>
      <c r="F4" s="44"/>
      <c r="G4" s="44"/>
      <c r="H4" s="44"/>
      <c r="I4" s="37"/>
      <c r="K4" s="44"/>
      <c r="L4" s="44"/>
      <c r="M4" s="44"/>
      <c r="N4" s="44"/>
      <c r="O4" s="44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4"/>
      <c r="AK4" s="44"/>
      <c r="AL4" s="44"/>
      <c r="AM4" s="44"/>
      <c r="AN4" s="44"/>
      <c r="AO4" s="44"/>
      <c r="AP4" s="44"/>
      <c r="AQ4" s="44"/>
      <c r="AR4" s="44"/>
      <c r="AS4" s="44"/>
      <c r="AT4" s="44"/>
      <c r="AU4" s="44"/>
      <c r="AV4" s="44"/>
      <c r="AW4" s="44"/>
      <c r="AX4" s="44"/>
      <c r="AY4" s="44"/>
      <c r="AZ4" s="44"/>
      <c r="BA4" s="44"/>
      <c r="BB4" s="44"/>
      <c r="BC4" s="44"/>
      <c r="BD4" s="44"/>
      <c r="BE4" s="44"/>
      <c r="BF4" s="44"/>
      <c r="BG4" s="44"/>
      <c r="BH4" s="44"/>
      <c r="BI4" s="44"/>
      <c r="BJ4" s="44"/>
      <c r="BK4" s="44"/>
      <c r="BL4" s="44"/>
      <c r="BM4" s="44"/>
      <c r="BN4" s="44"/>
      <c r="BO4" s="44"/>
      <c r="BP4" s="44"/>
      <c r="BQ4" s="44"/>
      <c r="BR4" s="44"/>
      <c r="BS4" s="44"/>
      <c r="BT4" s="44"/>
      <c r="BU4" s="44"/>
      <c r="BW4" s="417"/>
      <c r="BX4" s="417"/>
      <c r="BY4" s="417"/>
      <c r="BZ4" s="417"/>
      <c r="CA4" s="417"/>
      <c r="CB4" s="417"/>
      <c r="CC4" s="42"/>
      <c r="CD4" s="42"/>
    </row>
    <row r="5" spans="1:87" s="45" customFormat="1">
      <c r="A5" s="429" t="s">
        <v>4</v>
      </c>
      <c r="B5" s="428" t="s">
        <v>5</v>
      </c>
      <c r="C5" s="402" t="s">
        <v>6</v>
      </c>
      <c r="D5" s="427" t="s">
        <v>7</v>
      </c>
      <c r="E5" s="427" t="s">
        <v>8</v>
      </c>
      <c r="F5" s="402" t="s">
        <v>9</v>
      </c>
      <c r="G5" s="402" t="s">
        <v>10</v>
      </c>
      <c r="H5" s="353" t="s">
        <v>11</v>
      </c>
      <c r="I5" s="353" t="s">
        <v>12</v>
      </c>
      <c r="J5" s="402" t="s">
        <v>13</v>
      </c>
      <c r="K5" s="431" t="s">
        <v>14</v>
      </c>
      <c r="L5" s="413"/>
      <c r="M5" s="413"/>
      <c r="N5" s="413"/>
      <c r="O5" s="413"/>
      <c r="P5" s="413"/>
      <c r="Q5" s="413"/>
      <c r="R5" s="413"/>
      <c r="S5" s="413"/>
      <c r="T5" s="413"/>
      <c r="U5" s="413"/>
      <c r="V5" s="413"/>
      <c r="W5" s="413"/>
      <c r="X5" s="413"/>
      <c r="Y5" s="402" t="s">
        <v>15</v>
      </c>
      <c r="Z5" s="413"/>
      <c r="AA5" s="413"/>
      <c r="AB5" s="413"/>
      <c r="AC5" s="413"/>
      <c r="AD5" s="413"/>
      <c r="AE5" s="413"/>
      <c r="AF5" s="413"/>
      <c r="AG5" s="413"/>
      <c r="AH5" s="413"/>
      <c r="AI5" s="413"/>
      <c r="AJ5" s="413"/>
      <c r="AK5" s="413"/>
      <c r="AL5" s="413"/>
      <c r="AM5" s="413"/>
      <c r="AN5" s="413"/>
      <c r="AO5" s="414"/>
      <c r="AP5" s="402" t="s">
        <v>16</v>
      </c>
      <c r="AQ5" s="402" t="s">
        <v>17</v>
      </c>
      <c r="AR5" s="402" t="s">
        <v>18</v>
      </c>
      <c r="AS5" s="402" t="s">
        <v>19</v>
      </c>
      <c r="AT5" s="402" t="s">
        <v>20</v>
      </c>
      <c r="AU5" s="402" t="s">
        <v>21</v>
      </c>
      <c r="AV5" s="402" t="s">
        <v>22</v>
      </c>
      <c r="AW5" s="402" t="s">
        <v>23</v>
      </c>
      <c r="AX5" s="402" t="s">
        <v>24</v>
      </c>
      <c r="AY5" s="412" t="s">
        <v>25</v>
      </c>
      <c r="AZ5" s="413"/>
      <c r="BA5" s="413"/>
      <c r="BB5" s="413"/>
      <c r="BC5" s="413"/>
      <c r="BD5" s="413"/>
      <c r="BE5" s="413"/>
      <c r="BF5" s="413"/>
      <c r="BG5" s="413"/>
      <c r="BH5" s="413"/>
      <c r="BI5" s="413"/>
      <c r="BJ5" s="413"/>
      <c r="BK5" s="413"/>
      <c r="BL5" s="413"/>
      <c r="BM5" s="413"/>
      <c r="BN5" s="413"/>
      <c r="BO5" s="413"/>
      <c r="BP5" s="413"/>
      <c r="BQ5" s="414"/>
      <c r="BR5" s="418" t="s">
        <v>26</v>
      </c>
      <c r="BS5" s="419"/>
      <c r="BT5" s="412" t="s">
        <v>27</v>
      </c>
      <c r="BU5" s="406" t="s">
        <v>28</v>
      </c>
      <c r="BW5" s="409" t="s">
        <v>29</v>
      </c>
      <c r="BX5" s="420" t="s">
        <v>30</v>
      </c>
      <c r="BY5" s="421"/>
      <c r="BZ5" s="421"/>
      <c r="CA5" s="419"/>
      <c r="CB5" s="415" t="s">
        <v>31</v>
      </c>
      <c r="CC5" s="397" t="s">
        <v>32</v>
      </c>
      <c r="CD5" s="397" t="s">
        <v>33</v>
      </c>
      <c r="CH5" s="46"/>
      <c r="CI5" s="47"/>
    </row>
    <row r="6" spans="1:87" s="45" customFormat="1">
      <c r="A6" s="398"/>
      <c r="B6" s="398"/>
      <c r="C6" s="398"/>
      <c r="D6" s="398"/>
      <c r="E6" s="398"/>
      <c r="F6" s="398"/>
      <c r="G6" s="398"/>
      <c r="H6" s="398"/>
      <c r="I6" s="398"/>
      <c r="J6" s="398"/>
      <c r="K6" s="403" t="s">
        <v>34</v>
      </c>
      <c r="L6" s="403" t="s">
        <v>35</v>
      </c>
      <c r="M6" s="403" t="s">
        <v>36</v>
      </c>
      <c r="N6" s="403" t="s">
        <v>37</v>
      </c>
      <c r="O6" s="403" t="s">
        <v>38</v>
      </c>
      <c r="P6" s="403" t="s">
        <v>39</v>
      </c>
      <c r="Q6" s="403" t="s">
        <v>40</v>
      </c>
      <c r="R6" s="403" t="s">
        <v>41</v>
      </c>
      <c r="S6" s="403" t="s">
        <v>42</v>
      </c>
      <c r="T6" s="403" t="s">
        <v>43</v>
      </c>
      <c r="U6" s="403" t="s">
        <v>44</v>
      </c>
      <c r="V6" s="433" t="s">
        <v>45</v>
      </c>
      <c r="W6" s="419"/>
      <c r="X6" s="403" t="s">
        <v>46</v>
      </c>
      <c r="Y6" s="402" t="s">
        <v>47</v>
      </c>
      <c r="Z6" s="402" t="s">
        <v>48</v>
      </c>
      <c r="AA6" s="402" t="s">
        <v>49</v>
      </c>
      <c r="AB6" s="402" t="s">
        <v>50</v>
      </c>
      <c r="AC6" s="353" t="s">
        <v>51</v>
      </c>
      <c r="AD6" s="353" t="s">
        <v>52</v>
      </c>
      <c r="AE6" s="353" t="s">
        <v>53</v>
      </c>
      <c r="AF6" s="353" t="s">
        <v>54</v>
      </c>
      <c r="AG6" s="402" t="s">
        <v>55</v>
      </c>
      <c r="AH6" s="353" t="s">
        <v>56</v>
      </c>
      <c r="AI6" s="353" t="s">
        <v>57</v>
      </c>
      <c r="AJ6" s="402" t="s">
        <v>58</v>
      </c>
      <c r="AK6" s="430" t="s">
        <v>59</v>
      </c>
      <c r="AL6" s="402" t="s">
        <v>60</v>
      </c>
      <c r="AM6" s="402" t="s">
        <v>61</v>
      </c>
      <c r="AN6" s="432" t="s">
        <v>62</v>
      </c>
      <c r="AO6" s="402" t="s">
        <v>63</v>
      </c>
      <c r="AP6" s="398"/>
      <c r="AQ6" s="398"/>
      <c r="AR6" s="398"/>
      <c r="AS6" s="398"/>
      <c r="AT6" s="398"/>
      <c r="AU6" s="398"/>
      <c r="AV6" s="398"/>
      <c r="AW6" s="398"/>
      <c r="AX6" s="398"/>
      <c r="AY6" s="412" t="s">
        <v>25</v>
      </c>
      <c r="AZ6" s="413"/>
      <c r="BA6" s="413"/>
      <c r="BB6" s="413"/>
      <c r="BC6" s="413"/>
      <c r="BD6" s="413"/>
      <c r="BE6" s="413"/>
      <c r="BF6" s="413"/>
      <c r="BG6" s="413"/>
      <c r="BH6" s="413"/>
      <c r="BI6" s="413"/>
      <c r="BJ6" s="413"/>
      <c r="BK6" s="413"/>
      <c r="BL6" s="414"/>
      <c r="BM6" s="412" t="s">
        <v>64</v>
      </c>
      <c r="BN6" s="413"/>
      <c r="BO6" s="413"/>
      <c r="BP6" s="413"/>
      <c r="BQ6" s="414"/>
      <c r="BR6" s="400" t="s">
        <v>65</v>
      </c>
      <c r="BS6" s="400" t="s">
        <v>66</v>
      </c>
      <c r="BT6" s="398"/>
      <c r="BU6" s="407"/>
      <c r="BW6" s="410"/>
      <c r="BX6" s="407"/>
      <c r="BY6" s="422"/>
      <c r="BZ6" s="422"/>
      <c r="CA6" s="410"/>
      <c r="CB6" s="398"/>
      <c r="CC6" s="398"/>
      <c r="CD6" s="398"/>
      <c r="CH6" s="46"/>
      <c r="CI6" s="47"/>
    </row>
    <row r="7" spans="1:87" s="48" customFormat="1" ht="12">
      <c r="A7" s="398"/>
      <c r="B7" s="398"/>
      <c r="C7" s="398"/>
      <c r="D7" s="398"/>
      <c r="E7" s="398"/>
      <c r="F7" s="398"/>
      <c r="G7" s="398"/>
      <c r="H7" s="398"/>
      <c r="I7" s="398"/>
      <c r="J7" s="398"/>
      <c r="K7" s="398"/>
      <c r="L7" s="398"/>
      <c r="M7" s="398"/>
      <c r="N7" s="398"/>
      <c r="O7" s="398"/>
      <c r="P7" s="398"/>
      <c r="Q7" s="398"/>
      <c r="R7" s="398"/>
      <c r="S7" s="398"/>
      <c r="T7" s="398"/>
      <c r="U7" s="398"/>
      <c r="V7" s="408"/>
      <c r="W7" s="434"/>
      <c r="X7" s="398"/>
      <c r="Y7" s="398"/>
      <c r="Z7" s="398"/>
      <c r="AA7" s="398"/>
      <c r="AB7" s="398"/>
      <c r="AC7" s="398"/>
      <c r="AD7" s="398"/>
      <c r="AE7" s="398"/>
      <c r="AF7" s="398"/>
      <c r="AG7" s="398"/>
      <c r="AH7" s="398"/>
      <c r="AI7" s="398"/>
      <c r="AJ7" s="398"/>
      <c r="AK7" s="407"/>
      <c r="AL7" s="398"/>
      <c r="AM7" s="398"/>
      <c r="AN7" s="398"/>
      <c r="AO7" s="398"/>
      <c r="AP7" s="398"/>
      <c r="AQ7" s="398"/>
      <c r="AR7" s="398"/>
      <c r="AS7" s="398"/>
      <c r="AT7" s="398"/>
      <c r="AU7" s="398"/>
      <c r="AV7" s="398"/>
      <c r="AW7" s="398"/>
      <c r="AX7" s="398"/>
      <c r="AY7" s="29" t="s">
        <v>67</v>
      </c>
      <c r="AZ7" s="29" t="s">
        <v>68</v>
      </c>
      <c r="BA7" s="29" t="s">
        <v>69</v>
      </c>
      <c r="BB7" s="412" t="s">
        <v>70</v>
      </c>
      <c r="BC7" s="404" t="s">
        <v>71</v>
      </c>
      <c r="BD7" s="404" t="s">
        <v>72</v>
      </c>
      <c r="BE7" s="425" t="s">
        <v>73</v>
      </c>
      <c r="BF7" s="404" t="s">
        <v>74</v>
      </c>
      <c r="BG7" s="404" t="s">
        <v>75</v>
      </c>
      <c r="BH7" s="404" t="s">
        <v>76</v>
      </c>
      <c r="BI7" s="404" t="s">
        <v>77</v>
      </c>
      <c r="BJ7" s="404" t="s">
        <v>78</v>
      </c>
      <c r="BK7" s="404" t="s">
        <v>79</v>
      </c>
      <c r="BL7" s="405" t="s">
        <v>80</v>
      </c>
      <c r="BM7" s="404" t="s">
        <v>81</v>
      </c>
      <c r="BN7" s="412" t="s">
        <v>82</v>
      </c>
      <c r="BO7" s="404" t="s">
        <v>83</v>
      </c>
      <c r="BP7" s="412" t="s">
        <v>84</v>
      </c>
      <c r="BQ7" s="412" t="s">
        <v>85</v>
      </c>
      <c r="BR7" s="398"/>
      <c r="BS7" s="398"/>
      <c r="BT7" s="398"/>
      <c r="BU7" s="407"/>
      <c r="BW7" s="410"/>
      <c r="BX7" s="423"/>
      <c r="BY7" s="424"/>
      <c r="BZ7" s="424"/>
      <c r="CA7" s="411"/>
      <c r="CB7" s="398"/>
      <c r="CC7" s="398"/>
      <c r="CD7" s="398"/>
      <c r="CH7" s="46"/>
      <c r="CI7" s="47"/>
    </row>
    <row r="8" spans="1:87" s="48" customFormat="1" ht="12">
      <c r="A8" s="401"/>
      <c r="B8" s="401"/>
      <c r="C8" s="401"/>
      <c r="D8" s="401"/>
      <c r="E8" s="401"/>
      <c r="F8" s="401"/>
      <c r="G8" s="401"/>
      <c r="H8" s="401"/>
      <c r="I8" s="401"/>
      <c r="J8" s="401"/>
      <c r="K8" s="401"/>
      <c r="L8" s="401"/>
      <c r="M8" s="401"/>
      <c r="N8" s="401"/>
      <c r="O8" s="401"/>
      <c r="P8" s="401"/>
      <c r="Q8" s="401"/>
      <c r="R8" s="401"/>
      <c r="S8" s="401"/>
      <c r="T8" s="401"/>
      <c r="U8" s="401"/>
      <c r="V8" s="49" t="s">
        <v>86</v>
      </c>
      <c r="W8" s="49" t="s">
        <v>87</v>
      </c>
      <c r="X8" s="401"/>
      <c r="Y8" s="401"/>
      <c r="Z8" s="401"/>
      <c r="AA8" s="401"/>
      <c r="AB8" s="401"/>
      <c r="AC8" s="401"/>
      <c r="AD8" s="401"/>
      <c r="AE8" s="401"/>
      <c r="AF8" s="401"/>
      <c r="AG8" s="401"/>
      <c r="AH8" s="401"/>
      <c r="AI8" s="401"/>
      <c r="AJ8" s="401"/>
      <c r="AK8" s="408"/>
      <c r="AL8" s="401"/>
      <c r="AM8" s="401"/>
      <c r="AN8" s="401"/>
      <c r="AO8" s="401"/>
      <c r="AP8" s="401"/>
      <c r="AQ8" s="401"/>
      <c r="AR8" s="401"/>
      <c r="AS8" s="401"/>
      <c r="AT8" s="401"/>
      <c r="AU8" s="401"/>
      <c r="AV8" s="401"/>
      <c r="AW8" s="401"/>
      <c r="AX8" s="401"/>
      <c r="AY8" s="30" t="s">
        <v>88</v>
      </c>
      <c r="AZ8" s="30" t="s">
        <v>89</v>
      </c>
      <c r="BA8" s="30" t="s">
        <v>90</v>
      </c>
      <c r="BB8" s="401"/>
      <c r="BC8" s="401"/>
      <c r="BD8" s="401"/>
      <c r="BE8" s="401"/>
      <c r="BF8" s="401"/>
      <c r="BG8" s="401"/>
      <c r="BH8" s="401"/>
      <c r="BI8" s="401"/>
      <c r="BJ8" s="401"/>
      <c r="BK8" s="401"/>
      <c r="BL8" s="401"/>
      <c r="BM8" s="401"/>
      <c r="BN8" s="401"/>
      <c r="BO8" s="401"/>
      <c r="BP8" s="401"/>
      <c r="BQ8" s="401"/>
      <c r="BR8" s="401"/>
      <c r="BS8" s="401"/>
      <c r="BT8" s="401"/>
      <c r="BU8" s="408"/>
      <c r="BW8" s="411"/>
      <c r="BX8" s="23" t="s">
        <v>91</v>
      </c>
      <c r="BY8" s="23" t="s">
        <v>92</v>
      </c>
      <c r="BZ8" s="23" t="s">
        <v>93</v>
      </c>
      <c r="CA8" s="24" t="s">
        <v>94</v>
      </c>
      <c r="CB8" s="399"/>
      <c r="CC8" s="399"/>
      <c r="CD8" s="399"/>
      <c r="CE8" s="45"/>
      <c r="CF8" s="50"/>
      <c r="CH8" s="46"/>
      <c r="CI8" s="47"/>
    </row>
    <row r="9" spans="1:87" s="51" customFormat="1" ht="11">
      <c r="A9" s="4">
        <v>1</v>
      </c>
      <c r="B9" s="5">
        <f>A9+1</f>
        <v>2</v>
      </c>
      <c r="C9" s="5">
        <f>B9+1</f>
        <v>3</v>
      </c>
      <c r="D9" s="5">
        <f>C9+1</f>
        <v>4</v>
      </c>
      <c r="E9" s="5"/>
      <c r="F9" s="5">
        <f>D9+1</f>
        <v>5</v>
      </c>
      <c r="G9" s="5">
        <f t="shared" ref="G9:AV9" si="0">F9+1</f>
        <v>6</v>
      </c>
      <c r="H9" s="5">
        <f t="shared" si="0"/>
        <v>7</v>
      </c>
      <c r="I9" s="5">
        <f t="shared" si="0"/>
        <v>8</v>
      </c>
      <c r="J9" s="5">
        <f t="shared" si="0"/>
        <v>9</v>
      </c>
      <c r="K9" s="5">
        <f t="shared" si="0"/>
        <v>10</v>
      </c>
      <c r="L9" s="5">
        <f t="shared" si="0"/>
        <v>11</v>
      </c>
      <c r="M9" s="5">
        <f t="shared" si="0"/>
        <v>12</v>
      </c>
      <c r="N9" s="5">
        <f t="shared" si="0"/>
        <v>13</v>
      </c>
      <c r="O9" s="5">
        <f t="shared" si="0"/>
        <v>14</v>
      </c>
      <c r="P9" s="5">
        <f t="shared" si="0"/>
        <v>15</v>
      </c>
      <c r="Q9" s="5">
        <f t="shared" si="0"/>
        <v>16</v>
      </c>
      <c r="R9" s="5">
        <f t="shared" si="0"/>
        <v>17</v>
      </c>
      <c r="S9" s="5">
        <f t="shared" si="0"/>
        <v>18</v>
      </c>
      <c r="T9" s="5">
        <f t="shared" si="0"/>
        <v>19</v>
      </c>
      <c r="U9" s="5">
        <f t="shared" si="0"/>
        <v>20</v>
      </c>
      <c r="V9" s="5">
        <f t="shared" si="0"/>
        <v>21</v>
      </c>
      <c r="W9" s="5">
        <f t="shared" si="0"/>
        <v>22</v>
      </c>
      <c r="X9" s="5">
        <f t="shared" si="0"/>
        <v>23</v>
      </c>
      <c r="Y9" s="5">
        <f t="shared" si="0"/>
        <v>24</v>
      </c>
      <c r="Z9" s="5">
        <f t="shared" si="0"/>
        <v>25</v>
      </c>
      <c r="AA9" s="5">
        <f t="shared" si="0"/>
        <v>26</v>
      </c>
      <c r="AB9" s="5">
        <f t="shared" si="0"/>
        <v>27</v>
      </c>
      <c r="AC9" s="5">
        <f t="shared" si="0"/>
        <v>28</v>
      </c>
      <c r="AD9" s="5">
        <f t="shared" si="0"/>
        <v>29</v>
      </c>
      <c r="AE9" s="5">
        <f t="shared" si="0"/>
        <v>30</v>
      </c>
      <c r="AF9" s="5">
        <f t="shared" si="0"/>
        <v>31</v>
      </c>
      <c r="AG9" s="5">
        <f t="shared" si="0"/>
        <v>32</v>
      </c>
      <c r="AH9" s="5">
        <f t="shared" si="0"/>
        <v>33</v>
      </c>
      <c r="AI9" s="5">
        <f t="shared" si="0"/>
        <v>34</v>
      </c>
      <c r="AJ9" s="5">
        <f t="shared" si="0"/>
        <v>35</v>
      </c>
      <c r="AK9" s="5">
        <f t="shared" si="0"/>
        <v>36</v>
      </c>
      <c r="AL9" s="5">
        <f t="shared" si="0"/>
        <v>37</v>
      </c>
      <c r="AM9" s="5">
        <f t="shared" si="0"/>
        <v>38</v>
      </c>
      <c r="AN9" s="5">
        <f t="shared" si="0"/>
        <v>39</v>
      </c>
      <c r="AO9" s="5">
        <f t="shared" si="0"/>
        <v>40</v>
      </c>
      <c r="AP9" s="5">
        <f t="shared" si="0"/>
        <v>41</v>
      </c>
      <c r="AQ9" s="5">
        <f t="shared" si="0"/>
        <v>42</v>
      </c>
      <c r="AR9" s="5">
        <f t="shared" si="0"/>
        <v>43</v>
      </c>
      <c r="AS9" s="5">
        <f t="shared" si="0"/>
        <v>44</v>
      </c>
      <c r="AT9" s="5">
        <f t="shared" si="0"/>
        <v>45</v>
      </c>
      <c r="AU9" s="5">
        <f t="shared" si="0"/>
        <v>46</v>
      </c>
      <c r="AV9" s="5">
        <f t="shared" si="0"/>
        <v>47</v>
      </c>
      <c r="AW9" s="5"/>
      <c r="AX9" s="5"/>
      <c r="AY9" s="5">
        <f>AV9+1</f>
        <v>48</v>
      </c>
      <c r="AZ9" s="5">
        <f t="shared" ref="AZ9:BE9" si="1">AY9+1</f>
        <v>49</v>
      </c>
      <c r="BA9" s="5">
        <f t="shared" si="1"/>
        <v>50</v>
      </c>
      <c r="BB9" s="5">
        <f t="shared" si="1"/>
        <v>51</v>
      </c>
      <c r="BC9" s="5">
        <f t="shared" si="1"/>
        <v>52</v>
      </c>
      <c r="BD9" s="5">
        <f t="shared" si="1"/>
        <v>53</v>
      </c>
      <c r="BE9" s="5">
        <f t="shared" si="1"/>
        <v>54</v>
      </c>
      <c r="BF9" s="5"/>
      <c r="BG9" s="5"/>
      <c r="BH9" s="5"/>
      <c r="BI9" s="5"/>
      <c r="BJ9" s="5"/>
      <c r="BK9" s="5"/>
      <c r="BL9" s="5">
        <f>BE9+1</f>
        <v>55</v>
      </c>
      <c r="BM9" s="5">
        <f t="shared" ref="BM9:BU9" si="2">BL9+1</f>
        <v>56</v>
      </c>
      <c r="BN9" s="5">
        <f t="shared" si="2"/>
        <v>57</v>
      </c>
      <c r="BO9" s="5">
        <f t="shared" si="2"/>
        <v>58</v>
      </c>
      <c r="BP9" s="5">
        <f t="shared" si="2"/>
        <v>59</v>
      </c>
      <c r="BQ9" s="5">
        <f t="shared" si="2"/>
        <v>60</v>
      </c>
      <c r="BR9" s="5">
        <f t="shared" si="2"/>
        <v>61</v>
      </c>
      <c r="BS9" s="5">
        <f t="shared" si="2"/>
        <v>62</v>
      </c>
      <c r="BT9" s="5">
        <f t="shared" si="2"/>
        <v>63</v>
      </c>
      <c r="BU9" s="5">
        <f t="shared" si="2"/>
        <v>64</v>
      </c>
      <c r="BW9" s="32" t="s">
        <v>95</v>
      </c>
      <c r="BX9" s="5">
        <f t="shared" ref="BX9:CD9" si="3">BW9+1</f>
        <v>66</v>
      </c>
      <c r="BY9" s="5">
        <f t="shared" si="3"/>
        <v>67</v>
      </c>
      <c r="BZ9" s="5">
        <f t="shared" si="3"/>
        <v>68</v>
      </c>
      <c r="CA9" s="5">
        <f t="shared" si="3"/>
        <v>69</v>
      </c>
      <c r="CB9" s="5">
        <f t="shared" si="3"/>
        <v>70</v>
      </c>
      <c r="CC9" s="5">
        <f t="shared" si="3"/>
        <v>71</v>
      </c>
      <c r="CD9" s="5">
        <f t="shared" si="3"/>
        <v>72</v>
      </c>
      <c r="CG9" s="48"/>
      <c r="CH9" s="46"/>
      <c r="CI9" s="47"/>
    </row>
    <row r="10" spans="1:87" s="52" customFormat="1" ht="11">
      <c r="A10" s="26" t="s">
        <v>96</v>
      </c>
      <c r="B10" s="26" t="s">
        <v>96</v>
      </c>
      <c r="C10" s="26" t="s">
        <v>96</v>
      </c>
      <c r="D10" s="5"/>
      <c r="E10" s="5"/>
      <c r="F10" s="5"/>
      <c r="G10" s="26" t="s">
        <v>96</v>
      </c>
      <c r="H10" s="26" t="s">
        <v>96</v>
      </c>
      <c r="I10" s="26" t="s">
        <v>96</v>
      </c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  <c r="AQ10" s="25"/>
      <c r="AR10" s="25"/>
      <c r="AS10" s="25"/>
      <c r="AT10" s="25"/>
      <c r="AU10" s="25"/>
      <c r="AV10" s="25"/>
      <c r="AW10" s="25"/>
      <c r="AX10" s="25"/>
      <c r="AY10" s="25"/>
      <c r="AZ10" s="25"/>
      <c r="BA10" s="25"/>
      <c r="BB10" s="25"/>
      <c r="BC10" s="25"/>
      <c r="BD10" s="25"/>
      <c r="BE10" s="25"/>
      <c r="BF10" s="25"/>
      <c r="BG10" s="25"/>
      <c r="BH10" s="25"/>
      <c r="BI10" s="25"/>
      <c r="BJ10" s="25"/>
      <c r="BK10" s="25"/>
      <c r="BL10" s="25"/>
      <c r="BM10" s="25"/>
      <c r="BN10" s="25"/>
      <c r="BO10" s="25"/>
      <c r="BP10" s="25"/>
      <c r="BQ10" s="25"/>
      <c r="BR10" s="25"/>
      <c r="BS10" s="25"/>
      <c r="BT10" s="25"/>
      <c r="BU10" s="31"/>
      <c r="BW10" s="33"/>
      <c r="BX10" s="25"/>
      <c r="BY10" s="25"/>
      <c r="BZ10" s="25"/>
      <c r="CA10" s="25"/>
      <c r="CB10" s="25"/>
      <c r="CC10" s="25"/>
      <c r="CD10" s="25"/>
      <c r="CG10" s="53"/>
      <c r="CH10" s="46"/>
      <c r="CI10" s="47"/>
    </row>
    <row r="11" spans="1:87" s="62" customFormat="1" ht="11">
      <c r="A11" s="54"/>
      <c r="B11" s="55"/>
      <c r="C11" s="55"/>
      <c r="D11" s="56"/>
      <c r="E11" s="56"/>
      <c r="F11" s="56"/>
      <c r="G11" s="55">
        <f>SUM(G12:G14)</f>
        <v>23500000</v>
      </c>
      <c r="H11" s="55">
        <f>SUM(H12:H14)</f>
        <v>300000</v>
      </c>
      <c r="I11" s="55">
        <f>SUM(I12:I14)</f>
        <v>78200000</v>
      </c>
      <c r="J11" s="55"/>
      <c r="K11" s="57">
        <f>SUM(K12:K14)</f>
        <v>81</v>
      </c>
      <c r="L11" s="57"/>
      <c r="M11" s="57"/>
      <c r="N11" s="57"/>
      <c r="O11" s="57"/>
      <c r="P11" s="57"/>
      <c r="Q11" s="57"/>
      <c r="R11" s="57">
        <f>SUM(R12:R14)</f>
        <v>0</v>
      </c>
      <c r="S11" s="57">
        <f>SUM(S12:S14)</f>
        <v>0</v>
      </c>
      <c r="T11" s="58"/>
      <c r="U11" s="57">
        <f>SUM(U12:U14)</f>
        <v>0</v>
      </c>
      <c r="V11" s="57">
        <f>SUM(V12:V14)</f>
        <v>0</v>
      </c>
      <c r="W11" s="57">
        <f>SUM(W12:W14)</f>
        <v>0</v>
      </c>
      <c r="X11" s="57">
        <f>SUM(X12:X14)</f>
        <v>0</v>
      </c>
      <c r="Y11" s="55">
        <f>SUM(Y12:Y14)</f>
        <v>24403846.153846152</v>
      </c>
      <c r="Z11" s="55"/>
      <c r="AA11" s="55"/>
      <c r="AB11" s="55"/>
      <c r="AC11" s="55">
        <f>SUM(AC12:AC14)</f>
        <v>0</v>
      </c>
      <c r="AD11" s="55">
        <f>SUM(AD12:AD14)</f>
        <v>0</v>
      </c>
      <c r="AE11" s="55"/>
      <c r="AF11" s="55">
        <f t="shared" ref="AF11:AO11" si="4">SUM(AF12:AF14)</f>
        <v>0</v>
      </c>
      <c r="AG11" s="55">
        <f t="shared" si="4"/>
        <v>0</v>
      </c>
      <c r="AH11" s="55">
        <f t="shared" si="4"/>
        <v>0</v>
      </c>
      <c r="AI11" s="55">
        <f t="shared" si="4"/>
        <v>0</v>
      </c>
      <c r="AJ11" s="55">
        <f t="shared" si="4"/>
        <v>0</v>
      </c>
      <c r="AK11" s="55">
        <f t="shared" si="4"/>
        <v>0</v>
      </c>
      <c r="AL11" s="55">
        <f t="shared" si="4"/>
        <v>0</v>
      </c>
      <c r="AM11" s="55">
        <f t="shared" si="4"/>
        <v>0</v>
      </c>
      <c r="AN11" s="55">
        <f t="shared" si="4"/>
        <v>0</v>
      </c>
      <c r="AO11" s="55">
        <f t="shared" si="4"/>
        <v>81519230.769230768</v>
      </c>
      <c r="AP11" s="55"/>
      <c r="AQ11" s="55"/>
      <c r="AR11" s="55"/>
      <c r="AS11" s="55"/>
      <c r="AT11" s="55"/>
      <c r="AU11" s="55"/>
      <c r="AV11" s="55">
        <f>SUM(AV12:AV14)</f>
        <v>107483076.92307693</v>
      </c>
      <c r="AW11" s="55"/>
      <c r="AX11" s="55"/>
      <c r="AY11" s="55">
        <f>SUM(AY12:AY14)</f>
        <v>1142400</v>
      </c>
      <c r="AZ11" s="55">
        <f>SUM(AZ12:AZ14)</f>
        <v>214200</v>
      </c>
      <c r="BA11" s="55">
        <f>SUM(BA12:BA14)</f>
        <v>142800</v>
      </c>
      <c r="BB11" s="55">
        <f>SUM(BB12:BB14)</f>
        <v>1499400</v>
      </c>
      <c r="BC11" s="55">
        <f>SUM(BC12:BC14)</f>
        <v>0</v>
      </c>
      <c r="BD11" s="55"/>
      <c r="BE11" s="55">
        <f>SUM(BE12:BE14)</f>
        <v>235000</v>
      </c>
      <c r="BF11" s="55"/>
      <c r="BG11" s="55"/>
      <c r="BH11" s="55"/>
      <c r="BI11" s="55"/>
      <c r="BJ11" s="55"/>
      <c r="BK11" s="55"/>
      <c r="BL11" s="55">
        <f t="shared" ref="BL11:BQ11" si="5">SUM(BL12:BL14)</f>
        <v>6675112.230769231</v>
      </c>
      <c r="BM11" s="55">
        <f t="shared" si="5"/>
        <v>0</v>
      </c>
      <c r="BN11" s="55">
        <f t="shared" si="5"/>
        <v>0</v>
      </c>
      <c r="BO11" s="55">
        <f t="shared" si="5"/>
        <v>0</v>
      </c>
      <c r="BP11" s="55">
        <f t="shared" si="5"/>
        <v>0</v>
      </c>
      <c r="BQ11" s="55">
        <f t="shared" si="5"/>
        <v>0</v>
      </c>
      <c r="BR11" s="55"/>
      <c r="BS11" s="55"/>
      <c r="BT11" s="55">
        <f>SUM(BT12:BT14)</f>
        <v>0</v>
      </c>
      <c r="BU11" s="59">
        <f>SUM(BU12:BU14)</f>
        <v>99073564.692307696</v>
      </c>
      <c r="BW11" s="60"/>
      <c r="BX11" s="61"/>
      <c r="BY11" s="61"/>
      <c r="BZ11" s="61"/>
      <c r="CA11" s="61"/>
      <c r="CB11" s="61"/>
      <c r="CC11" s="61"/>
      <c r="CD11" s="61"/>
    </row>
    <row r="12" spans="1:87" s="80" customFormat="1" ht="11">
      <c r="A12" s="63">
        <f>IF(B12=0,"",COUNTA($B$12:(B12)))</f>
        <v>1</v>
      </c>
      <c r="B12" s="64">
        <v>123456</v>
      </c>
      <c r="C12" s="65" t="s">
        <v>120</v>
      </c>
      <c r="D12" s="66" t="s">
        <v>121</v>
      </c>
      <c r="E12" s="67" t="s">
        <v>113</v>
      </c>
      <c r="F12" s="68" t="s">
        <v>100</v>
      </c>
      <c r="G12" s="69">
        <v>9520000</v>
      </c>
      <c r="H12" s="69">
        <f>+IF(OR(CC12="ĐT PCCC",CC12="ĐP PCCC"),780000,IF(CC12="AT-VSV",300000,0))</f>
        <v>0</v>
      </c>
      <c r="I12" s="69">
        <f>CB12-BZ12-G12-H12</f>
        <v>50480000</v>
      </c>
      <c r="J12" s="70">
        <v>1</v>
      </c>
      <c r="K12" s="71">
        <v>27</v>
      </c>
      <c r="L12" s="71"/>
      <c r="M12" s="71"/>
      <c r="N12" s="71"/>
      <c r="O12" s="71"/>
      <c r="P12" s="71"/>
      <c r="Q12" s="71"/>
      <c r="R12" s="71">
        <v>0</v>
      </c>
      <c r="S12" s="71">
        <v>0</v>
      </c>
      <c r="T12" s="72"/>
      <c r="U12" s="71">
        <v>0</v>
      </c>
      <c r="V12" s="71">
        <v>0</v>
      </c>
      <c r="W12" s="71">
        <v>0</v>
      </c>
      <c r="X12" s="71">
        <v>0</v>
      </c>
      <c r="Y12" s="69">
        <f>G12*(K12+L12)/26</f>
        <v>9886153.846153846</v>
      </c>
      <c r="Z12" s="69">
        <f>M12*G12/26</f>
        <v>0</v>
      </c>
      <c r="AA12" s="69">
        <f>G12*N12/26</f>
        <v>0</v>
      </c>
      <c r="AB12" s="69">
        <f>G12*O12/26</f>
        <v>0</v>
      </c>
      <c r="AC12" s="69">
        <f>G12*P12*150%/26</f>
        <v>0</v>
      </c>
      <c r="AD12" s="69">
        <f>G12*Q12/26*200%</f>
        <v>0</v>
      </c>
      <c r="AE12" s="69">
        <f>G12*R12/26*300%</f>
        <v>0</v>
      </c>
      <c r="AF12" s="69">
        <f>ROUND((G12+H12)/26*S12*30%,0)</f>
        <v>0</v>
      </c>
      <c r="AG12" s="69">
        <f>T12*G12/26/8</f>
        <v>0</v>
      </c>
      <c r="AH12" s="69">
        <f>CB12/26*U12</f>
        <v>0</v>
      </c>
      <c r="AI12" s="69">
        <f>G12*V12/26</f>
        <v>0</v>
      </c>
      <c r="AJ12" s="69"/>
      <c r="AK12" s="69">
        <f>BZ12*L12/26</f>
        <v>0</v>
      </c>
      <c r="AL12" s="69"/>
      <c r="AM12" s="69">
        <f>X12*CD12</f>
        <v>0</v>
      </c>
      <c r="AN12" s="69">
        <f>H12/26*(K12+L12)</f>
        <v>0</v>
      </c>
      <c r="AO12" s="69">
        <f>IF(F12="LN",I12*(K12+L12)/26+(H12+I12)*50%*M12/26+MAX($G12*P12/26*150%,P12*$BW12/26)-AC12+MAX($G12*Q12/26*200%,Q12*$BW12/26)-AD12+MAX($G12*R12/26*300%,R12*$BW12/26)-AE12+BW12*S12/26-AF12+AH12-AG12,I12-I12*($CF$3-K12-L12)/26+(H12+I12)*50%*M12/26+BW12*O12/26-AB12+MAX($G12*P12/26*150%,P12*$BW12/26)-AC12+MAX($G12*Q12/26*200%,Q12*$BW12/26)-AD12+MAX($G12*R12/26*300%,R12*$BW12/26)-AE12+BW12*S12/26-AF12+AH12-AG12+(G12-G12*($CF$3-K12-L12)/26-Y12)+(H12-H12*($CF$3-K12-L12)/26-AN12))</f>
        <v>52421538.461538464</v>
      </c>
      <c r="AP12" s="69"/>
      <c r="AQ12" s="69"/>
      <c r="AR12" s="69">
        <v>780000</v>
      </c>
      <c r="AS12" s="69"/>
      <c r="AT12" s="69"/>
      <c r="AU12" s="69"/>
      <c r="AV12" s="73">
        <f>Y12+Z12+AA12+AB12+AC12+AD12+AE12+AF12+AG12+AI12+AJ12+AK12+AL12+AM12+AN12+AO12+AP12-AQ12+AR12+AS12+AT12+AU12</f>
        <v>63087692.307692312</v>
      </c>
      <c r="AW12" s="73"/>
      <c r="AX12" s="73">
        <f>IF(E12="CT","x",0)</f>
        <v>0</v>
      </c>
      <c r="AY12" s="74">
        <f t="shared" ref="AY12:BA14" si="6">ROUND(IF($AX12="x",($G12+$H12)*AY$8,0),0)</f>
        <v>0</v>
      </c>
      <c r="AZ12" s="74">
        <f t="shared" si="6"/>
        <v>0</v>
      </c>
      <c r="BA12" s="74">
        <f t="shared" si="6"/>
        <v>0</v>
      </c>
      <c r="BB12" s="74">
        <f>SUM(AY12:BA12)</f>
        <v>0</v>
      </c>
      <c r="BC12" s="74"/>
      <c r="BD12" s="74"/>
      <c r="BE12" s="74">
        <f>IF(G12*1%&gt;=234000,234000,G12*1%)</f>
        <v>95200</v>
      </c>
      <c r="BF12" s="74">
        <f>AM12+IF(E12="CT",IF(AR12&gt;=730000,730000,AR12),0)+IF(((AV12-AM12-IF(AR12&gt;=730000,730000,AR12)-AS12)*15%-AS12)&gt;"0",((AV12-AM12-IF(AR12&gt;=730000,730000,AR12)-AS12)*15%-AS12),0)</f>
        <v>0</v>
      </c>
      <c r="BG12" s="74">
        <f>AV12-BF12+AW12</f>
        <v>63087692.307692312</v>
      </c>
      <c r="BH12" s="74">
        <v>3</v>
      </c>
      <c r="BI12" s="74">
        <v>4400000</v>
      </c>
      <c r="BJ12" s="74">
        <f>IF(E12="CT",11000000,0)</f>
        <v>0</v>
      </c>
      <c r="BK12" s="74">
        <f>BG12-BB12-BC12+BD12-BH12*BI12-BJ12</f>
        <v>49887692.307692312</v>
      </c>
      <c r="BL12" s="61">
        <f>IF(E12="TV",BK12*10%,IF(BK12&gt;0,ROUND(IF(BK12&gt;=80000000,BK12*35%-9850000,IF(BK12&gt;=52000000,BK12*30%-5850000,IF(BK12&gt;=32000000,BK12*25%-3250000,IF(BK12&gt;=18000000,BK12*20%-1650000,IF(BK12&gt;=10000000,BK12*15%-750000,IF(BK12&gt;5000000,BK12*10%-250000,BK12*5%)))))),0),0))</f>
        <v>4988769.230769231</v>
      </c>
      <c r="BM12" s="74"/>
      <c r="BN12" s="74"/>
      <c r="BO12" s="74">
        <v>0</v>
      </c>
      <c r="BP12" s="74"/>
      <c r="BQ12" s="74"/>
      <c r="BR12" s="74"/>
      <c r="BS12" s="74"/>
      <c r="BT12" s="74">
        <f>SUMIFS('Bảng lương tạm ứng kỳ 1'!BN:BN,'Mô tả Bảng lương CB-NV'!B:B,'Bảng lương tạm ứng kỳ 1'!B14)</f>
        <v>0</v>
      </c>
      <c r="BU12" s="75">
        <f>AV12-BB12-BC12+BD12-BE12-BL12-BM12-BN12-BO12-BP12-BQ12-BR12+BS12-BT12</f>
        <v>58003723.07692308</v>
      </c>
      <c r="BW12" s="60">
        <v>60000000</v>
      </c>
      <c r="BX12" s="61">
        <v>0</v>
      </c>
      <c r="BY12" s="61"/>
      <c r="BZ12" s="61"/>
      <c r="CA12" s="61">
        <v>0</v>
      </c>
      <c r="CB12" s="61">
        <f>SUM(BW12:CA12)</f>
        <v>60000000</v>
      </c>
      <c r="CC12" s="61" t="s">
        <v>122</v>
      </c>
      <c r="CD12" s="61"/>
      <c r="CE12" s="76"/>
      <c r="CF12" s="77"/>
      <c r="CG12" s="77"/>
      <c r="CH12" s="78"/>
      <c r="CI12" s="79"/>
    </row>
    <row r="13" spans="1:87" s="80" customFormat="1" ht="11">
      <c r="A13" s="63">
        <f>IF(B13=0,"",COUNTA($B$12:(B13)))</f>
        <v>2</v>
      </c>
      <c r="B13" s="64">
        <v>3562789</v>
      </c>
      <c r="C13" s="65" t="s">
        <v>123</v>
      </c>
      <c r="D13" s="66" t="s">
        <v>121</v>
      </c>
      <c r="E13" s="67" t="s">
        <v>99</v>
      </c>
      <c r="F13" s="68" t="s">
        <v>100</v>
      </c>
      <c r="G13" s="69">
        <v>6990000</v>
      </c>
      <c r="H13" s="69">
        <f>+IF(OR(CC13="ĐT PCCC",CC13="ĐP PCCC"),780000,IF(CC13="AT-VSV",300000,0))</f>
        <v>0</v>
      </c>
      <c r="I13" s="69">
        <f>CB13-BZ13-G13-H13</f>
        <v>17160000</v>
      </c>
      <c r="J13" s="70">
        <v>1</v>
      </c>
      <c r="K13" s="71">
        <v>27</v>
      </c>
      <c r="L13" s="71"/>
      <c r="M13" s="71">
        <v>0</v>
      </c>
      <c r="N13" s="71"/>
      <c r="O13" s="71"/>
      <c r="P13" s="71"/>
      <c r="Q13" s="71"/>
      <c r="R13" s="71">
        <v>0</v>
      </c>
      <c r="S13" s="71">
        <v>0</v>
      </c>
      <c r="T13" s="72"/>
      <c r="U13" s="71">
        <v>0</v>
      </c>
      <c r="V13" s="71">
        <v>0</v>
      </c>
      <c r="W13" s="71">
        <v>0</v>
      </c>
      <c r="X13" s="71">
        <v>0</v>
      </c>
      <c r="Y13" s="69">
        <f>G13*(K13+L13)/26</f>
        <v>7258846.153846154</v>
      </c>
      <c r="Z13" s="69">
        <f>M13*G13/26</f>
        <v>0</v>
      </c>
      <c r="AA13" s="69">
        <f>G13*N13/26</f>
        <v>0</v>
      </c>
      <c r="AB13" s="69">
        <f>G13*O13/26</f>
        <v>0</v>
      </c>
      <c r="AC13" s="69">
        <f>G13*P13*150%/26</f>
        <v>0</v>
      </c>
      <c r="AD13" s="69">
        <f>G13*Q13/26*200%</f>
        <v>0</v>
      </c>
      <c r="AE13" s="69">
        <f>G13*R13/26*300%</f>
        <v>0</v>
      </c>
      <c r="AF13" s="69">
        <f>ROUND((G13+H13)/26*S13*30%,0)</f>
        <v>0</v>
      </c>
      <c r="AG13" s="69">
        <f>T13*G13/26/8</f>
        <v>0</v>
      </c>
      <c r="AH13" s="69">
        <f>CB13/26*U13</f>
        <v>0</v>
      </c>
      <c r="AI13" s="69">
        <f>G13*V13/26</f>
        <v>0</v>
      </c>
      <c r="AJ13" s="69"/>
      <c r="AK13" s="69">
        <f>BZ13*L13/26</f>
        <v>0</v>
      </c>
      <c r="AL13" s="69"/>
      <c r="AM13" s="69">
        <f>X13*CD13</f>
        <v>0</v>
      </c>
      <c r="AN13" s="69">
        <f>H13/26*K13</f>
        <v>0</v>
      </c>
      <c r="AO13" s="69">
        <f>IF(F13="LN",I13*(K13+L13)/26+(H13+I13)*50%*M13/26+MAX($G13*P13/26*150%,P13*$BW13/26)-AC13+MAX($G13*Q13/26*200%,Q13*$BW13/26)-AD13+MAX($G13*R13/26*300%,R13*$BW13/26)-AE13+BW13*S13/26-AF13+AH13-AG13,I13-I13*($CF$3-K13-L13)/26+(H13+I13)*50%*M13/26+BW13*O13/26-AB13+MAX($G13*P13/26*150%,P13*$BW13/26)-AC13+MAX($G13*Q13/26*200%,Q13*$BW13/26)-AD13+MAX($G13*R13/26*300%,R13*$BW13/26)-AE13+BW13*S13/26-AF13+AH13-AG13+(G13-G13*($CF$3-K13-L13)/26-Y13)+(H13-H13*($CF$3-K13-L13)/26-AN13))</f>
        <v>17820000</v>
      </c>
      <c r="AP13" s="69"/>
      <c r="AQ13" s="69"/>
      <c r="AR13" s="69">
        <v>780000</v>
      </c>
      <c r="AS13" s="69"/>
      <c r="AT13" s="69"/>
      <c r="AU13" s="69"/>
      <c r="AV13" s="73">
        <f>Y13+Z13+AA13+AB13+AC13+AD13+AE13+AF13+AG13+AI13+AJ13+AK13+AL13+AM13+AN13+AO13+AP13-AQ13+AR13+AS13+AT13+AU13</f>
        <v>25858846.153846152</v>
      </c>
      <c r="AW13" s="73"/>
      <c r="AX13" s="73" t="str">
        <f>IF(E13="CT","x",0)</f>
        <v>x</v>
      </c>
      <c r="AY13" s="74">
        <f t="shared" si="6"/>
        <v>559200</v>
      </c>
      <c r="AZ13" s="74">
        <f t="shared" si="6"/>
        <v>104850</v>
      </c>
      <c r="BA13" s="74">
        <f t="shared" si="6"/>
        <v>69900</v>
      </c>
      <c r="BB13" s="74">
        <f>SUM(AY13:BA13)</f>
        <v>733950</v>
      </c>
      <c r="BC13" s="74"/>
      <c r="BD13" s="74"/>
      <c r="BE13" s="74">
        <f>IF(G13*1%&gt;=234000,234000,G13*1%)</f>
        <v>69900</v>
      </c>
      <c r="BF13" s="74">
        <f>AM13+IF(E13="CT",IF(AR13&gt;=730000,730000,AR13),0)+IF(((AV13-AM13-IF(AR13&gt;=730000,730000,AR13)-AS13)*15%-AS13)&gt;"0",((AV13-AM13-IF(AR13&gt;=730000,730000,AR13)-AS13)*15%-AS13),0)</f>
        <v>730000</v>
      </c>
      <c r="BG13" s="74">
        <f>AV13-BF13+AW13</f>
        <v>25128846.153846152</v>
      </c>
      <c r="BH13" s="74"/>
      <c r="BI13" s="74">
        <v>4400000</v>
      </c>
      <c r="BJ13" s="74">
        <f>IF(E13="CT",11000000,0)</f>
        <v>11000000</v>
      </c>
      <c r="BK13" s="74">
        <f>BG13-BB13-BC13+BD13-BH13*BI13-BJ13</f>
        <v>13394896.153846152</v>
      </c>
      <c r="BL13" s="61">
        <f>IF(E13="TV",BK13*10%,IF(BK13&gt;0,ROUND(IF(BK13&gt;=80000000,BK13*35%-9850000,IF(BK13&gt;=52000000,BK13*30%-5850000,IF(BK13&gt;=32000000,BK13*25%-3250000,IF(BK13&gt;=18000000,BK13*20%-1650000,IF(BK13&gt;=10000000,BK13*15%-750000,IF(BK13&gt;5000000,BK13*10%-250000,BK13*5%)))))),0),0))</f>
        <v>1259234</v>
      </c>
      <c r="BM13" s="74"/>
      <c r="BN13" s="74"/>
      <c r="BO13" s="74">
        <v>0</v>
      </c>
      <c r="BP13" s="74"/>
      <c r="BQ13" s="74"/>
      <c r="BR13" s="74"/>
      <c r="BS13" s="74"/>
      <c r="BT13" s="74">
        <f>SUMIFS('Bảng lương tạm ứng kỳ 1'!BN:BN,'Mô tả Bảng lương CB-NV'!B:B,'Bảng lương tạm ứng kỳ 1'!B19)</f>
        <v>0</v>
      </c>
      <c r="BU13" s="75">
        <f>AV13-BB13-BC13+BD13-BE13-BL13-BM13-BN13-BO13-BP13-BQ13-BR13+BS13-BT13</f>
        <v>23795762.153846152</v>
      </c>
      <c r="BW13" s="60">
        <v>23000000</v>
      </c>
      <c r="BX13" s="61">
        <v>0</v>
      </c>
      <c r="BY13" s="61">
        <v>0</v>
      </c>
      <c r="BZ13" s="61"/>
      <c r="CA13" s="61">
        <f>+BW13*5%</f>
        <v>1150000</v>
      </c>
      <c r="CB13" s="61">
        <f>SUM(BW13:CA13)</f>
        <v>24150000</v>
      </c>
      <c r="CC13" s="61" t="s">
        <v>114</v>
      </c>
      <c r="CD13" s="61"/>
      <c r="CE13" s="76"/>
      <c r="CF13" s="77"/>
      <c r="CG13" s="77"/>
      <c r="CH13" s="78"/>
      <c r="CI13" s="79"/>
    </row>
    <row r="14" spans="1:87" s="80" customFormat="1" ht="11">
      <c r="A14" s="63">
        <f>IF(B14=0,"",COUNTA($B$12:(B14)))</f>
        <v>3</v>
      </c>
      <c r="B14" s="81" t="s">
        <v>124</v>
      </c>
      <c r="C14" s="65" t="s">
        <v>125</v>
      </c>
      <c r="D14" s="66" t="s">
        <v>121</v>
      </c>
      <c r="E14" s="67" t="s">
        <v>99</v>
      </c>
      <c r="F14" s="68" t="s">
        <v>100</v>
      </c>
      <c r="G14" s="69">
        <v>6990000</v>
      </c>
      <c r="H14" s="69">
        <f>+IF(OR(CC14="ĐT PCCC",CC14="ĐP PCCC"),780000,IF(CC14="AT-VSV",300000,0))</f>
        <v>300000</v>
      </c>
      <c r="I14" s="69">
        <f>CB14-BZ14-G14-H14</f>
        <v>10560000</v>
      </c>
      <c r="J14" s="70">
        <v>1</v>
      </c>
      <c r="K14" s="71">
        <v>27</v>
      </c>
      <c r="L14" s="71"/>
      <c r="M14" s="71"/>
      <c r="N14" s="71"/>
      <c r="O14" s="71"/>
      <c r="P14" s="71"/>
      <c r="Q14" s="71"/>
      <c r="R14" s="71">
        <v>0</v>
      </c>
      <c r="S14" s="71">
        <v>0</v>
      </c>
      <c r="T14" s="72"/>
      <c r="U14" s="71">
        <v>0</v>
      </c>
      <c r="V14" s="71">
        <v>0</v>
      </c>
      <c r="W14" s="71">
        <v>0</v>
      </c>
      <c r="X14" s="71">
        <v>0</v>
      </c>
      <c r="Y14" s="69">
        <f>G14*(K14+L14)/26</f>
        <v>7258846.153846154</v>
      </c>
      <c r="Z14" s="69">
        <f>M14*G14/26</f>
        <v>0</v>
      </c>
      <c r="AA14" s="69">
        <f>G14*N14/26</f>
        <v>0</v>
      </c>
      <c r="AB14" s="69">
        <f>G14*O14/26</f>
        <v>0</v>
      </c>
      <c r="AC14" s="69">
        <f>G14*P14*150%/26</f>
        <v>0</v>
      </c>
      <c r="AD14" s="69">
        <f>G14*Q14/26*200%</f>
        <v>0</v>
      </c>
      <c r="AE14" s="69">
        <f>G14*R14/26*300%</f>
        <v>0</v>
      </c>
      <c r="AF14" s="69">
        <f>IF(F14="LN",(G14+H14)/26*S14*30%,0)</f>
        <v>0</v>
      </c>
      <c r="AG14" s="69">
        <f>T14*G14/26/8</f>
        <v>0</v>
      </c>
      <c r="AH14" s="69">
        <f>CB14/26*U14</f>
        <v>0</v>
      </c>
      <c r="AI14" s="69">
        <f>G14*V14/26</f>
        <v>0</v>
      </c>
      <c r="AJ14" s="69"/>
      <c r="AK14" s="69">
        <f>BZ14*L14/26</f>
        <v>0</v>
      </c>
      <c r="AL14" s="69"/>
      <c r="AM14" s="69">
        <f>X14*CD14</f>
        <v>0</v>
      </c>
      <c r="AN14" s="69"/>
      <c r="AO14" s="69">
        <f>IF(F14="LN",I14*(K14+L14)/26+(H14+I14)*50%*M14/26+MAX($G14*P14/26*150%,P14*$BW14/26)-AC14+MAX($G14*Q14/26*200%,Q14*$BW14/26)-AD14+MAX($G14*R14/26*300%,R14*$BW14/26)-AE14+BW14*S14/26-AF14+AH14-AG14,I14-I14*($CF$3-K14-L14)/26+(H14+I14)*50%*M14/26+BW14*O14/26-AB14+MAX($G14*P14/26*150%,P14*$BW14/26)-AC14+MAX($G14*Q14/26*200%,Q14*$BW14/26)-AD14+MAX($G14*R14/26*300%,R14*$BW14/26)-AE14+BW14*S14/26-AF14+AH14-AG14+(G14-G14*($CF$3-K14-L14)/26-Y14)+(H14-H14*($CF$3-K14-L14)/26-AN14))</f>
        <v>11277692.307692308</v>
      </c>
      <c r="AP14" s="69"/>
      <c r="AQ14" s="69"/>
      <c r="AR14" s="69"/>
      <c r="AS14" s="69"/>
      <c r="AT14" s="69"/>
      <c r="AU14" s="69"/>
      <c r="AV14" s="73">
        <f>Y14+Z14+AA14+AB14+AC14+AD14+AE14+AF14+AG14+AI14+AJ14+AK14+AL14+AM14+AN14+AO14+AP14-AQ14+AR14+AS14+AT14+AU14</f>
        <v>18536538.461538464</v>
      </c>
      <c r="AW14" s="73"/>
      <c r="AX14" s="73" t="str">
        <f>IF(E14="CT","x",0)</f>
        <v>x</v>
      </c>
      <c r="AY14" s="74">
        <f t="shared" si="6"/>
        <v>583200</v>
      </c>
      <c r="AZ14" s="74">
        <f t="shared" si="6"/>
        <v>109350</v>
      </c>
      <c r="BA14" s="74">
        <f t="shared" si="6"/>
        <v>72900</v>
      </c>
      <c r="BB14" s="74">
        <f>SUM(AY14:BA14)</f>
        <v>765450</v>
      </c>
      <c r="BC14" s="74"/>
      <c r="BD14" s="74"/>
      <c r="BE14" s="74">
        <f>IF(G14*1%&gt;=234000,234000,G14*1%)</f>
        <v>69900</v>
      </c>
      <c r="BF14" s="74">
        <f>AM14+IF(E14="CT",IF(AR14&gt;=730000,730000,AR14),0)+IF(((AV14-AM14-IF(AR14&gt;=730000,730000,AR14)-AS14)*15%-AS14)&gt;"0",((AV14-AM14-IF(AR14&gt;=730000,730000,AR14)-AS14)*15%-AS14),0)</f>
        <v>0</v>
      </c>
      <c r="BG14" s="74">
        <f>AV14-BF14+AW14</f>
        <v>18536538.461538464</v>
      </c>
      <c r="BH14" s="74"/>
      <c r="BI14" s="74">
        <v>4400000</v>
      </c>
      <c r="BJ14" s="74">
        <f>IF(E14="CT",11000000,0)</f>
        <v>11000000</v>
      </c>
      <c r="BK14" s="74">
        <f>BG14-BB14-BC14+BD14-BH14*BI14-BJ14</f>
        <v>6771088.4615384638</v>
      </c>
      <c r="BL14" s="61">
        <f>IF(E14="TV",BK14*10%,IF(BK14&gt;0,ROUND(IF(BK14&gt;=80000000,BK14*35%-9850000,IF(BK14&gt;=52000000,BK14*30%-5850000,IF(BK14&gt;=32000000,BK14*25%-3250000,IF(BK14&gt;=18000000,BK14*20%-1650000,IF(BK14&gt;=10000000,BK14*15%-750000,IF(BK14&gt;5000000,BK14*10%-250000,BK14*5%)))))),0),0))</f>
        <v>427109</v>
      </c>
      <c r="BM14" s="74"/>
      <c r="BN14" s="74"/>
      <c r="BO14" s="74">
        <v>0</v>
      </c>
      <c r="BP14" s="74"/>
      <c r="BQ14" s="74"/>
      <c r="BR14" s="74"/>
      <c r="BS14" s="74"/>
      <c r="BT14" s="74">
        <f>SUMIFS('Bảng lương tạm ứng kỳ 1'!BN:BN,'Mô tả Bảng lương CB-NV'!B:B,'Bảng lương tạm ứng kỳ 1'!B20)</f>
        <v>0</v>
      </c>
      <c r="BU14" s="75">
        <f>AV14-BB14-BC14+BD14-BE14-BL14-BM14-BN14-BO14-BP14-BQ14-BR14+BS14-BT14</f>
        <v>17274079.461538464</v>
      </c>
      <c r="BW14" s="60">
        <v>17000000</v>
      </c>
      <c r="BX14" s="61">
        <v>0</v>
      </c>
      <c r="BY14" s="61">
        <v>0</v>
      </c>
      <c r="BZ14" s="61"/>
      <c r="CA14" s="61">
        <f>+BW14*5%</f>
        <v>850000</v>
      </c>
      <c r="CB14" s="61">
        <f>SUM(BW14:CA14)</f>
        <v>17850000</v>
      </c>
      <c r="CC14" s="61" t="s">
        <v>118</v>
      </c>
      <c r="CD14" s="61"/>
      <c r="CE14" s="76"/>
      <c r="CF14" s="77"/>
      <c r="CG14" s="77"/>
      <c r="CH14" s="78"/>
      <c r="CI14" s="79"/>
    </row>
    <row r="17" spans="1:87" s="94" customFormat="1" ht="31.5" customHeight="1">
      <c r="A17" s="93" t="str">
        <f>A5&amp;A6&amp;A7&amp;A8</f>
        <v>TT</v>
      </c>
      <c r="B17" s="93" t="str">
        <f>B5&amp;B6&amp;B7&amp;B8</f>
        <v>MSNV</v>
      </c>
      <c r="C17" s="93" t="s">
        <v>6</v>
      </c>
      <c r="D17" s="93" t="s">
        <v>7</v>
      </c>
      <c r="E17" s="93" t="s">
        <v>8</v>
      </c>
      <c r="F17" s="93" t="s">
        <v>9</v>
      </c>
      <c r="G17" s="93" t="s">
        <v>10</v>
      </c>
      <c r="H17" s="141" t="s">
        <v>11</v>
      </c>
      <c r="I17" s="93" t="s">
        <v>12</v>
      </c>
      <c r="J17" s="93" t="s">
        <v>13</v>
      </c>
      <c r="K17" s="143"/>
      <c r="L17" s="93" t="s">
        <v>35</v>
      </c>
      <c r="M17" s="93" t="s">
        <v>36</v>
      </c>
      <c r="N17" s="93" t="s">
        <v>37</v>
      </c>
      <c r="O17" s="93" t="s">
        <v>38</v>
      </c>
      <c r="P17" s="93" t="s">
        <v>39</v>
      </c>
      <c r="Q17" s="93" t="s">
        <v>40</v>
      </c>
      <c r="R17" s="93" t="s">
        <v>41</v>
      </c>
      <c r="S17" s="93" t="s">
        <v>42</v>
      </c>
      <c r="T17" s="93" t="s">
        <v>43</v>
      </c>
      <c r="U17" s="93" t="s">
        <v>44</v>
      </c>
      <c r="V17" s="93"/>
      <c r="W17" s="93" t="s">
        <v>87</v>
      </c>
      <c r="X17" s="93" t="s">
        <v>46</v>
      </c>
      <c r="Y17" s="141" t="str">
        <f>Y6</f>
        <v>Lương
Ngày thường</v>
      </c>
      <c r="Z17" s="141" t="s">
        <v>48</v>
      </c>
      <c r="AA17" s="141" t="s">
        <v>49</v>
      </c>
      <c r="AB17" s="141" t="s">
        <v>50</v>
      </c>
      <c r="AC17" s="141" t="s">
        <v>51</v>
      </c>
      <c r="AD17" s="141" t="s">
        <v>52</v>
      </c>
      <c r="AE17" s="141" t="s">
        <v>53</v>
      </c>
      <c r="AF17" s="141" t="s">
        <v>54</v>
      </c>
      <c r="AG17" s="141" t="s">
        <v>55</v>
      </c>
      <c r="AH17" s="141" t="s">
        <v>56</v>
      </c>
      <c r="AI17" s="141" t="s">
        <v>57</v>
      </c>
      <c r="AJ17" s="141" t="s">
        <v>58</v>
      </c>
      <c r="AK17" s="141" t="s">
        <v>59</v>
      </c>
      <c r="AL17" s="141" t="s">
        <v>60</v>
      </c>
      <c r="AM17" s="141" t="s">
        <v>61</v>
      </c>
      <c r="AN17" s="141" t="s">
        <v>62</v>
      </c>
      <c r="AO17" s="141" t="s">
        <v>63</v>
      </c>
      <c r="AP17" s="93" t="s">
        <v>16</v>
      </c>
      <c r="AQ17" s="93" t="s">
        <v>17</v>
      </c>
      <c r="AR17" s="93" t="s">
        <v>18</v>
      </c>
      <c r="AS17" s="93" t="s">
        <v>19</v>
      </c>
      <c r="AT17" s="93" t="s">
        <v>20</v>
      </c>
      <c r="AU17" s="93" t="s">
        <v>21</v>
      </c>
      <c r="AV17" s="93" t="s">
        <v>22</v>
      </c>
      <c r="AW17" s="93" t="s">
        <v>23</v>
      </c>
      <c r="AX17" s="93" t="str">
        <f>AX5</f>
        <v>Tham gia BHXH</v>
      </c>
      <c r="AY17" s="141" t="str">
        <f>AY7</f>
        <v>BHXH</v>
      </c>
      <c r="AZ17" s="141" t="str">
        <f>AZ7</f>
        <v>BHYT</v>
      </c>
      <c r="BA17" s="141" t="str">
        <f>BA7</f>
        <v>BHTN</v>
      </c>
      <c r="BB17" s="141" t="s">
        <v>70</v>
      </c>
      <c r="BC17" s="141" t="str">
        <f>BC7</f>
        <v>Truy thu BHXH</v>
      </c>
      <c r="BD17" s="141" t="s">
        <v>72</v>
      </c>
      <c r="BE17" s="141" t="str">
        <f>BE7</f>
        <v>Phí 
công đoàn</v>
      </c>
      <c r="BF17" s="141" t="s">
        <v>74</v>
      </c>
      <c r="BG17" s="141" t="s">
        <v>75</v>
      </c>
      <c r="BH17" s="141" t="str">
        <f>BH7</f>
        <v>NPT</v>
      </c>
      <c r="BI17" s="141" t="s">
        <v>77</v>
      </c>
      <c r="BJ17" s="141" t="s">
        <v>78</v>
      </c>
      <c r="BK17" s="141" t="str">
        <f>BK7</f>
        <v>TNTT</v>
      </c>
      <c r="BL17" s="141" t="s">
        <v>80</v>
      </c>
      <c r="BM17" s="141" t="s">
        <v>81</v>
      </c>
      <c r="BN17" s="141" t="s">
        <v>82</v>
      </c>
      <c r="BO17" s="141" t="s">
        <v>83</v>
      </c>
      <c r="BP17" s="141" t="s">
        <v>84</v>
      </c>
      <c r="BQ17" s="141" t="str">
        <f>BQ7</f>
        <v>…..............</v>
      </c>
      <c r="BR17" s="141" t="str">
        <f>BR6</f>
        <v>Truy thu theo QTT</v>
      </c>
      <c r="BS17" s="141" t="s">
        <v>66</v>
      </c>
      <c r="BT17" s="93" t="s">
        <v>27</v>
      </c>
      <c r="BU17" s="93" t="s">
        <v>28</v>
      </c>
      <c r="BW17" s="93" t="s">
        <v>29</v>
      </c>
      <c r="BX17" s="142" t="s">
        <v>91</v>
      </c>
      <c r="BY17" s="142" t="s">
        <v>92</v>
      </c>
      <c r="BZ17" s="142" t="s">
        <v>93</v>
      </c>
      <c r="CA17" s="142" t="s">
        <v>94</v>
      </c>
      <c r="CB17" s="93" t="s">
        <v>31</v>
      </c>
      <c r="CC17" s="93" t="s">
        <v>32</v>
      </c>
      <c r="CD17" s="93" t="s">
        <v>33</v>
      </c>
    </row>
    <row r="18" spans="1:87" s="96" customFormat="1" ht="11">
      <c r="A18" s="95" t="str">
        <f t="shared" ref="A18:AF18" si="7">SUBSTITUTE(ADDRESS(1,COLUMN(),4),1,"")</f>
        <v>A</v>
      </c>
      <c r="B18" s="95" t="str">
        <f t="shared" si="7"/>
        <v>B</v>
      </c>
      <c r="C18" s="95" t="str">
        <f t="shared" si="7"/>
        <v>C</v>
      </c>
      <c r="D18" s="95" t="str">
        <f t="shared" si="7"/>
        <v>D</v>
      </c>
      <c r="E18" s="95" t="str">
        <f t="shared" si="7"/>
        <v>E</v>
      </c>
      <c r="F18" s="95" t="str">
        <f t="shared" si="7"/>
        <v>F</v>
      </c>
      <c r="G18" s="95" t="str">
        <f t="shared" si="7"/>
        <v>G</v>
      </c>
      <c r="H18" s="95" t="str">
        <f t="shared" si="7"/>
        <v>H</v>
      </c>
      <c r="I18" s="95" t="str">
        <f t="shared" si="7"/>
        <v>I</v>
      </c>
      <c r="J18" s="95" t="str">
        <f t="shared" si="7"/>
        <v>J</v>
      </c>
      <c r="K18" s="95" t="str">
        <f t="shared" si="7"/>
        <v>K</v>
      </c>
      <c r="L18" s="95" t="str">
        <f t="shared" si="7"/>
        <v>L</v>
      </c>
      <c r="M18" s="95" t="str">
        <f t="shared" si="7"/>
        <v>M</v>
      </c>
      <c r="N18" s="95" t="str">
        <f t="shared" si="7"/>
        <v>N</v>
      </c>
      <c r="O18" s="95" t="str">
        <f t="shared" si="7"/>
        <v>O</v>
      </c>
      <c r="P18" s="95" t="str">
        <f t="shared" si="7"/>
        <v>P</v>
      </c>
      <c r="Q18" s="95" t="str">
        <f t="shared" si="7"/>
        <v>Q</v>
      </c>
      <c r="R18" s="95" t="str">
        <f t="shared" si="7"/>
        <v>R</v>
      </c>
      <c r="S18" s="95" t="str">
        <f t="shared" si="7"/>
        <v>S</v>
      </c>
      <c r="T18" s="95" t="str">
        <f t="shared" si="7"/>
        <v>T</v>
      </c>
      <c r="U18" s="95" t="str">
        <f t="shared" si="7"/>
        <v>U</v>
      </c>
      <c r="V18" s="95" t="str">
        <f t="shared" si="7"/>
        <v>V</v>
      </c>
      <c r="W18" s="95" t="str">
        <f t="shared" si="7"/>
        <v>W</v>
      </c>
      <c r="X18" s="95" t="str">
        <f t="shared" si="7"/>
        <v>X</v>
      </c>
      <c r="Y18" s="95" t="str">
        <f t="shared" si="7"/>
        <v>Y</v>
      </c>
      <c r="Z18" s="95" t="str">
        <f t="shared" si="7"/>
        <v>Z</v>
      </c>
      <c r="AA18" s="95" t="str">
        <f t="shared" si="7"/>
        <v>AA</v>
      </c>
      <c r="AB18" s="95" t="str">
        <f t="shared" si="7"/>
        <v>AB</v>
      </c>
      <c r="AC18" s="95" t="str">
        <f t="shared" si="7"/>
        <v>AC</v>
      </c>
      <c r="AD18" s="95" t="str">
        <f t="shared" si="7"/>
        <v>AD</v>
      </c>
      <c r="AE18" s="95" t="str">
        <f t="shared" si="7"/>
        <v>AE</v>
      </c>
      <c r="AF18" s="95" t="str">
        <f t="shared" si="7"/>
        <v>AF</v>
      </c>
      <c r="AG18" s="95" t="str">
        <f t="shared" ref="AG18:BL18" si="8">SUBSTITUTE(ADDRESS(1,COLUMN(),4),1,"")</f>
        <v>AG</v>
      </c>
      <c r="AH18" s="95" t="str">
        <f t="shared" si="8"/>
        <v>AH</v>
      </c>
      <c r="AI18" s="95" t="str">
        <f t="shared" si="8"/>
        <v>AI</v>
      </c>
      <c r="AJ18" s="95" t="str">
        <f t="shared" si="8"/>
        <v>AJ</v>
      </c>
      <c r="AK18" s="95" t="str">
        <f t="shared" si="8"/>
        <v>AK</v>
      </c>
      <c r="AL18" s="95" t="str">
        <f t="shared" si="8"/>
        <v>AL</v>
      </c>
      <c r="AM18" s="95" t="str">
        <f t="shared" si="8"/>
        <v>AM</v>
      </c>
      <c r="AN18" s="95" t="str">
        <f t="shared" si="8"/>
        <v>AN</v>
      </c>
      <c r="AO18" s="95" t="str">
        <f t="shared" si="8"/>
        <v>AO</v>
      </c>
      <c r="AP18" s="95" t="str">
        <f t="shared" si="8"/>
        <v>AP</v>
      </c>
      <c r="AQ18" s="95" t="str">
        <f t="shared" si="8"/>
        <v>AQ</v>
      </c>
      <c r="AR18" s="95" t="str">
        <f t="shared" si="8"/>
        <v>AR</v>
      </c>
      <c r="AS18" s="95" t="str">
        <f t="shared" si="8"/>
        <v>AS</v>
      </c>
      <c r="AT18" s="95" t="str">
        <f t="shared" si="8"/>
        <v>AT</v>
      </c>
      <c r="AU18" s="95" t="str">
        <f t="shared" si="8"/>
        <v>AU</v>
      </c>
      <c r="AV18" s="95" t="str">
        <f t="shared" si="8"/>
        <v>AV</v>
      </c>
      <c r="AW18" s="95" t="str">
        <f t="shared" si="8"/>
        <v>AW</v>
      </c>
      <c r="AX18" s="95" t="str">
        <f t="shared" si="8"/>
        <v>AX</v>
      </c>
      <c r="AY18" s="95" t="str">
        <f t="shared" si="8"/>
        <v>AY</v>
      </c>
      <c r="AZ18" s="95" t="str">
        <f t="shared" si="8"/>
        <v>AZ</v>
      </c>
      <c r="BA18" s="95" t="str">
        <f t="shared" si="8"/>
        <v>BA</v>
      </c>
      <c r="BB18" s="95" t="str">
        <f t="shared" si="8"/>
        <v>BB</v>
      </c>
      <c r="BC18" s="95" t="str">
        <f t="shared" si="8"/>
        <v>BC</v>
      </c>
      <c r="BD18" s="95" t="str">
        <f t="shared" si="8"/>
        <v>BD</v>
      </c>
      <c r="BE18" s="95" t="str">
        <f t="shared" si="8"/>
        <v>BE</v>
      </c>
      <c r="BF18" s="95" t="str">
        <f t="shared" si="8"/>
        <v>BF</v>
      </c>
      <c r="BG18" s="95" t="str">
        <f t="shared" si="8"/>
        <v>BG</v>
      </c>
      <c r="BH18" s="95" t="str">
        <f t="shared" si="8"/>
        <v>BH</v>
      </c>
      <c r="BI18" s="95" t="str">
        <f t="shared" si="8"/>
        <v>BI</v>
      </c>
      <c r="BJ18" s="95" t="str">
        <f t="shared" si="8"/>
        <v>BJ</v>
      </c>
      <c r="BK18" s="95" t="str">
        <f t="shared" si="8"/>
        <v>BK</v>
      </c>
      <c r="BL18" s="95" t="str">
        <f t="shared" si="8"/>
        <v>BL</v>
      </c>
      <c r="BM18" s="95" t="str">
        <f t="shared" ref="BM18:BU18" si="9">SUBSTITUTE(ADDRESS(1,COLUMN(),4),1,"")</f>
        <v>BM</v>
      </c>
      <c r="BN18" s="95" t="str">
        <f t="shared" si="9"/>
        <v>BN</v>
      </c>
      <c r="BO18" s="95" t="str">
        <f t="shared" si="9"/>
        <v>BO</v>
      </c>
      <c r="BP18" s="95" t="str">
        <f t="shared" si="9"/>
        <v>BP</v>
      </c>
      <c r="BQ18" s="95" t="str">
        <f t="shared" si="9"/>
        <v>BQ</v>
      </c>
      <c r="BR18" s="95" t="str">
        <f t="shared" si="9"/>
        <v>BR</v>
      </c>
      <c r="BS18" s="95" t="str">
        <f t="shared" si="9"/>
        <v>BS</v>
      </c>
      <c r="BT18" s="95" t="str">
        <f t="shared" si="9"/>
        <v>BT</v>
      </c>
      <c r="BU18" s="95" t="str">
        <f t="shared" si="9"/>
        <v>BU</v>
      </c>
      <c r="BW18" s="95" t="str">
        <f t="shared" ref="BW18:CD18" si="10">SUBSTITUTE(ADDRESS(1,COLUMN(),4),1,"")</f>
        <v>BW</v>
      </c>
      <c r="BX18" s="95" t="str">
        <f t="shared" si="10"/>
        <v>BX</v>
      </c>
      <c r="BY18" s="95" t="str">
        <f t="shared" si="10"/>
        <v>BY</v>
      </c>
      <c r="BZ18" s="95" t="str">
        <f t="shared" si="10"/>
        <v>BZ</v>
      </c>
      <c r="CA18" s="95" t="str">
        <f t="shared" si="10"/>
        <v>CA</v>
      </c>
      <c r="CB18" s="95" t="str">
        <f t="shared" si="10"/>
        <v>CB</v>
      </c>
      <c r="CC18" s="95" t="str">
        <f t="shared" si="10"/>
        <v>CC</v>
      </c>
      <c r="CD18" s="95" t="str">
        <f t="shared" si="10"/>
        <v>CD</v>
      </c>
    </row>
    <row r="19" spans="1:87" s="118" customFormat="1" ht="409.5" customHeight="1">
      <c r="A19" s="109" t="s">
        <v>126</v>
      </c>
      <c r="B19" s="110" t="s">
        <v>127</v>
      </c>
      <c r="C19" s="110" t="s">
        <v>128</v>
      </c>
      <c r="D19" s="111" t="s">
        <v>129</v>
      </c>
      <c r="E19" s="112" t="s">
        <v>130</v>
      </c>
      <c r="F19" s="113" t="s">
        <v>131</v>
      </c>
      <c r="G19" s="112" t="s">
        <v>132</v>
      </c>
      <c r="H19" s="108"/>
      <c r="I19" s="108"/>
      <c r="J19" s="114" t="s">
        <v>133</v>
      </c>
      <c r="K19" s="108" t="s">
        <v>134</v>
      </c>
      <c r="L19" s="108" t="s">
        <v>135</v>
      </c>
      <c r="M19" s="108" t="s">
        <v>136</v>
      </c>
      <c r="N19" s="108" t="s">
        <v>136</v>
      </c>
      <c r="O19" s="108" t="s">
        <v>137</v>
      </c>
      <c r="P19" s="108" t="s">
        <v>138</v>
      </c>
      <c r="Q19" s="108" t="s">
        <v>139</v>
      </c>
      <c r="R19" s="108" t="s">
        <v>140</v>
      </c>
      <c r="S19" s="108" t="s">
        <v>136</v>
      </c>
      <c r="T19" s="115"/>
      <c r="U19" s="108">
        <v>0</v>
      </c>
      <c r="V19" s="108">
        <v>0</v>
      </c>
      <c r="W19" s="108">
        <v>0</v>
      </c>
      <c r="X19" s="108">
        <v>0</v>
      </c>
      <c r="Y19" s="108"/>
      <c r="Z19" s="108"/>
      <c r="AA19" s="108"/>
      <c r="AB19" s="108"/>
      <c r="AC19" s="108"/>
      <c r="AD19" s="108"/>
      <c r="AE19" s="108"/>
      <c r="AF19" s="108"/>
      <c r="AG19" s="108"/>
      <c r="AH19" s="108"/>
      <c r="AI19" s="108"/>
      <c r="AJ19" s="108"/>
      <c r="AK19" s="108"/>
      <c r="AL19" s="108"/>
      <c r="AM19" s="108"/>
      <c r="AN19" s="108"/>
      <c r="AO19" s="107" t="str">
        <f>"IF(["&amp;F17&amp;"]=""LN"",["&amp;I17&amp;"]*(["&amp;K17&amp;"]+["&amp;L17&amp;"])/26+(["&amp;H17&amp;"]+["&amp;I17&amp;"])*50%*["&amp;M17&amp;"]/26+MAX(["&amp;$G17&amp;"]*["&amp;P17&amp;"]/26*150%,["&amp;P17&amp;"]*["&amp;$BW17&amp;"]/26)-["&amp;AC17&amp;"]+MAX(["&amp;$G17&amp;"]*["&amp;Q17&amp;"]/26*200%,["&amp;Q17&amp;"]*["&amp;$BW17&amp;"]/26)-["&amp;AD17&amp;"]+MAX(["&amp;$G17&amp;"]*["&amp;R17&amp;"]/26*300%,["&amp;R17&amp;"]*["&amp;$BW17&amp;"]/26)-["&amp;AE17&amp;"]+["&amp;BW17&amp;"]*["&amp;S17&amp;"]/26-["&amp;AF17&amp;"]+["&amp;AH17&amp;"]-["&amp;AG17&amp;"],["&amp;I17&amp;"]-["&amp;I17&amp;"]*(["&amp;$CE$3&amp;"]-["&amp;K17&amp;"]-["&amp;L17&amp;"])/26+(["&amp;H17&amp;"]+["&amp;I17&amp;"])*50%*["&amp;M17&amp;"]/26+["&amp;BW17&amp;"]*["&amp;O17&amp;"]/26-["&amp;AB17&amp;"]+MAX(["&amp;$G17&amp;"]*["&amp;P17&amp;"]/26*150%,["&amp;P17&amp;"]*["&amp;$BW17&amp;"]/26)-["&amp;AC17&amp;"]+MAX(["&amp;$G17&amp;"]*["&amp;Q17&amp;"]/26*200%,["&amp;Q17&amp;"]*["&amp;$BW17&amp;"]/26)-["&amp;AD17&amp;"]+MAX(["&amp;$G17&amp;"]*["&amp;R17&amp;"]/26*300%,["&amp;R17&amp;"]*["&amp;$BW17&amp;"]/26)-["&amp;AE17&amp;"]+["&amp;BW17&amp;"]*["&amp;S17&amp;"]/26-["&amp;AF17&amp;"]+["&amp;AH17&amp;"]-["&amp;AG17&amp;"]+(["&amp;G17&amp;"]-["&amp;G17&amp;"]*(["&amp;$CE$3&amp;"]-["&amp;K17&amp;"]-["&amp;L17&amp;"])/26-["&amp;Y17&amp;"])+(["&amp;H17&amp;"]-["&amp;H17&amp;"]*(["&amp;$CE$3&amp;"]-["&amp;K17&amp;"]-["&amp;L17&amp;"])/26-["&amp;AN17&amp;"]))"</f>
        <v>IF([Subjects are counted as working overtime]="LN",[HQCV Bonus norms]*([]+[Collaborate])/26+([Allowances (fire protection, safety)]+[HQCV Bonus norms])*50%*[Permit year]/26+MAX([Labor contract salary]*[Overtime on weekdays]/26*150%,[Overtime on weekdays]*[Salary quota]/26)-[Salary Overtime on weekdays]+MAX([Labor contract salary]*[Overtime on Sunday]/26*200%,[Overtime on Sunday]*[Salary quota]/26)-[Overtime pay on holidays]+MAX([Labor contract salary]*[Overtime for Tet holiday]/26*300%,[Overtime for Tet holiday]*[Salary quota]/26)-[Overtime pay on Holidays/New Year]+[Salary quota]*[Night allowance]/26-[Night allowance salary]+[Salary for work on Saturdays is off]-[Salary female leave HK],[HQCV Bonus norms]-[HQCV Bonus norms]*([Actual work day month]-[]-[Collaborate])/26+([Allowances (fire protection, safety)]+[HQCV Bonus norms])*50%*[Permit year]/26+[Salary quota]*[Holiday/Tet]/26-[Holiday pay]+MAX([Labor contract salary]*[Overtime on weekdays]/26*150%,[Overtime on weekdays]*[Salary quota]/26)-[Salary Overtime on weekdays]+MAX([Labor contract salary]*[Overtime on Sunday]/26*200%,[Overtime on Sunday]*[Salary quota]/26)-[Overtime pay on holidays]+MAX([Labor contract salary]*[Overtime for Tet holiday]/26*300%,[Overtime for Tet holiday]*[Salary quota]/26)-[Overtime pay on Holidays/New Year]+[Salary quota]*[Night allowance]/26-[Night allowance salary]+[Salary for work on Saturdays is off]-[Salary female leave HK]+([Labor contract salary]-[Labor contract salary]*([Actual work day month]-[]-[Collaborate])/26-[Lương
Ngày thường])+([Allowances (fire protection, safety)]-[Allowances (fire protection, safety)]*([Actual work day month]-[]-[Collaborate])/26-[Fire protection allowance (DT, DP), Safety and sanitation allowance]))</v>
      </c>
      <c r="AP19" s="108"/>
      <c r="AQ19" s="108"/>
      <c r="AR19" s="108">
        <v>780000</v>
      </c>
      <c r="AS19" s="108"/>
      <c r="AT19" s="108"/>
      <c r="AU19" s="108"/>
      <c r="AV19" s="116" t="str">
        <f>"["&amp;Y17&amp;"]+["&amp;Z17&amp;"]+["&amp;AA17&amp;"]+["&amp;AB17&amp;"]+["&amp;AC17&amp;"]+["&amp;AD17&amp;"]+["&amp;AE17&amp;"]+["&amp;AF17&amp;"]+["&amp;AG17&amp;"]+["&amp;AI17&amp;"]+["&amp;AJ17&amp;"]+["&amp;AK17&amp;"]+["&amp;AL17&amp;"]+["&amp;AM17&amp;"]+["&amp;AN17&amp;"]+["&amp;AO17&amp;"]+["&amp;AP17&amp;"]-["&amp;AQ17&amp;"]+["&amp;AR17&amp;"]+["&amp;AS17&amp;"]+["&amp;AT17&amp;"]+["&amp;AU17&amp;"]"</f>
        <v>[Lương
Ngày thường]+[Salary for vacation days]+[Salary for days off]+[Holiday pay]+[Salary Overtime on weekdays]+[Overtime pay on holidays]+[Overtime pay on Holidays/New Year]+[Night allowance salary]+[Salary female leave HK]+[Salary for days of temporary suspension]+[Salary on duty to support security]+[Working allowances]+[Annual leave from work]+[Nursing care training]+[Fire protection allowance (DT, DP), Safety and sanitation allowance]+[Advance payment of HQCV bonus]+[Receiving salary]-[Salary collection]+[Rice support]+[Housing Support]+[Annual bonus]+[Payment of unused annual leave]</v>
      </c>
      <c r="AW19" s="116"/>
      <c r="AX19" s="116"/>
      <c r="AY19" s="108"/>
      <c r="AZ19" s="108"/>
      <c r="BA19" s="108"/>
      <c r="BB19" s="108" t="str">
        <f>"["&amp;AY17&amp;"]+["&amp;AZ17&amp;"]+["&amp;BA17&amp;"]"</f>
        <v>[BHXH]+[BHYT]+[BHTN]</v>
      </c>
      <c r="BC19" s="108"/>
      <c r="BD19" s="108"/>
      <c r="BE19" s="108"/>
      <c r="BF19" s="108"/>
      <c r="BG19" s="108"/>
      <c r="BH19" s="108">
        <v>3</v>
      </c>
      <c r="BI19" s="108">
        <v>4400000</v>
      </c>
      <c r="BJ19" s="108"/>
      <c r="BK19" s="108"/>
      <c r="BL19" s="108"/>
      <c r="BM19" s="108"/>
      <c r="BN19" s="108"/>
      <c r="BO19" s="108">
        <v>0</v>
      </c>
      <c r="BP19" s="108"/>
      <c r="BQ19" s="108"/>
      <c r="BR19" s="108"/>
      <c r="BS19" s="108"/>
      <c r="BT19" s="120"/>
      <c r="BU19" s="108" t="str">
        <f>"["&amp;AV17&amp;"]-["&amp;BB17&amp;"]-["&amp;BC17&amp;"]+["&amp;BD17&amp;"]-["&amp;BE17&amp;"]-["&amp;BL17&amp;"]-["&amp;BM17&amp;"]-["&amp;BN17&amp;"]-["&amp;BO17&amp;"]-["&amp;BP17&amp;"]-["&amp;BQ17&amp;"]-["&amp;BR17&amp;"]+["&amp;BS17&amp;"]-["&amp;BT17&amp;"]"</f>
        <v>[Total income]-[TOTAL social insurance]-[Truy thu BHXH]+[Refund of social insurance]-[Phí 
công đoàn]-[Personal income tax]-[Collect advance payment]-[Collect money for the Investment Company on behalf of the Reserve...,]-[Excessive phone bill collection]-[Funeral money]-[…..............]-[Truy thu theo QTT]+[Refund according to QTT]-[Realization part 1]</v>
      </c>
      <c r="BW19" s="108">
        <v>60000000</v>
      </c>
      <c r="BX19" s="108">
        <v>0</v>
      </c>
      <c r="BY19" s="108"/>
      <c r="BZ19" s="108"/>
      <c r="CA19" s="108">
        <v>0</v>
      </c>
      <c r="CB19" s="108"/>
      <c r="CC19" s="108" t="s">
        <v>122</v>
      </c>
      <c r="CD19" s="108"/>
      <c r="CE19" s="117"/>
      <c r="CF19" s="117"/>
      <c r="CG19" s="117"/>
      <c r="CI19" s="119"/>
    </row>
    <row r="20" spans="1:87" s="106" customFormat="1" ht="11">
      <c r="A20" s="97"/>
      <c r="B20" s="98"/>
      <c r="C20" s="99"/>
      <c r="D20" s="100"/>
      <c r="E20" s="100"/>
      <c r="F20" s="101"/>
      <c r="G20" s="102"/>
      <c r="H20" s="102"/>
      <c r="I20" s="103"/>
      <c r="J20" s="103"/>
      <c r="K20" s="104"/>
      <c r="L20" s="104"/>
      <c r="M20" s="104"/>
      <c r="N20" s="104"/>
      <c r="O20" s="104"/>
      <c r="P20" s="104"/>
      <c r="Q20" s="104"/>
      <c r="R20" s="104"/>
      <c r="S20" s="104"/>
      <c r="T20" s="104"/>
      <c r="U20" s="104"/>
      <c r="V20" s="104"/>
      <c r="W20" s="104"/>
      <c r="X20" s="104"/>
      <c r="Y20" s="102"/>
      <c r="Z20" s="102"/>
      <c r="AA20" s="102"/>
      <c r="AB20" s="102"/>
      <c r="AC20" s="102"/>
      <c r="AD20" s="102"/>
      <c r="AE20" s="102"/>
      <c r="AF20" s="102"/>
      <c r="AG20" s="102"/>
      <c r="AH20" s="102"/>
      <c r="AI20" s="102"/>
      <c r="AJ20" s="102"/>
      <c r="AK20" s="102"/>
      <c r="AL20" s="102"/>
      <c r="AM20" s="102"/>
      <c r="AN20" s="102"/>
      <c r="AO20" s="102"/>
      <c r="AP20" s="102"/>
      <c r="AQ20" s="102"/>
      <c r="AR20" s="102"/>
      <c r="AS20" s="102"/>
      <c r="AT20" s="102"/>
      <c r="AU20" s="102"/>
      <c r="AV20" s="102"/>
      <c r="AW20" s="102"/>
      <c r="AX20" s="102"/>
      <c r="AY20" s="102"/>
      <c r="AZ20" s="102"/>
      <c r="BA20" s="102"/>
      <c r="BB20" s="102"/>
      <c r="BC20" s="102"/>
      <c r="BD20" s="102"/>
      <c r="BE20" s="102"/>
      <c r="BF20" s="102"/>
      <c r="BG20" s="102"/>
      <c r="BH20" s="102"/>
      <c r="BI20" s="102"/>
      <c r="BJ20" s="102"/>
      <c r="BK20" s="102"/>
      <c r="BL20" s="102"/>
      <c r="BM20" s="102"/>
      <c r="BN20" s="102"/>
      <c r="BO20" s="102"/>
      <c r="BP20" s="102"/>
      <c r="BQ20" s="102"/>
      <c r="BR20" s="102"/>
      <c r="BS20" s="102"/>
      <c r="BT20" s="102"/>
      <c r="BU20" s="102"/>
      <c r="BW20" s="102"/>
      <c r="BX20" s="102"/>
      <c r="BY20" s="102"/>
      <c r="BZ20" s="102"/>
      <c r="CA20" s="102"/>
      <c r="CB20" s="105"/>
      <c r="CC20" s="105"/>
      <c r="CD20" s="105"/>
    </row>
    <row r="21" spans="1:87" s="106" customFormat="1" ht="11">
      <c r="A21" s="97"/>
      <c r="B21" s="98"/>
      <c r="C21" s="99"/>
      <c r="D21" s="100"/>
      <c r="E21" s="100"/>
      <c r="F21" s="101"/>
      <c r="G21" s="102"/>
      <c r="H21" s="102"/>
      <c r="I21" s="103"/>
      <c r="J21" s="103"/>
      <c r="K21" s="104"/>
      <c r="L21" s="104"/>
      <c r="M21" s="104"/>
      <c r="N21" s="104"/>
      <c r="O21" s="104"/>
      <c r="P21" s="104"/>
      <c r="Q21" s="104"/>
      <c r="R21" s="104"/>
      <c r="S21" s="104"/>
      <c r="T21" s="104"/>
      <c r="U21" s="104"/>
      <c r="V21" s="104"/>
      <c r="W21" s="104"/>
      <c r="X21" s="104"/>
      <c r="Y21" s="102"/>
      <c r="Z21" s="102"/>
      <c r="AA21" s="102"/>
      <c r="AB21" s="102"/>
      <c r="AC21" s="102"/>
      <c r="AD21" s="102"/>
      <c r="AE21" s="102"/>
      <c r="AF21" s="102"/>
      <c r="AG21" s="102"/>
      <c r="AH21" s="102"/>
      <c r="AI21" s="102"/>
      <c r="AJ21" s="102"/>
      <c r="AK21" s="102"/>
      <c r="AL21" s="102"/>
      <c r="AM21" s="102"/>
      <c r="AN21" s="102"/>
      <c r="AO21" s="102"/>
      <c r="AP21" s="102"/>
      <c r="AQ21" s="102"/>
      <c r="AR21" s="102"/>
      <c r="AS21" s="102"/>
      <c r="AT21" s="102"/>
      <c r="AU21" s="102"/>
      <c r="AV21" s="102"/>
      <c r="AW21" s="102"/>
      <c r="AX21" s="102"/>
      <c r="AY21" s="102"/>
      <c r="AZ21" s="102"/>
      <c r="BA21" s="102"/>
      <c r="BB21" s="102"/>
      <c r="BC21" s="102"/>
      <c r="BD21" s="102"/>
      <c r="BE21" s="102"/>
      <c r="BF21" s="102"/>
      <c r="BG21" s="102"/>
      <c r="BH21" s="102"/>
      <c r="BI21" s="102"/>
      <c r="BJ21" s="102"/>
      <c r="BK21" s="102"/>
      <c r="BL21" s="102"/>
      <c r="BM21" s="102"/>
      <c r="BN21" s="102"/>
      <c r="BO21" s="102"/>
      <c r="BP21" s="102"/>
      <c r="BQ21" s="102"/>
      <c r="BR21" s="102"/>
      <c r="BS21" s="102"/>
      <c r="BT21" s="102"/>
      <c r="BU21" s="102"/>
      <c r="BW21" s="102"/>
      <c r="BX21" s="102"/>
      <c r="BY21" s="102"/>
      <c r="BZ21" s="102"/>
      <c r="CA21" s="102"/>
      <c r="CB21" s="105"/>
      <c r="CC21" s="105"/>
      <c r="CD21" s="105"/>
    </row>
    <row r="22" spans="1:87" s="106" customFormat="1" ht="11">
      <c r="A22" s="97"/>
      <c r="B22" s="98"/>
      <c r="C22" s="99"/>
      <c r="D22" s="100"/>
      <c r="E22" s="100"/>
      <c r="F22" s="101"/>
      <c r="G22" s="102"/>
      <c r="H22" s="102"/>
      <c r="I22" s="103"/>
      <c r="J22" s="103"/>
      <c r="K22" s="104"/>
      <c r="L22" s="104"/>
      <c r="M22" s="104"/>
      <c r="N22" s="104"/>
      <c r="O22" s="104"/>
      <c r="P22" s="104"/>
      <c r="Q22" s="104"/>
      <c r="R22" s="104"/>
      <c r="S22" s="104"/>
      <c r="T22" s="104"/>
      <c r="U22" s="104"/>
      <c r="V22" s="104"/>
      <c r="W22" s="104"/>
      <c r="X22" s="104"/>
      <c r="Y22" s="102"/>
      <c r="Z22" s="102"/>
      <c r="AA22" s="102"/>
      <c r="AB22" s="102"/>
      <c r="AC22" s="102"/>
      <c r="AD22" s="102"/>
      <c r="AE22" s="102"/>
      <c r="AF22" s="102"/>
      <c r="AG22" s="102"/>
      <c r="AH22" s="102"/>
      <c r="AI22" s="102"/>
      <c r="AJ22" s="102"/>
      <c r="AK22" s="102"/>
      <c r="AL22" s="102"/>
      <c r="AM22" s="102"/>
      <c r="AN22" s="102"/>
      <c r="AO22" s="102"/>
      <c r="AP22" s="102"/>
      <c r="AQ22" s="102"/>
      <c r="AR22" s="102"/>
      <c r="AS22" s="102"/>
      <c r="AT22" s="102"/>
      <c r="AU22" s="102"/>
      <c r="AV22" s="102"/>
      <c r="AW22" s="102"/>
      <c r="AX22" s="102"/>
      <c r="AY22" s="102"/>
      <c r="AZ22" s="102"/>
      <c r="BA22" s="102"/>
      <c r="BB22" s="102"/>
      <c r="BC22" s="102"/>
      <c r="BD22" s="102"/>
      <c r="BE22" s="102"/>
      <c r="BF22" s="102"/>
      <c r="BG22" s="102"/>
      <c r="BH22" s="102"/>
      <c r="BI22" s="102"/>
      <c r="BJ22" s="102"/>
      <c r="BK22" s="102"/>
      <c r="BL22" s="102"/>
      <c r="BM22" s="102"/>
      <c r="BN22" s="102"/>
      <c r="BO22" s="102"/>
      <c r="BP22" s="102"/>
      <c r="BQ22" s="102"/>
      <c r="BR22" s="102"/>
      <c r="BS22" s="102"/>
      <c r="BT22" s="102"/>
      <c r="BU22" s="102"/>
      <c r="BW22" s="102"/>
      <c r="BX22" s="102"/>
      <c r="BY22" s="102"/>
      <c r="BZ22" s="102"/>
      <c r="CA22" s="102"/>
      <c r="CB22" s="105"/>
      <c r="CC22" s="105"/>
      <c r="CD22" s="105"/>
    </row>
    <row r="23" spans="1:87" s="106" customFormat="1" ht="11">
      <c r="A23" s="97"/>
      <c r="B23" s="98"/>
      <c r="C23" s="99"/>
      <c r="D23" s="100"/>
      <c r="E23" s="100"/>
      <c r="F23" s="101"/>
      <c r="G23" s="102"/>
      <c r="H23" s="102"/>
      <c r="I23" s="103"/>
      <c r="J23" s="103"/>
      <c r="K23" s="104"/>
      <c r="L23" s="104"/>
      <c r="M23" s="104"/>
      <c r="N23" s="104"/>
      <c r="O23" s="104"/>
      <c r="P23" s="104"/>
      <c r="Q23" s="104"/>
      <c r="R23" s="104"/>
      <c r="S23" s="104"/>
      <c r="T23" s="104"/>
      <c r="U23" s="104"/>
      <c r="V23" s="104"/>
      <c r="W23" s="104"/>
      <c r="X23" s="104"/>
      <c r="Y23" s="102"/>
      <c r="Z23" s="102"/>
      <c r="AA23" s="102"/>
      <c r="AB23" s="102"/>
      <c r="AC23" s="102"/>
      <c r="AD23" s="102"/>
      <c r="AE23" s="102"/>
      <c r="AF23" s="102"/>
      <c r="AG23" s="102"/>
      <c r="AH23" s="102"/>
      <c r="AI23" s="102"/>
      <c r="AJ23" s="102"/>
      <c r="AK23" s="102"/>
      <c r="AL23" s="102"/>
      <c r="AM23" s="102"/>
      <c r="AN23" s="102"/>
      <c r="AO23" s="102"/>
      <c r="AP23" s="102"/>
      <c r="AQ23" s="102"/>
      <c r="AR23" s="102"/>
      <c r="AS23" s="102"/>
      <c r="AT23" s="102"/>
      <c r="AU23" s="102"/>
      <c r="AV23" s="102"/>
      <c r="AW23" s="102"/>
      <c r="AX23" s="102"/>
      <c r="AY23" s="102"/>
      <c r="AZ23" s="102"/>
      <c r="BA23" s="102"/>
      <c r="BB23" s="102"/>
      <c r="BC23" s="102"/>
      <c r="BD23" s="102"/>
      <c r="BE23" s="102"/>
      <c r="BF23" s="102"/>
      <c r="BG23" s="102"/>
      <c r="BH23" s="102"/>
      <c r="BI23" s="102"/>
      <c r="BJ23" s="102"/>
      <c r="BK23" s="102"/>
      <c r="BL23" s="102"/>
      <c r="BM23" s="102"/>
      <c r="BN23" s="102"/>
      <c r="BO23" s="102"/>
      <c r="BP23" s="102"/>
      <c r="BQ23" s="102"/>
      <c r="BR23" s="102"/>
      <c r="BS23" s="102"/>
      <c r="BT23" s="102"/>
      <c r="BU23" s="102"/>
      <c r="BW23" s="102"/>
      <c r="BX23" s="102"/>
      <c r="BY23" s="102"/>
      <c r="BZ23" s="102"/>
      <c r="CA23" s="102"/>
      <c r="CB23" s="105"/>
      <c r="CC23" s="105"/>
      <c r="CD23" s="105"/>
    </row>
    <row r="24" spans="1:87" s="106" customFormat="1" ht="11">
      <c r="A24" s="97"/>
      <c r="B24" s="98"/>
      <c r="C24" s="99"/>
      <c r="D24" s="100"/>
      <c r="E24" s="100"/>
      <c r="F24" s="101"/>
      <c r="G24" s="102"/>
      <c r="H24" s="102"/>
      <c r="I24" s="103"/>
      <c r="J24" s="103"/>
      <c r="K24" s="104"/>
      <c r="L24" s="104"/>
      <c r="M24" s="104"/>
      <c r="N24" s="104"/>
      <c r="O24" s="104"/>
      <c r="P24" s="104"/>
      <c r="Q24" s="104"/>
      <c r="R24" s="104"/>
      <c r="S24" s="104"/>
      <c r="T24" s="104"/>
      <c r="U24" s="104"/>
      <c r="V24" s="104"/>
      <c r="W24" s="104"/>
      <c r="X24" s="104"/>
      <c r="Y24" s="102"/>
      <c r="Z24" s="102"/>
      <c r="AA24" s="102"/>
      <c r="AB24" s="102"/>
      <c r="AC24" s="102"/>
      <c r="AD24" s="102"/>
      <c r="AE24" s="102"/>
      <c r="AF24" s="102"/>
      <c r="AG24" s="102"/>
      <c r="AH24" s="102"/>
      <c r="AI24" s="102"/>
      <c r="AJ24" s="102"/>
      <c r="AK24" s="102"/>
      <c r="AL24" s="102"/>
      <c r="AM24" s="102"/>
      <c r="AN24" s="102"/>
      <c r="AO24" s="102"/>
      <c r="AP24" s="102"/>
      <c r="AQ24" s="102"/>
      <c r="AR24" s="102"/>
      <c r="AS24" s="102"/>
      <c r="AT24" s="102"/>
      <c r="AU24" s="102"/>
      <c r="AV24" s="102"/>
      <c r="AW24" s="102"/>
      <c r="AX24" s="102"/>
      <c r="AY24" s="102"/>
      <c r="AZ24" s="102"/>
      <c r="BA24" s="102"/>
      <c r="BB24" s="102"/>
      <c r="BC24" s="102"/>
      <c r="BD24" s="102"/>
      <c r="BE24" s="102"/>
      <c r="BF24" s="102"/>
      <c r="BG24" s="102"/>
      <c r="BH24" s="102"/>
      <c r="BI24" s="102"/>
      <c r="BJ24" s="102"/>
      <c r="BK24" s="102"/>
      <c r="BL24" s="102"/>
      <c r="BM24" s="102"/>
      <c r="BN24" s="102"/>
      <c r="BO24" s="102"/>
      <c r="BP24" s="102"/>
      <c r="BQ24" s="102"/>
      <c r="BR24" s="102"/>
      <c r="BS24" s="102"/>
      <c r="BT24" s="102"/>
      <c r="BU24" s="102"/>
      <c r="BW24" s="102"/>
      <c r="BX24" s="102"/>
      <c r="BY24" s="102"/>
      <c r="BZ24" s="102"/>
      <c r="CA24" s="102"/>
      <c r="CB24" s="105"/>
      <c r="CC24" s="105"/>
      <c r="CD24" s="105"/>
    </row>
    <row r="26" spans="1:87" ht="28">
      <c r="BN26" s="145" t="s">
        <v>151</v>
      </c>
    </row>
  </sheetData>
  <autoFilter ref="A9:CI14" xr:uid="{00000000-0009-0000-0000-000001000000}"/>
  <mergeCells count="82">
    <mergeCell ref="BS6:BS8"/>
    <mergeCell ref="BM6:BQ6"/>
    <mergeCell ref="AC6:AC8"/>
    <mergeCell ref="BC7:BC8"/>
    <mergeCell ref="AE6:AE8"/>
    <mergeCell ref="BK7:BK8"/>
    <mergeCell ref="BQ7:BQ8"/>
    <mergeCell ref="BN7:BN8"/>
    <mergeCell ref="BP7:BP8"/>
    <mergeCell ref="AM6:AM8"/>
    <mergeCell ref="AP5:AP8"/>
    <mergeCell ref="BO7:BO8"/>
    <mergeCell ref="BB7:BB8"/>
    <mergeCell ref="BD7:BD8"/>
    <mergeCell ref="BF7:BF8"/>
    <mergeCell ref="BH7:BH8"/>
    <mergeCell ref="AS5:AS8"/>
    <mergeCell ref="AU5:AU8"/>
    <mergeCell ref="AB6:AB8"/>
    <mergeCell ref="AH6:AH8"/>
    <mergeCell ref="AJ6:AJ8"/>
    <mergeCell ref="A5:A8"/>
    <mergeCell ref="C5:C8"/>
    <mergeCell ref="AK6:AK8"/>
    <mergeCell ref="BI7:BI8"/>
    <mergeCell ref="K5:X5"/>
    <mergeCell ref="AO6:AO8"/>
    <mergeCell ref="Y5:AO5"/>
    <mergeCell ref="AN6:AN8"/>
    <mergeCell ref="AR5:AR8"/>
    <mergeCell ref="AA6:AA8"/>
    <mergeCell ref="D5:D8"/>
    <mergeCell ref="X6:X8"/>
    <mergeCell ref="AV5:AV8"/>
    <mergeCell ref="AX5:AX8"/>
    <mergeCell ref="V6:W7"/>
    <mergeCell ref="Y6:Y8"/>
    <mergeCell ref="G5:G8"/>
    <mergeCell ref="AQ5:AQ8"/>
    <mergeCell ref="I5:I8"/>
    <mergeCell ref="R6:R8"/>
    <mergeCell ref="B5:B8"/>
    <mergeCell ref="AL6:AL8"/>
    <mergeCell ref="P6:P8"/>
    <mergeCell ref="N6:N8"/>
    <mergeCell ref="F5:F8"/>
    <mergeCell ref="M6:M8"/>
    <mergeCell ref="Q6:Q8"/>
    <mergeCell ref="S6:S8"/>
    <mergeCell ref="T6:T8"/>
    <mergeCell ref="BW3:CB4"/>
    <mergeCell ref="CC5:CC8"/>
    <mergeCell ref="AY6:BL6"/>
    <mergeCell ref="H5:H8"/>
    <mergeCell ref="BR5:BS5"/>
    <mergeCell ref="J5:J8"/>
    <mergeCell ref="BX5:CA7"/>
    <mergeCell ref="U6:U8"/>
    <mergeCell ref="AG6:AG8"/>
    <mergeCell ref="BE7:BE8"/>
    <mergeCell ref="BG7:BG8"/>
    <mergeCell ref="AD6:AD8"/>
    <mergeCell ref="AF6:AF8"/>
    <mergeCell ref="A3:BU3"/>
    <mergeCell ref="E5:E8"/>
    <mergeCell ref="K6:K8"/>
    <mergeCell ref="CD5:CD8"/>
    <mergeCell ref="BR6:BR8"/>
    <mergeCell ref="AT5:AT8"/>
    <mergeCell ref="L6:L8"/>
    <mergeCell ref="BM7:BM8"/>
    <mergeCell ref="Z6:Z8"/>
    <mergeCell ref="BJ7:BJ8"/>
    <mergeCell ref="BL7:BL8"/>
    <mergeCell ref="AW5:AW8"/>
    <mergeCell ref="AI6:AI8"/>
    <mergeCell ref="BU5:BU8"/>
    <mergeCell ref="BW5:BW8"/>
    <mergeCell ref="O6:O8"/>
    <mergeCell ref="AY5:BQ5"/>
    <mergeCell ref="CB5:CB8"/>
    <mergeCell ref="BT5:BT8"/>
  </mergeCells>
  <conditionalFormatting sqref="B1:B9 B12:B16 B20:B1048576 C9:BU9 D10:F10 J10:BK10 BM10:BU10 BW9:CD10">
    <cfRule type="duplicateValues" dxfId="18" priority="54"/>
  </conditionalFormatting>
  <conditionalFormatting sqref="B1:B9 B12:B16 B20:B1048576 C9:BU9">
    <cfRule type="duplicateValues" dxfId="17" priority="6"/>
    <cfRule type="duplicateValues" dxfId="16" priority="49"/>
  </conditionalFormatting>
  <conditionalFormatting sqref="B19:C19">
    <cfRule type="duplicateValues" dxfId="15" priority="1"/>
    <cfRule type="duplicateValues" dxfId="14" priority="2"/>
    <cfRule type="duplicateValues" dxfId="13" priority="3"/>
  </conditionalFormatting>
  <conditionalFormatting sqref="BL10">
    <cfRule type="duplicateValues" dxfId="12" priority="4"/>
  </conditionalFormatting>
  <printOptions horizontalCentered="1"/>
  <pageMargins left="0" right="0" top="0.21" bottom="0.17" header="0.196850393700787" footer="0.196850393700787"/>
  <pageSetup paperSize="9" scale="43" orientation="landscape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0" tint="-0.499984740745262"/>
  </sheetPr>
  <dimension ref="A1:CA25"/>
  <sheetViews>
    <sheetView tabSelected="1" zoomScale="120" zoomScaleNormal="120" zoomScaleSheetLayoutView="70" workbookViewId="0">
      <pane xSplit="6" ySplit="13" topLeftCell="G14" activePane="bottomRight" state="frozen"/>
      <selection pane="topRight" activeCell="E18" sqref="E18"/>
      <selection pane="bottomLeft" activeCell="E18" sqref="E18"/>
      <selection pane="bottomRight" activeCell="D17" sqref="D17"/>
    </sheetView>
  </sheetViews>
  <sheetFormatPr baseColWidth="10" defaultColWidth="9.1640625" defaultRowHeight="15" outlineLevelRow="1" outlineLevelCol="1"/>
  <cols>
    <col min="1" max="1" width="5.5" style="309" customWidth="1"/>
    <col min="2" max="2" width="8.5" style="310" customWidth="1"/>
    <col min="3" max="3" width="18.1640625" style="311" customWidth="1"/>
    <col min="4" max="4" width="19.6640625" style="255" customWidth="1" outlineLevel="1"/>
    <col min="5" max="5" width="19.83203125" style="255" customWidth="1" outlineLevel="1"/>
    <col min="6" max="6" width="5.5" style="256" bestFit="1" customWidth="1" outlineLevel="1"/>
    <col min="7" max="7" width="13.6640625" style="258" bestFit="1" customWidth="1"/>
    <col min="8" max="8" width="12.5" style="258" customWidth="1"/>
    <col min="9" max="9" width="12.5" style="314" customWidth="1"/>
    <col min="10" max="10" width="7.5" style="314" customWidth="1" outlineLevel="1"/>
    <col min="11" max="24" width="7.1640625" style="257" customWidth="1"/>
    <col min="25" max="47" width="12.33203125" style="258" customWidth="1"/>
    <col min="48" max="49" width="13" style="258" customWidth="1"/>
    <col min="50" max="50" width="6.6640625" style="258" customWidth="1"/>
    <col min="51" max="65" width="10.5" style="258" customWidth="1"/>
    <col min="66" max="66" width="12.5" style="258" customWidth="1"/>
    <col min="67" max="71" width="12.6640625" style="258" customWidth="1" outlineLevel="1"/>
    <col min="72" max="72" width="12.6640625" style="315" customWidth="1" outlineLevel="1"/>
    <col min="73" max="74" width="10.6640625" style="315" customWidth="1" outlineLevel="1"/>
    <col min="75" max="75" width="19.5" style="316" customWidth="1"/>
    <col min="76" max="76" width="12.33203125" style="316" customWidth="1"/>
    <col min="77" max="77" width="12.5" style="316" customWidth="1"/>
    <col min="78" max="78" width="11.6640625" style="316" customWidth="1"/>
    <col min="79" max="79" width="9.1640625" style="316" customWidth="1"/>
    <col min="80" max="16384" width="9.1640625" style="316"/>
  </cols>
  <sheetData>
    <row r="1" spans="1:79" s="239" customFormat="1" ht="23.25" hidden="1" customHeight="1" outlineLevel="1">
      <c r="A1" s="259" t="s">
        <v>0</v>
      </c>
      <c r="B1" s="260"/>
      <c r="C1" s="261"/>
      <c r="D1" s="262"/>
      <c r="E1" s="262"/>
      <c r="F1" s="262"/>
      <c r="I1" s="280"/>
      <c r="K1" s="263"/>
      <c r="L1" s="263"/>
      <c r="M1" s="263"/>
      <c r="N1" s="263"/>
      <c r="O1" s="263"/>
      <c r="P1" s="263"/>
      <c r="Q1" s="263"/>
      <c r="R1" s="263"/>
      <c r="S1" s="263"/>
      <c r="T1" s="263"/>
      <c r="U1" s="263"/>
      <c r="V1" s="263"/>
      <c r="W1" s="263"/>
      <c r="X1" s="263"/>
      <c r="Y1" s="264"/>
      <c r="Z1" s="264"/>
      <c r="AA1" s="264"/>
      <c r="AB1" s="264"/>
      <c r="AC1" s="264"/>
      <c r="AD1" s="264"/>
      <c r="AE1" s="264"/>
      <c r="AF1" s="264"/>
      <c r="AG1" s="264"/>
      <c r="AH1" s="264"/>
      <c r="AI1" s="264"/>
      <c r="AJ1" s="264"/>
      <c r="AK1" s="264"/>
      <c r="AL1" s="264"/>
      <c r="AM1" s="264"/>
      <c r="AN1" s="264"/>
      <c r="AO1" s="264"/>
      <c r="AP1" s="264"/>
      <c r="AQ1" s="264"/>
      <c r="AR1" s="264"/>
      <c r="AS1" s="264"/>
      <c r="AT1" s="264"/>
      <c r="AU1" s="264"/>
      <c r="AV1" s="264"/>
      <c r="AW1" s="264"/>
      <c r="AX1" s="264"/>
      <c r="AY1" s="264"/>
      <c r="AZ1" s="264"/>
      <c r="BA1" s="264"/>
      <c r="BB1" s="264"/>
      <c r="BC1" s="264"/>
      <c r="BD1" s="264"/>
      <c r="BE1" s="264"/>
      <c r="BF1" s="264"/>
      <c r="BG1" s="264"/>
      <c r="BH1" s="265"/>
      <c r="BI1" s="265"/>
      <c r="BJ1" s="264"/>
      <c r="BK1" s="264"/>
      <c r="BL1" s="264"/>
      <c r="BM1" s="264"/>
      <c r="BO1" s="131"/>
      <c r="BP1" s="131"/>
      <c r="BQ1" s="131"/>
      <c r="BR1" s="131"/>
      <c r="BS1" s="131"/>
      <c r="BT1" s="266"/>
      <c r="BU1" s="266"/>
      <c r="BV1" s="266"/>
    </row>
    <row r="2" spans="1:79" s="239" customFormat="1" ht="19.25" hidden="1" customHeight="1" outlineLevel="1">
      <c r="A2" s="267" t="s">
        <v>1</v>
      </c>
      <c r="B2" s="260"/>
      <c r="C2" s="268"/>
      <c r="D2" s="262"/>
      <c r="E2" s="262"/>
      <c r="F2" s="262"/>
      <c r="I2" s="280"/>
      <c r="K2" s="263"/>
      <c r="L2" s="263"/>
      <c r="M2" s="263"/>
      <c r="N2" s="263"/>
      <c r="O2" s="263"/>
      <c r="P2" s="263"/>
      <c r="Q2" s="263"/>
      <c r="R2" s="263"/>
      <c r="S2" s="263"/>
      <c r="T2" s="263"/>
      <c r="U2" s="263"/>
      <c r="V2" s="263"/>
      <c r="W2" s="263"/>
      <c r="X2" s="263"/>
      <c r="Y2" s="264"/>
      <c r="Z2" s="264"/>
      <c r="AA2" s="264"/>
      <c r="AB2" s="264"/>
      <c r="AC2" s="264"/>
      <c r="AD2" s="264"/>
      <c r="AE2" s="264"/>
      <c r="AF2" s="264"/>
      <c r="AG2" s="264"/>
      <c r="AH2" s="264"/>
      <c r="AI2" s="264"/>
      <c r="AJ2" s="264"/>
      <c r="AK2" s="264"/>
      <c r="AL2" s="264"/>
      <c r="AM2" s="264"/>
      <c r="AN2" s="264"/>
      <c r="AO2" s="264"/>
      <c r="AP2" s="264"/>
      <c r="AQ2" s="264"/>
      <c r="AR2" s="264"/>
      <c r="AS2" s="264"/>
      <c r="AT2" s="264"/>
      <c r="AU2" s="264"/>
      <c r="AV2" s="264"/>
      <c r="AW2" s="264"/>
      <c r="AX2" s="264"/>
      <c r="AY2" s="264"/>
      <c r="AZ2" s="264"/>
      <c r="BA2" s="264"/>
      <c r="BB2" s="264"/>
      <c r="BC2" s="264"/>
      <c r="BD2" s="264"/>
      <c r="BE2" s="264"/>
      <c r="BF2" s="264"/>
      <c r="BG2" s="264"/>
      <c r="BH2" s="264"/>
      <c r="BI2" s="264"/>
      <c r="BJ2" s="264"/>
      <c r="BK2" s="264"/>
      <c r="BL2" s="264"/>
      <c r="BM2" s="264"/>
      <c r="BN2" s="264"/>
      <c r="BO2" s="269"/>
      <c r="BP2" s="269"/>
      <c r="BQ2" s="269"/>
      <c r="BR2" s="269"/>
      <c r="BS2" s="269"/>
      <c r="BT2" s="268"/>
      <c r="BU2" s="268"/>
      <c r="BV2" s="268"/>
    </row>
    <row r="3" spans="1:79" s="240" customFormat="1" ht="24" hidden="1" customHeight="1" outlineLevel="1">
      <c r="A3" s="448"/>
      <c r="B3" s="449"/>
      <c r="C3" s="449"/>
      <c r="D3" s="449"/>
      <c r="E3" s="449"/>
      <c r="F3" s="449"/>
      <c r="G3" s="449"/>
      <c r="H3" s="449"/>
      <c r="I3" s="449"/>
      <c r="J3" s="449"/>
      <c r="K3" s="449"/>
      <c r="L3" s="449"/>
      <c r="M3" s="449"/>
      <c r="N3" s="449"/>
      <c r="O3" s="449"/>
      <c r="P3" s="449"/>
      <c r="Q3" s="449"/>
      <c r="R3" s="449"/>
      <c r="S3" s="449"/>
      <c r="T3" s="449"/>
      <c r="U3" s="449"/>
      <c r="V3" s="449"/>
      <c r="W3" s="449"/>
      <c r="X3" s="449"/>
      <c r="Y3" s="449"/>
      <c r="Z3" s="449"/>
      <c r="AA3" s="449"/>
      <c r="AB3" s="449"/>
      <c r="AC3" s="449"/>
      <c r="AD3" s="449"/>
      <c r="AE3" s="449"/>
      <c r="AF3" s="449"/>
      <c r="AG3" s="449"/>
      <c r="AH3" s="449"/>
      <c r="AI3" s="449"/>
      <c r="AJ3" s="449"/>
      <c r="AK3" s="449"/>
      <c r="AL3" s="449"/>
      <c r="AM3" s="449"/>
      <c r="AN3" s="449"/>
      <c r="AO3" s="449"/>
      <c r="AP3" s="449"/>
      <c r="AQ3" s="449"/>
      <c r="AR3" s="449"/>
      <c r="AS3" s="449"/>
      <c r="AT3" s="449"/>
      <c r="AU3" s="449"/>
      <c r="AV3" s="449"/>
      <c r="AW3" s="449"/>
      <c r="AX3" s="449"/>
      <c r="AY3" s="449"/>
      <c r="AZ3" s="449"/>
      <c r="BA3" s="449"/>
      <c r="BB3" s="449"/>
      <c r="BC3" s="449"/>
      <c r="BD3" s="449"/>
      <c r="BE3" s="449"/>
      <c r="BF3" s="449"/>
      <c r="BG3" s="449"/>
      <c r="BH3" s="449"/>
      <c r="BI3" s="449"/>
      <c r="BJ3" s="449"/>
      <c r="BK3" s="449"/>
      <c r="BL3" s="449"/>
      <c r="BM3" s="449"/>
      <c r="BN3" s="449"/>
      <c r="BO3" s="458" t="s">
        <v>2</v>
      </c>
      <c r="BP3" s="449"/>
      <c r="BQ3" s="449"/>
      <c r="BR3" s="449"/>
      <c r="BS3" s="449"/>
      <c r="BT3" s="449"/>
      <c r="BU3" s="270"/>
      <c r="BV3" s="270"/>
    </row>
    <row r="4" spans="1:79" s="240" customFormat="1" ht="21.5" hidden="1" customHeight="1" outlineLevel="1">
      <c r="A4" s="271"/>
      <c r="B4" s="271"/>
      <c r="C4" s="271"/>
      <c r="D4" s="271"/>
      <c r="E4" s="271"/>
      <c r="F4" s="271"/>
      <c r="G4" s="271"/>
      <c r="H4" s="271"/>
      <c r="I4" s="280"/>
      <c r="K4" s="271"/>
      <c r="L4" s="271"/>
      <c r="M4" s="271"/>
      <c r="N4" s="271"/>
      <c r="O4" s="271"/>
      <c r="P4" s="271"/>
      <c r="Q4" s="271"/>
      <c r="R4" s="271"/>
      <c r="S4" s="271"/>
      <c r="T4" s="271"/>
      <c r="U4" s="271"/>
      <c r="V4" s="272"/>
      <c r="W4" s="272"/>
      <c r="X4" s="272"/>
      <c r="Y4" s="272"/>
      <c r="Z4" s="272"/>
      <c r="AA4" s="272"/>
      <c r="AB4" s="272"/>
      <c r="AC4" s="272"/>
      <c r="AD4" s="272"/>
      <c r="AE4" s="272"/>
      <c r="AF4" s="272"/>
      <c r="AG4" s="272"/>
      <c r="AH4" s="272"/>
      <c r="AI4" s="272"/>
      <c r="AJ4" s="272"/>
      <c r="AK4" s="272"/>
      <c r="AL4" s="272"/>
      <c r="AM4" s="271"/>
      <c r="AN4" s="271"/>
      <c r="AO4" s="271"/>
      <c r="AP4" s="271"/>
      <c r="AQ4" s="271"/>
      <c r="AR4" s="271"/>
      <c r="AS4" s="271"/>
      <c r="AT4" s="271"/>
      <c r="AU4" s="271"/>
      <c r="AV4" s="271"/>
      <c r="AW4" s="271"/>
      <c r="AX4" s="271"/>
      <c r="AY4" s="271"/>
      <c r="AZ4" s="271"/>
      <c r="BA4" s="271"/>
      <c r="BB4" s="271"/>
      <c r="BC4" s="271"/>
      <c r="BD4" s="271"/>
      <c r="BE4" s="271"/>
      <c r="BF4" s="271"/>
      <c r="BG4" s="271"/>
      <c r="BH4" s="271"/>
      <c r="BI4" s="271"/>
      <c r="BJ4" s="271"/>
      <c r="BK4" s="271"/>
      <c r="BL4" s="271"/>
      <c r="BM4" s="271"/>
      <c r="BN4" s="271"/>
      <c r="BO4" s="449"/>
      <c r="BP4" s="449"/>
      <c r="BQ4" s="449"/>
      <c r="BR4" s="449"/>
      <c r="BS4" s="449"/>
      <c r="BT4" s="449"/>
      <c r="BU4" s="270"/>
      <c r="BV4" s="270"/>
    </row>
    <row r="5" spans="1:79" s="240" customFormat="1" ht="20.25" hidden="1" customHeight="1" outlineLevel="1">
      <c r="A5" s="271"/>
      <c r="B5" s="271"/>
      <c r="C5" s="271"/>
      <c r="D5" s="271"/>
      <c r="E5" s="271"/>
      <c r="F5" s="271"/>
      <c r="G5" s="271"/>
      <c r="H5" s="271"/>
      <c r="I5" s="280"/>
      <c r="K5" s="271"/>
      <c r="L5" s="271"/>
      <c r="M5" s="271"/>
      <c r="N5" s="271"/>
      <c r="O5" s="271"/>
      <c r="P5" s="271"/>
      <c r="Q5" s="271"/>
      <c r="R5" s="271"/>
      <c r="S5" s="271"/>
      <c r="T5" s="271"/>
      <c r="U5" s="271"/>
      <c r="V5" s="271"/>
      <c r="W5" s="271"/>
      <c r="X5" s="271"/>
      <c r="Y5" s="271"/>
      <c r="Z5" s="271"/>
      <c r="AA5" s="271"/>
      <c r="AB5" s="271"/>
      <c r="AC5" s="271"/>
      <c r="AD5" s="271"/>
      <c r="AE5" s="271"/>
      <c r="AF5" s="271"/>
      <c r="AG5" s="271"/>
      <c r="AH5" s="271"/>
      <c r="AI5" s="271"/>
      <c r="AJ5" s="271"/>
      <c r="AK5" s="271"/>
      <c r="AL5" s="271"/>
      <c r="AM5" s="271"/>
      <c r="AN5" s="271"/>
      <c r="AO5" s="271"/>
      <c r="AP5" s="271"/>
      <c r="AQ5" s="271"/>
      <c r="AR5" s="271"/>
      <c r="AS5" s="271"/>
      <c r="AT5" s="271"/>
      <c r="AU5" s="271"/>
      <c r="AV5" s="271"/>
      <c r="AW5" s="271"/>
      <c r="AX5" s="271"/>
      <c r="AY5" s="271"/>
      <c r="AZ5" s="271"/>
      <c r="BA5" s="271"/>
      <c r="BB5" s="271"/>
      <c r="BC5" s="271"/>
      <c r="BD5" s="271"/>
      <c r="BE5" s="271"/>
      <c r="BF5" s="271"/>
      <c r="BG5" s="271"/>
      <c r="BH5" s="271"/>
      <c r="BI5" s="271"/>
      <c r="BJ5" s="271"/>
      <c r="BK5" s="271"/>
      <c r="BL5" s="271"/>
      <c r="BM5" s="271"/>
      <c r="BN5" s="271"/>
      <c r="BO5" s="449"/>
      <c r="BP5" s="449"/>
      <c r="BQ5" s="449"/>
      <c r="BR5" s="449"/>
      <c r="BS5" s="449"/>
      <c r="BT5" s="449"/>
      <c r="BU5" s="270"/>
      <c r="BV5" s="270"/>
    </row>
    <row r="6" spans="1:79" s="240" customFormat="1" ht="18.75" hidden="1" customHeight="1" outlineLevel="1">
      <c r="A6" s="273"/>
      <c r="B6" s="273"/>
      <c r="C6" s="273"/>
      <c r="D6" s="273"/>
      <c r="E6" s="273"/>
      <c r="F6" s="273"/>
      <c r="G6" s="273"/>
      <c r="H6" s="273"/>
      <c r="I6" s="280"/>
      <c r="K6" s="274"/>
      <c r="L6" s="274"/>
      <c r="M6" s="274"/>
      <c r="N6" s="274"/>
      <c r="O6" s="274"/>
      <c r="P6" s="274"/>
      <c r="Q6" s="274"/>
      <c r="R6" s="274"/>
      <c r="S6" s="274"/>
      <c r="T6" s="274"/>
      <c r="U6" s="274"/>
      <c r="V6" s="274"/>
      <c r="W6" s="274"/>
      <c r="X6" s="274"/>
      <c r="Y6" s="275"/>
      <c r="Z6" s="275"/>
      <c r="AA6" s="275"/>
      <c r="AB6" s="275"/>
      <c r="AC6" s="271"/>
      <c r="AD6" s="273"/>
      <c r="AE6" s="273"/>
      <c r="AF6" s="273"/>
      <c r="AG6" s="273"/>
      <c r="AH6" s="273"/>
      <c r="AI6" s="273"/>
      <c r="AJ6" s="273"/>
      <c r="AK6" s="273"/>
      <c r="AL6" s="273"/>
      <c r="AM6" s="273"/>
      <c r="AN6" s="273"/>
      <c r="AO6" s="273"/>
      <c r="AP6" s="273"/>
      <c r="AQ6" s="273"/>
      <c r="AR6" s="273"/>
      <c r="AS6" s="273"/>
      <c r="AT6" s="273"/>
      <c r="AU6" s="273"/>
      <c r="AV6" s="273"/>
      <c r="AW6" s="273"/>
      <c r="AX6" s="273"/>
      <c r="AY6" s="273"/>
      <c r="AZ6" s="273"/>
      <c r="BA6" s="273"/>
      <c r="BB6" s="273"/>
      <c r="BC6" s="273"/>
      <c r="BD6" s="273"/>
      <c r="BE6" s="273"/>
      <c r="BF6" s="273"/>
      <c r="BG6" s="273"/>
      <c r="BH6" s="273"/>
      <c r="BI6" s="273"/>
      <c r="BJ6" s="273"/>
      <c r="BK6" s="273"/>
      <c r="BL6" s="273"/>
      <c r="BM6" s="273"/>
      <c r="BN6" s="273"/>
      <c r="BO6" s="449"/>
      <c r="BP6" s="449"/>
      <c r="BQ6" s="449"/>
      <c r="BR6" s="449"/>
      <c r="BS6" s="449"/>
      <c r="BT6" s="449"/>
      <c r="BU6" s="270"/>
      <c r="BV6" s="270"/>
    </row>
    <row r="7" spans="1:79" s="240" customFormat="1" ht="12.75" hidden="1" customHeight="1" outlineLevel="1">
      <c r="A7" s="43"/>
      <c r="B7" s="281"/>
      <c r="C7" s="43"/>
      <c r="D7" s="281"/>
      <c r="E7" s="281"/>
      <c r="F7" s="282"/>
      <c r="G7" s="281"/>
      <c r="H7" s="281"/>
      <c r="I7" s="280"/>
      <c r="K7" s="130"/>
      <c r="L7" s="130"/>
      <c r="M7" s="130"/>
      <c r="N7" s="130"/>
      <c r="O7" s="130"/>
      <c r="P7" s="130"/>
      <c r="Q7" s="130"/>
      <c r="R7" s="130"/>
      <c r="S7" s="130"/>
      <c r="T7" s="130"/>
      <c r="U7" s="283"/>
      <c r="V7" s="130"/>
      <c r="W7" s="130"/>
      <c r="X7" s="130"/>
      <c r="Y7" s="275"/>
      <c r="Z7" s="275"/>
      <c r="AA7" s="275"/>
      <c r="AB7" s="275"/>
      <c r="AC7" s="271"/>
      <c r="AD7" s="271"/>
      <c r="AE7" s="271"/>
      <c r="AF7" s="271"/>
      <c r="AG7" s="271"/>
      <c r="AH7" s="271"/>
      <c r="AI7" s="271"/>
      <c r="AJ7" s="271"/>
      <c r="AK7" s="271"/>
      <c r="AL7" s="271"/>
      <c r="AM7" s="271"/>
      <c r="AN7" s="271"/>
      <c r="AO7" s="271"/>
      <c r="AP7" s="271"/>
      <c r="AQ7" s="271"/>
      <c r="AR7" s="271"/>
      <c r="AS7" s="271"/>
      <c r="AT7" s="271"/>
      <c r="AU7" s="271"/>
      <c r="AV7" s="43"/>
      <c r="AW7" s="43"/>
      <c r="AX7" s="43"/>
      <c r="AY7" s="43"/>
      <c r="AZ7" s="43"/>
      <c r="BA7" s="281"/>
      <c r="BB7" s="281"/>
      <c r="BC7" s="281"/>
      <c r="BD7" s="281"/>
      <c r="BE7" s="43"/>
      <c r="BF7" s="281"/>
      <c r="BG7" s="43"/>
      <c r="BH7" s="281"/>
      <c r="BI7" s="281"/>
      <c r="BJ7" s="43"/>
      <c r="BK7" s="43"/>
      <c r="BL7" s="43"/>
      <c r="BM7" s="43"/>
      <c r="BN7" s="281"/>
      <c r="BO7" s="127"/>
      <c r="BP7" s="127"/>
      <c r="BQ7" s="127"/>
      <c r="BR7" s="127"/>
      <c r="BS7" s="127"/>
      <c r="BT7" s="283"/>
      <c r="BU7" s="283"/>
      <c r="BV7" s="283"/>
    </row>
    <row r="8" spans="1:79" s="329" customFormat="1" ht="19.25" customHeight="1" collapsed="1">
      <c r="A8" s="469" t="s">
        <v>4</v>
      </c>
      <c r="B8" s="450" t="s">
        <v>5</v>
      </c>
      <c r="C8" s="432" t="s">
        <v>6</v>
      </c>
      <c r="D8" s="452" t="s">
        <v>141</v>
      </c>
      <c r="E8" s="452" t="s">
        <v>8</v>
      </c>
      <c r="F8" s="438" t="s">
        <v>142</v>
      </c>
      <c r="G8" s="366" t="s">
        <v>10</v>
      </c>
      <c r="H8" s="435" t="s">
        <v>11</v>
      </c>
      <c r="I8" s="435" t="s">
        <v>12</v>
      </c>
      <c r="J8" s="366" t="s">
        <v>13</v>
      </c>
      <c r="K8" s="470" t="s">
        <v>14</v>
      </c>
      <c r="L8" s="442"/>
      <c r="M8" s="442"/>
      <c r="N8" s="442"/>
      <c r="O8" s="442"/>
      <c r="P8" s="442"/>
      <c r="Q8" s="442"/>
      <c r="R8" s="442"/>
      <c r="S8" s="442"/>
      <c r="T8" s="442"/>
      <c r="U8" s="442"/>
      <c r="V8" s="442"/>
      <c r="W8" s="442"/>
      <c r="X8" s="442"/>
      <c r="Y8" s="441" t="s">
        <v>15</v>
      </c>
      <c r="Z8" s="442"/>
      <c r="AA8" s="442"/>
      <c r="AB8" s="442"/>
      <c r="AC8" s="442"/>
      <c r="AD8" s="442"/>
      <c r="AE8" s="442"/>
      <c r="AF8" s="442"/>
      <c r="AG8" s="442"/>
      <c r="AH8" s="442"/>
      <c r="AI8" s="442"/>
      <c r="AJ8" s="442"/>
      <c r="AK8" s="442"/>
      <c r="AL8" s="442"/>
      <c r="AM8" s="442"/>
      <c r="AN8" s="442"/>
      <c r="AO8" s="443"/>
      <c r="AP8" s="366" t="s">
        <v>16</v>
      </c>
      <c r="AQ8" s="366" t="s">
        <v>17</v>
      </c>
      <c r="AR8" s="366" t="s">
        <v>18</v>
      </c>
      <c r="AS8" s="366" t="s">
        <v>19</v>
      </c>
      <c r="AT8" s="366" t="s">
        <v>20</v>
      </c>
      <c r="AU8" s="366" t="s">
        <v>21</v>
      </c>
      <c r="AV8" s="353" t="s">
        <v>22</v>
      </c>
      <c r="AW8" s="343" t="s">
        <v>23</v>
      </c>
      <c r="AX8" s="353" t="s">
        <v>24</v>
      </c>
      <c r="AY8" s="442"/>
      <c r="AZ8" s="442"/>
      <c r="BA8" s="442"/>
      <c r="BB8" s="442"/>
      <c r="BC8" s="442"/>
      <c r="BD8" s="442"/>
      <c r="BE8" s="442"/>
      <c r="BF8" s="442"/>
      <c r="BG8" s="442"/>
      <c r="BH8" s="442"/>
      <c r="BI8" s="442"/>
      <c r="BJ8" s="443"/>
      <c r="BK8" s="468" t="s">
        <v>26</v>
      </c>
      <c r="BL8" s="419"/>
      <c r="BM8" s="432" t="s">
        <v>143</v>
      </c>
      <c r="BN8" s="432" t="s">
        <v>27</v>
      </c>
      <c r="BO8" s="393" t="s">
        <v>29</v>
      </c>
      <c r="BP8" s="459" t="s">
        <v>30</v>
      </c>
      <c r="BQ8" s="460"/>
      <c r="BR8" s="460"/>
      <c r="BS8" s="461"/>
      <c r="BT8" s="397" t="s">
        <v>31</v>
      </c>
      <c r="BU8" s="397" t="s">
        <v>32</v>
      </c>
      <c r="BV8" s="397" t="s">
        <v>33</v>
      </c>
      <c r="BZ8" s="330"/>
      <c r="CA8" s="330"/>
    </row>
    <row r="9" spans="1:79" s="329" customFormat="1" ht="19.25" customHeight="1">
      <c r="A9" s="436"/>
      <c r="B9" s="436"/>
      <c r="C9" s="436"/>
      <c r="D9" s="436"/>
      <c r="E9" s="436"/>
      <c r="F9" s="436"/>
      <c r="G9" s="344"/>
      <c r="H9" s="436"/>
      <c r="I9" s="436"/>
      <c r="J9" s="344"/>
      <c r="K9" s="444" t="s">
        <v>34</v>
      </c>
      <c r="L9" s="444" t="s">
        <v>35</v>
      </c>
      <c r="M9" s="444" t="s">
        <v>36</v>
      </c>
      <c r="N9" s="444" t="s">
        <v>37</v>
      </c>
      <c r="O9" s="444" t="s">
        <v>38</v>
      </c>
      <c r="P9" s="444" t="s">
        <v>39</v>
      </c>
      <c r="Q9" s="444" t="s">
        <v>40</v>
      </c>
      <c r="R9" s="444" t="s">
        <v>41</v>
      </c>
      <c r="S9" s="444" t="s">
        <v>42</v>
      </c>
      <c r="T9" s="444" t="s">
        <v>43</v>
      </c>
      <c r="U9" s="444" t="s">
        <v>44</v>
      </c>
      <c r="V9" s="454" t="s">
        <v>45</v>
      </c>
      <c r="W9" s="455"/>
      <c r="X9" s="444" t="s">
        <v>46</v>
      </c>
      <c r="Y9" s="440" t="s">
        <v>47</v>
      </c>
      <c r="Z9" s="440" t="s">
        <v>48</v>
      </c>
      <c r="AA9" s="440" t="s">
        <v>49</v>
      </c>
      <c r="AB9" s="440" t="s">
        <v>50</v>
      </c>
      <c r="AC9" s="440" t="s">
        <v>51</v>
      </c>
      <c r="AD9" s="440" t="s">
        <v>144</v>
      </c>
      <c r="AE9" s="440" t="s">
        <v>53</v>
      </c>
      <c r="AF9" s="440" t="s">
        <v>54</v>
      </c>
      <c r="AG9" s="440" t="s">
        <v>55</v>
      </c>
      <c r="AH9" s="440" t="s">
        <v>56</v>
      </c>
      <c r="AI9" s="440" t="s">
        <v>57</v>
      </c>
      <c r="AJ9" s="362" t="s">
        <v>58</v>
      </c>
      <c r="AK9" s="340" t="s">
        <v>59</v>
      </c>
      <c r="AL9" s="343" t="s">
        <v>60</v>
      </c>
      <c r="AM9" s="337" t="s">
        <v>61</v>
      </c>
      <c r="AN9" s="353" t="s">
        <v>62</v>
      </c>
      <c r="AO9" s="353" t="s">
        <v>63</v>
      </c>
      <c r="AP9" s="344"/>
      <c r="AQ9" s="344"/>
      <c r="AR9" s="344"/>
      <c r="AS9" s="344"/>
      <c r="AT9" s="344"/>
      <c r="AU9" s="344"/>
      <c r="AV9" s="338"/>
      <c r="AW9" s="344"/>
      <c r="AX9" s="338"/>
      <c r="AY9" s="413"/>
      <c r="AZ9" s="413"/>
      <c r="BA9" s="413"/>
      <c r="BB9" s="413"/>
      <c r="BC9" s="413"/>
      <c r="BD9" s="413"/>
      <c r="BE9" s="451" t="s">
        <v>64</v>
      </c>
      <c r="BF9" s="413"/>
      <c r="BG9" s="413"/>
      <c r="BH9" s="413"/>
      <c r="BI9" s="413"/>
      <c r="BJ9" s="414"/>
      <c r="BK9" s="445" t="s">
        <v>65</v>
      </c>
      <c r="BL9" s="445" t="s">
        <v>66</v>
      </c>
      <c r="BM9" s="436"/>
      <c r="BN9" s="436"/>
      <c r="BO9" s="394"/>
      <c r="BP9" s="462"/>
      <c r="BQ9" s="463"/>
      <c r="BR9" s="463"/>
      <c r="BS9" s="464"/>
      <c r="BT9" s="436"/>
      <c r="BU9" s="436"/>
      <c r="BV9" s="436"/>
      <c r="BZ9" s="330"/>
      <c r="CA9" s="330"/>
    </row>
    <row r="10" spans="1:79" s="331" customFormat="1" ht="19.25" customHeight="1">
      <c r="A10" s="436"/>
      <c r="B10" s="436"/>
      <c r="C10" s="436"/>
      <c r="D10" s="436"/>
      <c r="E10" s="436"/>
      <c r="F10" s="436"/>
      <c r="G10" s="344"/>
      <c r="H10" s="436"/>
      <c r="I10" s="436"/>
      <c r="J10" s="344"/>
      <c r="K10" s="436"/>
      <c r="L10" s="436"/>
      <c r="M10" s="436"/>
      <c r="N10" s="436"/>
      <c r="O10" s="436"/>
      <c r="P10" s="436"/>
      <c r="Q10" s="436"/>
      <c r="R10" s="436"/>
      <c r="S10" s="436"/>
      <c r="T10" s="436"/>
      <c r="U10" s="436"/>
      <c r="V10" s="456"/>
      <c r="W10" s="457"/>
      <c r="X10" s="436"/>
      <c r="Y10" s="436"/>
      <c r="Z10" s="436"/>
      <c r="AA10" s="436"/>
      <c r="AB10" s="436"/>
      <c r="AC10" s="436"/>
      <c r="AD10" s="436"/>
      <c r="AE10" s="436"/>
      <c r="AF10" s="436"/>
      <c r="AG10" s="436"/>
      <c r="AH10" s="436"/>
      <c r="AI10" s="436"/>
      <c r="AJ10" s="344"/>
      <c r="AK10" s="341"/>
      <c r="AL10" s="344"/>
      <c r="AM10" s="338"/>
      <c r="AN10" s="338"/>
      <c r="AO10" s="338"/>
      <c r="AP10" s="344"/>
      <c r="AQ10" s="344"/>
      <c r="AR10" s="344"/>
      <c r="AS10" s="344"/>
      <c r="AT10" s="344"/>
      <c r="AU10" s="344"/>
      <c r="AV10" s="338"/>
      <c r="AW10" s="344"/>
      <c r="AX10" s="338"/>
      <c r="AY10" s="446" t="s">
        <v>71</v>
      </c>
      <c r="AZ10" s="446" t="s">
        <v>72</v>
      </c>
      <c r="BA10" s="453" t="s">
        <v>145</v>
      </c>
      <c r="BB10" s="453" t="s">
        <v>74</v>
      </c>
      <c r="BC10" s="453" t="s">
        <v>75</v>
      </c>
      <c r="BD10" s="446" t="s">
        <v>76</v>
      </c>
      <c r="BE10" s="446" t="s">
        <v>81</v>
      </c>
      <c r="BF10" s="447" t="s">
        <v>82</v>
      </c>
      <c r="BG10" s="446" t="s">
        <v>83</v>
      </c>
      <c r="BH10" s="447" t="s">
        <v>84</v>
      </c>
      <c r="BI10" s="447" t="s">
        <v>146</v>
      </c>
      <c r="BJ10" s="432" t="s">
        <v>85</v>
      </c>
      <c r="BK10" s="436"/>
      <c r="BL10" s="436"/>
      <c r="BM10" s="436"/>
      <c r="BN10" s="436"/>
      <c r="BO10" s="394"/>
      <c r="BP10" s="465"/>
      <c r="BQ10" s="466"/>
      <c r="BR10" s="466"/>
      <c r="BS10" s="467"/>
      <c r="BT10" s="436"/>
      <c r="BU10" s="436"/>
      <c r="BV10" s="436"/>
      <c r="BW10" s="228" t="s">
        <v>3</v>
      </c>
      <c r="BZ10" s="330"/>
      <c r="CA10" s="330"/>
    </row>
    <row r="11" spans="1:79" s="331" customFormat="1" ht="38.25" customHeight="1">
      <c r="A11" s="437"/>
      <c r="B11" s="437"/>
      <c r="C11" s="437"/>
      <c r="D11" s="437"/>
      <c r="E11" s="437"/>
      <c r="F11" s="437"/>
      <c r="G11" s="345"/>
      <c r="H11" s="437"/>
      <c r="I11" s="437"/>
      <c r="J11" s="345"/>
      <c r="K11" s="437"/>
      <c r="L11" s="437"/>
      <c r="M11" s="437"/>
      <c r="N11" s="437"/>
      <c r="O11" s="437"/>
      <c r="P11" s="437"/>
      <c r="Q11" s="437"/>
      <c r="R11" s="437"/>
      <c r="S11" s="437"/>
      <c r="T11" s="437"/>
      <c r="U11" s="437"/>
      <c r="V11" s="332" t="s">
        <v>86</v>
      </c>
      <c r="W11" s="332" t="s">
        <v>87</v>
      </c>
      <c r="X11" s="437"/>
      <c r="Y11" s="437"/>
      <c r="Z11" s="437"/>
      <c r="AA11" s="437"/>
      <c r="AB11" s="437"/>
      <c r="AC11" s="437"/>
      <c r="AD11" s="437"/>
      <c r="AE11" s="437"/>
      <c r="AF11" s="437"/>
      <c r="AG11" s="437"/>
      <c r="AH11" s="437"/>
      <c r="AI11" s="437"/>
      <c r="AJ11" s="345"/>
      <c r="AK11" s="342"/>
      <c r="AL11" s="345"/>
      <c r="AM11" s="339"/>
      <c r="AN11" s="339"/>
      <c r="AO11" s="339"/>
      <c r="AP11" s="345"/>
      <c r="AQ11" s="345"/>
      <c r="AR11" s="345"/>
      <c r="AS11" s="345"/>
      <c r="AT11" s="345"/>
      <c r="AU11" s="345"/>
      <c r="AV11" s="339"/>
      <c r="AW11" s="345"/>
      <c r="AX11" s="339"/>
      <c r="AY11" s="345"/>
      <c r="AZ11" s="345"/>
      <c r="BA11" s="437"/>
      <c r="BB11" s="437"/>
      <c r="BC11" s="437"/>
      <c r="BD11" s="345"/>
      <c r="BE11" s="345"/>
      <c r="BF11" s="345"/>
      <c r="BG11" s="345"/>
      <c r="BH11" s="345"/>
      <c r="BI11" s="345"/>
      <c r="BJ11" s="437"/>
      <c r="BK11" s="437"/>
      <c r="BL11" s="437"/>
      <c r="BM11" s="437"/>
      <c r="BN11" s="437"/>
      <c r="BO11" s="395"/>
      <c r="BP11" s="237" t="s">
        <v>91</v>
      </c>
      <c r="BQ11" s="237" t="s">
        <v>92</v>
      </c>
      <c r="BR11" s="237" t="s">
        <v>93</v>
      </c>
      <c r="BS11" s="238" t="s">
        <v>94</v>
      </c>
      <c r="BT11" s="439"/>
      <c r="BU11" s="439"/>
      <c r="BV11" s="439"/>
      <c r="BW11" s="227">
        <v>25</v>
      </c>
      <c r="BX11" s="333"/>
      <c r="BZ11" s="330"/>
      <c r="CA11" s="330"/>
    </row>
    <row r="12" spans="1:79" s="278" customFormat="1" ht="15" customHeight="1">
      <c r="A12" s="284" t="s">
        <v>96</v>
      </c>
      <c r="B12" s="284" t="s">
        <v>96</v>
      </c>
      <c r="C12" s="284" t="s">
        <v>96</v>
      </c>
      <c r="D12" s="276"/>
      <c r="E12" s="276"/>
      <c r="F12" s="276"/>
      <c r="G12" s="284" t="s">
        <v>96</v>
      </c>
      <c r="H12" s="284" t="s">
        <v>96</v>
      </c>
      <c r="I12" s="284" t="s">
        <v>96</v>
      </c>
      <c r="J12" s="276"/>
      <c r="K12" s="276"/>
      <c r="L12" s="276"/>
      <c r="M12" s="276"/>
      <c r="N12" s="276"/>
      <c r="O12" s="276"/>
      <c r="P12" s="276"/>
      <c r="Q12" s="276"/>
      <c r="R12" s="276"/>
      <c r="S12" s="276"/>
      <c r="T12" s="276"/>
      <c r="U12" s="276"/>
      <c r="V12" s="276"/>
      <c r="W12" s="276"/>
      <c r="X12" s="276"/>
      <c r="Y12" s="276"/>
      <c r="Z12" s="276"/>
      <c r="AA12" s="276"/>
      <c r="AB12" s="276"/>
      <c r="AC12" s="276"/>
      <c r="AD12" s="276"/>
      <c r="AE12" s="276"/>
      <c r="AF12" s="276"/>
      <c r="AG12" s="276"/>
      <c r="AH12" s="276"/>
      <c r="AI12" s="276"/>
      <c r="AJ12" s="276"/>
      <c r="AK12" s="276"/>
      <c r="AL12" s="276"/>
      <c r="AM12" s="276"/>
      <c r="AN12" s="276"/>
      <c r="AO12" s="276"/>
      <c r="AP12" s="276"/>
      <c r="AQ12" s="276"/>
      <c r="AR12" s="276"/>
      <c r="AS12" s="276"/>
      <c r="AT12" s="276"/>
      <c r="AU12" s="276"/>
      <c r="AV12" s="276"/>
      <c r="AW12" s="276"/>
      <c r="AX12" s="276"/>
      <c r="AY12" s="276"/>
      <c r="AZ12" s="276"/>
      <c r="BA12" s="276"/>
      <c r="BB12" s="276"/>
      <c r="BC12" s="276"/>
      <c r="BD12" s="276"/>
      <c r="BE12" s="276"/>
      <c r="BF12" s="276"/>
      <c r="BG12" s="276"/>
      <c r="BH12" s="276"/>
      <c r="BI12" s="276"/>
      <c r="BJ12" s="276"/>
      <c r="BK12" s="276"/>
      <c r="BL12" s="276"/>
      <c r="BM12" s="276"/>
      <c r="BN12" s="276"/>
      <c r="BO12" s="277"/>
      <c r="BP12" s="276"/>
      <c r="BQ12" s="276"/>
      <c r="BR12" s="276"/>
      <c r="BS12" s="276"/>
      <c r="BT12" s="276"/>
      <c r="BU12" s="276"/>
      <c r="BV12" s="276"/>
      <c r="BY12" s="279"/>
      <c r="BZ12" s="241"/>
      <c r="CA12" s="241"/>
    </row>
    <row r="13" spans="1:79" s="253" customFormat="1" ht="21" customHeight="1">
      <c r="A13" s="244"/>
      <c r="B13" s="249"/>
      <c r="C13" s="249"/>
      <c r="D13" s="247"/>
      <c r="E13" s="247"/>
      <c r="F13" s="247"/>
      <c r="G13" s="249">
        <f>SUM(G14:G20)</f>
        <v>50340000</v>
      </c>
      <c r="H13" s="249">
        <f>SUM(H14:H20)</f>
        <v>900000</v>
      </c>
      <c r="I13" s="249">
        <f>SUM(I14:I20)</f>
        <v>185460000</v>
      </c>
      <c r="J13" s="249"/>
      <c r="K13" s="285">
        <f>SUM(K14:K20)</f>
        <v>75.5</v>
      </c>
      <c r="L13" s="285"/>
      <c r="M13" s="285"/>
      <c r="N13" s="285"/>
      <c r="O13" s="285"/>
      <c r="P13" s="285"/>
      <c r="Q13" s="285"/>
      <c r="R13" s="285">
        <f>SUM(R14:R20)</f>
        <v>12</v>
      </c>
      <c r="S13" s="285">
        <f>SUM(S14:S20)</f>
        <v>0</v>
      </c>
      <c r="T13" s="285"/>
      <c r="U13" s="285">
        <f>SUM(U14:U20)</f>
        <v>0</v>
      </c>
      <c r="V13" s="285">
        <f>SUM(V14:V20)</f>
        <v>0</v>
      </c>
      <c r="W13" s="285">
        <f>SUM(W14:W20)</f>
        <v>0</v>
      </c>
      <c r="X13" s="285">
        <f>SUM(X14:X20)</f>
        <v>0</v>
      </c>
      <c r="Y13" s="249">
        <f>SUM(Y14:Y20)</f>
        <v>20878269.230769232</v>
      </c>
      <c r="Z13" s="249"/>
      <c r="AA13" s="249"/>
      <c r="AB13" s="249"/>
      <c r="AC13" s="249">
        <f>SUM(AC14:AC20)</f>
        <v>0</v>
      </c>
      <c r="AD13" s="249">
        <f>SUM(AD14:AD20)</f>
        <v>0</v>
      </c>
      <c r="AE13" s="249"/>
      <c r="AF13" s="249">
        <f t="shared" ref="AF13:AO13" si="0">SUM(AF14:AF20)</f>
        <v>0</v>
      </c>
      <c r="AG13" s="249">
        <f t="shared" si="0"/>
        <v>0</v>
      </c>
      <c r="AH13" s="249">
        <f t="shared" si="0"/>
        <v>0</v>
      </c>
      <c r="AI13" s="249">
        <f t="shared" si="0"/>
        <v>0</v>
      </c>
      <c r="AJ13" s="249">
        <f t="shared" si="0"/>
        <v>0</v>
      </c>
      <c r="AK13" s="249">
        <f t="shared" si="0"/>
        <v>0</v>
      </c>
      <c r="AL13" s="249">
        <f t="shared" si="0"/>
        <v>0</v>
      </c>
      <c r="AM13" s="249">
        <f t="shared" si="0"/>
        <v>0</v>
      </c>
      <c r="AN13" s="249">
        <f t="shared" si="0"/>
        <v>380769.23076923081</v>
      </c>
      <c r="AO13" s="249">
        <f t="shared" si="0"/>
        <v>101010288.46153845</v>
      </c>
      <c r="AP13" s="249"/>
      <c r="AQ13" s="249"/>
      <c r="AR13" s="249"/>
      <c r="AS13" s="249"/>
      <c r="AT13" s="249"/>
      <c r="AU13" s="249"/>
      <c r="AV13" s="249">
        <f>SUM(AV14:AV20)</f>
        <v>140174903.84615386</v>
      </c>
      <c r="AW13" s="249"/>
      <c r="AX13" s="249"/>
      <c r="AY13" s="249">
        <f>SUM(AY14:AY20)</f>
        <v>0</v>
      </c>
      <c r="AZ13" s="249"/>
      <c r="BA13" s="249">
        <f>SUM(BA14:BA20)</f>
        <v>503400</v>
      </c>
      <c r="BB13" s="249"/>
      <c r="BC13" s="249"/>
      <c r="BD13" s="249"/>
      <c r="BE13" s="249">
        <f>SUM(BE14:BE20)</f>
        <v>0</v>
      </c>
      <c r="BF13" s="249">
        <f>SUM(BF14:BF20)</f>
        <v>0</v>
      </c>
      <c r="BG13" s="249">
        <f>SUM(BG14:BG20)</f>
        <v>0</v>
      </c>
      <c r="BH13" s="249">
        <f>SUM(BH14:BH20)</f>
        <v>0</v>
      </c>
      <c r="BI13" s="249"/>
      <c r="BJ13" s="249">
        <f>SUM(BJ14:BJ20)</f>
        <v>0</v>
      </c>
      <c r="BK13" s="249"/>
      <c r="BL13" s="249"/>
      <c r="BM13" s="249"/>
      <c r="BN13" s="249">
        <f>SUM(BN14:BN20)</f>
        <v>113751538.46153849</v>
      </c>
      <c r="BO13" s="242"/>
      <c r="BP13" s="243"/>
      <c r="BQ13" s="243"/>
      <c r="BR13" s="243"/>
      <c r="BS13" s="243"/>
      <c r="BT13" s="243"/>
      <c r="BU13" s="243"/>
      <c r="BV13" s="243"/>
    </row>
    <row r="14" spans="1:79" s="253" customFormat="1" ht="30.5" customHeight="1">
      <c r="A14" s="318">
        <v>1</v>
      </c>
      <c r="B14" s="319">
        <v>2405236</v>
      </c>
      <c r="C14" s="320" t="s">
        <v>97</v>
      </c>
      <c r="D14" s="321" t="s">
        <v>98</v>
      </c>
      <c r="E14" s="322" t="s">
        <v>113</v>
      </c>
      <c r="F14" s="322" t="s">
        <v>100</v>
      </c>
      <c r="G14" s="323">
        <v>9520000</v>
      </c>
      <c r="H14" s="323">
        <f t="shared" ref="H14:H20" si="1">+IF(OR(BU14="ĐT PCCC",BU14="ĐP PCCC"),780000,IF(BU14="AT-VSV",300000,0))</f>
        <v>0</v>
      </c>
      <c r="I14" s="323">
        <f>BT14-BR14-G14-H14</f>
        <v>53480000</v>
      </c>
      <c r="J14" s="324">
        <v>1</v>
      </c>
      <c r="K14" s="325">
        <v>11</v>
      </c>
      <c r="L14" s="325"/>
      <c r="M14" s="325"/>
      <c r="N14" s="325"/>
      <c r="O14" s="325">
        <v>2</v>
      </c>
      <c r="P14" s="325"/>
      <c r="Q14" s="325"/>
      <c r="R14" s="325">
        <v>0</v>
      </c>
      <c r="S14" s="325">
        <v>0</v>
      </c>
      <c r="T14" s="325"/>
      <c r="U14" s="325">
        <v>0</v>
      </c>
      <c r="V14" s="325">
        <v>0</v>
      </c>
      <c r="W14" s="325">
        <v>0</v>
      </c>
      <c r="X14" s="325">
        <v>0</v>
      </c>
      <c r="Y14" s="323">
        <f>G14*(K14+L14)/26</f>
        <v>4027692.3076923075</v>
      </c>
      <c r="Z14" s="323">
        <f t="shared" ref="Z14:Z20" si="2">M14*G14/26</f>
        <v>0</v>
      </c>
      <c r="AA14" s="323">
        <f t="shared" ref="AA14:AA20" si="3">G14*N14/26</f>
        <v>0</v>
      </c>
      <c r="AB14" s="323">
        <f t="shared" ref="AB14:AB20" si="4">G14*O14/26</f>
        <v>732307.69230769225</v>
      </c>
      <c r="AC14" s="323">
        <f t="shared" ref="AC14:AC20" si="5">G14*P14*150%/26</f>
        <v>0</v>
      </c>
      <c r="AD14" s="323">
        <f t="shared" ref="AD14:AD20" si="6">G14*Q14/26*200%</f>
        <v>0</v>
      </c>
      <c r="AE14" s="323">
        <f t="shared" ref="AE14:AE20" si="7">G14*R14/26*300%</f>
        <v>0</v>
      </c>
      <c r="AF14" s="323">
        <f t="shared" ref="AF14:AF20" si="8">IF(F14="LT",0,(G14+H14)/26*S14*30%)</f>
        <v>0</v>
      </c>
      <c r="AG14" s="323">
        <f t="shared" ref="AG14:AG20" si="9">T14*G14/23/8</f>
        <v>0</v>
      </c>
      <c r="AH14" s="323">
        <f>BT14/26*U14</f>
        <v>0</v>
      </c>
      <c r="AI14" s="323">
        <f t="shared" ref="AI14:AI20" si="10">G14*V14/26</f>
        <v>0</v>
      </c>
      <c r="AJ14" s="323"/>
      <c r="AK14" s="323">
        <f>BR14*L14/26</f>
        <v>0</v>
      </c>
      <c r="AL14" s="323"/>
      <c r="AM14" s="323">
        <f>X14*BV14</f>
        <v>0</v>
      </c>
      <c r="AN14" s="323">
        <f>H14/26*(K14+L14)</f>
        <v>0</v>
      </c>
      <c r="AO14" s="323">
        <f>IF(F14="LN",I14*(K14+L14)/26+(H14+I14)*50%*M14/26+IF(F14="LT",BO14*O14/26-AB14,0)+MAX($G14*P14/26*150%,P14*$BO14/26)-AC14+MAX($G14*Q14/26*200%,Q14*$BO14/26)-AD14+MAX($G14*R14/26*300%,R14*$BO14/26)-AE14+BO14*S14/26-AF14+AH14-AG14,I14-I14*($BW$11-K14-L14)/26+(H14+I14)*50%*M14/26+IF(F14="LT",BO14*O14/26-AB14,0)+MAX($G14*P14/26*150%,P14*$BO14/26)-AC14+MAX($G14*Q14/26*200%,Q14*$BO14/26)-AD14+MAX($G14*R14/26*300%,R14*$BO14/26)-AE14+BO14*S14/26-AF14+AH14-AG14+(G14-G14*($BW$11-K14-L14)/26-Y14)+(H14-H14*($BW$11-K14-L14)/26-AN14))</f>
        <v>28932307.692307696</v>
      </c>
      <c r="AP14" s="323"/>
      <c r="AQ14" s="323"/>
      <c r="AR14" s="184">
        <v>1000000</v>
      </c>
      <c r="AS14" s="323"/>
      <c r="AT14" s="323"/>
      <c r="AU14" s="323"/>
      <c r="AV14" s="323">
        <f t="shared" ref="AV14:AV20" si="11">Y14+Z14+AA14+AB14+AC14+AD14+AE14+AF14+AG14+AI14+AJ14+AK14+AL14+AM14+AN14+AO14+AP14-AQ14+AR14+AS14+AT14+AU14</f>
        <v>34692307.692307696</v>
      </c>
      <c r="AW14" s="323"/>
      <c r="AX14" s="323" t="s">
        <v>101</v>
      </c>
      <c r="AY14" s="326"/>
      <c r="AZ14" s="326"/>
      <c r="BA14" s="326">
        <f>IF(G14*1%&gt;=234000,234000,G14*1%)</f>
        <v>95200</v>
      </c>
      <c r="BB14" s="326">
        <f>AM14+IF(AR14&gt;=730000,730000,AR14)+IF(((AV14-AM14-IF(AR14&gt;=730000,730000,AR14)-AS14)*15%-AS14)&gt;0,((AV14-AM14-IF(AR14&gt;=730000,730000,AR14)-AS14)*15%-AS14),0)</f>
        <v>5824346.153846154</v>
      </c>
      <c r="BC14" s="326">
        <f>AV14-BB14+AW14</f>
        <v>28867961.538461544</v>
      </c>
      <c r="BD14" s="326">
        <v>3</v>
      </c>
      <c r="BE14" s="326"/>
      <c r="BF14" s="326"/>
      <c r="BG14" s="326">
        <v>0</v>
      </c>
      <c r="BH14" s="326"/>
      <c r="BI14" s="326"/>
      <c r="BJ14" s="326"/>
      <c r="BK14" s="326"/>
      <c r="BL14" s="326"/>
      <c r="BM14" s="326" t="str">
        <f>IF(AV14&gt;=11000000,"80%","100%")</f>
        <v>80%</v>
      </c>
      <c r="BN14" s="326">
        <f>AV14*BM14-BH14-BE14-BJ14-BI14</f>
        <v>27753846.15384616</v>
      </c>
      <c r="BO14" s="328">
        <v>60000000</v>
      </c>
      <c r="BP14" s="188">
        <v>0</v>
      </c>
      <c r="BQ14" s="188"/>
      <c r="BR14" s="188">
        <v>200000</v>
      </c>
      <c r="BS14" s="327">
        <f t="shared" ref="BS14:BS20" si="12">+BO14*5%</f>
        <v>3000000</v>
      </c>
      <c r="BT14" s="327">
        <f t="shared" ref="BT14:BT20" si="13">SUM(BO14:BS14)</f>
        <v>63200000</v>
      </c>
      <c r="BU14" s="327" t="s">
        <v>122</v>
      </c>
      <c r="BV14" s="327"/>
      <c r="BW14" s="287"/>
      <c r="BX14" s="288"/>
      <c r="BY14" s="288"/>
      <c r="BZ14" s="252"/>
      <c r="CA14" s="252"/>
    </row>
    <row r="15" spans="1:79" s="253" customFormat="1" ht="30.5" customHeight="1">
      <c r="A15" s="244">
        <v>2</v>
      </c>
      <c r="B15" s="245">
        <v>2106723</v>
      </c>
      <c r="C15" s="246" t="s">
        <v>102</v>
      </c>
      <c r="D15" s="247" t="s">
        <v>103</v>
      </c>
      <c r="E15" s="248" t="s">
        <v>99</v>
      </c>
      <c r="F15" s="248" t="s">
        <v>100</v>
      </c>
      <c r="G15" s="249">
        <v>8480000</v>
      </c>
      <c r="H15" s="249">
        <f t="shared" si="1"/>
        <v>0</v>
      </c>
      <c r="I15" s="249">
        <f>BT15-BR15-G15-H15</f>
        <v>43520000</v>
      </c>
      <c r="J15" s="286">
        <v>1</v>
      </c>
      <c r="K15" s="250">
        <v>10.5</v>
      </c>
      <c r="L15" s="250"/>
      <c r="M15" s="250">
        <v>0.5</v>
      </c>
      <c r="N15" s="250"/>
      <c r="O15" s="250">
        <v>2</v>
      </c>
      <c r="P15" s="250"/>
      <c r="Q15" s="250"/>
      <c r="R15" s="250">
        <v>0</v>
      </c>
      <c r="S15" s="250">
        <v>0</v>
      </c>
      <c r="T15" s="250"/>
      <c r="U15" s="250">
        <v>0</v>
      </c>
      <c r="V15" s="250">
        <v>0</v>
      </c>
      <c r="W15" s="250">
        <v>0</v>
      </c>
      <c r="X15" s="250">
        <v>0</v>
      </c>
      <c r="Y15" s="249">
        <f t="shared" ref="Y15:Y20" si="14">G15*(K15+L15)/26</f>
        <v>3424615.3846153845</v>
      </c>
      <c r="Z15" s="249">
        <f t="shared" si="2"/>
        <v>163076.92307692306</v>
      </c>
      <c r="AA15" s="249">
        <f t="shared" si="3"/>
        <v>0</v>
      </c>
      <c r="AB15" s="249">
        <f t="shared" si="4"/>
        <v>652307.69230769225</v>
      </c>
      <c r="AC15" s="249">
        <f t="shared" si="5"/>
        <v>0</v>
      </c>
      <c r="AD15" s="249">
        <f t="shared" si="6"/>
        <v>0</v>
      </c>
      <c r="AE15" s="249">
        <f t="shared" si="7"/>
        <v>0</v>
      </c>
      <c r="AF15" s="249">
        <f t="shared" si="8"/>
        <v>0</v>
      </c>
      <c r="AG15" s="249">
        <f t="shared" si="9"/>
        <v>0</v>
      </c>
      <c r="AH15" s="249">
        <f>BT15/26*U15</f>
        <v>0</v>
      </c>
      <c r="AI15" s="249">
        <f t="shared" si="10"/>
        <v>0</v>
      </c>
      <c r="AJ15" s="249"/>
      <c r="AK15" s="249">
        <f>BR15*L15/26</f>
        <v>0</v>
      </c>
      <c r="AL15" s="249"/>
      <c r="AM15" s="249">
        <f>X15*BV15</f>
        <v>0</v>
      </c>
      <c r="AN15" s="249">
        <f t="shared" ref="AN15:AN20" si="15">H15/26*K15</f>
        <v>0</v>
      </c>
      <c r="AO15" s="249">
        <f>IF(F15="LN",I15*(K15+L15)/26+(H15+I15)*50%*M15/26+IF(F15="LT",BO15*O15/26-AB15,0)+MAX($G15*P15/26*150%,P15*$BO15/26)-AC15+MAX($G15*Q15/26*200%,Q15*$BO15/26)-AD15+MAX($G15*R15/26*300%,R15*$BO15/26)-AE15+BO15*S15/26-AF15+AH15-AG15,I15-I15*($BW$11-K15-L15)/26+(H15+I15)*50%*M15/26+IF(F15="LT",BO15*O15/26-AB15,0)+MAX($G15*P15/26*150%,P15*$BO15/26)-AC15+MAX($G15*Q15/26*200%,Q15*$BO15/26)-AD15+MAX($G15*R15/26*300%,R15*$BO15/26)-AE15+BO15*S15/26-AF15+AH15-AG15+(G15-G15*($BW$11-K15-L15)/26-Y15)+(H15-H15*($BW$11-K15-L15)/26-AN15))</f>
        <v>22418461.53846154</v>
      </c>
      <c r="AP15" s="249"/>
      <c r="AQ15" s="249"/>
      <c r="AR15" s="28">
        <v>720000</v>
      </c>
      <c r="AS15" s="249"/>
      <c r="AT15" s="249"/>
      <c r="AU15" s="249"/>
      <c r="AV15" s="249">
        <f t="shared" si="11"/>
        <v>27378461.53846154</v>
      </c>
      <c r="AW15" s="249"/>
      <c r="AX15" s="249" t="s">
        <v>101</v>
      </c>
      <c r="AY15" s="251"/>
      <c r="AZ15" s="251"/>
      <c r="BA15" s="251">
        <f>IF(G15*1%&gt;=234000,234000,G15*1%)</f>
        <v>84800</v>
      </c>
      <c r="BB15" s="251">
        <f>AM15+IF(AR15&gt;=730000,730000,AR15)+IF(((AV15-AM15-IF(AR15&gt;=730000,730000,AR15)-AS15)*15%-AS15)&gt;0,((AV15-AM15-IF(AR15&gt;=730000,730000,AR15)-AS15)*15%-AS15),0)</f>
        <v>4718769.230769231</v>
      </c>
      <c r="BC15" s="251">
        <f>AV15-BB15+AW15</f>
        <v>22659692.307692308</v>
      </c>
      <c r="BD15" s="251"/>
      <c r="BE15" s="251"/>
      <c r="BF15" s="251"/>
      <c r="BG15" s="251">
        <v>0</v>
      </c>
      <c r="BH15" s="251"/>
      <c r="BI15" s="251"/>
      <c r="BJ15" s="251"/>
      <c r="BK15" s="251"/>
      <c r="BL15" s="251"/>
      <c r="BM15" s="251" t="str">
        <f>IF(AV15&gt;=11000000,"80%","100%")</f>
        <v>80%</v>
      </c>
      <c r="BN15" s="251">
        <f>AV15*BM15-BH15-BE15-BJ15-BI15</f>
        <v>21902769.230769232</v>
      </c>
      <c r="BO15" s="242">
        <v>40000000</v>
      </c>
      <c r="BP15" s="152">
        <v>5000000</v>
      </c>
      <c r="BQ15" s="152">
        <v>5000000</v>
      </c>
      <c r="BR15" s="152">
        <v>200000</v>
      </c>
      <c r="BS15" s="243">
        <f t="shared" si="12"/>
        <v>2000000</v>
      </c>
      <c r="BT15" s="243">
        <f>SUM(BO15:BS15)</f>
        <v>52200000</v>
      </c>
      <c r="BU15" s="243" t="s">
        <v>114</v>
      </c>
      <c r="BV15" s="243"/>
      <c r="BW15" s="287"/>
      <c r="BX15" s="288"/>
      <c r="BY15" s="288"/>
      <c r="BZ15" s="252"/>
      <c r="CA15" s="252"/>
    </row>
    <row r="16" spans="1:79" s="253" customFormat="1" ht="30.5" customHeight="1">
      <c r="A16" s="244">
        <v>3</v>
      </c>
      <c r="B16" s="254" t="s">
        <v>104</v>
      </c>
      <c r="C16" s="246" t="s">
        <v>105</v>
      </c>
      <c r="D16" s="247" t="s">
        <v>106</v>
      </c>
      <c r="E16" s="248" t="s">
        <v>99</v>
      </c>
      <c r="F16" s="248" t="s">
        <v>100</v>
      </c>
      <c r="G16" s="249">
        <v>7820000</v>
      </c>
      <c r="H16" s="249">
        <f t="shared" si="1"/>
        <v>300000</v>
      </c>
      <c r="I16" s="249">
        <f>BT16-BR16-G16-H16</f>
        <v>33880000</v>
      </c>
      <c r="J16" s="286">
        <v>1</v>
      </c>
      <c r="K16" s="250">
        <v>11</v>
      </c>
      <c r="L16" s="250"/>
      <c r="M16" s="250"/>
      <c r="N16" s="250"/>
      <c r="O16" s="250">
        <v>2</v>
      </c>
      <c r="P16" s="250"/>
      <c r="Q16" s="250"/>
      <c r="R16" s="250">
        <v>4</v>
      </c>
      <c r="S16" s="250">
        <v>0</v>
      </c>
      <c r="T16" s="250"/>
      <c r="U16" s="250">
        <v>0</v>
      </c>
      <c r="V16" s="250">
        <v>0</v>
      </c>
      <c r="W16" s="250">
        <v>0</v>
      </c>
      <c r="X16" s="250">
        <v>0</v>
      </c>
      <c r="Y16" s="249">
        <f t="shared" si="14"/>
        <v>3308461.5384615385</v>
      </c>
      <c r="Z16" s="249">
        <f t="shared" si="2"/>
        <v>0</v>
      </c>
      <c r="AA16" s="249">
        <f t="shared" si="3"/>
        <v>0</v>
      </c>
      <c r="AB16" s="249">
        <f t="shared" si="4"/>
        <v>601538.4615384615</v>
      </c>
      <c r="AC16" s="249">
        <f t="shared" si="5"/>
        <v>0</v>
      </c>
      <c r="AD16" s="249">
        <f t="shared" si="6"/>
        <v>0</v>
      </c>
      <c r="AE16" s="249">
        <f t="shared" si="7"/>
        <v>3609230.769230769</v>
      </c>
      <c r="AF16" s="249">
        <f t="shared" si="8"/>
        <v>0</v>
      </c>
      <c r="AG16" s="249">
        <f t="shared" si="9"/>
        <v>0</v>
      </c>
      <c r="AH16" s="249">
        <f>BT16/26*U16</f>
        <v>0</v>
      </c>
      <c r="AI16" s="249">
        <f t="shared" si="10"/>
        <v>0</v>
      </c>
      <c r="AJ16" s="249"/>
      <c r="AK16" s="249">
        <f>BR16*L16/26</f>
        <v>0</v>
      </c>
      <c r="AL16" s="249"/>
      <c r="AM16" s="249">
        <f>X16*BV16</f>
        <v>0</v>
      </c>
      <c r="AN16" s="249">
        <f t="shared" si="15"/>
        <v>126923.07692307694</v>
      </c>
      <c r="AO16" s="249">
        <f>IF(F16="LN",I16*(K16+L16)/26+(H16+I16)*50%*M16/26+IF(F16="LT",BO16*O16/26-AB16,0)+MAX($G16*P16/26*150%,P16*$BO16/26)-AC16+MAX($G16*Q16/26*200%,Q16*$BO16/26)-AD16+MAX($G16*R16/26*300%,R16*$BO16/26)-AE16+BO16*S16/26-AF16+AH16-AG16,I16-I16*($BW$11-K16-L16)/26+(H16+I16)*50%*M16/26+IF(F16="LT",BO16*O16/26-AB16,0)+MAX($G16*P16/26*150%,P16*$BO16/26)-AC16+MAX($G16*Q16/26*200%,Q16*$BO16/26)-AD16+MAX($G16*R16/26*300%,R16*$BO16/26)-AE16+BO16*S16/26-AF16+AH16-AG16+(G16-G16*($BW$11-K16-L16)/26-Y16)+(H16-H16*($BW$11-K16-L16)/26-AN16))</f>
        <v>20969230.769230772</v>
      </c>
      <c r="AP16" s="249"/>
      <c r="AQ16" s="249"/>
      <c r="AR16" s="28">
        <v>560000</v>
      </c>
      <c r="AS16" s="249"/>
      <c r="AT16" s="249"/>
      <c r="AU16" s="249"/>
      <c r="AV16" s="249">
        <f t="shared" si="11"/>
        <v>29175384.615384616</v>
      </c>
      <c r="AW16" s="249"/>
      <c r="AX16" s="249" t="s">
        <v>101</v>
      </c>
      <c r="AY16" s="251"/>
      <c r="AZ16" s="251"/>
      <c r="BA16" s="251">
        <f>IF(G16*1%&gt;=234000,234000,G16*1%)</f>
        <v>78200</v>
      </c>
      <c r="BB16" s="251">
        <f>AM16+IF(AR16&gt;=730000,730000,AR16)+IF(((AV16-AM16-IF(AR16&gt;=730000,730000,AR16)-AS16)*15%-AS16)&gt;0,((AV16-AM16-IF(AR16&gt;=730000,730000,AR16)-AS16)*15%-AS16),0)</f>
        <v>4852307.692307692</v>
      </c>
      <c r="BC16" s="251">
        <f>AV16-BB16+AW16</f>
        <v>24323076.923076924</v>
      </c>
      <c r="BD16" s="251"/>
      <c r="BE16" s="251"/>
      <c r="BF16" s="251"/>
      <c r="BG16" s="251">
        <v>0</v>
      </c>
      <c r="BH16" s="251"/>
      <c r="BI16" s="251"/>
      <c r="BJ16" s="251"/>
      <c r="BK16" s="251"/>
      <c r="BL16" s="251"/>
      <c r="BM16" s="251" t="str">
        <f>IF(AV16&gt;=11000000,"80%","100%")</f>
        <v>80%</v>
      </c>
      <c r="BN16" s="251">
        <f>AV16*BM16-BH16-BE16-BJ16-BI16</f>
        <v>23340307.692307696</v>
      </c>
      <c r="BO16" s="242">
        <v>40000000</v>
      </c>
      <c r="BP16" s="152">
        <v>0</v>
      </c>
      <c r="BQ16" s="152">
        <v>0</v>
      </c>
      <c r="BR16" s="152">
        <v>200000</v>
      </c>
      <c r="BS16" s="243">
        <f t="shared" si="12"/>
        <v>2000000</v>
      </c>
      <c r="BT16" s="243">
        <f t="shared" si="13"/>
        <v>42200000</v>
      </c>
      <c r="BU16" s="243" t="s">
        <v>118</v>
      </c>
      <c r="BV16" s="243"/>
      <c r="BW16" s="287"/>
      <c r="BX16" s="288"/>
      <c r="BY16" s="288"/>
      <c r="BZ16" s="252"/>
      <c r="CA16" s="252"/>
    </row>
    <row r="17" spans="1:79" s="253" customFormat="1" ht="30.5" customHeight="1">
      <c r="A17" s="244">
        <v>4</v>
      </c>
      <c r="B17" s="245">
        <v>2406198</v>
      </c>
      <c r="C17" s="246" t="s">
        <v>107</v>
      </c>
      <c r="D17" s="247" t="s">
        <v>98</v>
      </c>
      <c r="E17" s="248" t="s">
        <v>99</v>
      </c>
      <c r="F17" s="248" t="s">
        <v>100</v>
      </c>
      <c r="G17" s="249">
        <v>6990000</v>
      </c>
      <c r="H17" s="249">
        <f t="shared" si="1"/>
        <v>0</v>
      </c>
      <c r="I17" s="249">
        <f>BT17-BR17-G17-H17</f>
        <v>19160000</v>
      </c>
      <c r="J17" s="286">
        <v>1</v>
      </c>
      <c r="K17" s="250">
        <v>10.5</v>
      </c>
      <c r="L17" s="250"/>
      <c r="M17" s="250">
        <v>0.5</v>
      </c>
      <c r="N17" s="250"/>
      <c r="O17" s="250">
        <v>2</v>
      </c>
      <c r="P17" s="250"/>
      <c r="Q17" s="250"/>
      <c r="R17" s="250">
        <v>0</v>
      </c>
      <c r="S17" s="250">
        <v>0</v>
      </c>
      <c r="T17" s="250"/>
      <c r="U17" s="250">
        <v>0</v>
      </c>
      <c r="V17" s="250">
        <v>0</v>
      </c>
      <c r="W17" s="250">
        <v>0</v>
      </c>
      <c r="X17" s="250">
        <v>0</v>
      </c>
      <c r="Y17" s="249">
        <f t="shared" si="14"/>
        <v>2822884.6153846155</v>
      </c>
      <c r="Z17" s="249">
        <f t="shared" si="2"/>
        <v>134423.07692307694</v>
      </c>
      <c r="AA17" s="249">
        <f t="shared" si="3"/>
        <v>0</v>
      </c>
      <c r="AB17" s="249">
        <f t="shared" si="4"/>
        <v>537692.30769230775</v>
      </c>
      <c r="AC17" s="249">
        <f t="shared" si="5"/>
        <v>0</v>
      </c>
      <c r="AD17" s="249">
        <f t="shared" si="6"/>
        <v>0</v>
      </c>
      <c r="AE17" s="249">
        <f t="shared" si="7"/>
        <v>0</v>
      </c>
      <c r="AF17" s="249">
        <f t="shared" si="8"/>
        <v>0</v>
      </c>
      <c r="AG17" s="249">
        <f t="shared" si="9"/>
        <v>0</v>
      </c>
      <c r="AH17" s="249">
        <f>BT17/26*U17</f>
        <v>0</v>
      </c>
      <c r="AI17" s="249">
        <f t="shared" si="10"/>
        <v>0</v>
      </c>
      <c r="AJ17" s="249"/>
      <c r="AK17" s="249">
        <f>BR17*L17/26</f>
        <v>0</v>
      </c>
      <c r="AL17" s="249"/>
      <c r="AM17" s="249">
        <f>X17*BV17</f>
        <v>0</v>
      </c>
      <c r="AN17" s="249">
        <f t="shared" si="15"/>
        <v>0</v>
      </c>
      <c r="AO17" s="249">
        <f>IF(F17="LN",I17*(K17+L17)/26+(H17+I17)*50%*M17/26+IF(F17="LT",BO17*O17/26-AB17,0)+MAX($G17*P17/26*150%,P17*$BO17/26)-AC17+MAX($G17*Q17/26*200%,Q17*$BO17/26)-AD17+MAX($G17*R17/26*300%,R17*$BO17/26)-AE17+BO17*S17/26-AF17+AH17-AG17,I17-I17*($BW$11-K17-L17)/26+(H17+I17)*50%*M17/26+IF(F17="LT",BO17*O17/26-AB17,0)+MAX($G17*P17/26*150%,P17*$BO17/26)-AC17+MAX($G17*Q17/26*200%,Q17*$BO17/26)-AD17+MAX($G17*R17/26*300%,R17*$BO17/26)-AE17+BO17*S17/26-AF17+AH17-AG17+(G17-G17*($BW$11-K17-L17)/26-Y17)+(H17-H17*($BW$11-K17-L17)/26-AN17))</f>
        <v>10159230.76923077</v>
      </c>
      <c r="AP17" s="249"/>
      <c r="AQ17" s="249"/>
      <c r="AR17" s="28">
        <v>720000</v>
      </c>
      <c r="AS17" s="249"/>
      <c r="AT17" s="249"/>
      <c r="AU17" s="249"/>
      <c r="AV17" s="249">
        <f t="shared" si="11"/>
        <v>14374230.76923077</v>
      </c>
      <c r="AW17" s="249"/>
      <c r="AX17" s="249" t="s">
        <v>101</v>
      </c>
      <c r="AY17" s="251"/>
      <c r="AZ17" s="251"/>
      <c r="BA17" s="251">
        <f>IF(G17*1%&gt;=234000,234000,G17*1%)</f>
        <v>69900</v>
      </c>
      <c r="BB17" s="251">
        <f>AM17+IF(AR17&gt;=730000,730000,AR17)+IF(((AV17-AM17-IF(AR17&gt;=730000,730000,AR17)-AS17)*15%-AS17)&gt;0,((AV17-AM17-IF(AR17&gt;=730000,730000,AR17)-AS17)*15%-AS17),0)</f>
        <v>2768134.6153846155</v>
      </c>
      <c r="BC17" s="251">
        <f>AV17-BB17+AW17</f>
        <v>11606096.153846154</v>
      </c>
      <c r="BD17" s="251"/>
      <c r="BE17" s="251"/>
      <c r="BF17" s="251"/>
      <c r="BG17" s="251">
        <v>0</v>
      </c>
      <c r="BH17" s="251"/>
      <c r="BI17" s="251"/>
      <c r="BJ17" s="251"/>
      <c r="BK17" s="251"/>
      <c r="BL17" s="251"/>
      <c r="BM17" s="251" t="str">
        <f>IF(AV17&gt;=11000000,"80%","100%")</f>
        <v>80%</v>
      </c>
      <c r="BN17" s="251">
        <f>AV17*BM17-BH17-BE17-BJ17-BI17</f>
        <v>11499384.615384616</v>
      </c>
      <c r="BO17" s="242">
        <v>23000000</v>
      </c>
      <c r="BP17" s="152">
        <v>0</v>
      </c>
      <c r="BQ17" s="152">
        <v>2000000</v>
      </c>
      <c r="BR17" s="152">
        <v>200000</v>
      </c>
      <c r="BS17" s="243">
        <f t="shared" si="12"/>
        <v>1150000</v>
      </c>
      <c r="BT17" s="243">
        <f t="shared" si="13"/>
        <v>26350000</v>
      </c>
      <c r="BU17" s="243" t="s">
        <v>114</v>
      </c>
      <c r="BV17" s="243"/>
      <c r="BW17" s="287"/>
      <c r="BX17" s="288"/>
      <c r="BY17" s="288"/>
      <c r="BZ17" s="252"/>
      <c r="CA17" s="252"/>
    </row>
    <row r="18" spans="1:79" s="253" customFormat="1" ht="30.5" customHeight="1">
      <c r="A18" s="244">
        <v>5</v>
      </c>
      <c r="B18" s="254" t="s">
        <v>108</v>
      </c>
      <c r="C18" s="246" t="s">
        <v>109</v>
      </c>
      <c r="D18" s="247" t="s">
        <v>110</v>
      </c>
      <c r="E18" s="248" t="s">
        <v>99</v>
      </c>
      <c r="F18" s="248" t="s">
        <v>111</v>
      </c>
      <c r="G18" s="249">
        <v>4850000</v>
      </c>
      <c r="H18" s="249">
        <f t="shared" si="1"/>
        <v>300000</v>
      </c>
      <c r="I18" s="249">
        <f>BT18-BR18-G18-H18</f>
        <v>6400000</v>
      </c>
      <c r="J18" s="286">
        <v>1</v>
      </c>
      <c r="K18" s="250">
        <v>11</v>
      </c>
      <c r="L18" s="250"/>
      <c r="M18" s="250"/>
      <c r="N18" s="250"/>
      <c r="O18" s="250">
        <v>2</v>
      </c>
      <c r="P18" s="250"/>
      <c r="Q18" s="250"/>
      <c r="R18" s="250">
        <v>4</v>
      </c>
      <c r="S18" s="250">
        <v>0</v>
      </c>
      <c r="T18" s="250"/>
      <c r="U18" s="250">
        <v>0</v>
      </c>
      <c r="V18" s="250">
        <v>0</v>
      </c>
      <c r="W18" s="250">
        <v>0</v>
      </c>
      <c r="X18" s="250">
        <v>0</v>
      </c>
      <c r="Y18" s="249">
        <f t="shared" si="14"/>
        <v>2051923.076923077</v>
      </c>
      <c r="Z18" s="249">
        <f t="shared" si="2"/>
        <v>0</v>
      </c>
      <c r="AA18" s="249">
        <f t="shared" si="3"/>
        <v>0</v>
      </c>
      <c r="AB18" s="249">
        <f t="shared" si="4"/>
        <v>373076.92307692306</v>
      </c>
      <c r="AC18" s="249">
        <f t="shared" si="5"/>
        <v>0</v>
      </c>
      <c r="AD18" s="249">
        <f t="shared" si="6"/>
        <v>0</v>
      </c>
      <c r="AE18" s="249">
        <f t="shared" si="7"/>
        <v>2238461.5384615385</v>
      </c>
      <c r="AF18" s="249">
        <f t="shared" si="8"/>
        <v>0</v>
      </c>
      <c r="AG18" s="249">
        <f t="shared" si="9"/>
        <v>0</v>
      </c>
      <c r="AH18" s="249">
        <f>BT18/26*U18</f>
        <v>0</v>
      </c>
      <c r="AI18" s="249">
        <f t="shared" si="10"/>
        <v>0</v>
      </c>
      <c r="AJ18" s="249"/>
      <c r="AK18" s="249">
        <f>BR18*L18/26</f>
        <v>0</v>
      </c>
      <c r="AL18" s="249"/>
      <c r="AM18" s="249">
        <f>X18*BV18</f>
        <v>0</v>
      </c>
      <c r="AN18" s="249">
        <f t="shared" si="15"/>
        <v>126923.07692307694</v>
      </c>
      <c r="AO18" s="249">
        <f>IF(F18="LN",I18*(K18+L18)/26+(H18+I18)*50%*M18/26+IF(F18="LT",BO18*O18/26-AB18,0)+MAX($G18*P18/26*150%,P18*$BO18/26)-AC18+MAX($G18*Q18/26*200%,Q18*$BO18/26)-AD18+MAX($G18*R18/26*300%,R18*$BO18/26)-AE18+BO18*S18/26-AF18+AH18-AG18,I18-I18*($BW$11-K18-L18)/26+(H18+I18)*50%*M18/26+IF(F18="LT",BO18*O18/26-AB18,0)+MAX($G18*P18/26*150%,P18*$BO18/26)-AC18+MAX($G18*Q18/26*200%,Q18*$BO18/26)-AD18+MAX($G18*R18/26*300%,R18*$BO18/26)-AE18+BO18*S18/26-AF18+AH18-AG18+(G18-G18*($BW$11-K18-L18)/26-Y18)+(H18-H18*($BW$11-K18-L18)/26-AN18))</f>
        <v>2707692.3076923075</v>
      </c>
      <c r="AP18" s="249"/>
      <c r="AQ18" s="249"/>
      <c r="AR18" s="28">
        <v>560000</v>
      </c>
      <c r="AS18" s="249"/>
      <c r="AT18" s="249"/>
      <c r="AU18" s="249"/>
      <c r="AV18" s="249">
        <f t="shared" si="11"/>
        <v>8058076.9230769221</v>
      </c>
      <c r="AW18" s="249"/>
      <c r="AX18" s="249" t="s">
        <v>101</v>
      </c>
      <c r="AY18" s="251"/>
      <c r="AZ18" s="251"/>
      <c r="BA18" s="251">
        <f>IF(G18*1%&gt;=234000,234000,G18*1%)</f>
        <v>48500</v>
      </c>
      <c r="BB18" s="251">
        <f>AM18+IF(AR18&gt;=730000,730000,AR18)+IF(((AV18-AM18-IF(AR18&gt;=730000,730000,AR18)-AS18)*15%-AS18)&gt;0,((AV18-AM18-IF(AR18&gt;=730000,730000,AR18)-AS18)*15%-AS18),0)</f>
        <v>1684711.5384615383</v>
      </c>
      <c r="BC18" s="251">
        <f>AV18-BB18+AW18</f>
        <v>6373365.384615384</v>
      </c>
      <c r="BD18" s="251"/>
      <c r="BE18" s="251"/>
      <c r="BF18" s="251"/>
      <c r="BG18" s="251">
        <v>0</v>
      </c>
      <c r="BH18" s="251"/>
      <c r="BI18" s="251"/>
      <c r="BJ18" s="251"/>
      <c r="BK18" s="251"/>
      <c r="BL18" s="251"/>
      <c r="BM18" s="251" t="str">
        <f>IF(AV18&gt;=11000000,"80%","100%")</f>
        <v>100%</v>
      </c>
      <c r="BN18" s="251">
        <f>AV18*BM18-BH18-BE18-BJ18-BI18</f>
        <v>8058076.9230769221</v>
      </c>
      <c r="BO18" s="242">
        <v>11000000</v>
      </c>
      <c r="BP18" s="152">
        <v>0</v>
      </c>
      <c r="BQ18" s="152">
        <v>0</v>
      </c>
      <c r="BR18" s="152">
        <v>200000</v>
      </c>
      <c r="BS18" s="243">
        <f t="shared" si="12"/>
        <v>550000</v>
      </c>
      <c r="BT18" s="243">
        <f t="shared" si="13"/>
        <v>11750000</v>
      </c>
      <c r="BU18" s="243" t="s">
        <v>118</v>
      </c>
      <c r="BV18" s="243"/>
      <c r="BW18" s="287"/>
      <c r="BX18" s="288"/>
      <c r="BY18" s="288"/>
      <c r="BZ18" s="252"/>
      <c r="CA18" s="252"/>
    </row>
    <row r="19" spans="1:79" s="253" customFormat="1" ht="30.5" customHeight="1">
      <c r="A19" s="244">
        <v>6</v>
      </c>
      <c r="B19" s="245">
        <v>2406145</v>
      </c>
      <c r="C19" s="246" t="s">
        <v>112</v>
      </c>
      <c r="D19" s="247" t="s">
        <v>103</v>
      </c>
      <c r="E19" s="248" t="s">
        <v>99</v>
      </c>
      <c r="F19" s="248" t="s">
        <v>100</v>
      </c>
      <c r="G19" s="249">
        <v>6340000</v>
      </c>
      <c r="H19" s="249">
        <f t="shared" si="1"/>
        <v>0</v>
      </c>
      <c r="I19" s="249">
        <f>BT19-BR19-G19-H19</f>
        <v>17810000</v>
      </c>
      <c r="J19" s="286">
        <v>1</v>
      </c>
      <c r="K19" s="250">
        <v>10.5</v>
      </c>
      <c r="L19" s="250"/>
      <c r="M19" s="250">
        <v>0.5</v>
      </c>
      <c r="N19" s="250"/>
      <c r="O19" s="250">
        <v>2</v>
      </c>
      <c r="P19" s="250"/>
      <c r="Q19" s="250"/>
      <c r="R19" s="250">
        <v>0</v>
      </c>
      <c r="S19" s="250">
        <v>0</v>
      </c>
      <c r="T19" s="250"/>
      <c r="U19" s="250">
        <v>0</v>
      </c>
      <c r="V19" s="250">
        <v>0</v>
      </c>
      <c r="W19" s="250">
        <v>0</v>
      </c>
      <c r="X19" s="250">
        <v>0</v>
      </c>
      <c r="Y19" s="249">
        <f t="shared" si="14"/>
        <v>2560384.6153846155</v>
      </c>
      <c r="Z19" s="249">
        <f t="shared" si="2"/>
        <v>121923.07692307692</v>
      </c>
      <c r="AA19" s="249">
        <f t="shared" si="3"/>
        <v>0</v>
      </c>
      <c r="AB19" s="249">
        <f t="shared" si="4"/>
        <v>487692.30769230769</v>
      </c>
      <c r="AC19" s="249">
        <f t="shared" si="5"/>
        <v>0</v>
      </c>
      <c r="AD19" s="249">
        <f t="shared" si="6"/>
        <v>0</v>
      </c>
      <c r="AE19" s="249">
        <f t="shared" si="7"/>
        <v>0</v>
      </c>
      <c r="AF19" s="249">
        <f t="shared" si="8"/>
        <v>0</v>
      </c>
      <c r="AG19" s="249">
        <f t="shared" si="9"/>
        <v>0</v>
      </c>
      <c r="AH19" s="249">
        <f>BT19/26*U19</f>
        <v>0</v>
      </c>
      <c r="AI19" s="249">
        <f t="shared" si="10"/>
        <v>0</v>
      </c>
      <c r="AJ19" s="249"/>
      <c r="AK19" s="249">
        <f>BR19*L19/26</f>
        <v>0</v>
      </c>
      <c r="AL19" s="249"/>
      <c r="AM19" s="249">
        <f>X19*BV19</f>
        <v>0</v>
      </c>
      <c r="AN19" s="249">
        <f t="shared" si="15"/>
        <v>0</v>
      </c>
      <c r="AO19" s="249">
        <f>IF(F19="LN",I19*(K19+L19)/26+(H19+I19)*50%*M19/26+IF(F19="LT",BO19*O19/26-AB19,0)+MAX($G19*P19/26*150%,P19*$BO19/26)-AC19+MAX($G19*Q19/26*200%,Q19*$BO19/26)-AD19+MAX($G19*R19/26*300%,R19*$BO19/26)-AE19+BO19*S19/26-AF19+AH19-AG19,I19-I19*($BW$11-K19-L19)/26+(H19+I19)*50%*M19/26+IF(F19="LT",BO19*O19/26-AB19,0)+MAX($G19*P19/26*150%,P19*$BO19/26)-AC19+MAX($G19*Q19/26*200%,Q19*$BO19/26)-AD19+MAX($G19*R19/26*300%,R19*$BO19/26)-AE19+BO19*S19/26-AF19+AH19-AG19+(G19-G19*($BW$11-K19-L19)/26-Y19)+(H19-H19*($BW$11-K19-L19)/26-AN19))</f>
        <v>9574134.615384616</v>
      </c>
      <c r="AP19" s="249"/>
      <c r="AQ19" s="249"/>
      <c r="AR19" s="28">
        <v>720000</v>
      </c>
      <c r="AS19" s="249"/>
      <c r="AT19" s="249"/>
      <c r="AU19" s="249"/>
      <c r="AV19" s="249">
        <f t="shared" si="11"/>
        <v>13464134.615384616</v>
      </c>
      <c r="AW19" s="249"/>
      <c r="AX19" s="249" t="s">
        <v>101</v>
      </c>
      <c r="AY19" s="251"/>
      <c r="AZ19" s="251"/>
      <c r="BA19" s="251">
        <f>IF(G19*1%&gt;=234000,234000,G19*1%)</f>
        <v>63400</v>
      </c>
      <c r="BB19" s="251">
        <f>AM19+IF(AR19&gt;=730000,730000,AR19)+IF(((AV19-AM19-IF(AR19&gt;=730000,730000,AR19)-AS19)*15%-AS19)&gt;0,((AV19-AM19-IF(AR19&gt;=730000,730000,AR19)-AS19)*15%-AS19),0)</f>
        <v>2631620.192307692</v>
      </c>
      <c r="BC19" s="251">
        <f>AV19-BB19+AW19</f>
        <v>10832514.423076924</v>
      </c>
      <c r="BD19" s="251"/>
      <c r="BE19" s="251"/>
      <c r="BF19" s="251"/>
      <c r="BG19" s="251">
        <v>0</v>
      </c>
      <c r="BH19" s="251"/>
      <c r="BI19" s="251"/>
      <c r="BJ19" s="251"/>
      <c r="BK19" s="251"/>
      <c r="BL19" s="251"/>
      <c r="BM19" s="251" t="str">
        <f>IF(AV19&gt;=11000000,"80%","100%")</f>
        <v>80%</v>
      </c>
      <c r="BN19" s="251">
        <f>AV19*BM19-BH19-BE19-BJ19-BI19</f>
        <v>10771307.692307694</v>
      </c>
      <c r="BO19" s="242">
        <v>23000000</v>
      </c>
      <c r="BP19" s="152">
        <v>0</v>
      </c>
      <c r="BQ19" s="152">
        <v>0</v>
      </c>
      <c r="BR19" s="152">
        <v>200000</v>
      </c>
      <c r="BS19" s="243">
        <f t="shared" si="12"/>
        <v>1150000</v>
      </c>
      <c r="BT19" s="243">
        <f t="shared" si="13"/>
        <v>24350000</v>
      </c>
      <c r="BU19" s="243" t="s">
        <v>114</v>
      </c>
      <c r="BV19" s="243"/>
      <c r="BW19" s="287"/>
      <c r="BX19" s="288"/>
      <c r="BY19" s="288"/>
      <c r="BZ19" s="252"/>
      <c r="CA19" s="252"/>
    </row>
    <row r="20" spans="1:79" s="253" customFormat="1" ht="30.5" customHeight="1">
      <c r="A20" s="244">
        <v>7</v>
      </c>
      <c r="B20" s="254" t="s">
        <v>115</v>
      </c>
      <c r="C20" s="246" t="s">
        <v>116</v>
      </c>
      <c r="D20" s="247" t="s">
        <v>117</v>
      </c>
      <c r="E20" s="248" t="s">
        <v>99</v>
      </c>
      <c r="F20" s="248" t="s">
        <v>100</v>
      </c>
      <c r="G20" s="249">
        <v>6340000</v>
      </c>
      <c r="H20" s="249">
        <f t="shared" si="1"/>
        <v>300000</v>
      </c>
      <c r="I20" s="249">
        <f>BT20-BR20-G20-H20</f>
        <v>11210000</v>
      </c>
      <c r="J20" s="286">
        <v>1</v>
      </c>
      <c r="K20" s="250">
        <v>11</v>
      </c>
      <c r="L20" s="250"/>
      <c r="M20" s="250"/>
      <c r="N20" s="250"/>
      <c r="O20" s="250">
        <v>2</v>
      </c>
      <c r="P20" s="250"/>
      <c r="Q20" s="250"/>
      <c r="R20" s="250">
        <v>4</v>
      </c>
      <c r="S20" s="250">
        <v>0</v>
      </c>
      <c r="T20" s="250"/>
      <c r="U20" s="250">
        <v>0</v>
      </c>
      <c r="V20" s="250">
        <v>0</v>
      </c>
      <c r="W20" s="250">
        <v>0</v>
      </c>
      <c r="X20" s="250">
        <v>0</v>
      </c>
      <c r="Y20" s="249">
        <f t="shared" si="14"/>
        <v>2682307.6923076925</v>
      </c>
      <c r="Z20" s="249">
        <f t="shared" si="2"/>
        <v>0</v>
      </c>
      <c r="AA20" s="249">
        <f t="shared" si="3"/>
        <v>0</v>
      </c>
      <c r="AB20" s="249">
        <f t="shared" si="4"/>
        <v>487692.30769230769</v>
      </c>
      <c r="AC20" s="249">
        <f t="shared" si="5"/>
        <v>0</v>
      </c>
      <c r="AD20" s="249">
        <f t="shared" si="6"/>
        <v>0</v>
      </c>
      <c r="AE20" s="249">
        <f t="shared" si="7"/>
        <v>2926153.846153846</v>
      </c>
      <c r="AF20" s="249">
        <f t="shared" si="8"/>
        <v>0</v>
      </c>
      <c r="AG20" s="249">
        <f t="shared" si="9"/>
        <v>0</v>
      </c>
      <c r="AH20" s="249">
        <f>BT20/26*U20</f>
        <v>0</v>
      </c>
      <c r="AI20" s="249">
        <f t="shared" si="10"/>
        <v>0</v>
      </c>
      <c r="AJ20" s="249"/>
      <c r="AK20" s="249">
        <f>BR20*L20/26</f>
        <v>0</v>
      </c>
      <c r="AL20" s="249"/>
      <c r="AM20" s="249">
        <f>X20*BV20</f>
        <v>0</v>
      </c>
      <c r="AN20" s="249">
        <f t="shared" si="15"/>
        <v>126923.07692307694</v>
      </c>
      <c r="AO20" s="249">
        <f>IF(F20="LN",I20*(K20+L20)/26+(H20+I20)*50%*M20/26+IF(F20="LT",BO20*O20/26-AB20,0)+MAX($G20*P20/26*150%,P20*$BO20/26)-AC20+MAX($G20*Q20/26*200%,Q20*$BO20/26)-AD20+MAX($G20*R20/26*300%,R20*$BO20/26)-AE20+BO20*S20/26-AF20+AH20-AG20,I20-I20*($BW$11-K20-L20)/26+(H20+I20)*50%*M20/26+IF(F20="LT",BO20*O20/26-AB20,0)+MAX($G20*P20/26*150%,P20*$BO20/26)-AC20+MAX($G20*Q20/26*200%,Q20*$BO20/26)-AD20+MAX($G20*R20/26*300%,R20*$BO20/26)-AE20+BO20*S20/26-AF20+AH20-AG20+(G20-G20*($BW$11-K20-L20)/26-Y20)+(H20-H20*($BW$11-K20-L20)/26-AN20))</f>
        <v>6249230.7692307699</v>
      </c>
      <c r="AP20" s="249"/>
      <c r="AQ20" s="249"/>
      <c r="AR20" s="28">
        <v>560000</v>
      </c>
      <c r="AS20" s="249"/>
      <c r="AT20" s="249"/>
      <c r="AU20" s="249"/>
      <c r="AV20" s="249">
        <f t="shared" si="11"/>
        <v>13032307.692307692</v>
      </c>
      <c r="AW20" s="249"/>
      <c r="AX20" s="249" t="s">
        <v>101</v>
      </c>
      <c r="AY20" s="251"/>
      <c r="AZ20" s="251"/>
      <c r="BA20" s="251">
        <f>IF(G20*1%&gt;=234000,234000,G20*1%)</f>
        <v>63400</v>
      </c>
      <c r="BB20" s="251">
        <f>AM20+IF(AR20&gt;=730000,730000,AR20)+IF(((AV20-AM20-IF(AR20&gt;=730000,730000,AR20)-AS20)*15%-AS20)&gt;0,((AV20-AM20-IF(AR20&gt;=730000,730000,AR20)-AS20)*15%-AS20),0)</f>
        <v>2430846.153846154</v>
      </c>
      <c r="BC20" s="251">
        <f>AV20-BB20+AW20</f>
        <v>10601461.538461538</v>
      </c>
      <c r="BD20" s="251"/>
      <c r="BE20" s="251"/>
      <c r="BF20" s="251"/>
      <c r="BG20" s="251">
        <v>0</v>
      </c>
      <c r="BH20" s="251"/>
      <c r="BI20" s="251"/>
      <c r="BJ20" s="251"/>
      <c r="BK20" s="251"/>
      <c r="BL20" s="251"/>
      <c r="BM20" s="251" t="str">
        <f>IF(AV20&gt;=11000000,"80%","100%")</f>
        <v>80%</v>
      </c>
      <c r="BN20" s="251">
        <f>AV20*BM20-BH20-BE20-BJ20-BI20</f>
        <v>10425846.153846154</v>
      </c>
      <c r="BO20" s="242">
        <v>17000000</v>
      </c>
      <c r="BP20" s="152">
        <v>0</v>
      </c>
      <c r="BQ20" s="152">
        <v>0</v>
      </c>
      <c r="BR20" s="152">
        <v>200000</v>
      </c>
      <c r="BS20" s="243">
        <f t="shared" si="12"/>
        <v>850000</v>
      </c>
      <c r="BT20" s="243">
        <f t="shared" si="13"/>
        <v>18050000</v>
      </c>
      <c r="BU20" s="243" t="s">
        <v>118</v>
      </c>
      <c r="BV20" s="243"/>
      <c r="BW20" s="287"/>
      <c r="BX20" s="288"/>
      <c r="BY20" s="288"/>
      <c r="BZ20" s="252"/>
      <c r="CA20" s="252"/>
    </row>
    <row r="21" spans="1:79" s="289" customFormat="1" ht="18.75" customHeight="1">
      <c r="B21" s="290"/>
      <c r="I21" s="291"/>
      <c r="J21" s="291"/>
      <c r="K21" s="292"/>
      <c r="L21" s="292"/>
      <c r="M21" s="292"/>
      <c r="N21" s="292"/>
      <c r="O21" s="292"/>
      <c r="P21" s="292"/>
      <c r="Q21" s="292"/>
      <c r="R21" s="292"/>
      <c r="S21" s="292"/>
      <c r="T21" s="292"/>
      <c r="U21" s="293"/>
      <c r="V21" s="293"/>
      <c r="W21" s="294"/>
      <c r="X21" s="294"/>
      <c r="AC21" s="295"/>
      <c r="BH21" s="296"/>
      <c r="BI21" s="296"/>
      <c r="BJ21" s="296"/>
      <c r="BK21" s="296"/>
      <c r="BL21" s="296"/>
      <c r="BM21" s="296"/>
      <c r="BN21" s="296"/>
      <c r="BO21" s="297"/>
      <c r="BP21" s="297"/>
      <c r="BQ21" s="297"/>
      <c r="BR21" s="297"/>
      <c r="BS21" s="297"/>
      <c r="BX21" s="298"/>
    </row>
    <row r="22" spans="1:79" s="299" customFormat="1" ht="21" customHeight="1">
      <c r="B22" s="300"/>
      <c r="C22" s="300"/>
      <c r="D22" s="300"/>
      <c r="E22" s="300"/>
      <c r="F22" s="300"/>
      <c r="G22" s="300"/>
      <c r="H22" s="300"/>
      <c r="I22" s="300"/>
      <c r="J22" s="301"/>
      <c r="K22" s="302"/>
      <c r="L22" s="302"/>
      <c r="M22" s="302"/>
      <c r="N22" s="302"/>
      <c r="O22" s="302"/>
      <c r="P22" s="302"/>
      <c r="Q22" s="302"/>
      <c r="U22" s="303"/>
      <c r="V22" s="302"/>
      <c r="W22" s="300"/>
      <c r="X22" s="300"/>
      <c r="Y22" s="300"/>
      <c r="Z22" s="300"/>
      <c r="AA22" s="300"/>
      <c r="AB22" s="300"/>
      <c r="AC22" s="300"/>
      <c r="AK22" s="300"/>
      <c r="AM22" s="300"/>
      <c r="AN22" s="300"/>
      <c r="AO22" s="300"/>
      <c r="AP22" s="300"/>
      <c r="AQ22" s="300"/>
      <c r="AR22" s="300"/>
      <c r="AS22" s="300"/>
      <c r="AT22" s="300"/>
      <c r="AU22" s="300"/>
      <c r="AV22" s="300"/>
      <c r="AW22" s="300"/>
      <c r="AX22" s="300"/>
      <c r="AY22" s="304"/>
      <c r="AZ22" s="304"/>
      <c r="BF22" s="300"/>
      <c r="BG22" s="300"/>
      <c r="BH22" s="300" t="s">
        <v>119</v>
      </c>
      <c r="BI22" s="300"/>
      <c r="BJ22" s="300"/>
      <c r="BK22" s="300"/>
      <c r="BL22" s="300"/>
      <c r="BM22" s="300"/>
      <c r="BN22" s="300"/>
      <c r="BO22" s="305"/>
      <c r="BP22" s="305"/>
      <c r="BQ22" s="305"/>
      <c r="BR22" s="305"/>
      <c r="BS22" s="305"/>
    </row>
    <row r="23" spans="1:79" s="299" customFormat="1" ht="18" customHeight="1">
      <c r="B23" s="306"/>
      <c r="I23" s="301"/>
      <c r="J23" s="301"/>
      <c r="K23" s="303"/>
      <c r="L23" s="303"/>
      <c r="M23" s="303"/>
      <c r="N23" s="303"/>
      <c r="O23" s="303"/>
      <c r="P23" s="303"/>
      <c r="Q23" s="303"/>
      <c r="R23" s="302"/>
      <c r="U23" s="303"/>
      <c r="V23" s="303"/>
      <c r="W23" s="307"/>
      <c r="X23" s="307"/>
      <c r="AN23" s="305"/>
      <c r="AV23" s="300"/>
      <c r="AW23" s="300"/>
      <c r="AX23" s="300"/>
      <c r="BF23" s="300"/>
      <c r="BG23" s="304"/>
      <c r="BO23" s="305"/>
      <c r="BP23" s="305"/>
      <c r="BQ23" s="305"/>
      <c r="BR23" s="305"/>
      <c r="BS23" s="305"/>
      <c r="BX23" s="308"/>
    </row>
    <row r="24" spans="1:79" ht="15" customHeight="1">
      <c r="D24" s="312" t="s">
        <v>152</v>
      </c>
      <c r="I24" s="313"/>
      <c r="X24" s="258"/>
      <c r="BR24" s="258" t="s">
        <v>147</v>
      </c>
      <c r="BX24" s="317"/>
    </row>
    <row r="25" spans="1:79" ht="73.5" customHeight="1">
      <c r="J25" s="257"/>
      <c r="X25" s="258"/>
    </row>
  </sheetData>
  <mergeCells count="78">
    <mergeCell ref="A8:A11"/>
    <mergeCell ref="AS8:AS11"/>
    <mergeCell ref="K8:X8"/>
    <mergeCell ref="AY10:AY11"/>
    <mergeCell ref="BA10:BA11"/>
    <mergeCell ref="T9:T11"/>
    <mergeCell ref="P9:P11"/>
    <mergeCell ref="AB9:AB11"/>
    <mergeCell ref="AY8:BJ8"/>
    <mergeCell ref="AF9:AF11"/>
    <mergeCell ref="AH9:AH11"/>
    <mergeCell ref="L9:L11"/>
    <mergeCell ref="N9:N11"/>
    <mergeCell ref="C8:C11"/>
    <mergeCell ref="BO8:BO11"/>
    <mergeCell ref="AI9:AI11"/>
    <mergeCell ref="BK8:BL8"/>
    <mergeCell ref="D8:D11"/>
    <mergeCell ref="BB10:BB11"/>
    <mergeCell ref="BI10:BI11"/>
    <mergeCell ref="Q9:Q11"/>
    <mergeCell ref="S9:S11"/>
    <mergeCell ref="BF10:BF11"/>
    <mergeCell ref="AC9:AC11"/>
    <mergeCell ref="BK9:BK11"/>
    <mergeCell ref="AR8:AR11"/>
    <mergeCell ref="I8:I11"/>
    <mergeCell ref="BE10:BE11"/>
    <mergeCell ref="AP8:AP11"/>
    <mergeCell ref="BO3:BT6"/>
    <mergeCell ref="AU8:AU11"/>
    <mergeCell ref="BM8:BM11"/>
    <mergeCell ref="BE9:BJ9"/>
    <mergeCell ref="BP8:BS10"/>
    <mergeCell ref="AV8:AV11"/>
    <mergeCell ref="BU8:BU11"/>
    <mergeCell ref="AW8:AW11"/>
    <mergeCell ref="A3:BN3"/>
    <mergeCell ref="AE9:AE11"/>
    <mergeCell ref="AO9:AO11"/>
    <mergeCell ref="B8:B11"/>
    <mergeCell ref="AZ10:AZ11"/>
    <mergeCell ref="K9:K11"/>
    <mergeCell ref="M9:M11"/>
    <mergeCell ref="O9:O11"/>
    <mergeCell ref="BD10:BD11"/>
    <mergeCell ref="AY9:BD9"/>
    <mergeCell ref="BN8:BN11"/>
    <mergeCell ref="E8:E11"/>
    <mergeCell ref="G8:G11"/>
    <mergeCell ref="R9:R11"/>
    <mergeCell ref="BL9:BL11"/>
    <mergeCell ref="BG10:BG11"/>
    <mergeCell ref="AQ8:AQ11"/>
    <mergeCell ref="U9:U11"/>
    <mergeCell ref="BH10:BH11"/>
    <mergeCell ref="BJ10:BJ11"/>
    <mergeCell ref="AG9:AG11"/>
    <mergeCell ref="Z9:Z11"/>
    <mergeCell ref="AD9:AD11"/>
    <mergeCell ref="BC10:BC11"/>
    <mergeCell ref="V9:W10"/>
    <mergeCell ref="X9:X11"/>
    <mergeCell ref="H8:H11"/>
    <mergeCell ref="J8:J11"/>
    <mergeCell ref="AT8:AT11"/>
    <mergeCell ref="F8:F11"/>
    <mergeCell ref="BV8:BV11"/>
    <mergeCell ref="Y9:Y11"/>
    <mergeCell ref="AA9:AA11"/>
    <mergeCell ref="AK9:AK11"/>
    <mergeCell ref="AM9:AM11"/>
    <mergeCell ref="AX8:AX11"/>
    <mergeCell ref="Y8:AO8"/>
    <mergeCell ref="BT8:BT11"/>
    <mergeCell ref="AJ9:AJ11"/>
    <mergeCell ref="AL9:AL11"/>
    <mergeCell ref="AN9:AN11"/>
  </mergeCells>
  <conditionalFormatting sqref="B21:B1048576 B1:B11 D12:F12 J12:BV12">
    <cfRule type="duplicateValues" dxfId="11" priority="99"/>
  </conditionalFormatting>
  <conditionalFormatting sqref="B14:B20">
    <cfRule type="duplicateValues" dxfId="10" priority="1"/>
    <cfRule type="duplicateValues" dxfId="9" priority="2"/>
    <cfRule type="duplicateValues" dxfId="8" priority="3"/>
  </conditionalFormatting>
  <conditionalFormatting sqref="B21:B1048576 B1:B11">
    <cfRule type="duplicateValues" dxfId="7" priority="107"/>
  </conditionalFormatting>
  <printOptions horizontalCentered="1"/>
  <pageMargins left="0" right="0" top="0.21" bottom="0.17" header="0.196850393700787" footer="0.196850393700787"/>
  <pageSetup paperSize="9" scale="43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0" tint="-0.499984740745262"/>
  </sheetPr>
  <dimension ref="A1:CI25"/>
  <sheetViews>
    <sheetView zoomScaleNormal="100" zoomScaleSheetLayoutView="70" workbookViewId="0">
      <pane xSplit="6" ySplit="11" topLeftCell="G19" activePane="bottomRight" state="frozen"/>
      <selection pane="topRight" activeCell="E18" sqref="E18"/>
      <selection pane="bottomLeft" activeCell="E18" sqref="E18"/>
      <selection pane="bottomRight" activeCell="K48" sqref="K48"/>
    </sheetView>
  </sheetViews>
  <sheetFormatPr baseColWidth="10" defaultColWidth="9.1640625" defaultRowHeight="15" outlineLevelRow="1" outlineLevelCol="1"/>
  <cols>
    <col min="1" max="1" width="5.5" style="124" customWidth="1"/>
    <col min="2" max="2" width="8.5" style="125" customWidth="1"/>
    <col min="3" max="3" width="10.83203125" style="126" bestFit="1" customWidth="1"/>
    <col min="4" max="4" width="5.5" style="127" bestFit="1" customWidth="1" outlineLevel="1"/>
    <col min="5" max="5" width="5.5" style="127" customWidth="1" outlineLevel="1"/>
    <col min="6" max="6" width="20.6640625" style="128" customWidth="1" outlineLevel="1"/>
    <col min="7" max="7" width="13.6640625" style="129" bestFit="1" customWidth="1"/>
    <col min="8" max="8" width="12.5" style="129" customWidth="1"/>
    <col min="9" max="9" width="12.5" style="121" customWidth="1"/>
    <col min="10" max="10" width="7.5" style="121" customWidth="1" outlineLevel="1"/>
    <col min="11" max="24" width="7.1640625" style="130" customWidth="1"/>
    <col min="25" max="40" width="12.33203125" style="131" customWidth="1"/>
    <col min="41" max="41" width="100.6640625" style="131" customWidth="1"/>
    <col min="42" max="47" width="12.33203125" style="131" customWidth="1"/>
    <col min="48" max="48" width="30.6640625" style="131" customWidth="1"/>
    <col min="49" max="49" width="13" style="131" customWidth="1"/>
    <col min="50" max="50" width="6.6640625" style="131" customWidth="1"/>
    <col min="51" max="53" width="10.5" style="131" customWidth="1" outlineLevel="1"/>
    <col min="54" max="57" width="10.5" style="131" customWidth="1"/>
    <col min="58" max="58" width="30.6640625" style="131" customWidth="1"/>
    <col min="59" max="61" width="10.5" style="131" customWidth="1"/>
    <col min="62" max="62" width="30.6640625" style="131" customWidth="1"/>
    <col min="63" max="71" width="10.5" style="131" customWidth="1"/>
    <col min="72" max="73" width="12.5" style="131" customWidth="1"/>
    <col min="74" max="74" width="12.5" customWidth="1"/>
    <col min="75" max="79" width="12.6640625" style="129" customWidth="1" outlineLevel="1"/>
    <col min="80" max="80" width="12.6640625" style="132" customWidth="1" outlineLevel="1"/>
    <col min="81" max="82" width="10.6640625" style="132" customWidth="1" outlineLevel="1"/>
    <col min="83" max="83" width="19.5" style="133" customWidth="1"/>
    <col min="84" max="84" width="12.33203125" style="133" customWidth="1"/>
    <col min="85" max="85" width="12.5" style="133" customWidth="1"/>
    <col min="86" max="86" width="11.6640625" style="133" customWidth="1"/>
    <col min="87" max="87" width="9.1640625" style="133" customWidth="1"/>
    <col min="88" max="16384" width="9.1640625" style="133"/>
  </cols>
  <sheetData>
    <row r="1" spans="1:87" s="36" customFormat="1" ht="11" outlineLevel="1">
      <c r="A1" s="34" t="s">
        <v>0</v>
      </c>
      <c r="B1" s="35"/>
      <c r="C1" s="34"/>
      <c r="D1" s="1"/>
      <c r="E1" s="1"/>
      <c r="F1" s="1"/>
      <c r="I1" s="37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U1" s="1"/>
      <c r="BW1" s="1"/>
      <c r="BX1" s="1"/>
      <c r="BY1" s="1"/>
      <c r="BZ1" s="1"/>
      <c r="CA1" s="1"/>
      <c r="CB1" s="39"/>
      <c r="CC1" s="39"/>
      <c r="CD1" s="39"/>
    </row>
    <row r="2" spans="1:87" s="36" customFormat="1" ht="11" outlineLevel="1">
      <c r="A2" s="40" t="s">
        <v>1</v>
      </c>
      <c r="B2" s="35"/>
      <c r="C2" s="41"/>
      <c r="D2" s="1"/>
      <c r="E2" s="1"/>
      <c r="F2" s="1"/>
      <c r="I2" s="37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W2" s="1"/>
      <c r="BX2" s="1"/>
      <c r="BY2" s="1"/>
      <c r="BZ2" s="1"/>
      <c r="CA2" s="1"/>
      <c r="CB2" s="41"/>
      <c r="CC2" s="41"/>
      <c r="CD2" s="41"/>
    </row>
    <row r="3" spans="1:87" s="43" customFormat="1" ht="11" outlineLevel="1">
      <c r="A3" s="426"/>
      <c r="B3" s="417"/>
      <c r="C3" s="417"/>
      <c r="D3" s="417"/>
      <c r="E3" s="417"/>
      <c r="F3" s="417"/>
      <c r="G3" s="417"/>
      <c r="H3" s="417"/>
      <c r="I3" s="417"/>
      <c r="J3" s="417"/>
      <c r="K3" s="417"/>
      <c r="L3" s="417"/>
      <c r="M3" s="417"/>
      <c r="N3" s="417"/>
      <c r="O3" s="417"/>
      <c r="P3" s="417"/>
      <c r="Q3" s="417"/>
      <c r="R3" s="417"/>
      <c r="S3" s="417"/>
      <c r="T3" s="417"/>
      <c r="U3" s="417"/>
      <c r="V3" s="417"/>
      <c r="W3" s="417"/>
      <c r="X3" s="417"/>
      <c r="Y3" s="417"/>
      <c r="Z3" s="417"/>
      <c r="AA3" s="417"/>
      <c r="AB3" s="417"/>
      <c r="AC3" s="417"/>
      <c r="AD3" s="417"/>
      <c r="AE3" s="417"/>
      <c r="AF3" s="417"/>
      <c r="AG3" s="417"/>
      <c r="AH3" s="417"/>
      <c r="AI3" s="417"/>
      <c r="AJ3" s="417"/>
      <c r="AK3" s="417"/>
      <c r="AL3" s="417"/>
      <c r="AM3" s="417"/>
      <c r="AN3" s="417"/>
      <c r="AO3" s="417"/>
      <c r="AP3" s="417"/>
      <c r="AQ3" s="417"/>
      <c r="AR3" s="417"/>
      <c r="AS3" s="417"/>
      <c r="AT3" s="417"/>
      <c r="AU3" s="417"/>
      <c r="AV3" s="417"/>
      <c r="AW3" s="417"/>
      <c r="AX3" s="417"/>
      <c r="AY3" s="417"/>
      <c r="AZ3" s="417"/>
      <c r="BA3" s="417"/>
      <c r="BB3" s="417"/>
      <c r="BC3" s="417"/>
      <c r="BD3" s="417"/>
      <c r="BE3" s="417"/>
      <c r="BF3" s="417"/>
      <c r="BG3" s="417"/>
      <c r="BH3" s="417"/>
      <c r="BI3" s="417"/>
      <c r="BJ3" s="417"/>
      <c r="BK3" s="417"/>
      <c r="BL3" s="417"/>
      <c r="BM3" s="417"/>
      <c r="BN3" s="417"/>
      <c r="BO3" s="417"/>
      <c r="BP3" s="417"/>
      <c r="BQ3" s="417"/>
      <c r="BR3" s="417"/>
      <c r="BS3" s="417"/>
      <c r="BT3" s="417"/>
      <c r="BU3" s="417"/>
      <c r="BW3" s="416" t="s">
        <v>2</v>
      </c>
      <c r="BX3" s="417"/>
      <c r="BY3" s="417"/>
      <c r="BZ3" s="417"/>
      <c r="CA3" s="417"/>
      <c r="CB3" s="417"/>
      <c r="CC3" s="42"/>
      <c r="CD3" s="42"/>
      <c r="CE3" s="43" t="s">
        <v>3</v>
      </c>
      <c r="CF3" s="43">
        <v>25</v>
      </c>
    </row>
    <row r="4" spans="1:87" s="43" customFormat="1" ht="11" outlineLevel="1">
      <c r="A4" s="44"/>
      <c r="B4" s="44"/>
      <c r="C4" s="44"/>
      <c r="D4" s="44"/>
      <c r="E4" s="44"/>
      <c r="F4" s="44"/>
      <c r="G4" s="44"/>
      <c r="H4" s="44"/>
      <c r="I4" s="37"/>
      <c r="K4" s="44"/>
      <c r="L4" s="44"/>
      <c r="M4" s="44"/>
      <c r="N4" s="44"/>
      <c r="O4" s="44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4"/>
      <c r="AK4" s="44"/>
      <c r="AL4" s="44"/>
      <c r="AM4" s="44"/>
      <c r="AN4" s="44"/>
      <c r="AO4" s="44"/>
      <c r="AP4" s="44"/>
      <c r="AQ4" s="44"/>
      <c r="AR4" s="44"/>
      <c r="AS4" s="44"/>
      <c r="AT4" s="44"/>
      <c r="AU4" s="44"/>
      <c r="AV4" s="44"/>
      <c r="AW4" s="44"/>
      <c r="AX4" s="44"/>
      <c r="AY4" s="44"/>
      <c r="AZ4" s="44"/>
      <c r="BA4" s="44"/>
      <c r="BB4" s="44"/>
      <c r="BC4" s="44"/>
      <c r="BD4" s="44"/>
      <c r="BE4" s="44"/>
      <c r="BF4" s="44"/>
      <c r="BG4" s="44"/>
      <c r="BH4" s="44"/>
      <c r="BI4" s="44"/>
      <c r="BJ4" s="44"/>
      <c r="BK4" s="44"/>
      <c r="BL4" s="44"/>
      <c r="BM4" s="44"/>
      <c r="BN4" s="44"/>
      <c r="BO4" s="44"/>
      <c r="BP4" s="44"/>
      <c r="BQ4" s="44"/>
      <c r="BR4" s="44"/>
      <c r="BS4" s="44"/>
      <c r="BT4" s="44"/>
      <c r="BU4" s="44"/>
      <c r="BW4" s="417"/>
      <c r="BX4" s="417"/>
      <c r="BY4" s="417"/>
      <c r="BZ4" s="417"/>
      <c r="CA4" s="417"/>
      <c r="CB4" s="417"/>
      <c r="CC4" s="42"/>
      <c r="CD4" s="42"/>
    </row>
    <row r="5" spans="1:87" s="45" customFormat="1">
      <c r="A5" s="429" t="s">
        <v>4</v>
      </c>
      <c r="B5" s="428" t="s">
        <v>5</v>
      </c>
      <c r="C5" s="402" t="s">
        <v>6</v>
      </c>
      <c r="D5" s="427" t="s">
        <v>141</v>
      </c>
      <c r="E5" s="427" t="s">
        <v>8</v>
      </c>
      <c r="F5" s="471" t="s">
        <v>142</v>
      </c>
      <c r="G5" s="402" t="s">
        <v>10</v>
      </c>
      <c r="H5" s="353" t="s">
        <v>11</v>
      </c>
      <c r="I5" s="353" t="s">
        <v>12</v>
      </c>
      <c r="J5" s="402" t="s">
        <v>13</v>
      </c>
      <c r="K5" s="431" t="s">
        <v>14</v>
      </c>
      <c r="L5" s="413"/>
      <c r="M5" s="413"/>
      <c r="N5" s="413"/>
      <c r="O5" s="413"/>
      <c r="P5" s="413"/>
      <c r="Q5" s="413"/>
      <c r="R5" s="413"/>
      <c r="S5" s="413"/>
      <c r="T5" s="413"/>
      <c r="U5" s="413"/>
      <c r="V5" s="413"/>
      <c r="W5" s="413"/>
      <c r="X5" s="413"/>
      <c r="Y5" s="402" t="s">
        <v>15</v>
      </c>
      <c r="Z5" s="413"/>
      <c r="AA5" s="413"/>
      <c r="AB5" s="413"/>
      <c r="AC5" s="413"/>
      <c r="AD5" s="413"/>
      <c r="AE5" s="413"/>
      <c r="AF5" s="413"/>
      <c r="AG5" s="413"/>
      <c r="AH5" s="413"/>
      <c r="AI5" s="413"/>
      <c r="AJ5" s="413"/>
      <c r="AK5" s="413"/>
      <c r="AL5" s="413"/>
      <c r="AM5" s="413"/>
      <c r="AN5" s="413"/>
      <c r="AO5" s="414"/>
      <c r="AP5" s="402" t="s">
        <v>16</v>
      </c>
      <c r="AQ5" s="402" t="s">
        <v>17</v>
      </c>
      <c r="AR5" s="402" t="s">
        <v>18</v>
      </c>
      <c r="AS5" s="402" t="s">
        <v>19</v>
      </c>
      <c r="AT5" s="402" t="s">
        <v>20</v>
      </c>
      <c r="AU5" s="402" t="s">
        <v>21</v>
      </c>
      <c r="AV5" s="402" t="s">
        <v>22</v>
      </c>
      <c r="AW5" s="402" t="s">
        <v>23</v>
      </c>
      <c r="AX5" s="402" t="s">
        <v>24</v>
      </c>
      <c r="AY5" s="412" t="s">
        <v>25</v>
      </c>
      <c r="AZ5" s="413"/>
      <c r="BA5" s="413"/>
      <c r="BB5" s="413"/>
      <c r="BC5" s="413"/>
      <c r="BD5" s="413"/>
      <c r="BE5" s="413"/>
      <c r="BF5" s="413"/>
      <c r="BG5" s="413"/>
      <c r="BH5" s="413"/>
      <c r="BI5" s="413"/>
      <c r="BJ5" s="413"/>
      <c r="BK5" s="413"/>
      <c r="BL5" s="413"/>
      <c r="BM5" s="413"/>
      <c r="BN5" s="413"/>
      <c r="BO5" s="413"/>
      <c r="BP5" s="414"/>
      <c r="BQ5" s="418" t="s">
        <v>26</v>
      </c>
      <c r="BR5" s="419"/>
      <c r="BS5" s="412" t="s">
        <v>143</v>
      </c>
      <c r="BT5" s="412" t="s">
        <v>27</v>
      </c>
      <c r="BU5" s="406" t="s">
        <v>28</v>
      </c>
      <c r="BW5" s="409" t="s">
        <v>29</v>
      </c>
      <c r="BX5" s="420" t="s">
        <v>30</v>
      </c>
      <c r="BY5" s="421"/>
      <c r="BZ5" s="421"/>
      <c r="CA5" s="419"/>
      <c r="CB5" s="415" t="s">
        <v>31</v>
      </c>
      <c r="CC5" s="397" t="s">
        <v>32</v>
      </c>
      <c r="CD5" s="397" t="s">
        <v>33</v>
      </c>
      <c r="CH5" s="46"/>
      <c r="CI5" s="47"/>
    </row>
    <row r="6" spans="1:87" s="45" customFormat="1">
      <c r="A6" s="398"/>
      <c r="B6" s="398"/>
      <c r="C6" s="398"/>
      <c r="D6" s="398"/>
      <c r="E6" s="398"/>
      <c r="F6" s="398"/>
      <c r="G6" s="398"/>
      <c r="H6" s="398"/>
      <c r="I6" s="398"/>
      <c r="J6" s="398"/>
      <c r="K6" s="403" t="s">
        <v>34</v>
      </c>
      <c r="L6" s="403" t="s">
        <v>35</v>
      </c>
      <c r="M6" s="403" t="s">
        <v>36</v>
      </c>
      <c r="N6" s="403" t="s">
        <v>37</v>
      </c>
      <c r="O6" s="403" t="s">
        <v>38</v>
      </c>
      <c r="P6" s="403" t="s">
        <v>39</v>
      </c>
      <c r="Q6" s="403" t="s">
        <v>40</v>
      </c>
      <c r="R6" s="403" t="s">
        <v>41</v>
      </c>
      <c r="S6" s="403" t="s">
        <v>42</v>
      </c>
      <c r="T6" s="403" t="s">
        <v>43</v>
      </c>
      <c r="U6" s="403" t="s">
        <v>44</v>
      </c>
      <c r="V6" s="433" t="s">
        <v>45</v>
      </c>
      <c r="W6" s="419"/>
      <c r="X6" s="403" t="s">
        <v>46</v>
      </c>
      <c r="Y6" s="402" t="s">
        <v>47</v>
      </c>
      <c r="Z6" s="402" t="s">
        <v>48</v>
      </c>
      <c r="AA6" s="402" t="s">
        <v>49</v>
      </c>
      <c r="AB6" s="402" t="s">
        <v>50</v>
      </c>
      <c r="AC6" s="353" t="s">
        <v>51</v>
      </c>
      <c r="AD6" s="353" t="s">
        <v>144</v>
      </c>
      <c r="AE6" s="353" t="s">
        <v>53</v>
      </c>
      <c r="AF6" s="353" t="s">
        <v>54</v>
      </c>
      <c r="AG6" s="402" t="s">
        <v>55</v>
      </c>
      <c r="AH6" s="353" t="s">
        <v>56</v>
      </c>
      <c r="AI6" s="353" t="s">
        <v>57</v>
      </c>
      <c r="AJ6" s="402" t="s">
        <v>58</v>
      </c>
      <c r="AK6" s="430" t="s">
        <v>59</v>
      </c>
      <c r="AL6" s="402" t="s">
        <v>60</v>
      </c>
      <c r="AM6" s="402" t="s">
        <v>61</v>
      </c>
      <c r="AN6" s="432" t="s">
        <v>62</v>
      </c>
      <c r="AO6" s="402" t="s">
        <v>63</v>
      </c>
      <c r="AP6" s="398"/>
      <c r="AQ6" s="398"/>
      <c r="AR6" s="398"/>
      <c r="AS6" s="398"/>
      <c r="AT6" s="398"/>
      <c r="AU6" s="398"/>
      <c r="AV6" s="398"/>
      <c r="AW6" s="398"/>
      <c r="AX6" s="398"/>
      <c r="AY6" s="412" t="s">
        <v>25</v>
      </c>
      <c r="AZ6" s="413"/>
      <c r="BA6" s="413"/>
      <c r="BB6" s="413"/>
      <c r="BC6" s="413"/>
      <c r="BD6" s="413"/>
      <c r="BE6" s="413"/>
      <c r="BF6" s="413"/>
      <c r="BG6" s="413"/>
      <c r="BH6" s="413"/>
      <c r="BI6" s="413"/>
      <c r="BJ6" s="414"/>
      <c r="BK6" s="412" t="s">
        <v>64</v>
      </c>
      <c r="BL6" s="413"/>
      <c r="BM6" s="413"/>
      <c r="BN6" s="413"/>
      <c r="BO6" s="413"/>
      <c r="BP6" s="414"/>
      <c r="BQ6" s="400" t="s">
        <v>65</v>
      </c>
      <c r="BR6" s="400" t="s">
        <v>66</v>
      </c>
      <c r="BS6" s="398"/>
      <c r="BT6" s="398"/>
      <c r="BU6" s="407"/>
      <c r="BW6" s="410"/>
      <c r="BX6" s="407"/>
      <c r="BY6" s="422"/>
      <c r="BZ6" s="422"/>
      <c r="CA6" s="410"/>
      <c r="CB6" s="398"/>
      <c r="CC6" s="398"/>
      <c r="CD6" s="398"/>
      <c r="CH6" s="46"/>
      <c r="CI6" s="47"/>
    </row>
    <row r="7" spans="1:87" s="45" customFormat="1" ht="12">
      <c r="A7" s="398"/>
      <c r="B7" s="398"/>
      <c r="C7" s="398"/>
      <c r="D7" s="398"/>
      <c r="E7" s="398"/>
      <c r="F7" s="398"/>
      <c r="G7" s="398"/>
      <c r="H7" s="398"/>
      <c r="I7" s="398"/>
      <c r="J7" s="398"/>
      <c r="K7" s="398"/>
      <c r="L7" s="398"/>
      <c r="M7" s="398"/>
      <c r="N7" s="398"/>
      <c r="O7" s="398"/>
      <c r="P7" s="398"/>
      <c r="Q7" s="398"/>
      <c r="R7" s="398"/>
      <c r="S7" s="398"/>
      <c r="T7" s="398"/>
      <c r="U7" s="398"/>
      <c r="V7" s="408"/>
      <c r="W7" s="434"/>
      <c r="X7" s="398"/>
      <c r="Y7" s="398"/>
      <c r="Z7" s="398"/>
      <c r="AA7" s="398"/>
      <c r="AB7" s="398"/>
      <c r="AC7" s="398"/>
      <c r="AD7" s="398"/>
      <c r="AE7" s="398"/>
      <c r="AF7" s="398"/>
      <c r="AG7" s="398"/>
      <c r="AH7" s="398"/>
      <c r="AI7" s="398"/>
      <c r="AJ7" s="398"/>
      <c r="AK7" s="407"/>
      <c r="AL7" s="398"/>
      <c r="AM7" s="398"/>
      <c r="AN7" s="398"/>
      <c r="AO7" s="398"/>
      <c r="AP7" s="398"/>
      <c r="AQ7" s="398"/>
      <c r="AR7" s="398"/>
      <c r="AS7" s="398"/>
      <c r="AT7" s="398"/>
      <c r="AU7" s="398"/>
      <c r="AV7" s="398"/>
      <c r="AW7" s="398"/>
      <c r="AX7" s="398"/>
      <c r="AY7" s="29" t="s">
        <v>67</v>
      </c>
      <c r="AZ7" s="29" t="s">
        <v>68</v>
      </c>
      <c r="BA7" s="29" t="s">
        <v>69</v>
      </c>
      <c r="BB7" s="412" t="s">
        <v>70</v>
      </c>
      <c r="BC7" s="404" t="s">
        <v>71</v>
      </c>
      <c r="BD7" s="404" t="s">
        <v>72</v>
      </c>
      <c r="BE7" s="404" t="s">
        <v>145</v>
      </c>
      <c r="BF7" s="404" t="s">
        <v>74</v>
      </c>
      <c r="BG7" s="404" t="s">
        <v>75</v>
      </c>
      <c r="BH7" s="404" t="s">
        <v>76</v>
      </c>
      <c r="BI7" s="404" t="s">
        <v>79</v>
      </c>
      <c r="BJ7" s="405" t="s">
        <v>80</v>
      </c>
      <c r="BK7" s="404" t="s">
        <v>81</v>
      </c>
      <c r="BL7" s="412" t="s">
        <v>82</v>
      </c>
      <c r="BM7" s="404" t="s">
        <v>83</v>
      </c>
      <c r="BN7" s="412" t="s">
        <v>84</v>
      </c>
      <c r="BO7" s="412" t="s">
        <v>146</v>
      </c>
      <c r="BP7" s="412" t="s">
        <v>85</v>
      </c>
      <c r="BQ7" s="398"/>
      <c r="BR7" s="398"/>
      <c r="BS7" s="398"/>
      <c r="BT7" s="398"/>
      <c r="BU7" s="407"/>
      <c r="BW7" s="410"/>
      <c r="BX7" s="423"/>
      <c r="BY7" s="424"/>
      <c r="BZ7" s="424"/>
      <c r="CA7" s="411"/>
      <c r="CB7" s="398"/>
      <c r="CC7" s="398"/>
      <c r="CD7" s="398"/>
      <c r="CH7" s="46"/>
      <c r="CI7" s="47"/>
    </row>
    <row r="8" spans="1:87" s="45" customFormat="1" ht="22.5" customHeight="1">
      <c r="A8" s="401"/>
      <c r="B8" s="401"/>
      <c r="C8" s="401"/>
      <c r="D8" s="401"/>
      <c r="E8" s="401"/>
      <c r="F8" s="401"/>
      <c r="G8" s="401"/>
      <c r="H8" s="401"/>
      <c r="I8" s="401"/>
      <c r="J8" s="401"/>
      <c r="K8" s="401"/>
      <c r="L8" s="401"/>
      <c r="M8" s="401"/>
      <c r="N8" s="401"/>
      <c r="O8" s="401"/>
      <c r="P8" s="401"/>
      <c r="Q8" s="401"/>
      <c r="R8" s="401"/>
      <c r="S8" s="401"/>
      <c r="T8" s="401"/>
      <c r="U8" s="401"/>
      <c r="V8" s="49" t="s">
        <v>86</v>
      </c>
      <c r="W8" s="49" t="s">
        <v>87</v>
      </c>
      <c r="X8" s="401"/>
      <c r="Y8" s="401"/>
      <c r="Z8" s="401"/>
      <c r="AA8" s="401"/>
      <c r="AB8" s="401"/>
      <c r="AC8" s="401"/>
      <c r="AD8" s="401"/>
      <c r="AE8" s="401"/>
      <c r="AF8" s="401"/>
      <c r="AG8" s="401"/>
      <c r="AH8" s="401"/>
      <c r="AI8" s="401"/>
      <c r="AJ8" s="401"/>
      <c r="AK8" s="408"/>
      <c r="AL8" s="401"/>
      <c r="AM8" s="401"/>
      <c r="AN8" s="401"/>
      <c r="AO8" s="401"/>
      <c r="AP8" s="401"/>
      <c r="AQ8" s="401"/>
      <c r="AR8" s="401"/>
      <c r="AS8" s="401"/>
      <c r="AT8" s="401"/>
      <c r="AU8" s="401"/>
      <c r="AV8" s="401"/>
      <c r="AW8" s="401"/>
      <c r="AX8" s="401"/>
      <c r="AY8" s="30" t="s">
        <v>88</v>
      </c>
      <c r="AZ8" s="30" t="s">
        <v>89</v>
      </c>
      <c r="BA8" s="30" t="s">
        <v>90</v>
      </c>
      <c r="BB8" s="401"/>
      <c r="BC8" s="401"/>
      <c r="BD8" s="401"/>
      <c r="BE8" s="401"/>
      <c r="BF8" s="401"/>
      <c r="BG8" s="401"/>
      <c r="BH8" s="401"/>
      <c r="BI8" s="401"/>
      <c r="BJ8" s="401"/>
      <c r="BK8" s="401"/>
      <c r="BL8" s="401"/>
      <c r="BM8" s="401"/>
      <c r="BN8" s="401"/>
      <c r="BO8" s="401"/>
      <c r="BP8" s="401"/>
      <c r="BQ8" s="401"/>
      <c r="BR8" s="401"/>
      <c r="BS8" s="401"/>
      <c r="BT8" s="401"/>
      <c r="BU8" s="408"/>
      <c r="BW8" s="411"/>
      <c r="BX8" s="23" t="s">
        <v>91</v>
      </c>
      <c r="BY8" s="23" t="s">
        <v>92</v>
      </c>
      <c r="BZ8" s="23" t="s">
        <v>93</v>
      </c>
      <c r="CA8" s="24" t="s">
        <v>94</v>
      </c>
      <c r="CB8" s="399"/>
      <c r="CC8" s="399"/>
      <c r="CD8" s="399"/>
      <c r="CF8" s="50"/>
      <c r="CH8" s="46"/>
      <c r="CI8" s="47"/>
    </row>
    <row r="9" spans="1:87" s="122" customFormat="1" ht="11">
      <c r="A9" s="4">
        <v>1</v>
      </c>
      <c r="B9" s="5">
        <f>A9+1</f>
        <v>2</v>
      </c>
      <c r="C9" s="5">
        <f>B9+1</f>
        <v>3</v>
      </c>
      <c r="D9" s="5">
        <f>C9+1</f>
        <v>4</v>
      </c>
      <c r="E9" s="5"/>
      <c r="F9" s="5">
        <f>D9+1</f>
        <v>5</v>
      </c>
      <c r="G9" s="5">
        <f t="shared" ref="G9:AV9" si="0">F9+1</f>
        <v>6</v>
      </c>
      <c r="H9" s="5">
        <f t="shared" si="0"/>
        <v>7</v>
      </c>
      <c r="I9" s="5">
        <f t="shared" si="0"/>
        <v>8</v>
      </c>
      <c r="J9" s="5">
        <f t="shared" si="0"/>
        <v>9</v>
      </c>
      <c r="K9" s="5">
        <f t="shared" si="0"/>
        <v>10</v>
      </c>
      <c r="L9" s="5">
        <f t="shared" si="0"/>
        <v>11</v>
      </c>
      <c r="M9" s="5">
        <f t="shared" si="0"/>
        <v>12</v>
      </c>
      <c r="N9" s="5">
        <f t="shared" si="0"/>
        <v>13</v>
      </c>
      <c r="O9" s="5">
        <f t="shared" si="0"/>
        <v>14</v>
      </c>
      <c r="P9" s="5">
        <f t="shared" si="0"/>
        <v>15</v>
      </c>
      <c r="Q9" s="5">
        <f t="shared" si="0"/>
        <v>16</v>
      </c>
      <c r="R9" s="5">
        <f t="shared" si="0"/>
        <v>17</v>
      </c>
      <c r="S9" s="5">
        <f t="shared" si="0"/>
        <v>18</v>
      </c>
      <c r="T9" s="5">
        <f t="shared" si="0"/>
        <v>19</v>
      </c>
      <c r="U9" s="5">
        <f t="shared" si="0"/>
        <v>20</v>
      </c>
      <c r="V9" s="5">
        <f t="shared" si="0"/>
        <v>21</v>
      </c>
      <c r="W9" s="5">
        <f t="shared" si="0"/>
        <v>22</v>
      </c>
      <c r="X9" s="5">
        <f t="shared" si="0"/>
        <v>23</v>
      </c>
      <c r="Y9" s="5">
        <f t="shared" si="0"/>
        <v>24</v>
      </c>
      <c r="Z9" s="5">
        <f t="shared" si="0"/>
        <v>25</v>
      </c>
      <c r="AA9" s="5">
        <f t="shared" si="0"/>
        <v>26</v>
      </c>
      <c r="AB9" s="5">
        <f t="shared" si="0"/>
        <v>27</v>
      </c>
      <c r="AC9" s="5">
        <f t="shared" si="0"/>
        <v>28</v>
      </c>
      <c r="AD9" s="5">
        <f t="shared" si="0"/>
        <v>29</v>
      </c>
      <c r="AE9" s="5">
        <f t="shared" si="0"/>
        <v>30</v>
      </c>
      <c r="AF9" s="5">
        <f t="shared" si="0"/>
        <v>31</v>
      </c>
      <c r="AG9" s="5">
        <f t="shared" si="0"/>
        <v>32</v>
      </c>
      <c r="AH9" s="5">
        <f t="shared" si="0"/>
        <v>33</v>
      </c>
      <c r="AI9" s="5">
        <f t="shared" si="0"/>
        <v>34</v>
      </c>
      <c r="AJ9" s="5">
        <f t="shared" si="0"/>
        <v>35</v>
      </c>
      <c r="AK9" s="5">
        <f t="shared" si="0"/>
        <v>36</v>
      </c>
      <c r="AL9" s="5">
        <f t="shared" si="0"/>
        <v>37</v>
      </c>
      <c r="AM9" s="5">
        <f t="shared" si="0"/>
        <v>38</v>
      </c>
      <c r="AN9" s="5">
        <f t="shared" si="0"/>
        <v>39</v>
      </c>
      <c r="AO9" s="5">
        <f t="shared" si="0"/>
        <v>40</v>
      </c>
      <c r="AP9" s="5">
        <f t="shared" si="0"/>
        <v>41</v>
      </c>
      <c r="AQ9" s="5">
        <f t="shared" si="0"/>
        <v>42</v>
      </c>
      <c r="AR9" s="5">
        <f t="shared" si="0"/>
        <v>43</v>
      </c>
      <c r="AS9" s="5">
        <f t="shared" si="0"/>
        <v>44</v>
      </c>
      <c r="AT9" s="5">
        <f t="shared" si="0"/>
        <v>45</v>
      </c>
      <c r="AU9" s="5">
        <f t="shared" si="0"/>
        <v>46</v>
      </c>
      <c r="AV9" s="5">
        <f t="shared" si="0"/>
        <v>47</v>
      </c>
      <c r="AW9" s="5"/>
      <c r="AX9" s="5"/>
      <c r="AY9" s="5">
        <f>AV9+1</f>
        <v>48</v>
      </c>
      <c r="AZ9" s="5">
        <f t="shared" ref="AZ9:BE9" si="1">AY9+1</f>
        <v>49</v>
      </c>
      <c r="BA9" s="5">
        <f t="shared" si="1"/>
        <v>50</v>
      </c>
      <c r="BB9" s="5">
        <f t="shared" si="1"/>
        <v>51</v>
      </c>
      <c r="BC9" s="5">
        <f t="shared" si="1"/>
        <v>52</v>
      </c>
      <c r="BD9" s="5">
        <f t="shared" si="1"/>
        <v>53</v>
      </c>
      <c r="BE9" s="5">
        <f t="shared" si="1"/>
        <v>54</v>
      </c>
      <c r="BF9" s="5"/>
      <c r="BG9" s="5"/>
      <c r="BH9" s="5"/>
      <c r="BI9" s="5"/>
      <c r="BJ9" s="5">
        <f>BE9+1</f>
        <v>55</v>
      </c>
      <c r="BK9" s="5">
        <f>BJ9+1</f>
        <v>56</v>
      </c>
      <c r="BL9" s="5">
        <f>BK9+1</f>
        <v>57</v>
      </c>
      <c r="BM9" s="5">
        <f>BL9+1</f>
        <v>58</v>
      </c>
      <c r="BN9" s="5">
        <f>BM9+1</f>
        <v>59</v>
      </c>
      <c r="BO9" s="5"/>
      <c r="BP9" s="5">
        <f>BN9+1</f>
        <v>60</v>
      </c>
      <c r="BQ9" s="5">
        <f>BP9+1</f>
        <v>61</v>
      </c>
      <c r="BR9" s="5">
        <f>BQ9+1</f>
        <v>62</v>
      </c>
      <c r="BS9" s="5"/>
      <c r="BT9" s="5">
        <f>BR9+1</f>
        <v>63</v>
      </c>
      <c r="BU9" s="5">
        <f>BT9+1</f>
        <v>64</v>
      </c>
      <c r="BW9" s="32" t="s">
        <v>95</v>
      </c>
      <c r="BX9" s="5">
        <f t="shared" ref="BX9:CD9" si="2">BW9+1</f>
        <v>66</v>
      </c>
      <c r="BY9" s="5">
        <f t="shared" si="2"/>
        <v>67</v>
      </c>
      <c r="BZ9" s="5">
        <f t="shared" si="2"/>
        <v>68</v>
      </c>
      <c r="CA9" s="5">
        <f t="shared" si="2"/>
        <v>69</v>
      </c>
      <c r="CB9" s="5">
        <f t="shared" si="2"/>
        <v>70</v>
      </c>
      <c r="CC9" s="5">
        <f t="shared" si="2"/>
        <v>71</v>
      </c>
      <c r="CD9" s="5">
        <f t="shared" si="2"/>
        <v>72</v>
      </c>
      <c r="CG9" s="45"/>
      <c r="CH9" s="46"/>
      <c r="CI9" s="47"/>
    </row>
    <row r="10" spans="1:87" s="123" customFormat="1" ht="11">
      <c r="A10" s="26" t="s">
        <v>96</v>
      </c>
      <c r="B10" s="26" t="s">
        <v>96</v>
      </c>
      <c r="C10" s="26" t="s">
        <v>96</v>
      </c>
      <c r="D10" s="5"/>
      <c r="E10" s="5"/>
      <c r="F10" s="5"/>
      <c r="G10" s="26" t="s">
        <v>96</v>
      </c>
      <c r="H10" s="26" t="s">
        <v>96</v>
      </c>
      <c r="I10" s="26" t="s">
        <v>96</v>
      </c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  <c r="AQ10" s="25"/>
      <c r="AR10" s="25"/>
      <c r="AS10" s="25"/>
      <c r="AT10" s="25"/>
      <c r="AU10" s="25"/>
      <c r="AV10" s="25"/>
      <c r="AW10" s="25"/>
      <c r="AX10" s="25"/>
      <c r="AY10" s="25"/>
      <c r="AZ10" s="25"/>
      <c r="BA10" s="25"/>
      <c r="BB10" s="25"/>
      <c r="BC10" s="25"/>
      <c r="BD10" s="25"/>
      <c r="BE10" s="25"/>
      <c r="BF10" s="25"/>
      <c r="BG10" s="25"/>
      <c r="BH10" s="25"/>
      <c r="BI10" s="25"/>
      <c r="BJ10" s="25"/>
      <c r="BK10" s="25"/>
      <c r="BL10" s="25"/>
      <c r="BM10" s="25"/>
      <c r="BN10" s="25"/>
      <c r="BO10" s="25"/>
      <c r="BP10" s="25"/>
      <c r="BQ10" s="25"/>
      <c r="BR10" s="25"/>
      <c r="BS10" s="25"/>
      <c r="BT10" s="25"/>
      <c r="BU10" s="31"/>
      <c r="BW10" s="33"/>
      <c r="BX10" s="25"/>
      <c r="BY10" s="25"/>
      <c r="BZ10" s="25"/>
      <c r="CA10" s="25"/>
      <c r="CB10" s="25"/>
      <c r="CC10" s="25"/>
      <c r="CD10" s="25"/>
      <c r="CG10" s="42"/>
      <c r="CH10" s="46"/>
      <c r="CI10" s="47"/>
    </row>
    <row r="11" spans="1:87" s="62" customFormat="1" ht="11">
      <c r="A11" s="54"/>
      <c r="B11" s="55"/>
      <c r="C11" s="55"/>
      <c r="D11" s="56"/>
      <c r="E11" s="56"/>
      <c r="F11" s="56"/>
      <c r="G11" s="55">
        <f>SUM(G12:G14)</f>
        <v>23500000</v>
      </c>
      <c r="H11" s="55">
        <f>SUM(H12:H14)</f>
        <v>300000</v>
      </c>
      <c r="I11" s="55">
        <f>SUM(I12:I14)</f>
        <v>78200000</v>
      </c>
      <c r="J11" s="55"/>
      <c r="K11" s="57">
        <f>SUM(K12:K14)</f>
        <v>32.5</v>
      </c>
      <c r="L11" s="57"/>
      <c r="M11" s="57"/>
      <c r="N11" s="57"/>
      <c r="O11" s="57"/>
      <c r="P11" s="57"/>
      <c r="Q11" s="57"/>
      <c r="R11" s="57">
        <f>SUM(R12:R14)</f>
        <v>4</v>
      </c>
      <c r="S11" s="57">
        <f>SUM(S12:S14)</f>
        <v>0</v>
      </c>
      <c r="T11" s="57"/>
      <c r="U11" s="57">
        <f>SUM(U12:U14)</f>
        <v>0</v>
      </c>
      <c r="V11" s="57">
        <f>SUM(V12:V14)</f>
        <v>0</v>
      </c>
      <c r="W11" s="57">
        <f>SUM(W12:W14)</f>
        <v>0</v>
      </c>
      <c r="X11" s="57">
        <f>SUM(X12:X14)</f>
        <v>0</v>
      </c>
      <c r="Y11" s="55">
        <f>SUM(Y12:Y14)</f>
        <v>9807884.615384616</v>
      </c>
      <c r="Z11" s="55"/>
      <c r="AA11" s="55"/>
      <c r="AB11" s="55"/>
      <c r="AC11" s="55">
        <f>SUM(AC12:AC14)</f>
        <v>0</v>
      </c>
      <c r="AD11" s="55">
        <f>SUM(AD12:AD14)</f>
        <v>0</v>
      </c>
      <c r="AE11" s="55"/>
      <c r="AF11" s="55">
        <f t="shared" ref="AF11:AO11" si="3">SUM(AF12:AF14)</f>
        <v>0</v>
      </c>
      <c r="AG11" s="55">
        <f t="shared" si="3"/>
        <v>0</v>
      </c>
      <c r="AH11" s="55">
        <f t="shared" si="3"/>
        <v>0</v>
      </c>
      <c r="AI11" s="55">
        <f t="shared" si="3"/>
        <v>0</v>
      </c>
      <c r="AJ11" s="55">
        <f t="shared" si="3"/>
        <v>0</v>
      </c>
      <c r="AK11" s="55">
        <f t="shared" si="3"/>
        <v>0</v>
      </c>
      <c r="AL11" s="55">
        <f t="shared" si="3"/>
        <v>0</v>
      </c>
      <c r="AM11" s="55">
        <f t="shared" si="3"/>
        <v>0</v>
      </c>
      <c r="AN11" s="55">
        <f t="shared" si="3"/>
        <v>126923.07692307694</v>
      </c>
      <c r="AO11" s="55">
        <f t="shared" si="3"/>
        <v>41270769.230769232</v>
      </c>
      <c r="AP11" s="55"/>
      <c r="AQ11" s="55"/>
      <c r="AR11" s="55"/>
      <c r="AS11" s="55"/>
      <c r="AT11" s="55"/>
      <c r="AU11" s="55"/>
      <c r="AV11" s="55">
        <f>SUM(AV12:AV14)</f>
        <v>56373846.15384616</v>
      </c>
      <c r="AW11" s="55"/>
      <c r="AX11" s="55"/>
      <c r="AY11" s="55">
        <f>SUM(AY12:AY14)</f>
        <v>1904000</v>
      </c>
      <c r="AZ11" s="55">
        <f>SUM(AZ12:AZ14)</f>
        <v>357000</v>
      </c>
      <c r="BA11" s="55">
        <f>SUM(BA12:BA14)</f>
        <v>238000</v>
      </c>
      <c r="BB11" s="55">
        <f>SUM(BB12:BB14)</f>
        <v>2499000</v>
      </c>
      <c r="BC11" s="55">
        <f>SUM(BC12:BC14)</f>
        <v>0</v>
      </c>
      <c r="BD11" s="55"/>
      <c r="BE11" s="55">
        <f>SUM(BE12:BE14)</f>
        <v>235000</v>
      </c>
      <c r="BF11" s="55"/>
      <c r="BG11" s="55"/>
      <c r="BH11" s="55"/>
      <c r="BI11" s="55"/>
      <c r="BJ11" s="55">
        <f>SUM(BJ12:BJ14)</f>
        <v>511631</v>
      </c>
      <c r="BK11" s="55">
        <f>SUM(BK12:BK14)</f>
        <v>0</v>
      </c>
      <c r="BL11" s="55">
        <f>SUM(BL12:BL14)</f>
        <v>0</v>
      </c>
      <c r="BM11" s="55">
        <f>SUM(BM12:BM14)</f>
        <v>0</v>
      </c>
      <c r="BN11" s="55">
        <f>SUM(BN12:BN14)</f>
        <v>0</v>
      </c>
      <c r="BO11" s="55"/>
      <c r="BP11" s="55">
        <f>SUM(BP12:BP14)</f>
        <v>0</v>
      </c>
      <c r="BQ11" s="55"/>
      <c r="BR11" s="55"/>
      <c r="BS11" s="55"/>
      <c r="BT11" s="55">
        <f>SUM(BT12:BT14)</f>
        <v>45099076.923076928</v>
      </c>
      <c r="BU11" s="59">
        <f>SUM(BU12:BU14)</f>
        <v>0</v>
      </c>
      <c r="BW11" s="60"/>
      <c r="BX11" s="61"/>
      <c r="BY11" s="61"/>
      <c r="BZ11" s="61"/>
      <c r="CA11" s="61"/>
      <c r="CB11" s="61"/>
      <c r="CC11" s="61"/>
      <c r="CD11" s="61"/>
    </row>
    <row r="12" spans="1:87" s="80" customFormat="1" ht="11">
      <c r="A12" s="63">
        <f>IF(B12=0,"",COUNTA($B$12:(B12)))</f>
        <v>1</v>
      </c>
      <c r="B12" s="64">
        <v>123456</v>
      </c>
      <c r="C12" s="65" t="s">
        <v>120</v>
      </c>
      <c r="D12" s="66" t="s">
        <v>148</v>
      </c>
      <c r="E12" s="66" t="s">
        <v>99</v>
      </c>
      <c r="F12" s="66" t="str">
        <f>IF(BW12&gt;=18000000,"LT","LN")</f>
        <v>LT</v>
      </c>
      <c r="G12" s="69">
        <v>9520000</v>
      </c>
      <c r="H12" s="69">
        <f>+IF(OR(CC12="ĐT PCCC",CC12="ĐP PCCC"),780000,IF(CC12="AT-VSV",300000,0))</f>
        <v>0</v>
      </c>
      <c r="I12" s="69">
        <f>CB12-BZ12-G12-H12</f>
        <v>50480000</v>
      </c>
      <c r="J12" s="70">
        <v>1</v>
      </c>
      <c r="K12" s="71">
        <v>11</v>
      </c>
      <c r="L12" s="71"/>
      <c r="M12" s="71"/>
      <c r="N12" s="71"/>
      <c r="O12" s="71">
        <v>2</v>
      </c>
      <c r="P12" s="71"/>
      <c r="Q12" s="71"/>
      <c r="R12" s="71">
        <v>0</v>
      </c>
      <c r="S12" s="71">
        <v>0</v>
      </c>
      <c r="T12" s="71"/>
      <c r="U12" s="71">
        <v>0</v>
      </c>
      <c r="V12" s="71">
        <v>0</v>
      </c>
      <c r="W12" s="71">
        <v>0</v>
      </c>
      <c r="X12" s="71">
        <v>0</v>
      </c>
      <c r="Y12" s="69">
        <f>G12*(K12+L12)/26</f>
        <v>4027692.3076923075</v>
      </c>
      <c r="Z12" s="69">
        <f>M12*G12/26</f>
        <v>0</v>
      </c>
      <c r="AA12" s="69">
        <f>G12*N12/26</f>
        <v>0</v>
      </c>
      <c r="AB12" s="69">
        <f>G12*O12/26</f>
        <v>732307.69230769225</v>
      </c>
      <c r="AC12" s="69">
        <f>G12*P12*150%/26</f>
        <v>0</v>
      </c>
      <c r="AD12" s="69">
        <f>G12*Q12/26*200%</f>
        <v>0</v>
      </c>
      <c r="AE12" s="69">
        <f>G12*R12/26*300%</f>
        <v>0</v>
      </c>
      <c r="AF12" s="69">
        <f>IF(F12="LT",0,(G12+H12)/26*S12*30%)</f>
        <v>0</v>
      </c>
      <c r="AG12" s="69">
        <f>T12*G12/23/8</f>
        <v>0</v>
      </c>
      <c r="AH12" s="69">
        <f>CB12/26*U12</f>
        <v>0</v>
      </c>
      <c r="AI12" s="69">
        <f>G12*V12/26</f>
        <v>0</v>
      </c>
      <c r="AJ12" s="69"/>
      <c r="AK12" s="69">
        <f>BZ12*L12/26</f>
        <v>0</v>
      </c>
      <c r="AL12" s="69"/>
      <c r="AM12" s="69">
        <f>X12*CD12</f>
        <v>0</v>
      </c>
      <c r="AN12" s="69">
        <f>H12/26*(K12+L12)</f>
        <v>0</v>
      </c>
      <c r="AO12" s="69">
        <f>IF(F12="LN",I12*(K12+L12)/26+(H12+I12)*50%*M12/26+IF(F12="LT",BW12*O12/26-AB12,0)+MAX($G12*P12/26*150%,P12*$BW12/26)-AC12+MAX($G12*Q12/26*200%,Q12*$BW12/26)-AD12+MAX($G12*R12/26*300%,R12*$BW12/26)-AE12+BW12*S12/26-AF12+AH12-AG12,I12-I12*($CF$3-K12-L12)/26+(H12+I12)*50%*M12/26+IF(F12="LT",BW12*O12/26-AB12,0)+MAX($G12*P12/26*150%,P12*$BW12/26)-AC12+MAX($G12*Q12/26*200%,Q12*$BW12/26)-AD12+MAX($G12*R12/26*300%,R12*$BW12/26)-AE12+BW12*S12/26-AF12+AH12-AG12+(G12-G12*($CF$3-K12-L12)/26-Y12)+(H12-H12*($CF$3-K12-L12)/26-AN12))</f>
        <v>27547692.307692312</v>
      </c>
      <c r="AP12" s="69"/>
      <c r="AQ12" s="69"/>
      <c r="AR12" s="69"/>
      <c r="AS12" s="69"/>
      <c r="AT12" s="69"/>
      <c r="AU12" s="69"/>
      <c r="AV12" s="73">
        <f>Y12+Z12+AA12+AB12+AC12+AD12+AE12+AF12+AG12+AI12+AJ12+AK12+AL12+AM12+AN12+AO12+AP12-AQ12+AR12+AS12+AT12+AU12</f>
        <v>32307692.307692312</v>
      </c>
      <c r="AW12" s="73"/>
      <c r="AX12" s="73" t="s">
        <v>101</v>
      </c>
      <c r="AY12" s="74">
        <f t="shared" ref="AY12:BA14" si="4">ROUND(IF($AX12="x",($G12+$H12)*AY$8,0),0)</f>
        <v>761600</v>
      </c>
      <c r="AZ12" s="74">
        <f t="shared" si="4"/>
        <v>142800</v>
      </c>
      <c r="BA12" s="74">
        <f t="shared" si="4"/>
        <v>95200</v>
      </c>
      <c r="BB12" s="74">
        <f>SUM(AY12:BA12)</f>
        <v>999600</v>
      </c>
      <c r="BC12" s="74"/>
      <c r="BD12" s="74"/>
      <c r="BE12" s="74">
        <f>IF(G12*1%&gt;=234000,234000,G12*1%)</f>
        <v>95200</v>
      </c>
      <c r="BF12" s="74">
        <f>AM12+IF(AR12&gt;=730000,730000,AR12)+IF(((AV12-AM12-IF(AR12&gt;=730000,730000,AR12)-AS12)*15%-AS12)&gt;"0",((AV12-AM12-IF(AR12&gt;=730000,730000,AR12)-AS12)*15%-AS12),0)</f>
        <v>0</v>
      </c>
      <c r="BG12" s="74">
        <f>AV12-BF12+AW12</f>
        <v>32307692.307692312</v>
      </c>
      <c r="BH12" s="74">
        <v>3</v>
      </c>
      <c r="BI12" s="74">
        <f>BG12-BB12-BC12+BD12-BH12*4400000-IF(E12="CT",11000000,0)</f>
        <v>7108092.3076923117</v>
      </c>
      <c r="BJ12" s="61">
        <f>IF(BI12&gt;0,ROUND(IF(BI12&gt;=80000000,BI12*35%-9850000,IF(BI12&gt;=52000000,BI12*30%-5850000,IF(BI12&gt;=32000000,BI12*25%-3250000,IF(BI12&gt;=18000000,BI12*20%-1650000,IF(BI12&gt;=10000000,BI12*15%-750000,IF(BI12&gt;5000000,BI12*10%-250000,BI12*5%)))))),0),0)</f>
        <v>460809</v>
      </c>
      <c r="BK12" s="74"/>
      <c r="BL12" s="74"/>
      <c r="BM12" s="74">
        <v>0</v>
      </c>
      <c r="BN12" s="74"/>
      <c r="BO12" s="74"/>
      <c r="BP12" s="74"/>
      <c r="BQ12" s="74"/>
      <c r="BR12" s="74"/>
      <c r="BS12" s="74" t="str">
        <f>IF(AV12&gt;=11000000,"80%","100%")</f>
        <v>80%</v>
      </c>
      <c r="BT12" s="74">
        <f>AV12*BS12-BN12-BK12-BP12-BO12</f>
        <v>25846153.846153852</v>
      </c>
      <c r="BU12" s="75"/>
      <c r="BW12" s="60">
        <v>60000000</v>
      </c>
      <c r="BX12" s="61">
        <v>0</v>
      </c>
      <c r="BY12" s="61"/>
      <c r="BZ12" s="61"/>
      <c r="CA12" s="61">
        <v>0</v>
      </c>
      <c r="CB12" s="61">
        <f>SUM(BW12:CA12)</f>
        <v>60000000</v>
      </c>
      <c r="CC12" s="61" t="s">
        <v>122</v>
      </c>
      <c r="CD12" s="61"/>
      <c r="CE12" s="76"/>
      <c r="CF12" s="77"/>
      <c r="CG12" s="77"/>
      <c r="CH12" s="78"/>
      <c r="CI12" s="79"/>
    </row>
    <row r="13" spans="1:87" s="80" customFormat="1" ht="11">
      <c r="A13" s="63">
        <f>IF(B13=0,"",COUNTA($B$12:(B13)))</f>
        <v>2</v>
      </c>
      <c r="B13" s="64">
        <v>3562789</v>
      </c>
      <c r="C13" s="65" t="s">
        <v>123</v>
      </c>
      <c r="D13" s="66" t="s">
        <v>149</v>
      </c>
      <c r="E13" s="66" t="s">
        <v>99</v>
      </c>
      <c r="F13" s="66" t="str">
        <f>IF(BW13&gt;=18000000,"LT","LN")</f>
        <v>LT</v>
      </c>
      <c r="G13" s="69">
        <v>6990000</v>
      </c>
      <c r="H13" s="69">
        <f>+IF(OR(CC13="ĐT PCCC",CC13="ĐP PCCC"),780000,IF(CC13="AT-VSV",300000,0))</f>
        <v>0</v>
      </c>
      <c r="I13" s="69">
        <f>CB13-BZ13-G13-H13</f>
        <v>17160000</v>
      </c>
      <c r="J13" s="70">
        <v>1</v>
      </c>
      <c r="K13" s="71">
        <v>10.5</v>
      </c>
      <c r="L13" s="71"/>
      <c r="M13" s="71">
        <v>0.5</v>
      </c>
      <c r="N13" s="71"/>
      <c r="O13" s="71">
        <v>2</v>
      </c>
      <c r="P13" s="71"/>
      <c r="Q13" s="71"/>
      <c r="R13" s="71">
        <v>0</v>
      </c>
      <c r="S13" s="71">
        <v>0</v>
      </c>
      <c r="T13" s="71"/>
      <c r="U13" s="71">
        <v>0</v>
      </c>
      <c r="V13" s="71">
        <v>0</v>
      </c>
      <c r="W13" s="71">
        <v>0</v>
      </c>
      <c r="X13" s="71">
        <v>0</v>
      </c>
      <c r="Y13" s="69">
        <f>G13*(K13+L13)/26</f>
        <v>2822884.6153846155</v>
      </c>
      <c r="Z13" s="69">
        <f>M13*G13/26</f>
        <v>134423.07692307694</v>
      </c>
      <c r="AA13" s="69">
        <f>G13*N13/26</f>
        <v>0</v>
      </c>
      <c r="AB13" s="69">
        <f>G13*O13/26</f>
        <v>537692.30769230775</v>
      </c>
      <c r="AC13" s="69">
        <f>G13*P13*150%/26</f>
        <v>0</v>
      </c>
      <c r="AD13" s="69">
        <f>G13*Q13/26*200%</f>
        <v>0</v>
      </c>
      <c r="AE13" s="69">
        <f>G13*R13/26*300%</f>
        <v>0</v>
      </c>
      <c r="AF13" s="69">
        <f>IF(F13="LT",0,(G13+H13)/26*S13*30%)</f>
        <v>0</v>
      </c>
      <c r="AG13" s="69">
        <f>T13*G13/23/8</f>
        <v>0</v>
      </c>
      <c r="AH13" s="69">
        <f>CB13/26*U13</f>
        <v>0</v>
      </c>
      <c r="AI13" s="69">
        <f>G13*V13/26</f>
        <v>0</v>
      </c>
      <c r="AJ13" s="69"/>
      <c r="AK13" s="69">
        <f>BZ13*L13/26</f>
        <v>0</v>
      </c>
      <c r="AL13" s="69"/>
      <c r="AM13" s="69">
        <f>X13*CD13</f>
        <v>0</v>
      </c>
      <c r="AN13" s="69">
        <f>H13/26*K13</f>
        <v>0</v>
      </c>
      <c r="AO13" s="69">
        <f>IF(F13="LN",I13*(K13+L13)/26+(H13+I13)*50%*M13/26+IF(F13="LT",BW13*O13/26-AB13,0)+MAX($G13*P13/26*150%,P13*$BW13/26)-AC13+MAX($G13*Q13/26*200%,Q13*$BW13/26)-AD13+MAX($G13*R13/26*300%,R13*$BW13/26)-AE13+BW13*S13/26-AF13+AH13-AG13,I13-I13*($CF$3-K13-L13)/26+(H13+I13)*50%*M13/26+IF(F13="LT",BW13*O13/26-AB13,0)+MAX($G13*P13/26*150%,P13*$BW13/26)-AC13+MAX($G13*Q13/26*200%,Q13*$BW13/26)-AD13+MAX($G13*R13/26*300%,R13*$BW13/26)-AE13+BW13*S13/26-AF13+AH13-AG13+(G13-G13*($CF$3-K13-L13)/26-Y13)+(H13-H13*($CF$3-K13-L13)/26-AN13))</f>
        <v>9255384.615384616</v>
      </c>
      <c r="AP13" s="69"/>
      <c r="AQ13" s="69"/>
      <c r="AR13" s="69"/>
      <c r="AS13" s="69"/>
      <c r="AT13" s="69"/>
      <c r="AU13" s="69"/>
      <c r="AV13" s="73">
        <f>Y13+Z13+AA13+AB13+AC13+AD13+AE13+AF13+AG13+AI13+AJ13+AK13+AL13+AM13+AN13+AO13+AP13-AQ13+AR13+AS13+AT13+AU13</f>
        <v>12750384.615384616</v>
      </c>
      <c r="AW13" s="73"/>
      <c r="AX13" s="73" t="s">
        <v>101</v>
      </c>
      <c r="AY13" s="74">
        <f t="shared" si="4"/>
        <v>559200</v>
      </c>
      <c r="AZ13" s="74">
        <f t="shared" si="4"/>
        <v>104850</v>
      </c>
      <c r="BA13" s="74">
        <f t="shared" si="4"/>
        <v>69900</v>
      </c>
      <c r="BB13" s="74">
        <f>SUM(AY13:BA13)</f>
        <v>733950</v>
      </c>
      <c r="BC13" s="74"/>
      <c r="BD13" s="74"/>
      <c r="BE13" s="74">
        <f>IF(G13*1%&gt;=234000,234000,G13*1%)</f>
        <v>69900</v>
      </c>
      <c r="BF13" s="74">
        <f>AM13+IF(AR13&gt;=730000,730000,AR13)+IF(((AV13-AM13-IF(AR13&gt;=730000,730000,AR13)-AS13)*15%-AS13)&gt;"0",((AV13-AM13-IF(AR13&gt;=730000,730000,AR13)-AS13)*15%-AS13),0)</f>
        <v>0</v>
      </c>
      <c r="BG13" s="74">
        <f>AV13-BF13+AW13</f>
        <v>12750384.615384616</v>
      </c>
      <c r="BH13" s="74"/>
      <c r="BI13" s="74">
        <f>BG13-BB13-BC13+BD13-BH13*4400000-IF(E13="CT",11000000,0)</f>
        <v>1016434.615384616</v>
      </c>
      <c r="BJ13" s="61">
        <f>IF(BI13&gt;0,ROUND(IF(BI13&gt;=80000000,BI13*35%-9850000,IF(BI13&gt;=52000000,BI13*30%-5850000,IF(BI13&gt;=32000000,BI13*25%-3250000,IF(BI13&gt;=18000000,BI13*20%-1650000,IF(BI13&gt;=10000000,BI13*15%-750000,IF(BI13&gt;5000000,BI13*10%-250000,BI13*5%)))))),0),0)</f>
        <v>50822</v>
      </c>
      <c r="BK13" s="74"/>
      <c r="BL13" s="74"/>
      <c r="BM13" s="74">
        <v>0</v>
      </c>
      <c r="BN13" s="74"/>
      <c r="BO13" s="74"/>
      <c r="BP13" s="74"/>
      <c r="BQ13" s="74"/>
      <c r="BR13" s="74"/>
      <c r="BS13" s="74" t="str">
        <f>IF(AV13&gt;=11000000,"80%","100%")</f>
        <v>80%</v>
      </c>
      <c r="BT13" s="74">
        <f>AV13*BS13-BN13-BK13-BP13-BO13</f>
        <v>10200307.692307694</v>
      </c>
      <c r="BU13" s="75"/>
      <c r="BW13" s="60">
        <v>23000000</v>
      </c>
      <c r="BX13" s="61">
        <v>0</v>
      </c>
      <c r="BY13" s="61">
        <v>0</v>
      </c>
      <c r="BZ13" s="61"/>
      <c r="CA13" s="61">
        <f>+BW13*5%</f>
        <v>1150000</v>
      </c>
      <c r="CB13" s="61">
        <f>SUM(BW13:CA13)</f>
        <v>24150000</v>
      </c>
      <c r="CC13" s="61" t="s">
        <v>114</v>
      </c>
      <c r="CD13" s="61"/>
      <c r="CE13" s="76"/>
      <c r="CF13" s="77"/>
      <c r="CG13" s="77"/>
      <c r="CH13" s="78"/>
      <c r="CI13" s="79"/>
    </row>
    <row r="14" spans="1:87" s="80" customFormat="1" ht="11">
      <c r="A14" s="63">
        <f>IF(B14=0,"",COUNTA($B$12:(B14)))</f>
        <v>3</v>
      </c>
      <c r="B14" s="81" t="s">
        <v>124</v>
      </c>
      <c r="C14" s="65" t="s">
        <v>125</v>
      </c>
      <c r="D14" s="66" t="s">
        <v>149</v>
      </c>
      <c r="E14" s="66" t="s">
        <v>99</v>
      </c>
      <c r="F14" s="66" t="str">
        <f>IF(BW14&gt;=18000000,"LT","LN")</f>
        <v>LN</v>
      </c>
      <c r="G14" s="69">
        <v>6990000</v>
      </c>
      <c r="H14" s="69">
        <f>+IF(OR(CC14="ĐT PCCC",CC14="ĐP PCCC"),780000,IF(CC14="AT-VSV",300000,0))</f>
        <v>300000</v>
      </c>
      <c r="I14" s="69">
        <f>CB14-BZ14-G14-H14</f>
        <v>10560000</v>
      </c>
      <c r="J14" s="70">
        <v>1</v>
      </c>
      <c r="K14" s="71">
        <v>11</v>
      </c>
      <c r="L14" s="71"/>
      <c r="M14" s="71"/>
      <c r="N14" s="71"/>
      <c r="O14" s="71">
        <v>2</v>
      </c>
      <c r="P14" s="71"/>
      <c r="Q14" s="71"/>
      <c r="R14" s="71">
        <v>4</v>
      </c>
      <c r="S14" s="71">
        <v>0</v>
      </c>
      <c r="T14" s="71"/>
      <c r="U14" s="71">
        <v>0</v>
      </c>
      <c r="V14" s="71">
        <v>0</v>
      </c>
      <c r="W14" s="71">
        <v>0</v>
      </c>
      <c r="X14" s="71">
        <v>0</v>
      </c>
      <c r="Y14" s="69">
        <f>G14*(K14+L14)/26</f>
        <v>2957307.6923076925</v>
      </c>
      <c r="Z14" s="69">
        <f>M14*G14/26</f>
        <v>0</v>
      </c>
      <c r="AA14" s="69">
        <f>G14*N14/26</f>
        <v>0</v>
      </c>
      <c r="AB14" s="69">
        <f>G14*O14/26</f>
        <v>537692.30769230775</v>
      </c>
      <c r="AC14" s="69">
        <f>G14*P14*150%/26</f>
        <v>0</v>
      </c>
      <c r="AD14" s="69">
        <f>G14*Q14/26*200%</f>
        <v>0</v>
      </c>
      <c r="AE14" s="69">
        <f>G14*R14/26*300%</f>
        <v>3226153.8461538465</v>
      </c>
      <c r="AF14" s="69">
        <f>IF(F14="LT",0,(G14+H14)/26*S14*30%)</f>
        <v>0</v>
      </c>
      <c r="AG14" s="69">
        <f>T14*G14/23/8</f>
        <v>0</v>
      </c>
      <c r="AH14" s="69">
        <f>CB14/26*U14</f>
        <v>0</v>
      </c>
      <c r="AI14" s="69">
        <f>G14*V14/26</f>
        <v>0</v>
      </c>
      <c r="AJ14" s="69"/>
      <c r="AK14" s="69">
        <f>BZ14*L14/26</f>
        <v>0</v>
      </c>
      <c r="AL14" s="69"/>
      <c r="AM14" s="69">
        <f>X14*CD14</f>
        <v>0</v>
      </c>
      <c r="AN14" s="69">
        <f>H14/26*K14</f>
        <v>126923.07692307694</v>
      </c>
      <c r="AO14" s="69">
        <f>IF(F14="LN",I14*(K14+L14)/26+(H14+I14)*50%*M14/26+IF(F14="LT",BW14*O14/26-AB14,0)+MAX($G14*P14/26*150%,P14*$BW14/26)-AC14+MAX($G14*Q14/26*200%,Q14*$BW14/26)-AD14+MAX($G14*R14/26*300%,R14*$BW14/26)-AE14+BW14*S14/26-AF14+AH14-AG14,I14-I14*($CF$3-K14-L14)/26+(H14+I14)*50%*M14/26+IF(F14="LT",BW14*O14/26-AB14,0)+MAX($G14*P14/26*150%,P14*$BW14/26)-AC14+MAX($G14*Q14/26*200%,Q14*$BW14/26)-AD14+MAX($G14*R14/26*300%,R14*$BW14/26)-AE14+BW14*S14/26-AF14+AH14-AG14+(G14-G14*($CF$3-K14-L14)/26-Y14)+(H14-H14*($CF$3-K14-L14)/26-AN14))</f>
        <v>4467692.307692308</v>
      </c>
      <c r="AP14" s="69"/>
      <c r="AQ14" s="69"/>
      <c r="AR14" s="69"/>
      <c r="AS14" s="69"/>
      <c r="AT14" s="69"/>
      <c r="AU14" s="69"/>
      <c r="AV14" s="73">
        <f>Y14+Z14+AA14+AB14+AC14+AD14+AE14+AF14+AG14+AI14+AJ14+AK14+AL14+AM14+AN14+AO14+AP14-AQ14+AR14+AS14+AT14+AU14</f>
        <v>11315769.230769232</v>
      </c>
      <c r="AW14" s="73"/>
      <c r="AX14" s="73" t="s">
        <v>101</v>
      </c>
      <c r="AY14" s="74">
        <f t="shared" si="4"/>
        <v>583200</v>
      </c>
      <c r="AZ14" s="74">
        <f t="shared" si="4"/>
        <v>109350</v>
      </c>
      <c r="BA14" s="74">
        <f t="shared" si="4"/>
        <v>72900</v>
      </c>
      <c r="BB14" s="74">
        <f>SUM(AY14:BA14)</f>
        <v>765450</v>
      </c>
      <c r="BC14" s="74"/>
      <c r="BD14" s="74"/>
      <c r="BE14" s="74">
        <f>IF(G14*1%&gt;=234000,234000,G14*1%)</f>
        <v>69900</v>
      </c>
      <c r="BF14" s="74">
        <f>AM14+IF(AR14&gt;=730000,730000,AR14)+IF(((AV14-AM14-IF(AR14&gt;=730000,730000,AR14)-AS14)*15%-AS14)&gt;"0",((AV14-AM14-IF(AR14&gt;=730000,730000,AR14)-AS14)*15%-AS14),0)</f>
        <v>0</v>
      </c>
      <c r="BG14" s="74">
        <f>AV14-BF14+AW14</f>
        <v>11315769.230769232</v>
      </c>
      <c r="BH14" s="74"/>
      <c r="BI14" s="74">
        <f>BG14-BB14-BC14+BD14-BH14*4400000-IF(E14="CT",11000000,0)</f>
        <v>-449680.76923076808</v>
      </c>
      <c r="BJ14" s="61">
        <f>IF(BI14&gt;0,ROUND(IF(BI14&gt;=80000000,BI14*35%-9850000,IF(BI14&gt;=52000000,BI14*30%-5850000,IF(BI14&gt;=32000000,BI14*25%-3250000,IF(BI14&gt;=18000000,BI14*20%-1650000,IF(BI14&gt;=10000000,BI14*15%-750000,IF(BI14&gt;5000000,BI14*10%-250000,BI14*5%)))))),0),0)</f>
        <v>0</v>
      </c>
      <c r="BK14" s="74"/>
      <c r="BL14" s="74"/>
      <c r="BM14" s="74">
        <v>0</v>
      </c>
      <c r="BN14" s="74"/>
      <c r="BO14" s="74"/>
      <c r="BP14" s="74"/>
      <c r="BQ14" s="74"/>
      <c r="BR14" s="74"/>
      <c r="BS14" s="74" t="str">
        <f>IF(AV14&gt;=11000000,"80%","100%")</f>
        <v>80%</v>
      </c>
      <c r="BT14" s="74">
        <f>AV14*BS14-BN14-BK14-BP14-BO14</f>
        <v>9052615.3846153859</v>
      </c>
      <c r="BU14" s="75"/>
      <c r="BW14" s="60">
        <v>17000000</v>
      </c>
      <c r="BX14" s="61">
        <v>0</v>
      </c>
      <c r="BY14" s="61">
        <v>0</v>
      </c>
      <c r="BZ14" s="61"/>
      <c r="CA14" s="61">
        <f>+BW14*5%</f>
        <v>850000</v>
      </c>
      <c r="CB14" s="61">
        <f>SUM(BW14:CA14)</f>
        <v>17850000</v>
      </c>
      <c r="CC14" s="61" t="s">
        <v>118</v>
      </c>
      <c r="CD14" s="61"/>
      <c r="CE14" s="76"/>
      <c r="CF14" s="77"/>
      <c r="CG14" s="77"/>
      <c r="CH14" s="78"/>
      <c r="CI14" s="79"/>
    </row>
    <row r="17" spans="1:87" s="96" customFormat="1" ht="84" customHeight="1">
      <c r="A17" s="93" t="str">
        <f>A5&amp;A6&amp;A7&amp;A8</f>
        <v>TT</v>
      </c>
      <c r="B17" s="93" t="str">
        <f>B5&amp;B6&amp;B7&amp;B8</f>
        <v>MSNV</v>
      </c>
      <c r="C17" s="93" t="s">
        <v>6</v>
      </c>
      <c r="D17" s="93" t="s">
        <v>141</v>
      </c>
      <c r="E17" s="93" t="s">
        <v>8</v>
      </c>
      <c r="F17" s="93" t="str">
        <f>F5&amp;F6&amp;F7&amp;F8</f>
        <v>LN/LT</v>
      </c>
      <c r="G17" s="93" t="s">
        <v>10</v>
      </c>
      <c r="H17" s="93" t="s">
        <v>11</v>
      </c>
      <c r="I17" s="93" t="s">
        <v>12</v>
      </c>
      <c r="J17" s="93" t="s">
        <v>13</v>
      </c>
      <c r="K17" s="93"/>
      <c r="L17" s="93" t="s">
        <v>35</v>
      </c>
      <c r="M17" s="93" t="s">
        <v>36</v>
      </c>
      <c r="N17" s="93" t="s">
        <v>37</v>
      </c>
      <c r="O17" s="93" t="s">
        <v>38</v>
      </c>
      <c r="P17" s="93" t="s">
        <v>39</v>
      </c>
      <c r="Q17" s="93" t="s">
        <v>40</v>
      </c>
      <c r="R17" s="93" t="s">
        <v>41</v>
      </c>
      <c r="S17" s="93" t="s">
        <v>42</v>
      </c>
      <c r="T17" s="93" t="s">
        <v>43</v>
      </c>
      <c r="U17" s="93" t="s">
        <v>44</v>
      </c>
      <c r="V17" s="93"/>
      <c r="W17" s="93" t="s">
        <v>87</v>
      </c>
      <c r="X17" s="93" t="s">
        <v>46</v>
      </c>
      <c r="Y17" s="93" t="str">
        <f>Y5&amp;Y6&amp;Y7&amp;Y8</f>
        <v>Amounts received during the monthLương
Ngày thường</v>
      </c>
      <c r="Z17" s="93" t="s">
        <v>48</v>
      </c>
      <c r="AA17" s="93" t="s">
        <v>49</v>
      </c>
      <c r="AB17" s="93" t="s">
        <v>50</v>
      </c>
      <c r="AC17" s="93" t="s">
        <v>51</v>
      </c>
      <c r="AD17" s="93" t="s">
        <v>144</v>
      </c>
      <c r="AE17" s="93" t="s">
        <v>53</v>
      </c>
      <c r="AF17" s="93" t="s">
        <v>54</v>
      </c>
      <c r="AG17" s="93" t="s">
        <v>55</v>
      </c>
      <c r="AH17" s="93" t="s">
        <v>56</v>
      </c>
      <c r="AI17" s="93" t="s">
        <v>57</v>
      </c>
      <c r="AJ17" s="93" t="s">
        <v>58</v>
      </c>
      <c r="AK17" s="93" t="s">
        <v>59</v>
      </c>
      <c r="AL17" s="93" t="s">
        <v>60</v>
      </c>
      <c r="AM17" s="93" t="s">
        <v>61</v>
      </c>
      <c r="AN17" s="93" t="s">
        <v>62</v>
      </c>
      <c r="AO17" s="93" t="s">
        <v>63</v>
      </c>
      <c r="AP17" s="93" t="s">
        <v>16</v>
      </c>
      <c r="AQ17" s="93" t="s">
        <v>17</v>
      </c>
      <c r="AR17" s="93" t="s">
        <v>18</v>
      </c>
      <c r="AS17" s="93" t="s">
        <v>19</v>
      </c>
      <c r="AT17" s="93" t="s">
        <v>20</v>
      </c>
      <c r="AU17" s="93" t="s">
        <v>21</v>
      </c>
      <c r="AV17" s="93" t="s">
        <v>22</v>
      </c>
      <c r="AW17" s="93" t="s">
        <v>23</v>
      </c>
      <c r="AX17" s="93" t="str">
        <f>AX5&amp;AX6&amp;AX7&amp;AX8</f>
        <v>Tham gia BHXH</v>
      </c>
      <c r="AY17" s="93"/>
      <c r="AZ17" s="93" t="str">
        <f>AZ5&amp;AZ6&amp;AZ7&amp;AZ8</f>
        <v>BHYT1.5%</v>
      </c>
      <c r="BA17" s="93" t="str">
        <f>BA5&amp;BA6&amp;BA7&amp;BA8</f>
        <v>BHTN1%</v>
      </c>
      <c r="BB17" s="93" t="s">
        <v>70</v>
      </c>
      <c r="BC17" s="93" t="str">
        <f>BC5&amp;BC6&amp;BC7&amp;BC8</f>
        <v>Truy thu BHXH</v>
      </c>
      <c r="BD17" s="93" t="s">
        <v>72</v>
      </c>
      <c r="BE17" s="93" t="str">
        <f>BE5&amp;BE6&amp;BE7&amp;BE8</f>
        <v>Phí 
công đoàn
(Lương HĐLĐ *1%)</v>
      </c>
      <c r="BF17" s="93" t="s">
        <v>74</v>
      </c>
      <c r="BG17" s="93" t="s">
        <v>75</v>
      </c>
      <c r="BH17" s="93" t="str">
        <f>BH5&amp;BH6&amp;BH7&amp;BH8</f>
        <v>NPT</v>
      </c>
      <c r="BI17" s="93" t="str">
        <f>BI5&amp;BI6&amp;BI7&amp;BI8</f>
        <v>TNTT</v>
      </c>
      <c r="BJ17" s="93" t="s">
        <v>80</v>
      </c>
      <c r="BK17" s="93"/>
      <c r="BL17" s="93" t="s">
        <v>82</v>
      </c>
      <c r="BM17" s="93" t="s">
        <v>83</v>
      </c>
      <c r="BN17" s="93" t="s">
        <v>84</v>
      </c>
      <c r="BO17" s="93" t="s">
        <v>146</v>
      </c>
      <c r="BP17" s="93" t="str">
        <f>BP5&amp;BP6&amp;BP7&amp;BP8</f>
        <v>…..............</v>
      </c>
      <c r="BQ17" s="93"/>
      <c r="BR17" s="93" t="s">
        <v>66</v>
      </c>
      <c r="BS17" s="93" t="s">
        <v>143</v>
      </c>
      <c r="BT17" s="93" t="s">
        <v>27</v>
      </c>
      <c r="BU17" s="93" t="s">
        <v>28</v>
      </c>
      <c r="BW17" s="93" t="s">
        <v>29</v>
      </c>
      <c r="BX17" s="93"/>
      <c r="BY17" s="93" t="s">
        <v>92</v>
      </c>
      <c r="BZ17" s="93" t="s">
        <v>93</v>
      </c>
      <c r="CA17" s="93" t="s">
        <v>94</v>
      </c>
      <c r="CB17" s="93" t="s">
        <v>31</v>
      </c>
      <c r="CC17" s="93" t="s">
        <v>32</v>
      </c>
      <c r="CD17" s="93" t="s">
        <v>33</v>
      </c>
    </row>
    <row r="18" spans="1:87" s="96" customFormat="1" ht="11">
      <c r="A18" s="95" t="str">
        <f t="shared" ref="A18:AF18" si="5">SUBSTITUTE(ADDRESS(1,COLUMN(),4),1,"")</f>
        <v>A</v>
      </c>
      <c r="B18" s="95" t="str">
        <f t="shared" si="5"/>
        <v>B</v>
      </c>
      <c r="C18" s="95" t="str">
        <f t="shared" si="5"/>
        <v>C</v>
      </c>
      <c r="D18" s="95" t="str">
        <f t="shared" si="5"/>
        <v>D</v>
      </c>
      <c r="E18" s="95" t="str">
        <f t="shared" si="5"/>
        <v>E</v>
      </c>
      <c r="F18" s="95" t="str">
        <f t="shared" si="5"/>
        <v>F</v>
      </c>
      <c r="G18" s="95" t="str">
        <f t="shared" si="5"/>
        <v>G</v>
      </c>
      <c r="H18" s="95" t="str">
        <f t="shared" si="5"/>
        <v>H</v>
      </c>
      <c r="I18" s="95" t="str">
        <f t="shared" si="5"/>
        <v>I</v>
      </c>
      <c r="J18" s="95" t="str">
        <f t="shared" si="5"/>
        <v>J</v>
      </c>
      <c r="K18" s="95" t="str">
        <f t="shared" si="5"/>
        <v>K</v>
      </c>
      <c r="L18" s="95" t="str">
        <f t="shared" si="5"/>
        <v>L</v>
      </c>
      <c r="M18" s="95" t="str">
        <f t="shared" si="5"/>
        <v>M</v>
      </c>
      <c r="N18" s="95" t="str">
        <f t="shared" si="5"/>
        <v>N</v>
      </c>
      <c r="O18" s="95" t="str">
        <f t="shared" si="5"/>
        <v>O</v>
      </c>
      <c r="P18" s="95" t="str">
        <f t="shared" si="5"/>
        <v>P</v>
      </c>
      <c r="Q18" s="95" t="str">
        <f t="shared" si="5"/>
        <v>Q</v>
      </c>
      <c r="R18" s="95" t="str">
        <f t="shared" si="5"/>
        <v>R</v>
      </c>
      <c r="S18" s="95" t="str">
        <f t="shared" si="5"/>
        <v>S</v>
      </c>
      <c r="T18" s="95" t="str">
        <f t="shared" si="5"/>
        <v>T</v>
      </c>
      <c r="U18" s="95" t="str">
        <f t="shared" si="5"/>
        <v>U</v>
      </c>
      <c r="V18" s="95" t="str">
        <f t="shared" si="5"/>
        <v>V</v>
      </c>
      <c r="W18" s="95" t="str">
        <f t="shared" si="5"/>
        <v>W</v>
      </c>
      <c r="X18" s="95" t="str">
        <f t="shared" si="5"/>
        <v>X</v>
      </c>
      <c r="Y18" s="95" t="str">
        <f t="shared" si="5"/>
        <v>Y</v>
      </c>
      <c r="Z18" s="95" t="str">
        <f t="shared" si="5"/>
        <v>Z</v>
      </c>
      <c r="AA18" s="95" t="str">
        <f t="shared" si="5"/>
        <v>AA</v>
      </c>
      <c r="AB18" s="95" t="str">
        <f t="shared" si="5"/>
        <v>AB</v>
      </c>
      <c r="AC18" s="95" t="str">
        <f t="shared" si="5"/>
        <v>AC</v>
      </c>
      <c r="AD18" s="95" t="str">
        <f t="shared" si="5"/>
        <v>AD</v>
      </c>
      <c r="AE18" s="95" t="str">
        <f t="shared" si="5"/>
        <v>AE</v>
      </c>
      <c r="AF18" s="95" t="str">
        <f t="shared" si="5"/>
        <v>AF</v>
      </c>
      <c r="AG18" s="95" t="str">
        <f t="shared" ref="AG18:BL18" si="6">SUBSTITUTE(ADDRESS(1,COLUMN(),4),1,"")</f>
        <v>AG</v>
      </c>
      <c r="AH18" s="95" t="str">
        <f t="shared" si="6"/>
        <v>AH</v>
      </c>
      <c r="AI18" s="95" t="str">
        <f t="shared" si="6"/>
        <v>AI</v>
      </c>
      <c r="AJ18" s="95" t="str">
        <f t="shared" si="6"/>
        <v>AJ</v>
      </c>
      <c r="AK18" s="95" t="str">
        <f t="shared" si="6"/>
        <v>AK</v>
      </c>
      <c r="AL18" s="95" t="str">
        <f t="shared" si="6"/>
        <v>AL</v>
      </c>
      <c r="AM18" s="95" t="str">
        <f t="shared" si="6"/>
        <v>AM</v>
      </c>
      <c r="AN18" s="95" t="str">
        <f t="shared" si="6"/>
        <v>AN</v>
      </c>
      <c r="AO18" s="95" t="str">
        <f t="shared" si="6"/>
        <v>AO</v>
      </c>
      <c r="AP18" s="95" t="str">
        <f t="shared" si="6"/>
        <v>AP</v>
      </c>
      <c r="AQ18" s="95" t="str">
        <f t="shared" si="6"/>
        <v>AQ</v>
      </c>
      <c r="AR18" s="95" t="str">
        <f t="shared" si="6"/>
        <v>AR</v>
      </c>
      <c r="AS18" s="95" t="str">
        <f t="shared" si="6"/>
        <v>AS</v>
      </c>
      <c r="AT18" s="95" t="str">
        <f t="shared" si="6"/>
        <v>AT</v>
      </c>
      <c r="AU18" s="95" t="str">
        <f t="shared" si="6"/>
        <v>AU</v>
      </c>
      <c r="AV18" s="95" t="str">
        <f t="shared" si="6"/>
        <v>AV</v>
      </c>
      <c r="AW18" s="95" t="str">
        <f t="shared" si="6"/>
        <v>AW</v>
      </c>
      <c r="AX18" s="95" t="str">
        <f t="shared" si="6"/>
        <v>AX</v>
      </c>
      <c r="AY18" s="95" t="str">
        <f t="shared" si="6"/>
        <v>AY</v>
      </c>
      <c r="AZ18" s="95" t="str">
        <f t="shared" si="6"/>
        <v>AZ</v>
      </c>
      <c r="BA18" s="95" t="str">
        <f t="shared" si="6"/>
        <v>BA</v>
      </c>
      <c r="BB18" s="95" t="str">
        <f t="shared" si="6"/>
        <v>BB</v>
      </c>
      <c r="BC18" s="95" t="str">
        <f t="shared" si="6"/>
        <v>BC</v>
      </c>
      <c r="BD18" s="95" t="str">
        <f t="shared" si="6"/>
        <v>BD</v>
      </c>
      <c r="BE18" s="95" t="str">
        <f t="shared" si="6"/>
        <v>BE</v>
      </c>
      <c r="BF18" s="95" t="str">
        <f t="shared" si="6"/>
        <v>BF</v>
      </c>
      <c r="BG18" s="95" t="str">
        <f t="shared" si="6"/>
        <v>BG</v>
      </c>
      <c r="BH18" s="95" t="str">
        <f t="shared" si="6"/>
        <v>BH</v>
      </c>
      <c r="BI18" s="95" t="str">
        <f t="shared" si="6"/>
        <v>BI</v>
      </c>
      <c r="BJ18" s="95" t="str">
        <f t="shared" si="6"/>
        <v>BJ</v>
      </c>
      <c r="BK18" s="95" t="str">
        <f t="shared" si="6"/>
        <v>BK</v>
      </c>
      <c r="BL18" s="95" t="str">
        <f t="shared" si="6"/>
        <v>BL</v>
      </c>
      <c r="BM18" s="95" t="str">
        <f t="shared" ref="BM18:BU18" si="7">SUBSTITUTE(ADDRESS(1,COLUMN(),4),1,"")</f>
        <v>BM</v>
      </c>
      <c r="BN18" s="95" t="str">
        <f t="shared" si="7"/>
        <v>BN</v>
      </c>
      <c r="BO18" s="95" t="str">
        <f t="shared" si="7"/>
        <v>BO</v>
      </c>
      <c r="BP18" s="95" t="str">
        <f t="shared" si="7"/>
        <v>BP</v>
      </c>
      <c r="BQ18" s="95" t="str">
        <f t="shared" si="7"/>
        <v>BQ</v>
      </c>
      <c r="BR18" s="95" t="str">
        <f t="shared" si="7"/>
        <v>BR</v>
      </c>
      <c r="BS18" s="95" t="str">
        <f t="shared" si="7"/>
        <v>BS</v>
      </c>
      <c r="BT18" s="95" t="str">
        <f t="shared" si="7"/>
        <v>BT</v>
      </c>
      <c r="BU18" s="95" t="str">
        <f t="shared" si="7"/>
        <v>BU</v>
      </c>
      <c r="BW18" s="95" t="str">
        <f t="shared" ref="BW18:CD18" si="8">SUBSTITUTE(ADDRESS(1,COLUMN(),4),1,"")</f>
        <v>BW</v>
      </c>
      <c r="BX18" s="95" t="str">
        <f t="shared" si="8"/>
        <v>BX</v>
      </c>
      <c r="BY18" s="95" t="str">
        <f t="shared" si="8"/>
        <v>BY</v>
      </c>
      <c r="BZ18" s="95" t="str">
        <f t="shared" si="8"/>
        <v>BZ</v>
      </c>
      <c r="CA18" s="95" t="str">
        <f t="shared" si="8"/>
        <v>CA</v>
      </c>
      <c r="CB18" s="95" t="str">
        <f t="shared" si="8"/>
        <v>CB</v>
      </c>
      <c r="CC18" s="95" t="str">
        <f t="shared" si="8"/>
        <v>CC</v>
      </c>
      <c r="CD18" s="95" t="str">
        <f t="shared" si="8"/>
        <v>CD</v>
      </c>
    </row>
    <row r="19" spans="1:87" s="118" customFormat="1" ht="180" customHeight="1">
      <c r="A19" s="134">
        <f>IF(B17=0,"",COUNTA($B$12:(B17)))</f>
        <v>4</v>
      </c>
      <c r="B19" s="110">
        <v>123456</v>
      </c>
      <c r="C19" s="111" t="s">
        <v>120</v>
      </c>
      <c r="D19" s="135" t="s">
        <v>148</v>
      </c>
      <c r="E19" s="135" t="s">
        <v>99</v>
      </c>
      <c r="F19" s="135"/>
      <c r="G19" s="107">
        <v>9520000</v>
      </c>
      <c r="H19" s="107"/>
      <c r="I19" s="107"/>
      <c r="J19" s="136">
        <v>1</v>
      </c>
      <c r="K19" s="107">
        <v>11</v>
      </c>
      <c r="L19" s="107"/>
      <c r="M19" s="107"/>
      <c r="N19" s="107"/>
      <c r="O19" s="107">
        <v>2</v>
      </c>
      <c r="P19" s="107"/>
      <c r="Q19" s="107"/>
      <c r="R19" s="107">
        <v>0</v>
      </c>
      <c r="S19" s="107">
        <v>0</v>
      </c>
      <c r="T19" s="107"/>
      <c r="U19" s="107">
        <v>0</v>
      </c>
      <c r="V19" s="107">
        <v>0</v>
      </c>
      <c r="W19" s="107">
        <v>0</v>
      </c>
      <c r="X19" s="107">
        <v>0</v>
      </c>
      <c r="Y19" s="107"/>
      <c r="Z19" s="107"/>
      <c r="AA19" s="107"/>
      <c r="AB19" s="107"/>
      <c r="AC19" s="107"/>
      <c r="AD19" s="107"/>
      <c r="AE19" s="107"/>
      <c r="AF19" s="107"/>
      <c r="AG19" s="107"/>
      <c r="AH19" s="107"/>
      <c r="AI19" s="107"/>
      <c r="AJ19" s="107"/>
      <c r="AK19" s="107"/>
      <c r="AL19" s="107"/>
      <c r="AM19" s="107"/>
      <c r="AN19" s="107"/>
      <c r="AO19" s="107" t="str">
        <f>"IF(["&amp;F17&amp;"]=""LN"",["&amp;I17&amp;"]*(["&amp;K17&amp;"]+["&amp;L17&amp;"])/26+(["&amp;H17&amp;"]+["&amp;I17&amp;"])*50%*["&amp;M17&amp;"]/26+IF(["&amp;F17&amp;"]=""LT"",["&amp;BW17&amp;"]*["&amp;O17&amp;"]/26-["&amp;AB17&amp;"],0)+MAX(["&amp;$G17&amp;"]*["&amp;P17&amp;"]/26*150%,["&amp;P17&amp;"]*["&amp;$BW17&amp;"]/26)-["&amp;AC17&amp;"]+MAX(["&amp;$G17&amp;"]*["&amp;Q17&amp;"]/26*200%,["&amp;Q17&amp;"]*["&amp;$BW17&amp;"]/26)-["&amp;AD17&amp;"]+MAX(["&amp;$G17&amp;"]*["&amp;R17&amp;"]/26*300%,["&amp;R17&amp;"]*["&amp;$BW17&amp;"]/26)-["&amp;AE17&amp;"]+["&amp;BW17&amp;"]*["&amp;S17&amp;"]/26-["&amp;AF17&amp;"]+["&amp;AH17&amp;"]-["&amp;AG17&amp;"],["&amp;I17&amp;"]-["&amp;I17&amp;"]*(["&amp;$CE$3&amp;"]-["&amp;K17&amp;"]-["&amp;L17&amp;"])/26+(["&amp;H17&amp;"]+["&amp;I17&amp;"])*50%*["&amp;M17&amp;"]/26+IF(["&amp;F17&amp;"]=""LT"",["&amp;BW17&amp;"]*["&amp;O17&amp;"]/26-["&amp;AB17&amp;"],0)+MAX(["&amp;$G17&amp;"]*["&amp;P17&amp;"]/26*150%,["&amp;P17&amp;"]*["&amp;$BW17&amp;"]/26)-["&amp;AC17&amp;"]+MAX(["&amp;$G17&amp;"]*["&amp;Q17&amp;"]/26*200%,["&amp;Q17&amp;"]*["&amp;$BW17&amp;"]/26)-["&amp;AD17&amp;"]+MAX(["&amp;$G17&amp;"]*["&amp;R17&amp;"]/26*300%,["&amp;R17&amp;"]*["&amp;$BW17&amp;"]/26)-["&amp;AE17&amp;"]+["&amp;BW17&amp;"]*["&amp;S17&amp;"]/26-["&amp;AF17&amp;"]+["&amp;AH17&amp;"]-["&amp;AG17&amp;"]+(["&amp;G17&amp;"]-["&amp;G17&amp;"]*(["&amp;$CE$3&amp;"]-["&amp;K17&amp;"]-["&amp;L17&amp;"])/26-["&amp;Y17&amp;"])+(["&amp;H17&amp;"]-["&amp;H17&amp;"]*(["&amp;$CE$3&amp;"]-["&amp;K17&amp;"]-["&amp;L17&amp;"])/26-["&amp;AN17&amp;"]))"</f>
        <v>IF([LN/LT]="LN",[HQCV Bonus norms]*([]+[Collaborate])/26+([Allowances (fire protection, safety)]+[HQCV Bonus norms])*50%*[Permit year]/26+IF([LN/LT]="LT",[Salary quota]*[Holiday/Tet]/26-[Holiday pay],0)+MAX([Labor contract salary]*[Overtime on weekdays]/26*150%,[Overtime on weekdays]*[Salary quota]/26)-[Salary Overtime on weekdays]+MAX([Labor contract salary]*[Overtime on Sunday]/26*200%,[Overtime on Sunday]*[Salary quota]/26)-[Sunday salary]+MAX([Labor contract salary]*[Overtime for Tet holiday]/26*300%,[Overtime for Tet holiday]*[Salary quota]/26)-[Overtime pay on Holidays/New Year]+[Salary quota]*[Night allowance]/26-[Night allowance salary]+[Salary for work on Saturdays is off]-[Salary female leave HK],[HQCV Bonus norms]-[HQCV Bonus norms]*([Actual work day month]-[]-[Collaborate])/26+([Allowances (fire protection, safety)]+[HQCV Bonus norms])*50%*[Permit year]/26+IF([LN/LT]="LT",[Salary quota]*[Holiday/Tet]/26-[Holiday pay],0)+MAX([Labor contract salary]*[Overtime on weekdays]/26*150%,[Overtime on weekdays]*[Salary quota]/26)-[Salary Overtime on weekdays]+MAX([Labor contract salary]*[Overtime on Sunday]/26*200%,[Overtime on Sunday]*[Salary quota]/26)-[Sunday salary]+MAX([Labor contract salary]*[Overtime for Tet holiday]/26*300%,[Overtime for Tet holiday]*[Salary quota]/26)-[Overtime pay on Holidays/New Year]+[Salary quota]*[Night allowance]/26-[Night allowance salary]+[Salary for work on Saturdays is off]-[Salary female leave HK]+([Labor contract salary]-[Labor contract salary]*([Actual work day month]-[]-[Collaborate])/26-[Amounts received during the monthLương
Ngày thường])+([Allowances (fire protection, safety)]-[Allowances (fire protection, safety)]*([Actual work day month]-[]-[Collaborate])/26-[Fire protection allowance (DT, DP), Safety and sanitation allowance]))</v>
      </c>
      <c r="AP19" s="107"/>
      <c r="AQ19" s="107"/>
      <c r="AR19" s="107"/>
      <c r="AS19" s="107"/>
      <c r="AT19" s="107"/>
      <c r="AU19" s="107"/>
      <c r="AV19" s="137" t="str">
        <f>"["&amp;Y17&amp;"]+["&amp;Z17&amp;"]+["&amp;AA17&amp;"]+["&amp;AB17&amp;"]+["&amp;AC17&amp;"]+["&amp;AD17&amp;"]+["&amp;AE17&amp;"]+["&amp;AF17&amp;"]+["&amp;AG17&amp;"]+["&amp;AI17&amp;"]+["&amp;AJ17&amp;"]+["&amp;AK17&amp;"]+["&amp;AL17&amp;"]+["&amp;AM17&amp;"]+["&amp;AN17&amp;"]+["&amp;AO17&amp;"]+["&amp;AP17&amp;"]-["&amp;AQ17&amp;"]+["&amp;AR17&amp;"]+["&amp;AS17&amp;"]+["&amp;AT17&amp;"]+["&amp;AU17&amp;"]"</f>
        <v>[Amounts received during the monthLương
Ngày thường]+[Salary for vacation days]+[Salary for days off]+[Holiday pay]+[Salary Overtime on weekdays]+[Sunday salary]+[Overtime pay on Holidays/New Year]+[Night allowance salary]+[Salary female leave HK]+[Salary for days of temporary suspension]+[Salary on duty to support security]+[Working allowances]+[Annual leave from work]+[Nursing care training]+[Fire protection allowance (DT, DP), Safety and sanitation allowance]+[Advance payment of HQCV bonus]+[Receiving salary]-[Salary collection]+[Rice support]+[Housing Support]+[Annual bonus]+[Payment of unused annual leave]</v>
      </c>
      <c r="AW19" s="137"/>
      <c r="AX19" s="137" t="s">
        <v>101</v>
      </c>
      <c r="AY19" s="108"/>
      <c r="AZ19" s="108"/>
      <c r="BA19" s="108"/>
      <c r="BB19" s="108"/>
      <c r="BC19" s="108"/>
      <c r="BD19" s="108"/>
      <c r="BE19" s="108"/>
      <c r="BF19" s="108"/>
      <c r="BG19" s="108"/>
      <c r="BH19" s="108">
        <v>3</v>
      </c>
      <c r="BI19" s="108"/>
      <c r="BJ19" s="138" t="str">
        <f>"IF(["&amp;BI17&amp;"]&gt;0,ROUND(IF(["&amp;BI17&amp;"]&gt;=80000000,["&amp;BI17&amp;"]*35%-9850000,IF(["&amp;BI17&amp;"]&gt;=52000000,["&amp;BI17&amp;"]*30%-5850000,IF(["&amp;BI17&amp;"]&gt;=32000000,["&amp;BI17&amp;"]*25%-3250000,IF(["&amp;BI17&amp;"]&gt;=18000000,["&amp;BI17&amp;"]*20%-1650000,IF(["&amp;BI17&amp;"]&gt;=10000000,["&amp;BI17&amp;"]*15%-750000,IF(["&amp;BI17&amp;"]&gt;5000000,["&amp;BI17&amp;"]*10%-250000,["&amp;BI17&amp;"]*5%)))))),0),0)"</f>
        <v>IF([TNTT]&gt;0,ROUND(IF([TNTT]&gt;=80000000,[TNTT]*35%-9850000,IF([TNTT]&gt;=52000000,[TNTT]*30%-5850000,IF([TNTT]&gt;=32000000,[TNTT]*25%-3250000,IF([TNTT]&gt;=18000000,[TNTT]*20%-1650000,IF([TNTT]&gt;=10000000,[TNTT]*15%-750000,IF([TNTT]&gt;5000000,[TNTT]*10%-250000,[TNTT]*5%)))))),0),0)</v>
      </c>
      <c r="BK19" s="108"/>
      <c r="BL19" s="108"/>
      <c r="BM19" s="108">
        <v>0</v>
      </c>
      <c r="BN19" s="108"/>
      <c r="BO19" s="108"/>
      <c r="BP19" s="108"/>
      <c r="BQ19" s="108"/>
      <c r="BR19" s="108"/>
      <c r="BS19" s="108"/>
      <c r="BT19" s="108"/>
      <c r="BU19" s="139"/>
      <c r="BW19" s="140">
        <v>60000000</v>
      </c>
      <c r="BX19" s="138">
        <v>0</v>
      </c>
      <c r="BY19" s="138"/>
      <c r="BZ19" s="138"/>
      <c r="CA19" s="138">
        <v>0</v>
      </c>
      <c r="CB19" s="138"/>
      <c r="CC19" s="138" t="s">
        <v>122</v>
      </c>
      <c r="CD19" s="138"/>
      <c r="CE19" s="117"/>
      <c r="CF19" s="117"/>
      <c r="CG19" s="117"/>
      <c r="CI19" s="119"/>
    </row>
    <row r="25" spans="1:87" ht="17">
      <c r="G25" s="144" t="s">
        <v>153</v>
      </c>
    </row>
  </sheetData>
  <autoFilter ref="A9:CI14" xr:uid="{00000000-0009-0000-0000-000003000000}"/>
  <mergeCells count="82">
    <mergeCell ref="BX5:CA7"/>
    <mergeCell ref="BQ6:BQ8"/>
    <mergeCell ref="Y5:AO5"/>
    <mergeCell ref="AN6:AN8"/>
    <mergeCell ref="BG7:BG8"/>
    <mergeCell ref="BQ5:BR5"/>
    <mergeCell ref="BK7:BK8"/>
    <mergeCell ref="BK6:BP6"/>
    <mergeCell ref="BN7:BN8"/>
    <mergeCell ref="BP7:BP8"/>
    <mergeCell ref="N6:N8"/>
    <mergeCell ref="AU5:AU8"/>
    <mergeCell ref="BH7:BH8"/>
    <mergeCell ref="BI7:BI8"/>
    <mergeCell ref="K5:X5"/>
    <mergeCell ref="Q6:Q8"/>
    <mergeCell ref="AC6:AC8"/>
    <mergeCell ref="AL6:AL8"/>
    <mergeCell ref="F5:F8"/>
    <mergeCell ref="AP5:AP8"/>
    <mergeCell ref="AB6:AB8"/>
    <mergeCell ref="M6:M8"/>
    <mergeCell ref="AH6:AH8"/>
    <mergeCell ref="AJ6:AJ8"/>
    <mergeCell ref="T6:T8"/>
    <mergeCell ref="AA6:AA8"/>
    <mergeCell ref="P6:P8"/>
    <mergeCell ref="S6:S8"/>
    <mergeCell ref="AM6:AM8"/>
    <mergeCell ref="U6:U8"/>
    <mergeCell ref="AG6:AG8"/>
    <mergeCell ref="AK6:AK8"/>
    <mergeCell ref="AD6:AD8"/>
    <mergeCell ref="AF6:AF8"/>
    <mergeCell ref="CC5:CC8"/>
    <mergeCell ref="H5:H8"/>
    <mergeCell ref="J5:J8"/>
    <mergeCell ref="A3:BU3"/>
    <mergeCell ref="E5:E8"/>
    <mergeCell ref="K6:K8"/>
    <mergeCell ref="BS5:BS8"/>
    <mergeCell ref="O6:O8"/>
    <mergeCell ref="G5:G8"/>
    <mergeCell ref="I5:I8"/>
    <mergeCell ref="AQ5:AQ8"/>
    <mergeCell ref="R6:R8"/>
    <mergeCell ref="B5:B8"/>
    <mergeCell ref="BC7:BC8"/>
    <mergeCell ref="AE6:AE8"/>
    <mergeCell ref="D5:D8"/>
    <mergeCell ref="BW3:CB4"/>
    <mergeCell ref="X6:X8"/>
    <mergeCell ref="AV5:AV8"/>
    <mergeCell ref="AX5:AX8"/>
    <mergeCell ref="V6:W7"/>
    <mergeCell ref="Y6:Y8"/>
    <mergeCell ref="AR5:AR8"/>
    <mergeCell ref="BB7:BB8"/>
    <mergeCell ref="BD7:BD8"/>
    <mergeCell ref="AS5:AS8"/>
    <mergeCell ref="AY6:BJ6"/>
    <mergeCell ref="BE7:BE8"/>
    <mergeCell ref="AO6:AO8"/>
    <mergeCell ref="BF7:BF8"/>
    <mergeCell ref="CB5:CB8"/>
    <mergeCell ref="BT5:BT8"/>
    <mergeCell ref="A5:A8"/>
    <mergeCell ref="C5:C8"/>
    <mergeCell ref="CD5:CD8"/>
    <mergeCell ref="BR6:BR8"/>
    <mergeCell ref="AT5:AT8"/>
    <mergeCell ref="L6:L8"/>
    <mergeCell ref="BM7:BM8"/>
    <mergeCell ref="Z6:Z8"/>
    <mergeCell ref="BJ7:BJ8"/>
    <mergeCell ref="BL7:BL8"/>
    <mergeCell ref="AW5:AW8"/>
    <mergeCell ref="AI6:AI8"/>
    <mergeCell ref="BU5:BU8"/>
    <mergeCell ref="BW5:BW8"/>
    <mergeCell ref="BO7:BO8"/>
    <mergeCell ref="AY5:BP5"/>
  </mergeCells>
  <conditionalFormatting sqref="B1:B9 B12:B16 B20:B1048576 C9:BU9 D10:F10 J10:BI10 BK10:BU10 BW9:CD10">
    <cfRule type="duplicateValues" dxfId="6" priority="68"/>
  </conditionalFormatting>
  <conditionalFormatting sqref="B1:B9 B12:B16 B20:B1048576 C9:BU9">
    <cfRule type="duplicateValues" dxfId="5" priority="6"/>
    <cfRule type="duplicateValues" dxfId="4" priority="63"/>
  </conditionalFormatting>
  <conditionalFormatting sqref="B19">
    <cfRule type="duplicateValues" dxfId="3" priority="1"/>
    <cfRule type="duplicateValues" dxfId="2" priority="2"/>
    <cfRule type="duplicateValues" dxfId="1" priority="3"/>
  </conditionalFormatting>
  <conditionalFormatting sqref="BJ10">
    <cfRule type="duplicateValues" dxfId="0" priority="4"/>
  </conditionalFormatting>
  <printOptions horizontalCentered="1"/>
  <pageMargins left="0" right="0" top="0.21" bottom="0.17" header="0.196850393700787" footer="0.196850393700787"/>
  <pageSetup paperSize="9" scale="43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8</vt:i4>
      </vt:variant>
    </vt:vector>
  </HeadingPairs>
  <TitlesOfParts>
    <vt:vector size="12" baseType="lpstr">
      <vt:lpstr>Bảng lương CB-NV</vt:lpstr>
      <vt:lpstr>Mô tả Bảng lương CB-NV</vt:lpstr>
      <vt:lpstr>Bảng lương tạm ứng kỳ 1</vt:lpstr>
      <vt:lpstr>Mô tả Bảng lương tạm ứng kỳ 1</vt:lpstr>
      <vt:lpstr>'Bảng lương CB-NV'!Print_Area</vt:lpstr>
      <vt:lpstr>'Bảng lương tạm ứng kỳ 1'!Print_Area</vt:lpstr>
      <vt:lpstr>'Mô tả Bảng lương CB-NV'!Print_Area</vt:lpstr>
      <vt:lpstr>'Mô tả Bảng lương tạm ứng kỳ 1'!Print_Area</vt:lpstr>
      <vt:lpstr>'Bảng lương CB-NV'!Print_Titles</vt:lpstr>
      <vt:lpstr>'Bảng lương tạm ứng kỳ 1'!Print_Titles</vt:lpstr>
      <vt:lpstr>'Mô tả Bảng lương CB-NV'!Print_Titles</vt:lpstr>
      <vt:lpstr>'Mô tả Bảng lương tạm ứng kỳ 1'!Print_Titles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Yen NS</dc:creator>
  <cp:lastModifiedBy>Ash Sohani</cp:lastModifiedBy>
  <dcterms:created xsi:type="dcterms:W3CDTF">2024-10-30T08:54:41Z</dcterms:created>
  <dcterms:modified xsi:type="dcterms:W3CDTF">2026-01-15T07:38:56Z</dcterms:modified>
</cp:coreProperties>
</file>