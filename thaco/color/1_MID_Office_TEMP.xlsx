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66C0F26C-DA03-B94F-A168-129A94B4D888}" xr6:coauthVersionLast="47" xr6:coauthVersionMax="47" xr10:uidLastSave="{00000000-0000-0000-0000-000000000000}"/>
  <bookViews>
    <workbookView xWindow="38520" yWindow="500" windowWidth="38280" windowHeight="14380" tabRatio="761" activeTab="2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1'!$A$1:$BN$25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3" l="1"/>
  <c r="BS14" i="3"/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S20" i="3"/>
  <c r="BT20" i="3" s="1"/>
  <c r="AH20" i="3" s="1"/>
  <c r="BA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BS19" i="3"/>
  <c r="BT19" i="3" s="1"/>
  <c r="BA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BS18" i="3"/>
  <c r="BT18" i="3" s="1"/>
  <c r="BA18" i="3"/>
  <c r="AM18" i="3"/>
  <c r="AK18" i="3"/>
  <c r="AI18" i="3"/>
  <c r="AG18" i="3"/>
  <c r="AE18" i="3"/>
  <c r="AD18" i="3"/>
  <c r="AC18" i="3"/>
  <c r="AB18" i="3"/>
  <c r="AA18" i="3"/>
  <c r="Z18" i="3"/>
  <c r="Y18" i="3"/>
  <c r="H18" i="3"/>
  <c r="AF18" i="3" s="1"/>
  <c r="BS17" i="3"/>
  <c r="BT17" i="3" s="1"/>
  <c r="AH17" i="3" s="1"/>
  <c r="BA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BS16" i="3"/>
  <c r="BT16" i="3" s="1"/>
  <c r="BA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BS15" i="3"/>
  <c r="BT15" i="3" s="1"/>
  <c r="BA15" i="3"/>
  <c r="AM15" i="3"/>
  <c r="AK15" i="3"/>
  <c r="AI15" i="3"/>
  <c r="AG15" i="3"/>
  <c r="AF15" i="3"/>
  <c r="AE15" i="3"/>
  <c r="AD15" i="3"/>
  <c r="AC15" i="3"/>
  <c r="AB15" i="3"/>
  <c r="AA15" i="3"/>
  <c r="Z15" i="3"/>
  <c r="Y15" i="3"/>
  <c r="H15" i="3"/>
  <c r="BT14" i="3"/>
  <c r="AH14" i="3" s="1"/>
  <c r="BA14" i="3"/>
  <c r="AM14" i="3"/>
  <c r="AK14" i="3"/>
  <c r="AI14" i="3"/>
  <c r="AG14" i="3"/>
  <c r="AF14" i="3"/>
  <c r="AE14" i="3"/>
  <c r="AD14" i="3"/>
  <c r="AC14" i="3"/>
  <c r="AB14" i="3"/>
  <c r="AA14" i="3"/>
  <c r="Z14" i="3"/>
  <c r="H14" i="3"/>
  <c r="BJ13" i="3"/>
  <c r="BH13" i="3"/>
  <c r="BG13" i="3"/>
  <c r="BF13" i="3"/>
  <c r="BE13" i="3"/>
  <c r="AY13" i="3"/>
  <c r="AL13" i="3"/>
  <c r="AJ13" i="3"/>
  <c r="X13" i="3"/>
  <c r="W13" i="3"/>
  <c r="V13" i="3"/>
  <c r="U13" i="3"/>
  <c r="S13" i="3"/>
  <c r="R13" i="3"/>
  <c r="K13" i="3"/>
  <c r="G13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3" i="3" l="1"/>
  <c r="AF13" i="3"/>
  <c r="AK13" i="3"/>
  <c r="I20" i="3"/>
  <c r="BA13" i="3"/>
  <c r="AN20" i="3"/>
  <c r="AN18" i="3"/>
  <c r="H13" i="3"/>
  <c r="AN15" i="3"/>
  <c r="AI13" i="3"/>
  <c r="AD13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8" i="3"/>
  <c r="AH18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6" i="3"/>
  <c r="AH16" i="3"/>
  <c r="AN19" i="3"/>
  <c r="AM14" i="1"/>
  <c r="AF15" i="1"/>
  <c r="AY15" i="1"/>
  <c r="BA15" i="1"/>
  <c r="AZ15" i="1"/>
  <c r="H14" i="1"/>
  <c r="I16" i="1"/>
  <c r="AH16" i="1"/>
  <c r="I15" i="3"/>
  <c r="AH15" i="3"/>
  <c r="I17" i="3"/>
  <c r="AF11" i="2"/>
  <c r="AG13" i="3"/>
  <c r="AN16" i="3"/>
  <c r="Y14" i="1"/>
  <c r="I13" i="2"/>
  <c r="AO13" i="2" s="1"/>
  <c r="AH13" i="2"/>
  <c r="I14" i="2"/>
  <c r="AO14" i="2" s="1"/>
  <c r="AH14" i="4"/>
  <c r="AH11" i="4" s="1"/>
  <c r="AY16" i="1"/>
  <c r="AC14" i="1"/>
  <c r="BA16" i="1"/>
  <c r="AZ17" i="1"/>
  <c r="I12" i="2"/>
  <c r="AH12" i="2"/>
  <c r="AH11" i="2" s="1"/>
  <c r="I14" i="3"/>
  <c r="BA12" i="2"/>
  <c r="AD14" i="1"/>
  <c r="AZ14" i="2"/>
  <c r="AZ11" i="2" s="1"/>
  <c r="AY14" i="2"/>
  <c r="Y13" i="3"/>
  <c r="AM13" i="3"/>
  <c r="I19" i="3"/>
  <c r="AH19" i="3"/>
  <c r="I12" i="4"/>
  <c r="AO13" i="4"/>
  <c r="AV13" i="4" s="1"/>
  <c r="AF14" i="4"/>
  <c r="AF20" i="1"/>
  <c r="I20" i="1"/>
  <c r="H11" i="2"/>
  <c r="AN13" i="2"/>
  <c r="AN11" i="2" s="1"/>
  <c r="AV14" i="2"/>
  <c r="AN14" i="3"/>
  <c r="Y11" i="4"/>
  <c r="BA14" i="4"/>
  <c r="BA11" i="4" s="1"/>
  <c r="AZ13" i="4"/>
  <c r="AZ11" i="4" s="1"/>
  <c r="AN17" i="3"/>
  <c r="AN14" i="4"/>
  <c r="AN11" i="4" s="1"/>
  <c r="AY20" i="1"/>
  <c r="BT14" i="2"/>
  <c r="BT11" i="2" s="1"/>
  <c r="H11" i="4"/>
  <c r="AZ20" i="1"/>
  <c r="AY19" i="1"/>
  <c r="AO19" i="2"/>
  <c r="AY14" i="4"/>
  <c r="AY11" i="4" s="1"/>
  <c r="AO18" i="3" l="1"/>
  <c r="AV18" i="3" s="1"/>
  <c r="BB18" i="3" s="1"/>
  <c r="BC18" i="3" s="1"/>
  <c r="AO16" i="3"/>
  <c r="AV16" i="3" s="1"/>
  <c r="BB16" i="3" s="1"/>
  <c r="AO20" i="3"/>
  <c r="AV20" i="3" s="1"/>
  <c r="BB20" i="3" s="1"/>
  <c r="AH13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A11" i="2"/>
  <c r="AO15" i="3"/>
  <c r="AV15" i="3" s="1"/>
  <c r="BB15" i="3" s="1"/>
  <c r="BB12" i="2"/>
  <c r="AY11" i="2"/>
  <c r="AO14" i="3"/>
  <c r="AV14" i="3" s="1"/>
  <c r="I13" i="3"/>
  <c r="AO16" i="1"/>
  <c r="AV16" i="1" s="1"/>
  <c r="BF16" i="1" s="1"/>
  <c r="BB16" i="1"/>
  <c r="BG18" i="1"/>
  <c r="BK18" i="1" s="1"/>
  <c r="BL18" i="1" s="1"/>
  <c r="I11" i="4"/>
  <c r="AO12" i="4"/>
  <c r="BA14" i="1"/>
  <c r="AN13" i="3"/>
  <c r="AO15" i="1"/>
  <c r="I14" i="1"/>
  <c r="AO17" i="3"/>
  <c r="AV17" i="3" s="1"/>
  <c r="BB17" i="3" s="1"/>
  <c r="BB15" i="1"/>
  <c r="AY14" i="1"/>
  <c r="AO19" i="3"/>
  <c r="AV19" i="3" s="1"/>
  <c r="BB19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B14" i="4"/>
  <c r="AV13" i="2"/>
  <c r="BM18" i="3" l="1"/>
  <c r="BN18" i="3" s="1"/>
  <c r="BC16" i="3"/>
  <c r="BM16" i="3"/>
  <c r="BN16" i="3" s="1"/>
  <c r="BB14" i="3"/>
  <c r="BC14" i="3" s="1"/>
  <c r="BC20" i="3"/>
  <c r="BM20" i="3"/>
  <c r="BN20" i="3" s="1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M17" i="3"/>
  <c r="BN17" i="3" s="1"/>
  <c r="BC17" i="3"/>
  <c r="BG20" i="1"/>
  <c r="BK20" i="1" s="1"/>
  <c r="BL20" i="1" s="1"/>
  <c r="BM15" i="3"/>
  <c r="BN15" i="3" s="1"/>
  <c r="BC15" i="3"/>
  <c r="BB11" i="4"/>
  <c r="BB14" i="1"/>
  <c r="BG16" i="1"/>
  <c r="BK16" i="1" s="1"/>
  <c r="BL16" i="1" s="1"/>
  <c r="BU16" i="1" s="1"/>
  <c r="BU21" i="1"/>
  <c r="AO11" i="2"/>
  <c r="AV12" i="2"/>
  <c r="AO13" i="3"/>
  <c r="AO14" i="1"/>
  <c r="AV13" i="3"/>
  <c r="BM14" i="3"/>
  <c r="BN14" i="3" s="1"/>
  <c r="AO11" i="4"/>
  <c r="AV12" i="4"/>
  <c r="BB11" i="2"/>
  <c r="AV15" i="1"/>
  <c r="BF15" i="1" s="1"/>
  <c r="BF13" i="2"/>
  <c r="BG13" i="2" s="1"/>
  <c r="BK13" i="2" s="1"/>
  <c r="BL13" i="2" s="1"/>
  <c r="BU13" i="2" s="1"/>
  <c r="BM19" i="3"/>
  <c r="BN19" i="3" s="1"/>
  <c r="BC19" i="3"/>
  <c r="BN13" i="3" l="1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<sst xmlns="http://schemas.openxmlformats.org/spreadsheetml/2006/main" count="700" uniqueCount="162">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</sst>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b/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5" fillId="0" borderId="0"/>
    <xf numFmtId="0" fontId="25" fillId="0" borderId="0"/>
    <xf numFmtId="9" fontId="25" fillId="0" borderId="0"/>
  </cellStyleXfs>
  <cellXfs count="472">
    <xf numFmtId="0" fontId="0" fillId="0" borderId="0" xfId="0"/>
    <xf numFmtId="164" fontId="4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0" fontId="16" fillId="0" borderId="9" xfId="3" applyFont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6" fontId="17" fillId="0" borderId="0" xfId="1" applyNumberFormat="1" applyFont="1" applyAlignment="1">
      <alignment horizontal="center"/>
    </xf>
    <xf numFmtId="165" fontId="17" fillId="0" borderId="0" xfId="1" applyFont="1" applyAlignment="1">
      <alignment horizontal="center"/>
    </xf>
    <xf numFmtId="0" fontId="19" fillId="0" borderId="8" xfId="0" applyFont="1" applyBorder="1" applyAlignment="1">
      <alignment horizontal="center"/>
    </xf>
    <xf numFmtId="14" fontId="17" fillId="0" borderId="0" xfId="0" applyNumberFormat="1" applyFont="1"/>
    <xf numFmtId="164" fontId="17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20" fillId="0" borderId="0" xfId="1" applyNumberFormat="1" applyFont="1" applyAlignment="1">
      <alignment horizontal="center"/>
    </xf>
    <xf numFmtId="165" fontId="20" fillId="0" borderId="0" xfId="1" applyFont="1" applyAlignment="1">
      <alignment horizontal="center"/>
    </xf>
    <xf numFmtId="164" fontId="20" fillId="0" borderId="0" xfId="0" applyNumberFormat="1" applyFont="1"/>
    <xf numFmtId="14" fontId="20" fillId="0" borderId="0" xfId="0" applyNumberFormat="1" applyFont="1"/>
    <xf numFmtId="164" fontId="20" fillId="0" borderId="0" xfId="1" applyNumberFormat="1" applyFont="1"/>
    <xf numFmtId="49" fontId="20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7" fillId="0" borderId="9" xfId="3" applyFont="1" applyBorder="1" applyAlignment="1">
      <alignment horizontal="center" vertical="center" shrinkToFit="1"/>
    </xf>
    <xf numFmtId="9" fontId="23" fillId="0" borderId="17" xfId="1" applyNumberFormat="1" applyFont="1" applyBorder="1" applyAlignment="1">
      <alignment horizontal="center" vertical="center"/>
    </xf>
    <xf numFmtId="164" fontId="23" fillId="0" borderId="17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7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vertical="center"/>
    </xf>
    <xf numFmtId="164" fontId="10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8" fillId="0" borderId="17" xfId="3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167" fontId="28" fillId="0" borderId="17" xfId="1" applyNumberFormat="1" applyFont="1" applyBorder="1" applyAlignment="1">
      <alignment horizontal="left" vertical="center"/>
    </xf>
    <xf numFmtId="167" fontId="28" fillId="2" borderId="17" xfId="1" applyNumberFormat="1" applyFont="1" applyFill="1" applyBorder="1" applyAlignment="1">
      <alignment horizontal="left" vertical="center"/>
    </xf>
    <xf numFmtId="164" fontId="28" fillId="0" borderId="19" xfId="1" applyNumberFormat="1" applyFont="1" applyBorder="1" applyAlignment="1">
      <alignment horizontal="left" vertical="center"/>
    </xf>
    <xf numFmtId="164" fontId="26" fillId="0" borderId="21" xfId="1" applyNumberFormat="1" applyFont="1" applyBorder="1" applyAlignment="1">
      <alignment horizontal="left" vertical="center"/>
    </xf>
    <xf numFmtId="164" fontId="26" fillId="0" borderId="12" xfId="1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64" fontId="26" fillId="0" borderId="17" xfId="1" applyNumberFormat="1" applyFont="1" applyBorder="1" applyAlignment="1">
      <alignment horizontal="left" vertical="center"/>
    </xf>
    <xf numFmtId="9" fontId="8" fillId="0" borderId="17" xfId="1" applyNumberFormat="1" applyFont="1" applyBorder="1" applyAlignment="1">
      <alignment horizontal="center" vertical="center"/>
    </xf>
    <xf numFmtId="165" fontId="26" fillId="0" borderId="17" xfId="1" applyFont="1" applyBorder="1" applyAlignment="1">
      <alignment horizontal="left" vertical="center"/>
    </xf>
    <xf numFmtId="165" fontId="26" fillId="2" borderId="17" xfId="1" applyFont="1" applyFill="1" applyBorder="1" applyAlignment="1">
      <alignment horizontal="left" vertical="center"/>
    </xf>
    <xf numFmtId="164" fontId="8" fillId="0" borderId="17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164" fontId="26" fillId="0" borderId="4" xfId="1" applyNumberFormat="1" applyFont="1" applyBorder="1" applyAlignment="1">
      <alignment horizontal="left" vertical="center"/>
    </xf>
    <xf numFmtId="164" fontId="29" fillId="0" borderId="0" xfId="2" applyNumberFormat="1" applyFont="1" applyAlignment="1">
      <alignment horizontal="left" vertical="center"/>
    </xf>
    <xf numFmtId="14" fontId="29" fillId="0" borderId="0" xfId="2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wrapText="1"/>
    </xf>
    <xf numFmtId="164" fontId="26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30" fillId="0" borderId="0" xfId="1" applyNumberFormat="1" applyFont="1"/>
    <xf numFmtId="0" fontId="31" fillId="0" borderId="0" xfId="0" applyFont="1"/>
    <xf numFmtId="165" fontId="26" fillId="0" borderId="0" xfId="1" applyFont="1" applyAlignment="1">
      <alignment horizontal="center"/>
    </xf>
    <xf numFmtId="164" fontId="26" fillId="0" borderId="0" xfId="1" applyNumberFormat="1" applyFont="1"/>
    <xf numFmtId="165" fontId="30" fillId="0" borderId="0" xfId="1" applyFont="1"/>
    <xf numFmtId="0" fontId="30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wrapText="1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0" borderId="0" xfId="1" applyNumberFormat="1" applyFont="1"/>
    <xf numFmtId="0" fontId="32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26" fillId="0" borderId="17" xfId="1" applyNumberFormat="1" applyFont="1" applyBorder="1" applyAlignment="1">
      <alignment horizontal="left" vertical="center" wrapText="1"/>
    </xf>
    <xf numFmtId="0" fontId="26" fillId="0" borderId="1" xfId="1" applyNumberFormat="1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26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29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6" fillId="3" borderId="1" xfId="1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49" fontId="30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5" fontId="30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8" fillId="0" borderId="17" xfId="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left" vertical="center" wrapText="1"/>
    </xf>
    <xf numFmtId="0" fontId="26" fillId="0" borderId="12" xfId="1" applyNumberFormat="1" applyFont="1" applyBorder="1" applyAlignment="1">
      <alignment horizontal="left" vertical="center" wrapText="1"/>
    </xf>
    <xf numFmtId="0" fontId="26" fillId="0" borderId="4" xfId="1" applyNumberFormat="1" applyFont="1" applyBorder="1" applyAlignment="1">
      <alignment horizontal="left" vertical="center" wrapText="1"/>
    </xf>
    <xf numFmtId="0" fontId="26" fillId="0" borderId="21" xfId="1" applyNumberFormat="1" applyFont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35" fillId="0" borderId="0" xfId="1" applyNumberFormat="1" applyFont="1"/>
    <xf numFmtId="0" fontId="19" fillId="0" borderId="0" xfId="0" applyFont="1" applyAlignment="1">
      <alignment horizontal="center"/>
    </xf>
    <xf numFmtId="1" fontId="23" fillId="0" borderId="0" xfId="0" applyNumberFormat="1" applyFont="1"/>
    <xf numFmtId="164" fontId="5" fillId="0" borderId="0" xfId="0" applyNumberFormat="1" applyFont="1"/>
    <xf numFmtId="0" fontId="36" fillId="0" borderId="0" xfId="3" applyFont="1" applyAlignment="1">
      <alignment vertical="center"/>
    </xf>
    <xf numFmtId="164" fontId="38" fillId="0" borderId="0" xfId="0" applyNumberFormat="1" applyFont="1" applyAlignment="1">
      <alignment horizontal="left" vertical="center" shrinkToFit="1"/>
    </xf>
    <xf numFmtId="164" fontId="23" fillId="0" borderId="21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164" fontId="23" fillId="0" borderId="0" xfId="2" applyNumberFormat="1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9" fillId="0" borderId="0" xfId="0" applyFont="1"/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center"/>
    </xf>
    <xf numFmtId="164" fontId="40" fillId="0" borderId="0" xfId="1" applyNumberFormat="1" applyFont="1" applyAlignment="1">
      <alignment horizontal="center"/>
    </xf>
    <xf numFmtId="164" fontId="5" fillId="0" borderId="0" xfId="1" applyNumberFormat="1" applyFont="1"/>
    <xf numFmtId="0" fontId="37" fillId="0" borderId="0" xfId="0" applyFont="1"/>
    <xf numFmtId="165" fontId="5" fillId="0" borderId="0" xfId="1" applyFont="1" applyAlignment="1">
      <alignment horizontal="center"/>
    </xf>
    <xf numFmtId="165" fontId="5" fillId="0" borderId="0" xfId="1" applyFont="1"/>
    <xf numFmtId="0" fontId="5" fillId="0" borderId="0" xfId="0" applyFont="1"/>
    <xf numFmtId="49" fontId="5" fillId="0" borderId="0" xfId="1" applyNumberFormat="1" applyFont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3" fillId="5" borderId="17" xfId="3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center" vertical="center"/>
    </xf>
    <xf numFmtId="164" fontId="23" fillId="5" borderId="17" xfId="1" applyNumberFormat="1" applyFont="1" applyFill="1" applyBorder="1" applyAlignment="1">
      <alignment horizontal="left" vertical="center"/>
    </xf>
    <xf numFmtId="9" fontId="23" fillId="5" borderId="17" xfId="1" applyNumberFormat="1" applyFont="1" applyFill="1" applyBorder="1" applyAlignment="1">
      <alignment horizontal="center" vertical="center"/>
    </xf>
    <xf numFmtId="165" fontId="23" fillId="5" borderId="17" xfId="1" applyFont="1" applyFill="1" applyBorder="1" applyAlignment="1">
      <alignment horizontal="left" vertical="center"/>
    </xf>
    <xf numFmtId="164" fontId="23" fillId="5" borderId="1" xfId="1" applyNumberFormat="1" applyFont="1" applyFill="1" applyBorder="1" applyAlignment="1">
      <alignment horizontal="left" vertical="center"/>
    </xf>
    <xf numFmtId="164" fontId="23" fillId="5" borderId="12" xfId="1" applyNumberFormat="1" applyFont="1" applyFill="1" applyBorder="1" applyAlignment="1">
      <alignment horizontal="left" vertical="center"/>
    </xf>
    <xf numFmtId="164" fontId="23" fillId="5" borderId="4" xfId="1" applyNumberFormat="1" applyFont="1" applyFill="1" applyBorder="1" applyAlignment="1">
      <alignment horizontal="left" vertical="center"/>
    </xf>
    <xf numFmtId="164" fontId="23" fillId="5" borderId="21" xfId="1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164" fontId="36" fillId="0" borderId="0" xfId="1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36" fillId="0" borderId="0" xfId="1" applyNumberFormat="1" applyFont="1" applyAlignment="1">
      <alignment vertical="center"/>
    </xf>
    <xf numFmtId="164" fontId="23" fillId="0" borderId="0" xfId="1" applyNumberFormat="1" applyFont="1" applyAlignment="1">
      <alignment vertical="center" wrapText="1"/>
    </xf>
    <xf numFmtId="165" fontId="41" fillId="0" borderId="0" xfId="1" applyFont="1" applyAlignment="1">
      <alignment vertical="center"/>
    </xf>
    <xf numFmtId="164" fontId="41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45" fillId="0" borderId="0" xfId="1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5" fontId="46" fillId="0" borderId="0" xfId="1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45" fillId="0" borderId="0" xfId="0" applyFont="1" applyAlignment="1">
      <alignment horizont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167" fontId="23" fillId="0" borderId="17" xfId="1" applyNumberFormat="1" applyFont="1" applyBorder="1" applyAlignment="1">
      <alignment horizontal="left" vertical="center"/>
    </xf>
    <xf numFmtId="164" fontId="23" fillId="0" borderId="19" xfId="1" applyNumberFormat="1" applyFont="1" applyBorder="1" applyAlignment="1">
      <alignment horizontal="left" vertical="center"/>
    </xf>
    <xf numFmtId="165" fontId="17" fillId="0" borderId="0" xfId="1" applyFont="1"/>
    <xf numFmtId="165" fontId="17" fillId="0" borderId="0" xfId="0" applyNumberFormat="1" applyFont="1"/>
    <xf numFmtId="165" fontId="20" fillId="0" borderId="0" xfId="1" applyFont="1"/>
    <xf numFmtId="0" fontId="49" fillId="0" borderId="0" xfId="3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49" fontId="50" fillId="0" borderId="1" xfId="1" applyNumberFormat="1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 wrapText="1"/>
    </xf>
    <xf numFmtId="164" fontId="51" fillId="0" borderId="0" xfId="1" applyNumberFormat="1" applyFont="1" applyAlignment="1">
      <alignment horizontal="center" vertical="center" wrapText="1"/>
    </xf>
    <xf numFmtId="164" fontId="46" fillId="0" borderId="0" xfId="1" applyNumberFormat="1" applyFont="1" applyAlignment="1">
      <alignment vertical="center" wrapText="1"/>
    </xf>
    <xf numFmtId="165" fontId="46" fillId="0" borderId="0" xfId="1" applyFont="1" applyAlignment="1">
      <alignment horizontal="center" vertical="center"/>
    </xf>
    <xf numFmtId="165" fontId="46" fillId="0" borderId="0" xfId="1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9" fontId="7" fillId="3" borderId="12" xfId="2" applyFont="1" applyFill="1" applyBorder="1" applyAlignment="1">
      <alignment horizontal="center" vertical="center" wrapText="1"/>
    </xf>
    <xf numFmtId="164" fontId="7" fillId="3" borderId="12" xfId="1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164" fontId="15" fillId="0" borderId="21" xfId="1" applyNumberFormat="1" applyFont="1" applyBorder="1" applyAlignment="1">
      <alignment horizontal="left" vertical="center"/>
    </xf>
    <xf numFmtId="164" fontId="15" fillId="0" borderId="12" xfId="1" applyNumberFormat="1" applyFont="1" applyBorder="1" applyAlignment="1">
      <alignment horizontal="left" vertical="center"/>
    </xf>
    <xf numFmtId="0" fontId="15" fillId="0" borderId="17" xfId="3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164" fontId="15" fillId="0" borderId="17" xfId="1" applyNumberFormat="1" applyFont="1" applyBorder="1" applyAlignment="1">
      <alignment horizontal="left" vertical="center"/>
    </xf>
    <xf numFmtId="165" fontId="15" fillId="0" borderId="17" xfId="1" applyFont="1" applyBorder="1" applyAlignment="1">
      <alignment horizontal="left" vertical="center"/>
    </xf>
    <xf numFmtId="164" fontId="15" fillId="0" borderId="1" xfId="1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4" fontId="6" fillId="0" borderId="0" xfId="1" applyNumberFormat="1" applyFont="1"/>
    <xf numFmtId="0" fontId="5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5" fontId="59" fillId="0" borderId="0" xfId="1" applyFont="1" applyAlignment="1">
      <alignment vertical="center"/>
    </xf>
    <xf numFmtId="164" fontId="59" fillId="0" borderId="0" xfId="1" applyNumberFormat="1" applyFont="1" applyAlignment="1">
      <alignment vertical="center"/>
    </xf>
    <xf numFmtId="164" fontId="60" fillId="0" borderId="0" xfId="1" applyNumberFormat="1" applyFont="1" applyAlignment="1">
      <alignment vertical="center"/>
    </xf>
    <xf numFmtId="0" fontId="60" fillId="0" borderId="0" xfId="3" applyFont="1" applyAlignment="1">
      <alignment horizontal="center" vertical="center"/>
    </xf>
    <xf numFmtId="0" fontId="61" fillId="0" borderId="0" xfId="3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164" fontId="63" fillId="0" borderId="0" xfId="1" applyNumberFormat="1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65" fontId="64" fillId="0" borderId="0" xfId="1" applyFont="1" applyAlignment="1">
      <alignment vertical="center"/>
    </xf>
    <xf numFmtId="164" fontId="65" fillId="0" borderId="0" xfId="0" applyNumberFormat="1" applyFont="1" applyAlignment="1">
      <alignment vertical="center"/>
    </xf>
    <xf numFmtId="49" fontId="26" fillId="0" borderId="9" xfId="1" applyNumberFormat="1" applyFont="1" applyBorder="1" applyAlignment="1">
      <alignment horizontal="center" vertical="center" shrinkToFit="1"/>
    </xf>
    <xf numFmtId="49" fontId="26" fillId="0" borderId="11" xfId="1" applyNumberFormat="1" applyFont="1" applyBorder="1" applyAlignment="1">
      <alignment horizontal="center" vertical="center" shrinkToFit="1"/>
    </xf>
    <xf numFmtId="0" fontId="63" fillId="0" borderId="0" xfId="0" applyFont="1" applyAlignment="1">
      <alignment horizontal="center" shrinkToFit="1"/>
    </xf>
    <xf numFmtId="0" fontId="63" fillId="0" borderId="0" xfId="0" applyFont="1" applyAlignment="1">
      <alignment horizontal="center"/>
    </xf>
    <xf numFmtId="164" fontId="15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5" fontId="26" fillId="0" borderId="0" xfId="1" applyFont="1" applyAlignment="1">
      <alignment horizontal="center" vertical="center" wrapText="1"/>
    </xf>
    <xf numFmtId="0" fontId="26" fillId="0" borderId="9" xfId="3" applyFont="1" applyBorder="1" applyAlignment="1">
      <alignment horizontal="center" vertical="center" shrinkToFit="1"/>
    </xf>
    <xf numFmtId="167" fontId="15" fillId="0" borderId="17" xfId="1" applyNumberFormat="1" applyFont="1" applyBorder="1" applyAlignment="1">
      <alignment horizontal="left" vertical="center"/>
    </xf>
    <xf numFmtId="9" fontId="15" fillId="0" borderId="17" xfId="1" applyNumberFormat="1" applyFont="1" applyBorder="1" applyAlignment="1">
      <alignment horizontal="center" vertical="center"/>
    </xf>
    <xf numFmtId="164" fontId="15" fillId="0" borderId="0" xfId="2" applyNumberFormat="1" applyFont="1" applyAlignment="1">
      <alignment horizontal="left" vertical="center"/>
    </xf>
    <xf numFmtId="14" fontId="15" fillId="0" borderId="0" xfId="2" applyNumberFormat="1" applyFont="1" applyAlignment="1">
      <alignment horizontal="left" vertical="center"/>
    </xf>
    <xf numFmtId="0" fontId="57" fillId="0" borderId="0" xfId="0" applyFont="1"/>
    <xf numFmtId="0" fontId="57" fillId="0" borderId="0" xfId="0" applyFont="1" applyAlignment="1">
      <alignment horizontal="center"/>
    </xf>
    <xf numFmtId="0" fontId="66" fillId="0" borderId="0" xfId="0" applyFont="1"/>
    <xf numFmtId="166" fontId="57" fillId="0" borderId="0" xfId="1" applyNumberFormat="1" applyFont="1" applyAlignment="1">
      <alignment horizontal="center"/>
    </xf>
    <xf numFmtId="165" fontId="57" fillId="0" borderId="0" xfId="1" applyFont="1" applyAlignment="1">
      <alignment horizontal="center"/>
    </xf>
    <xf numFmtId="165" fontId="57" fillId="0" borderId="0" xfId="1" applyFont="1"/>
    <xf numFmtId="165" fontId="57" fillId="0" borderId="0" xfId="0" applyNumberFormat="1" applyFont="1"/>
    <xf numFmtId="0" fontId="67" fillId="0" borderId="8" xfId="0" applyFont="1" applyBorder="1" applyAlignment="1">
      <alignment horizontal="center"/>
    </xf>
    <xf numFmtId="164" fontId="57" fillId="0" borderId="0" xfId="1" applyNumberFormat="1" applyFont="1"/>
    <xf numFmtId="14" fontId="57" fillId="0" borderId="0" xfId="0" applyNumberFormat="1" applyFont="1"/>
    <xf numFmtId="0" fontId="58" fillId="0" borderId="0" xfId="0" applyFont="1"/>
    <xf numFmtId="0" fontId="58" fillId="0" borderId="0" xfId="0" applyFont="1" applyAlignment="1">
      <alignment horizontal="center"/>
    </xf>
    <xf numFmtId="0" fontId="68" fillId="0" borderId="0" xfId="0" applyFont="1"/>
    <xf numFmtId="166" fontId="58" fillId="0" borderId="0" xfId="1" applyNumberFormat="1" applyFont="1" applyAlignment="1">
      <alignment horizontal="center"/>
    </xf>
    <xf numFmtId="165" fontId="58" fillId="0" borderId="0" xfId="1" applyFont="1" applyAlignment="1">
      <alignment horizontal="center"/>
    </xf>
    <xf numFmtId="164" fontId="58" fillId="0" borderId="0" xfId="0" applyNumberFormat="1" applyFont="1"/>
    <xf numFmtId="164" fontId="58" fillId="0" borderId="0" xfId="1" applyNumberFormat="1" applyFont="1"/>
    <xf numFmtId="49" fontId="58" fillId="0" borderId="0" xfId="0" applyNumberFormat="1" applyFont="1" applyAlignment="1">
      <alignment horizontal="center"/>
    </xf>
    <xf numFmtId="165" fontId="58" fillId="0" borderId="0" xfId="1" applyFont="1"/>
    <xf numFmtId="14" fontId="58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wrapText="1"/>
    </xf>
    <xf numFmtId="0" fontId="69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5" fontId="6" fillId="0" borderId="0" xfId="1" applyFont="1"/>
    <xf numFmtId="0" fontId="6" fillId="0" borderId="0" xfId="0" applyFont="1"/>
    <xf numFmtId="14" fontId="12" fillId="0" borderId="0" xfId="2" applyNumberFormat="1" applyFont="1" applyAlignment="1">
      <alignment horizontal="left" vertical="center" shrinkToFit="1"/>
    </xf>
    <xf numFmtId="0" fontId="15" fillId="5" borderId="17" xfId="3" applyFont="1" applyFill="1" applyBorder="1" applyAlignment="1">
      <alignment horizontal="center" vertical="center"/>
    </xf>
    <xf numFmtId="0" fontId="15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17" xfId="1" applyNumberFormat="1" applyFont="1" applyFill="1" applyBorder="1" applyAlignment="1">
      <alignment horizontal="left" vertical="center"/>
    </xf>
    <xf numFmtId="9" fontId="15" fillId="5" borderId="17" xfId="1" applyNumberFormat="1" applyFont="1" applyFill="1" applyBorder="1" applyAlignment="1">
      <alignment horizontal="center" vertical="center"/>
    </xf>
    <xf numFmtId="165" fontId="15" fillId="5" borderId="17" xfId="1" applyFont="1" applyFill="1" applyBorder="1" applyAlignment="1">
      <alignment horizontal="left" vertical="center"/>
    </xf>
    <xf numFmtId="164" fontId="15" fillId="5" borderId="1" xfId="1" applyNumberFormat="1" applyFont="1" applyFill="1" applyBorder="1" applyAlignment="1">
      <alignment horizontal="left" vertical="center"/>
    </xf>
    <xf numFmtId="164" fontId="15" fillId="5" borderId="12" xfId="1" applyNumberFormat="1" applyFont="1" applyFill="1" applyBorder="1" applyAlignment="1">
      <alignment horizontal="left" vertical="center"/>
    </xf>
    <xf numFmtId="164" fontId="15" fillId="5" borderId="21" xfId="1" applyNumberFormat="1" applyFont="1" applyFill="1" applyBorder="1" applyAlignment="1">
      <alignment horizontal="left" vertical="center"/>
    </xf>
    <xf numFmtId="0" fontId="73" fillId="0" borderId="0" xfId="0" applyFont="1" applyAlignment="1">
      <alignment horizontal="center" vertical="center"/>
    </xf>
    <xf numFmtId="164" fontId="74" fillId="0" borderId="0" xfId="0" applyNumberFormat="1" applyFont="1" applyAlignment="1">
      <alignment horizontal="left" vertical="center" shrinkToFit="1"/>
    </xf>
    <xf numFmtId="0" fontId="73" fillId="0" borderId="0" xfId="0" applyFont="1" applyAlignment="1">
      <alignment horizontal="center"/>
    </xf>
    <xf numFmtId="0" fontId="71" fillId="3" borderId="1" xfId="0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165" fontId="26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164" fontId="14" fillId="3" borderId="1" xfId="1" applyNumberFormat="1" applyFont="1" applyFill="1" applyBorder="1" applyAlignment="1">
      <alignment horizontal="center" vertical="center" wrapText="1"/>
    </xf>
    <xf numFmtId="0" fontId="52" fillId="3" borderId="9" xfId="0" applyFont="1" applyFill="1" applyBorder="1"/>
    <xf numFmtId="0" fontId="52" fillId="3" borderId="17" xfId="0" applyFont="1" applyFill="1" applyBorder="1"/>
    <xf numFmtId="164" fontId="10" fillId="3" borderId="4" xfId="1" applyNumberFormat="1" applyFont="1" applyFill="1" applyBorder="1" applyAlignment="1">
      <alignment horizontal="center" vertical="center" wrapText="1"/>
    </xf>
    <xf numFmtId="0" fontId="52" fillId="3" borderId="10" xfId="0" applyFont="1" applyFill="1" applyBorder="1"/>
    <xf numFmtId="0" fontId="52" fillId="3" borderId="19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8" fillId="0" borderId="3" xfId="1" applyNumberFormat="1" applyFont="1" applyBorder="1" applyAlignment="1">
      <alignment horizontal="center" vertical="center" wrapText="1"/>
    </xf>
    <xf numFmtId="0" fontId="37" fillId="0" borderId="2" xfId="0" applyFont="1" applyBorder="1"/>
    <xf numFmtId="165" fontId="10" fillId="3" borderId="7" xfId="1" applyFont="1" applyFill="1" applyBorder="1" applyAlignment="1">
      <alignment horizontal="center" vertical="center" wrapText="1"/>
    </xf>
    <xf numFmtId="0" fontId="52" fillId="3" borderId="18" xfId="0" applyFont="1" applyFill="1" applyBorder="1"/>
    <xf numFmtId="164" fontId="8" fillId="0" borderId="1" xfId="1" applyNumberFormat="1" applyFont="1" applyBorder="1" applyAlignment="1">
      <alignment horizontal="center" vertical="center" wrapText="1"/>
    </xf>
    <xf numFmtId="0" fontId="37" fillId="0" borderId="5" xfId="0" applyFont="1" applyBorder="1"/>
    <xf numFmtId="0" fontId="37" fillId="0" borderId="6" xfId="0" applyFont="1" applyBorder="1"/>
    <xf numFmtId="164" fontId="10" fillId="3" borderId="1" xfId="1" applyNumberFormat="1" applyFont="1" applyFill="1" applyBorder="1" applyAlignment="1">
      <alignment horizontal="center" vertical="center" wrapText="1"/>
    </xf>
    <xf numFmtId="164" fontId="29" fillId="3" borderId="1" xfId="1" applyNumberFormat="1" applyFont="1" applyFill="1" applyBorder="1" applyAlignment="1">
      <alignment horizontal="center" vertical="center" wrapText="1"/>
    </xf>
    <xf numFmtId="0" fontId="55" fillId="3" borderId="17" xfId="0" applyFont="1" applyFill="1" applyBorder="1"/>
    <xf numFmtId="164" fontId="23" fillId="6" borderId="1" xfId="1" applyNumberFormat="1" applyFont="1" applyFill="1" applyBorder="1" applyAlignment="1">
      <alignment horizontal="center" vertical="center" wrapText="1"/>
    </xf>
    <xf numFmtId="0" fontId="37" fillId="6" borderId="5" xfId="0" applyFont="1" applyFill="1" applyBorder="1"/>
    <xf numFmtId="0" fontId="37" fillId="6" borderId="6" xfId="0" applyFont="1" applyFill="1" applyBorder="1"/>
    <xf numFmtId="0" fontId="10" fillId="3" borderId="1" xfId="1" applyNumberFormat="1" applyFont="1" applyFill="1" applyBorder="1" applyAlignment="1">
      <alignment horizontal="center" vertical="center" wrapText="1"/>
    </xf>
    <xf numFmtId="164" fontId="24" fillId="3" borderId="1" xfId="1" applyNumberFormat="1" applyFont="1" applyFill="1" applyBorder="1" applyAlignment="1">
      <alignment horizontal="center" vertical="center" wrapText="1"/>
    </xf>
    <xf numFmtId="0" fontId="55" fillId="3" borderId="9" xfId="0" applyFont="1" applyFill="1" applyBorder="1"/>
    <xf numFmtId="164" fontId="56" fillId="3" borderId="1" xfId="1" applyNumberFormat="1" applyFont="1" applyFill="1" applyBorder="1" applyAlignment="1">
      <alignment horizontal="center" vertical="center" wrapText="1"/>
    </xf>
    <xf numFmtId="164" fontId="8" fillId="6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/>
    </xf>
    <xf numFmtId="164" fontId="53" fillId="3" borderId="1" xfId="1" applyNumberFormat="1" applyFont="1" applyFill="1" applyBorder="1" applyAlignment="1">
      <alignment horizontal="center" vertical="center" wrapText="1"/>
    </xf>
    <xf numFmtId="164" fontId="23" fillId="3" borderId="1" xfId="1" applyNumberFormat="1" applyFont="1" applyFill="1" applyBorder="1" applyAlignment="1">
      <alignment horizontal="center" vertical="center" wrapText="1"/>
    </xf>
    <xf numFmtId="0" fontId="37" fillId="3" borderId="9" xfId="0" applyFont="1" applyFill="1" applyBorder="1"/>
    <xf numFmtId="0" fontId="37" fillId="3" borderId="17" xfId="0" applyFont="1" applyFill="1" applyBorder="1"/>
    <xf numFmtId="164" fontId="8" fillId="3" borderId="17" xfId="1" applyNumberFormat="1" applyFont="1" applyFill="1" applyBorder="1" applyAlignment="1">
      <alignment horizontal="center" vertical="center" wrapText="1"/>
    </xf>
    <xf numFmtId="165" fontId="48" fillId="3" borderId="1" xfId="1" applyFont="1" applyFill="1" applyBorder="1" applyAlignment="1">
      <alignment horizontal="center" vertical="center" wrapText="1"/>
    </xf>
    <xf numFmtId="43" fontId="45" fillId="0" borderId="1" xfId="5" applyFont="1" applyBorder="1" applyAlignment="1">
      <alignment horizontal="center" vertical="center" wrapText="1"/>
    </xf>
    <xf numFmtId="0" fontId="37" fillId="0" borderId="19" xfId="0" applyFont="1" applyBorder="1"/>
    <xf numFmtId="0" fontId="37" fillId="0" borderId="16" xfId="0" applyFont="1" applyBorder="1"/>
    <xf numFmtId="0" fontId="7" fillId="3" borderId="3" xfId="1" applyNumberFormat="1" applyFont="1" applyFill="1" applyBorder="1" applyAlignment="1">
      <alignment horizontal="center" vertical="center" wrapText="1"/>
    </xf>
    <xf numFmtId="0" fontId="7" fillId="3" borderId="17" xfId="1" applyNumberFormat="1" applyFont="1" applyFill="1" applyBorder="1" applyAlignment="1">
      <alignment horizontal="center" vertical="center" wrapText="1"/>
    </xf>
    <xf numFmtId="165" fontId="23" fillId="6" borderId="4" xfId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9" fontId="8" fillId="6" borderId="7" xfId="2" applyFont="1" applyFill="1" applyBorder="1" applyAlignment="1">
      <alignment horizontal="center" vertical="center"/>
    </xf>
    <xf numFmtId="0" fontId="37" fillId="6" borderId="8" xfId="0" applyFont="1" applyFill="1" applyBorder="1"/>
    <xf numFmtId="0" fontId="37" fillId="6" borderId="2" xfId="0" applyFont="1" applyFill="1" applyBorder="1"/>
    <xf numFmtId="0" fontId="37" fillId="6" borderId="10" xfId="0" applyFont="1" applyFill="1" applyBorder="1"/>
    <xf numFmtId="0" fontId="45" fillId="6" borderId="0" xfId="0" applyFont="1" applyFill="1" applyAlignment="1">
      <alignment horizontal="center" vertical="center"/>
    </xf>
    <xf numFmtId="0" fontId="37" fillId="6" borderId="11" xfId="0" applyFont="1" applyFill="1" applyBorder="1"/>
    <xf numFmtId="0" fontId="37" fillId="6" borderId="13" xfId="0" applyFont="1" applyFill="1" applyBorder="1"/>
    <xf numFmtId="0" fontId="37" fillId="6" borderId="14" xfId="0" applyFont="1" applyFill="1" applyBorder="1"/>
    <xf numFmtId="0" fontId="37" fillId="6" borderId="15" xfId="0" applyFont="1" applyFill="1" applyBorder="1"/>
    <xf numFmtId="164" fontId="7" fillId="3" borderId="20" xfId="1" applyNumberFormat="1" applyFont="1" applyFill="1" applyBorder="1" applyAlignment="1">
      <alignment horizontal="center" vertical="center"/>
    </xf>
    <xf numFmtId="0" fontId="54" fillId="3" borderId="11" xfId="0" applyFont="1" applyFill="1" applyBorder="1"/>
    <xf numFmtId="0" fontId="54" fillId="3" borderId="15" xfId="0" applyFont="1" applyFill="1" applyBorder="1"/>
    <xf numFmtId="0" fontId="8" fillId="3" borderId="1" xfId="1" applyNumberFormat="1" applyFont="1" applyFill="1" applyBorder="1" applyAlignment="1">
      <alignment horizontal="center" vertical="center" wrapText="1"/>
    </xf>
    <xf numFmtId="165" fontId="4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10" fillId="4" borderId="17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10" fillId="2" borderId="1" xfId="1" applyNumberFormat="1" applyFont="1" applyFill="1" applyBorder="1" applyAlignment="1">
      <alignment horizontal="center" vertical="center" wrapText="1"/>
    </xf>
    <xf numFmtId="165" fontId="10" fillId="2" borderId="1" xfId="1" applyFont="1" applyFill="1" applyBorder="1" applyAlignment="1">
      <alignment horizontal="center" vertical="center" wrapText="1"/>
    </xf>
    <xf numFmtId="0" fontId="10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4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164" fontId="10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4" fillId="2" borderId="7" xfId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64" fontId="10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 wrapText="1"/>
    </xf>
    <xf numFmtId="165" fontId="10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43" fontId="10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71" fillId="3" borderId="1" xfId="1" applyNumberFormat="1" applyFont="1" applyFill="1" applyBorder="1" applyAlignment="1">
      <alignment horizontal="center" vertical="center" wrapText="1"/>
    </xf>
    <xf numFmtId="0" fontId="72" fillId="3" borderId="9" xfId="0" applyFont="1" applyFill="1" applyBorder="1"/>
    <xf numFmtId="0" fontId="72" fillId="3" borderId="17" xfId="0" applyFont="1" applyFill="1" applyBorder="1"/>
    <xf numFmtId="164" fontId="70" fillId="3" borderId="1" xfId="1" applyNumberFormat="1" applyFont="1" applyFill="1" applyBorder="1" applyAlignment="1">
      <alignment horizontal="center" vertical="center" wrapText="1"/>
    </xf>
    <xf numFmtId="0" fontId="72" fillId="3" borderId="18" xfId="0" applyFont="1" applyFill="1" applyBorder="1"/>
    <xf numFmtId="164" fontId="76" fillId="3" borderId="1" xfId="1" applyNumberFormat="1" applyFont="1" applyFill="1" applyBorder="1" applyAlignment="1">
      <alignment horizontal="center" vertical="center" wrapText="1"/>
    </xf>
    <xf numFmtId="164" fontId="15" fillId="6" borderId="1" xfId="1" applyNumberFormat="1" applyFont="1" applyFill="1" applyBorder="1" applyAlignment="1">
      <alignment horizontal="center" vertical="center" wrapText="1"/>
    </xf>
    <xf numFmtId="0" fontId="0" fillId="6" borderId="5" xfId="0" applyFill="1" applyBorder="1"/>
    <xf numFmtId="0" fontId="0" fillId="6" borderId="6" xfId="0" applyFill="1" applyBorder="1"/>
    <xf numFmtId="165" fontId="75" fillId="3" borderId="1" xfId="1" applyFont="1" applyFill="1" applyBorder="1" applyAlignment="1">
      <alignment horizontal="center" vertical="center" wrapText="1"/>
    </xf>
    <xf numFmtId="164" fontId="4" fillId="3" borderId="17" xfId="1" applyNumberFormat="1" applyFont="1" applyFill="1" applyBorder="1" applyAlignment="1">
      <alignment horizontal="center" vertical="center" wrapText="1"/>
    </xf>
    <xf numFmtId="0" fontId="7" fillId="3" borderId="1" xfId="1" applyNumberFormat="1" applyFont="1" applyFill="1" applyBorder="1" applyAlignment="1">
      <alignment horizontal="center" vertical="top" wrapText="1"/>
    </xf>
    <xf numFmtId="164" fontId="7" fillId="3" borderId="1" xfId="1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wrapText="1"/>
    </xf>
    <xf numFmtId="164" fontId="26" fillId="0" borderId="1" xfId="1" applyNumberFormat="1" applyFont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top" wrapText="1"/>
    </xf>
    <xf numFmtId="43" fontId="73" fillId="0" borderId="1" xfId="5" applyFont="1" applyBorder="1" applyAlignment="1">
      <alignment horizontal="center" vertical="center" wrapText="1"/>
    </xf>
    <xf numFmtId="0" fontId="72" fillId="0" borderId="2" xfId="0" applyFont="1" applyBorder="1"/>
    <xf numFmtId="0" fontId="72" fillId="0" borderId="19" xfId="0" applyFont="1" applyBorder="1"/>
    <xf numFmtId="0" fontId="72" fillId="0" borderId="16" xfId="0" applyFont="1" applyBorder="1"/>
    <xf numFmtId="164" fontId="64" fillId="0" borderId="0" xfId="1" applyNumberFormat="1" applyFont="1" applyAlignment="1">
      <alignment horizontal="center" vertical="center"/>
    </xf>
    <xf numFmtId="9" fontId="26" fillId="6" borderId="7" xfId="2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2" xfId="0" applyFill="1" applyBorder="1"/>
    <xf numFmtId="0" fontId="0" fillId="6" borderId="10" xfId="0" applyFill="1" applyBorder="1"/>
    <xf numFmtId="0" fontId="63" fillId="6" borderId="0" xfId="0" applyFont="1" applyFill="1" applyAlignment="1">
      <alignment horizontal="center" vertical="center"/>
    </xf>
    <xf numFmtId="0" fontId="0" fillId="6" borderId="11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164" fontId="26" fillId="0" borderId="3" xfId="1" applyNumberFormat="1" applyFont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/>
    </xf>
    <xf numFmtId="165" fontId="15" fillId="6" borderId="4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opLeftCell="BP4" zoomScale="130" zoomScaleNormal="130" zoomScaleSheetLayoutView="70" workbookViewId="0">
      <selection activeCell="BW25" sqref="BW25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381"/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0"/>
      <c r="AP3" s="380"/>
      <c r="AQ3" s="380"/>
      <c r="AR3" s="380"/>
      <c r="AS3" s="380"/>
      <c r="AT3" s="380"/>
      <c r="AU3" s="380"/>
      <c r="AV3" s="380"/>
      <c r="AW3" s="380"/>
      <c r="AX3" s="380"/>
      <c r="AY3" s="380"/>
      <c r="AZ3" s="380"/>
      <c r="BA3" s="380"/>
      <c r="BB3" s="380"/>
      <c r="BC3" s="380"/>
      <c r="BD3" s="380"/>
      <c r="BE3" s="380"/>
      <c r="BF3" s="380"/>
      <c r="BG3" s="380"/>
      <c r="BH3" s="380"/>
      <c r="BI3" s="380"/>
      <c r="BJ3" s="380"/>
      <c r="BK3" s="380"/>
      <c r="BL3" s="380"/>
      <c r="BM3" s="380"/>
      <c r="BN3" s="380"/>
      <c r="BO3" s="380"/>
      <c r="BP3" s="380"/>
      <c r="BQ3" s="380"/>
      <c r="BR3" s="380"/>
      <c r="BS3" s="380"/>
      <c r="BT3" s="380"/>
      <c r="BU3" s="380"/>
      <c r="BV3" s="205"/>
      <c r="BW3" s="379" t="s">
        <v>2</v>
      </c>
      <c r="BX3" s="380"/>
      <c r="BY3" s="380"/>
      <c r="BZ3" s="380"/>
      <c r="CA3" s="380"/>
      <c r="CB3" s="380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380"/>
      <c r="BX4" s="380"/>
      <c r="BY4" s="380"/>
      <c r="BZ4" s="380"/>
      <c r="CA4" s="380"/>
      <c r="CB4" s="380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380"/>
      <c r="BX5" s="380"/>
      <c r="BY5" s="380"/>
      <c r="BZ5" s="380"/>
      <c r="CA5" s="380"/>
      <c r="CB5" s="380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380"/>
      <c r="BX6" s="380"/>
      <c r="BY6" s="380"/>
      <c r="BZ6" s="380"/>
      <c r="CA6" s="380"/>
      <c r="CB6" s="380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155</v>
      </c>
    </row>
    <row r="8" spans="1:87" s="213" customFormat="1" ht="19.25" customHeight="1">
      <c r="A8" s="378" t="s">
        <v>4</v>
      </c>
      <c r="B8" s="383" t="s">
        <v>5</v>
      </c>
      <c r="C8" s="353" t="s">
        <v>6</v>
      </c>
      <c r="D8" s="365" t="s">
        <v>7</v>
      </c>
      <c r="E8" s="365" t="s">
        <v>8</v>
      </c>
      <c r="F8" s="353" t="s">
        <v>9</v>
      </c>
      <c r="G8" s="366" t="s">
        <v>10</v>
      </c>
      <c r="H8" s="367" t="s">
        <v>11</v>
      </c>
      <c r="I8" s="367" t="s">
        <v>12</v>
      </c>
      <c r="J8" s="360" t="s">
        <v>13</v>
      </c>
      <c r="K8" s="377" t="s">
        <v>14</v>
      </c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6" t="s">
        <v>15</v>
      </c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357"/>
      <c r="AK8" s="357"/>
      <c r="AL8" s="357"/>
      <c r="AM8" s="357"/>
      <c r="AN8" s="357"/>
      <c r="AO8" s="358"/>
      <c r="AP8" s="360" t="s">
        <v>16</v>
      </c>
      <c r="AQ8" s="360" t="s">
        <v>17</v>
      </c>
      <c r="AR8" s="360" t="s">
        <v>18</v>
      </c>
      <c r="AS8" s="360" t="s">
        <v>19</v>
      </c>
      <c r="AT8" s="360" t="s">
        <v>20</v>
      </c>
      <c r="AU8" s="360" t="s">
        <v>21</v>
      </c>
      <c r="AV8" s="353" t="s">
        <v>22</v>
      </c>
      <c r="AW8" s="354" t="s">
        <v>23</v>
      </c>
      <c r="AX8" s="343" t="s">
        <v>24</v>
      </c>
      <c r="AY8" s="363" t="s">
        <v>25</v>
      </c>
      <c r="AZ8" s="357"/>
      <c r="BA8" s="357"/>
      <c r="BB8" s="357"/>
      <c r="BC8" s="357"/>
      <c r="BD8" s="357"/>
      <c r="BE8" s="357"/>
      <c r="BF8" s="357"/>
      <c r="BG8" s="357"/>
      <c r="BH8" s="357"/>
      <c r="BI8" s="357"/>
      <c r="BJ8" s="357"/>
      <c r="BK8" s="357"/>
      <c r="BL8" s="357"/>
      <c r="BM8" s="357"/>
      <c r="BN8" s="357"/>
      <c r="BO8" s="357"/>
      <c r="BP8" s="357"/>
      <c r="BQ8" s="358"/>
      <c r="BR8" s="346" t="s">
        <v>26</v>
      </c>
      <c r="BS8" s="347"/>
      <c r="BT8" s="353" t="s">
        <v>27</v>
      </c>
      <c r="BU8" s="340" t="s">
        <v>28</v>
      </c>
      <c r="BV8" s="3"/>
      <c r="BW8" s="393" t="s">
        <v>29</v>
      </c>
      <c r="BX8" s="384" t="s">
        <v>30</v>
      </c>
      <c r="BY8" s="385"/>
      <c r="BZ8" s="385"/>
      <c r="CA8" s="386"/>
      <c r="CB8" s="348" t="s">
        <v>31</v>
      </c>
      <c r="CC8" s="334" t="s">
        <v>32</v>
      </c>
      <c r="CD8" s="334" t="s">
        <v>33</v>
      </c>
      <c r="CH8" s="150"/>
      <c r="CI8" s="150"/>
    </row>
    <row r="9" spans="1:87" s="213" customFormat="1" ht="19.25" customHeight="1">
      <c r="A9" s="368"/>
      <c r="B9" s="338"/>
      <c r="C9" s="338"/>
      <c r="D9" s="338"/>
      <c r="E9" s="338"/>
      <c r="F9" s="338"/>
      <c r="G9" s="344"/>
      <c r="H9" s="368"/>
      <c r="I9" s="368"/>
      <c r="J9" s="361"/>
      <c r="K9" s="371" t="s">
        <v>34</v>
      </c>
      <c r="L9" s="371" t="s">
        <v>35</v>
      </c>
      <c r="M9" s="371" t="s">
        <v>36</v>
      </c>
      <c r="N9" s="371" t="s">
        <v>37</v>
      </c>
      <c r="O9" s="371" t="s">
        <v>38</v>
      </c>
      <c r="P9" s="371" t="s">
        <v>39</v>
      </c>
      <c r="Q9" s="371" t="s">
        <v>40</v>
      </c>
      <c r="R9" s="371" t="s">
        <v>41</v>
      </c>
      <c r="S9" s="371" t="s">
        <v>42</v>
      </c>
      <c r="T9" s="371" t="s">
        <v>43</v>
      </c>
      <c r="U9" s="371" t="s">
        <v>44</v>
      </c>
      <c r="V9" s="372" t="s">
        <v>45</v>
      </c>
      <c r="W9" s="347"/>
      <c r="X9" s="371" t="s">
        <v>46</v>
      </c>
      <c r="Y9" s="337" t="s">
        <v>154</v>
      </c>
      <c r="Z9" s="337" t="s">
        <v>48</v>
      </c>
      <c r="AA9" s="337" t="s">
        <v>49</v>
      </c>
      <c r="AB9" s="337" t="s">
        <v>50</v>
      </c>
      <c r="AC9" s="337" t="s">
        <v>51</v>
      </c>
      <c r="AD9" s="337" t="s">
        <v>52</v>
      </c>
      <c r="AE9" s="337" t="s">
        <v>53</v>
      </c>
      <c r="AF9" s="337" t="s">
        <v>54</v>
      </c>
      <c r="AG9" s="337" t="s">
        <v>55</v>
      </c>
      <c r="AH9" s="337" t="s">
        <v>56</v>
      </c>
      <c r="AI9" s="337" t="s">
        <v>57</v>
      </c>
      <c r="AJ9" s="362" t="s">
        <v>58</v>
      </c>
      <c r="AK9" s="340" t="s">
        <v>59</v>
      </c>
      <c r="AL9" s="343" t="s">
        <v>60</v>
      </c>
      <c r="AM9" s="337" t="s">
        <v>61</v>
      </c>
      <c r="AN9" s="353" t="s">
        <v>62</v>
      </c>
      <c r="AO9" s="353" t="s">
        <v>63</v>
      </c>
      <c r="AP9" s="361"/>
      <c r="AQ9" s="361"/>
      <c r="AR9" s="361"/>
      <c r="AS9" s="361"/>
      <c r="AT9" s="361"/>
      <c r="AU9" s="361"/>
      <c r="AV9" s="338"/>
      <c r="AW9" s="361"/>
      <c r="AX9" s="344"/>
      <c r="AY9" s="350" t="s">
        <v>25</v>
      </c>
      <c r="AZ9" s="351"/>
      <c r="BA9" s="351"/>
      <c r="BB9" s="351"/>
      <c r="BC9" s="351"/>
      <c r="BD9" s="351"/>
      <c r="BE9" s="351"/>
      <c r="BF9" s="351"/>
      <c r="BG9" s="351"/>
      <c r="BH9" s="351"/>
      <c r="BI9" s="351"/>
      <c r="BJ9" s="351"/>
      <c r="BK9" s="351"/>
      <c r="BL9" s="352"/>
      <c r="BM9" s="350" t="s">
        <v>64</v>
      </c>
      <c r="BN9" s="351"/>
      <c r="BO9" s="351"/>
      <c r="BP9" s="351"/>
      <c r="BQ9" s="352"/>
      <c r="BR9" s="370" t="s">
        <v>65</v>
      </c>
      <c r="BS9" s="370" t="s">
        <v>66</v>
      </c>
      <c r="BT9" s="338"/>
      <c r="BU9" s="341"/>
      <c r="BV9" s="3"/>
      <c r="BW9" s="394"/>
      <c r="BX9" s="387"/>
      <c r="BY9" s="388"/>
      <c r="BZ9" s="388"/>
      <c r="CA9" s="389"/>
      <c r="CB9" s="338"/>
      <c r="CC9" s="335"/>
      <c r="CD9" s="335"/>
      <c r="CH9" s="150"/>
      <c r="CI9" s="150"/>
    </row>
    <row r="10" spans="1:87" s="214" customFormat="1" ht="19.25" customHeight="1">
      <c r="A10" s="368"/>
      <c r="B10" s="338"/>
      <c r="C10" s="338"/>
      <c r="D10" s="338"/>
      <c r="E10" s="338"/>
      <c r="F10" s="338"/>
      <c r="G10" s="344"/>
      <c r="H10" s="368"/>
      <c r="I10" s="368"/>
      <c r="J10" s="361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73"/>
      <c r="W10" s="374"/>
      <c r="X10" s="368"/>
      <c r="Y10" s="338"/>
      <c r="Z10" s="338"/>
      <c r="AA10" s="338"/>
      <c r="AB10" s="338"/>
      <c r="AC10" s="338"/>
      <c r="AD10" s="338"/>
      <c r="AE10" s="338"/>
      <c r="AF10" s="338"/>
      <c r="AG10" s="338"/>
      <c r="AH10" s="338"/>
      <c r="AI10" s="338"/>
      <c r="AJ10" s="344"/>
      <c r="AK10" s="341"/>
      <c r="AL10" s="344"/>
      <c r="AM10" s="338"/>
      <c r="AN10" s="338"/>
      <c r="AO10" s="338"/>
      <c r="AP10" s="361"/>
      <c r="AQ10" s="361"/>
      <c r="AR10" s="361"/>
      <c r="AS10" s="361"/>
      <c r="AT10" s="361"/>
      <c r="AU10" s="361"/>
      <c r="AV10" s="338"/>
      <c r="AW10" s="361"/>
      <c r="AX10" s="344"/>
      <c r="AY10" s="29" t="s">
        <v>67</v>
      </c>
      <c r="AZ10" s="29" t="s">
        <v>68</v>
      </c>
      <c r="BA10" s="29" t="s">
        <v>69</v>
      </c>
      <c r="BB10" s="382" t="s">
        <v>70</v>
      </c>
      <c r="BC10" s="364" t="s">
        <v>71</v>
      </c>
      <c r="BD10" s="364" t="s">
        <v>72</v>
      </c>
      <c r="BE10" s="359" t="s">
        <v>73</v>
      </c>
      <c r="BF10" s="359" t="s">
        <v>74</v>
      </c>
      <c r="BG10" s="396" t="s">
        <v>75</v>
      </c>
      <c r="BH10" s="364" t="s">
        <v>76</v>
      </c>
      <c r="BI10" s="375" t="s">
        <v>77</v>
      </c>
      <c r="BJ10" s="359" t="s">
        <v>78</v>
      </c>
      <c r="BK10" s="359" t="s">
        <v>79</v>
      </c>
      <c r="BL10" s="353" t="s">
        <v>80</v>
      </c>
      <c r="BM10" s="364" t="s">
        <v>81</v>
      </c>
      <c r="BN10" s="354" t="s">
        <v>82</v>
      </c>
      <c r="BO10" s="364" t="s">
        <v>83</v>
      </c>
      <c r="BP10" s="354" t="s">
        <v>84</v>
      </c>
      <c r="BQ10" s="354" t="s">
        <v>85</v>
      </c>
      <c r="BR10" s="368"/>
      <c r="BS10" s="368"/>
      <c r="BT10" s="338"/>
      <c r="BU10" s="341"/>
      <c r="BV10" s="3"/>
      <c r="BW10" s="394"/>
      <c r="BX10" s="390"/>
      <c r="BY10" s="391"/>
      <c r="BZ10" s="391"/>
      <c r="CA10" s="392"/>
      <c r="CB10" s="338"/>
      <c r="CC10" s="335"/>
      <c r="CD10" s="335"/>
      <c r="CE10" s="228" t="s">
        <v>3</v>
      </c>
      <c r="CH10" s="150"/>
      <c r="CI10" s="150"/>
    </row>
    <row r="11" spans="1:87" s="214" customFormat="1" ht="38.25" customHeight="1">
      <c r="A11" s="369"/>
      <c r="B11" s="339"/>
      <c r="C11" s="339"/>
      <c r="D11" s="339"/>
      <c r="E11" s="339"/>
      <c r="F11" s="339"/>
      <c r="G11" s="345"/>
      <c r="H11" s="369"/>
      <c r="I11" s="369"/>
      <c r="J11" s="355"/>
      <c r="K11" s="369"/>
      <c r="L11" s="369"/>
      <c r="M11" s="369"/>
      <c r="N11" s="369"/>
      <c r="O11" s="369"/>
      <c r="P11" s="369"/>
      <c r="Q11" s="369"/>
      <c r="R11" s="369"/>
      <c r="S11" s="369"/>
      <c r="T11" s="369"/>
      <c r="U11" s="369"/>
      <c r="V11" s="178" t="s">
        <v>86</v>
      </c>
      <c r="W11" s="178" t="s">
        <v>87</v>
      </c>
      <c r="X11" s="36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45"/>
      <c r="AK11" s="342"/>
      <c r="AL11" s="345"/>
      <c r="AM11" s="339"/>
      <c r="AN11" s="339"/>
      <c r="AO11" s="339"/>
      <c r="AP11" s="355"/>
      <c r="AQ11" s="355"/>
      <c r="AR11" s="355"/>
      <c r="AS11" s="355"/>
      <c r="AT11" s="355"/>
      <c r="AU11" s="355"/>
      <c r="AV11" s="339"/>
      <c r="AW11" s="355"/>
      <c r="AX11" s="345"/>
      <c r="AY11" s="229" t="s">
        <v>88</v>
      </c>
      <c r="AZ11" s="229" t="s">
        <v>89</v>
      </c>
      <c r="BA11" s="229" t="s">
        <v>90</v>
      </c>
      <c r="BB11" s="339"/>
      <c r="BC11" s="355"/>
      <c r="BD11" s="355"/>
      <c r="BE11" s="339"/>
      <c r="BF11" s="339"/>
      <c r="BG11" s="369"/>
      <c r="BH11" s="355"/>
      <c r="BI11" s="376"/>
      <c r="BJ11" s="339"/>
      <c r="BK11" s="339"/>
      <c r="BL11" s="339"/>
      <c r="BM11" s="355"/>
      <c r="BN11" s="355"/>
      <c r="BO11" s="355"/>
      <c r="BP11" s="355"/>
      <c r="BQ11" s="355"/>
      <c r="BR11" s="369"/>
      <c r="BS11" s="369"/>
      <c r="BT11" s="339"/>
      <c r="BU11" s="342"/>
      <c r="BV11" s="3"/>
      <c r="BW11" s="395"/>
      <c r="BX11" s="237" t="s">
        <v>91</v>
      </c>
      <c r="BY11" s="237" t="s">
        <v>92</v>
      </c>
      <c r="BZ11" s="237" t="s">
        <v>93</v>
      </c>
      <c r="CA11" s="238" t="s">
        <v>94</v>
      </c>
      <c r="CB11" s="349"/>
      <c r="CC11" s="336"/>
      <c r="CD11" s="336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 t="shared" ref="I15:I21" si="8"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9">G15*(K15+L15)/26</f>
        <v>9520000</v>
      </c>
      <c r="Z15" s="184">
        <f t="shared" ref="Z15:Z21" si="10">M15*G15/26</f>
        <v>0</v>
      </c>
      <c r="AA15" s="184">
        <f t="shared" ref="AA15:AA21" si="11">G15*N15/26</f>
        <v>0</v>
      </c>
      <c r="AB15" s="184">
        <f t="shared" ref="AB15:AB21" si="12">G15*O15/26</f>
        <v>0</v>
      </c>
      <c r="AC15" s="184">
        <f t="shared" ref="AC15:AC21" si="13">G15*P15*150%/26</f>
        <v>0</v>
      </c>
      <c r="AD15" s="184">
        <f t="shared" ref="AD15:AD21" si="14">G15*Q15/26*200%</f>
        <v>0</v>
      </c>
      <c r="AE15" s="184">
        <f t="shared" ref="AE15:AE21" si="15">G15*R15/26*300%</f>
        <v>0</v>
      </c>
      <c r="AF15" s="184">
        <f>ROUND((G15+H15)/26*S15*30%,0)</f>
        <v>0</v>
      </c>
      <c r="AG15" s="184">
        <f t="shared" ref="AG15:AG21" si="16">T15*G15/26/8</f>
        <v>0</v>
      </c>
      <c r="AH15" s="184">
        <f t="shared" ref="AH15:AH21" si="17">CB15/26*U15</f>
        <v>0</v>
      </c>
      <c r="AI15" s="184">
        <f t="shared" ref="AI15:AI21" si="18">G15*V15/26</f>
        <v>0</v>
      </c>
      <c r="AJ15" s="184"/>
      <c r="AK15" s="184">
        <f t="shared" ref="AK15:AK21" si="19">BZ15*L15/26</f>
        <v>0</v>
      </c>
      <c r="AL15" s="184"/>
      <c r="AM15" s="184">
        <f t="shared" ref="AM15:AM21" si="20">X15*CD15</f>
        <v>0</v>
      </c>
      <c r="AN15" s="184">
        <f>H15/26*(K15+L15)</f>
        <v>0</v>
      </c>
      <c r="AO15" s="18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22">Y15+Z15+AA15+AB15+AC15+AD15+AE15+AF15+AG15+AI15+AJ15+AK15+AL15+AM15+AN15+AO15+AP15-AQ15+AR15+AS15+AT15+AU15</f>
        <v>64000000</v>
      </c>
      <c r="AW15" s="184"/>
      <c r="AX15" s="184" t="str">
        <f t="shared" ref="AX15:AX21" si="23">IF(E15="CT","x",0)</f>
        <v>x</v>
      </c>
      <c r="AY15" s="187">
        <f t="shared" ref="AY15:BA21" si="24">ROUND(IF($AX15="x",($G15+$H15)*AY$11,0),0)</f>
        <v>761600</v>
      </c>
      <c r="AZ15" s="187">
        <f t="shared" si="24"/>
        <v>142800</v>
      </c>
      <c r="BA15" s="187">
        <f t="shared" si="24"/>
        <v>95200</v>
      </c>
      <c r="BB15" s="187">
        <f t="shared" ref="BB15:BB21" si="25">SUM(AY15:BA15)</f>
        <v>999600</v>
      </c>
      <c r="BC15" s="187"/>
      <c r="BD15" s="187"/>
      <c r="BE15" s="187">
        <f t="shared" ref="BE15:BE21" si="26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7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 t="shared" ref="BK15:BK21" si="28">BG15-BB15-BC15+BD15-BH15*BI15-BJ15</f>
        <v>18679900</v>
      </c>
      <c r="BL15" s="18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 t="shared" ref="BU15:BU21" si="30"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31">+BW15*5%</f>
        <v>3000000</v>
      </c>
      <c r="CB15" s="188">
        <f t="shared" ref="CB15:CB21" si="32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 t="shared" si="8"/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9"/>
        <v>7827692.307692308</v>
      </c>
      <c r="Z16" s="28">
        <f t="shared" si="10"/>
        <v>0</v>
      </c>
      <c r="AA16" s="28">
        <f t="shared" si="11"/>
        <v>0</v>
      </c>
      <c r="AB16" s="28">
        <f t="shared" si="12"/>
        <v>0</v>
      </c>
      <c r="AC16" s="28">
        <f t="shared" si="13"/>
        <v>0</v>
      </c>
      <c r="AD16" s="28">
        <f t="shared" si="14"/>
        <v>0</v>
      </c>
      <c r="AE16" s="28">
        <f t="shared" si="15"/>
        <v>0</v>
      </c>
      <c r="AF16" s="28">
        <f>ROUND((G16+H16)/26*S16*30%,0)</f>
        <v>0</v>
      </c>
      <c r="AG16" s="28">
        <f t="shared" si="16"/>
        <v>0</v>
      </c>
      <c r="AH16" s="28">
        <f t="shared" si="17"/>
        <v>0</v>
      </c>
      <c r="AI16" s="28">
        <f t="shared" si="18"/>
        <v>0</v>
      </c>
      <c r="AJ16" s="28"/>
      <c r="AK16" s="28">
        <f t="shared" si="19"/>
        <v>38461.538461538461</v>
      </c>
      <c r="AL16" s="28"/>
      <c r="AM16" s="28">
        <f t="shared" si="20"/>
        <v>0</v>
      </c>
      <c r="AN16" s="28">
        <f t="shared" ref="AN16:AN21" si="33">H16/26*K16</f>
        <v>0</v>
      </c>
      <c r="AO16" s="28">
        <f t="shared" si="21"/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22"/>
        <v>48758461.538461544</v>
      </c>
      <c r="AW16" s="28"/>
      <c r="AX16" s="28" t="str">
        <f t="shared" si="23"/>
        <v>x</v>
      </c>
      <c r="AY16" s="159">
        <f t="shared" si="24"/>
        <v>678400</v>
      </c>
      <c r="AZ16" s="159">
        <f t="shared" si="24"/>
        <v>127200</v>
      </c>
      <c r="BA16" s="159">
        <f t="shared" si="24"/>
        <v>84800</v>
      </c>
      <c r="BB16" s="159">
        <f t="shared" si="25"/>
        <v>890400</v>
      </c>
      <c r="BC16" s="159"/>
      <c r="BD16" s="159"/>
      <c r="BE16" s="159">
        <f t="shared" si="26"/>
        <v>84800</v>
      </c>
      <c r="BF16" s="159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7"/>
        <v>40832692.307692312</v>
      </c>
      <c r="BH16" s="159"/>
      <c r="BI16" s="187">
        <v>6200000</v>
      </c>
      <c r="BJ16" s="159">
        <f t="shared" ref="BJ16:BJ21" si="35">IF(E16="CT",15500000,0)</f>
        <v>15500000</v>
      </c>
      <c r="BK16" s="159">
        <f t="shared" si="28"/>
        <v>24442292.307692312</v>
      </c>
      <c r="BL16" s="152">
        <f t="shared" si="29"/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 t="shared" si="30"/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31"/>
        <v>2000000</v>
      </c>
      <c r="CB16" s="152">
        <f t="shared" si="32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 t="shared" si="8"/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9"/>
        <v>7218461.538461538</v>
      </c>
      <c r="Z17" s="28">
        <f t="shared" si="10"/>
        <v>0</v>
      </c>
      <c r="AA17" s="28">
        <f t="shared" si="11"/>
        <v>0</v>
      </c>
      <c r="AB17" s="28">
        <f t="shared" si="12"/>
        <v>0</v>
      </c>
      <c r="AC17" s="28">
        <f t="shared" si="13"/>
        <v>0</v>
      </c>
      <c r="AD17" s="28">
        <f t="shared" si="14"/>
        <v>0</v>
      </c>
      <c r="AE17" s="28">
        <f t="shared" si="15"/>
        <v>0</v>
      </c>
      <c r="AF17" s="28">
        <f>IF(F17="LN",(G17+H17)/26*S17*30%,0)</f>
        <v>0</v>
      </c>
      <c r="AG17" s="28">
        <f t="shared" si="16"/>
        <v>0</v>
      </c>
      <c r="AH17" s="28">
        <f t="shared" si="17"/>
        <v>3246153.846153846</v>
      </c>
      <c r="AI17" s="28">
        <f t="shared" si="18"/>
        <v>0</v>
      </c>
      <c r="AJ17" s="28"/>
      <c r="AK17" s="28">
        <f t="shared" si="19"/>
        <v>0</v>
      </c>
      <c r="AL17" s="28"/>
      <c r="AM17" s="28">
        <f t="shared" si="20"/>
        <v>0</v>
      </c>
      <c r="AN17" s="28">
        <f t="shared" si="33"/>
        <v>0</v>
      </c>
      <c r="AO17" s="28">
        <f t="shared" si="21"/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22"/>
        <v>42575384.615384616</v>
      </c>
      <c r="AW17" s="28"/>
      <c r="AX17" s="28" t="str">
        <f t="shared" si="23"/>
        <v>x</v>
      </c>
      <c r="AY17" s="159">
        <f t="shared" si="24"/>
        <v>625600</v>
      </c>
      <c r="AZ17" s="159">
        <f t="shared" si="24"/>
        <v>117300</v>
      </c>
      <c r="BA17" s="159">
        <f t="shared" si="24"/>
        <v>78200</v>
      </c>
      <c r="BB17" s="159">
        <f t="shared" si="25"/>
        <v>821100</v>
      </c>
      <c r="BC17" s="159"/>
      <c r="BD17" s="159"/>
      <c r="BE17" s="159">
        <f t="shared" si="26"/>
        <v>78200</v>
      </c>
      <c r="BF17" s="159">
        <f t="shared" si="34"/>
        <v>6862307.692307692</v>
      </c>
      <c r="BG17" s="159">
        <f t="shared" si="27"/>
        <v>35713076.923076928</v>
      </c>
      <c r="BH17" s="159"/>
      <c r="BI17" s="187">
        <v>6200000</v>
      </c>
      <c r="BJ17" s="159">
        <f t="shared" si="35"/>
        <v>15500000</v>
      </c>
      <c r="BK17" s="159">
        <f t="shared" si="28"/>
        <v>19391976.923076928</v>
      </c>
      <c r="BL17" s="152">
        <f t="shared" si="29"/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 t="shared" si="30"/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31"/>
        <v>2000000</v>
      </c>
      <c r="CB17" s="152">
        <f t="shared" si="32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 t="shared" si="8"/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9"/>
        <v>6990000</v>
      </c>
      <c r="Z18" s="28">
        <f t="shared" si="10"/>
        <v>0</v>
      </c>
      <c r="AA18" s="28">
        <f t="shared" si="11"/>
        <v>0</v>
      </c>
      <c r="AB18" s="28">
        <f t="shared" si="12"/>
        <v>0</v>
      </c>
      <c r="AC18" s="28">
        <f t="shared" si="13"/>
        <v>0</v>
      </c>
      <c r="AD18" s="28">
        <f t="shared" si="14"/>
        <v>0</v>
      </c>
      <c r="AE18" s="28">
        <f t="shared" si="15"/>
        <v>0</v>
      </c>
      <c r="AF18" s="28">
        <f>ROUND((G18+H18)/26*S18*30%,0)</f>
        <v>0</v>
      </c>
      <c r="AG18" s="28">
        <f t="shared" si="16"/>
        <v>0</v>
      </c>
      <c r="AH18" s="28">
        <f t="shared" si="17"/>
        <v>0</v>
      </c>
      <c r="AI18" s="28">
        <f t="shared" si="18"/>
        <v>0</v>
      </c>
      <c r="AJ18" s="28"/>
      <c r="AK18" s="28">
        <f t="shared" si="19"/>
        <v>23076.923076923078</v>
      </c>
      <c r="AL18" s="28"/>
      <c r="AM18" s="28">
        <f t="shared" si="20"/>
        <v>0</v>
      </c>
      <c r="AN18" s="28">
        <f t="shared" si="33"/>
        <v>0</v>
      </c>
      <c r="AO18" s="28">
        <f t="shared" si="21"/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22"/>
        <v>26893076.923076924</v>
      </c>
      <c r="AW18" s="28"/>
      <c r="AX18" s="28" t="str">
        <f t="shared" si="23"/>
        <v>x</v>
      </c>
      <c r="AY18" s="159">
        <f t="shared" si="24"/>
        <v>559200</v>
      </c>
      <c r="AZ18" s="159">
        <f t="shared" si="24"/>
        <v>104850</v>
      </c>
      <c r="BA18" s="159">
        <f t="shared" si="24"/>
        <v>69900</v>
      </c>
      <c r="BB18" s="159">
        <f t="shared" si="25"/>
        <v>733950</v>
      </c>
      <c r="BC18" s="159"/>
      <c r="BD18" s="159"/>
      <c r="BE18" s="159">
        <f t="shared" si="26"/>
        <v>69900</v>
      </c>
      <c r="BF18" s="159">
        <f t="shared" si="34"/>
        <v>4645961.538461538</v>
      </c>
      <c r="BG18" s="159">
        <f t="shared" si="27"/>
        <v>22247115.384615384</v>
      </c>
      <c r="BH18" s="159"/>
      <c r="BI18" s="187">
        <v>6200000</v>
      </c>
      <c r="BJ18" s="159">
        <f t="shared" si="35"/>
        <v>15500000</v>
      </c>
      <c r="BK18" s="159">
        <f t="shared" si="28"/>
        <v>6013165.384615384</v>
      </c>
      <c r="BL18" s="152">
        <f t="shared" si="29"/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 t="shared" si="30"/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31"/>
        <v>1150000</v>
      </c>
      <c r="CB18" s="152">
        <f t="shared" si="32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 t="shared" si="8"/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9"/>
        <v>4103846.153846154</v>
      </c>
      <c r="Z19" s="28">
        <f t="shared" si="10"/>
        <v>373076.92307692306</v>
      </c>
      <c r="AA19" s="28">
        <f t="shared" si="11"/>
        <v>373076.92307692306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5"/>
        <v>0</v>
      </c>
      <c r="AF19" s="28">
        <f>IF(F19="LN",(G19+H19)/26*S19*30%,0)</f>
        <v>111923.07692307692</v>
      </c>
      <c r="AG19" s="28">
        <f t="shared" si="16"/>
        <v>0</v>
      </c>
      <c r="AH19" s="28">
        <f t="shared" si="17"/>
        <v>0</v>
      </c>
      <c r="AI19" s="28">
        <f t="shared" si="18"/>
        <v>0</v>
      </c>
      <c r="AJ19" s="28"/>
      <c r="AK19" s="28">
        <f t="shared" si="19"/>
        <v>0</v>
      </c>
      <c r="AL19" s="28"/>
      <c r="AM19" s="28">
        <f t="shared" si="20"/>
        <v>0</v>
      </c>
      <c r="AN19" s="28">
        <f t="shared" si="33"/>
        <v>0</v>
      </c>
      <c r="AO19" s="28">
        <f t="shared" si="21"/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22"/>
        <v>12183076.923076924</v>
      </c>
      <c r="AW19" s="28"/>
      <c r="AX19" s="28" t="str">
        <f t="shared" si="23"/>
        <v>x</v>
      </c>
      <c r="AY19" s="159">
        <f t="shared" si="24"/>
        <v>388000</v>
      </c>
      <c r="AZ19" s="159">
        <f t="shared" si="24"/>
        <v>72750</v>
      </c>
      <c r="BA19" s="159">
        <f t="shared" si="24"/>
        <v>48500</v>
      </c>
      <c r="BB19" s="159">
        <f t="shared" si="25"/>
        <v>509250</v>
      </c>
      <c r="BC19" s="159"/>
      <c r="BD19" s="159"/>
      <c r="BE19" s="159">
        <f t="shared" si="26"/>
        <v>48500</v>
      </c>
      <c r="BF19" s="159">
        <f t="shared" si="34"/>
        <v>2303461.5384615385</v>
      </c>
      <c r="BG19" s="159">
        <f t="shared" si="27"/>
        <v>9879615.3846153859</v>
      </c>
      <c r="BH19" s="159"/>
      <c r="BI19" s="187">
        <v>6200000</v>
      </c>
      <c r="BJ19" s="159">
        <f t="shared" si="35"/>
        <v>15500000</v>
      </c>
      <c r="BK19" s="159">
        <f t="shared" si="28"/>
        <v>-6129634.6153846141</v>
      </c>
      <c r="BL19" s="152">
        <f t="shared" si="29"/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 t="shared" si="30"/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31"/>
        <v>550000</v>
      </c>
      <c r="CB19" s="152">
        <f t="shared" si="32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 t="shared" si="8"/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9"/>
        <v>6340000</v>
      </c>
      <c r="Z20" s="28">
        <f t="shared" si="10"/>
        <v>0</v>
      </c>
      <c r="AA20" s="28">
        <f t="shared" si="11"/>
        <v>0</v>
      </c>
      <c r="AB20" s="28">
        <f t="shared" si="12"/>
        <v>0</v>
      </c>
      <c r="AC20" s="28">
        <f t="shared" si="13"/>
        <v>0</v>
      </c>
      <c r="AD20" s="28">
        <f t="shared" si="14"/>
        <v>0</v>
      </c>
      <c r="AE20" s="28">
        <f t="shared" si="15"/>
        <v>0</v>
      </c>
      <c r="AF20" s="28">
        <f>ROUND((G20+H20)/26*S20*30%,0)</f>
        <v>0</v>
      </c>
      <c r="AG20" s="28">
        <f t="shared" si="16"/>
        <v>0</v>
      </c>
      <c r="AH20" s="28">
        <f t="shared" si="17"/>
        <v>0</v>
      </c>
      <c r="AI20" s="28">
        <f t="shared" si="18"/>
        <v>0</v>
      </c>
      <c r="AJ20" s="28"/>
      <c r="AK20" s="28">
        <f t="shared" si="19"/>
        <v>0</v>
      </c>
      <c r="AL20" s="28"/>
      <c r="AM20" s="28">
        <f t="shared" si="20"/>
        <v>0</v>
      </c>
      <c r="AN20" s="28">
        <f t="shared" si="33"/>
        <v>0</v>
      </c>
      <c r="AO20" s="28">
        <f t="shared" si="21"/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22"/>
        <v>24870000</v>
      </c>
      <c r="AW20" s="28"/>
      <c r="AX20" s="28">
        <f t="shared" si="23"/>
        <v>0</v>
      </c>
      <c r="AY20" s="159">
        <f t="shared" si="24"/>
        <v>0</v>
      </c>
      <c r="AZ20" s="159">
        <f t="shared" si="24"/>
        <v>0</v>
      </c>
      <c r="BA20" s="159">
        <f t="shared" si="24"/>
        <v>0</v>
      </c>
      <c r="BB20" s="159">
        <f t="shared" si="25"/>
        <v>0</v>
      </c>
      <c r="BC20" s="159"/>
      <c r="BD20" s="159"/>
      <c r="BE20" s="159">
        <f t="shared" si="26"/>
        <v>63400</v>
      </c>
      <c r="BF20" s="159">
        <f t="shared" si="34"/>
        <v>3622500</v>
      </c>
      <c r="BG20" s="159">
        <f t="shared" si="27"/>
        <v>21247500</v>
      </c>
      <c r="BH20" s="159"/>
      <c r="BI20" s="187">
        <v>6200000</v>
      </c>
      <c r="BJ20" s="159">
        <f t="shared" si="35"/>
        <v>0</v>
      </c>
      <c r="BK20" s="159">
        <f t="shared" si="28"/>
        <v>21247500</v>
      </c>
      <c r="BL20" s="152">
        <f t="shared" si="29"/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 t="shared" si="30"/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31"/>
        <v>1150000</v>
      </c>
      <c r="CB20" s="152">
        <f t="shared" si="32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 t="shared" si="8"/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9"/>
        <v>6340000</v>
      </c>
      <c r="Z21" s="28">
        <f t="shared" si="10"/>
        <v>0</v>
      </c>
      <c r="AA21" s="28">
        <f t="shared" si="11"/>
        <v>0</v>
      </c>
      <c r="AB21" s="28">
        <f t="shared" si="12"/>
        <v>0</v>
      </c>
      <c r="AC21" s="28">
        <f t="shared" si="13"/>
        <v>1828846.1538461538</v>
      </c>
      <c r="AD21" s="28">
        <f t="shared" si="14"/>
        <v>975384.61538461538</v>
      </c>
      <c r="AE21" s="28">
        <f t="shared" si="15"/>
        <v>0</v>
      </c>
      <c r="AF21" s="28">
        <f>IF(F21="LN",(G21+H21)/26*S21*30%,0)</f>
        <v>0</v>
      </c>
      <c r="AG21" s="28">
        <f t="shared" si="16"/>
        <v>0</v>
      </c>
      <c r="AH21" s="28">
        <f t="shared" si="17"/>
        <v>0</v>
      </c>
      <c r="AI21" s="28">
        <f t="shared" si="18"/>
        <v>0</v>
      </c>
      <c r="AJ21" s="28"/>
      <c r="AK21" s="28">
        <f t="shared" si="19"/>
        <v>0</v>
      </c>
      <c r="AL21" s="28"/>
      <c r="AM21" s="28">
        <f t="shared" si="20"/>
        <v>0</v>
      </c>
      <c r="AN21" s="28">
        <f t="shared" si="33"/>
        <v>300000</v>
      </c>
      <c r="AO21" s="28">
        <f t="shared" si="21"/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22"/>
        <v>22986923.076923076</v>
      </c>
      <c r="AW21" s="28"/>
      <c r="AX21" s="28" t="str">
        <f t="shared" si="23"/>
        <v>x</v>
      </c>
      <c r="AY21" s="159">
        <f t="shared" si="24"/>
        <v>531200</v>
      </c>
      <c r="AZ21" s="159">
        <f t="shared" si="24"/>
        <v>99600</v>
      </c>
      <c r="BA21" s="159">
        <f t="shared" si="24"/>
        <v>66400</v>
      </c>
      <c r="BB21" s="159">
        <f t="shared" si="25"/>
        <v>697200</v>
      </c>
      <c r="BC21" s="159"/>
      <c r="BD21" s="159"/>
      <c r="BE21" s="159">
        <f t="shared" si="26"/>
        <v>63400</v>
      </c>
      <c r="BF21" s="159">
        <f t="shared" si="34"/>
        <v>3924038.4615384615</v>
      </c>
      <c r="BG21" s="159">
        <f t="shared" si="27"/>
        <v>19062884.615384616</v>
      </c>
      <c r="BH21" s="159"/>
      <c r="BI21" s="187">
        <v>6200000</v>
      </c>
      <c r="BJ21" s="159">
        <f t="shared" si="35"/>
        <v>15500000</v>
      </c>
      <c r="BK21" s="159">
        <f t="shared" si="28"/>
        <v>2865684.615384616</v>
      </c>
      <c r="BL21" s="152">
        <f t="shared" si="29"/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 t="shared" si="30"/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31"/>
        <v>850000</v>
      </c>
      <c r="CB21" s="152">
        <f t="shared" si="32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E8:E11"/>
    <mergeCell ref="G8:G11"/>
    <mergeCell ref="H8:H11"/>
    <mergeCell ref="J8:J11"/>
    <mergeCell ref="I8:I11"/>
    <mergeCell ref="F8:F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</mergeCells>
  <conditionalFormatting sqref="B1:B5 B7:B12 B15:B25 C12:BU12 B37:B1048576 B27:B35">
    <cfRule type="duplicateValues" dxfId="22" priority="80"/>
    <cfRule type="duplicateValues" dxfId="21" priority="81"/>
  </conditionalFormatting>
  <conditionalFormatting sqref="B1:B5 B7:B12 B15:B25 C12:CD12 D13:F13 J13:BK13 BM13:CD13 B37:B1048576 B27:B35">
    <cfRule type="duplicateValues" dxfId="20" priority="94"/>
  </conditionalFormatting>
  <conditionalFormatting sqref="BL13">
    <cfRule type="duplicateValues" dxfId="19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26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Q3" s="417"/>
      <c r="AR3" s="417"/>
      <c r="AS3" s="417"/>
      <c r="AT3" s="417"/>
      <c r="AU3" s="417"/>
      <c r="AV3" s="417"/>
      <c r="AW3" s="417"/>
      <c r="AX3" s="417"/>
      <c r="AY3" s="417"/>
      <c r="AZ3" s="417"/>
      <c r="BA3" s="417"/>
      <c r="BB3" s="417"/>
      <c r="BC3" s="417"/>
      <c r="BD3" s="417"/>
      <c r="BE3" s="417"/>
      <c r="BF3" s="417"/>
      <c r="BG3" s="417"/>
      <c r="BH3" s="417"/>
      <c r="BI3" s="417"/>
      <c r="BJ3" s="417"/>
      <c r="BK3" s="417"/>
      <c r="BL3" s="417"/>
      <c r="BM3" s="417"/>
      <c r="BN3" s="417"/>
      <c r="BO3" s="417"/>
      <c r="BP3" s="417"/>
      <c r="BQ3" s="417"/>
      <c r="BR3" s="417"/>
      <c r="BS3" s="417"/>
      <c r="BT3" s="417"/>
      <c r="BU3" s="417"/>
      <c r="BW3" s="416" t="s">
        <v>2</v>
      </c>
      <c r="BX3" s="417"/>
      <c r="BY3" s="417"/>
      <c r="BZ3" s="417"/>
      <c r="CA3" s="417"/>
      <c r="CB3" s="417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7"/>
      <c r="BX4" s="417"/>
      <c r="BY4" s="417"/>
      <c r="BZ4" s="417"/>
      <c r="CA4" s="417"/>
      <c r="CB4" s="417"/>
      <c r="CC4" s="42"/>
      <c r="CD4" s="42"/>
    </row>
    <row r="5" spans="1:87" s="45" customFormat="1">
      <c r="A5" s="429" t="s">
        <v>4</v>
      </c>
      <c r="B5" s="428" t="s">
        <v>5</v>
      </c>
      <c r="C5" s="402" t="s">
        <v>6</v>
      </c>
      <c r="D5" s="427" t="s">
        <v>7</v>
      </c>
      <c r="E5" s="427" t="s">
        <v>8</v>
      </c>
      <c r="F5" s="402" t="s">
        <v>9</v>
      </c>
      <c r="G5" s="402" t="s">
        <v>10</v>
      </c>
      <c r="H5" s="353" t="s">
        <v>11</v>
      </c>
      <c r="I5" s="353" t="s">
        <v>12</v>
      </c>
      <c r="J5" s="402" t="s">
        <v>13</v>
      </c>
      <c r="K5" s="431" t="s">
        <v>14</v>
      </c>
      <c r="L5" s="413"/>
      <c r="M5" s="413"/>
      <c r="N5" s="413"/>
      <c r="O5" s="413"/>
      <c r="P5" s="413"/>
      <c r="Q5" s="413"/>
      <c r="R5" s="413"/>
      <c r="S5" s="413"/>
      <c r="T5" s="413"/>
      <c r="U5" s="413"/>
      <c r="V5" s="413"/>
      <c r="W5" s="413"/>
      <c r="X5" s="413"/>
      <c r="Y5" s="402" t="s">
        <v>15</v>
      </c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4"/>
      <c r="AP5" s="402" t="s">
        <v>16</v>
      </c>
      <c r="AQ5" s="402" t="s">
        <v>17</v>
      </c>
      <c r="AR5" s="402" t="s">
        <v>18</v>
      </c>
      <c r="AS5" s="402" t="s">
        <v>19</v>
      </c>
      <c r="AT5" s="402" t="s">
        <v>20</v>
      </c>
      <c r="AU5" s="402" t="s">
        <v>21</v>
      </c>
      <c r="AV5" s="402" t="s">
        <v>22</v>
      </c>
      <c r="AW5" s="402" t="s">
        <v>23</v>
      </c>
      <c r="AX5" s="402" t="s">
        <v>24</v>
      </c>
      <c r="AY5" s="412" t="s">
        <v>25</v>
      </c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4"/>
      <c r="BR5" s="418" t="s">
        <v>26</v>
      </c>
      <c r="BS5" s="419"/>
      <c r="BT5" s="412" t="s">
        <v>27</v>
      </c>
      <c r="BU5" s="406" t="s">
        <v>28</v>
      </c>
      <c r="BW5" s="409" t="s">
        <v>29</v>
      </c>
      <c r="BX5" s="420" t="s">
        <v>30</v>
      </c>
      <c r="BY5" s="421"/>
      <c r="BZ5" s="421"/>
      <c r="CA5" s="419"/>
      <c r="CB5" s="415" t="s">
        <v>31</v>
      </c>
      <c r="CC5" s="397" t="s">
        <v>32</v>
      </c>
      <c r="CD5" s="397" t="s">
        <v>33</v>
      </c>
      <c r="CH5" s="46"/>
      <c r="CI5" s="47"/>
    </row>
    <row r="6" spans="1:87" s="45" customFormat="1">
      <c r="A6" s="398"/>
      <c r="B6" s="398"/>
      <c r="C6" s="398"/>
      <c r="D6" s="398"/>
      <c r="E6" s="398"/>
      <c r="F6" s="398"/>
      <c r="G6" s="398"/>
      <c r="H6" s="398"/>
      <c r="I6" s="398"/>
      <c r="J6" s="398"/>
      <c r="K6" s="403" t="s">
        <v>34</v>
      </c>
      <c r="L6" s="403" t="s">
        <v>35</v>
      </c>
      <c r="M6" s="403" t="s">
        <v>36</v>
      </c>
      <c r="N6" s="403" t="s">
        <v>37</v>
      </c>
      <c r="O6" s="403" t="s">
        <v>38</v>
      </c>
      <c r="P6" s="403" t="s">
        <v>39</v>
      </c>
      <c r="Q6" s="403" t="s">
        <v>40</v>
      </c>
      <c r="R6" s="403" t="s">
        <v>41</v>
      </c>
      <c r="S6" s="403" t="s">
        <v>42</v>
      </c>
      <c r="T6" s="403" t="s">
        <v>43</v>
      </c>
      <c r="U6" s="403" t="s">
        <v>44</v>
      </c>
      <c r="V6" s="433" t="s">
        <v>45</v>
      </c>
      <c r="W6" s="419"/>
      <c r="X6" s="403" t="s">
        <v>46</v>
      </c>
      <c r="Y6" s="402" t="s">
        <v>47</v>
      </c>
      <c r="Z6" s="402" t="s">
        <v>48</v>
      </c>
      <c r="AA6" s="402" t="s">
        <v>49</v>
      </c>
      <c r="AB6" s="402" t="s">
        <v>50</v>
      </c>
      <c r="AC6" s="353" t="s">
        <v>51</v>
      </c>
      <c r="AD6" s="353" t="s">
        <v>52</v>
      </c>
      <c r="AE6" s="353" t="s">
        <v>53</v>
      </c>
      <c r="AF6" s="353" t="s">
        <v>54</v>
      </c>
      <c r="AG6" s="402" t="s">
        <v>55</v>
      </c>
      <c r="AH6" s="353" t="s">
        <v>56</v>
      </c>
      <c r="AI6" s="353" t="s">
        <v>57</v>
      </c>
      <c r="AJ6" s="402" t="s">
        <v>58</v>
      </c>
      <c r="AK6" s="430" t="s">
        <v>59</v>
      </c>
      <c r="AL6" s="402" t="s">
        <v>60</v>
      </c>
      <c r="AM6" s="402" t="s">
        <v>61</v>
      </c>
      <c r="AN6" s="432" t="s">
        <v>62</v>
      </c>
      <c r="AO6" s="402" t="s">
        <v>63</v>
      </c>
      <c r="AP6" s="398"/>
      <c r="AQ6" s="398"/>
      <c r="AR6" s="398"/>
      <c r="AS6" s="398"/>
      <c r="AT6" s="398"/>
      <c r="AU6" s="398"/>
      <c r="AV6" s="398"/>
      <c r="AW6" s="398"/>
      <c r="AX6" s="398"/>
      <c r="AY6" s="412" t="s">
        <v>25</v>
      </c>
      <c r="AZ6" s="413"/>
      <c r="BA6" s="413"/>
      <c r="BB6" s="413"/>
      <c r="BC6" s="413"/>
      <c r="BD6" s="413"/>
      <c r="BE6" s="413"/>
      <c r="BF6" s="413"/>
      <c r="BG6" s="413"/>
      <c r="BH6" s="413"/>
      <c r="BI6" s="413"/>
      <c r="BJ6" s="413"/>
      <c r="BK6" s="413"/>
      <c r="BL6" s="414"/>
      <c r="BM6" s="412" t="s">
        <v>64</v>
      </c>
      <c r="BN6" s="413"/>
      <c r="BO6" s="413"/>
      <c r="BP6" s="413"/>
      <c r="BQ6" s="414"/>
      <c r="BR6" s="400" t="s">
        <v>65</v>
      </c>
      <c r="BS6" s="400" t="s">
        <v>66</v>
      </c>
      <c r="BT6" s="398"/>
      <c r="BU6" s="407"/>
      <c r="BW6" s="410"/>
      <c r="BX6" s="407"/>
      <c r="BY6" s="422"/>
      <c r="BZ6" s="422"/>
      <c r="CA6" s="410"/>
      <c r="CB6" s="398"/>
      <c r="CC6" s="398"/>
      <c r="CD6" s="398"/>
      <c r="CH6" s="46"/>
      <c r="CI6" s="47"/>
    </row>
    <row r="7" spans="1:87" s="48" customFormat="1" ht="12">
      <c r="A7" s="398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408"/>
      <c r="W7" s="434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407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29" t="s">
        <v>67</v>
      </c>
      <c r="AZ7" s="29" t="s">
        <v>68</v>
      </c>
      <c r="BA7" s="29" t="s">
        <v>69</v>
      </c>
      <c r="BB7" s="412" t="s">
        <v>70</v>
      </c>
      <c r="BC7" s="404" t="s">
        <v>71</v>
      </c>
      <c r="BD7" s="404" t="s">
        <v>72</v>
      </c>
      <c r="BE7" s="425" t="s">
        <v>73</v>
      </c>
      <c r="BF7" s="404" t="s">
        <v>74</v>
      </c>
      <c r="BG7" s="404" t="s">
        <v>75</v>
      </c>
      <c r="BH7" s="404" t="s">
        <v>76</v>
      </c>
      <c r="BI7" s="404" t="s">
        <v>77</v>
      </c>
      <c r="BJ7" s="404" t="s">
        <v>78</v>
      </c>
      <c r="BK7" s="404" t="s">
        <v>79</v>
      </c>
      <c r="BL7" s="405" t="s">
        <v>80</v>
      </c>
      <c r="BM7" s="404" t="s">
        <v>81</v>
      </c>
      <c r="BN7" s="412" t="s">
        <v>82</v>
      </c>
      <c r="BO7" s="404" t="s">
        <v>83</v>
      </c>
      <c r="BP7" s="412" t="s">
        <v>84</v>
      </c>
      <c r="BQ7" s="412" t="s">
        <v>85</v>
      </c>
      <c r="BR7" s="398"/>
      <c r="BS7" s="398"/>
      <c r="BT7" s="398"/>
      <c r="BU7" s="407"/>
      <c r="BW7" s="410"/>
      <c r="BX7" s="423"/>
      <c r="BY7" s="424"/>
      <c r="BZ7" s="424"/>
      <c r="CA7" s="411"/>
      <c r="CB7" s="398"/>
      <c r="CC7" s="398"/>
      <c r="CD7" s="398"/>
      <c r="CH7" s="46"/>
      <c r="CI7" s="47"/>
    </row>
    <row r="8" spans="1:87" s="48" customFormat="1" ht="1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9" t="s">
        <v>86</v>
      </c>
      <c r="W8" s="49" t="s">
        <v>87</v>
      </c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8"/>
      <c r="AL8" s="401"/>
      <c r="AM8" s="401"/>
      <c r="AN8" s="401"/>
      <c r="AO8" s="401"/>
      <c r="AP8" s="401"/>
      <c r="AQ8" s="401"/>
      <c r="AR8" s="401"/>
      <c r="AS8" s="401"/>
      <c r="AT8" s="401"/>
      <c r="AU8" s="401"/>
      <c r="AV8" s="401"/>
      <c r="AW8" s="401"/>
      <c r="AX8" s="401"/>
      <c r="AY8" s="30" t="s">
        <v>88</v>
      </c>
      <c r="AZ8" s="30" t="s">
        <v>89</v>
      </c>
      <c r="BA8" s="30" t="s">
        <v>90</v>
      </c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01"/>
      <c r="BN8" s="401"/>
      <c r="BO8" s="401"/>
      <c r="BP8" s="401"/>
      <c r="BQ8" s="401"/>
      <c r="BR8" s="401"/>
      <c r="BS8" s="401"/>
      <c r="BT8" s="401"/>
      <c r="BU8" s="408"/>
      <c r="BW8" s="411"/>
      <c r="BX8" s="23" t="s">
        <v>91</v>
      </c>
      <c r="BY8" s="23" t="s">
        <v>92</v>
      </c>
      <c r="BZ8" s="23" t="s">
        <v>93</v>
      </c>
      <c r="CA8" s="24" t="s">
        <v>94</v>
      </c>
      <c r="CB8" s="399"/>
      <c r="CC8" s="399"/>
      <c r="CD8" s="399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1'!BN:BN,'Mô tả Bảng lương CB-NV'!B:B,'Bảng lương tạm ứng kỳ 1'!B14)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1'!BN:BN,'Mô tả Bảng lương CB-NV'!B:B,'Bảng lương tạm ứng kỳ 1'!B19)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1'!BN:BN,'Mô tả Bảng lương CB-NV'!B:B,'Bảng lương tạm ứng kỳ 1'!B20)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AS5:AS8"/>
    <mergeCell ref="AU5:AU8"/>
    <mergeCell ref="AB6:AB8"/>
    <mergeCell ref="AH6:AH8"/>
    <mergeCell ref="AJ6:AJ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8" priority="54"/>
  </conditionalFormatting>
  <conditionalFormatting sqref="B1:B9 B12:B16 B20:B1048576 C9:BU9">
    <cfRule type="duplicateValues" dxfId="17" priority="6"/>
    <cfRule type="duplicateValues" dxfId="16" priority="49"/>
  </conditionalFormatting>
  <conditionalFormatting sqref="B19:C19">
    <cfRule type="duplicateValues" dxfId="15" priority="1"/>
    <cfRule type="duplicateValues" dxfId="14" priority="2"/>
    <cfRule type="duplicateValues" dxfId="13" priority="3"/>
  </conditionalFormatting>
  <conditionalFormatting sqref="BL10">
    <cfRule type="duplicateValues" dxfId="12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A25"/>
  <sheetViews>
    <sheetView tabSelected="1" zoomScale="120" zoomScaleNormal="120" zoomScaleSheetLayoutView="70" workbookViewId="0">
      <pane xSplit="6" ySplit="13" topLeftCell="BB14" activePane="bottomRight" state="frozen"/>
      <selection pane="topRight" activeCell="E18" sqref="E18"/>
      <selection pane="bottomLeft" activeCell="E18" sqref="E18"/>
      <selection pane="bottomRight" activeCell="BQ16" sqref="BQ16"/>
    </sheetView>
  </sheetViews>
  <sheetFormatPr baseColWidth="10" defaultColWidth="9.1640625" defaultRowHeight="15" outlineLevelRow="1" outlineLevelCol="1"/>
  <cols>
    <col min="1" max="1" width="5.5" style="309" customWidth="1"/>
    <col min="2" max="2" width="8.5" style="310" customWidth="1"/>
    <col min="3" max="3" width="18.1640625" style="311" customWidth="1"/>
    <col min="4" max="4" width="19.6640625" style="255" customWidth="1" outlineLevel="1"/>
    <col min="5" max="5" width="19.83203125" style="255" customWidth="1" outlineLevel="1"/>
    <col min="6" max="6" width="5.5" style="256" bestFit="1" customWidth="1" outlineLevel="1"/>
    <col min="7" max="7" width="13.6640625" style="258" bestFit="1" customWidth="1"/>
    <col min="8" max="8" width="12.5" style="258" customWidth="1"/>
    <col min="9" max="9" width="12.5" style="314" customWidth="1"/>
    <col min="10" max="10" width="7.5" style="314" customWidth="1" outlineLevel="1"/>
    <col min="11" max="24" width="7.1640625" style="257" customWidth="1"/>
    <col min="25" max="47" width="12.33203125" style="258" customWidth="1"/>
    <col min="48" max="49" width="13" style="258" customWidth="1"/>
    <col min="50" max="50" width="6.6640625" style="258" customWidth="1"/>
    <col min="51" max="65" width="10.5" style="258" customWidth="1"/>
    <col min="66" max="66" width="12.5" style="258" customWidth="1"/>
    <col min="67" max="71" width="12.6640625" style="258" customWidth="1" outlineLevel="1"/>
    <col min="72" max="72" width="12.6640625" style="315" customWidth="1" outlineLevel="1"/>
    <col min="73" max="74" width="10.6640625" style="315" customWidth="1" outlineLevel="1"/>
    <col min="75" max="75" width="19.5" style="316" customWidth="1"/>
    <col min="76" max="76" width="12.33203125" style="316" customWidth="1"/>
    <col min="77" max="77" width="12.5" style="316" customWidth="1"/>
    <col min="78" max="78" width="11.6640625" style="316" customWidth="1"/>
    <col min="79" max="79" width="9.1640625" style="316" customWidth="1"/>
    <col min="80" max="16384" width="9.1640625" style="316"/>
  </cols>
  <sheetData>
    <row r="1" spans="1:79" s="239" customFormat="1" ht="23.25" hidden="1" customHeight="1" outlineLevel="1">
      <c r="A1" s="259" t="s">
        <v>0</v>
      </c>
      <c r="B1" s="260"/>
      <c r="C1" s="261"/>
      <c r="D1" s="262"/>
      <c r="E1" s="262"/>
      <c r="F1" s="262"/>
      <c r="I1" s="280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5"/>
      <c r="BI1" s="265"/>
      <c r="BJ1" s="264"/>
      <c r="BK1" s="264"/>
      <c r="BL1" s="264"/>
      <c r="BM1" s="264"/>
      <c r="BO1" s="131"/>
      <c r="BP1" s="131"/>
      <c r="BQ1" s="131"/>
      <c r="BR1" s="131"/>
      <c r="BS1" s="131"/>
      <c r="BT1" s="266"/>
      <c r="BU1" s="266"/>
      <c r="BV1" s="266"/>
    </row>
    <row r="2" spans="1:79" s="239" customFormat="1" ht="19.25" hidden="1" customHeight="1" outlineLevel="1">
      <c r="A2" s="267" t="s">
        <v>1</v>
      </c>
      <c r="B2" s="260"/>
      <c r="C2" s="268"/>
      <c r="D2" s="262"/>
      <c r="E2" s="262"/>
      <c r="F2" s="262"/>
      <c r="I2" s="280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9"/>
      <c r="BP2" s="269"/>
      <c r="BQ2" s="269"/>
      <c r="BR2" s="269"/>
      <c r="BS2" s="269"/>
      <c r="BT2" s="268"/>
      <c r="BU2" s="268"/>
      <c r="BV2" s="268"/>
    </row>
    <row r="3" spans="1:79" s="240" customFormat="1" ht="24" hidden="1" customHeight="1" outlineLevel="1">
      <c r="A3" s="448"/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  <c r="BJ3" s="449"/>
      <c r="BK3" s="449"/>
      <c r="BL3" s="449"/>
      <c r="BM3" s="449"/>
      <c r="BN3" s="449"/>
      <c r="BO3" s="458" t="s">
        <v>2</v>
      </c>
      <c r="BP3" s="449"/>
      <c r="BQ3" s="449"/>
      <c r="BR3" s="449"/>
      <c r="BS3" s="449"/>
      <c r="BT3" s="449"/>
      <c r="BU3" s="270"/>
      <c r="BV3" s="270"/>
    </row>
    <row r="4" spans="1:79" s="240" customFormat="1" ht="21.5" hidden="1" customHeight="1" outlineLevel="1">
      <c r="A4" s="271"/>
      <c r="B4" s="271"/>
      <c r="C4" s="271"/>
      <c r="D4" s="271"/>
      <c r="E4" s="271"/>
      <c r="F4" s="271"/>
      <c r="G4" s="271"/>
      <c r="H4" s="271"/>
      <c r="I4" s="280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449"/>
      <c r="BP4" s="449"/>
      <c r="BQ4" s="449"/>
      <c r="BR4" s="449"/>
      <c r="BS4" s="449"/>
      <c r="BT4" s="449"/>
      <c r="BU4" s="270"/>
      <c r="BV4" s="270"/>
    </row>
    <row r="5" spans="1:79" s="240" customFormat="1" ht="20.25" hidden="1" customHeight="1" outlineLevel="1">
      <c r="A5" s="271"/>
      <c r="B5" s="271"/>
      <c r="C5" s="271"/>
      <c r="D5" s="271"/>
      <c r="E5" s="271"/>
      <c r="F5" s="271"/>
      <c r="G5" s="271"/>
      <c r="H5" s="271"/>
      <c r="I5" s="280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449"/>
      <c r="BP5" s="449"/>
      <c r="BQ5" s="449"/>
      <c r="BR5" s="449"/>
      <c r="BS5" s="449"/>
      <c r="BT5" s="449"/>
      <c r="BU5" s="270"/>
      <c r="BV5" s="270"/>
    </row>
    <row r="6" spans="1:79" s="240" customFormat="1" ht="18.75" hidden="1" customHeight="1" outlineLevel="1">
      <c r="A6" s="273"/>
      <c r="B6" s="273"/>
      <c r="C6" s="273"/>
      <c r="D6" s="273"/>
      <c r="E6" s="273"/>
      <c r="F6" s="273"/>
      <c r="G6" s="273"/>
      <c r="H6" s="273"/>
      <c r="I6" s="280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5"/>
      <c r="Z6" s="275"/>
      <c r="AA6" s="275"/>
      <c r="AB6" s="275"/>
      <c r="AC6" s="271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449"/>
      <c r="BP6" s="449"/>
      <c r="BQ6" s="449"/>
      <c r="BR6" s="449"/>
      <c r="BS6" s="449"/>
      <c r="BT6" s="449"/>
      <c r="BU6" s="270"/>
      <c r="BV6" s="270"/>
    </row>
    <row r="7" spans="1:79" s="240" customFormat="1" ht="12.75" hidden="1" customHeight="1" outlineLevel="1">
      <c r="A7" s="43"/>
      <c r="B7" s="281"/>
      <c r="C7" s="43"/>
      <c r="D7" s="281"/>
      <c r="E7" s="281"/>
      <c r="F7" s="282"/>
      <c r="G7" s="281"/>
      <c r="H7" s="281"/>
      <c r="I7" s="28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283"/>
      <c r="V7" s="130"/>
      <c r="W7" s="130"/>
      <c r="X7" s="130"/>
      <c r="Y7" s="275"/>
      <c r="Z7" s="275"/>
      <c r="AA7" s="275"/>
      <c r="AB7" s="275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43"/>
      <c r="AW7" s="43"/>
      <c r="AX7" s="43"/>
      <c r="AY7" s="43"/>
      <c r="AZ7" s="43"/>
      <c r="BA7" s="281"/>
      <c r="BB7" s="281"/>
      <c r="BC7" s="281"/>
      <c r="BD7" s="281"/>
      <c r="BE7" s="43"/>
      <c r="BF7" s="281"/>
      <c r="BG7" s="43"/>
      <c r="BH7" s="281"/>
      <c r="BI7" s="281"/>
      <c r="BJ7" s="43"/>
      <c r="BK7" s="43"/>
      <c r="BL7" s="43"/>
      <c r="BM7" s="43"/>
      <c r="BN7" s="281"/>
      <c r="BO7" s="127"/>
      <c r="BP7" s="127"/>
      <c r="BQ7" s="127"/>
      <c r="BR7" s="127"/>
      <c r="BS7" s="127"/>
      <c r="BT7" s="283"/>
      <c r="BU7" s="283"/>
      <c r="BV7" s="283"/>
    </row>
    <row r="8" spans="1:79" s="329" customFormat="1" ht="19.25" customHeight="1" collapsed="1">
      <c r="A8" s="469" t="s">
        <v>4</v>
      </c>
      <c r="B8" s="450" t="s">
        <v>5</v>
      </c>
      <c r="C8" s="432" t="s">
        <v>6</v>
      </c>
      <c r="D8" s="452" t="s">
        <v>141</v>
      </c>
      <c r="E8" s="452" t="s">
        <v>8</v>
      </c>
      <c r="F8" s="438" t="s">
        <v>142</v>
      </c>
      <c r="G8" s="366" t="s">
        <v>10</v>
      </c>
      <c r="H8" s="435" t="s">
        <v>11</v>
      </c>
      <c r="I8" s="435" t="s">
        <v>12</v>
      </c>
      <c r="J8" s="366" t="s">
        <v>13</v>
      </c>
      <c r="K8" s="470" t="s">
        <v>14</v>
      </c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1" t="s">
        <v>15</v>
      </c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3"/>
      <c r="AP8" s="366" t="s">
        <v>16</v>
      </c>
      <c r="AQ8" s="366" t="s">
        <v>17</v>
      </c>
      <c r="AR8" s="366" t="s">
        <v>18</v>
      </c>
      <c r="AS8" s="366" t="s">
        <v>19</v>
      </c>
      <c r="AT8" s="366" t="s">
        <v>20</v>
      </c>
      <c r="AU8" s="366" t="s">
        <v>21</v>
      </c>
      <c r="AV8" s="353" t="s">
        <v>22</v>
      </c>
      <c r="AW8" s="343" t="s">
        <v>23</v>
      </c>
      <c r="AX8" s="353" t="s">
        <v>24</v>
      </c>
      <c r="AY8" s="442"/>
      <c r="AZ8" s="442"/>
      <c r="BA8" s="442"/>
      <c r="BB8" s="442"/>
      <c r="BC8" s="442"/>
      <c r="BD8" s="442"/>
      <c r="BE8" s="442"/>
      <c r="BF8" s="442"/>
      <c r="BG8" s="442"/>
      <c r="BH8" s="442"/>
      <c r="BI8" s="442"/>
      <c r="BJ8" s="443"/>
      <c r="BK8" s="468" t="s">
        <v>26</v>
      </c>
      <c r="BL8" s="419"/>
      <c r="BM8" s="432" t="s">
        <v>143</v>
      </c>
      <c r="BN8" s="432" t="s">
        <v>27</v>
      </c>
      <c r="BO8" s="393" t="s">
        <v>29</v>
      </c>
      <c r="BP8" s="459" t="s">
        <v>30</v>
      </c>
      <c r="BQ8" s="460"/>
      <c r="BR8" s="460"/>
      <c r="BS8" s="461"/>
      <c r="BT8" s="397" t="s">
        <v>31</v>
      </c>
      <c r="BU8" s="397" t="s">
        <v>32</v>
      </c>
      <c r="BV8" s="397" t="s">
        <v>33</v>
      </c>
      <c r="BZ8" s="330"/>
      <c r="CA8" s="330"/>
    </row>
    <row r="9" spans="1:79" s="329" customFormat="1" ht="19.25" customHeight="1">
      <c r="A9" s="436"/>
      <c r="B9" s="436"/>
      <c r="C9" s="436"/>
      <c r="D9" s="436"/>
      <c r="E9" s="436"/>
      <c r="F9" s="436"/>
      <c r="G9" s="344"/>
      <c r="H9" s="436"/>
      <c r="I9" s="436"/>
      <c r="J9" s="344"/>
      <c r="K9" s="444" t="s">
        <v>34</v>
      </c>
      <c r="L9" s="444" t="s">
        <v>35</v>
      </c>
      <c r="M9" s="444" t="s">
        <v>36</v>
      </c>
      <c r="N9" s="444" t="s">
        <v>37</v>
      </c>
      <c r="O9" s="444" t="s">
        <v>38</v>
      </c>
      <c r="P9" s="444" t="s">
        <v>39</v>
      </c>
      <c r="Q9" s="444" t="s">
        <v>40</v>
      </c>
      <c r="R9" s="444" t="s">
        <v>41</v>
      </c>
      <c r="S9" s="444" t="s">
        <v>42</v>
      </c>
      <c r="T9" s="444" t="s">
        <v>43</v>
      </c>
      <c r="U9" s="444" t="s">
        <v>44</v>
      </c>
      <c r="V9" s="454" t="s">
        <v>45</v>
      </c>
      <c r="W9" s="455"/>
      <c r="X9" s="444" t="s">
        <v>46</v>
      </c>
      <c r="Y9" s="440" t="s">
        <v>47</v>
      </c>
      <c r="Z9" s="440" t="s">
        <v>48</v>
      </c>
      <c r="AA9" s="440" t="s">
        <v>49</v>
      </c>
      <c r="AB9" s="440" t="s">
        <v>50</v>
      </c>
      <c r="AC9" s="440" t="s">
        <v>51</v>
      </c>
      <c r="AD9" s="440" t="s">
        <v>144</v>
      </c>
      <c r="AE9" s="440" t="s">
        <v>53</v>
      </c>
      <c r="AF9" s="440" t="s">
        <v>54</v>
      </c>
      <c r="AG9" s="440" t="s">
        <v>55</v>
      </c>
      <c r="AH9" s="440" t="s">
        <v>56</v>
      </c>
      <c r="AI9" s="440" t="s">
        <v>57</v>
      </c>
      <c r="AJ9" s="362" t="s">
        <v>58</v>
      </c>
      <c r="AK9" s="340" t="s">
        <v>59</v>
      </c>
      <c r="AL9" s="343" t="s">
        <v>60</v>
      </c>
      <c r="AM9" s="337" t="s">
        <v>61</v>
      </c>
      <c r="AN9" s="353" t="s">
        <v>62</v>
      </c>
      <c r="AO9" s="353" t="s">
        <v>63</v>
      </c>
      <c r="AP9" s="344"/>
      <c r="AQ9" s="344"/>
      <c r="AR9" s="344"/>
      <c r="AS9" s="344"/>
      <c r="AT9" s="344"/>
      <c r="AU9" s="344"/>
      <c r="AV9" s="338"/>
      <c r="AW9" s="344"/>
      <c r="AX9" s="338"/>
      <c r="AY9" s="413"/>
      <c r="AZ9" s="413"/>
      <c r="BA9" s="413"/>
      <c r="BB9" s="413"/>
      <c r="BC9" s="413"/>
      <c r="BD9" s="413"/>
      <c r="BE9" s="451" t="s">
        <v>64</v>
      </c>
      <c r="BF9" s="413"/>
      <c r="BG9" s="413"/>
      <c r="BH9" s="413"/>
      <c r="BI9" s="413"/>
      <c r="BJ9" s="414"/>
      <c r="BK9" s="445" t="s">
        <v>65</v>
      </c>
      <c r="BL9" s="445" t="s">
        <v>66</v>
      </c>
      <c r="BM9" s="436"/>
      <c r="BN9" s="436"/>
      <c r="BO9" s="394"/>
      <c r="BP9" s="462"/>
      <c r="BQ9" s="463"/>
      <c r="BR9" s="463"/>
      <c r="BS9" s="464"/>
      <c r="BT9" s="436"/>
      <c r="BU9" s="436"/>
      <c r="BV9" s="436"/>
      <c r="BZ9" s="330"/>
      <c r="CA9" s="330"/>
    </row>
    <row r="10" spans="1:79" s="331" customFormat="1" ht="19.25" customHeight="1">
      <c r="A10" s="436"/>
      <c r="B10" s="436"/>
      <c r="C10" s="436"/>
      <c r="D10" s="436"/>
      <c r="E10" s="436"/>
      <c r="F10" s="436"/>
      <c r="G10" s="344"/>
      <c r="H10" s="436"/>
      <c r="I10" s="436"/>
      <c r="J10" s="344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56"/>
      <c r="W10" s="457"/>
      <c r="X10" s="436"/>
      <c r="Y10" s="436"/>
      <c r="Z10" s="436"/>
      <c r="AA10" s="436"/>
      <c r="AB10" s="436"/>
      <c r="AC10" s="436"/>
      <c r="AD10" s="436"/>
      <c r="AE10" s="436"/>
      <c r="AF10" s="436"/>
      <c r="AG10" s="436"/>
      <c r="AH10" s="436"/>
      <c r="AI10" s="436"/>
      <c r="AJ10" s="344"/>
      <c r="AK10" s="341"/>
      <c r="AL10" s="344"/>
      <c r="AM10" s="338"/>
      <c r="AN10" s="338"/>
      <c r="AO10" s="338"/>
      <c r="AP10" s="344"/>
      <c r="AQ10" s="344"/>
      <c r="AR10" s="344"/>
      <c r="AS10" s="344"/>
      <c r="AT10" s="344"/>
      <c r="AU10" s="344"/>
      <c r="AV10" s="338"/>
      <c r="AW10" s="344"/>
      <c r="AX10" s="338"/>
      <c r="AY10" s="446" t="s">
        <v>71</v>
      </c>
      <c r="AZ10" s="446" t="s">
        <v>72</v>
      </c>
      <c r="BA10" s="453" t="s">
        <v>145</v>
      </c>
      <c r="BB10" s="453" t="s">
        <v>74</v>
      </c>
      <c r="BC10" s="453" t="s">
        <v>75</v>
      </c>
      <c r="BD10" s="446" t="s">
        <v>76</v>
      </c>
      <c r="BE10" s="446" t="s">
        <v>81</v>
      </c>
      <c r="BF10" s="447" t="s">
        <v>82</v>
      </c>
      <c r="BG10" s="446" t="s">
        <v>83</v>
      </c>
      <c r="BH10" s="447" t="s">
        <v>84</v>
      </c>
      <c r="BI10" s="447" t="s">
        <v>146</v>
      </c>
      <c r="BJ10" s="432" t="s">
        <v>85</v>
      </c>
      <c r="BK10" s="436"/>
      <c r="BL10" s="436"/>
      <c r="BM10" s="436"/>
      <c r="BN10" s="436"/>
      <c r="BO10" s="394"/>
      <c r="BP10" s="465"/>
      <c r="BQ10" s="466"/>
      <c r="BR10" s="466"/>
      <c r="BS10" s="467"/>
      <c r="BT10" s="436"/>
      <c r="BU10" s="436"/>
      <c r="BV10" s="436"/>
      <c r="BW10" s="228" t="s">
        <v>3</v>
      </c>
      <c r="BZ10" s="330"/>
      <c r="CA10" s="330"/>
    </row>
    <row r="11" spans="1:79" s="331" customFormat="1" ht="38.25" customHeight="1">
      <c r="A11" s="437"/>
      <c r="B11" s="437"/>
      <c r="C11" s="437"/>
      <c r="D11" s="437"/>
      <c r="E11" s="437"/>
      <c r="F11" s="437"/>
      <c r="G11" s="345"/>
      <c r="H11" s="437"/>
      <c r="I11" s="437"/>
      <c r="J11" s="345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332" t="s">
        <v>86</v>
      </c>
      <c r="W11" s="332" t="s">
        <v>87</v>
      </c>
      <c r="X11" s="437"/>
      <c r="Y11" s="437"/>
      <c r="Z11" s="437"/>
      <c r="AA11" s="437"/>
      <c r="AB11" s="437"/>
      <c r="AC11" s="437"/>
      <c r="AD11" s="437"/>
      <c r="AE11" s="437"/>
      <c r="AF11" s="437"/>
      <c r="AG11" s="437"/>
      <c r="AH11" s="437"/>
      <c r="AI11" s="437"/>
      <c r="AJ11" s="345"/>
      <c r="AK11" s="342"/>
      <c r="AL11" s="345"/>
      <c r="AM11" s="339"/>
      <c r="AN11" s="339"/>
      <c r="AO11" s="339"/>
      <c r="AP11" s="345"/>
      <c r="AQ11" s="345"/>
      <c r="AR11" s="345"/>
      <c r="AS11" s="345"/>
      <c r="AT11" s="345"/>
      <c r="AU11" s="345"/>
      <c r="AV11" s="339"/>
      <c r="AW11" s="345"/>
      <c r="AX11" s="339"/>
      <c r="AY11" s="345"/>
      <c r="AZ11" s="345"/>
      <c r="BA11" s="437"/>
      <c r="BB11" s="437"/>
      <c r="BC11" s="437"/>
      <c r="BD11" s="345"/>
      <c r="BE11" s="345"/>
      <c r="BF11" s="345"/>
      <c r="BG11" s="345"/>
      <c r="BH11" s="345"/>
      <c r="BI11" s="345"/>
      <c r="BJ11" s="437"/>
      <c r="BK11" s="437"/>
      <c r="BL11" s="437"/>
      <c r="BM11" s="437"/>
      <c r="BN11" s="437"/>
      <c r="BO11" s="395"/>
      <c r="BP11" s="237" t="s">
        <v>91</v>
      </c>
      <c r="BQ11" s="237" t="s">
        <v>92</v>
      </c>
      <c r="BR11" s="237" t="s">
        <v>93</v>
      </c>
      <c r="BS11" s="238" t="s">
        <v>94</v>
      </c>
      <c r="BT11" s="439"/>
      <c r="BU11" s="439"/>
      <c r="BV11" s="439"/>
      <c r="BW11" s="227">
        <v>25</v>
      </c>
      <c r="BX11" s="333"/>
      <c r="BZ11" s="330"/>
      <c r="CA11" s="330"/>
    </row>
    <row r="12" spans="1:79" s="278" customFormat="1" ht="15" customHeight="1">
      <c r="A12" s="284" t="s">
        <v>96</v>
      </c>
      <c r="B12" s="284" t="s">
        <v>96</v>
      </c>
      <c r="C12" s="284" t="s">
        <v>96</v>
      </c>
      <c r="D12" s="276"/>
      <c r="E12" s="276"/>
      <c r="F12" s="276"/>
      <c r="G12" s="284" t="s">
        <v>96</v>
      </c>
      <c r="H12" s="284" t="s">
        <v>96</v>
      </c>
      <c r="I12" s="284" t="s">
        <v>96</v>
      </c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6"/>
      <c r="BJ12" s="276"/>
      <c r="BK12" s="276"/>
      <c r="BL12" s="276"/>
      <c r="BM12" s="276"/>
      <c r="BN12" s="276"/>
      <c r="BO12" s="277"/>
      <c r="BP12" s="276"/>
      <c r="BQ12" s="276"/>
      <c r="BR12" s="276"/>
      <c r="BS12" s="276"/>
      <c r="BT12" s="276"/>
      <c r="BU12" s="276"/>
      <c r="BV12" s="276"/>
      <c r="BY12" s="279"/>
      <c r="BZ12" s="241"/>
      <c r="CA12" s="241"/>
    </row>
    <row r="13" spans="1:79" s="253" customFormat="1" ht="21" customHeight="1">
      <c r="A13" s="244"/>
      <c r="B13" s="249"/>
      <c r="C13" s="249"/>
      <c r="D13" s="247"/>
      <c r="E13" s="247"/>
      <c r="F13" s="247"/>
      <c r="G13" s="249">
        <f>SUM(G14:G20)</f>
        <v>50340000</v>
      </c>
      <c r="H13" s="249">
        <f>SUM(H14:H20)</f>
        <v>900000</v>
      </c>
      <c r="I13" s="249">
        <f>SUM(I14:I20)</f>
        <v>185460000</v>
      </c>
      <c r="J13" s="249"/>
      <c r="K13" s="285">
        <f>SUM(K14:K20)</f>
        <v>75.5</v>
      </c>
      <c r="L13" s="285"/>
      <c r="M13" s="285"/>
      <c r="N13" s="285"/>
      <c r="O13" s="285"/>
      <c r="P13" s="285"/>
      <c r="Q13" s="285"/>
      <c r="R13" s="285">
        <f>SUM(R14:R20)</f>
        <v>12</v>
      </c>
      <c r="S13" s="285">
        <f>SUM(S14:S20)</f>
        <v>0</v>
      </c>
      <c r="T13" s="285"/>
      <c r="U13" s="285">
        <f>SUM(U14:U20)</f>
        <v>0</v>
      </c>
      <c r="V13" s="285">
        <f>SUM(V14:V20)</f>
        <v>0</v>
      </c>
      <c r="W13" s="285">
        <f>SUM(W14:W20)</f>
        <v>0</v>
      </c>
      <c r="X13" s="285">
        <f>SUM(X14:X20)</f>
        <v>0</v>
      </c>
      <c r="Y13" s="249">
        <f>SUM(Y14:Y20)</f>
        <v>20878269.230769232</v>
      </c>
      <c r="Z13" s="249"/>
      <c r="AA13" s="249"/>
      <c r="AB13" s="249"/>
      <c r="AC13" s="249">
        <f>SUM(AC14:AC20)</f>
        <v>0</v>
      </c>
      <c r="AD13" s="249">
        <f>SUM(AD14:AD20)</f>
        <v>0</v>
      </c>
      <c r="AE13" s="249"/>
      <c r="AF13" s="249">
        <f t="shared" ref="AF13:AO13" si="0">SUM(AF14:AF20)</f>
        <v>0</v>
      </c>
      <c r="AG13" s="249">
        <f t="shared" si="0"/>
        <v>0</v>
      </c>
      <c r="AH13" s="249">
        <f t="shared" si="0"/>
        <v>0</v>
      </c>
      <c r="AI13" s="249">
        <f t="shared" si="0"/>
        <v>0</v>
      </c>
      <c r="AJ13" s="249">
        <f t="shared" si="0"/>
        <v>0</v>
      </c>
      <c r="AK13" s="249">
        <f t="shared" si="0"/>
        <v>0</v>
      </c>
      <c r="AL13" s="249">
        <f t="shared" si="0"/>
        <v>0</v>
      </c>
      <c r="AM13" s="249">
        <f t="shared" si="0"/>
        <v>0</v>
      </c>
      <c r="AN13" s="249">
        <f t="shared" si="0"/>
        <v>380769.23076923081</v>
      </c>
      <c r="AO13" s="249">
        <f t="shared" si="0"/>
        <v>101010288.46153845</v>
      </c>
      <c r="AP13" s="249"/>
      <c r="AQ13" s="249"/>
      <c r="AR13" s="249"/>
      <c r="AS13" s="249"/>
      <c r="AT13" s="249"/>
      <c r="AU13" s="249"/>
      <c r="AV13" s="249">
        <f>SUM(AV14:AV20)</f>
        <v>140174903.84615386</v>
      </c>
      <c r="AW13" s="249"/>
      <c r="AX13" s="249"/>
      <c r="AY13" s="249">
        <f>SUM(AY14:AY20)</f>
        <v>0</v>
      </c>
      <c r="AZ13" s="249"/>
      <c r="BA13" s="249">
        <f>SUM(BA14:BA20)</f>
        <v>503400</v>
      </c>
      <c r="BB13" s="249"/>
      <c r="BC13" s="249"/>
      <c r="BD13" s="249"/>
      <c r="BE13" s="249">
        <f>SUM(BE14:BE20)</f>
        <v>0</v>
      </c>
      <c r="BF13" s="249">
        <f>SUM(BF14:BF20)</f>
        <v>0</v>
      </c>
      <c r="BG13" s="249">
        <f>SUM(BG14:BG20)</f>
        <v>0</v>
      </c>
      <c r="BH13" s="249">
        <f>SUM(BH14:BH20)</f>
        <v>0</v>
      </c>
      <c r="BI13" s="249"/>
      <c r="BJ13" s="249">
        <f>SUM(BJ14:BJ20)</f>
        <v>0</v>
      </c>
      <c r="BK13" s="249"/>
      <c r="BL13" s="249"/>
      <c r="BM13" s="249"/>
      <c r="BN13" s="249">
        <f>SUM(BN14:BN20)</f>
        <v>113751538.46153849</v>
      </c>
      <c r="BO13" s="242"/>
      <c r="BP13" s="243"/>
      <c r="BQ13" s="243"/>
      <c r="BR13" s="243"/>
      <c r="BS13" s="243"/>
      <c r="BT13" s="243"/>
      <c r="BU13" s="243"/>
      <c r="BV13" s="243"/>
    </row>
    <row r="14" spans="1:79" s="253" customFormat="1" ht="30.5" customHeight="1">
      <c r="A14" s="318">
        <v>1</v>
      </c>
      <c r="B14" s="319">
        <v>2405236</v>
      </c>
      <c r="C14" s="320" t="s">
        <v>97</v>
      </c>
      <c r="D14" s="321" t="s">
        <v>98</v>
      </c>
      <c r="E14" s="322" t="s">
        <v>113</v>
      </c>
      <c r="F14" s="322" t="s">
        <v>100</v>
      </c>
      <c r="G14" s="323">
        <v>9520000</v>
      </c>
      <c r="H14" s="323">
        <f t="shared" ref="H14:H20" si="1">+IF(OR(BU14="ĐT PCCC",BU14="ĐP PCCC"),780000,IF(BU14="AT-VSV",300000,0))</f>
        <v>0</v>
      </c>
      <c r="I14" s="323">
        <f>BT14-BR14-G14-H14</f>
        <v>53480000</v>
      </c>
      <c r="J14" s="324">
        <v>1</v>
      </c>
      <c r="K14" s="325">
        <v>11</v>
      </c>
      <c r="L14" s="325"/>
      <c r="M14" s="325"/>
      <c r="N14" s="325"/>
      <c r="O14" s="325">
        <v>2</v>
      </c>
      <c r="P14" s="325"/>
      <c r="Q14" s="325"/>
      <c r="R14" s="325">
        <v>0</v>
      </c>
      <c r="S14" s="325">
        <v>0</v>
      </c>
      <c r="T14" s="325"/>
      <c r="U14" s="325">
        <v>0</v>
      </c>
      <c r="V14" s="325">
        <v>0</v>
      </c>
      <c r="W14" s="325">
        <v>0</v>
      </c>
      <c r="X14" s="325">
        <v>0</v>
      </c>
      <c r="Y14" s="323">
        <f>G14*(K14+L14)/26</f>
        <v>4027692.3076923075</v>
      </c>
      <c r="Z14" s="323">
        <f t="shared" ref="Z14:Z20" si="2">M14*G14/26</f>
        <v>0</v>
      </c>
      <c r="AA14" s="323">
        <f t="shared" ref="AA14:AA20" si="3">G14*N14/26</f>
        <v>0</v>
      </c>
      <c r="AB14" s="323">
        <f t="shared" ref="AB14:AB20" si="4">G14*O14/26</f>
        <v>732307.69230769225</v>
      </c>
      <c r="AC14" s="323">
        <f t="shared" ref="AC14:AC20" si="5">G14*P14*150%/26</f>
        <v>0</v>
      </c>
      <c r="AD14" s="323">
        <f t="shared" ref="AD14:AD20" si="6">G14*Q14/26*200%</f>
        <v>0</v>
      </c>
      <c r="AE14" s="323">
        <f t="shared" ref="AE14:AE20" si="7">G14*R14/26*300%</f>
        <v>0</v>
      </c>
      <c r="AF14" s="323">
        <f t="shared" ref="AF14:AF20" si="8">IF(F14="LT",0,(G14+H14)/26*S14*30%)</f>
        <v>0</v>
      </c>
      <c r="AG14" s="323">
        <f t="shared" ref="AG14:AG20" si="9">T14*G14/23/8</f>
        <v>0</v>
      </c>
      <c r="AH14" s="323">
        <f>BT14/26*U14</f>
        <v>0</v>
      </c>
      <c r="AI14" s="323">
        <f t="shared" ref="AI14:AI20" si="10">G14*V14/26</f>
        <v>0</v>
      </c>
      <c r="AJ14" s="323"/>
      <c r="AK14" s="323">
        <f>BR14*L14/26</f>
        <v>0</v>
      </c>
      <c r="AL14" s="323"/>
      <c r="AM14" s="323">
        <f>X14*BV14</f>
        <v>0</v>
      </c>
      <c r="AN14" s="323">
        <f>H14/26*(K14+L14)</f>
        <v>0</v>
      </c>
      <c r="AO14" s="323">
        <f>IF(F14="LN",I14*(K14+L14)/26+(H14+I14)*50%*M14/26+IF(F14="LT",BO14*O14/26-AB14,0)+MAX($G14*P14/26*150%,P14*$BO14/26)-AC14+MAX($G14*Q14/26*200%,Q14*$BO14/26)-AD14+MAX($G14*R14/26*300%,R14*$BO14/26)-AE14+BO14*S14/26-AF14+AH14-AG14,I14-I14*($BW$11-K14-L14)/26+(H14+I14)*50%*M14/26+IF(F14="LT",BO14*O14/26-AB14,0)+MAX($G14*P14/26*150%,P14*$BO14/26)-AC14+MAX($G14*Q14/26*200%,Q14*$BO14/26)-AD14+MAX($G14*R14/26*300%,R14*$BO14/26)-AE14+BO14*S14/26-AF14+AH14-AG14+(G14-G14*($BW$11-K14-L14)/26-Y14)+(H14-H14*($BW$11-K14-L14)/26-AN14))</f>
        <v>28932307.692307696</v>
      </c>
      <c r="AP14" s="323"/>
      <c r="AQ14" s="323"/>
      <c r="AR14" s="184">
        <v>1000000</v>
      </c>
      <c r="AS14" s="323"/>
      <c r="AT14" s="323"/>
      <c r="AU14" s="323"/>
      <c r="AV14" s="323">
        <f t="shared" ref="AV14:AV20" si="11">Y14+Z14+AA14+AB14+AC14+AD14+AE14+AF14+AG14+AI14+AJ14+AK14+AL14+AM14+AN14+AO14+AP14-AQ14+AR14+AS14+AT14+AU14</f>
        <v>34692307.692307696</v>
      </c>
      <c r="AW14" s="323"/>
      <c r="AX14" s="323" t="s">
        <v>101</v>
      </c>
      <c r="AY14" s="326"/>
      <c r="AZ14" s="326"/>
      <c r="BA14" s="326">
        <f>IF(G14*1%&gt;=234000,234000,G14*1%)</f>
        <v>95200</v>
      </c>
      <c r="BB14" s="326">
        <f>AM14+IF(AR14&gt;=730000,730000,AR14)+IF(((AV14-AM14-IF(AR14&gt;=730000,730000,AR14)-AS14)*15%-AS14)&gt;0,((AV14-AM14-IF(AR14&gt;=730000,730000,AR14)-AS14)*15%-AS14),0)</f>
        <v>5824346.153846154</v>
      </c>
      <c r="BC14" s="326">
        <f>AV14-BB14+AW14</f>
        <v>28867961.538461544</v>
      </c>
      <c r="BD14" s="326">
        <v>3</v>
      </c>
      <c r="BE14" s="326"/>
      <c r="BF14" s="326"/>
      <c r="BG14" s="326">
        <v>0</v>
      </c>
      <c r="BH14" s="326"/>
      <c r="BI14" s="326"/>
      <c r="BJ14" s="326"/>
      <c r="BK14" s="326"/>
      <c r="BL14" s="326"/>
      <c r="BM14" s="326" t="str">
        <f>IF(AV14&gt;=11000000,"80%","100%")</f>
        <v>80%</v>
      </c>
      <c r="BN14" s="326">
        <f>AV14*BM14-BH14-BE14-BJ14-BI14</f>
        <v>27753846.15384616</v>
      </c>
      <c r="BO14" s="328">
        <v>60000000</v>
      </c>
      <c r="BP14" s="188">
        <v>0</v>
      </c>
      <c r="BQ14" s="188"/>
      <c r="BR14" s="188">
        <v>200000</v>
      </c>
      <c r="BS14" s="327">
        <f t="shared" ref="BS14:BS20" si="12">+BO14*5%</f>
        <v>3000000</v>
      </c>
      <c r="BT14" s="327">
        <f t="shared" ref="BT14:BT20" si="13">SUM(BO14:BS14)</f>
        <v>63200000</v>
      </c>
      <c r="BU14" s="327" t="s">
        <v>122</v>
      </c>
      <c r="BV14" s="327"/>
      <c r="BW14" s="287"/>
      <c r="BX14" s="288"/>
      <c r="BY14" s="288"/>
      <c r="BZ14" s="252"/>
      <c r="CA14" s="252"/>
    </row>
    <row r="15" spans="1:79" s="253" customFormat="1" ht="30.5" customHeight="1">
      <c r="A15" s="244">
        <v>2</v>
      </c>
      <c r="B15" s="245">
        <v>2106723</v>
      </c>
      <c r="C15" s="246" t="s">
        <v>102</v>
      </c>
      <c r="D15" s="247" t="s">
        <v>103</v>
      </c>
      <c r="E15" s="248" t="s">
        <v>99</v>
      </c>
      <c r="F15" s="248" t="s">
        <v>100</v>
      </c>
      <c r="G15" s="249">
        <v>8480000</v>
      </c>
      <c r="H15" s="249">
        <f t="shared" si="1"/>
        <v>0</v>
      </c>
      <c r="I15" s="249">
        <f>BT15-BR15-G15-H15</f>
        <v>43520000</v>
      </c>
      <c r="J15" s="286">
        <v>1</v>
      </c>
      <c r="K15" s="250">
        <v>10.5</v>
      </c>
      <c r="L15" s="250"/>
      <c r="M15" s="250">
        <v>0.5</v>
      </c>
      <c r="N15" s="250"/>
      <c r="O15" s="250">
        <v>2</v>
      </c>
      <c r="P15" s="250"/>
      <c r="Q15" s="250"/>
      <c r="R15" s="250">
        <v>0</v>
      </c>
      <c r="S15" s="250">
        <v>0</v>
      </c>
      <c r="T15" s="250"/>
      <c r="U15" s="250">
        <v>0</v>
      </c>
      <c r="V15" s="250">
        <v>0</v>
      </c>
      <c r="W15" s="250">
        <v>0</v>
      </c>
      <c r="X15" s="250">
        <v>0</v>
      </c>
      <c r="Y15" s="249">
        <f t="shared" ref="Y15:Y20" si="14">G15*(K15+L15)/26</f>
        <v>3424615.3846153845</v>
      </c>
      <c r="Z15" s="249">
        <f t="shared" si="2"/>
        <v>163076.92307692306</v>
      </c>
      <c r="AA15" s="249">
        <f t="shared" si="3"/>
        <v>0</v>
      </c>
      <c r="AB15" s="249">
        <f t="shared" si="4"/>
        <v>652307.69230769225</v>
      </c>
      <c r="AC15" s="249">
        <f t="shared" si="5"/>
        <v>0</v>
      </c>
      <c r="AD15" s="249">
        <f t="shared" si="6"/>
        <v>0</v>
      </c>
      <c r="AE15" s="249">
        <f t="shared" si="7"/>
        <v>0</v>
      </c>
      <c r="AF15" s="249">
        <f t="shared" si="8"/>
        <v>0</v>
      </c>
      <c r="AG15" s="249">
        <f t="shared" si="9"/>
        <v>0</v>
      </c>
      <c r="AH15" s="249">
        <f>BT15/26*U15</f>
        <v>0</v>
      </c>
      <c r="AI15" s="249">
        <f t="shared" si="10"/>
        <v>0</v>
      </c>
      <c r="AJ15" s="249"/>
      <c r="AK15" s="249">
        <f>BR15*L15/26</f>
        <v>0</v>
      </c>
      <c r="AL15" s="249"/>
      <c r="AM15" s="249">
        <f>X15*BV15</f>
        <v>0</v>
      </c>
      <c r="AN15" s="249">
        <f t="shared" ref="AN15:AN20" si="15">H15/26*K15</f>
        <v>0</v>
      </c>
      <c r="AO15" s="249">
        <f>IF(F15="LN",I15*(K15+L15)/26+(H15+I15)*50%*M15/26+IF(F15="LT",BO15*O15/26-AB15,0)+MAX($G15*P15/26*150%,P15*$BO15/26)-AC15+MAX($G15*Q15/26*200%,Q15*$BO15/26)-AD15+MAX($G15*R15/26*300%,R15*$BO15/26)-AE15+BO15*S15/26-AF15+AH15-AG15,I15-I15*($BW$11-K15-L15)/26+(H15+I15)*50%*M15/26+IF(F15="LT",BO15*O15/26-AB15,0)+MAX($G15*P15/26*150%,P15*$BO15/26)-AC15+MAX($G15*Q15/26*200%,Q15*$BO15/26)-AD15+MAX($G15*R15/26*300%,R15*$BO15/26)-AE15+BO15*S15/26-AF15+AH15-AG15+(G15-G15*($BW$11-K15-L15)/26-Y15)+(H15-H15*($BW$11-K15-L15)/26-AN15))</f>
        <v>22418461.53846154</v>
      </c>
      <c r="AP15" s="249"/>
      <c r="AQ15" s="249"/>
      <c r="AR15" s="28">
        <v>720000</v>
      </c>
      <c r="AS15" s="249"/>
      <c r="AT15" s="249"/>
      <c r="AU15" s="249"/>
      <c r="AV15" s="249">
        <f t="shared" si="11"/>
        <v>27378461.53846154</v>
      </c>
      <c r="AW15" s="249"/>
      <c r="AX15" s="249" t="s">
        <v>101</v>
      </c>
      <c r="AY15" s="251"/>
      <c r="AZ15" s="251"/>
      <c r="BA15" s="251">
        <f>IF(G15*1%&gt;=234000,234000,G15*1%)</f>
        <v>84800</v>
      </c>
      <c r="BB15" s="251">
        <f>AM15+IF(AR15&gt;=730000,730000,AR15)+IF(((AV15-AM15-IF(AR15&gt;=730000,730000,AR15)-AS15)*15%-AS15)&gt;0,((AV15-AM15-IF(AR15&gt;=730000,730000,AR15)-AS15)*15%-AS15),0)</f>
        <v>4718769.230769231</v>
      </c>
      <c r="BC15" s="251">
        <f>AV15-BB15+AW15</f>
        <v>22659692.307692308</v>
      </c>
      <c r="BD15" s="251"/>
      <c r="BE15" s="251"/>
      <c r="BF15" s="251"/>
      <c r="BG15" s="251">
        <v>0</v>
      </c>
      <c r="BH15" s="251"/>
      <c r="BI15" s="251"/>
      <c r="BJ15" s="251"/>
      <c r="BK15" s="251"/>
      <c r="BL15" s="251"/>
      <c r="BM15" s="251" t="str">
        <f>IF(AV15&gt;=11000000,"80%","100%")</f>
        <v>80%</v>
      </c>
      <c r="BN15" s="251">
        <f>AV15*BM15-BH15-BE15-BJ15-BI15</f>
        <v>21902769.230769232</v>
      </c>
      <c r="BO15" s="242">
        <v>40000000</v>
      </c>
      <c r="BP15" s="152">
        <v>5000000</v>
      </c>
      <c r="BQ15" s="152">
        <v>5000000</v>
      </c>
      <c r="BR15" s="152">
        <v>200000</v>
      </c>
      <c r="BS15" s="243">
        <f t="shared" si="12"/>
        <v>2000000</v>
      </c>
      <c r="BT15" s="243">
        <f>SUM(BO15:BS15)</f>
        <v>52200000</v>
      </c>
      <c r="BU15" s="243" t="s">
        <v>114</v>
      </c>
      <c r="BV15" s="243"/>
      <c r="BW15" s="287"/>
      <c r="BX15" s="288"/>
      <c r="BY15" s="288"/>
      <c r="BZ15" s="252"/>
      <c r="CA15" s="252"/>
    </row>
    <row r="16" spans="1:79" s="253" customFormat="1" ht="30.5" customHeight="1">
      <c r="A16" s="244">
        <v>3</v>
      </c>
      <c r="B16" s="254" t="s">
        <v>104</v>
      </c>
      <c r="C16" s="246" t="s">
        <v>105</v>
      </c>
      <c r="D16" s="247" t="s">
        <v>106</v>
      </c>
      <c r="E16" s="248" t="s">
        <v>99</v>
      </c>
      <c r="F16" s="248" t="s">
        <v>100</v>
      </c>
      <c r="G16" s="249">
        <v>7820000</v>
      </c>
      <c r="H16" s="249">
        <f t="shared" si="1"/>
        <v>300000</v>
      </c>
      <c r="I16" s="249">
        <f>BT16-BR16-G16-H16</f>
        <v>33880000</v>
      </c>
      <c r="J16" s="286">
        <v>1</v>
      </c>
      <c r="K16" s="250">
        <v>11</v>
      </c>
      <c r="L16" s="250"/>
      <c r="M16" s="250"/>
      <c r="N16" s="250"/>
      <c r="O16" s="250">
        <v>2</v>
      </c>
      <c r="P16" s="250"/>
      <c r="Q16" s="250"/>
      <c r="R16" s="250">
        <v>4</v>
      </c>
      <c r="S16" s="250">
        <v>0</v>
      </c>
      <c r="T16" s="250"/>
      <c r="U16" s="250">
        <v>0</v>
      </c>
      <c r="V16" s="250">
        <v>0</v>
      </c>
      <c r="W16" s="250">
        <v>0</v>
      </c>
      <c r="X16" s="250">
        <v>0</v>
      </c>
      <c r="Y16" s="249">
        <f t="shared" si="14"/>
        <v>3308461.5384615385</v>
      </c>
      <c r="Z16" s="249">
        <f t="shared" si="2"/>
        <v>0</v>
      </c>
      <c r="AA16" s="249">
        <f t="shared" si="3"/>
        <v>0</v>
      </c>
      <c r="AB16" s="249">
        <f t="shared" si="4"/>
        <v>601538.4615384615</v>
      </c>
      <c r="AC16" s="249">
        <f t="shared" si="5"/>
        <v>0</v>
      </c>
      <c r="AD16" s="249">
        <f t="shared" si="6"/>
        <v>0</v>
      </c>
      <c r="AE16" s="249">
        <f t="shared" si="7"/>
        <v>3609230.769230769</v>
      </c>
      <c r="AF16" s="249">
        <f t="shared" si="8"/>
        <v>0</v>
      </c>
      <c r="AG16" s="249">
        <f t="shared" si="9"/>
        <v>0</v>
      </c>
      <c r="AH16" s="249">
        <f>BT16/26*U16</f>
        <v>0</v>
      </c>
      <c r="AI16" s="249">
        <f t="shared" si="10"/>
        <v>0</v>
      </c>
      <c r="AJ16" s="249"/>
      <c r="AK16" s="249">
        <f>BR16*L16/26</f>
        <v>0</v>
      </c>
      <c r="AL16" s="249"/>
      <c r="AM16" s="249">
        <f>X16*BV16</f>
        <v>0</v>
      </c>
      <c r="AN16" s="249">
        <f t="shared" si="15"/>
        <v>126923.07692307694</v>
      </c>
      <c r="AO16" s="249">
        <f>IF(F16="LN",I16*(K16+L16)/26+(H16+I16)*50%*M16/26+IF(F16="LT",BO16*O16/26-AB16,0)+MAX($G16*P16/26*150%,P16*$BO16/26)-AC16+MAX($G16*Q16/26*200%,Q16*$BO16/26)-AD16+MAX($G16*R16/26*300%,R16*$BO16/26)-AE16+BO16*S16/26-AF16+AH16-AG16,I16-I16*($BW$11-K16-L16)/26+(H16+I16)*50%*M16/26+IF(F16="LT",BO16*O16/26-AB16,0)+MAX($G16*P16/26*150%,P16*$BO16/26)-AC16+MAX($G16*Q16/26*200%,Q16*$BO16/26)-AD16+MAX($G16*R16/26*300%,R16*$BO16/26)-AE16+BO16*S16/26-AF16+AH16-AG16+(G16-G16*($BW$11-K16-L16)/26-Y16)+(H16-H16*($BW$11-K16-L16)/26-AN16))</f>
        <v>20969230.769230772</v>
      </c>
      <c r="AP16" s="249"/>
      <c r="AQ16" s="249"/>
      <c r="AR16" s="28">
        <v>560000</v>
      </c>
      <c r="AS16" s="249"/>
      <c r="AT16" s="249"/>
      <c r="AU16" s="249"/>
      <c r="AV16" s="249">
        <f t="shared" si="11"/>
        <v>29175384.615384616</v>
      </c>
      <c r="AW16" s="249"/>
      <c r="AX16" s="249" t="s">
        <v>101</v>
      </c>
      <c r="AY16" s="251"/>
      <c r="AZ16" s="251"/>
      <c r="BA16" s="251">
        <f>IF(G16*1%&gt;=234000,234000,G16*1%)</f>
        <v>78200</v>
      </c>
      <c r="BB16" s="251">
        <f>AM16+IF(AR16&gt;=730000,730000,AR16)+IF(((AV16-AM16-IF(AR16&gt;=730000,730000,AR16)-AS16)*15%-AS16)&gt;0,((AV16-AM16-IF(AR16&gt;=730000,730000,AR16)-AS16)*15%-AS16),0)</f>
        <v>4852307.692307692</v>
      </c>
      <c r="BC16" s="251">
        <f>AV16-BB16+AW16</f>
        <v>24323076.923076924</v>
      </c>
      <c r="BD16" s="251"/>
      <c r="BE16" s="251"/>
      <c r="BF16" s="251"/>
      <c r="BG16" s="251">
        <v>0</v>
      </c>
      <c r="BH16" s="251"/>
      <c r="BI16" s="251"/>
      <c r="BJ16" s="251"/>
      <c r="BK16" s="251"/>
      <c r="BL16" s="251"/>
      <c r="BM16" s="251" t="str">
        <f>IF(AV16&gt;=11000000,"80%","100%")</f>
        <v>80%</v>
      </c>
      <c r="BN16" s="251">
        <f>AV16*BM16-BH16-BE16-BJ16-BI16</f>
        <v>23340307.692307696</v>
      </c>
      <c r="BO16" s="242">
        <v>40000000</v>
      </c>
      <c r="BP16" s="152">
        <v>0</v>
      </c>
      <c r="BQ16" s="152">
        <v>0</v>
      </c>
      <c r="BR16" s="152">
        <v>200000</v>
      </c>
      <c r="BS16" s="243">
        <f t="shared" si="12"/>
        <v>2000000</v>
      </c>
      <c r="BT16" s="243">
        <f t="shared" si="13"/>
        <v>42200000</v>
      </c>
      <c r="BU16" s="243" t="s">
        <v>118</v>
      </c>
      <c r="BV16" s="243"/>
      <c r="BW16" s="287"/>
      <c r="BX16" s="288"/>
      <c r="BY16" s="288"/>
      <c r="BZ16" s="252"/>
      <c r="CA16" s="252"/>
    </row>
    <row r="17" spans="1:79" s="253" customFormat="1" ht="30.5" customHeight="1">
      <c r="A17" s="244">
        <v>4</v>
      </c>
      <c r="B17" s="245">
        <v>2406198</v>
      </c>
      <c r="C17" s="246" t="s">
        <v>107</v>
      </c>
      <c r="D17" s="247" t="s">
        <v>98</v>
      </c>
      <c r="E17" s="248" t="s">
        <v>99</v>
      </c>
      <c r="F17" s="248" t="s">
        <v>100</v>
      </c>
      <c r="G17" s="249">
        <v>6990000</v>
      </c>
      <c r="H17" s="249">
        <f t="shared" si="1"/>
        <v>0</v>
      </c>
      <c r="I17" s="249">
        <f>BT17-BR17-G17-H17</f>
        <v>19160000</v>
      </c>
      <c r="J17" s="286">
        <v>1</v>
      </c>
      <c r="K17" s="250">
        <v>10.5</v>
      </c>
      <c r="L17" s="250"/>
      <c r="M17" s="250">
        <v>0.5</v>
      </c>
      <c r="N17" s="250"/>
      <c r="O17" s="250">
        <v>2</v>
      </c>
      <c r="P17" s="250"/>
      <c r="Q17" s="250"/>
      <c r="R17" s="250">
        <v>0</v>
      </c>
      <c r="S17" s="250">
        <v>0</v>
      </c>
      <c r="T17" s="250"/>
      <c r="U17" s="250">
        <v>0</v>
      </c>
      <c r="V17" s="250">
        <v>0</v>
      </c>
      <c r="W17" s="250">
        <v>0</v>
      </c>
      <c r="X17" s="250">
        <v>0</v>
      </c>
      <c r="Y17" s="249">
        <f t="shared" si="14"/>
        <v>2822884.6153846155</v>
      </c>
      <c r="Z17" s="249">
        <f t="shared" si="2"/>
        <v>134423.07692307694</v>
      </c>
      <c r="AA17" s="249">
        <f t="shared" si="3"/>
        <v>0</v>
      </c>
      <c r="AB17" s="249">
        <f t="shared" si="4"/>
        <v>537692.30769230775</v>
      </c>
      <c r="AC17" s="249">
        <f t="shared" si="5"/>
        <v>0</v>
      </c>
      <c r="AD17" s="249">
        <f t="shared" si="6"/>
        <v>0</v>
      </c>
      <c r="AE17" s="249">
        <f t="shared" si="7"/>
        <v>0</v>
      </c>
      <c r="AF17" s="249">
        <f t="shared" si="8"/>
        <v>0</v>
      </c>
      <c r="AG17" s="249">
        <f t="shared" si="9"/>
        <v>0</v>
      </c>
      <c r="AH17" s="249">
        <f>BT17/26*U17</f>
        <v>0</v>
      </c>
      <c r="AI17" s="249">
        <f t="shared" si="10"/>
        <v>0</v>
      </c>
      <c r="AJ17" s="249"/>
      <c r="AK17" s="249">
        <f>BR17*L17/26</f>
        <v>0</v>
      </c>
      <c r="AL17" s="249"/>
      <c r="AM17" s="249">
        <f>X17*BV17</f>
        <v>0</v>
      </c>
      <c r="AN17" s="249">
        <f t="shared" si="15"/>
        <v>0</v>
      </c>
      <c r="AO17" s="249">
        <f>IF(F17="LN",I17*(K17+L17)/26+(H17+I17)*50%*M17/26+IF(F17="LT",BO17*O17/26-AB17,0)+MAX($G17*P17/26*150%,P17*$BO17/26)-AC17+MAX($G17*Q17/26*200%,Q17*$BO17/26)-AD17+MAX($G17*R17/26*300%,R17*$BO17/26)-AE17+BO17*S17/26-AF17+AH17-AG17,I17-I17*($BW$11-K17-L17)/26+(H17+I17)*50%*M17/26+IF(F17="LT",BO17*O17/26-AB17,0)+MAX($G17*P17/26*150%,P17*$BO17/26)-AC17+MAX($G17*Q17/26*200%,Q17*$BO17/26)-AD17+MAX($G17*R17/26*300%,R17*$BO17/26)-AE17+BO17*S17/26-AF17+AH17-AG17+(G17-G17*($BW$11-K17-L17)/26-Y17)+(H17-H17*($BW$11-K17-L17)/26-AN17))</f>
        <v>10159230.76923077</v>
      </c>
      <c r="AP17" s="249"/>
      <c r="AQ17" s="249"/>
      <c r="AR17" s="28">
        <v>720000</v>
      </c>
      <c r="AS17" s="249"/>
      <c r="AT17" s="249"/>
      <c r="AU17" s="249"/>
      <c r="AV17" s="249">
        <f t="shared" si="11"/>
        <v>14374230.76923077</v>
      </c>
      <c r="AW17" s="249"/>
      <c r="AX17" s="249" t="s">
        <v>101</v>
      </c>
      <c r="AY17" s="251"/>
      <c r="AZ17" s="251"/>
      <c r="BA17" s="251">
        <f>IF(G17*1%&gt;=234000,234000,G17*1%)</f>
        <v>69900</v>
      </c>
      <c r="BB17" s="251">
        <f>AM17+IF(AR17&gt;=730000,730000,AR17)+IF(((AV17-AM17-IF(AR17&gt;=730000,730000,AR17)-AS17)*15%-AS17)&gt;0,((AV17-AM17-IF(AR17&gt;=730000,730000,AR17)-AS17)*15%-AS17),0)</f>
        <v>2768134.6153846155</v>
      </c>
      <c r="BC17" s="251">
        <f>AV17-BB17+AW17</f>
        <v>11606096.153846154</v>
      </c>
      <c r="BD17" s="251"/>
      <c r="BE17" s="251"/>
      <c r="BF17" s="251"/>
      <c r="BG17" s="251">
        <v>0</v>
      </c>
      <c r="BH17" s="251"/>
      <c r="BI17" s="251"/>
      <c r="BJ17" s="251"/>
      <c r="BK17" s="251"/>
      <c r="BL17" s="251"/>
      <c r="BM17" s="251" t="str">
        <f>IF(AV17&gt;=11000000,"80%","100%")</f>
        <v>80%</v>
      </c>
      <c r="BN17" s="251">
        <f>AV17*BM17-BH17-BE17-BJ17-BI17</f>
        <v>11499384.615384616</v>
      </c>
      <c r="BO17" s="242">
        <v>23000000</v>
      </c>
      <c r="BP17" s="152">
        <v>0</v>
      </c>
      <c r="BQ17" s="152">
        <v>2000000</v>
      </c>
      <c r="BR17" s="152">
        <v>200000</v>
      </c>
      <c r="BS17" s="243">
        <f t="shared" si="12"/>
        <v>1150000</v>
      </c>
      <c r="BT17" s="243">
        <f t="shared" si="13"/>
        <v>26350000</v>
      </c>
      <c r="BU17" s="243" t="s">
        <v>114</v>
      </c>
      <c r="BV17" s="243"/>
      <c r="BW17" s="287"/>
      <c r="BX17" s="288"/>
      <c r="BY17" s="288"/>
      <c r="BZ17" s="252"/>
      <c r="CA17" s="252"/>
    </row>
    <row r="18" spans="1:79" s="253" customFormat="1" ht="30.5" customHeight="1">
      <c r="A18" s="244">
        <v>5</v>
      </c>
      <c r="B18" s="254" t="s">
        <v>108</v>
      </c>
      <c r="C18" s="246" t="s">
        <v>109</v>
      </c>
      <c r="D18" s="247" t="s">
        <v>110</v>
      </c>
      <c r="E18" s="248" t="s">
        <v>99</v>
      </c>
      <c r="F18" s="248" t="s">
        <v>111</v>
      </c>
      <c r="G18" s="249">
        <v>4850000</v>
      </c>
      <c r="H18" s="249">
        <f t="shared" si="1"/>
        <v>300000</v>
      </c>
      <c r="I18" s="249">
        <f>BT18-BR18-G18-H18</f>
        <v>6400000</v>
      </c>
      <c r="J18" s="286">
        <v>1</v>
      </c>
      <c r="K18" s="250">
        <v>11</v>
      </c>
      <c r="L18" s="250"/>
      <c r="M18" s="250"/>
      <c r="N18" s="250"/>
      <c r="O18" s="250">
        <v>2</v>
      </c>
      <c r="P18" s="250"/>
      <c r="Q18" s="250"/>
      <c r="R18" s="250">
        <v>4</v>
      </c>
      <c r="S18" s="250">
        <v>0</v>
      </c>
      <c r="T18" s="250"/>
      <c r="U18" s="250">
        <v>0</v>
      </c>
      <c r="V18" s="250">
        <v>0</v>
      </c>
      <c r="W18" s="250">
        <v>0</v>
      </c>
      <c r="X18" s="250">
        <v>0</v>
      </c>
      <c r="Y18" s="249">
        <f t="shared" si="14"/>
        <v>2051923.076923077</v>
      </c>
      <c r="Z18" s="249">
        <f t="shared" si="2"/>
        <v>0</v>
      </c>
      <c r="AA18" s="249">
        <f t="shared" si="3"/>
        <v>0</v>
      </c>
      <c r="AB18" s="249">
        <f t="shared" si="4"/>
        <v>373076.92307692306</v>
      </c>
      <c r="AC18" s="249">
        <f t="shared" si="5"/>
        <v>0</v>
      </c>
      <c r="AD18" s="249">
        <f t="shared" si="6"/>
        <v>0</v>
      </c>
      <c r="AE18" s="249">
        <f t="shared" si="7"/>
        <v>2238461.5384615385</v>
      </c>
      <c r="AF18" s="249">
        <f t="shared" si="8"/>
        <v>0</v>
      </c>
      <c r="AG18" s="249">
        <f t="shared" si="9"/>
        <v>0</v>
      </c>
      <c r="AH18" s="249">
        <f>BT18/26*U18</f>
        <v>0</v>
      </c>
      <c r="AI18" s="249">
        <f t="shared" si="10"/>
        <v>0</v>
      </c>
      <c r="AJ18" s="249"/>
      <c r="AK18" s="249">
        <f>BR18*L18/26</f>
        <v>0</v>
      </c>
      <c r="AL18" s="249"/>
      <c r="AM18" s="249">
        <f>X18*BV18</f>
        <v>0</v>
      </c>
      <c r="AN18" s="249">
        <f t="shared" si="15"/>
        <v>126923.07692307694</v>
      </c>
      <c r="AO18" s="249">
        <f>IF(F18="LN",I18*(K18+L18)/26+(H18+I18)*50%*M18/26+IF(F18="LT",BO18*O18/26-AB18,0)+MAX($G18*P18/26*150%,P18*$BO18/26)-AC18+MAX($G18*Q18/26*200%,Q18*$BO18/26)-AD18+MAX($G18*R18/26*300%,R18*$BO18/26)-AE18+BO18*S18/26-AF18+AH18-AG18,I18-I18*($BW$11-K18-L18)/26+(H18+I18)*50%*M18/26+IF(F18="LT",BO18*O18/26-AB18,0)+MAX($G18*P18/26*150%,P18*$BO18/26)-AC18+MAX($G18*Q18/26*200%,Q18*$BO18/26)-AD18+MAX($G18*R18/26*300%,R18*$BO18/26)-AE18+BO18*S18/26-AF18+AH18-AG18+(G18-G18*($BW$11-K18-L18)/26-Y18)+(H18-H18*($BW$11-K18-L18)/26-AN18))</f>
        <v>2707692.3076923075</v>
      </c>
      <c r="AP18" s="249"/>
      <c r="AQ18" s="249"/>
      <c r="AR18" s="28">
        <v>560000</v>
      </c>
      <c r="AS18" s="249"/>
      <c r="AT18" s="249"/>
      <c r="AU18" s="249"/>
      <c r="AV18" s="249">
        <f t="shared" si="11"/>
        <v>8058076.9230769221</v>
      </c>
      <c r="AW18" s="249"/>
      <c r="AX18" s="249" t="s">
        <v>101</v>
      </c>
      <c r="AY18" s="251"/>
      <c r="AZ18" s="251"/>
      <c r="BA18" s="251">
        <f>IF(G18*1%&gt;=234000,234000,G18*1%)</f>
        <v>48500</v>
      </c>
      <c r="BB18" s="251">
        <f>AM18+IF(AR18&gt;=730000,730000,AR18)+IF(((AV18-AM18-IF(AR18&gt;=730000,730000,AR18)-AS18)*15%-AS18)&gt;0,((AV18-AM18-IF(AR18&gt;=730000,730000,AR18)-AS18)*15%-AS18),0)</f>
        <v>1684711.5384615383</v>
      </c>
      <c r="BC18" s="251">
        <f>AV18-BB18+AW18</f>
        <v>6373365.384615384</v>
      </c>
      <c r="BD18" s="251"/>
      <c r="BE18" s="251"/>
      <c r="BF18" s="251"/>
      <c r="BG18" s="251">
        <v>0</v>
      </c>
      <c r="BH18" s="251"/>
      <c r="BI18" s="251"/>
      <c r="BJ18" s="251"/>
      <c r="BK18" s="251"/>
      <c r="BL18" s="251"/>
      <c r="BM18" s="251" t="str">
        <f>IF(AV18&gt;=11000000,"80%","100%")</f>
        <v>100%</v>
      </c>
      <c r="BN18" s="251">
        <f>AV18*BM18-BH18-BE18-BJ18-BI18</f>
        <v>8058076.9230769221</v>
      </c>
      <c r="BO18" s="242">
        <v>11000000</v>
      </c>
      <c r="BP18" s="152">
        <v>0</v>
      </c>
      <c r="BQ18" s="152">
        <v>0</v>
      </c>
      <c r="BR18" s="152">
        <v>200000</v>
      </c>
      <c r="BS18" s="243">
        <f t="shared" si="12"/>
        <v>550000</v>
      </c>
      <c r="BT18" s="243">
        <f t="shared" si="13"/>
        <v>11750000</v>
      </c>
      <c r="BU18" s="243" t="s">
        <v>118</v>
      </c>
      <c r="BV18" s="243"/>
      <c r="BW18" s="287"/>
      <c r="BX18" s="288"/>
      <c r="BY18" s="288"/>
      <c r="BZ18" s="252"/>
      <c r="CA18" s="252"/>
    </row>
    <row r="19" spans="1:79" s="253" customFormat="1" ht="30.5" customHeight="1">
      <c r="A19" s="244">
        <v>6</v>
      </c>
      <c r="B19" s="245">
        <v>2406145</v>
      </c>
      <c r="C19" s="246" t="s">
        <v>112</v>
      </c>
      <c r="D19" s="247" t="s">
        <v>103</v>
      </c>
      <c r="E19" s="248" t="s">
        <v>99</v>
      </c>
      <c r="F19" s="248" t="s">
        <v>100</v>
      </c>
      <c r="G19" s="249">
        <v>6340000</v>
      </c>
      <c r="H19" s="249">
        <f t="shared" si="1"/>
        <v>0</v>
      </c>
      <c r="I19" s="249">
        <f>BT19-BR19-G19-H19</f>
        <v>17810000</v>
      </c>
      <c r="J19" s="286">
        <v>1</v>
      </c>
      <c r="K19" s="250">
        <v>10.5</v>
      </c>
      <c r="L19" s="250"/>
      <c r="M19" s="250">
        <v>0.5</v>
      </c>
      <c r="N19" s="250"/>
      <c r="O19" s="250">
        <v>2</v>
      </c>
      <c r="P19" s="250"/>
      <c r="Q19" s="250"/>
      <c r="R19" s="250">
        <v>0</v>
      </c>
      <c r="S19" s="250">
        <v>0</v>
      </c>
      <c r="T19" s="250"/>
      <c r="U19" s="250">
        <v>0</v>
      </c>
      <c r="V19" s="250">
        <v>0</v>
      </c>
      <c r="W19" s="250">
        <v>0</v>
      </c>
      <c r="X19" s="250">
        <v>0</v>
      </c>
      <c r="Y19" s="249">
        <f t="shared" si="14"/>
        <v>2560384.6153846155</v>
      </c>
      <c r="Z19" s="249">
        <f t="shared" si="2"/>
        <v>121923.07692307692</v>
      </c>
      <c r="AA19" s="249">
        <f t="shared" si="3"/>
        <v>0</v>
      </c>
      <c r="AB19" s="249">
        <f t="shared" si="4"/>
        <v>487692.30769230769</v>
      </c>
      <c r="AC19" s="249">
        <f t="shared" si="5"/>
        <v>0</v>
      </c>
      <c r="AD19" s="249">
        <f t="shared" si="6"/>
        <v>0</v>
      </c>
      <c r="AE19" s="249">
        <f t="shared" si="7"/>
        <v>0</v>
      </c>
      <c r="AF19" s="249">
        <f t="shared" si="8"/>
        <v>0</v>
      </c>
      <c r="AG19" s="249">
        <f t="shared" si="9"/>
        <v>0</v>
      </c>
      <c r="AH19" s="249">
        <f>BT19/26*U19</f>
        <v>0</v>
      </c>
      <c r="AI19" s="249">
        <f t="shared" si="10"/>
        <v>0</v>
      </c>
      <c r="AJ19" s="249"/>
      <c r="AK19" s="249">
        <f>BR19*L19/26</f>
        <v>0</v>
      </c>
      <c r="AL19" s="249"/>
      <c r="AM19" s="249">
        <f>X19*BV19</f>
        <v>0</v>
      </c>
      <c r="AN19" s="249">
        <f t="shared" si="15"/>
        <v>0</v>
      </c>
      <c r="AO19" s="249">
        <f>IF(F19="LN",I19*(K19+L19)/26+(H19+I19)*50%*M19/26+IF(F19="LT",BO19*O19/26-AB19,0)+MAX($G19*P19/26*150%,P19*$BO19/26)-AC19+MAX($G19*Q19/26*200%,Q19*$BO19/26)-AD19+MAX($G19*R19/26*300%,R19*$BO19/26)-AE19+BO19*S19/26-AF19+AH19-AG19,I19-I19*($BW$11-K19-L19)/26+(H19+I19)*50%*M19/26+IF(F19="LT",BO19*O19/26-AB19,0)+MAX($G19*P19/26*150%,P19*$BO19/26)-AC19+MAX($G19*Q19/26*200%,Q19*$BO19/26)-AD19+MAX($G19*R19/26*300%,R19*$BO19/26)-AE19+BO19*S19/26-AF19+AH19-AG19+(G19-G19*($BW$11-K19-L19)/26-Y19)+(H19-H19*($BW$11-K19-L19)/26-AN19))</f>
        <v>9574134.615384616</v>
      </c>
      <c r="AP19" s="249"/>
      <c r="AQ19" s="249"/>
      <c r="AR19" s="28">
        <v>720000</v>
      </c>
      <c r="AS19" s="249"/>
      <c r="AT19" s="249"/>
      <c r="AU19" s="249"/>
      <c r="AV19" s="249">
        <f t="shared" si="11"/>
        <v>13464134.615384616</v>
      </c>
      <c r="AW19" s="249"/>
      <c r="AX19" s="249" t="s">
        <v>101</v>
      </c>
      <c r="AY19" s="251"/>
      <c r="AZ19" s="251"/>
      <c r="BA19" s="251">
        <f>IF(G19*1%&gt;=234000,234000,G19*1%)</f>
        <v>63400</v>
      </c>
      <c r="BB19" s="251">
        <f>AM19+IF(AR19&gt;=730000,730000,AR19)+IF(((AV19-AM19-IF(AR19&gt;=730000,730000,AR19)-AS19)*15%-AS19)&gt;0,((AV19-AM19-IF(AR19&gt;=730000,730000,AR19)-AS19)*15%-AS19),0)</f>
        <v>2631620.192307692</v>
      </c>
      <c r="BC19" s="251">
        <f>AV19-BB19+AW19</f>
        <v>10832514.423076924</v>
      </c>
      <c r="BD19" s="251"/>
      <c r="BE19" s="251"/>
      <c r="BF19" s="251"/>
      <c r="BG19" s="251">
        <v>0</v>
      </c>
      <c r="BH19" s="251"/>
      <c r="BI19" s="251"/>
      <c r="BJ19" s="251"/>
      <c r="BK19" s="251"/>
      <c r="BL19" s="251"/>
      <c r="BM19" s="251" t="str">
        <f>IF(AV19&gt;=11000000,"80%","100%")</f>
        <v>80%</v>
      </c>
      <c r="BN19" s="251">
        <f>AV19*BM19-BH19-BE19-BJ19-BI19</f>
        <v>10771307.692307694</v>
      </c>
      <c r="BO19" s="242">
        <v>23000000</v>
      </c>
      <c r="BP19" s="152">
        <v>0</v>
      </c>
      <c r="BQ19" s="152">
        <v>0</v>
      </c>
      <c r="BR19" s="152">
        <v>200000</v>
      </c>
      <c r="BS19" s="243">
        <f t="shared" si="12"/>
        <v>1150000</v>
      </c>
      <c r="BT19" s="243">
        <f t="shared" si="13"/>
        <v>24350000</v>
      </c>
      <c r="BU19" s="243" t="s">
        <v>114</v>
      </c>
      <c r="BV19" s="243"/>
      <c r="BW19" s="287"/>
      <c r="BX19" s="288"/>
      <c r="BY19" s="288"/>
      <c r="BZ19" s="252"/>
      <c r="CA19" s="252"/>
    </row>
    <row r="20" spans="1:79" s="253" customFormat="1" ht="30.5" customHeight="1">
      <c r="A20" s="244">
        <v>7</v>
      </c>
      <c r="B20" s="254" t="s">
        <v>115</v>
      </c>
      <c r="C20" s="246" t="s">
        <v>116</v>
      </c>
      <c r="D20" s="247" t="s">
        <v>117</v>
      </c>
      <c r="E20" s="248" t="s">
        <v>99</v>
      </c>
      <c r="F20" s="248" t="s">
        <v>100</v>
      </c>
      <c r="G20" s="249">
        <v>6340000</v>
      </c>
      <c r="H20" s="249">
        <f t="shared" si="1"/>
        <v>300000</v>
      </c>
      <c r="I20" s="249">
        <f>BT20-BR20-G20-H20</f>
        <v>11210000</v>
      </c>
      <c r="J20" s="286">
        <v>1</v>
      </c>
      <c r="K20" s="250">
        <v>11</v>
      </c>
      <c r="L20" s="250"/>
      <c r="M20" s="250"/>
      <c r="N20" s="250"/>
      <c r="O20" s="250">
        <v>2</v>
      </c>
      <c r="P20" s="250"/>
      <c r="Q20" s="250"/>
      <c r="R20" s="250">
        <v>4</v>
      </c>
      <c r="S20" s="250">
        <v>0</v>
      </c>
      <c r="T20" s="250"/>
      <c r="U20" s="250">
        <v>0</v>
      </c>
      <c r="V20" s="250">
        <v>0</v>
      </c>
      <c r="W20" s="250">
        <v>0</v>
      </c>
      <c r="X20" s="250">
        <v>0</v>
      </c>
      <c r="Y20" s="249">
        <f t="shared" si="14"/>
        <v>2682307.6923076925</v>
      </c>
      <c r="Z20" s="249">
        <f t="shared" si="2"/>
        <v>0</v>
      </c>
      <c r="AA20" s="249">
        <f t="shared" si="3"/>
        <v>0</v>
      </c>
      <c r="AB20" s="249">
        <f t="shared" si="4"/>
        <v>487692.30769230769</v>
      </c>
      <c r="AC20" s="249">
        <f t="shared" si="5"/>
        <v>0</v>
      </c>
      <c r="AD20" s="249">
        <f t="shared" si="6"/>
        <v>0</v>
      </c>
      <c r="AE20" s="249">
        <f t="shared" si="7"/>
        <v>2926153.846153846</v>
      </c>
      <c r="AF20" s="249">
        <f t="shared" si="8"/>
        <v>0</v>
      </c>
      <c r="AG20" s="249">
        <f t="shared" si="9"/>
        <v>0</v>
      </c>
      <c r="AH20" s="249">
        <f>BT20/26*U20</f>
        <v>0</v>
      </c>
      <c r="AI20" s="249">
        <f t="shared" si="10"/>
        <v>0</v>
      </c>
      <c r="AJ20" s="249"/>
      <c r="AK20" s="249">
        <f>BR20*L20/26</f>
        <v>0</v>
      </c>
      <c r="AL20" s="249"/>
      <c r="AM20" s="249">
        <f>X20*BV20</f>
        <v>0</v>
      </c>
      <c r="AN20" s="249">
        <f t="shared" si="15"/>
        <v>126923.07692307694</v>
      </c>
      <c r="AO20" s="249">
        <f>IF(F20="LN",I20*(K20+L20)/26+(H20+I20)*50%*M20/26+IF(F20="LT",BO20*O20/26-AB20,0)+MAX($G20*P20/26*150%,P20*$BO20/26)-AC20+MAX($G20*Q20/26*200%,Q20*$BO20/26)-AD20+MAX($G20*R20/26*300%,R20*$BO20/26)-AE20+BO20*S20/26-AF20+AH20-AG20,I20-I20*($BW$11-K20-L20)/26+(H20+I20)*50%*M20/26+IF(F20="LT",BO20*O20/26-AB20,0)+MAX($G20*P20/26*150%,P20*$BO20/26)-AC20+MAX($G20*Q20/26*200%,Q20*$BO20/26)-AD20+MAX($G20*R20/26*300%,R20*$BO20/26)-AE20+BO20*S20/26-AF20+AH20-AG20+(G20-G20*($BW$11-K20-L20)/26-Y20)+(H20-H20*($BW$11-K20-L20)/26-AN20))</f>
        <v>6249230.7692307699</v>
      </c>
      <c r="AP20" s="249"/>
      <c r="AQ20" s="249"/>
      <c r="AR20" s="28">
        <v>560000</v>
      </c>
      <c r="AS20" s="249"/>
      <c r="AT20" s="249"/>
      <c r="AU20" s="249"/>
      <c r="AV20" s="249">
        <f t="shared" si="11"/>
        <v>13032307.692307692</v>
      </c>
      <c r="AW20" s="249"/>
      <c r="AX20" s="249" t="s">
        <v>101</v>
      </c>
      <c r="AY20" s="251"/>
      <c r="AZ20" s="251"/>
      <c r="BA20" s="251">
        <f>IF(G20*1%&gt;=234000,234000,G20*1%)</f>
        <v>63400</v>
      </c>
      <c r="BB20" s="251">
        <f>AM20+IF(AR20&gt;=730000,730000,AR20)+IF(((AV20-AM20-IF(AR20&gt;=730000,730000,AR20)-AS20)*15%-AS20)&gt;0,((AV20-AM20-IF(AR20&gt;=730000,730000,AR20)-AS20)*15%-AS20),0)</f>
        <v>2430846.153846154</v>
      </c>
      <c r="BC20" s="251">
        <f>AV20-BB20+AW20</f>
        <v>10601461.538461538</v>
      </c>
      <c r="BD20" s="251"/>
      <c r="BE20" s="251"/>
      <c r="BF20" s="251"/>
      <c r="BG20" s="251">
        <v>0</v>
      </c>
      <c r="BH20" s="251"/>
      <c r="BI20" s="251"/>
      <c r="BJ20" s="251"/>
      <c r="BK20" s="251"/>
      <c r="BL20" s="251"/>
      <c r="BM20" s="251" t="str">
        <f>IF(AV20&gt;=11000000,"80%","100%")</f>
        <v>80%</v>
      </c>
      <c r="BN20" s="251">
        <f>AV20*BM20-BH20-BE20-BJ20-BI20</f>
        <v>10425846.153846154</v>
      </c>
      <c r="BO20" s="242">
        <v>17000000</v>
      </c>
      <c r="BP20" s="152">
        <v>0</v>
      </c>
      <c r="BQ20" s="152">
        <v>0</v>
      </c>
      <c r="BR20" s="152">
        <v>200000</v>
      </c>
      <c r="BS20" s="243">
        <f t="shared" si="12"/>
        <v>850000</v>
      </c>
      <c r="BT20" s="243">
        <f t="shared" si="13"/>
        <v>18050000</v>
      </c>
      <c r="BU20" s="243" t="s">
        <v>118</v>
      </c>
      <c r="BV20" s="243"/>
      <c r="BW20" s="287"/>
      <c r="BX20" s="288"/>
      <c r="BY20" s="288"/>
      <c r="BZ20" s="252"/>
      <c r="CA20" s="252"/>
    </row>
    <row r="21" spans="1:79" s="289" customFormat="1" ht="18.75" customHeight="1">
      <c r="B21" s="290"/>
      <c r="I21" s="291"/>
      <c r="J21" s="291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3"/>
      <c r="V21" s="293"/>
      <c r="W21" s="294"/>
      <c r="X21" s="294"/>
      <c r="AC21" s="295"/>
      <c r="BH21" s="296"/>
      <c r="BI21" s="296"/>
      <c r="BJ21" s="296"/>
      <c r="BK21" s="296"/>
      <c r="BL21" s="296"/>
      <c r="BM21" s="296"/>
      <c r="BN21" s="296"/>
      <c r="BO21" s="297"/>
      <c r="BP21" s="297"/>
      <c r="BQ21" s="297"/>
      <c r="BR21" s="297"/>
      <c r="BS21" s="297"/>
      <c r="BX21" s="298"/>
    </row>
    <row r="22" spans="1:79" s="299" customFormat="1" ht="21" customHeight="1">
      <c r="B22" s="300"/>
      <c r="C22" s="300"/>
      <c r="D22" s="300"/>
      <c r="E22" s="300"/>
      <c r="F22" s="300"/>
      <c r="G22" s="300"/>
      <c r="H22" s="300"/>
      <c r="I22" s="300"/>
      <c r="J22" s="301"/>
      <c r="K22" s="302"/>
      <c r="L22" s="302"/>
      <c r="M22" s="302"/>
      <c r="N22" s="302"/>
      <c r="O22" s="302"/>
      <c r="P22" s="302"/>
      <c r="Q22" s="302"/>
      <c r="U22" s="303"/>
      <c r="V22" s="302"/>
      <c r="W22" s="300"/>
      <c r="X22" s="300"/>
      <c r="Y22" s="300"/>
      <c r="Z22" s="300"/>
      <c r="AA22" s="300"/>
      <c r="AB22" s="300"/>
      <c r="AC22" s="300"/>
      <c r="AK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0"/>
      <c r="AX22" s="300"/>
      <c r="AY22" s="304"/>
      <c r="AZ22" s="304"/>
      <c r="BF22" s="300"/>
      <c r="BG22" s="300"/>
      <c r="BH22" s="300" t="s">
        <v>119</v>
      </c>
      <c r="BI22" s="300"/>
      <c r="BJ22" s="300"/>
      <c r="BK22" s="300"/>
      <c r="BL22" s="300"/>
      <c r="BM22" s="300"/>
      <c r="BN22" s="300"/>
      <c r="BO22" s="305"/>
      <c r="BP22" s="305"/>
      <c r="BQ22" s="305"/>
      <c r="BR22" s="305"/>
      <c r="BS22" s="305"/>
    </row>
    <row r="23" spans="1:79" s="299" customFormat="1" ht="18" customHeight="1">
      <c r="B23" s="306"/>
      <c r="I23" s="301"/>
      <c r="J23" s="301"/>
      <c r="K23" s="303"/>
      <c r="L23" s="303"/>
      <c r="M23" s="303"/>
      <c r="N23" s="303"/>
      <c r="O23" s="303"/>
      <c r="P23" s="303"/>
      <c r="Q23" s="303"/>
      <c r="R23" s="302"/>
      <c r="U23" s="303"/>
      <c r="V23" s="303"/>
      <c r="W23" s="307"/>
      <c r="X23" s="307"/>
      <c r="AN23" s="305"/>
      <c r="AV23" s="300"/>
      <c r="AW23" s="300"/>
      <c r="AX23" s="300"/>
      <c r="BF23" s="300"/>
      <c r="BG23" s="304"/>
      <c r="BO23" s="305"/>
      <c r="BP23" s="305"/>
      <c r="BQ23" s="305"/>
      <c r="BR23" s="305"/>
      <c r="BS23" s="305"/>
      <c r="BX23" s="308"/>
    </row>
    <row r="24" spans="1:79" ht="15" customHeight="1">
      <c r="D24" s="312" t="s">
        <v>152</v>
      </c>
      <c r="I24" s="313"/>
      <c r="X24" s="258"/>
      <c r="BR24" s="258" t="s">
        <v>147</v>
      </c>
      <c r="BX24" s="317"/>
    </row>
    <row r="25" spans="1:79" ht="73.5" customHeight="1">
      <c r="J25" s="257"/>
      <c r="X25" s="258"/>
    </row>
  </sheetData>
  <mergeCells count="78">
    <mergeCell ref="A8:A11"/>
    <mergeCell ref="AS8:AS11"/>
    <mergeCell ref="K8:X8"/>
    <mergeCell ref="AY10:AY11"/>
    <mergeCell ref="BA10:BA11"/>
    <mergeCell ref="T9:T11"/>
    <mergeCell ref="P9:P11"/>
    <mergeCell ref="AB9:AB11"/>
    <mergeCell ref="AY8:BJ8"/>
    <mergeCell ref="AF9:AF11"/>
    <mergeCell ref="AH9:AH11"/>
    <mergeCell ref="L9:L11"/>
    <mergeCell ref="N9:N11"/>
    <mergeCell ref="C8:C11"/>
    <mergeCell ref="BO8:BO11"/>
    <mergeCell ref="AI9:AI11"/>
    <mergeCell ref="BK8:BL8"/>
    <mergeCell ref="D8:D11"/>
    <mergeCell ref="BB10:BB11"/>
    <mergeCell ref="BI10:BI11"/>
    <mergeCell ref="Q9:Q11"/>
    <mergeCell ref="S9:S11"/>
    <mergeCell ref="BF10:BF11"/>
    <mergeCell ref="AC9:AC11"/>
    <mergeCell ref="BK9:BK11"/>
    <mergeCell ref="AR8:AR11"/>
    <mergeCell ref="I8:I11"/>
    <mergeCell ref="BE10:BE11"/>
    <mergeCell ref="AP8:AP11"/>
    <mergeCell ref="BO3:BT6"/>
    <mergeCell ref="AU8:AU11"/>
    <mergeCell ref="BM8:BM11"/>
    <mergeCell ref="BE9:BJ9"/>
    <mergeCell ref="BP8:BS10"/>
    <mergeCell ref="AV8:AV11"/>
    <mergeCell ref="BU8:BU11"/>
    <mergeCell ref="AW8:AW11"/>
    <mergeCell ref="A3:BN3"/>
    <mergeCell ref="AE9:AE11"/>
    <mergeCell ref="AO9:AO11"/>
    <mergeCell ref="B8:B11"/>
    <mergeCell ref="AZ10:AZ11"/>
    <mergeCell ref="K9:K11"/>
    <mergeCell ref="M9:M11"/>
    <mergeCell ref="O9:O11"/>
    <mergeCell ref="BD10:BD11"/>
    <mergeCell ref="AY9:BD9"/>
    <mergeCell ref="BN8:BN11"/>
    <mergeCell ref="E8:E11"/>
    <mergeCell ref="G8:G11"/>
    <mergeCell ref="R9:R11"/>
    <mergeCell ref="BL9:BL11"/>
    <mergeCell ref="BG10:BG11"/>
    <mergeCell ref="AQ8:AQ11"/>
    <mergeCell ref="U9:U11"/>
    <mergeCell ref="BH10:BH11"/>
    <mergeCell ref="BJ10:BJ11"/>
    <mergeCell ref="AG9:AG11"/>
    <mergeCell ref="Z9:Z11"/>
    <mergeCell ref="AD9:AD11"/>
    <mergeCell ref="BC10:BC11"/>
    <mergeCell ref="V9:W10"/>
    <mergeCell ref="X9:X11"/>
    <mergeCell ref="H8:H11"/>
    <mergeCell ref="J8:J11"/>
    <mergeCell ref="AT8:AT11"/>
    <mergeCell ref="F8:F11"/>
    <mergeCell ref="BV8:BV11"/>
    <mergeCell ref="Y9:Y11"/>
    <mergeCell ref="AA9:AA11"/>
    <mergeCell ref="AK9:AK11"/>
    <mergeCell ref="AM9:AM11"/>
    <mergeCell ref="AX8:AX11"/>
    <mergeCell ref="Y8:AO8"/>
    <mergeCell ref="BT8:BT11"/>
    <mergeCell ref="AJ9:AJ11"/>
    <mergeCell ref="AL9:AL11"/>
    <mergeCell ref="AN9:AN11"/>
  </mergeCells>
  <conditionalFormatting sqref="B21:B1048576 B1:B11 D12:F12 J12:BV12">
    <cfRule type="duplicateValues" dxfId="11" priority="99"/>
  </conditionalFormatting>
  <conditionalFormatting sqref="B14:B20">
    <cfRule type="duplicateValues" dxfId="10" priority="1"/>
    <cfRule type="duplicateValues" dxfId="9" priority="2"/>
    <cfRule type="duplicateValues" dxfId="8" priority="3"/>
  </conditionalFormatting>
  <conditionalFormatting sqref="B21:B1048576 B1:B11">
    <cfRule type="duplicateValues" dxfId="7" priority="107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26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Q3" s="417"/>
      <c r="AR3" s="417"/>
      <c r="AS3" s="417"/>
      <c r="AT3" s="417"/>
      <c r="AU3" s="417"/>
      <c r="AV3" s="417"/>
      <c r="AW3" s="417"/>
      <c r="AX3" s="417"/>
      <c r="AY3" s="417"/>
      <c r="AZ3" s="417"/>
      <c r="BA3" s="417"/>
      <c r="BB3" s="417"/>
      <c r="BC3" s="417"/>
      <c r="BD3" s="417"/>
      <c r="BE3" s="417"/>
      <c r="BF3" s="417"/>
      <c r="BG3" s="417"/>
      <c r="BH3" s="417"/>
      <c r="BI3" s="417"/>
      <c r="BJ3" s="417"/>
      <c r="BK3" s="417"/>
      <c r="BL3" s="417"/>
      <c r="BM3" s="417"/>
      <c r="BN3" s="417"/>
      <c r="BO3" s="417"/>
      <c r="BP3" s="417"/>
      <c r="BQ3" s="417"/>
      <c r="BR3" s="417"/>
      <c r="BS3" s="417"/>
      <c r="BT3" s="417"/>
      <c r="BU3" s="417"/>
      <c r="BW3" s="416" t="s">
        <v>2</v>
      </c>
      <c r="BX3" s="417"/>
      <c r="BY3" s="417"/>
      <c r="BZ3" s="417"/>
      <c r="CA3" s="417"/>
      <c r="CB3" s="417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7"/>
      <c r="BX4" s="417"/>
      <c r="BY4" s="417"/>
      <c r="BZ4" s="417"/>
      <c r="CA4" s="417"/>
      <c r="CB4" s="417"/>
      <c r="CC4" s="42"/>
      <c r="CD4" s="42"/>
    </row>
    <row r="5" spans="1:87" s="45" customFormat="1">
      <c r="A5" s="429" t="s">
        <v>4</v>
      </c>
      <c r="B5" s="428" t="s">
        <v>5</v>
      </c>
      <c r="C5" s="402" t="s">
        <v>6</v>
      </c>
      <c r="D5" s="427" t="s">
        <v>141</v>
      </c>
      <c r="E5" s="427" t="s">
        <v>8</v>
      </c>
      <c r="F5" s="471" t="s">
        <v>142</v>
      </c>
      <c r="G5" s="402" t="s">
        <v>10</v>
      </c>
      <c r="H5" s="353" t="s">
        <v>11</v>
      </c>
      <c r="I5" s="353" t="s">
        <v>12</v>
      </c>
      <c r="J5" s="402" t="s">
        <v>13</v>
      </c>
      <c r="K5" s="431" t="s">
        <v>14</v>
      </c>
      <c r="L5" s="413"/>
      <c r="M5" s="413"/>
      <c r="N5" s="413"/>
      <c r="O5" s="413"/>
      <c r="P5" s="413"/>
      <c r="Q5" s="413"/>
      <c r="R5" s="413"/>
      <c r="S5" s="413"/>
      <c r="T5" s="413"/>
      <c r="U5" s="413"/>
      <c r="V5" s="413"/>
      <c r="W5" s="413"/>
      <c r="X5" s="413"/>
      <c r="Y5" s="402" t="s">
        <v>15</v>
      </c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4"/>
      <c r="AP5" s="402" t="s">
        <v>16</v>
      </c>
      <c r="AQ5" s="402" t="s">
        <v>17</v>
      </c>
      <c r="AR5" s="402" t="s">
        <v>18</v>
      </c>
      <c r="AS5" s="402" t="s">
        <v>19</v>
      </c>
      <c r="AT5" s="402" t="s">
        <v>20</v>
      </c>
      <c r="AU5" s="402" t="s">
        <v>21</v>
      </c>
      <c r="AV5" s="402" t="s">
        <v>22</v>
      </c>
      <c r="AW5" s="402" t="s">
        <v>23</v>
      </c>
      <c r="AX5" s="402" t="s">
        <v>24</v>
      </c>
      <c r="AY5" s="412" t="s">
        <v>25</v>
      </c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4"/>
      <c r="BQ5" s="418" t="s">
        <v>26</v>
      </c>
      <c r="BR5" s="419"/>
      <c r="BS5" s="412" t="s">
        <v>143</v>
      </c>
      <c r="BT5" s="412" t="s">
        <v>27</v>
      </c>
      <c r="BU5" s="406" t="s">
        <v>28</v>
      </c>
      <c r="BW5" s="409" t="s">
        <v>29</v>
      </c>
      <c r="BX5" s="420" t="s">
        <v>30</v>
      </c>
      <c r="BY5" s="421"/>
      <c r="BZ5" s="421"/>
      <c r="CA5" s="419"/>
      <c r="CB5" s="415" t="s">
        <v>31</v>
      </c>
      <c r="CC5" s="397" t="s">
        <v>32</v>
      </c>
      <c r="CD5" s="397" t="s">
        <v>33</v>
      </c>
      <c r="CH5" s="46"/>
      <c r="CI5" s="47"/>
    </row>
    <row r="6" spans="1:87" s="45" customFormat="1">
      <c r="A6" s="398"/>
      <c r="B6" s="398"/>
      <c r="C6" s="398"/>
      <c r="D6" s="398"/>
      <c r="E6" s="398"/>
      <c r="F6" s="398"/>
      <c r="G6" s="398"/>
      <c r="H6" s="398"/>
      <c r="I6" s="398"/>
      <c r="J6" s="398"/>
      <c r="K6" s="403" t="s">
        <v>34</v>
      </c>
      <c r="L6" s="403" t="s">
        <v>35</v>
      </c>
      <c r="M6" s="403" t="s">
        <v>36</v>
      </c>
      <c r="N6" s="403" t="s">
        <v>37</v>
      </c>
      <c r="O6" s="403" t="s">
        <v>38</v>
      </c>
      <c r="P6" s="403" t="s">
        <v>39</v>
      </c>
      <c r="Q6" s="403" t="s">
        <v>40</v>
      </c>
      <c r="R6" s="403" t="s">
        <v>41</v>
      </c>
      <c r="S6" s="403" t="s">
        <v>42</v>
      </c>
      <c r="T6" s="403" t="s">
        <v>43</v>
      </c>
      <c r="U6" s="403" t="s">
        <v>44</v>
      </c>
      <c r="V6" s="433" t="s">
        <v>45</v>
      </c>
      <c r="W6" s="419"/>
      <c r="X6" s="403" t="s">
        <v>46</v>
      </c>
      <c r="Y6" s="402" t="s">
        <v>47</v>
      </c>
      <c r="Z6" s="402" t="s">
        <v>48</v>
      </c>
      <c r="AA6" s="402" t="s">
        <v>49</v>
      </c>
      <c r="AB6" s="402" t="s">
        <v>50</v>
      </c>
      <c r="AC6" s="353" t="s">
        <v>51</v>
      </c>
      <c r="AD6" s="353" t="s">
        <v>144</v>
      </c>
      <c r="AE6" s="353" t="s">
        <v>53</v>
      </c>
      <c r="AF6" s="353" t="s">
        <v>54</v>
      </c>
      <c r="AG6" s="402" t="s">
        <v>55</v>
      </c>
      <c r="AH6" s="353" t="s">
        <v>56</v>
      </c>
      <c r="AI6" s="353" t="s">
        <v>57</v>
      </c>
      <c r="AJ6" s="402" t="s">
        <v>58</v>
      </c>
      <c r="AK6" s="430" t="s">
        <v>59</v>
      </c>
      <c r="AL6" s="402" t="s">
        <v>60</v>
      </c>
      <c r="AM6" s="402" t="s">
        <v>61</v>
      </c>
      <c r="AN6" s="432" t="s">
        <v>62</v>
      </c>
      <c r="AO6" s="402" t="s">
        <v>63</v>
      </c>
      <c r="AP6" s="398"/>
      <c r="AQ6" s="398"/>
      <c r="AR6" s="398"/>
      <c r="AS6" s="398"/>
      <c r="AT6" s="398"/>
      <c r="AU6" s="398"/>
      <c r="AV6" s="398"/>
      <c r="AW6" s="398"/>
      <c r="AX6" s="398"/>
      <c r="AY6" s="412" t="s">
        <v>25</v>
      </c>
      <c r="AZ6" s="413"/>
      <c r="BA6" s="413"/>
      <c r="BB6" s="413"/>
      <c r="BC6" s="413"/>
      <c r="BD6" s="413"/>
      <c r="BE6" s="413"/>
      <c r="BF6" s="413"/>
      <c r="BG6" s="413"/>
      <c r="BH6" s="413"/>
      <c r="BI6" s="413"/>
      <c r="BJ6" s="414"/>
      <c r="BK6" s="412" t="s">
        <v>64</v>
      </c>
      <c r="BL6" s="413"/>
      <c r="BM6" s="413"/>
      <c r="BN6" s="413"/>
      <c r="BO6" s="413"/>
      <c r="BP6" s="414"/>
      <c r="BQ6" s="400" t="s">
        <v>65</v>
      </c>
      <c r="BR6" s="400" t="s">
        <v>66</v>
      </c>
      <c r="BS6" s="398"/>
      <c r="BT6" s="398"/>
      <c r="BU6" s="407"/>
      <c r="BW6" s="410"/>
      <c r="BX6" s="407"/>
      <c r="BY6" s="422"/>
      <c r="BZ6" s="422"/>
      <c r="CA6" s="410"/>
      <c r="CB6" s="398"/>
      <c r="CC6" s="398"/>
      <c r="CD6" s="398"/>
      <c r="CH6" s="46"/>
      <c r="CI6" s="47"/>
    </row>
    <row r="7" spans="1:87" s="45" customFormat="1" ht="12">
      <c r="A7" s="398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408"/>
      <c r="W7" s="434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407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29" t="s">
        <v>67</v>
      </c>
      <c r="AZ7" s="29" t="s">
        <v>68</v>
      </c>
      <c r="BA7" s="29" t="s">
        <v>69</v>
      </c>
      <c r="BB7" s="412" t="s">
        <v>70</v>
      </c>
      <c r="BC7" s="404" t="s">
        <v>71</v>
      </c>
      <c r="BD7" s="404" t="s">
        <v>72</v>
      </c>
      <c r="BE7" s="404" t="s">
        <v>145</v>
      </c>
      <c r="BF7" s="404" t="s">
        <v>74</v>
      </c>
      <c r="BG7" s="404" t="s">
        <v>75</v>
      </c>
      <c r="BH7" s="404" t="s">
        <v>76</v>
      </c>
      <c r="BI7" s="404" t="s">
        <v>79</v>
      </c>
      <c r="BJ7" s="405" t="s">
        <v>80</v>
      </c>
      <c r="BK7" s="404" t="s">
        <v>81</v>
      </c>
      <c r="BL7" s="412" t="s">
        <v>82</v>
      </c>
      <c r="BM7" s="404" t="s">
        <v>83</v>
      </c>
      <c r="BN7" s="412" t="s">
        <v>84</v>
      </c>
      <c r="BO7" s="412" t="s">
        <v>146</v>
      </c>
      <c r="BP7" s="412" t="s">
        <v>85</v>
      </c>
      <c r="BQ7" s="398"/>
      <c r="BR7" s="398"/>
      <c r="BS7" s="398"/>
      <c r="BT7" s="398"/>
      <c r="BU7" s="407"/>
      <c r="BW7" s="410"/>
      <c r="BX7" s="423"/>
      <c r="BY7" s="424"/>
      <c r="BZ7" s="424"/>
      <c r="CA7" s="411"/>
      <c r="CB7" s="398"/>
      <c r="CC7" s="398"/>
      <c r="CD7" s="398"/>
      <c r="CH7" s="46"/>
      <c r="CI7" s="47"/>
    </row>
    <row r="8" spans="1:87" s="45" customFormat="1" ht="22.5" customHeight="1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9" t="s">
        <v>86</v>
      </c>
      <c r="W8" s="49" t="s">
        <v>87</v>
      </c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8"/>
      <c r="AL8" s="401"/>
      <c r="AM8" s="401"/>
      <c r="AN8" s="401"/>
      <c r="AO8" s="401"/>
      <c r="AP8" s="401"/>
      <c r="AQ8" s="401"/>
      <c r="AR8" s="401"/>
      <c r="AS8" s="401"/>
      <c r="AT8" s="401"/>
      <c r="AU8" s="401"/>
      <c r="AV8" s="401"/>
      <c r="AW8" s="401"/>
      <c r="AX8" s="401"/>
      <c r="AY8" s="30" t="s">
        <v>88</v>
      </c>
      <c r="AZ8" s="30" t="s">
        <v>89</v>
      </c>
      <c r="BA8" s="30" t="s">
        <v>90</v>
      </c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01"/>
      <c r="BN8" s="401"/>
      <c r="BO8" s="401"/>
      <c r="BP8" s="401"/>
      <c r="BQ8" s="401"/>
      <c r="BR8" s="401"/>
      <c r="BS8" s="401"/>
      <c r="BT8" s="401"/>
      <c r="BU8" s="408"/>
      <c r="BW8" s="411"/>
      <c r="BX8" s="23" t="s">
        <v>91</v>
      </c>
      <c r="BY8" s="23" t="s">
        <v>92</v>
      </c>
      <c r="BZ8" s="23" t="s">
        <v>93</v>
      </c>
      <c r="CA8" s="24" t="s">
        <v>94</v>
      </c>
      <c r="CB8" s="399"/>
      <c r="CC8" s="399"/>
      <c r="CD8" s="399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BX5:CA7"/>
    <mergeCell ref="BQ6:BQ8"/>
    <mergeCell ref="Y5:AO5"/>
    <mergeCell ref="AN6:AN8"/>
    <mergeCell ref="BG7:BG8"/>
    <mergeCell ref="BQ5:BR5"/>
    <mergeCell ref="BK7:BK8"/>
    <mergeCell ref="BK6:BP6"/>
    <mergeCell ref="BN7:BN8"/>
    <mergeCell ref="BP7:BP8"/>
    <mergeCell ref="N6:N8"/>
    <mergeCell ref="AU5:AU8"/>
    <mergeCell ref="BH7:BH8"/>
    <mergeCell ref="BI7:BI8"/>
    <mergeCell ref="K5:X5"/>
    <mergeCell ref="Q6:Q8"/>
    <mergeCell ref="AC6:AC8"/>
    <mergeCell ref="AL6:AL8"/>
    <mergeCell ref="F5:F8"/>
    <mergeCell ref="AP5:AP8"/>
    <mergeCell ref="AB6:AB8"/>
    <mergeCell ref="M6:M8"/>
    <mergeCell ref="AH6:AH8"/>
    <mergeCell ref="AJ6:AJ8"/>
    <mergeCell ref="T6:T8"/>
    <mergeCell ref="AA6:AA8"/>
    <mergeCell ref="P6:P8"/>
    <mergeCell ref="S6:S8"/>
    <mergeCell ref="AM6:AM8"/>
    <mergeCell ref="U6:U8"/>
    <mergeCell ref="AG6:AG8"/>
    <mergeCell ref="AK6:AK8"/>
    <mergeCell ref="AD6:AD8"/>
    <mergeCell ref="AF6:AF8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BW3:CB4"/>
    <mergeCell ref="X6:X8"/>
    <mergeCell ref="AV5:AV8"/>
    <mergeCell ref="AX5:AX8"/>
    <mergeCell ref="V6:W7"/>
    <mergeCell ref="Y6:Y8"/>
    <mergeCell ref="AR5:AR8"/>
    <mergeCell ref="BB7:BB8"/>
    <mergeCell ref="BD7:BD8"/>
    <mergeCell ref="AS5:AS8"/>
    <mergeCell ref="AY6:BJ6"/>
    <mergeCell ref="BE7:BE8"/>
    <mergeCell ref="AO6:AO8"/>
    <mergeCell ref="BF7:BF8"/>
    <mergeCell ref="CB5:CB8"/>
    <mergeCell ref="BT5:BT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"/>
    <cfRule type="duplicateValues" dxfId="4" priority="63"/>
  </conditionalFormatting>
  <conditionalFormatting sqref="B19">
    <cfRule type="duplicateValues" dxfId="3" priority="1"/>
    <cfRule type="duplicateValues" dxfId="2" priority="2"/>
    <cfRule type="duplicateValues" dxfId="1" priority="3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2026-01-17T07:19:35Z</dcterms:modified>
</cp:coreProperties>
</file>