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Viet/"/>
    </mc:Choice>
  </mc:AlternateContent>
  <xr:revisionPtr revIDLastSave="0" documentId="13_ncr:1_{CE6548FC-A438-A142-892D-5147B1D834E4}" xr6:coauthVersionLast="47" xr6:coauthVersionMax="47" xr10:uidLastSave="{00000000-0000-0000-0000-000000000000}"/>
  <bookViews>
    <workbookView xWindow="0" yWindow="500" windowWidth="35720" windowHeight="18900" tabRatio="761" activeTab="2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1'!$A$12:$CG$21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1'!$A$1:$BT$26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3" l="1"/>
  <c r="BY15" i="3"/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Y21" i="3"/>
  <c r="BZ21" i="3" s="1"/>
  <c r="AH21" i="3" s="1"/>
  <c r="BE21" i="3"/>
  <c r="AM21" i="3"/>
  <c r="AK21" i="3"/>
  <c r="AI21" i="3"/>
  <c r="AG21" i="3"/>
  <c r="AF21" i="3"/>
  <c r="AE21" i="3"/>
  <c r="AD21" i="3"/>
  <c r="AC21" i="3"/>
  <c r="AB21" i="3"/>
  <c r="AA21" i="3"/>
  <c r="Z21" i="3"/>
  <c r="Y21" i="3"/>
  <c r="H21" i="3"/>
  <c r="BA21" i="3" s="1"/>
  <c r="BY20" i="3"/>
  <c r="BZ20" i="3" s="1"/>
  <c r="BE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BY19" i="3"/>
  <c r="BZ19" i="3" s="1"/>
  <c r="BE19" i="3"/>
  <c r="AM19" i="3"/>
  <c r="AK19" i="3"/>
  <c r="AI19" i="3"/>
  <c r="AG19" i="3"/>
  <c r="AE19" i="3"/>
  <c r="AD19" i="3"/>
  <c r="AC19" i="3"/>
  <c r="AB19" i="3"/>
  <c r="AA19" i="3"/>
  <c r="Z19" i="3"/>
  <c r="Y19" i="3"/>
  <c r="H19" i="3"/>
  <c r="AF19" i="3" s="1"/>
  <c r="BY18" i="3"/>
  <c r="BZ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BY17" i="3"/>
  <c r="BZ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BY16" i="3"/>
  <c r="BZ16" i="3" s="1"/>
  <c r="BE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BZ15" i="3"/>
  <c r="AH15" i="3" s="1"/>
  <c r="BE15" i="3"/>
  <c r="AM15" i="3"/>
  <c r="AK15" i="3"/>
  <c r="AI15" i="3"/>
  <c r="AG15" i="3"/>
  <c r="AF15" i="3"/>
  <c r="AE15" i="3"/>
  <c r="AD15" i="3"/>
  <c r="AC15" i="3"/>
  <c r="AB15" i="3"/>
  <c r="AA15" i="3"/>
  <c r="Z15" i="3"/>
  <c r="H15" i="3"/>
  <c r="BP14" i="3"/>
  <c r="BN14" i="3"/>
  <c r="BM14" i="3"/>
  <c r="BL14" i="3"/>
  <c r="BK14" i="3"/>
  <c r="BC14" i="3"/>
  <c r="AL14" i="3"/>
  <c r="AJ14" i="3"/>
  <c r="X14" i="3"/>
  <c r="W14" i="3"/>
  <c r="V14" i="3"/>
  <c r="U14" i="3"/>
  <c r="S14" i="3"/>
  <c r="R14" i="3"/>
  <c r="K14" i="3"/>
  <c r="G14" i="3"/>
  <c r="BV12" i="3"/>
  <c r="BW12" i="3" s="1"/>
  <c r="BX12" i="3" s="1"/>
  <c r="BY12" i="3" s="1"/>
  <c r="BZ12" i="3" s="1"/>
  <c r="CA12" i="3" s="1"/>
  <c r="CB12" i="3" s="1"/>
  <c r="B12" i="3"/>
  <c r="C12" i="3" s="1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4" i="3" l="1"/>
  <c r="BA16" i="3"/>
  <c r="AF14" i="3"/>
  <c r="AK14" i="3"/>
  <c r="AY19" i="3"/>
  <c r="I21" i="3"/>
  <c r="BE14" i="3"/>
  <c r="AZ19" i="3"/>
  <c r="BA19" i="3"/>
  <c r="AN21" i="3"/>
  <c r="AN19" i="3"/>
  <c r="H14" i="3"/>
  <c r="AN16" i="3"/>
  <c r="AI14" i="3"/>
  <c r="AY16" i="3"/>
  <c r="BB16" i="3" s="1"/>
  <c r="AD14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9" i="3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H17" i="3"/>
  <c r="AN20" i="3"/>
  <c r="BA20" i="3"/>
  <c r="AM14" i="1"/>
  <c r="AF15" i="1"/>
  <c r="AY15" i="1"/>
  <c r="BA15" i="1"/>
  <c r="AZ15" i="1"/>
  <c r="H14" i="1"/>
  <c r="AY20" i="3"/>
  <c r="I16" i="1"/>
  <c r="AH16" i="1"/>
  <c r="I16" i="3"/>
  <c r="AH16" i="3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AO19" i="2"/>
  <c r="AY14" i="4"/>
  <c r="AY11" i="4" s="1"/>
  <c r="AO19" i="3" l="1"/>
  <c r="AV19" i="3" s="1"/>
  <c r="BF19" i="3" s="1"/>
  <c r="AO17" i="3"/>
  <c r="AV17" i="3" s="1"/>
  <c r="BF17" i="3" s="1"/>
  <c r="AO21" i="3"/>
  <c r="AV21" i="3" s="1"/>
  <c r="BF21" i="3" s="1"/>
  <c r="AH14" i="3"/>
  <c r="BB19" i="3"/>
  <c r="BB17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F16" i="3" s="1"/>
  <c r="BB21" i="3"/>
  <c r="BB12" i="2"/>
  <c r="AY11" i="2"/>
  <c r="BB18" i="3"/>
  <c r="AY14" i="3"/>
  <c r="BB15" i="3"/>
  <c r="AO15" i="3"/>
  <c r="AV15" i="3" s="1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F18" i="3" s="1"/>
  <c r="BB15" i="1"/>
  <c r="AY14" i="1"/>
  <c r="AO20" i="3"/>
  <c r="AV20" i="3" s="1"/>
  <c r="BF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B14" i="4"/>
  <c r="BB20" i="3"/>
  <c r="AV13" i="2"/>
  <c r="BG17" i="3" l="1"/>
  <c r="BI17" i="3" s="1"/>
  <c r="BJ17" i="3" s="1"/>
  <c r="BS17" i="3"/>
  <c r="BT17" i="3" s="1"/>
  <c r="BF15" i="3"/>
  <c r="BG15" i="3" s="1"/>
  <c r="BI15" i="3" s="1"/>
  <c r="BJ15" i="3" s="1"/>
  <c r="BG21" i="3"/>
  <c r="BI21" i="3" s="1"/>
  <c r="BJ21" i="3" s="1"/>
  <c r="BS21" i="3"/>
  <c r="BT21" i="3" s="1"/>
  <c r="BB14" i="3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S18" i="3"/>
  <c r="BT18" i="3" s="1"/>
  <c r="BG18" i="3"/>
  <c r="BI18" i="3" s="1"/>
  <c r="BJ18" i="3" s="1"/>
  <c r="BG20" i="1"/>
  <c r="BK20" i="1" s="1"/>
  <c r="BL20" i="1" s="1"/>
  <c r="BS16" i="3"/>
  <c r="BT16" i="3" s="1"/>
  <c r="BG16" i="3"/>
  <c r="BI16" i="3" s="1"/>
  <c r="BJ16" i="3" s="1"/>
  <c r="BB11" i="4"/>
  <c r="BB14" i="1"/>
  <c r="BG16" i="1"/>
  <c r="BK16" i="1" s="1"/>
  <c r="BL16" i="1" s="1"/>
  <c r="BU16" i="1" s="1"/>
  <c r="BU21" i="1"/>
  <c r="AO11" i="2"/>
  <c r="AV12" i="2"/>
  <c r="AO14" i="3"/>
  <c r="AO14" i="1"/>
  <c r="AV14" i="3"/>
  <c r="BS15" i="3"/>
  <c r="BT15" i="3" s="1"/>
  <c r="AO11" i="4"/>
  <c r="AV12" i="4"/>
  <c r="BB11" i="2"/>
  <c r="AV15" i="1"/>
  <c r="BF15" i="1" s="1"/>
  <c r="BF13" i="2"/>
  <c r="BG13" i="2" s="1"/>
  <c r="BK13" i="2" s="1"/>
  <c r="BL13" i="2" s="1"/>
  <c r="BU13" i="2" s="1"/>
  <c r="BS20" i="3"/>
  <c r="BT20" i="3" s="1"/>
  <c r="BG20" i="3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<sst xmlns="http://schemas.openxmlformats.org/spreadsheetml/2006/main" count="742" uniqueCount="237">
  <si>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</si>
  <si>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</si>
  <si>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</si>
  <si>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</si>
  <si>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</si>
  <si>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</si>
  <si>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</si>
  <si>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</si>
  <si>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</si>
  <si>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</si>
  <si>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</si>
  <si>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</si>
  <si>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</si>
  <si>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</si>
  <si>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</si>
  <si>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</si>
  <si>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</si>
  <si>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</si>
  <si>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</si>
  <si>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</si>
  <si>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</si>
  <si>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</si>
  <si>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</si>
  <si>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</si>
  <si>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</si>
  <si>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</si>
  <si>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</si>
  <si>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</si>
  <si>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</si>
  <si>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</si>
  <si>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</si>
  <si>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</si>
  <si>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</si>
  <si>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</si>
  <si>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</si>
  <si>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</si>
  <si>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</si>
  <si>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</si>
  <si>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</si>
  <si>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</si>
  <si>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</si>
  <si>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</si>
  <si>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</si>
  <si>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</si>
  <si>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</si>
  <si>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</si>
  <si>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</si>
  <si>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</si>
  <si>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</si>
  <si>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</si>
  <si>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</si>
  <si>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</si>
  <si>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</si>
  <si>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</si>
  <si>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</si>
  <si>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</si>
  <si>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</si>
  <si>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</si>
  <si>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</si>
  <si>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</si>
  <si>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</si>
  <si>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</si>
  <si>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</si>
  <si>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</si>
  <si>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</si>
  <si>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</si>
  <si>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</si>
  <si>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</si>
  <si>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</si>
  <si>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</si>
  <si>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</si>
  <si>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</si>
  <si>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</si>
  <si>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</si>
  <si>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</si>
  <si>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</si>
  <si>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</si>
  <si>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</si>
  <si>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</si>
  <si>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</si>
  <si>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</si>
  <si>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</si>
  <si>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</si>
  <si>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</si>
  <si>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</si>
  <si>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</si>
  <si>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</si>
  <si>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</si>
  <si>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</si>
  <si>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</si>
  <si>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</si>
  <si>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</si>
  <si>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</si>
  <si>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</si>
  <si>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</si>
  <si>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</si>
  <si>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</si>
  <si>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</si>
  <si>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</si>
  <si>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</si>
  <si>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</si>
  <si>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</si>
  <si>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</si>
  <si>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</si>
  <si>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</si>
  <si>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</si>
  <si>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</si>
  <si>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</si>
  <si>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</si>
  <si>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</si>
  <si>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</si>
  <si>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</si>
  <si>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</si>
  <si>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</si>
  <si>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</si>
  <si>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</si>
  <si>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</si>
  <si>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</si>
  <si>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</si>
  <si>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</si>
  <si>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</si>
  <si>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</si>
  <si>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</si>
  <si>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</si>
  <si>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</si>
  <si>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</si>
  <si>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</si>
  <si>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</si>
  <si>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</si>
  <si>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</si>
  <si>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</si>
  <si>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</si>
  <si>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</si>
  <si>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</si>
  <si>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</si>
  <si>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</si>
  <si>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</si>
  <si>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</si>
  <si>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</si>
  <si>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</si>
  <si>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</si>
  <si>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</si>
  <si>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</si>
  <si>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</si>
  <si>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</si>
  <si>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</si>
  <si>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</si>
  <si>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</si>
  <si>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</si>
  <si>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</si>
  <si>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</si>
  <si>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</si>
  <si>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</si>
  <si>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</si>
  <si>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</si>
  <si>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</si>
  <si>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</si>
  <si>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</si>
  <si>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</si>
  <si>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</si>
  <si>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</si>
  <si>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</si>
  <si>
    <t>Họ và tên</t>
  </si>
  <si>
    <t>Khối</t>
  </si>
  <si>
    <t>Loại HĐLĐ</t>
  </si>
  <si>
    <t>Mức lương HĐLĐ</t>
  </si>
  <si>
    <t xml:space="preserve"> Phụ cấp (PCCC, ATVSV) </t>
  </si>
  <si>
    <t>Định mức Thưởng HQCV</t>
  </si>
  <si>
    <t>Tỷ lệ % tạm ứng thưởng HQCV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</si>
  <si>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</si>
  <si>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</si>
  <si>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</si>
  <si>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</si>
  <si>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</si>
  <si>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</si>
  <si>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</si>
  <si>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</si>
  <si>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</si>
  <si>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</si>
  <si>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</si>
  <si>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</si>
  <si>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14 ngày đầu</t>
  </si>
  <si>
    <t>Từ ngày 15 trở đi</t>
  </si>
  <si>
    <t>Ngày công PHSK</t>
  </si>
  <si>
    <t>Lương ngày nghỉ phép</t>
  </si>
  <si>
    <t>Lương ngày nghỉ chế độ</t>
  </si>
  <si>
    <t>Lương ngày nghỉ Lễ Tết</t>
  </si>
  <si>
    <t>Lương Tăng ca ngày thường</t>
  </si>
  <si>
    <t>Lương chủ nhật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</si>
  <si>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</si>
  <si>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</si>
  <si>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</si>
  <si>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</si>
  <si>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</si>
  <si>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</si>
  <si>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</si>
  <si>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</si>
  <si>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</si>
  <si>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</si>
  <si>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</si>
  <si>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</si>
  <si>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</si>
  <si>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</si>
  <si>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</si>
  <si>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</si>
  <si>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</si>
  <si>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</si>
  <si>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</si>
  <si>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</si>
  <si>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TỔng BHXH</t>
  </si>
  <si>
    <t>Hoàn trả BHXH</t>
  </si>
  <si>
    <t>TN miễn thuế</t>
  </si>
  <si>
    <t>Thu nhập chịu thuế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</si>
  <si>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</si>
  <si>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</si>
  <si>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</si>
  <si>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</si>
  <si>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</si>
  <si>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Tiền cơm</t>
  </si>
  <si>
    <t>Hoàn trả theo QTT</t>
  </si>
  <si>
    <t>Quyết toán thuế</t>
  </si>
  <si>
    <t>Tỷ lệ tạm ứng lương</t>
  </si>
  <si>
    <t>Thực nhận kỳ 1</t>
  </si>
  <si>
    <t>Ngạch lương</t>
  </si>
  <si>
    <t>PC chức danh</t>
  </si>
  <si>
    <t>PC kiêm nhiệm</t>
  </si>
  <si>
    <t>PC Biệt phái</t>
  </si>
  <si>
    <t>PC thâm niên</t>
  </si>
  <si>
    <t>Tổng lương và các khoản PC khác</t>
  </si>
  <si>
    <t>Là ĐT, ĐP PCCC, AT-VSV</t>
  </si>
  <si>
    <t>Mức Bồi dưỡng sức khỏe</t>
  </si>
  <si>
    <t xml:space="preserve">Ngày công thực tế tháng </t>
  </si>
  <si>
    <t>Các khoản được hưởng</t>
  </si>
  <si>
    <t>Các khoản thu hộ/thu khác</t>
  </si>
  <si>
    <t>Các khoản trích nộp</t>
  </si>
  <si>
    <t>Các khoản trừ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</si>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</sst>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b/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  <font>
      <i/>
      <sz val="2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5" fillId="0" borderId="0"/>
    <xf numFmtId="0" fontId="25" fillId="0" borderId="0"/>
    <xf numFmtId="9" fontId="25" fillId="0" borderId="0"/>
  </cellStyleXfs>
  <cellXfs count="521">
    <xf numFmtId="0" fontId="0" fillId="0" borderId="0" xfId="0"/>
    <xf numFmtId="164" fontId="4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0" fontId="16" fillId="0" borderId="9" xfId="3" applyFont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6" fontId="17" fillId="0" borderId="0" xfId="1" applyNumberFormat="1" applyFont="1" applyAlignment="1">
      <alignment horizontal="center"/>
    </xf>
    <xf numFmtId="165" fontId="17" fillId="0" borderId="0" xfId="1" applyFont="1" applyAlignment="1">
      <alignment horizontal="center"/>
    </xf>
    <xf numFmtId="0" fontId="19" fillId="0" borderId="8" xfId="0" applyFont="1" applyBorder="1" applyAlignment="1">
      <alignment horizontal="center"/>
    </xf>
    <xf numFmtId="14" fontId="17" fillId="0" borderId="0" xfId="0" applyNumberFormat="1" applyFont="1"/>
    <xf numFmtId="164" fontId="17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20" fillId="0" borderId="0" xfId="1" applyNumberFormat="1" applyFont="1" applyAlignment="1">
      <alignment horizontal="center"/>
    </xf>
    <xf numFmtId="165" fontId="20" fillId="0" borderId="0" xfId="1" applyFont="1" applyAlignment="1">
      <alignment horizontal="center"/>
    </xf>
    <xf numFmtId="164" fontId="20" fillId="0" borderId="0" xfId="0" applyNumberFormat="1" applyFont="1"/>
    <xf numFmtId="14" fontId="20" fillId="0" borderId="0" xfId="0" applyNumberFormat="1" applyFont="1"/>
    <xf numFmtId="164" fontId="20" fillId="0" borderId="0" xfId="1" applyNumberFormat="1" applyFont="1"/>
    <xf numFmtId="49" fontId="20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7" fillId="0" borderId="9" xfId="3" applyFont="1" applyBorder="1" applyAlignment="1">
      <alignment horizontal="center" vertical="center" shrinkToFit="1"/>
    </xf>
    <xf numFmtId="9" fontId="23" fillId="0" borderId="17" xfId="1" applyNumberFormat="1" applyFont="1" applyBorder="1" applyAlignment="1">
      <alignment horizontal="center" vertical="center"/>
    </xf>
    <xf numFmtId="164" fontId="23" fillId="0" borderId="17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7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vertical="center"/>
    </xf>
    <xf numFmtId="164" fontId="10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8" fillId="0" borderId="17" xfId="3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167" fontId="28" fillId="0" borderId="17" xfId="1" applyNumberFormat="1" applyFont="1" applyBorder="1" applyAlignment="1">
      <alignment horizontal="left" vertical="center"/>
    </xf>
    <xf numFmtId="167" fontId="28" fillId="2" borderId="17" xfId="1" applyNumberFormat="1" applyFont="1" applyFill="1" applyBorder="1" applyAlignment="1">
      <alignment horizontal="left" vertical="center"/>
    </xf>
    <xf numFmtId="164" fontId="28" fillId="0" borderId="19" xfId="1" applyNumberFormat="1" applyFont="1" applyBorder="1" applyAlignment="1">
      <alignment horizontal="left" vertical="center"/>
    </xf>
    <xf numFmtId="164" fontId="26" fillId="0" borderId="21" xfId="1" applyNumberFormat="1" applyFont="1" applyBorder="1" applyAlignment="1">
      <alignment horizontal="left" vertical="center"/>
    </xf>
    <xf numFmtId="164" fontId="26" fillId="0" borderId="12" xfId="1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64" fontId="26" fillId="0" borderId="17" xfId="1" applyNumberFormat="1" applyFont="1" applyBorder="1" applyAlignment="1">
      <alignment horizontal="left" vertical="center"/>
    </xf>
    <xf numFmtId="9" fontId="8" fillId="0" borderId="17" xfId="1" applyNumberFormat="1" applyFont="1" applyBorder="1" applyAlignment="1">
      <alignment horizontal="center" vertical="center"/>
    </xf>
    <xf numFmtId="165" fontId="26" fillId="0" borderId="17" xfId="1" applyFont="1" applyBorder="1" applyAlignment="1">
      <alignment horizontal="left" vertical="center"/>
    </xf>
    <xf numFmtId="165" fontId="26" fillId="2" borderId="17" xfId="1" applyFont="1" applyFill="1" applyBorder="1" applyAlignment="1">
      <alignment horizontal="left" vertical="center"/>
    </xf>
    <xf numFmtId="164" fontId="8" fillId="0" borderId="17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164" fontId="26" fillId="0" borderId="4" xfId="1" applyNumberFormat="1" applyFont="1" applyBorder="1" applyAlignment="1">
      <alignment horizontal="left" vertical="center"/>
    </xf>
    <xf numFmtId="164" fontId="29" fillId="0" borderId="0" xfId="2" applyNumberFormat="1" applyFont="1" applyAlignment="1">
      <alignment horizontal="left" vertical="center"/>
    </xf>
    <xf numFmtId="14" fontId="29" fillId="0" borderId="0" xfId="2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wrapText="1"/>
    </xf>
    <xf numFmtId="164" fontId="26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30" fillId="0" borderId="0" xfId="1" applyNumberFormat="1" applyFont="1"/>
    <xf numFmtId="0" fontId="31" fillId="0" borderId="0" xfId="0" applyFont="1"/>
    <xf numFmtId="165" fontId="26" fillId="0" borderId="0" xfId="1" applyFont="1" applyAlignment="1">
      <alignment horizontal="center"/>
    </xf>
    <xf numFmtId="164" fontId="26" fillId="0" borderId="0" xfId="1" applyNumberFormat="1" applyFont="1"/>
    <xf numFmtId="165" fontId="30" fillId="0" borderId="0" xfId="1" applyFont="1"/>
    <xf numFmtId="0" fontId="30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wrapText="1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0" borderId="0" xfId="1" applyNumberFormat="1" applyFont="1"/>
    <xf numFmtId="0" fontId="32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26" fillId="0" borderId="17" xfId="1" applyNumberFormat="1" applyFont="1" applyBorder="1" applyAlignment="1">
      <alignment horizontal="left" vertical="center" wrapText="1"/>
    </xf>
    <xf numFmtId="0" fontId="26" fillId="0" borderId="1" xfId="1" applyNumberFormat="1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26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29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6" fillId="3" borderId="1" xfId="1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49" fontId="30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5" fontId="30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8" fillId="0" borderId="17" xfId="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left" vertical="center" wrapText="1"/>
    </xf>
    <xf numFmtId="0" fontId="26" fillId="0" borderId="12" xfId="1" applyNumberFormat="1" applyFont="1" applyBorder="1" applyAlignment="1">
      <alignment horizontal="left" vertical="center" wrapText="1"/>
    </xf>
    <xf numFmtId="0" fontId="26" fillId="0" borderId="4" xfId="1" applyNumberFormat="1" applyFont="1" applyBorder="1" applyAlignment="1">
      <alignment horizontal="left" vertical="center" wrapText="1"/>
    </xf>
    <xf numFmtId="0" fontId="26" fillId="0" borderId="21" xfId="1" applyNumberFormat="1" applyFont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35" fillId="0" borderId="0" xfId="1" applyNumberFormat="1" applyFont="1"/>
    <xf numFmtId="0" fontId="19" fillId="0" borderId="0" xfId="0" applyFont="1" applyAlignment="1">
      <alignment horizontal="center"/>
    </xf>
    <xf numFmtId="1" fontId="23" fillId="0" borderId="0" xfId="0" applyNumberFormat="1" applyFont="1"/>
    <xf numFmtId="164" fontId="5" fillId="0" borderId="0" xfId="0" applyNumberFormat="1" applyFont="1"/>
    <xf numFmtId="0" fontId="36" fillId="0" borderId="0" xfId="3" applyFont="1" applyAlignment="1">
      <alignment vertical="center"/>
    </xf>
    <xf numFmtId="164" fontId="38" fillId="0" borderId="0" xfId="0" applyNumberFormat="1" applyFont="1" applyAlignment="1">
      <alignment horizontal="left" vertical="center" shrinkToFit="1"/>
    </xf>
    <xf numFmtId="164" fontId="23" fillId="0" borderId="21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164" fontId="23" fillId="0" borderId="0" xfId="2" applyNumberFormat="1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9" fillId="0" borderId="0" xfId="0" applyFont="1"/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center"/>
    </xf>
    <xf numFmtId="164" fontId="40" fillId="0" borderId="0" xfId="1" applyNumberFormat="1" applyFont="1" applyAlignment="1">
      <alignment horizontal="center"/>
    </xf>
    <xf numFmtId="164" fontId="5" fillId="0" borderId="0" xfId="1" applyNumberFormat="1" applyFont="1"/>
    <xf numFmtId="0" fontId="37" fillId="0" borderId="0" xfId="0" applyFont="1"/>
    <xf numFmtId="165" fontId="5" fillId="0" borderId="0" xfId="1" applyFont="1" applyAlignment="1">
      <alignment horizontal="center"/>
    </xf>
    <xf numFmtId="165" fontId="5" fillId="0" borderId="0" xfId="1" applyFont="1"/>
    <xf numFmtId="0" fontId="5" fillId="0" borderId="0" xfId="0" applyFont="1"/>
    <xf numFmtId="49" fontId="5" fillId="0" borderId="0" xfId="1" applyNumberFormat="1" applyFont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3" fillId="5" borderId="17" xfId="3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center" vertical="center"/>
    </xf>
    <xf numFmtId="164" fontId="23" fillId="5" borderId="17" xfId="1" applyNumberFormat="1" applyFont="1" applyFill="1" applyBorder="1" applyAlignment="1">
      <alignment horizontal="left" vertical="center"/>
    </xf>
    <xf numFmtId="9" fontId="23" fillId="5" borderId="17" xfId="1" applyNumberFormat="1" applyFont="1" applyFill="1" applyBorder="1" applyAlignment="1">
      <alignment horizontal="center" vertical="center"/>
    </xf>
    <xf numFmtId="165" fontId="23" fillId="5" borderId="17" xfId="1" applyFont="1" applyFill="1" applyBorder="1" applyAlignment="1">
      <alignment horizontal="left" vertical="center"/>
    </xf>
    <xf numFmtId="164" fontId="23" fillId="5" borderId="1" xfId="1" applyNumberFormat="1" applyFont="1" applyFill="1" applyBorder="1" applyAlignment="1">
      <alignment horizontal="left" vertical="center"/>
    </xf>
    <xf numFmtId="164" fontId="23" fillId="5" borderId="12" xfId="1" applyNumberFormat="1" applyFont="1" applyFill="1" applyBorder="1" applyAlignment="1">
      <alignment horizontal="left" vertical="center"/>
    </xf>
    <xf numFmtId="164" fontId="23" fillId="5" borderId="4" xfId="1" applyNumberFormat="1" applyFont="1" applyFill="1" applyBorder="1" applyAlignment="1">
      <alignment horizontal="left" vertical="center"/>
    </xf>
    <xf numFmtId="164" fontId="23" fillId="5" borderId="21" xfId="1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164" fontId="36" fillId="0" borderId="0" xfId="1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36" fillId="0" borderId="0" xfId="1" applyNumberFormat="1" applyFont="1" applyAlignment="1">
      <alignment vertical="center"/>
    </xf>
    <xf numFmtId="164" fontId="23" fillId="0" borderId="0" xfId="1" applyNumberFormat="1" applyFont="1" applyAlignment="1">
      <alignment vertical="center" wrapText="1"/>
    </xf>
    <xf numFmtId="165" fontId="41" fillId="0" borderId="0" xfId="1" applyFont="1" applyAlignment="1">
      <alignment vertical="center"/>
    </xf>
    <xf numFmtId="164" fontId="41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45" fillId="0" borderId="0" xfId="1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5" fontId="46" fillId="0" borderId="0" xfId="1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45" fillId="0" borderId="0" xfId="0" applyFont="1" applyAlignment="1">
      <alignment horizont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167" fontId="23" fillId="0" borderId="17" xfId="1" applyNumberFormat="1" applyFont="1" applyBorder="1" applyAlignment="1">
      <alignment horizontal="left" vertical="center"/>
    </xf>
    <xf numFmtId="164" fontId="23" fillId="0" borderId="19" xfId="1" applyNumberFormat="1" applyFont="1" applyBorder="1" applyAlignment="1">
      <alignment horizontal="left" vertical="center"/>
    </xf>
    <xf numFmtId="165" fontId="17" fillId="0" borderId="0" xfId="1" applyFont="1"/>
    <xf numFmtId="165" fontId="17" fillId="0" borderId="0" xfId="0" applyNumberFormat="1" applyFont="1"/>
    <xf numFmtId="165" fontId="20" fillId="0" borderId="0" xfId="1" applyFont="1"/>
    <xf numFmtId="0" fontId="49" fillId="0" borderId="0" xfId="3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49" fontId="50" fillId="0" borderId="1" xfId="1" applyNumberFormat="1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 wrapText="1"/>
    </xf>
    <xf numFmtId="164" fontId="51" fillId="0" borderId="0" xfId="1" applyNumberFormat="1" applyFont="1" applyAlignment="1">
      <alignment horizontal="center" vertical="center" wrapText="1"/>
    </xf>
    <xf numFmtId="164" fontId="46" fillId="0" borderId="0" xfId="1" applyNumberFormat="1" applyFont="1" applyAlignment="1">
      <alignment vertical="center" wrapText="1"/>
    </xf>
    <xf numFmtId="165" fontId="46" fillId="0" borderId="0" xfId="1" applyFont="1" applyAlignment="1">
      <alignment horizontal="center" vertical="center"/>
    </xf>
    <xf numFmtId="165" fontId="46" fillId="0" borderId="0" xfId="1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9" fontId="7" fillId="3" borderId="12" xfId="2" applyFont="1" applyFill="1" applyBorder="1" applyAlignment="1">
      <alignment horizontal="center" vertical="center" wrapText="1"/>
    </xf>
    <xf numFmtId="164" fontId="7" fillId="3" borderId="12" xfId="1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164" fontId="15" fillId="0" borderId="21" xfId="1" applyNumberFormat="1" applyFont="1" applyBorder="1" applyAlignment="1">
      <alignment horizontal="left" vertical="center"/>
    </xf>
    <xf numFmtId="164" fontId="15" fillId="0" borderId="12" xfId="1" applyNumberFormat="1" applyFont="1" applyBorder="1" applyAlignment="1">
      <alignment horizontal="left" vertical="center"/>
    </xf>
    <xf numFmtId="0" fontId="15" fillId="0" borderId="17" xfId="3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164" fontId="15" fillId="0" borderId="17" xfId="1" applyNumberFormat="1" applyFont="1" applyBorder="1" applyAlignment="1">
      <alignment horizontal="left" vertical="center"/>
    </xf>
    <xf numFmtId="165" fontId="15" fillId="0" borderId="17" xfId="1" applyFont="1" applyBorder="1" applyAlignment="1">
      <alignment horizontal="left" vertical="center"/>
    </xf>
    <xf numFmtId="164" fontId="15" fillId="0" borderId="1" xfId="1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4" fontId="6" fillId="0" borderId="0" xfId="1" applyNumberFormat="1" applyFont="1"/>
    <xf numFmtId="0" fontId="5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5" fontId="59" fillId="0" borderId="0" xfId="1" applyFont="1" applyAlignment="1">
      <alignment vertical="center"/>
    </xf>
    <xf numFmtId="164" fontId="59" fillId="0" borderId="0" xfId="1" applyNumberFormat="1" applyFont="1" applyAlignment="1">
      <alignment vertical="center"/>
    </xf>
    <xf numFmtId="164" fontId="60" fillId="0" borderId="0" xfId="1" applyNumberFormat="1" applyFont="1" applyAlignment="1">
      <alignment vertical="center"/>
    </xf>
    <xf numFmtId="0" fontId="60" fillId="0" borderId="0" xfId="3" applyFont="1" applyAlignment="1">
      <alignment horizontal="center" vertical="center"/>
    </xf>
    <xf numFmtId="0" fontId="61" fillId="0" borderId="0" xfId="3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164" fontId="63" fillId="0" borderId="0" xfId="1" applyNumberFormat="1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65" fontId="64" fillId="0" borderId="0" xfId="1" applyFont="1" applyAlignment="1">
      <alignment vertical="center"/>
    </xf>
    <xf numFmtId="164" fontId="65" fillId="0" borderId="0" xfId="0" applyNumberFormat="1" applyFont="1" applyAlignment="1">
      <alignment vertical="center"/>
    </xf>
    <xf numFmtId="49" fontId="26" fillId="0" borderId="9" xfId="1" applyNumberFormat="1" applyFont="1" applyBorder="1" applyAlignment="1">
      <alignment horizontal="center" vertical="center" shrinkToFit="1"/>
    </xf>
    <xf numFmtId="49" fontId="26" fillId="0" borderId="11" xfId="1" applyNumberFormat="1" applyFont="1" applyBorder="1" applyAlignment="1">
      <alignment horizontal="center" vertical="center" shrinkToFit="1"/>
    </xf>
    <xf numFmtId="0" fontId="63" fillId="0" borderId="0" xfId="0" applyFont="1" applyAlignment="1">
      <alignment horizontal="center" shrinkToFit="1"/>
    </xf>
    <xf numFmtId="0" fontId="63" fillId="0" borderId="0" xfId="0" applyFont="1" applyAlignment="1">
      <alignment horizontal="center"/>
    </xf>
    <xf numFmtId="164" fontId="15" fillId="0" borderId="0" xfId="1" applyNumberFormat="1" applyFont="1" applyAlignment="1">
      <alignment vertical="center" wrapText="1"/>
    </xf>
    <xf numFmtId="0" fontId="26" fillId="0" borderId="9" xfId="3" applyFont="1" applyBorder="1" applyAlignment="1">
      <alignment horizontal="center" vertical="center" shrinkToFit="1"/>
    </xf>
    <xf numFmtId="167" fontId="15" fillId="0" borderId="17" xfId="1" applyNumberFormat="1" applyFont="1" applyBorder="1" applyAlignment="1">
      <alignment horizontal="left" vertical="center"/>
    </xf>
    <xf numFmtId="9" fontId="15" fillId="0" borderId="17" xfId="1" applyNumberFormat="1" applyFont="1" applyBorder="1" applyAlignment="1">
      <alignment horizontal="center" vertical="center"/>
    </xf>
    <xf numFmtId="164" fontId="15" fillId="0" borderId="0" xfId="2" applyNumberFormat="1" applyFont="1" applyAlignment="1">
      <alignment horizontal="left" vertical="center"/>
    </xf>
    <xf numFmtId="14" fontId="15" fillId="0" borderId="0" xfId="2" applyNumberFormat="1" applyFont="1" applyAlignment="1">
      <alignment horizontal="left" vertical="center"/>
    </xf>
    <xf numFmtId="0" fontId="57" fillId="0" borderId="0" xfId="0" applyFont="1"/>
    <xf numFmtId="0" fontId="57" fillId="0" borderId="0" xfId="0" applyFont="1" applyAlignment="1">
      <alignment horizontal="center"/>
    </xf>
    <xf numFmtId="0" fontId="66" fillId="0" borderId="0" xfId="0" applyFont="1"/>
    <xf numFmtId="166" fontId="57" fillId="0" borderId="0" xfId="1" applyNumberFormat="1" applyFont="1" applyAlignment="1">
      <alignment horizontal="center"/>
    </xf>
    <xf numFmtId="165" fontId="57" fillId="0" borderId="0" xfId="1" applyFont="1" applyAlignment="1">
      <alignment horizontal="center"/>
    </xf>
    <xf numFmtId="165" fontId="57" fillId="0" borderId="0" xfId="1" applyFont="1"/>
    <xf numFmtId="165" fontId="57" fillId="0" borderId="0" xfId="0" applyNumberFormat="1" applyFont="1"/>
    <xf numFmtId="0" fontId="67" fillId="0" borderId="8" xfId="0" applyFont="1" applyBorder="1" applyAlignment="1">
      <alignment horizontal="center"/>
    </xf>
    <xf numFmtId="164" fontId="57" fillId="0" borderId="0" xfId="1" applyNumberFormat="1" applyFont="1"/>
    <xf numFmtId="14" fontId="57" fillId="0" borderId="0" xfId="0" applyNumberFormat="1" applyFont="1"/>
    <xf numFmtId="0" fontId="58" fillId="0" borderId="0" xfId="0" applyFont="1"/>
    <xf numFmtId="0" fontId="58" fillId="0" borderId="0" xfId="0" applyFont="1" applyAlignment="1">
      <alignment horizontal="center"/>
    </xf>
    <xf numFmtId="0" fontId="68" fillId="0" borderId="0" xfId="0" applyFont="1"/>
    <xf numFmtId="166" fontId="58" fillId="0" borderId="0" xfId="1" applyNumberFormat="1" applyFont="1" applyAlignment="1">
      <alignment horizontal="center"/>
    </xf>
    <xf numFmtId="165" fontId="58" fillId="0" borderId="0" xfId="1" applyFont="1" applyAlignment="1">
      <alignment horizontal="center"/>
    </xf>
    <xf numFmtId="164" fontId="58" fillId="0" borderId="0" xfId="0" applyNumberFormat="1" applyFont="1"/>
    <xf numFmtId="164" fontId="58" fillId="0" borderId="0" xfId="1" applyNumberFormat="1" applyFont="1"/>
    <xf numFmtId="49" fontId="58" fillId="0" borderId="0" xfId="0" applyNumberFormat="1" applyFont="1" applyAlignment="1">
      <alignment horizontal="center"/>
    </xf>
    <xf numFmtId="165" fontId="58" fillId="0" borderId="0" xfId="1" applyFont="1"/>
    <xf numFmtId="14" fontId="58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wrapText="1"/>
    </xf>
    <xf numFmtId="0" fontId="69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5" fontId="6" fillId="0" borderId="0" xfId="1" applyFont="1"/>
    <xf numFmtId="0" fontId="6" fillId="0" borderId="0" xfId="0" applyFont="1"/>
    <xf numFmtId="14" fontId="12" fillId="0" borderId="0" xfId="2" applyNumberFormat="1" applyFont="1" applyAlignment="1">
      <alignment horizontal="left" vertical="center" shrinkToFit="1"/>
    </xf>
    <xf numFmtId="0" fontId="15" fillId="5" borderId="17" xfId="3" applyFont="1" applyFill="1" applyBorder="1" applyAlignment="1">
      <alignment horizontal="center" vertical="center"/>
    </xf>
    <xf numFmtId="0" fontId="15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17" xfId="1" applyNumberFormat="1" applyFont="1" applyFill="1" applyBorder="1" applyAlignment="1">
      <alignment horizontal="left" vertical="center"/>
    </xf>
    <xf numFmtId="9" fontId="15" fillId="5" borderId="17" xfId="1" applyNumberFormat="1" applyFont="1" applyFill="1" applyBorder="1" applyAlignment="1">
      <alignment horizontal="center" vertical="center"/>
    </xf>
    <xf numFmtId="165" fontId="15" fillId="5" borderId="17" xfId="1" applyFont="1" applyFill="1" applyBorder="1" applyAlignment="1">
      <alignment horizontal="left" vertical="center"/>
    </xf>
    <xf numFmtId="164" fontId="15" fillId="5" borderId="1" xfId="1" applyNumberFormat="1" applyFont="1" applyFill="1" applyBorder="1" applyAlignment="1">
      <alignment horizontal="left" vertical="center"/>
    </xf>
    <xf numFmtId="164" fontId="15" fillId="5" borderId="12" xfId="1" applyNumberFormat="1" applyFont="1" applyFill="1" applyBorder="1" applyAlignment="1">
      <alignment horizontal="left" vertical="center"/>
    </xf>
    <xf numFmtId="164" fontId="15" fillId="5" borderId="21" xfId="1" applyNumberFormat="1" applyFont="1" applyFill="1" applyBorder="1" applyAlignment="1">
      <alignment horizontal="left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164" fontId="73" fillId="0" borderId="0" xfId="0" applyNumberFormat="1" applyFont="1" applyAlignment="1">
      <alignment horizontal="left" vertical="center" shrinkToFit="1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vertical="center" wrapText="1"/>
    </xf>
    <xf numFmtId="164" fontId="64" fillId="0" borderId="0" xfId="1" applyNumberFormat="1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65" fontId="26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164" fontId="14" fillId="3" borderId="1" xfId="1" applyNumberFormat="1" applyFont="1" applyFill="1" applyBorder="1" applyAlignment="1">
      <alignment horizontal="center" vertical="center" wrapText="1"/>
    </xf>
    <xf numFmtId="0" fontId="52" fillId="3" borderId="9" xfId="0" applyFont="1" applyFill="1" applyBorder="1"/>
    <xf numFmtId="0" fontId="52" fillId="3" borderId="17" xfId="0" applyFont="1" applyFill="1" applyBorder="1"/>
    <xf numFmtId="164" fontId="10" fillId="3" borderId="4" xfId="1" applyNumberFormat="1" applyFont="1" applyFill="1" applyBorder="1" applyAlignment="1">
      <alignment horizontal="center" vertical="center" wrapText="1"/>
    </xf>
    <xf numFmtId="0" fontId="52" fillId="3" borderId="10" xfId="0" applyFont="1" applyFill="1" applyBorder="1"/>
    <xf numFmtId="0" fontId="52" fillId="3" borderId="19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8" fillId="0" borderId="3" xfId="1" applyNumberFormat="1" applyFont="1" applyBorder="1" applyAlignment="1">
      <alignment horizontal="center" vertical="center" wrapText="1"/>
    </xf>
    <xf numFmtId="0" fontId="37" fillId="0" borderId="2" xfId="0" applyFont="1" applyBorder="1"/>
    <xf numFmtId="165" fontId="10" fillId="3" borderId="7" xfId="1" applyFont="1" applyFill="1" applyBorder="1" applyAlignment="1">
      <alignment horizontal="center" vertical="center" wrapText="1"/>
    </xf>
    <xf numFmtId="0" fontId="52" fillId="3" borderId="18" xfId="0" applyFont="1" applyFill="1" applyBorder="1"/>
    <xf numFmtId="164" fontId="8" fillId="0" borderId="1" xfId="1" applyNumberFormat="1" applyFont="1" applyBorder="1" applyAlignment="1">
      <alignment horizontal="center" vertical="center" wrapText="1"/>
    </xf>
    <xf numFmtId="0" fontId="37" fillId="0" borderId="5" xfId="0" applyFont="1" applyBorder="1"/>
    <xf numFmtId="0" fontId="37" fillId="0" borderId="6" xfId="0" applyFont="1" applyBorder="1"/>
    <xf numFmtId="164" fontId="10" fillId="3" borderId="1" xfId="1" applyNumberFormat="1" applyFont="1" applyFill="1" applyBorder="1" applyAlignment="1">
      <alignment horizontal="center" vertical="center" wrapText="1"/>
    </xf>
    <xf numFmtId="164" fontId="29" fillId="3" borderId="1" xfId="1" applyNumberFormat="1" applyFont="1" applyFill="1" applyBorder="1" applyAlignment="1">
      <alignment horizontal="center" vertical="center" wrapText="1"/>
    </xf>
    <xf numFmtId="0" fontId="55" fillId="3" borderId="17" xfId="0" applyFont="1" applyFill="1" applyBorder="1"/>
    <xf numFmtId="164" fontId="23" fillId="6" borderId="1" xfId="1" applyNumberFormat="1" applyFont="1" applyFill="1" applyBorder="1" applyAlignment="1">
      <alignment horizontal="center" vertical="center" wrapText="1"/>
    </xf>
    <xf numFmtId="0" fontId="37" fillId="6" borderId="5" xfId="0" applyFont="1" applyFill="1" applyBorder="1"/>
    <xf numFmtId="0" fontId="37" fillId="6" borderId="6" xfId="0" applyFont="1" applyFill="1" applyBorder="1"/>
    <xf numFmtId="0" fontId="10" fillId="3" borderId="1" xfId="1" applyNumberFormat="1" applyFont="1" applyFill="1" applyBorder="1" applyAlignment="1">
      <alignment horizontal="center" vertical="center" wrapText="1"/>
    </xf>
    <xf numFmtId="164" fontId="24" fillId="3" borderId="1" xfId="1" applyNumberFormat="1" applyFont="1" applyFill="1" applyBorder="1" applyAlignment="1">
      <alignment horizontal="center" vertical="center" wrapText="1"/>
    </xf>
    <xf numFmtId="0" fontId="55" fillId="3" borderId="9" xfId="0" applyFont="1" applyFill="1" applyBorder="1"/>
    <xf numFmtId="164" fontId="56" fillId="3" borderId="1" xfId="1" applyNumberFormat="1" applyFont="1" applyFill="1" applyBorder="1" applyAlignment="1">
      <alignment horizontal="center" vertical="center" wrapText="1"/>
    </xf>
    <xf numFmtId="164" fontId="8" fillId="6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/>
    </xf>
    <xf numFmtId="164" fontId="53" fillId="3" borderId="1" xfId="1" applyNumberFormat="1" applyFont="1" applyFill="1" applyBorder="1" applyAlignment="1">
      <alignment horizontal="center" vertical="center" wrapText="1"/>
    </xf>
    <xf numFmtId="164" fontId="23" fillId="3" borderId="1" xfId="1" applyNumberFormat="1" applyFont="1" applyFill="1" applyBorder="1" applyAlignment="1">
      <alignment horizontal="center" vertical="center" wrapText="1"/>
    </xf>
    <xf numFmtId="0" fontId="37" fillId="3" borderId="9" xfId="0" applyFont="1" applyFill="1" applyBorder="1"/>
    <xf numFmtId="0" fontId="37" fillId="3" borderId="17" xfId="0" applyFont="1" applyFill="1" applyBorder="1"/>
    <xf numFmtId="164" fontId="8" fillId="3" borderId="17" xfId="1" applyNumberFormat="1" applyFont="1" applyFill="1" applyBorder="1" applyAlignment="1">
      <alignment horizontal="center" vertical="center" wrapText="1"/>
    </xf>
    <xf numFmtId="165" fontId="48" fillId="3" borderId="1" xfId="1" applyFont="1" applyFill="1" applyBorder="1" applyAlignment="1">
      <alignment horizontal="center" vertical="center" wrapText="1"/>
    </xf>
    <xf numFmtId="43" fontId="45" fillId="0" borderId="1" xfId="5" applyFont="1" applyBorder="1" applyAlignment="1">
      <alignment horizontal="center" vertical="center" wrapText="1"/>
    </xf>
    <xf numFmtId="0" fontId="37" fillId="0" borderId="19" xfId="0" applyFont="1" applyBorder="1"/>
    <xf numFmtId="0" fontId="37" fillId="0" borderId="16" xfId="0" applyFont="1" applyBorder="1"/>
    <xf numFmtId="0" fontId="7" fillId="3" borderId="3" xfId="1" applyNumberFormat="1" applyFont="1" applyFill="1" applyBorder="1" applyAlignment="1">
      <alignment horizontal="center" vertical="center" wrapText="1"/>
    </xf>
    <xf numFmtId="0" fontId="7" fillId="3" borderId="17" xfId="1" applyNumberFormat="1" applyFont="1" applyFill="1" applyBorder="1" applyAlignment="1">
      <alignment horizontal="center" vertical="center" wrapText="1"/>
    </xf>
    <xf numFmtId="165" fontId="23" fillId="6" borderId="4" xfId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9" fontId="8" fillId="6" borderId="7" xfId="2" applyFont="1" applyFill="1" applyBorder="1" applyAlignment="1">
      <alignment horizontal="center" vertical="center"/>
    </xf>
    <xf numFmtId="0" fontId="37" fillId="6" borderId="8" xfId="0" applyFont="1" applyFill="1" applyBorder="1"/>
    <xf numFmtId="0" fontId="37" fillId="6" borderId="2" xfId="0" applyFont="1" applyFill="1" applyBorder="1"/>
    <xf numFmtId="0" fontId="37" fillId="6" borderId="10" xfId="0" applyFont="1" applyFill="1" applyBorder="1"/>
    <xf numFmtId="0" fontId="45" fillId="6" borderId="0" xfId="0" applyFont="1" applyFill="1" applyAlignment="1">
      <alignment horizontal="center" vertical="center"/>
    </xf>
    <xf numFmtId="0" fontId="37" fillId="6" borderId="11" xfId="0" applyFont="1" applyFill="1" applyBorder="1"/>
    <xf numFmtId="0" fontId="37" fillId="6" borderId="13" xfId="0" applyFont="1" applyFill="1" applyBorder="1"/>
    <xf numFmtId="0" fontId="37" fillId="6" borderId="14" xfId="0" applyFont="1" applyFill="1" applyBorder="1"/>
    <xf numFmtId="0" fontId="37" fillId="6" borderId="15" xfId="0" applyFont="1" applyFill="1" applyBorder="1"/>
    <xf numFmtId="164" fontId="7" fillId="3" borderId="20" xfId="1" applyNumberFormat="1" applyFont="1" applyFill="1" applyBorder="1" applyAlignment="1">
      <alignment horizontal="center" vertical="center"/>
    </xf>
    <xf numFmtId="0" fontId="54" fillId="3" borderId="11" xfId="0" applyFont="1" applyFill="1" applyBorder="1"/>
    <xf numFmtId="0" fontId="54" fillId="3" borderId="15" xfId="0" applyFont="1" applyFill="1" applyBorder="1"/>
    <xf numFmtId="0" fontId="8" fillId="3" borderId="1" xfId="1" applyNumberFormat="1" applyFont="1" applyFill="1" applyBorder="1" applyAlignment="1">
      <alignment horizontal="center" vertical="center" wrapText="1"/>
    </xf>
    <xf numFmtId="165" fontId="4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10" fillId="4" borderId="17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10" fillId="2" borderId="1" xfId="1" applyNumberFormat="1" applyFont="1" applyFill="1" applyBorder="1" applyAlignment="1">
      <alignment horizontal="center" vertical="center" wrapText="1"/>
    </xf>
    <xf numFmtId="165" fontId="10" fillId="2" borderId="1" xfId="1" applyFont="1" applyFill="1" applyBorder="1" applyAlignment="1">
      <alignment horizontal="center" vertical="center" wrapText="1"/>
    </xf>
    <xf numFmtId="0" fontId="10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4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164" fontId="10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4" fillId="2" borderId="7" xfId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64" fontId="10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 wrapText="1"/>
    </xf>
    <xf numFmtId="165" fontId="10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43" fontId="10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71" fillId="3" borderId="3" xfId="1" applyNumberFormat="1" applyFont="1" applyFill="1" applyBorder="1" applyAlignment="1">
      <alignment horizontal="center" vertical="center" wrapText="1"/>
    </xf>
    <xf numFmtId="164" fontId="71" fillId="3" borderId="9" xfId="1" applyNumberFormat="1" applyFont="1" applyFill="1" applyBorder="1" applyAlignment="1">
      <alignment horizontal="center" vertical="center" wrapText="1"/>
    </xf>
    <xf numFmtId="164" fontId="71" fillId="3" borderId="17" xfId="1" applyNumberFormat="1" applyFont="1" applyFill="1" applyBorder="1" applyAlignment="1">
      <alignment horizontal="center" vertical="center" wrapText="1"/>
    </xf>
    <xf numFmtId="164" fontId="53" fillId="3" borderId="3" xfId="1" applyNumberFormat="1" applyFont="1" applyFill="1" applyBorder="1" applyAlignment="1">
      <alignment horizontal="center" vertical="center" wrapText="1"/>
    </xf>
    <xf numFmtId="164" fontId="53" fillId="3" borderId="9" xfId="1" applyNumberFormat="1" applyFont="1" applyFill="1" applyBorder="1" applyAlignment="1">
      <alignment horizontal="center" vertical="center" wrapText="1"/>
    </xf>
    <xf numFmtId="164" fontId="53" fillId="3" borderId="17" xfId="1" applyNumberFormat="1" applyFont="1" applyFill="1" applyBorder="1" applyAlignment="1">
      <alignment horizontal="center" vertical="center" wrapText="1"/>
    </xf>
    <xf numFmtId="164" fontId="70" fillId="3" borderId="3" xfId="1" applyNumberFormat="1" applyFont="1" applyFill="1" applyBorder="1" applyAlignment="1">
      <alignment horizontal="center" vertical="center" wrapText="1"/>
    </xf>
    <xf numFmtId="164" fontId="70" fillId="3" borderId="9" xfId="1" applyNumberFormat="1" applyFont="1" applyFill="1" applyBorder="1" applyAlignment="1">
      <alignment horizontal="center" vertical="center" wrapText="1"/>
    </xf>
    <xf numFmtId="164" fontId="70" fillId="3" borderId="17" xfId="1" applyNumberFormat="1" applyFont="1" applyFill="1" applyBorder="1" applyAlignment="1">
      <alignment horizontal="center" vertical="center" wrapText="1"/>
    </xf>
    <xf numFmtId="165" fontId="4" fillId="3" borderId="18" xfId="1" applyFont="1" applyFill="1" applyBorder="1" applyAlignment="1">
      <alignment horizontal="center" vertical="center" wrapText="1"/>
    </xf>
    <xf numFmtId="165" fontId="4" fillId="3" borderId="12" xfId="1" applyFont="1" applyFill="1" applyBorder="1" applyAlignment="1">
      <alignment horizontal="center" vertical="center" wrapText="1"/>
    </xf>
    <xf numFmtId="164" fontId="75" fillId="3" borderId="3" xfId="1" applyNumberFormat="1" applyFont="1" applyFill="1" applyBorder="1" applyAlignment="1">
      <alignment horizontal="center" vertical="center" wrapText="1"/>
    </xf>
    <xf numFmtId="164" fontId="75" fillId="3" borderId="9" xfId="1" applyNumberFormat="1" applyFont="1" applyFill="1" applyBorder="1" applyAlignment="1">
      <alignment horizontal="center" vertical="center" wrapText="1"/>
    </xf>
    <xf numFmtId="164" fontId="75" fillId="3" borderId="17" xfId="1" applyNumberFormat="1" applyFont="1" applyFill="1" applyBorder="1" applyAlignment="1">
      <alignment horizontal="center" vertical="center" wrapText="1"/>
    </xf>
    <xf numFmtId="164" fontId="4" fillId="3" borderId="22" xfId="1" applyNumberFormat="1" applyFont="1" applyFill="1" applyBorder="1" applyAlignment="1">
      <alignment horizontal="center" vertical="center" wrapText="1"/>
    </xf>
    <xf numFmtId="164" fontId="4" fillId="3" borderId="10" xfId="1" applyNumberFormat="1" applyFont="1" applyFill="1" applyBorder="1" applyAlignment="1">
      <alignment horizontal="center" vertical="center" wrapText="1"/>
    </xf>
    <xf numFmtId="164" fontId="4" fillId="3" borderId="19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164" fontId="4" fillId="3" borderId="9" xfId="1" applyNumberFormat="1" applyFont="1" applyFill="1" applyBorder="1" applyAlignment="1">
      <alignment horizontal="center" vertical="center" wrapText="1"/>
    </xf>
    <xf numFmtId="164" fontId="4" fillId="3" borderId="17" xfId="1" applyNumberFormat="1" applyFont="1" applyFill="1" applyBorder="1" applyAlignment="1">
      <alignment horizontal="center" vertical="center" wrapText="1"/>
    </xf>
    <xf numFmtId="164" fontId="15" fillId="6" borderId="4" xfId="1" applyNumberFormat="1" applyFont="1" applyFill="1" applyBorder="1" applyAlignment="1">
      <alignment horizontal="center" vertical="center" wrapText="1"/>
    </xf>
    <xf numFmtId="164" fontId="15" fillId="6" borderId="5" xfId="1" applyNumberFormat="1" applyFont="1" applyFill="1" applyBorder="1" applyAlignment="1">
      <alignment horizontal="center" vertical="center" wrapText="1"/>
    </xf>
    <xf numFmtId="164" fontId="15" fillId="6" borderId="6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top" wrapText="1"/>
    </xf>
    <xf numFmtId="164" fontId="4" fillId="3" borderId="17" xfId="1" applyNumberFormat="1" applyFont="1" applyFill="1" applyBorder="1" applyAlignment="1">
      <alignment horizontal="center" vertical="top" wrapText="1"/>
    </xf>
    <xf numFmtId="164" fontId="56" fillId="3" borderId="3" xfId="1" applyNumberFormat="1" applyFont="1" applyFill="1" applyBorder="1" applyAlignment="1">
      <alignment horizontal="center" vertical="center" wrapText="1"/>
    </xf>
    <xf numFmtId="164" fontId="56" fillId="3" borderId="9" xfId="1" applyNumberFormat="1" applyFont="1" applyFill="1" applyBorder="1" applyAlignment="1">
      <alignment horizontal="center" vertical="center" wrapText="1"/>
    </xf>
    <xf numFmtId="164" fontId="56" fillId="3" borderId="17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64" fontId="7" fillId="3" borderId="9" xfId="1" applyNumberFormat="1" applyFont="1" applyFill="1" applyBorder="1" applyAlignment="1">
      <alignment horizontal="center" vertical="center" wrapText="1"/>
    </xf>
    <xf numFmtId="164" fontId="7" fillId="3" borderId="17" xfId="1" applyNumberFormat="1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top" wrapText="1"/>
    </xf>
    <xf numFmtId="0" fontId="4" fillId="3" borderId="17" xfId="1" applyNumberFormat="1" applyFont="1" applyFill="1" applyBorder="1" applyAlignment="1">
      <alignment horizontal="center" vertical="top" wrapText="1"/>
    </xf>
    <xf numFmtId="43" fontId="72" fillId="0" borderId="22" xfId="5" applyFont="1" applyBorder="1" applyAlignment="1">
      <alignment horizontal="center" vertical="center" wrapText="1"/>
    </xf>
    <xf numFmtId="43" fontId="72" fillId="0" borderId="2" xfId="5" applyFont="1" applyBorder="1" applyAlignment="1">
      <alignment horizontal="center" vertical="center" wrapText="1"/>
    </xf>
    <xf numFmtId="43" fontId="72" fillId="0" borderId="19" xfId="5" applyFont="1" applyBorder="1" applyAlignment="1">
      <alignment horizontal="center" vertical="center" wrapText="1"/>
    </xf>
    <xf numFmtId="43" fontId="72" fillId="0" borderId="16" xfId="5" applyFont="1" applyBorder="1" applyAlignment="1">
      <alignment horizontal="center" vertical="center" wrapText="1"/>
    </xf>
    <xf numFmtId="165" fontId="74" fillId="3" borderId="3" xfId="1" applyFont="1" applyFill="1" applyBorder="1" applyAlignment="1">
      <alignment horizontal="center" vertical="center" wrapText="1"/>
    </xf>
    <xf numFmtId="165" fontId="74" fillId="3" borderId="9" xfId="1" applyFont="1" applyFill="1" applyBorder="1" applyAlignment="1">
      <alignment horizontal="center" vertical="center" wrapText="1"/>
    </xf>
    <xf numFmtId="165" fontId="74" fillId="3" borderId="17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9" xfId="1" applyNumberFormat="1" applyFont="1" applyFill="1" applyBorder="1" applyAlignment="1">
      <alignment horizontal="center" vertical="center" wrapText="1"/>
    </xf>
    <xf numFmtId="49" fontId="4" fillId="3" borderId="17" xfId="1" applyNumberFormat="1" applyFont="1" applyFill="1" applyBorder="1" applyAlignment="1">
      <alignment horizontal="center" vertical="center" wrapText="1"/>
    </xf>
    <xf numFmtId="164" fontId="74" fillId="3" borderId="3" xfId="1" applyNumberFormat="1" applyFont="1" applyFill="1" applyBorder="1" applyAlignment="1">
      <alignment horizontal="center" vertical="top" wrapText="1"/>
    </xf>
    <xf numFmtId="164" fontId="74" fillId="3" borderId="17" xfId="1" applyNumberFormat="1" applyFont="1" applyFill="1" applyBorder="1" applyAlignment="1">
      <alignment horizontal="center" vertical="top" wrapText="1"/>
    </xf>
    <xf numFmtId="0" fontId="7" fillId="3" borderId="3" xfId="1" applyNumberFormat="1" applyFont="1" applyFill="1" applyBorder="1" applyAlignment="1">
      <alignment horizontal="center" vertical="top" wrapText="1"/>
    </xf>
    <xf numFmtId="0" fontId="7" fillId="3" borderId="17" xfId="1" applyNumberFormat="1" applyFont="1" applyFill="1" applyBorder="1" applyAlignment="1">
      <alignment horizontal="center" vertical="top" wrapText="1"/>
    </xf>
    <xf numFmtId="164" fontId="26" fillId="0" borderId="4" xfId="1" applyNumberFormat="1" applyFont="1" applyBorder="1" applyAlignment="1">
      <alignment horizontal="center" vertical="center" wrapText="1"/>
    </xf>
    <xf numFmtId="164" fontId="26" fillId="0" borderId="5" xfId="1" applyNumberFormat="1" applyFont="1" applyBorder="1" applyAlignment="1">
      <alignment horizontal="center" vertical="center" wrapText="1"/>
    </xf>
    <xf numFmtId="164" fontId="26" fillId="0" borderId="6" xfId="1" applyNumberFormat="1" applyFont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horizontal="center" vertical="center"/>
    </xf>
    <xf numFmtId="164" fontId="4" fillId="3" borderId="17" xfId="1" applyNumberFormat="1" applyFont="1" applyFill="1" applyBorder="1" applyAlignment="1">
      <alignment horizontal="center" vertical="center"/>
    </xf>
    <xf numFmtId="164" fontId="64" fillId="0" borderId="0" xfId="1" applyNumberFormat="1" applyFont="1" applyAlignment="1">
      <alignment horizontal="center" vertical="center"/>
    </xf>
    <xf numFmtId="9" fontId="26" fillId="6" borderId="22" xfId="2" applyFont="1" applyFill="1" applyBorder="1" applyAlignment="1">
      <alignment horizontal="center" vertical="center"/>
    </xf>
    <xf numFmtId="9" fontId="26" fillId="6" borderId="8" xfId="2" applyFont="1" applyFill="1" applyBorder="1" applyAlignment="1">
      <alignment horizontal="center" vertical="center"/>
    </xf>
    <xf numFmtId="9" fontId="26" fillId="6" borderId="2" xfId="2" applyFont="1" applyFill="1" applyBorder="1" applyAlignment="1">
      <alignment horizontal="center" vertical="center"/>
    </xf>
    <xf numFmtId="9" fontId="26" fillId="6" borderId="10" xfId="2" applyFont="1" applyFill="1" applyBorder="1" applyAlignment="1">
      <alignment horizontal="center" vertical="center"/>
    </xf>
    <xf numFmtId="9" fontId="26" fillId="6" borderId="0" xfId="2" applyFont="1" applyFill="1" applyAlignment="1">
      <alignment horizontal="center" vertical="center"/>
    </xf>
    <xf numFmtId="9" fontId="26" fillId="6" borderId="11" xfId="2" applyFont="1" applyFill="1" applyBorder="1" applyAlignment="1">
      <alignment horizontal="center" vertical="center"/>
    </xf>
    <xf numFmtId="9" fontId="26" fillId="6" borderId="13" xfId="2" applyFont="1" applyFill="1" applyBorder="1" applyAlignment="1">
      <alignment horizontal="center" vertical="center"/>
    </xf>
    <xf numFmtId="9" fontId="26" fillId="6" borderId="14" xfId="2" applyFont="1" applyFill="1" applyBorder="1" applyAlignment="1">
      <alignment horizontal="center" vertical="center"/>
    </xf>
    <xf numFmtId="9" fontId="26" fillId="6" borderId="15" xfId="2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top" wrapText="1"/>
    </xf>
    <xf numFmtId="164" fontId="7" fillId="3" borderId="17" xfId="1" applyNumberFormat="1" applyFont="1" applyFill="1" applyBorder="1" applyAlignment="1">
      <alignment horizontal="center" vertical="top" wrapText="1"/>
    </xf>
    <xf numFmtId="164" fontId="7" fillId="3" borderId="15" xfId="1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164" fontId="4" fillId="6" borderId="2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0" fontId="4" fillId="3" borderId="9" xfId="3" applyFont="1" applyFill="1" applyBorder="1" applyAlignment="1">
      <alignment horizontal="center" vertical="center"/>
    </xf>
    <xf numFmtId="0" fontId="4" fillId="3" borderId="17" xfId="3" applyFont="1" applyFill="1" applyBorder="1" applyAlignment="1">
      <alignment horizontal="center" vertical="center"/>
    </xf>
    <xf numFmtId="165" fontId="15" fillId="6" borderId="4" xfId="1" applyFont="1" applyFill="1" applyBorder="1" applyAlignment="1">
      <alignment horizontal="center" vertical="center" wrapText="1"/>
    </xf>
    <xf numFmtId="0" fontId="0" fillId="6" borderId="5" xfId="0" applyFill="1" applyBorder="1"/>
    <xf numFmtId="164" fontId="26" fillId="6" borderId="4" xfId="1" applyNumberFormat="1" applyFont="1" applyFill="1" applyBorder="1" applyAlignment="1">
      <alignment horizontal="center" vertical="center" wrapText="1"/>
    </xf>
    <xf numFmtId="164" fontId="26" fillId="6" borderId="5" xfId="1" applyNumberFormat="1" applyFont="1" applyFill="1" applyBorder="1" applyAlignment="1">
      <alignment horizontal="center" vertical="center" wrapText="1"/>
    </xf>
    <xf numFmtId="164" fontId="26" fillId="6" borderId="6" xfId="1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center" vertical="center" wrapText="1"/>
    </xf>
    <xf numFmtId="0" fontId="64" fillId="0" borderId="0" xfId="3" applyFont="1" applyAlignment="1">
      <alignment horizontal="center" vertical="center"/>
    </xf>
    <xf numFmtId="164" fontId="64" fillId="0" borderId="0" xfId="1" applyNumberFormat="1" applyFont="1" applyAlignment="1">
      <alignment horizontal="center" vertical="center" wrapText="1"/>
    </xf>
    <xf numFmtId="164" fontId="76" fillId="0" borderId="0" xfId="1" applyNumberFormat="1" applyFont="1" applyAlignment="1">
      <alignment horizontal="center" vertical="center" wrapText="1"/>
    </xf>
    <xf numFmtId="164" fontId="64" fillId="0" borderId="0" xfId="1" applyNumberFormat="1" applyFont="1" applyAlignment="1">
      <alignment vertical="center" wrapText="1"/>
    </xf>
    <xf numFmtId="164" fontId="64" fillId="0" borderId="0" xfId="0" applyNumberFormat="1" applyFont="1" applyAlignment="1">
      <alignment vertical="center"/>
    </xf>
    <xf numFmtId="165" fontId="64" fillId="0" borderId="0" xfId="1" applyFont="1" applyAlignment="1">
      <alignment horizontal="center" vertical="center"/>
    </xf>
    <xf numFmtId="165" fontId="64" fillId="0" borderId="0" xfId="1" applyFont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opLeftCell="BP4" zoomScale="130" zoomScaleNormal="130" zoomScaleSheetLayoutView="70" workbookViewId="0">
      <selection activeCell="BW25" sqref="BW25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380"/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  <c r="AA3" s="379"/>
      <c r="AB3" s="379"/>
      <c r="AC3" s="379"/>
      <c r="AD3" s="379"/>
      <c r="AE3" s="379"/>
      <c r="AF3" s="379"/>
      <c r="AG3" s="379"/>
      <c r="AH3" s="379"/>
      <c r="AI3" s="379"/>
      <c r="AJ3" s="379"/>
      <c r="AK3" s="379"/>
      <c r="AL3" s="379"/>
      <c r="AM3" s="379"/>
      <c r="AN3" s="379"/>
      <c r="AO3" s="379"/>
      <c r="AP3" s="379"/>
      <c r="AQ3" s="379"/>
      <c r="AR3" s="379"/>
      <c r="AS3" s="379"/>
      <c r="AT3" s="379"/>
      <c r="AU3" s="379"/>
      <c r="AV3" s="379"/>
      <c r="AW3" s="379"/>
      <c r="AX3" s="379"/>
      <c r="AY3" s="379"/>
      <c r="AZ3" s="379"/>
      <c r="BA3" s="379"/>
      <c r="BB3" s="379"/>
      <c r="BC3" s="379"/>
      <c r="BD3" s="379"/>
      <c r="BE3" s="379"/>
      <c r="BF3" s="379"/>
      <c r="BG3" s="379"/>
      <c r="BH3" s="379"/>
      <c r="BI3" s="379"/>
      <c r="BJ3" s="379"/>
      <c r="BK3" s="379"/>
      <c r="BL3" s="379"/>
      <c r="BM3" s="379"/>
      <c r="BN3" s="379"/>
      <c r="BO3" s="379"/>
      <c r="BP3" s="379"/>
      <c r="BQ3" s="379"/>
      <c r="BR3" s="379"/>
      <c r="BS3" s="379"/>
      <c r="BT3" s="379"/>
      <c r="BU3" s="379"/>
      <c r="BV3" s="205"/>
      <c r="BW3" s="378" t="s">
        <v>2</v>
      </c>
      <c r="BX3" s="379"/>
      <c r="BY3" s="379"/>
      <c r="BZ3" s="379"/>
      <c r="CA3" s="379"/>
      <c r="CB3" s="379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379"/>
      <c r="BX4" s="379"/>
      <c r="BY4" s="379"/>
      <c r="BZ4" s="379"/>
      <c r="CA4" s="379"/>
      <c r="CB4" s="379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379"/>
      <c r="BX5" s="379"/>
      <c r="BY5" s="379"/>
      <c r="BZ5" s="379"/>
      <c r="CA5" s="379"/>
      <c r="CB5" s="379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379"/>
      <c r="BX6" s="379"/>
      <c r="BY6" s="379"/>
      <c r="BZ6" s="379"/>
      <c r="CA6" s="379"/>
      <c r="CB6" s="379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155</v>
      </c>
    </row>
    <row r="8" spans="1:87" s="213" customFormat="1" ht="19.25" customHeight="1">
      <c r="A8" s="377" t="s">
        <v>4</v>
      </c>
      <c r="B8" s="382" t="s">
        <v>5</v>
      </c>
      <c r="C8" s="352" t="s">
        <v>6</v>
      </c>
      <c r="D8" s="364" t="s">
        <v>7</v>
      </c>
      <c r="E8" s="364" t="s">
        <v>8</v>
      </c>
      <c r="F8" s="352" t="s">
        <v>9</v>
      </c>
      <c r="G8" s="365" t="s">
        <v>10</v>
      </c>
      <c r="H8" s="366" t="s">
        <v>11</v>
      </c>
      <c r="I8" s="366" t="s">
        <v>12</v>
      </c>
      <c r="J8" s="359" t="s">
        <v>13</v>
      </c>
      <c r="K8" s="376" t="s">
        <v>14</v>
      </c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5" t="s">
        <v>15</v>
      </c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7"/>
      <c r="AP8" s="359" t="s">
        <v>16</v>
      </c>
      <c r="AQ8" s="359" t="s">
        <v>17</v>
      </c>
      <c r="AR8" s="359" t="s">
        <v>18</v>
      </c>
      <c r="AS8" s="359" t="s">
        <v>19</v>
      </c>
      <c r="AT8" s="359" t="s">
        <v>20</v>
      </c>
      <c r="AU8" s="359" t="s">
        <v>21</v>
      </c>
      <c r="AV8" s="352" t="s">
        <v>22</v>
      </c>
      <c r="AW8" s="353" t="s">
        <v>23</v>
      </c>
      <c r="AX8" s="342" t="s">
        <v>24</v>
      </c>
      <c r="AY8" s="362" t="s">
        <v>25</v>
      </c>
      <c r="AZ8" s="356"/>
      <c r="BA8" s="356"/>
      <c r="BB8" s="356"/>
      <c r="BC8" s="356"/>
      <c r="BD8" s="356"/>
      <c r="BE8" s="356"/>
      <c r="BF8" s="356"/>
      <c r="BG8" s="356"/>
      <c r="BH8" s="356"/>
      <c r="BI8" s="356"/>
      <c r="BJ8" s="356"/>
      <c r="BK8" s="356"/>
      <c r="BL8" s="356"/>
      <c r="BM8" s="356"/>
      <c r="BN8" s="356"/>
      <c r="BO8" s="356"/>
      <c r="BP8" s="356"/>
      <c r="BQ8" s="357"/>
      <c r="BR8" s="345" t="s">
        <v>26</v>
      </c>
      <c r="BS8" s="346"/>
      <c r="BT8" s="352" t="s">
        <v>27</v>
      </c>
      <c r="BU8" s="339" t="s">
        <v>28</v>
      </c>
      <c r="BV8" s="3"/>
      <c r="BW8" s="392" t="s">
        <v>29</v>
      </c>
      <c r="BX8" s="383" t="s">
        <v>30</v>
      </c>
      <c r="BY8" s="384"/>
      <c r="BZ8" s="384"/>
      <c r="CA8" s="385"/>
      <c r="CB8" s="347" t="s">
        <v>31</v>
      </c>
      <c r="CC8" s="333" t="s">
        <v>32</v>
      </c>
      <c r="CD8" s="333" t="s">
        <v>33</v>
      </c>
      <c r="CH8" s="150"/>
      <c r="CI8" s="150"/>
    </row>
    <row r="9" spans="1:87" s="213" customFormat="1" ht="19.25" customHeight="1">
      <c r="A9" s="367"/>
      <c r="B9" s="337"/>
      <c r="C9" s="337"/>
      <c r="D9" s="337"/>
      <c r="E9" s="337"/>
      <c r="F9" s="337"/>
      <c r="G9" s="343"/>
      <c r="H9" s="367"/>
      <c r="I9" s="367"/>
      <c r="J9" s="360"/>
      <c r="K9" s="370" t="s">
        <v>34</v>
      </c>
      <c r="L9" s="370" t="s">
        <v>35</v>
      </c>
      <c r="M9" s="370" t="s">
        <v>36</v>
      </c>
      <c r="N9" s="370" t="s">
        <v>37</v>
      </c>
      <c r="O9" s="370" t="s">
        <v>38</v>
      </c>
      <c r="P9" s="370" t="s">
        <v>39</v>
      </c>
      <c r="Q9" s="370" t="s">
        <v>40</v>
      </c>
      <c r="R9" s="370" t="s">
        <v>41</v>
      </c>
      <c r="S9" s="370" t="s">
        <v>42</v>
      </c>
      <c r="T9" s="370" t="s">
        <v>43</v>
      </c>
      <c r="U9" s="370" t="s">
        <v>44</v>
      </c>
      <c r="V9" s="371" t="s">
        <v>45</v>
      </c>
      <c r="W9" s="346"/>
      <c r="X9" s="370" t="s">
        <v>46</v>
      </c>
      <c r="Y9" s="336" t="s">
        <v>154</v>
      </c>
      <c r="Z9" s="336" t="s">
        <v>48</v>
      </c>
      <c r="AA9" s="336" t="s">
        <v>49</v>
      </c>
      <c r="AB9" s="336" t="s">
        <v>50</v>
      </c>
      <c r="AC9" s="336" t="s">
        <v>51</v>
      </c>
      <c r="AD9" s="336" t="s">
        <v>52</v>
      </c>
      <c r="AE9" s="336" t="s">
        <v>53</v>
      </c>
      <c r="AF9" s="336" t="s">
        <v>54</v>
      </c>
      <c r="AG9" s="336" t="s">
        <v>55</v>
      </c>
      <c r="AH9" s="336" t="s">
        <v>56</v>
      </c>
      <c r="AI9" s="336" t="s">
        <v>57</v>
      </c>
      <c r="AJ9" s="361" t="s">
        <v>58</v>
      </c>
      <c r="AK9" s="339" t="s">
        <v>59</v>
      </c>
      <c r="AL9" s="342" t="s">
        <v>60</v>
      </c>
      <c r="AM9" s="336" t="s">
        <v>61</v>
      </c>
      <c r="AN9" s="352" t="s">
        <v>62</v>
      </c>
      <c r="AO9" s="352" t="s">
        <v>63</v>
      </c>
      <c r="AP9" s="360"/>
      <c r="AQ9" s="360"/>
      <c r="AR9" s="360"/>
      <c r="AS9" s="360"/>
      <c r="AT9" s="360"/>
      <c r="AU9" s="360"/>
      <c r="AV9" s="337"/>
      <c r="AW9" s="360"/>
      <c r="AX9" s="343"/>
      <c r="AY9" s="349" t="s">
        <v>25</v>
      </c>
      <c r="AZ9" s="350"/>
      <c r="BA9" s="350"/>
      <c r="BB9" s="350"/>
      <c r="BC9" s="350"/>
      <c r="BD9" s="350"/>
      <c r="BE9" s="350"/>
      <c r="BF9" s="350"/>
      <c r="BG9" s="350"/>
      <c r="BH9" s="350"/>
      <c r="BI9" s="350"/>
      <c r="BJ9" s="350"/>
      <c r="BK9" s="350"/>
      <c r="BL9" s="351"/>
      <c r="BM9" s="349" t="s">
        <v>64</v>
      </c>
      <c r="BN9" s="350"/>
      <c r="BO9" s="350"/>
      <c r="BP9" s="350"/>
      <c r="BQ9" s="351"/>
      <c r="BR9" s="369" t="s">
        <v>65</v>
      </c>
      <c r="BS9" s="369" t="s">
        <v>66</v>
      </c>
      <c r="BT9" s="337"/>
      <c r="BU9" s="340"/>
      <c r="BV9" s="3"/>
      <c r="BW9" s="393"/>
      <c r="BX9" s="386"/>
      <c r="BY9" s="387"/>
      <c r="BZ9" s="387"/>
      <c r="CA9" s="388"/>
      <c r="CB9" s="337"/>
      <c r="CC9" s="334"/>
      <c r="CD9" s="334"/>
      <c r="CH9" s="150"/>
      <c r="CI9" s="150"/>
    </row>
    <row r="10" spans="1:87" s="214" customFormat="1" ht="19.25" customHeight="1">
      <c r="A10" s="367"/>
      <c r="B10" s="337"/>
      <c r="C10" s="337"/>
      <c r="D10" s="337"/>
      <c r="E10" s="337"/>
      <c r="F10" s="337"/>
      <c r="G10" s="343"/>
      <c r="H10" s="367"/>
      <c r="I10" s="367"/>
      <c r="J10" s="360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7"/>
      <c r="V10" s="372"/>
      <c r="W10" s="373"/>
      <c r="X10" s="36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43"/>
      <c r="AK10" s="340"/>
      <c r="AL10" s="343"/>
      <c r="AM10" s="337"/>
      <c r="AN10" s="337"/>
      <c r="AO10" s="337"/>
      <c r="AP10" s="360"/>
      <c r="AQ10" s="360"/>
      <c r="AR10" s="360"/>
      <c r="AS10" s="360"/>
      <c r="AT10" s="360"/>
      <c r="AU10" s="360"/>
      <c r="AV10" s="337"/>
      <c r="AW10" s="360"/>
      <c r="AX10" s="343"/>
      <c r="AY10" s="29" t="s">
        <v>67</v>
      </c>
      <c r="AZ10" s="29" t="s">
        <v>68</v>
      </c>
      <c r="BA10" s="29" t="s">
        <v>69</v>
      </c>
      <c r="BB10" s="381" t="s">
        <v>70</v>
      </c>
      <c r="BC10" s="363" t="s">
        <v>71</v>
      </c>
      <c r="BD10" s="363" t="s">
        <v>72</v>
      </c>
      <c r="BE10" s="358" t="s">
        <v>73</v>
      </c>
      <c r="BF10" s="358" t="s">
        <v>74</v>
      </c>
      <c r="BG10" s="395" t="s">
        <v>75</v>
      </c>
      <c r="BH10" s="363" t="s">
        <v>76</v>
      </c>
      <c r="BI10" s="374" t="s">
        <v>77</v>
      </c>
      <c r="BJ10" s="358" t="s">
        <v>78</v>
      </c>
      <c r="BK10" s="358" t="s">
        <v>79</v>
      </c>
      <c r="BL10" s="352" t="s">
        <v>80</v>
      </c>
      <c r="BM10" s="363" t="s">
        <v>81</v>
      </c>
      <c r="BN10" s="353" t="s">
        <v>82</v>
      </c>
      <c r="BO10" s="363" t="s">
        <v>83</v>
      </c>
      <c r="BP10" s="353" t="s">
        <v>84</v>
      </c>
      <c r="BQ10" s="353" t="s">
        <v>85</v>
      </c>
      <c r="BR10" s="367"/>
      <c r="BS10" s="367"/>
      <c r="BT10" s="337"/>
      <c r="BU10" s="340"/>
      <c r="BV10" s="3"/>
      <c r="BW10" s="393"/>
      <c r="BX10" s="389"/>
      <c r="BY10" s="390"/>
      <c r="BZ10" s="390"/>
      <c r="CA10" s="391"/>
      <c r="CB10" s="337"/>
      <c r="CC10" s="334"/>
      <c r="CD10" s="334"/>
      <c r="CE10" s="228" t="s">
        <v>3</v>
      </c>
      <c r="CH10" s="150"/>
      <c r="CI10" s="150"/>
    </row>
    <row r="11" spans="1:87" s="214" customFormat="1" ht="38.25" customHeight="1">
      <c r="A11" s="368"/>
      <c r="B11" s="338"/>
      <c r="C11" s="338"/>
      <c r="D11" s="338"/>
      <c r="E11" s="338"/>
      <c r="F11" s="338"/>
      <c r="G11" s="344"/>
      <c r="H11" s="368"/>
      <c r="I11" s="368"/>
      <c r="J11" s="354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178" t="s">
        <v>86</v>
      </c>
      <c r="W11" s="178" t="s">
        <v>87</v>
      </c>
      <c r="X11" s="368"/>
      <c r="Y11" s="338"/>
      <c r="Z11" s="338"/>
      <c r="AA11" s="338"/>
      <c r="AB11" s="338"/>
      <c r="AC11" s="338"/>
      <c r="AD11" s="338"/>
      <c r="AE11" s="338"/>
      <c r="AF11" s="338"/>
      <c r="AG11" s="338"/>
      <c r="AH11" s="338"/>
      <c r="AI11" s="338"/>
      <c r="AJ11" s="344"/>
      <c r="AK11" s="341"/>
      <c r="AL11" s="344"/>
      <c r="AM11" s="338"/>
      <c r="AN11" s="338"/>
      <c r="AO11" s="338"/>
      <c r="AP11" s="354"/>
      <c r="AQ11" s="354"/>
      <c r="AR11" s="354"/>
      <c r="AS11" s="354"/>
      <c r="AT11" s="354"/>
      <c r="AU11" s="354"/>
      <c r="AV11" s="338"/>
      <c r="AW11" s="354"/>
      <c r="AX11" s="344"/>
      <c r="AY11" s="229" t="s">
        <v>88</v>
      </c>
      <c r="AZ11" s="229" t="s">
        <v>89</v>
      </c>
      <c r="BA11" s="229" t="s">
        <v>90</v>
      </c>
      <c r="BB11" s="338"/>
      <c r="BC11" s="354"/>
      <c r="BD11" s="354"/>
      <c r="BE11" s="338"/>
      <c r="BF11" s="338"/>
      <c r="BG11" s="368"/>
      <c r="BH11" s="354"/>
      <c r="BI11" s="375"/>
      <c r="BJ11" s="338"/>
      <c r="BK11" s="338"/>
      <c r="BL11" s="338"/>
      <c r="BM11" s="354"/>
      <c r="BN11" s="354"/>
      <c r="BO11" s="354"/>
      <c r="BP11" s="354"/>
      <c r="BQ11" s="354"/>
      <c r="BR11" s="368"/>
      <c r="BS11" s="368"/>
      <c r="BT11" s="338"/>
      <c r="BU11" s="341"/>
      <c r="BV11" s="3"/>
      <c r="BW11" s="394"/>
      <c r="BX11" s="237" t="s">
        <v>91</v>
      </c>
      <c r="BY11" s="237" t="s">
        <v>92</v>
      </c>
      <c r="BZ11" s="237" t="s">
        <v>93</v>
      </c>
      <c r="CA11" s="238" t="s">
        <v>94</v>
      </c>
      <c r="CB11" s="348"/>
      <c r="CC11" s="335"/>
      <c r="CD11" s="335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 t="shared" ref="I15:I21" si="8"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9">G15*(K15+L15)/26</f>
        <v>9520000</v>
      </c>
      <c r="Z15" s="184">
        <f t="shared" ref="Z15:Z21" si="10">M15*G15/26</f>
        <v>0</v>
      </c>
      <c r="AA15" s="184">
        <f t="shared" ref="AA15:AA21" si="11">G15*N15/26</f>
        <v>0</v>
      </c>
      <c r="AB15" s="184">
        <f t="shared" ref="AB15:AB21" si="12">G15*O15/26</f>
        <v>0</v>
      </c>
      <c r="AC15" s="184">
        <f t="shared" ref="AC15:AC21" si="13">G15*P15*150%/26</f>
        <v>0</v>
      </c>
      <c r="AD15" s="184">
        <f t="shared" ref="AD15:AD21" si="14">G15*Q15/26*200%</f>
        <v>0</v>
      </c>
      <c r="AE15" s="184">
        <f t="shared" ref="AE15:AE21" si="15">G15*R15/26*300%</f>
        <v>0</v>
      </c>
      <c r="AF15" s="184">
        <f>ROUND((G15+H15)/26*S15*30%,0)</f>
        <v>0</v>
      </c>
      <c r="AG15" s="184">
        <f t="shared" ref="AG15:AG21" si="16">T15*G15/26/8</f>
        <v>0</v>
      </c>
      <c r="AH15" s="184">
        <f t="shared" ref="AH15:AH21" si="17">CB15/26*U15</f>
        <v>0</v>
      </c>
      <c r="AI15" s="184">
        <f t="shared" ref="AI15:AI21" si="18">G15*V15/26</f>
        <v>0</v>
      </c>
      <c r="AJ15" s="184"/>
      <c r="AK15" s="184">
        <f t="shared" ref="AK15:AK21" si="19">BZ15*L15/26</f>
        <v>0</v>
      </c>
      <c r="AL15" s="184"/>
      <c r="AM15" s="184">
        <f t="shared" ref="AM15:AM21" si="20">X15*CD15</f>
        <v>0</v>
      </c>
      <c r="AN15" s="184">
        <f>H15/26*(K15+L15)</f>
        <v>0</v>
      </c>
      <c r="AO15" s="18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22">Y15+Z15+AA15+AB15+AC15+AD15+AE15+AF15+AG15+AI15+AJ15+AK15+AL15+AM15+AN15+AO15+AP15-AQ15+AR15+AS15+AT15+AU15</f>
        <v>64000000</v>
      </c>
      <c r="AW15" s="184"/>
      <c r="AX15" s="184" t="str">
        <f t="shared" ref="AX15:AX21" si="23">IF(E15="CT","x",0)</f>
        <v>x</v>
      </c>
      <c r="AY15" s="187">
        <f t="shared" ref="AY15:BA21" si="24">ROUND(IF($AX15="x",($G15+$H15)*AY$11,0),0)</f>
        <v>761600</v>
      </c>
      <c r="AZ15" s="187">
        <f t="shared" si="24"/>
        <v>142800</v>
      </c>
      <c r="BA15" s="187">
        <f t="shared" si="24"/>
        <v>95200</v>
      </c>
      <c r="BB15" s="187">
        <f t="shared" ref="BB15:BB21" si="25">SUM(AY15:BA15)</f>
        <v>999600</v>
      </c>
      <c r="BC15" s="187"/>
      <c r="BD15" s="187"/>
      <c r="BE15" s="187">
        <f t="shared" ref="BE15:BE21" si="26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7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 t="shared" ref="BK15:BK21" si="28">BG15-BB15-BC15+BD15-BH15*BI15-BJ15</f>
        <v>18679900</v>
      </c>
      <c r="BL15" s="18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 t="shared" ref="BU15:BU21" si="30"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31">+BW15*5%</f>
        <v>3000000</v>
      </c>
      <c r="CB15" s="188">
        <f t="shared" ref="CB15:CB21" si="32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 t="shared" si="8"/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9"/>
        <v>7827692.307692308</v>
      </c>
      <c r="Z16" s="28">
        <f t="shared" si="10"/>
        <v>0</v>
      </c>
      <c r="AA16" s="28">
        <f t="shared" si="11"/>
        <v>0</v>
      </c>
      <c r="AB16" s="28">
        <f t="shared" si="12"/>
        <v>0</v>
      </c>
      <c r="AC16" s="28">
        <f t="shared" si="13"/>
        <v>0</v>
      </c>
      <c r="AD16" s="28">
        <f t="shared" si="14"/>
        <v>0</v>
      </c>
      <c r="AE16" s="28">
        <f t="shared" si="15"/>
        <v>0</v>
      </c>
      <c r="AF16" s="28">
        <f>ROUND((G16+H16)/26*S16*30%,0)</f>
        <v>0</v>
      </c>
      <c r="AG16" s="28">
        <f t="shared" si="16"/>
        <v>0</v>
      </c>
      <c r="AH16" s="28">
        <f t="shared" si="17"/>
        <v>0</v>
      </c>
      <c r="AI16" s="28">
        <f t="shared" si="18"/>
        <v>0</v>
      </c>
      <c r="AJ16" s="28"/>
      <c r="AK16" s="28">
        <f t="shared" si="19"/>
        <v>38461.538461538461</v>
      </c>
      <c r="AL16" s="28"/>
      <c r="AM16" s="28">
        <f t="shared" si="20"/>
        <v>0</v>
      </c>
      <c r="AN16" s="28">
        <f t="shared" ref="AN16:AN21" si="33">H16/26*K16</f>
        <v>0</v>
      </c>
      <c r="AO16" s="28">
        <f t="shared" si="21"/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22"/>
        <v>48758461.538461544</v>
      </c>
      <c r="AW16" s="28"/>
      <c r="AX16" s="28" t="str">
        <f t="shared" si="23"/>
        <v>x</v>
      </c>
      <c r="AY16" s="159">
        <f t="shared" si="24"/>
        <v>678400</v>
      </c>
      <c r="AZ16" s="159">
        <f t="shared" si="24"/>
        <v>127200</v>
      </c>
      <c r="BA16" s="159">
        <f t="shared" si="24"/>
        <v>84800</v>
      </c>
      <c r="BB16" s="159">
        <f t="shared" si="25"/>
        <v>890400</v>
      </c>
      <c r="BC16" s="159"/>
      <c r="BD16" s="159"/>
      <c r="BE16" s="159">
        <f t="shared" si="26"/>
        <v>84800</v>
      </c>
      <c r="BF16" s="159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7"/>
        <v>40832692.307692312</v>
      </c>
      <c r="BH16" s="159"/>
      <c r="BI16" s="187">
        <v>6200000</v>
      </c>
      <c r="BJ16" s="159">
        <f t="shared" ref="BJ16:BJ21" si="35">IF(E16="CT",15500000,0)</f>
        <v>15500000</v>
      </c>
      <c r="BK16" s="159">
        <f t="shared" si="28"/>
        <v>24442292.307692312</v>
      </c>
      <c r="BL16" s="152">
        <f t="shared" si="29"/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 t="shared" si="30"/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31"/>
        <v>2000000</v>
      </c>
      <c r="CB16" s="152">
        <f t="shared" si="32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 t="shared" si="8"/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9"/>
        <v>7218461.538461538</v>
      </c>
      <c r="Z17" s="28">
        <f t="shared" si="10"/>
        <v>0</v>
      </c>
      <c r="AA17" s="28">
        <f t="shared" si="11"/>
        <v>0</v>
      </c>
      <c r="AB17" s="28">
        <f t="shared" si="12"/>
        <v>0</v>
      </c>
      <c r="AC17" s="28">
        <f t="shared" si="13"/>
        <v>0</v>
      </c>
      <c r="AD17" s="28">
        <f t="shared" si="14"/>
        <v>0</v>
      </c>
      <c r="AE17" s="28">
        <f t="shared" si="15"/>
        <v>0</v>
      </c>
      <c r="AF17" s="28">
        <f>IF(F17="LN",(G17+H17)/26*S17*30%,0)</f>
        <v>0</v>
      </c>
      <c r="AG17" s="28">
        <f t="shared" si="16"/>
        <v>0</v>
      </c>
      <c r="AH17" s="28">
        <f t="shared" si="17"/>
        <v>3246153.846153846</v>
      </c>
      <c r="AI17" s="28">
        <f t="shared" si="18"/>
        <v>0</v>
      </c>
      <c r="AJ17" s="28"/>
      <c r="AK17" s="28">
        <f t="shared" si="19"/>
        <v>0</v>
      </c>
      <c r="AL17" s="28"/>
      <c r="AM17" s="28">
        <f t="shared" si="20"/>
        <v>0</v>
      </c>
      <c r="AN17" s="28">
        <f t="shared" si="33"/>
        <v>0</v>
      </c>
      <c r="AO17" s="28">
        <f t="shared" si="21"/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22"/>
        <v>42575384.615384616</v>
      </c>
      <c r="AW17" s="28"/>
      <c r="AX17" s="28" t="str">
        <f t="shared" si="23"/>
        <v>x</v>
      </c>
      <c r="AY17" s="159">
        <f t="shared" si="24"/>
        <v>625600</v>
      </c>
      <c r="AZ17" s="159">
        <f t="shared" si="24"/>
        <v>117300</v>
      </c>
      <c r="BA17" s="159">
        <f t="shared" si="24"/>
        <v>78200</v>
      </c>
      <c r="BB17" s="159">
        <f t="shared" si="25"/>
        <v>821100</v>
      </c>
      <c r="BC17" s="159"/>
      <c r="BD17" s="159"/>
      <c r="BE17" s="159">
        <f t="shared" si="26"/>
        <v>78200</v>
      </c>
      <c r="BF17" s="159">
        <f t="shared" si="34"/>
        <v>6862307.692307692</v>
      </c>
      <c r="BG17" s="159">
        <f t="shared" si="27"/>
        <v>35713076.923076928</v>
      </c>
      <c r="BH17" s="159"/>
      <c r="BI17" s="187">
        <v>6200000</v>
      </c>
      <c r="BJ17" s="159">
        <f t="shared" si="35"/>
        <v>15500000</v>
      </c>
      <c r="BK17" s="159">
        <f t="shared" si="28"/>
        <v>19391976.923076928</v>
      </c>
      <c r="BL17" s="152">
        <f t="shared" si="29"/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 t="shared" si="30"/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31"/>
        <v>2000000</v>
      </c>
      <c r="CB17" s="152">
        <f t="shared" si="32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 t="shared" si="8"/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9"/>
        <v>6990000</v>
      </c>
      <c r="Z18" s="28">
        <f t="shared" si="10"/>
        <v>0</v>
      </c>
      <c r="AA18" s="28">
        <f t="shared" si="11"/>
        <v>0</v>
      </c>
      <c r="AB18" s="28">
        <f t="shared" si="12"/>
        <v>0</v>
      </c>
      <c r="AC18" s="28">
        <f t="shared" si="13"/>
        <v>0</v>
      </c>
      <c r="AD18" s="28">
        <f t="shared" si="14"/>
        <v>0</v>
      </c>
      <c r="AE18" s="28">
        <f t="shared" si="15"/>
        <v>0</v>
      </c>
      <c r="AF18" s="28">
        <f>ROUND((G18+H18)/26*S18*30%,0)</f>
        <v>0</v>
      </c>
      <c r="AG18" s="28">
        <f t="shared" si="16"/>
        <v>0</v>
      </c>
      <c r="AH18" s="28">
        <f t="shared" si="17"/>
        <v>0</v>
      </c>
      <c r="AI18" s="28">
        <f t="shared" si="18"/>
        <v>0</v>
      </c>
      <c r="AJ18" s="28"/>
      <c r="AK18" s="28">
        <f t="shared" si="19"/>
        <v>23076.923076923078</v>
      </c>
      <c r="AL18" s="28"/>
      <c r="AM18" s="28">
        <f t="shared" si="20"/>
        <v>0</v>
      </c>
      <c r="AN18" s="28">
        <f t="shared" si="33"/>
        <v>0</v>
      </c>
      <c r="AO18" s="28">
        <f t="shared" si="21"/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22"/>
        <v>26893076.923076924</v>
      </c>
      <c r="AW18" s="28"/>
      <c r="AX18" s="28" t="str">
        <f t="shared" si="23"/>
        <v>x</v>
      </c>
      <c r="AY18" s="159">
        <f t="shared" si="24"/>
        <v>559200</v>
      </c>
      <c r="AZ18" s="159">
        <f t="shared" si="24"/>
        <v>104850</v>
      </c>
      <c r="BA18" s="159">
        <f t="shared" si="24"/>
        <v>69900</v>
      </c>
      <c r="BB18" s="159">
        <f t="shared" si="25"/>
        <v>733950</v>
      </c>
      <c r="BC18" s="159"/>
      <c r="BD18" s="159"/>
      <c r="BE18" s="159">
        <f t="shared" si="26"/>
        <v>69900</v>
      </c>
      <c r="BF18" s="159">
        <f t="shared" si="34"/>
        <v>4645961.538461538</v>
      </c>
      <c r="BG18" s="159">
        <f t="shared" si="27"/>
        <v>22247115.384615384</v>
      </c>
      <c r="BH18" s="159"/>
      <c r="BI18" s="187">
        <v>6200000</v>
      </c>
      <c r="BJ18" s="159">
        <f t="shared" si="35"/>
        <v>15500000</v>
      </c>
      <c r="BK18" s="159">
        <f t="shared" si="28"/>
        <v>6013165.384615384</v>
      </c>
      <c r="BL18" s="152">
        <f t="shared" si="29"/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 t="shared" si="30"/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31"/>
        <v>1150000</v>
      </c>
      <c r="CB18" s="152">
        <f t="shared" si="32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 t="shared" si="8"/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9"/>
        <v>4103846.153846154</v>
      </c>
      <c r="Z19" s="28">
        <f t="shared" si="10"/>
        <v>373076.92307692306</v>
      </c>
      <c r="AA19" s="28">
        <f t="shared" si="11"/>
        <v>373076.92307692306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5"/>
        <v>0</v>
      </c>
      <c r="AF19" s="28">
        <f>IF(F19="LN",(G19+H19)/26*S19*30%,0)</f>
        <v>111923.07692307692</v>
      </c>
      <c r="AG19" s="28">
        <f t="shared" si="16"/>
        <v>0</v>
      </c>
      <c r="AH19" s="28">
        <f t="shared" si="17"/>
        <v>0</v>
      </c>
      <c r="AI19" s="28">
        <f t="shared" si="18"/>
        <v>0</v>
      </c>
      <c r="AJ19" s="28"/>
      <c r="AK19" s="28">
        <f t="shared" si="19"/>
        <v>0</v>
      </c>
      <c r="AL19" s="28"/>
      <c r="AM19" s="28">
        <f t="shared" si="20"/>
        <v>0</v>
      </c>
      <c r="AN19" s="28">
        <f t="shared" si="33"/>
        <v>0</v>
      </c>
      <c r="AO19" s="28">
        <f t="shared" si="21"/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22"/>
        <v>12183076.923076924</v>
      </c>
      <c r="AW19" s="28"/>
      <c r="AX19" s="28" t="str">
        <f t="shared" si="23"/>
        <v>x</v>
      </c>
      <c r="AY19" s="159">
        <f t="shared" si="24"/>
        <v>388000</v>
      </c>
      <c r="AZ19" s="159">
        <f t="shared" si="24"/>
        <v>72750</v>
      </c>
      <c r="BA19" s="159">
        <f t="shared" si="24"/>
        <v>48500</v>
      </c>
      <c r="BB19" s="159">
        <f t="shared" si="25"/>
        <v>509250</v>
      </c>
      <c r="BC19" s="159"/>
      <c r="BD19" s="159"/>
      <c r="BE19" s="159">
        <f t="shared" si="26"/>
        <v>48500</v>
      </c>
      <c r="BF19" s="159">
        <f t="shared" si="34"/>
        <v>2303461.5384615385</v>
      </c>
      <c r="BG19" s="159">
        <f t="shared" si="27"/>
        <v>9879615.3846153859</v>
      </c>
      <c r="BH19" s="159"/>
      <c r="BI19" s="187">
        <v>6200000</v>
      </c>
      <c r="BJ19" s="159">
        <f t="shared" si="35"/>
        <v>15500000</v>
      </c>
      <c r="BK19" s="159">
        <f t="shared" si="28"/>
        <v>-6129634.6153846141</v>
      </c>
      <c r="BL19" s="152">
        <f t="shared" si="29"/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 t="shared" si="30"/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31"/>
        <v>550000</v>
      </c>
      <c r="CB19" s="152">
        <f t="shared" si="32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 t="shared" si="8"/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9"/>
        <v>6340000</v>
      </c>
      <c r="Z20" s="28">
        <f t="shared" si="10"/>
        <v>0</v>
      </c>
      <c r="AA20" s="28">
        <f t="shared" si="11"/>
        <v>0</v>
      </c>
      <c r="AB20" s="28">
        <f t="shared" si="12"/>
        <v>0</v>
      </c>
      <c r="AC20" s="28">
        <f t="shared" si="13"/>
        <v>0</v>
      </c>
      <c r="AD20" s="28">
        <f t="shared" si="14"/>
        <v>0</v>
      </c>
      <c r="AE20" s="28">
        <f t="shared" si="15"/>
        <v>0</v>
      </c>
      <c r="AF20" s="28">
        <f>ROUND((G20+H20)/26*S20*30%,0)</f>
        <v>0</v>
      </c>
      <c r="AG20" s="28">
        <f t="shared" si="16"/>
        <v>0</v>
      </c>
      <c r="AH20" s="28">
        <f t="shared" si="17"/>
        <v>0</v>
      </c>
      <c r="AI20" s="28">
        <f t="shared" si="18"/>
        <v>0</v>
      </c>
      <c r="AJ20" s="28"/>
      <c r="AK20" s="28">
        <f t="shared" si="19"/>
        <v>0</v>
      </c>
      <c r="AL20" s="28"/>
      <c r="AM20" s="28">
        <f t="shared" si="20"/>
        <v>0</v>
      </c>
      <c r="AN20" s="28">
        <f t="shared" si="33"/>
        <v>0</v>
      </c>
      <c r="AO20" s="28">
        <f t="shared" si="21"/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22"/>
        <v>24870000</v>
      </c>
      <c r="AW20" s="28"/>
      <c r="AX20" s="28">
        <f t="shared" si="23"/>
        <v>0</v>
      </c>
      <c r="AY20" s="159">
        <f t="shared" si="24"/>
        <v>0</v>
      </c>
      <c r="AZ20" s="159">
        <f t="shared" si="24"/>
        <v>0</v>
      </c>
      <c r="BA20" s="159">
        <f t="shared" si="24"/>
        <v>0</v>
      </c>
      <c r="BB20" s="159">
        <f t="shared" si="25"/>
        <v>0</v>
      </c>
      <c r="BC20" s="159"/>
      <c r="BD20" s="159"/>
      <c r="BE20" s="159">
        <f t="shared" si="26"/>
        <v>63400</v>
      </c>
      <c r="BF20" s="159">
        <f t="shared" si="34"/>
        <v>3622500</v>
      </c>
      <c r="BG20" s="159">
        <f t="shared" si="27"/>
        <v>21247500</v>
      </c>
      <c r="BH20" s="159"/>
      <c r="BI20" s="187">
        <v>6200000</v>
      </c>
      <c r="BJ20" s="159">
        <f t="shared" si="35"/>
        <v>0</v>
      </c>
      <c r="BK20" s="159">
        <f t="shared" si="28"/>
        <v>21247500</v>
      </c>
      <c r="BL20" s="152">
        <f t="shared" si="29"/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 t="shared" si="30"/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31"/>
        <v>1150000</v>
      </c>
      <c r="CB20" s="152">
        <f t="shared" si="32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 t="shared" si="8"/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9"/>
        <v>6340000</v>
      </c>
      <c r="Z21" s="28">
        <f t="shared" si="10"/>
        <v>0</v>
      </c>
      <c r="AA21" s="28">
        <f t="shared" si="11"/>
        <v>0</v>
      </c>
      <c r="AB21" s="28">
        <f t="shared" si="12"/>
        <v>0</v>
      </c>
      <c r="AC21" s="28">
        <f t="shared" si="13"/>
        <v>1828846.1538461538</v>
      </c>
      <c r="AD21" s="28">
        <f t="shared" si="14"/>
        <v>975384.61538461538</v>
      </c>
      <c r="AE21" s="28">
        <f t="shared" si="15"/>
        <v>0</v>
      </c>
      <c r="AF21" s="28">
        <f>IF(F21="LN",(G21+H21)/26*S21*30%,0)</f>
        <v>0</v>
      </c>
      <c r="AG21" s="28">
        <f t="shared" si="16"/>
        <v>0</v>
      </c>
      <c r="AH21" s="28">
        <f t="shared" si="17"/>
        <v>0</v>
      </c>
      <c r="AI21" s="28">
        <f t="shared" si="18"/>
        <v>0</v>
      </c>
      <c r="AJ21" s="28"/>
      <c r="AK21" s="28">
        <f t="shared" si="19"/>
        <v>0</v>
      </c>
      <c r="AL21" s="28"/>
      <c r="AM21" s="28">
        <f t="shared" si="20"/>
        <v>0</v>
      </c>
      <c r="AN21" s="28">
        <f t="shared" si="33"/>
        <v>300000</v>
      </c>
      <c r="AO21" s="28">
        <f t="shared" si="21"/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22"/>
        <v>22986923.076923076</v>
      </c>
      <c r="AW21" s="28"/>
      <c r="AX21" s="28" t="str">
        <f t="shared" si="23"/>
        <v>x</v>
      </c>
      <c r="AY21" s="159">
        <f t="shared" si="24"/>
        <v>531200</v>
      </c>
      <c r="AZ21" s="159">
        <f t="shared" si="24"/>
        <v>99600</v>
      </c>
      <c r="BA21" s="159">
        <f t="shared" si="24"/>
        <v>66400</v>
      </c>
      <c r="BB21" s="159">
        <f t="shared" si="25"/>
        <v>697200</v>
      </c>
      <c r="BC21" s="159"/>
      <c r="BD21" s="159"/>
      <c r="BE21" s="159">
        <f t="shared" si="26"/>
        <v>63400</v>
      </c>
      <c r="BF21" s="159">
        <f t="shared" si="34"/>
        <v>3924038.4615384615</v>
      </c>
      <c r="BG21" s="159">
        <f t="shared" si="27"/>
        <v>19062884.615384616</v>
      </c>
      <c r="BH21" s="159"/>
      <c r="BI21" s="187">
        <v>6200000</v>
      </c>
      <c r="BJ21" s="159">
        <f t="shared" si="35"/>
        <v>15500000</v>
      </c>
      <c r="BK21" s="159">
        <f t="shared" si="28"/>
        <v>2865684.615384616</v>
      </c>
      <c r="BL21" s="152">
        <f t="shared" si="29"/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 t="shared" si="30"/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31"/>
        <v>850000</v>
      </c>
      <c r="CB21" s="152">
        <f t="shared" si="32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E8:E11"/>
    <mergeCell ref="G8:G11"/>
    <mergeCell ref="H8:H11"/>
    <mergeCell ref="J8:J11"/>
    <mergeCell ref="I8:I11"/>
    <mergeCell ref="F8:F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</mergeCells>
  <conditionalFormatting sqref="B1:B5 B7:B12 B15:B25 C12:BU12 B37:B1048576 B27:B35">
    <cfRule type="duplicateValues" dxfId="28" priority="80"/>
    <cfRule type="duplicateValues" dxfId="27" priority="81"/>
  </conditionalFormatting>
  <conditionalFormatting sqref="B1:B5 B7:B12 B15:B25 C12:CD12 D13:F13 J13:BK13 BM13:CD13 B37:B1048576 B27:B35">
    <cfRule type="duplicateValues" dxfId="26" priority="94"/>
  </conditionalFormatting>
  <conditionalFormatting sqref="BL13">
    <cfRule type="duplicateValues" dxfId="25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25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  <c r="AE3" s="416"/>
      <c r="AF3" s="416"/>
      <c r="AG3" s="416"/>
      <c r="AH3" s="416"/>
      <c r="AI3" s="416"/>
      <c r="AJ3" s="416"/>
      <c r="AK3" s="416"/>
      <c r="AL3" s="416"/>
      <c r="AM3" s="416"/>
      <c r="AN3" s="416"/>
      <c r="AO3" s="416"/>
      <c r="AP3" s="416"/>
      <c r="AQ3" s="416"/>
      <c r="AR3" s="416"/>
      <c r="AS3" s="416"/>
      <c r="AT3" s="416"/>
      <c r="AU3" s="416"/>
      <c r="AV3" s="416"/>
      <c r="AW3" s="416"/>
      <c r="AX3" s="416"/>
      <c r="AY3" s="416"/>
      <c r="AZ3" s="416"/>
      <c r="BA3" s="416"/>
      <c r="BB3" s="416"/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416"/>
      <c r="BN3" s="416"/>
      <c r="BO3" s="416"/>
      <c r="BP3" s="416"/>
      <c r="BQ3" s="416"/>
      <c r="BR3" s="416"/>
      <c r="BS3" s="416"/>
      <c r="BT3" s="416"/>
      <c r="BU3" s="416"/>
      <c r="BW3" s="415" t="s">
        <v>2</v>
      </c>
      <c r="BX3" s="416"/>
      <c r="BY3" s="416"/>
      <c r="BZ3" s="416"/>
      <c r="CA3" s="416"/>
      <c r="CB3" s="416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6"/>
      <c r="BX4" s="416"/>
      <c r="BY4" s="416"/>
      <c r="BZ4" s="416"/>
      <c r="CA4" s="416"/>
      <c r="CB4" s="416"/>
      <c r="CC4" s="42"/>
      <c r="CD4" s="42"/>
    </row>
    <row r="5" spans="1:87" s="45" customFormat="1">
      <c r="A5" s="428" t="s">
        <v>4</v>
      </c>
      <c r="B5" s="427" t="s">
        <v>5</v>
      </c>
      <c r="C5" s="401" t="s">
        <v>6</v>
      </c>
      <c r="D5" s="426" t="s">
        <v>7</v>
      </c>
      <c r="E5" s="426" t="s">
        <v>8</v>
      </c>
      <c r="F5" s="401" t="s">
        <v>9</v>
      </c>
      <c r="G5" s="401" t="s">
        <v>10</v>
      </c>
      <c r="H5" s="352" t="s">
        <v>11</v>
      </c>
      <c r="I5" s="352" t="s">
        <v>12</v>
      </c>
      <c r="J5" s="401" t="s">
        <v>13</v>
      </c>
      <c r="K5" s="430" t="s">
        <v>14</v>
      </c>
      <c r="L5" s="412"/>
      <c r="M5" s="412"/>
      <c r="N5" s="412"/>
      <c r="O5" s="412"/>
      <c r="P5" s="412"/>
      <c r="Q5" s="412"/>
      <c r="R5" s="412"/>
      <c r="S5" s="412"/>
      <c r="T5" s="412"/>
      <c r="U5" s="412"/>
      <c r="V5" s="412"/>
      <c r="W5" s="412"/>
      <c r="X5" s="412"/>
      <c r="Y5" s="401" t="s">
        <v>15</v>
      </c>
      <c r="Z5" s="412"/>
      <c r="AA5" s="412"/>
      <c r="AB5" s="412"/>
      <c r="AC5" s="412"/>
      <c r="AD5" s="412"/>
      <c r="AE5" s="412"/>
      <c r="AF5" s="412"/>
      <c r="AG5" s="412"/>
      <c r="AH5" s="412"/>
      <c r="AI5" s="412"/>
      <c r="AJ5" s="412"/>
      <c r="AK5" s="412"/>
      <c r="AL5" s="412"/>
      <c r="AM5" s="412"/>
      <c r="AN5" s="412"/>
      <c r="AO5" s="413"/>
      <c r="AP5" s="401" t="s">
        <v>16</v>
      </c>
      <c r="AQ5" s="401" t="s">
        <v>17</v>
      </c>
      <c r="AR5" s="401" t="s">
        <v>18</v>
      </c>
      <c r="AS5" s="401" t="s">
        <v>19</v>
      </c>
      <c r="AT5" s="401" t="s">
        <v>20</v>
      </c>
      <c r="AU5" s="401" t="s">
        <v>21</v>
      </c>
      <c r="AV5" s="401" t="s">
        <v>22</v>
      </c>
      <c r="AW5" s="401" t="s">
        <v>23</v>
      </c>
      <c r="AX5" s="401" t="s">
        <v>24</v>
      </c>
      <c r="AY5" s="411" t="s">
        <v>25</v>
      </c>
      <c r="AZ5" s="412"/>
      <c r="BA5" s="412"/>
      <c r="BB5" s="412"/>
      <c r="BC5" s="412"/>
      <c r="BD5" s="412"/>
      <c r="BE5" s="412"/>
      <c r="BF5" s="412"/>
      <c r="BG5" s="412"/>
      <c r="BH5" s="412"/>
      <c r="BI5" s="412"/>
      <c r="BJ5" s="412"/>
      <c r="BK5" s="412"/>
      <c r="BL5" s="412"/>
      <c r="BM5" s="412"/>
      <c r="BN5" s="412"/>
      <c r="BO5" s="412"/>
      <c r="BP5" s="412"/>
      <c r="BQ5" s="413"/>
      <c r="BR5" s="417" t="s">
        <v>26</v>
      </c>
      <c r="BS5" s="418"/>
      <c r="BT5" s="411" t="s">
        <v>27</v>
      </c>
      <c r="BU5" s="405" t="s">
        <v>28</v>
      </c>
      <c r="BW5" s="408" t="s">
        <v>29</v>
      </c>
      <c r="BX5" s="419" t="s">
        <v>30</v>
      </c>
      <c r="BY5" s="420"/>
      <c r="BZ5" s="420"/>
      <c r="CA5" s="418"/>
      <c r="CB5" s="414" t="s">
        <v>31</v>
      </c>
      <c r="CC5" s="396" t="s">
        <v>32</v>
      </c>
      <c r="CD5" s="396" t="s">
        <v>33</v>
      </c>
      <c r="CH5" s="46"/>
      <c r="CI5" s="47"/>
    </row>
    <row r="6" spans="1:87" s="45" customFormat="1">
      <c r="A6" s="397"/>
      <c r="B6" s="397"/>
      <c r="C6" s="397"/>
      <c r="D6" s="397"/>
      <c r="E6" s="397"/>
      <c r="F6" s="397"/>
      <c r="G6" s="397"/>
      <c r="H6" s="397"/>
      <c r="I6" s="397"/>
      <c r="J6" s="397"/>
      <c r="K6" s="402" t="s">
        <v>34</v>
      </c>
      <c r="L6" s="402" t="s">
        <v>35</v>
      </c>
      <c r="M6" s="402" t="s">
        <v>36</v>
      </c>
      <c r="N6" s="402" t="s">
        <v>37</v>
      </c>
      <c r="O6" s="402" t="s">
        <v>38</v>
      </c>
      <c r="P6" s="402" t="s">
        <v>39</v>
      </c>
      <c r="Q6" s="402" t="s">
        <v>40</v>
      </c>
      <c r="R6" s="402" t="s">
        <v>41</v>
      </c>
      <c r="S6" s="402" t="s">
        <v>42</v>
      </c>
      <c r="T6" s="402" t="s">
        <v>43</v>
      </c>
      <c r="U6" s="402" t="s">
        <v>44</v>
      </c>
      <c r="V6" s="432" t="s">
        <v>45</v>
      </c>
      <c r="W6" s="418"/>
      <c r="X6" s="402" t="s">
        <v>46</v>
      </c>
      <c r="Y6" s="401" t="s">
        <v>47</v>
      </c>
      <c r="Z6" s="401" t="s">
        <v>48</v>
      </c>
      <c r="AA6" s="401" t="s">
        <v>49</v>
      </c>
      <c r="AB6" s="401" t="s">
        <v>50</v>
      </c>
      <c r="AC6" s="352" t="s">
        <v>51</v>
      </c>
      <c r="AD6" s="352" t="s">
        <v>52</v>
      </c>
      <c r="AE6" s="352" t="s">
        <v>53</v>
      </c>
      <c r="AF6" s="352" t="s">
        <v>54</v>
      </c>
      <c r="AG6" s="401" t="s">
        <v>55</v>
      </c>
      <c r="AH6" s="352" t="s">
        <v>56</v>
      </c>
      <c r="AI6" s="352" t="s">
        <v>57</v>
      </c>
      <c r="AJ6" s="401" t="s">
        <v>58</v>
      </c>
      <c r="AK6" s="429" t="s">
        <v>59</v>
      </c>
      <c r="AL6" s="401" t="s">
        <v>60</v>
      </c>
      <c r="AM6" s="401" t="s">
        <v>61</v>
      </c>
      <c r="AN6" s="431" t="s">
        <v>62</v>
      </c>
      <c r="AO6" s="401" t="s">
        <v>63</v>
      </c>
      <c r="AP6" s="397"/>
      <c r="AQ6" s="397"/>
      <c r="AR6" s="397"/>
      <c r="AS6" s="397"/>
      <c r="AT6" s="397"/>
      <c r="AU6" s="397"/>
      <c r="AV6" s="397"/>
      <c r="AW6" s="397"/>
      <c r="AX6" s="397"/>
      <c r="AY6" s="411" t="s">
        <v>25</v>
      </c>
      <c r="AZ6" s="412"/>
      <c r="BA6" s="412"/>
      <c r="BB6" s="412"/>
      <c r="BC6" s="412"/>
      <c r="BD6" s="412"/>
      <c r="BE6" s="412"/>
      <c r="BF6" s="412"/>
      <c r="BG6" s="412"/>
      <c r="BH6" s="412"/>
      <c r="BI6" s="412"/>
      <c r="BJ6" s="412"/>
      <c r="BK6" s="412"/>
      <c r="BL6" s="413"/>
      <c r="BM6" s="411" t="s">
        <v>64</v>
      </c>
      <c r="BN6" s="412"/>
      <c r="BO6" s="412"/>
      <c r="BP6" s="412"/>
      <c r="BQ6" s="413"/>
      <c r="BR6" s="399" t="s">
        <v>65</v>
      </c>
      <c r="BS6" s="399" t="s">
        <v>66</v>
      </c>
      <c r="BT6" s="397"/>
      <c r="BU6" s="406"/>
      <c r="BW6" s="409"/>
      <c r="BX6" s="406"/>
      <c r="BY6" s="421"/>
      <c r="BZ6" s="421"/>
      <c r="CA6" s="409"/>
      <c r="CB6" s="397"/>
      <c r="CC6" s="397"/>
      <c r="CD6" s="397"/>
      <c r="CH6" s="46"/>
      <c r="CI6" s="47"/>
    </row>
    <row r="7" spans="1:87" s="48" customFormat="1" ht="12">
      <c r="A7" s="397"/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  <c r="Q7" s="397"/>
      <c r="R7" s="397"/>
      <c r="S7" s="397"/>
      <c r="T7" s="397"/>
      <c r="U7" s="397"/>
      <c r="V7" s="407"/>
      <c r="W7" s="433"/>
      <c r="X7" s="397"/>
      <c r="Y7" s="397"/>
      <c r="Z7" s="397"/>
      <c r="AA7" s="397"/>
      <c r="AB7" s="397"/>
      <c r="AC7" s="397"/>
      <c r="AD7" s="397"/>
      <c r="AE7" s="397"/>
      <c r="AF7" s="397"/>
      <c r="AG7" s="397"/>
      <c r="AH7" s="397"/>
      <c r="AI7" s="397"/>
      <c r="AJ7" s="397"/>
      <c r="AK7" s="406"/>
      <c r="AL7" s="397"/>
      <c r="AM7" s="397"/>
      <c r="AN7" s="397"/>
      <c r="AO7" s="397"/>
      <c r="AP7" s="397"/>
      <c r="AQ7" s="397"/>
      <c r="AR7" s="397"/>
      <c r="AS7" s="397"/>
      <c r="AT7" s="397"/>
      <c r="AU7" s="397"/>
      <c r="AV7" s="397"/>
      <c r="AW7" s="397"/>
      <c r="AX7" s="397"/>
      <c r="AY7" s="29" t="s">
        <v>67</v>
      </c>
      <c r="AZ7" s="29" t="s">
        <v>68</v>
      </c>
      <c r="BA7" s="29" t="s">
        <v>69</v>
      </c>
      <c r="BB7" s="411" t="s">
        <v>70</v>
      </c>
      <c r="BC7" s="403" t="s">
        <v>71</v>
      </c>
      <c r="BD7" s="403" t="s">
        <v>72</v>
      </c>
      <c r="BE7" s="424" t="s">
        <v>73</v>
      </c>
      <c r="BF7" s="403" t="s">
        <v>74</v>
      </c>
      <c r="BG7" s="403" t="s">
        <v>75</v>
      </c>
      <c r="BH7" s="403" t="s">
        <v>76</v>
      </c>
      <c r="BI7" s="403" t="s">
        <v>77</v>
      </c>
      <c r="BJ7" s="403" t="s">
        <v>78</v>
      </c>
      <c r="BK7" s="403" t="s">
        <v>79</v>
      </c>
      <c r="BL7" s="404" t="s">
        <v>80</v>
      </c>
      <c r="BM7" s="403" t="s">
        <v>81</v>
      </c>
      <c r="BN7" s="411" t="s">
        <v>82</v>
      </c>
      <c r="BO7" s="403" t="s">
        <v>83</v>
      </c>
      <c r="BP7" s="411" t="s">
        <v>84</v>
      </c>
      <c r="BQ7" s="411" t="s">
        <v>85</v>
      </c>
      <c r="BR7" s="397"/>
      <c r="BS7" s="397"/>
      <c r="BT7" s="397"/>
      <c r="BU7" s="406"/>
      <c r="BW7" s="409"/>
      <c r="BX7" s="422"/>
      <c r="BY7" s="423"/>
      <c r="BZ7" s="423"/>
      <c r="CA7" s="410"/>
      <c r="CB7" s="397"/>
      <c r="CC7" s="397"/>
      <c r="CD7" s="397"/>
      <c r="CH7" s="46"/>
      <c r="CI7" s="47"/>
    </row>
    <row r="8" spans="1:87" s="48" customFormat="1" ht="12">
      <c r="A8" s="400"/>
      <c r="B8" s="400"/>
      <c r="C8" s="400"/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9" t="s">
        <v>86</v>
      </c>
      <c r="W8" s="49" t="s">
        <v>87</v>
      </c>
      <c r="X8" s="400"/>
      <c r="Y8" s="400"/>
      <c r="Z8" s="400"/>
      <c r="AA8" s="400"/>
      <c r="AB8" s="400"/>
      <c r="AC8" s="400"/>
      <c r="AD8" s="400"/>
      <c r="AE8" s="400"/>
      <c r="AF8" s="400"/>
      <c r="AG8" s="400"/>
      <c r="AH8" s="400"/>
      <c r="AI8" s="400"/>
      <c r="AJ8" s="400"/>
      <c r="AK8" s="407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30" t="s">
        <v>88</v>
      </c>
      <c r="AZ8" s="30" t="s">
        <v>89</v>
      </c>
      <c r="BA8" s="30" t="s">
        <v>90</v>
      </c>
      <c r="BB8" s="400"/>
      <c r="BC8" s="400"/>
      <c r="BD8" s="400"/>
      <c r="BE8" s="400"/>
      <c r="BF8" s="400"/>
      <c r="BG8" s="400"/>
      <c r="BH8" s="400"/>
      <c r="BI8" s="400"/>
      <c r="BJ8" s="400"/>
      <c r="BK8" s="400"/>
      <c r="BL8" s="400"/>
      <c r="BM8" s="400"/>
      <c r="BN8" s="400"/>
      <c r="BO8" s="400"/>
      <c r="BP8" s="400"/>
      <c r="BQ8" s="400"/>
      <c r="BR8" s="400"/>
      <c r="BS8" s="400"/>
      <c r="BT8" s="400"/>
      <c r="BU8" s="407"/>
      <c r="BW8" s="410"/>
      <c r="BX8" s="23" t="s">
        <v>91</v>
      </c>
      <c r="BY8" s="23" t="s">
        <v>92</v>
      </c>
      <c r="BZ8" s="23" t="s">
        <v>93</v>
      </c>
      <c r="CA8" s="24" t="s">
        <v>94</v>
      </c>
      <c r="CB8" s="398"/>
      <c r="CC8" s="398"/>
      <c r="CD8" s="398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1'!BT:BT,'Mô tả Bảng lương CB-NV'!B:B,'Bảng lương tạm ứng kỳ 1'!B15)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1'!BT:BT,'Mô tả Bảng lương CB-NV'!B:B,'Bảng lương tạm ứng kỳ 1'!B20)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1'!BT:BT,'Mô tả Bảng lương CB-NV'!B:B,'Bảng lương tạm ứng kỳ 1'!B21)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AS5:AS8"/>
    <mergeCell ref="AU5:AU8"/>
    <mergeCell ref="AB6:AB8"/>
    <mergeCell ref="AH6:AH8"/>
    <mergeCell ref="AJ6:AJ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24" priority="54"/>
  </conditionalFormatting>
  <conditionalFormatting sqref="B1:B9 B12:B16 B20:B1048576 C9:BU9">
    <cfRule type="duplicateValues" dxfId="23" priority="49"/>
    <cfRule type="duplicateValues" dxfId="22" priority="6"/>
  </conditionalFormatting>
  <conditionalFormatting sqref="B19:C19">
    <cfRule type="duplicateValues" dxfId="21" priority="1"/>
    <cfRule type="duplicateValues" dxfId="20" priority="3"/>
    <cfRule type="duplicateValues" dxfId="19" priority="2"/>
  </conditionalFormatting>
  <conditionalFormatting sqref="BL10">
    <cfRule type="duplicateValues" dxfId="18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G26"/>
  <sheetViews>
    <sheetView tabSelected="1" zoomScale="120" zoomScaleNormal="120" zoomScaleSheetLayoutView="70" workbookViewId="0">
      <pane xSplit="6" ySplit="14" topLeftCell="BX15" activePane="bottomRight" state="frozen"/>
      <selection pane="topRight" activeCell="E18" sqref="E18"/>
      <selection pane="bottomLeft" activeCell="E18" sqref="E18"/>
      <selection pane="bottomRight" activeCell="A12" sqref="A12:XFD12"/>
    </sheetView>
  </sheetViews>
  <sheetFormatPr baseColWidth="10" defaultColWidth="9.1640625" defaultRowHeight="15" outlineLevelRow="1" outlineLevelCol="1"/>
  <cols>
    <col min="1" max="1" width="5.5" style="306" customWidth="1"/>
    <col min="2" max="2" width="8.5" style="307" customWidth="1"/>
    <col min="3" max="3" width="18.1640625" style="308" customWidth="1"/>
    <col min="4" max="4" width="19.6640625" style="255" customWidth="1" outlineLevel="1"/>
    <col min="5" max="5" width="19.83203125" style="255" customWidth="1" outlineLevel="1"/>
    <col min="6" max="6" width="5.5" style="256" bestFit="1" customWidth="1" outlineLevel="1"/>
    <col min="7" max="7" width="13.6640625" style="258" bestFit="1" customWidth="1"/>
    <col min="8" max="8" width="12.5" style="258" customWidth="1"/>
    <col min="9" max="9" width="12.5" style="311" customWidth="1"/>
    <col min="10" max="10" width="7.5" style="311" customWidth="1" outlineLevel="1"/>
    <col min="11" max="24" width="7.1640625" style="257" customWidth="1"/>
    <col min="25" max="47" width="12.33203125" style="258" customWidth="1"/>
    <col min="48" max="49" width="13" style="258" customWidth="1"/>
    <col min="50" max="50" width="6.6640625" style="258" customWidth="1"/>
    <col min="51" max="53" width="10.5" style="258" customWidth="1" outlineLevel="1"/>
    <col min="54" max="71" width="10.5" style="258" customWidth="1"/>
    <col min="72" max="72" width="12.5" style="258" customWidth="1"/>
    <col min="73" max="77" width="12.6640625" style="258" customWidth="1" outlineLevel="1"/>
    <col min="78" max="78" width="12.6640625" style="312" customWidth="1" outlineLevel="1"/>
    <col min="79" max="80" width="10.6640625" style="312" customWidth="1" outlineLevel="1"/>
    <col min="81" max="81" width="19.5" style="313" customWidth="1"/>
    <col min="82" max="82" width="12.33203125" style="313" customWidth="1"/>
    <col min="83" max="83" width="12.5" style="313" customWidth="1"/>
    <col min="84" max="84" width="11.6640625" style="313" customWidth="1"/>
    <col min="85" max="85" width="9.1640625" style="313" customWidth="1"/>
    <col min="86" max="16384" width="9.1640625" style="313"/>
  </cols>
  <sheetData>
    <row r="1" spans="1:85" s="239" customFormat="1" ht="23.25" customHeight="1" outlineLevel="1">
      <c r="A1" s="259" t="s">
        <v>0</v>
      </c>
      <c r="B1" s="260"/>
      <c r="C1" s="261"/>
      <c r="D1" s="262"/>
      <c r="E1" s="262"/>
      <c r="F1" s="262"/>
      <c r="I1" s="280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5"/>
      <c r="BO1" s="265"/>
      <c r="BP1" s="264"/>
      <c r="BQ1" s="264"/>
      <c r="BR1" s="264"/>
      <c r="BS1" s="264"/>
      <c r="BU1" s="131"/>
      <c r="BV1" s="131"/>
      <c r="BW1" s="131"/>
      <c r="BX1" s="131"/>
      <c r="BY1" s="131"/>
      <c r="BZ1" s="266"/>
      <c r="CA1" s="266"/>
      <c r="CB1" s="266"/>
    </row>
    <row r="2" spans="1:85" s="239" customFormat="1" ht="19.25" customHeight="1" outlineLevel="1">
      <c r="A2" s="267" t="s">
        <v>1</v>
      </c>
      <c r="B2" s="260"/>
      <c r="C2" s="268"/>
      <c r="D2" s="262"/>
      <c r="E2" s="262"/>
      <c r="F2" s="262"/>
      <c r="I2" s="280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9"/>
      <c r="BV2" s="269"/>
      <c r="BW2" s="269"/>
      <c r="BX2" s="269"/>
      <c r="BY2" s="269"/>
      <c r="BZ2" s="268"/>
      <c r="CA2" s="268"/>
      <c r="CB2" s="268"/>
    </row>
    <row r="3" spans="1:85" s="240" customFormat="1" ht="24" customHeight="1" outlineLevel="1">
      <c r="A3" s="474"/>
      <c r="B3" s="475"/>
      <c r="C3" s="475"/>
      <c r="D3" s="475"/>
      <c r="E3" s="475"/>
      <c r="F3" s="475"/>
      <c r="G3" s="475"/>
      <c r="H3" s="475"/>
      <c r="I3" s="475"/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  <c r="AM3" s="475"/>
      <c r="AN3" s="475"/>
      <c r="AO3" s="475"/>
      <c r="AP3" s="475"/>
      <c r="AQ3" s="475"/>
      <c r="AR3" s="475"/>
      <c r="AS3" s="475"/>
      <c r="AT3" s="475"/>
      <c r="AU3" s="475"/>
      <c r="AV3" s="475"/>
      <c r="AW3" s="475"/>
      <c r="AX3" s="475"/>
      <c r="AY3" s="475"/>
      <c r="AZ3" s="475"/>
      <c r="BA3" s="475"/>
      <c r="BB3" s="475"/>
      <c r="BC3" s="475"/>
      <c r="BD3" s="475"/>
      <c r="BE3" s="475"/>
      <c r="BF3" s="475"/>
      <c r="BG3" s="475"/>
      <c r="BH3" s="475"/>
      <c r="BI3" s="475"/>
      <c r="BJ3" s="475"/>
      <c r="BK3" s="475"/>
      <c r="BL3" s="475"/>
      <c r="BM3" s="475"/>
      <c r="BN3" s="475"/>
      <c r="BO3" s="475"/>
      <c r="BP3" s="475"/>
      <c r="BQ3" s="475"/>
      <c r="BR3" s="475"/>
      <c r="BS3" s="475"/>
      <c r="BT3" s="475"/>
      <c r="BU3" s="489" t="s">
        <v>2</v>
      </c>
      <c r="BV3" s="475"/>
      <c r="BW3" s="475"/>
      <c r="BX3" s="475"/>
      <c r="BY3" s="475"/>
      <c r="BZ3" s="475"/>
      <c r="CA3" s="270"/>
      <c r="CB3" s="270"/>
    </row>
    <row r="4" spans="1:85" s="240" customFormat="1" ht="21.5" customHeight="1" outlineLevel="1">
      <c r="A4" s="271"/>
      <c r="B4" s="271"/>
      <c r="C4" s="271"/>
      <c r="D4" s="271"/>
      <c r="E4" s="271"/>
      <c r="F4" s="271"/>
      <c r="G4" s="271"/>
      <c r="H4" s="271"/>
      <c r="I4" s="280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475"/>
      <c r="BV4" s="475"/>
      <c r="BW4" s="475"/>
      <c r="BX4" s="475"/>
      <c r="BY4" s="475"/>
      <c r="BZ4" s="475"/>
      <c r="CA4" s="270"/>
      <c r="CB4" s="270"/>
    </row>
    <row r="5" spans="1:85" s="240" customFormat="1" ht="20.25" customHeight="1" outlineLevel="1">
      <c r="A5" s="271"/>
      <c r="B5" s="271"/>
      <c r="C5" s="271"/>
      <c r="D5" s="271"/>
      <c r="E5" s="271"/>
      <c r="F5" s="271"/>
      <c r="G5" s="271"/>
      <c r="H5" s="271"/>
      <c r="I5" s="280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475"/>
      <c r="BV5" s="475"/>
      <c r="BW5" s="475"/>
      <c r="BX5" s="475"/>
      <c r="BY5" s="475"/>
      <c r="BZ5" s="475"/>
      <c r="CA5" s="270"/>
      <c r="CB5" s="270"/>
    </row>
    <row r="6" spans="1:85" s="240" customFormat="1" ht="18.75" customHeight="1" outlineLevel="1">
      <c r="A6" s="273"/>
      <c r="B6" s="273"/>
      <c r="C6" s="273"/>
      <c r="D6" s="273"/>
      <c r="E6" s="273"/>
      <c r="F6" s="273"/>
      <c r="G6" s="273"/>
      <c r="H6" s="273"/>
      <c r="I6" s="280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5"/>
      <c r="Z6" s="275"/>
      <c r="AA6" s="275"/>
      <c r="AB6" s="275"/>
      <c r="AC6" s="271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475"/>
      <c r="BV6" s="475"/>
      <c r="BW6" s="475"/>
      <c r="BX6" s="475"/>
      <c r="BY6" s="475"/>
      <c r="BZ6" s="475"/>
      <c r="CA6" s="270"/>
      <c r="CB6" s="270"/>
    </row>
    <row r="7" spans="1:85" s="514" customFormat="1" ht="31" outlineLevel="1">
      <c r="B7" s="273" t="s">
        <v>236</v>
      </c>
      <c r="C7" s="273" t="s">
        <v>236</v>
      </c>
      <c r="D7" s="515"/>
      <c r="E7" s="515" t="s">
        <v>156</v>
      </c>
      <c r="F7" s="516"/>
      <c r="G7" s="515" t="s">
        <v>156</v>
      </c>
      <c r="H7" s="515"/>
      <c r="I7" s="517" t="s">
        <v>158</v>
      </c>
      <c r="J7" s="514" t="s">
        <v>157</v>
      </c>
      <c r="K7" s="519"/>
      <c r="L7" s="519"/>
      <c r="M7" s="519"/>
      <c r="N7" s="519"/>
      <c r="O7" s="519"/>
      <c r="P7" s="519"/>
      <c r="Q7" s="519"/>
      <c r="R7" s="519"/>
      <c r="S7" s="519"/>
      <c r="T7" s="519"/>
      <c r="U7" s="520"/>
      <c r="V7" s="519"/>
      <c r="W7" s="519"/>
      <c r="X7" s="519"/>
      <c r="Y7" s="518" t="s">
        <v>158</v>
      </c>
      <c r="Z7" s="518" t="s">
        <v>158</v>
      </c>
      <c r="AA7" s="518" t="s">
        <v>158</v>
      </c>
      <c r="AB7" s="518"/>
      <c r="AC7" s="519" t="s">
        <v>158</v>
      </c>
      <c r="AD7" s="273" t="s">
        <v>158</v>
      </c>
      <c r="AE7" s="273" t="s">
        <v>158</v>
      </c>
      <c r="AF7" s="273"/>
      <c r="AG7" s="273"/>
      <c r="AH7" s="273" t="s">
        <v>158</v>
      </c>
      <c r="AI7" s="273" t="s">
        <v>158</v>
      </c>
      <c r="AJ7" s="273"/>
      <c r="AK7" s="273"/>
      <c r="AL7" s="273" t="s">
        <v>158</v>
      </c>
      <c r="AM7" s="273" t="s">
        <v>158</v>
      </c>
      <c r="AN7" s="273" t="s">
        <v>158</v>
      </c>
      <c r="AO7" s="273" t="s">
        <v>158</v>
      </c>
      <c r="AP7" s="273" t="s">
        <v>159</v>
      </c>
      <c r="AQ7" s="273"/>
      <c r="AR7" s="273" t="s">
        <v>159</v>
      </c>
      <c r="AS7" s="273" t="s">
        <v>159</v>
      </c>
      <c r="AT7" s="273" t="s">
        <v>156</v>
      </c>
      <c r="AU7" s="273" t="s">
        <v>159</v>
      </c>
      <c r="AY7" s="515"/>
      <c r="BA7" s="515"/>
      <c r="BB7" s="273" t="s">
        <v>160</v>
      </c>
      <c r="BE7" s="515"/>
      <c r="BF7" s="515"/>
      <c r="BG7" s="515"/>
      <c r="BH7" s="515"/>
      <c r="BI7" s="273"/>
      <c r="BJ7" s="514" t="s">
        <v>160</v>
      </c>
      <c r="BL7" s="515"/>
      <c r="BN7" s="515"/>
      <c r="BO7" s="515"/>
      <c r="BT7" s="515" t="s">
        <v>161</v>
      </c>
      <c r="BU7" s="331"/>
      <c r="BV7" s="331" t="s">
        <v>156</v>
      </c>
      <c r="BW7" s="331" t="s">
        <v>156</v>
      </c>
      <c r="BX7" s="331"/>
      <c r="BY7" s="331" t="s">
        <v>156</v>
      </c>
      <c r="BZ7" s="520"/>
      <c r="CA7" s="520"/>
      <c r="CB7" s="520"/>
      <c r="CC7" s="514" t="s">
        <v>236</v>
      </c>
    </row>
    <row r="8" spans="1:85" s="327" customFormat="1" ht="19.25" customHeight="1">
      <c r="A8" s="505" t="s">
        <v>4</v>
      </c>
      <c r="B8" s="476" t="s">
        <v>5</v>
      </c>
      <c r="C8" s="451" t="s">
        <v>162</v>
      </c>
      <c r="D8" s="486" t="s">
        <v>163</v>
      </c>
      <c r="E8" s="486" t="s">
        <v>164</v>
      </c>
      <c r="F8" s="440" t="s">
        <v>142</v>
      </c>
      <c r="G8" s="437" t="s">
        <v>165</v>
      </c>
      <c r="H8" s="434" t="s">
        <v>166</v>
      </c>
      <c r="I8" s="434" t="s">
        <v>167</v>
      </c>
      <c r="J8" s="437" t="s">
        <v>168</v>
      </c>
      <c r="K8" s="508" t="s">
        <v>14</v>
      </c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454" t="s">
        <v>200</v>
      </c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55"/>
      <c r="AK8" s="455"/>
      <c r="AL8" s="455"/>
      <c r="AM8" s="455"/>
      <c r="AN8" s="455"/>
      <c r="AO8" s="456"/>
      <c r="AP8" s="437" t="s">
        <v>201</v>
      </c>
      <c r="AQ8" s="437" t="s">
        <v>202</v>
      </c>
      <c r="AR8" s="437" t="s">
        <v>203</v>
      </c>
      <c r="AS8" s="437" t="s">
        <v>204</v>
      </c>
      <c r="AT8" s="437" t="s">
        <v>205</v>
      </c>
      <c r="AU8" s="437" t="s">
        <v>206</v>
      </c>
      <c r="AV8" s="451" t="s">
        <v>207</v>
      </c>
      <c r="AW8" s="462" t="s">
        <v>208</v>
      </c>
      <c r="AX8" s="451" t="s">
        <v>24</v>
      </c>
      <c r="AY8" s="510" t="s">
        <v>235</v>
      </c>
      <c r="AZ8" s="511"/>
      <c r="BA8" s="511"/>
      <c r="BB8" s="511"/>
      <c r="BC8" s="511"/>
      <c r="BD8" s="511"/>
      <c r="BE8" s="511"/>
      <c r="BF8" s="511"/>
      <c r="BG8" s="511"/>
      <c r="BH8" s="511"/>
      <c r="BI8" s="511"/>
      <c r="BJ8" s="511"/>
      <c r="BK8" s="511"/>
      <c r="BL8" s="511"/>
      <c r="BM8" s="511"/>
      <c r="BN8" s="511"/>
      <c r="BO8" s="511"/>
      <c r="BP8" s="512"/>
      <c r="BQ8" s="503" t="s">
        <v>220</v>
      </c>
      <c r="BR8" s="504"/>
      <c r="BS8" s="451" t="s">
        <v>221</v>
      </c>
      <c r="BT8" s="451" t="s">
        <v>222</v>
      </c>
      <c r="BU8" s="392" t="s">
        <v>223</v>
      </c>
      <c r="BV8" s="490" t="s">
        <v>232</v>
      </c>
      <c r="BW8" s="491"/>
      <c r="BX8" s="491"/>
      <c r="BY8" s="492"/>
      <c r="BZ8" s="396" t="s">
        <v>228</v>
      </c>
      <c r="CA8" s="396" t="s">
        <v>229</v>
      </c>
      <c r="CB8" s="396" t="s">
        <v>230</v>
      </c>
      <c r="CF8" s="328"/>
      <c r="CG8" s="328"/>
    </row>
    <row r="9" spans="1:85" s="327" customFormat="1" ht="19.25" customHeight="1">
      <c r="A9" s="506"/>
      <c r="B9" s="477"/>
      <c r="C9" s="452"/>
      <c r="D9" s="487"/>
      <c r="E9" s="487"/>
      <c r="F9" s="441"/>
      <c r="G9" s="438"/>
      <c r="H9" s="435"/>
      <c r="I9" s="435"/>
      <c r="J9" s="438"/>
      <c r="K9" s="471" t="s">
        <v>169</v>
      </c>
      <c r="L9" s="471" t="s">
        <v>170</v>
      </c>
      <c r="M9" s="471" t="s">
        <v>171</v>
      </c>
      <c r="N9" s="471" t="s">
        <v>172</v>
      </c>
      <c r="O9" s="471" t="s">
        <v>173</v>
      </c>
      <c r="P9" s="471" t="s">
        <v>174</v>
      </c>
      <c r="Q9" s="471" t="s">
        <v>175</v>
      </c>
      <c r="R9" s="471" t="s">
        <v>176</v>
      </c>
      <c r="S9" s="471" t="s">
        <v>177</v>
      </c>
      <c r="T9" s="471" t="s">
        <v>178</v>
      </c>
      <c r="U9" s="471" t="s">
        <v>179</v>
      </c>
      <c r="V9" s="467" t="s">
        <v>180</v>
      </c>
      <c r="W9" s="468"/>
      <c r="X9" s="471" t="s">
        <v>183</v>
      </c>
      <c r="Y9" s="445" t="s">
        <v>47</v>
      </c>
      <c r="Z9" s="445" t="s">
        <v>184</v>
      </c>
      <c r="AA9" s="445" t="s">
        <v>185</v>
      </c>
      <c r="AB9" s="445" t="s">
        <v>186</v>
      </c>
      <c r="AC9" s="445" t="s">
        <v>187</v>
      </c>
      <c r="AD9" s="445" t="s">
        <v>188</v>
      </c>
      <c r="AE9" s="445" t="s">
        <v>189</v>
      </c>
      <c r="AF9" s="445" t="s">
        <v>190</v>
      </c>
      <c r="AG9" s="445" t="s">
        <v>191</v>
      </c>
      <c r="AH9" s="445" t="s">
        <v>192</v>
      </c>
      <c r="AI9" s="445" t="s">
        <v>193</v>
      </c>
      <c r="AJ9" s="459" t="s">
        <v>194</v>
      </c>
      <c r="AK9" s="448" t="s">
        <v>195</v>
      </c>
      <c r="AL9" s="462" t="s">
        <v>196</v>
      </c>
      <c r="AM9" s="445" t="s">
        <v>197</v>
      </c>
      <c r="AN9" s="451" t="s">
        <v>198</v>
      </c>
      <c r="AO9" s="451" t="s">
        <v>199</v>
      </c>
      <c r="AP9" s="438"/>
      <c r="AQ9" s="438"/>
      <c r="AR9" s="438"/>
      <c r="AS9" s="438"/>
      <c r="AT9" s="438"/>
      <c r="AU9" s="438"/>
      <c r="AV9" s="452"/>
      <c r="AW9" s="463"/>
      <c r="AX9" s="452"/>
      <c r="AY9" s="483" t="s">
        <v>234</v>
      </c>
      <c r="AZ9" s="484"/>
      <c r="BA9" s="484"/>
      <c r="BB9" s="484"/>
      <c r="BC9" s="484"/>
      <c r="BD9" s="484"/>
      <c r="BE9" s="484"/>
      <c r="BF9" s="484"/>
      <c r="BG9" s="484"/>
      <c r="BH9" s="484"/>
      <c r="BI9" s="484"/>
      <c r="BJ9" s="485"/>
      <c r="BK9" s="483" t="s">
        <v>233</v>
      </c>
      <c r="BL9" s="484"/>
      <c r="BM9" s="484"/>
      <c r="BN9" s="484"/>
      <c r="BO9" s="484"/>
      <c r="BP9" s="485"/>
      <c r="BQ9" s="452" t="s">
        <v>65</v>
      </c>
      <c r="BR9" s="452" t="s">
        <v>219</v>
      </c>
      <c r="BS9" s="452"/>
      <c r="BT9" s="452"/>
      <c r="BU9" s="501"/>
      <c r="BV9" s="493"/>
      <c r="BW9" s="494"/>
      <c r="BX9" s="494"/>
      <c r="BY9" s="495"/>
      <c r="BZ9" s="443"/>
      <c r="CA9" s="443"/>
      <c r="CB9" s="443"/>
      <c r="CF9" s="328"/>
      <c r="CG9" s="328"/>
    </row>
    <row r="10" spans="1:85" s="329" customFormat="1" ht="19.25" customHeight="1">
      <c r="A10" s="506"/>
      <c r="B10" s="477"/>
      <c r="C10" s="452"/>
      <c r="D10" s="487"/>
      <c r="E10" s="487"/>
      <c r="F10" s="441"/>
      <c r="G10" s="438"/>
      <c r="H10" s="435"/>
      <c r="I10" s="435"/>
      <c r="J10" s="438"/>
      <c r="K10" s="472"/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469"/>
      <c r="W10" s="470"/>
      <c r="X10" s="472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60"/>
      <c r="AK10" s="449"/>
      <c r="AL10" s="463"/>
      <c r="AM10" s="446"/>
      <c r="AN10" s="452"/>
      <c r="AO10" s="452"/>
      <c r="AP10" s="438"/>
      <c r="AQ10" s="438"/>
      <c r="AR10" s="438"/>
      <c r="AS10" s="438"/>
      <c r="AT10" s="438"/>
      <c r="AU10" s="438"/>
      <c r="AV10" s="452"/>
      <c r="AW10" s="463"/>
      <c r="AX10" s="452"/>
      <c r="AY10" s="326" t="s">
        <v>67</v>
      </c>
      <c r="AZ10" s="326" t="s">
        <v>68</v>
      </c>
      <c r="BA10" s="326" t="s">
        <v>69</v>
      </c>
      <c r="BB10" s="479" t="s">
        <v>209</v>
      </c>
      <c r="BC10" s="481" t="s">
        <v>71</v>
      </c>
      <c r="BD10" s="481" t="s">
        <v>210</v>
      </c>
      <c r="BE10" s="465" t="s">
        <v>145</v>
      </c>
      <c r="BF10" s="465" t="s">
        <v>211</v>
      </c>
      <c r="BG10" s="465" t="s">
        <v>212</v>
      </c>
      <c r="BH10" s="481" t="s">
        <v>76</v>
      </c>
      <c r="BI10" s="465" t="s">
        <v>79</v>
      </c>
      <c r="BJ10" s="457" t="s">
        <v>213</v>
      </c>
      <c r="BK10" s="481" t="s">
        <v>214</v>
      </c>
      <c r="BL10" s="499" t="s">
        <v>215</v>
      </c>
      <c r="BM10" s="481" t="s">
        <v>216</v>
      </c>
      <c r="BN10" s="499" t="s">
        <v>217</v>
      </c>
      <c r="BO10" s="499" t="s">
        <v>218</v>
      </c>
      <c r="BP10" s="451" t="s">
        <v>85</v>
      </c>
      <c r="BQ10" s="452"/>
      <c r="BR10" s="452"/>
      <c r="BS10" s="452"/>
      <c r="BT10" s="452"/>
      <c r="BU10" s="502"/>
      <c r="BV10" s="496"/>
      <c r="BW10" s="497"/>
      <c r="BX10" s="497"/>
      <c r="BY10" s="498"/>
      <c r="BZ10" s="444"/>
      <c r="CA10" s="444"/>
      <c r="CB10" s="444"/>
      <c r="CC10" s="228" t="s">
        <v>231</v>
      </c>
      <c r="CF10" s="328"/>
      <c r="CG10" s="328"/>
    </row>
    <row r="11" spans="1:85" s="329" customFormat="1" ht="38.25" customHeight="1">
      <c r="A11" s="507"/>
      <c r="B11" s="478"/>
      <c r="C11" s="453"/>
      <c r="D11" s="488"/>
      <c r="E11" s="488"/>
      <c r="F11" s="442"/>
      <c r="G11" s="439"/>
      <c r="H11" s="436"/>
      <c r="I11" s="436"/>
      <c r="J11" s="439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332" t="s">
        <v>181</v>
      </c>
      <c r="W11" s="332" t="s">
        <v>182</v>
      </c>
      <c r="X11" s="473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61"/>
      <c r="AK11" s="450"/>
      <c r="AL11" s="464"/>
      <c r="AM11" s="447"/>
      <c r="AN11" s="453"/>
      <c r="AO11" s="453"/>
      <c r="AP11" s="439"/>
      <c r="AQ11" s="439"/>
      <c r="AR11" s="439"/>
      <c r="AS11" s="439"/>
      <c r="AT11" s="439"/>
      <c r="AU11" s="439"/>
      <c r="AV11" s="453"/>
      <c r="AW11" s="464"/>
      <c r="AX11" s="453"/>
      <c r="AY11" s="229" t="s">
        <v>88</v>
      </c>
      <c r="AZ11" s="229" t="s">
        <v>89</v>
      </c>
      <c r="BA11" s="229" t="s">
        <v>90</v>
      </c>
      <c r="BB11" s="480"/>
      <c r="BC11" s="482"/>
      <c r="BD11" s="482"/>
      <c r="BE11" s="466"/>
      <c r="BF11" s="466"/>
      <c r="BG11" s="466"/>
      <c r="BH11" s="482"/>
      <c r="BI11" s="466"/>
      <c r="BJ11" s="458"/>
      <c r="BK11" s="482"/>
      <c r="BL11" s="500"/>
      <c r="BM11" s="482"/>
      <c r="BN11" s="500"/>
      <c r="BO11" s="500"/>
      <c r="BP11" s="453"/>
      <c r="BQ11" s="453"/>
      <c r="BR11" s="453"/>
      <c r="BS11" s="453"/>
      <c r="BT11" s="453"/>
      <c r="BU11" s="502"/>
      <c r="BV11" s="237" t="s">
        <v>224</v>
      </c>
      <c r="BW11" s="237" t="s">
        <v>225</v>
      </c>
      <c r="BX11" s="237" t="s">
        <v>226</v>
      </c>
      <c r="BY11" s="238" t="s">
        <v>227</v>
      </c>
      <c r="BZ11" s="444"/>
      <c r="CA11" s="444"/>
      <c r="CB11" s="444"/>
      <c r="CC11" s="227">
        <v>25</v>
      </c>
      <c r="CD11" s="330"/>
      <c r="CF11" s="328"/>
      <c r="CG11" s="328"/>
    </row>
    <row r="12" spans="1:85" s="278" customFormat="1" ht="15" customHeight="1">
      <c r="A12" s="281">
        <v>1</v>
      </c>
      <c r="B12" s="276">
        <f>A12+1</f>
        <v>2</v>
      </c>
      <c r="C12" s="276">
        <f>B12+1</f>
        <v>3</v>
      </c>
      <c r="D12" s="276">
        <f>C12+1</f>
        <v>4</v>
      </c>
      <c r="E12" s="276"/>
      <c r="F12" s="276">
        <f>D12+1</f>
        <v>5</v>
      </c>
      <c r="G12" s="276">
        <f t="shared" ref="G12:AV12" si="0">F12+1</f>
        <v>6</v>
      </c>
      <c r="H12" s="276">
        <f t="shared" si="0"/>
        <v>7</v>
      </c>
      <c r="I12" s="276">
        <f t="shared" si="0"/>
        <v>8</v>
      </c>
      <c r="J12" s="276">
        <f t="shared" si="0"/>
        <v>9</v>
      </c>
      <c r="K12" s="276">
        <f t="shared" si="0"/>
        <v>10</v>
      </c>
      <c r="L12" s="276">
        <f t="shared" si="0"/>
        <v>11</v>
      </c>
      <c r="M12" s="276">
        <f t="shared" si="0"/>
        <v>12</v>
      </c>
      <c r="N12" s="276">
        <f t="shared" si="0"/>
        <v>13</v>
      </c>
      <c r="O12" s="276">
        <f t="shared" si="0"/>
        <v>14</v>
      </c>
      <c r="P12" s="276">
        <f t="shared" si="0"/>
        <v>15</v>
      </c>
      <c r="Q12" s="276">
        <f t="shared" si="0"/>
        <v>16</v>
      </c>
      <c r="R12" s="276">
        <f t="shared" si="0"/>
        <v>17</v>
      </c>
      <c r="S12" s="276">
        <f t="shared" si="0"/>
        <v>18</v>
      </c>
      <c r="T12" s="276">
        <f t="shared" si="0"/>
        <v>19</v>
      </c>
      <c r="U12" s="276">
        <f t="shared" si="0"/>
        <v>20</v>
      </c>
      <c r="V12" s="276">
        <f t="shared" si="0"/>
        <v>21</v>
      </c>
      <c r="W12" s="276">
        <f t="shared" si="0"/>
        <v>22</v>
      </c>
      <c r="X12" s="276">
        <f t="shared" si="0"/>
        <v>23</v>
      </c>
      <c r="Y12" s="276">
        <f t="shared" si="0"/>
        <v>24</v>
      </c>
      <c r="Z12" s="276">
        <f t="shared" si="0"/>
        <v>25</v>
      </c>
      <c r="AA12" s="276">
        <f t="shared" si="0"/>
        <v>26</v>
      </c>
      <c r="AB12" s="276">
        <f t="shared" si="0"/>
        <v>27</v>
      </c>
      <c r="AC12" s="276">
        <f t="shared" si="0"/>
        <v>28</v>
      </c>
      <c r="AD12" s="276">
        <f t="shared" si="0"/>
        <v>29</v>
      </c>
      <c r="AE12" s="276">
        <f t="shared" si="0"/>
        <v>30</v>
      </c>
      <c r="AF12" s="276">
        <f t="shared" si="0"/>
        <v>31</v>
      </c>
      <c r="AG12" s="276">
        <f t="shared" si="0"/>
        <v>32</v>
      </c>
      <c r="AH12" s="276">
        <f t="shared" si="0"/>
        <v>33</v>
      </c>
      <c r="AI12" s="276">
        <f t="shared" si="0"/>
        <v>34</v>
      </c>
      <c r="AJ12" s="276">
        <f t="shared" si="0"/>
        <v>35</v>
      </c>
      <c r="AK12" s="276">
        <f t="shared" si="0"/>
        <v>36</v>
      </c>
      <c r="AL12" s="276">
        <f t="shared" si="0"/>
        <v>37</v>
      </c>
      <c r="AM12" s="276">
        <f t="shared" si="0"/>
        <v>38</v>
      </c>
      <c r="AN12" s="276">
        <f t="shared" si="0"/>
        <v>39</v>
      </c>
      <c r="AO12" s="276">
        <f t="shared" si="0"/>
        <v>40</v>
      </c>
      <c r="AP12" s="276">
        <f t="shared" si="0"/>
        <v>41</v>
      </c>
      <c r="AQ12" s="276">
        <f t="shared" si="0"/>
        <v>42</v>
      </c>
      <c r="AR12" s="276">
        <f t="shared" si="0"/>
        <v>43</v>
      </c>
      <c r="AS12" s="276">
        <f t="shared" si="0"/>
        <v>44</v>
      </c>
      <c r="AT12" s="276">
        <f t="shared" si="0"/>
        <v>45</v>
      </c>
      <c r="AU12" s="276">
        <f t="shared" si="0"/>
        <v>46</v>
      </c>
      <c r="AV12" s="276">
        <f t="shared" si="0"/>
        <v>47</v>
      </c>
      <c r="AW12" s="276"/>
      <c r="AX12" s="276"/>
      <c r="AY12" s="276">
        <f>AV12+1</f>
        <v>48</v>
      </c>
      <c r="AZ12" s="276">
        <f t="shared" ref="AZ12:BE12" si="1">AY12+1</f>
        <v>49</v>
      </c>
      <c r="BA12" s="276">
        <f t="shared" si="1"/>
        <v>50</v>
      </c>
      <c r="BB12" s="276">
        <f t="shared" si="1"/>
        <v>51</v>
      </c>
      <c r="BC12" s="276">
        <f t="shared" si="1"/>
        <v>52</v>
      </c>
      <c r="BD12" s="276">
        <f t="shared" si="1"/>
        <v>53</v>
      </c>
      <c r="BE12" s="276">
        <f t="shared" si="1"/>
        <v>54</v>
      </c>
      <c r="BF12" s="276"/>
      <c r="BG12" s="276"/>
      <c r="BH12" s="276"/>
      <c r="BI12" s="276"/>
      <c r="BJ12" s="276">
        <f>BE12+1</f>
        <v>55</v>
      </c>
      <c r="BK12" s="276">
        <f>BJ12+1</f>
        <v>56</v>
      </c>
      <c r="BL12" s="276">
        <f>BK12+1</f>
        <v>57</v>
      </c>
      <c r="BM12" s="276">
        <f>BL12+1</f>
        <v>58</v>
      </c>
      <c r="BN12" s="276">
        <f>BM12+1</f>
        <v>59</v>
      </c>
      <c r="BO12" s="276"/>
      <c r="BP12" s="276">
        <f>BN12+1</f>
        <v>60</v>
      </c>
      <c r="BQ12" s="276">
        <f>BP12+1</f>
        <v>61</v>
      </c>
      <c r="BR12" s="276">
        <f>BQ12+1</f>
        <v>62</v>
      </c>
      <c r="BS12" s="276"/>
      <c r="BT12" s="276">
        <f>BR12+1</f>
        <v>63</v>
      </c>
      <c r="BU12" s="277" t="s">
        <v>95</v>
      </c>
      <c r="BV12" s="276">
        <f t="shared" ref="BV12:CB12" si="2">BU12+1</f>
        <v>66</v>
      </c>
      <c r="BW12" s="276">
        <f t="shared" si="2"/>
        <v>67</v>
      </c>
      <c r="BX12" s="276">
        <f t="shared" si="2"/>
        <v>68</v>
      </c>
      <c r="BY12" s="276">
        <f t="shared" si="2"/>
        <v>69</v>
      </c>
      <c r="BZ12" s="276">
        <f t="shared" si="2"/>
        <v>70</v>
      </c>
      <c r="CA12" s="276">
        <f t="shared" si="2"/>
        <v>71</v>
      </c>
      <c r="CB12" s="276">
        <f t="shared" si="2"/>
        <v>72</v>
      </c>
      <c r="CE12" s="279"/>
      <c r="CF12" s="241"/>
      <c r="CG12" s="241"/>
    </row>
    <row r="13" spans="1:85" s="278" customFormat="1" ht="15" customHeight="1">
      <c r="A13" s="281" t="s">
        <v>96</v>
      </c>
      <c r="B13" s="281" t="s">
        <v>96</v>
      </c>
      <c r="C13" s="281" t="s">
        <v>96</v>
      </c>
      <c r="D13" s="276"/>
      <c r="E13" s="276"/>
      <c r="F13" s="276"/>
      <c r="G13" s="281" t="s">
        <v>96</v>
      </c>
      <c r="H13" s="281" t="s">
        <v>96</v>
      </c>
      <c r="I13" s="281" t="s">
        <v>96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7"/>
      <c r="BV13" s="276"/>
      <c r="BW13" s="276"/>
      <c r="BX13" s="276"/>
      <c r="BY13" s="276"/>
      <c r="BZ13" s="276"/>
      <c r="CA13" s="276"/>
      <c r="CB13" s="276"/>
      <c r="CE13" s="279"/>
      <c r="CF13" s="241"/>
      <c r="CG13" s="241"/>
    </row>
    <row r="14" spans="1:85" s="253" customFormat="1" ht="21" customHeight="1">
      <c r="A14" s="244"/>
      <c r="B14" s="249"/>
      <c r="C14" s="249"/>
      <c r="D14" s="247"/>
      <c r="E14" s="247"/>
      <c r="F14" s="247"/>
      <c r="G14" s="249">
        <f>SUM(G15:G21)</f>
        <v>50340000</v>
      </c>
      <c r="H14" s="249">
        <f>SUM(H15:H21)</f>
        <v>900000</v>
      </c>
      <c r="I14" s="249">
        <f>SUM(I15:I21)</f>
        <v>185460000</v>
      </c>
      <c r="J14" s="249"/>
      <c r="K14" s="282">
        <f>SUM(K15:K21)</f>
        <v>75.5</v>
      </c>
      <c r="L14" s="282"/>
      <c r="M14" s="282"/>
      <c r="N14" s="282"/>
      <c r="O14" s="282"/>
      <c r="P14" s="282"/>
      <c r="Q14" s="282"/>
      <c r="R14" s="282">
        <f>SUM(R15:R21)</f>
        <v>12</v>
      </c>
      <c r="S14" s="282">
        <f>SUM(S15:S21)</f>
        <v>0</v>
      </c>
      <c r="T14" s="282"/>
      <c r="U14" s="282">
        <f>SUM(U15:U21)</f>
        <v>0</v>
      </c>
      <c r="V14" s="282">
        <f>SUM(V15:V21)</f>
        <v>0</v>
      </c>
      <c r="W14" s="282">
        <f>SUM(W15:W21)</f>
        <v>0</v>
      </c>
      <c r="X14" s="282">
        <f>SUM(X15:X21)</f>
        <v>0</v>
      </c>
      <c r="Y14" s="249">
        <f>SUM(Y15:Y21)</f>
        <v>20878269.230769232</v>
      </c>
      <c r="Z14" s="249"/>
      <c r="AA14" s="249"/>
      <c r="AB14" s="249"/>
      <c r="AC14" s="249">
        <f>SUM(AC15:AC21)</f>
        <v>0</v>
      </c>
      <c r="AD14" s="249">
        <f>SUM(AD15:AD21)</f>
        <v>0</v>
      </c>
      <c r="AE14" s="249"/>
      <c r="AF14" s="249">
        <f t="shared" ref="AF14:AO14" si="3">SUM(AF15:AF21)</f>
        <v>0</v>
      </c>
      <c r="AG14" s="249">
        <f t="shared" si="3"/>
        <v>0</v>
      </c>
      <c r="AH14" s="249">
        <f t="shared" si="3"/>
        <v>0</v>
      </c>
      <c r="AI14" s="249">
        <f t="shared" si="3"/>
        <v>0</v>
      </c>
      <c r="AJ14" s="249">
        <f t="shared" si="3"/>
        <v>0</v>
      </c>
      <c r="AK14" s="249">
        <f t="shared" si="3"/>
        <v>0</v>
      </c>
      <c r="AL14" s="249">
        <f t="shared" si="3"/>
        <v>0</v>
      </c>
      <c r="AM14" s="249">
        <f t="shared" si="3"/>
        <v>0</v>
      </c>
      <c r="AN14" s="249">
        <f t="shared" si="3"/>
        <v>380769.23076923081</v>
      </c>
      <c r="AO14" s="249">
        <f t="shared" si="3"/>
        <v>101010288.46153845</v>
      </c>
      <c r="AP14" s="249"/>
      <c r="AQ14" s="249"/>
      <c r="AR14" s="249"/>
      <c r="AS14" s="249"/>
      <c r="AT14" s="249"/>
      <c r="AU14" s="249"/>
      <c r="AV14" s="249">
        <f>SUM(AV15:AV21)</f>
        <v>140174903.84615386</v>
      </c>
      <c r="AW14" s="249"/>
      <c r="AX14" s="249"/>
      <c r="AY14" s="249">
        <f>SUM(AY15:AY21)</f>
        <v>4099200</v>
      </c>
      <c r="AZ14" s="249">
        <f>SUM(AZ15:AZ21)</f>
        <v>768600</v>
      </c>
      <c r="BA14" s="249">
        <f>SUM(BA15:BA21)</f>
        <v>512400</v>
      </c>
      <c r="BB14" s="249">
        <f>SUM(BB15:BB21)</f>
        <v>5380200</v>
      </c>
      <c r="BC14" s="249">
        <f>SUM(BC15:BC21)</f>
        <v>0</v>
      </c>
      <c r="BD14" s="249"/>
      <c r="BE14" s="249">
        <f>SUM(BE15:BE21)</f>
        <v>503400</v>
      </c>
      <c r="BF14" s="249"/>
      <c r="BG14" s="249"/>
      <c r="BH14" s="249"/>
      <c r="BI14" s="249"/>
      <c r="BJ14" s="249">
        <f>SUM(BJ15:BJ21)</f>
        <v>3436220</v>
      </c>
      <c r="BK14" s="249">
        <f>SUM(BK15:BK21)</f>
        <v>0</v>
      </c>
      <c r="BL14" s="249">
        <f>SUM(BL15:BL21)</f>
        <v>0</v>
      </c>
      <c r="BM14" s="249">
        <f>SUM(BM15:BM21)</f>
        <v>0</v>
      </c>
      <c r="BN14" s="249">
        <f>SUM(BN15:BN21)</f>
        <v>0</v>
      </c>
      <c r="BO14" s="249"/>
      <c r="BP14" s="249">
        <f>SUM(BP15:BP21)</f>
        <v>0</v>
      </c>
      <c r="BQ14" s="249"/>
      <c r="BR14" s="249"/>
      <c r="BS14" s="249"/>
      <c r="BT14" s="249">
        <f>SUM(BT15:BT21)</f>
        <v>113751538.46153849</v>
      </c>
      <c r="BU14" s="242"/>
      <c r="BV14" s="243"/>
      <c r="BW14" s="243"/>
      <c r="BX14" s="243"/>
      <c r="BY14" s="243"/>
      <c r="BZ14" s="243"/>
      <c r="CA14" s="243"/>
      <c r="CB14" s="243"/>
    </row>
    <row r="15" spans="1:85" s="253" customFormat="1" ht="30.5" customHeight="1">
      <c r="A15" s="315">
        <v>1</v>
      </c>
      <c r="B15" s="316">
        <v>2405236</v>
      </c>
      <c r="C15" s="317" t="s">
        <v>97</v>
      </c>
      <c r="D15" s="318" t="s">
        <v>98</v>
      </c>
      <c r="E15" s="319" t="s">
        <v>113</v>
      </c>
      <c r="F15" s="319" t="s">
        <v>100</v>
      </c>
      <c r="G15" s="320">
        <v>9520000</v>
      </c>
      <c r="H15" s="320">
        <f t="shared" ref="H15:H21" si="4">+IF(OR(CA15="ĐT PCCC",CA15="ĐP PCCC"),780000,IF(CA15="AT-VSV",300000,0))</f>
        <v>0</v>
      </c>
      <c r="I15" s="320">
        <f t="shared" ref="I15:I21" si="5">BZ15-BX15-G15-H15</f>
        <v>53480000</v>
      </c>
      <c r="J15" s="321">
        <v>1</v>
      </c>
      <c r="K15" s="322">
        <v>11</v>
      </c>
      <c r="L15" s="322"/>
      <c r="M15" s="322"/>
      <c r="N15" s="322"/>
      <c r="O15" s="322">
        <v>2</v>
      </c>
      <c r="P15" s="322"/>
      <c r="Q15" s="322"/>
      <c r="R15" s="322">
        <v>0</v>
      </c>
      <c r="S15" s="322">
        <v>0</v>
      </c>
      <c r="T15" s="322"/>
      <c r="U15" s="322">
        <v>0</v>
      </c>
      <c r="V15" s="322">
        <v>0</v>
      </c>
      <c r="W15" s="322">
        <v>0</v>
      </c>
      <c r="X15" s="322">
        <v>0</v>
      </c>
      <c r="Y15" s="320">
        <f>G15*(K15+L15)/26</f>
        <v>4027692.3076923075</v>
      </c>
      <c r="Z15" s="320">
        <f t="shared" ref="Z15:Z21" si="6">M15*G15/26</f>
        <v>0</v>
      </c>
      <c r="AA15" s="320">
        <f t="shared" ref="AA15:AA21" si="7">G15*N15/26</f>
        <v>0</v>
      </c>
      <c r="AB15" s="320">
        <f t="shared" ref="AB15:AB21" si="8">G15*O15/26</f>
        <v>732307.69230769225</v>
      </c>
      <c r="AC15" s="320">
        <f t="shared" ref="AC15:AC21" si="9">G15*P15*150%/26</f>
        <v>0</v>
      </c>
      <c r="AD15" s="320">
        <f t="shared" ref="AD15:AD21" si="10">G15*Q15/26*200%</f>
        <v>0</v>
      </c>
      <c r="AE15" s="320">
        <f t="shared" ref="AE15:AE21" si="11">G15*R15/26*300%</f>
        <v>0</v>
      </c>
      <c r="AF15" s="320">
        <f t="shared" ref="AF15:AF21" si="12">IF(F15="LT",0,(G15+H15)/26*S15*30%)</f>
        <v>0</v>
      </c>
      <c r="AG15" s="320">
        <f t="shared" ref="AG15:AG21" si="13">T15*G15/23/8</f>
        <v>0</v>
      </c>
      <c r="AH15" s="320">
        <f t="shared" ref="AH15:AH21" si="14">BZ15/26*U15</f>
        <v>0</v>
      </c>
      <c r="AI15" s="320">
        <f t="shared" ref="AI15:AI21" si="15">G15*V15/26</f>
        <v>0</v>
      </c>
      <c r="AJ15" s="320"/>
      <c r="AK15" s="320">
        <f t="shared" ref="AK15:AK21" si="16">BX15*L15/26</f>
        <v>0</v>
      </c>
      <c r="AL15" s="320"/>
      <c r="AM15" s="320">
        <f t="shared" ref="AM15:AM21" si="17">X15*CB15</f>
        <v>0</v>
      </c>
      <c r="AN15" s="320">
        <f>H15/26*(K15+L15)</f>
        <v>0</v>
      </c>
      <c r="AO15" s="320">
        <f t="shared" ref="AO15:AO21" si="18">IF(F15="LN",I15*(K15+L15)/26+(H15+I15)*50%*M15/26+IF(F15="LT",BU15*O15/26-AB15,0)+MAX($G15*P15/26*150%,P15*$BU15/26)-AC15+MAX($G15*Q15/26*200%,Q15*$BU15/26)-AD15+MAX($G15*R15/26*300%,R15*$BU15/26)-AE15+BU15*S15/26-AF15+AH15-AG15,I15-I15*($CC$11-K15-L15)/26+(H15+I15)*50%*M15/26+IF(F15="LT",BU15*O15/26-AB15,0)+MAX($G15*P15/26*150%,P15*$BU15/26)-AC15+MAX($G15*Q15/26*200%,Q15*$BU15/26)-AD15+MAX($G15*R15/26*300%,R15*$BU15/26)-AE15+BU15*S15/26-AF15+AH15-AG15+(G15-G15*($CC$11-K15-L15)/26-Y15)+(H15-H15*($CC$11-K15-L15)/26-AN15))</f>
        <v>28932307.692307696</v>
      </c>
      <c r="AP15" s="320"/>
      <c r="AQ15" s="320"/>
      <c r="AR15" s="184">
        <v>1000000</v>
      </c>
      <c r="AS15" s="320"/>
      <c r="AT15" s="320"/>
      <c r="AU15" s="320"/>
      <c r="AV15" s="320">
        <f t="shared" ref="AV15:AV21" si="19">Y15+Z15+AA15+AB15+AC15+AD15+AE15+AF15+AG15+AI15+AJ15+AK15+AL15+AM15+AN15+AO15+AP15-AQ15+AR15+AS15+AT15+AU15</f>
        <v>34692307.692307696</v>
      </c>
      <c r="AW15" s="320"/>
      <c r="AX15" s="320" t="s">
        <v>101</v>
      </c>
      <c r="AY15" s="323">
        <f t="shared" ref="AY15:BA21" si="20">ROUND(IF($AX15="x",($G15+$H15)*AY$11,0),0)</f>
        <v>761600</v>
      </c>
      <c r="AZ15" s="323">
        <f t="shared" si="20"/>
        <v>142800</v>
      </c>
      <c r="BA15" s="323">
        <f t="shared" si="20"/>
        <v>95200</v>
      </c>
      <c r="BB15" s="323">
        <f t="shared" ref="BB15:BB21" si="21">SUM(AY15:BA15)</f>
        <v>999600</v>
      </c>
      <c r="BC15" s="323"/>
      <c r="BD15" s="323"/>
      <c r="BE15" s="323">
        <f t="shared" ref="BE15:BE21" si="22">IF(G15*1%&gt;=234000,234000,G15*1%)</f>
        <v>95200</v>
      </c>
      <c r="BF15" s="323">
        <f>AM15+IF(AR15&gt;=730000,730000,AR15)+IF(((AV15-AM15-IF(AR15&gt;=730000,730000,AR15)-AS15)*15%-AS15)&gt;0,((AV15-AM15-IF(AR15&gt;=730000,730000,AR15)-AS15)*15%-AS15),0)</f>
        <v>5824346.153846154</v>
      </c>
      <c r="BG15" s="323">
        <f t="shared" ref="BG15:BG21" si="23">AV15-BF15+AW15</f>
        <v>28867961.538461544</v>
      </c>
      <c r="BH15" s="323">
        <v>3</v>
      </c>
      <c r="BI15" s="323">
        <f t="shared" ref="BI15:BI21" si="24">BG15-BB15-BC15+BD15-BH15*4400000-IF(E15="CT",11000000,0)</f>
        <v>14668361.538461544</v>
      </c>
      <c r="BJ15" s="324">
        <f t="shared" ref="BJ15:BJ21" si="25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1450254</v>
      </c>
      <c r="BK15" s="323"/>
      <c r="BL15" s="323"/>
      <c r="BM15" s="323">
        <v>0</v>
      </c>
      <c r="BN15" s="323"/>
      <c r="BO15" s="323"/>
      <c r="BP15" s="323"/>
      <c r="BQ15" s="323"/>
      <c r="BR15" s="323"/>
      <c r="BS15" s="323" t="str">
        <f t="shared" ref="BS15:BS21" si="26">IF(AV15&gt;=11000000,"80%","100%")</f>
        <v>80%</v>
      </c>
      <c r="BT15" s="323">
        <f>AV15*BS15-BN15-BK15-BP15-BO15</f>
        <v>27753846.15384616</v>
      </c>
      <c r="BU15" s="325">
        <v>60000000</v>
      </c>
      <c r="BV15" s="188">
        <v>0</v>
      </c>
      <c r="BW15" s="188"/>
      <c r="BX15" s="188">
        <v>200000</v>
      </c>
      <c r="BY15" s="324">
        <f t="shared" ref="BY15:BY21" si="27">+BU15*5%</f>
        <v>3000000</v>
      </c>
      <c r="BZ15" s="324">
        <f t="shared" ref="BZ15:BZ21" si="28">SUM(BU15:BY15)</f>
        <v>63200000</v>
      </c>
      <c r="CA15" s="324" t="s">
        <v>122</v>
      </c>
      <c r="CB15" s="324"/>
      <c r="CC15" s="284"/>
      <c r="CD15" s="285"/>
      <c r="CE15" s="285"/>
      <c r="CF15" s="252"/>
      <c r="CG15" s="252"/>
    </row>
    <row r="16" spans="1:85" s="253" customFormat="1" ht="30.5" customHeight="1">
      <c r="A16" s="244"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249">
        <v>8480000</v>
      </c>
      <c r="H16" s="249">
        <f t="shared" si="4"/>
        <v>0</v>
      </c>
      <c r="I16" s="249">
        <f t="shared" si="5"/>
        <v>43520000</v>
      </c>
      <c r="J16" s="283">
        <v>1</v>
      </c>
      <c r="K16" s="250">
        <v>10.5</v>
      </c>
      <c r="L16" s="250"/>
      <c r="M16" s="250">
        <v>0.5</v>
      </c>
      <c r="N16" s="250"/>
      <c r="O16" s="250">
        <v>2</v>
      </c>
      <c r="P16" s="250"/>
      <c r="Q16" s="250"/>
      <c r="R16" s="250">
        <v>0</v>
      </c>
      <c r="S16" s="250">
        <v>0</v>
      </c>
      <c r="T16" s="250"/>
      <c r="U16" s="250">
        <v>0</v>
      </c>
      <c r="V16" s="250">
        <v>0</v>
      </c>
      <c r="W16" s="250">
        <v>0</v>
      </c>
      <c r="X16" s="250">
        <v>0</v>
      </c>
      <c r="Y16" s="249">
        <f t="shared" ref="Y16:Y21" si="29">G16*(K16+L16)/26</f>
        <v>3424615.3846153845</v>
      </c>
      <c r="Z16" s="249">
        <f t="shared" si="6"/>
        <v>163076.92307692306</v>
      </c>
      <c r="AA16" s="249">
        <f t="shared" si="7"/>
        <v>0</v>
      </c>
      <c r="AB16" s="249">
        <f t="shared" si="8"/>
        <v>652307.69230769225</v>
      </c>
      <c r="AC16" s="249">
        <f t="shared" si="9"/>
        <v>0</v>
      </c>
      <c r="AD16" s="249">
        <f t="shared" si="10"/>
        <v>0</v>
      </c>
      <c r="AE16" s="249">
        <f t="shared" si="11"/>
        <v>0</v>
      </c>
      <c r="AF16" s="249">
        <f t="shared" si="12"/>
        <v>0</v>
      </c>
      <c r="AG16" s="249">
        <f t="shared" si="13"/>
        <v>0</v>
      </c>
      <c r="AH16" s="249">
        <f t="shared" si="14"/>
        <v>0</v>
      </c>
      <c r="AI16" s="249">
        <f t="shared" si="15"/>
        <v>0</v>
      </c>
      <c r="AJ16" s="249"/>
      <c r="AK16" s="249">
        <f t="shared" si="16"/>
        <v>0</v>
      </c>
      <c r="AL16" s="249"/>
      <c r="AM16" s="249">
        <f t="shared" si="17"/>
        <v>0</v>
      </c>
      <c r="AN16" s="249">
        <f t="shared" ref="AN16:AN21" si="30">H16/26*K16</f>
        <v>0</v>
      </c>
      <c r="AO16" s="249">
        <f t="shared" si="18"/>
        <v>22418461.53846154</v>
      </c>
      <c r="AP16" s="249"/>
      <c r="AQ16" s="249"/>
      <c r="AR16" s="28">
        <v>720000</v>
      </c>
      <c r="AS16" s="249"/>
      <c r="AT16" s="249"/>
      <c r="AU16" s="249"/>
      <c r="AV16" s="249">
        <f t="shared" si="19"/>
        <v>27378461.53846154</v>
      </c>
      <c r="AW16" s="249"/>
      <c r="AX16" s="249" t="s">
        <v>101</v>
      </c>
      <c r="AY16" s="251">
        <f t="shared" si="20"/>
        <v>678400</v>
      </c>
      <c r="AZ16" s="251">
        <f t="shared" si="20"/>
        <v>127200</v>
      </c>
      <c r="BA16" s="251">
        <f t="shared" si="20"/>
        <v>84800</v>
      </c>
      <c r="BB16" s="251">
        <f t="shared" si="21"/>
        <v>890400</v>
      </c>
      <c r="BC16" s="251"/>
      <c r="BD16" s="251"/>
      <c r="BE16" s="251">
        <f t="shared" si="22"/>
        <v>84800</v>
      </c>
      <c r="BF16" s="251">
        <f t="shared" ref="BF16:BF21" si="31">AM16+IF(AR16&gt;=730000,730000,AR16)+IF(((AV16-AM16-IF(AR16&gt;=730000,730000,AR16)-AS16)*15%-AS16)&gt;0,((AV16-AM16-IF(AR16&gt;=730000,730000,AR16)-AS16)*15%-AS16),0)</f>
        <v>4718769.230769231</v>
      </c>
      <c r="BG16" s="251">
        <f t="shared" si="23"/>
        <v>22659692.307692308</v>
      </c>
      <c r="BH16" s="251"/>
      <c r="BI16" s="251">
        <f t="shared" si="24"/>
        <v>10769292.307692308</v>
      </c>
      <c r="BJ16" s="243">
        <f t="shared" si="25"/>
        <v>865394</v>
      </c>
      <c r="BK16" s="251"/>
      <c r="BL16" s="251"/>
      <c r="BM16" s="251">
        <v>0</v>
      </c>
      <c r="BN16" s="251"/>
      <c r="BO16" s="251"/>
      <c r="BP16" s="251"/>
      <c r="BQ16" s="251"/>
      <c r="BR16" s="251"/>
      <c r="BS16" s="251" t="str">
        <f t="shared" si="26"/>
        <v>80%</v>
      </c>
      <c r="BT16" s="251">
        <f t="shared" ref="BT16:BT21" si="32">AV16*BS16-BN16-BK16-BP16-BO16</f>
        <v>21902769.230769232</v>
      </c>
      <c r="BU16" s="242">
        <v>40000000</v>
      </c>
      <c r="BV16" s="152">
        <v>5000000</v>
      </c>
      <c r="BW16" s="152">
        <v>5000000</v>
      </c>
      <c r="BX16" s="152">
        <v>200000</v>
      </c>
      <c r="BY16" s="243">
        <f t="shared" si="27"/>
        <v>2000000</v>
      </c>
      <c r="BZ16" s="243">
        <f>SUM(BU16:BY16)</f>
        <v>52200000</v>
      </c>
      <c r="CA16" s="243" t="s">
        <v>114</v>
      </c>
      <c r="CB16" s="243"/>
      <c r="CC16" s="284"/>
      <c r="CD16" s="285"/>
      <c r="CE16" s="285"/>
      <c r="CF16" s="252"/>
      <c r="CG16" s="252"/>
    </row>
    <row r="17" spans="1:85" s="253" customFormat="1" ht="30.5" customHeight="1">
      <c r="A17" s="244">
        <v>3</v>
      </c>
      <c r="B17" s="254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249">
        <v>7820000</v>
      </c>
      <c r="H17" s="249">
        <f t="shared" si="4"/>
        <v>300000</v>
      </c>
      <c r="I17" s="249">
        <f t="shared" si="5"/>
        <v>33880000</v>
      </c>
      <c r="J17" s="283">
        <v>1</v>
      </c>
      <c r="K17" s="250">
        <v>11</v>
      </c>
      <c r="L17" s="250"/>
      <c r="M17" s="250"/>
      <c r="N17" s="250"/>
      <c r="O17" s="250">
        <v>2</v>
      </c>
      <c r="P17" s="250"/>
      <c r="Q17" s="250"/>
      <c r="R17" s="250">
        <v>4</v>
      </c>
      <c r="S17" s="250">
        <v>0</v>
      </c>
      <c r="T17" s="250"/>
      <c r="U17" s="250">
        <v>0</v>
      </c>
      <c r="V17" s="250">
        <v>0</v>
      </c>
      <c r="W17" s="250">
        <v>0</v>
      </c>
      <c r="X17" s="250">
        <v>0</v>
      </c>
      <c r="Y17" s="249">
        <f t="shared" si="29"/>
        <v>3308461.5384615385</v>
      </c>
      <c r="Z17" s="249">
        <f t="shared" si="6"/>
        <v>0</v>
      </c>
      <c r="AA17" s="249">
        <f t="shared" si="7"/>
        <v>0</v>
      </c>
      <c r="AB17" s="249">
        <f t="shared" si="8"/>
        <v>601538.4615384615</v>
      </c>
      <c r="AC17" s="249">
        <f t="shared" si="9"/>
        <v>0</v>
      </c>
      <c r="AD17" s="249">
        <f t="shared" si="10"/>
        <v>0</v>
      </c>
      <c r="AE17" s="249">
        <f t="shared" si="11"/>
        <v>3609230.769230769</v>
      </c>
      <c r="AF17" s="249">
        <f t="shared" si="12"/>
        <v>0</v>
      </c>
      <c r="AG17" s="249">
        <f t="shared" si="13"/>
        <v>0</v>
      </c>
      <c r="AH17" s="249">
        <f t="shared" si="14"/>
        <v>0</v>
      </c>
      <c r="AI17" s="249">
        <f t="shared" si="15"/>
        <v>0</v>
      </c>
      <c r="AJ17" s="249"/>
      <c r="AK17" s="249">
        <f t="shared" si="16"/>
        <v>0</v>
      </c>
      <c r="AL17" s="249"/>
      <c r="AM17" s="249">
        <f t="shared" si="17"/>
        <v>0</v>
      </c>
      <c r="AN17" s="249">
        <f t="shared" si="30"/>
        <v>126923.07692307694</v>
      </c>
      <c r="AO17" s="249">
        <f t="shared" si="18"/>
        <v>20969230.769230772</v>
      </c>
      <c r="AP17" s="249"/>
      <c r="AQ17" s="249"/>
      <c r="AR17" s="28">
        <v>560000</v>
      </c>
      <c r="AS17" s="249"/>
      <c r="AT17" s="249"/>
      <c r="AU17" s="249"/>
      <c r="AV17" s="249">
        <f t="shared" si="19"/>
        <v>29175384.615384616</v>
      </c>
      <c r="AW17" s="249"/>
      <c r="AX17" s="249" t="s">
        <v>101</v>
      </c>
      <c r="AY17" s="251">
        <f t="shared" si="20"/>
        <v>649600</v>
      </c>
      <c r="AZ17" s="251">
        <f t="shared" si="20"/>
        <v>121800</v>
      </c>
      <c r="BA17" s="251">
        <f t="shared" si="20"/>
        <v>81200</v>
      </c>
      <c r="BB17" s="251">
        <f t="shared" si="21"/>
        <v>852600</v>
      </c>
      <c r="BC17" s="251"/>
      <c r="BD17" s="251"/>
      <c r="BE17" s="251">
        <f t="shared" si="22"/>
        <v>78200</v>
      </c>
      <c r="BF17" s="251">
        <f t="shared" si="31"/>
        <v>4852307.692307692</v>
      </c>
      <c r="BG17" s="251">
        <f t="shared" si="23"/>
        <v>24323076.923076924</v>
      </c>
      <c r="BH17" s="251"/>
      <c r="BI17" s="251">
        <f t="shared" si="24"/>
        <v>12470476.923076924</v>
      </c>
      <c r="BJ17" s="243">
        <f t="shared" si="25"/>
        <v>1120572</v>
      </c>
      <c r="BK17" s="251"/>
      <c r="BL17" s="251"/>
      <c r="BM17" s="251">
        <v>0</v>
      </c>
      <c r="BN17" s="251"/>
      <c r="BO17" s="251"/>
      <c r="BP17" s="251"/>
      <c r="BQ17" s="251"/>
      <c r="BR17" s="251"/>
      <c r="BS17" s="251" t="str">
        <f t="shared" si="26"/>
        <v>80%</v>
      </c>
      <c r="BT17" s="251">
        <f t="shared" si="32"/>
        <v>23340307.692307696</v>
      </c>
      <c r="BU17" s="242">
        <v>40000000</v>
      </c>
      <c r="BV17" s="152">
        <v>0</v>
      </c>
      <c r="BW17" s="152">
        <v>0</v>
      </c>
      <c r="BX17" s="152">
        <v>200000</v>
      </c>
      <c r="BY17" s="243">
        <f t="shared" si="27"/>
        <v>2000000</v>
      </c>
      <c r="BZ17" s="243">
        <f t="shared" si="28"/>
        <v>42200000</v>
      </c>
      <c r="CA17" s="243" t="s">
        <v>118</v>
      </c>
      <c r="CB17" s="243"/>
      <c r="CC17" s="284"/>
      <c r="CD17" s="285"/>
      <c r="CE17" s="285"/>
      <c r="CF17" s="252"/>
      <c r="CG17" s="252"/>
    </row>
    <row r="18" spans="1:85" s="253" customFormat="1" ht="30.5" customHeight="1">
      <c r="A18" s="244"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249">
        <v>6990000</v>
      </c>
      <c r="H18" s="249">
        <f t="shared" si="4"/>
        <v>0</v>
      </c>
      <c r="I18" s="249">
        <f t="shared" si="5"/>
        <v>19160000</v>
      </c>
      <c r="J18" s="283">
        <v>1</v>
      </c>
      <c r="K18" s="250">
        <v>10.5</v>
      </c>
      <c r="L18" s="250"/>
      <c r="M18" s="250">
        <v>0.5</v>
      </c>
      <c r="N18" s="250"/>
      <c r="O18" s="250">
        <v>2</v>
      </c>
      <c r="P18" s="250"/>
      <c r="Q18" s="250"/>
      <c r="R18" s="250">
        <v>0</v>
      </c>
      <c r="S18" s="250">
        <v>0</v>
      </c>
      <c r="T18" s="250"/>
      <c r="U18" s="250">
        <v>0</v>
      </c>
      <c r="V18" s="250">
        <v>0</v>
      </c>
      <c r="W18" s="250">
        <v>0</v>
      </c>
      <c r="X18" s="250">
        <v>0</v>
      </c>
      <c r="Y18" s="249">
        <f t="shared" si="29"/>
        <v>2822884.6153846155</v>
      </c>
      <c r="Z18" s="249">
        <f t="shared" si="6"/>
        <v>134423.07692307694</v>
      </c>
      <c r="AA18" s="249">
        <f t="shared" si="7"/>
        <v>0</v>
      </c>
      <c r="AB18" s="249">
        <f t="shared" si="8"/>
        <v>537692.30769230775</v>
      </c>
      <c r="AC18" s="249">
        <f t="shared" si="9"/>
        <v>0</v>
      </c>
      <c r="AD18" s="249">
        <f t="shared" si="10"/>
        <v>0</v>
      </c>
      <c r="AE18" s="249">
        <f t="shared" si="11"/>
        <v>0</v>
      </c>
      <c r="AF18" s="249">
        <f t="shared" si="12"/>
        <v>0</v>
      </c>
      <c r="AG18" s="249">
        <f t="shared" si="13"/>
        <v>0</v>
      </c>
      <c r="AH18" s="249">
        <f t="shared" si="14"/>
        <v>0</v>
      </c>
      <c r="AI18" s="249">
        <f t="shared" si="15"/>
        <v>0</v>
      </c>
      <c r="AJ18" s="249"/>
      <c r="AK18" s="249">
        <f t="shared" si="16"/>
        <v>0</v>
      </c>
      <c r="AL18" s="249"/>
      <c r="AM18" s="249">
        <f t="shared" si="17"/>
        <v>0</v>
      </c>
      <c r="AN18" s="249">
        <f t="shared" si="30"/>
        <v>0</v>
      </c>
      <c r="AO18" s="249">
        <f t="shared" si="18"/>
        <v>10159230.76923077</v>
      </c>
      <c r="AP18" s="249"/>
      <c r="AQ18" s="249"/>
      <c r="AR18" s="28">
        <v>720000</v>
      </c>
      <c r="AS18" s="249"/>
      <c r="AT18" s="249"/>
      <c r="AU18" s="249"/>
      <c r="AV18" s="249">
        <f t="shared" si="19"/>
        <v>14374230.76923077</v>
      </c>
      <c r="AW18" s="249"/>
      <c r="AX18" s="249" t="s">
        <v>101</v>
      </c>
      <c r="AY18" s="251">
        <f t="shared" si="20"/>
        <v>559200</v>
      </c>
      <c r="AZ18" s="251">
        <f t="shared" si="20"/>
        <v>104850</v>
      </c>
      <c r="BA18" s="251">
        <f t="shared" si="20"/>
        <v>69900</v>
      </c>
      <c r="BB18" s="251">
        <f t="shared" si="21"/>
        <v>733950</v>
      </c>
      <c r="BC18" s="251"/>
      <c r="BD18" s="251"/>
      <c r="BE18" s="251">
        <f t="shared" si="22"/>
        <v>69900</v>
      </c>
      <c r="BF18" s="251">
        <f t="shared" si="31"/>
        <v>2768134.6153846155</v>
      </c>
      <c r="BG18" s="251">
        <f t="shared" si="23"/>
        <v>11606096.153846154</v>
      </c>
      <c r="BH18" s="251"/>
      <c r="BI18" s="251">
        <f t="shared" si="24"/>
        <v>-127853.84615384601</v>
      </c>
      <c r="BJ18" s="243">
        <f t="shared" si="25"/>
        <v>0</v>
      </c>
      <c r="BK18" s="251"/>
      <c r="BL18" s="251"/>
      <c r="BM18" s="251">
        <v>0</v>
      </c>
      <c r="BN18" s="251"/>
      <c r="BO18" s="251"/>
      <c r="BP18" s="251"/>
      <c r="BQ18" s="251"/>
      <c r="BR18" s="251"/>
      <c r="BS18" s="251" t="str">
        <f t="shared" si="26"/>
        <v>80%</v>
      </c>
      <c r="BT18" s="251">
        <f t="shared" si="32"/>
        <v>11499384.615384616</v>
      </c>
      <c r="BU18" s="242">
        <v>23000000</v>
      </c>
      <c r="BV18" s="152">
        <v>0</v>
      </c>
      <c r="BW18" s="152">
        <v>2000000</v>
      </c>
      <c r="BX18" s="152">
        <v>200000</v>
      </c>
      <c r="BY18" s="243">
        <f t="shared" si="27"/>
        <v>1150000</v>
      </c>
      <c r="BZ18" s="243">
        <f t="shared" si="28"/>
        <v>26350000</v>
      </c>
      <c r="CA18" s="243" t="s">
        <v>114</v>
      </c>
      <c r="CB18" s="243"/>
      <c r="CC18" s="284"/>
      <c r="CD18" s="285"/>
      <c r="CE18" s="285"/>
      <c r="CF18" s="252"/>
      <c r="CG18" s="252"/>
    </row>
    <row r="19" spans="1:85" s="253" customFormat="1" ht="30.5" customHeight="1">
      <c r="A19" s="244">
        <v>5</v>
      </c>
      <c r="B19" s="254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249">
        <v>4850000</v>
      </c>
      <c r="H19" s="249">
        <f t="shared" si="4"/>
        <v>300000</v>
      </c>
      <c r="I19" s="249">
        <f t="shared" si="5"/>
        <v>6400000</v>
      </c>
      <c r="J19" s="283">
        <v>1</v>
      </c>
      <c r="K19" s="250">
        <v>11</v>
      </c>
      <c r="L19" s="250"/>
      <c r="M19" s="250"/>
      <c r="N19" s="250"/>
      <c r="O19" s="250">
        <v>2</v>
      </c>
      <c r="P19" s="250"/>
      <c r="Q19" s="250"/>
      <c r="R19" s="250">
        <v>4</v>
      </c>
      <c r="S19" s="250">
        <v>0</v>
      </c>
      <c r="T19" s="250"/>
      <c r="U19" s="250">
        <v>0</v>
      </c>
      <c r="V19" s="250">
        <v>0</v>
      </c>
      <c r="W19" s="250">
        <v>0</v>
      </c>
      <c r="X19" s="250">
        <v>0</v>
      </c>
      <c r="Y19" s="249">
        <f t="shared" si="29"/>
        <v>2051923.076923077</v>
      </c>
      <c r="Z19" s="249">
        <f t="shared" si="6"/>
        <v>0</v>
      </c>
      <c r="AA19" s="249">
        <f t="shared" si="7"/>
        <v>0</v>
      </c>
      <c r="AB19" s="249">
        <f t="shared" si="8"/>
        <v>373076.92307692306</v>
      </c>
      <c r="AC19" s="249">
        <f t="shared" si="9"/>
        <v>0</v>
      </c>
      <c r="AD19" s="249">
        <f t="shared" si="10"/>
        <v>0</v>
      </c>
      <c r="AE19" s="249">
        <f t="shared" si="11"/>
        <v>2238461.5384615385</v>
      </c>
      <c r="AF19" s="249">
        <f t="shared" si="12"/>
        <v>0</v>
      </c>
      <c r="AG19" s="249">
        <f t="shared" si="13"/>
        <v>0</v>
      </c>
      <c r="AH19" s="249">
        <f t="shared" si="14"/>
        <v>0</v>
      </c>
      <c r="AI19" s="249">
        <f t="shared" si="15"/>
        <v>0</v>
      </c>
      <c r="AJ19" s="249"/>
      <c r="AK19" s="249">
        <f t="shared" si="16"/>
        <v>0</v>
      </c>
      <c r="AL19" s="249"/>
      <c r="AM19" s="249">
        <f t="shared" si="17"/>
        <v>0</v>
      </c>
      <c r="AN19" s="249">
        <f t="shared" si="30"/>
        <v>126923.07692307694</v>
      </c>
      <c r="AO19" s="249">
        <f t="shared" si="18"/>
        <v>2707692.3076923075</v>
      </c>
      <c r="AP19" s="249"/>
      <c r="AQ19" s="249"/>
      <c r="AR19" s="28">
        <v>560000</v>
      </c>
      <c r="AS19" s="249"/>
      <c r="AT19" s="249"/>
      <c r="AU19" s="249"/>
      <c r="AV19" s="249">
        <f t="shared" si="19"/>
        <v>8058076.9230769221</v>
      </c>
      <c r="AW19" s="249"/>
      <c r="AX19" s="249" t="s">
        <v>101</v>
      </c>
      <c r="AY19" s="251">
        <f t="shared" si="20"/>
        <v>412000</v>
      </c>
      <c r="AZ19" s="251">
        <f t="shared" si="20"/>
        <v>77250</v>
      </c>
      <c r="BA19" s="251">
        <f t="shared" si="20"/>
        <v>51500</v>
      </c>
      <c r="BB19" s="251">
        <f t="shared" si="21"/>
        <v>540750</v>
      </c>
      <c r="BC19" s="251"/>
      <c r="BD19" s="251"/>
      <c r="BE19" s="251">
        <f t="shared" si="22"/>
        <v>48500</v>
      </c>
      <c r="BF19" s="251">
        <f t="shared" si="31"/>
        <v>1684711.5384615383</v>
      </c>
      <c r="BG19" s="251">
        <f t="shared" si="23"/>
        <v>6373365.384615384</v>
      </c>
      <c r="BH19" s="251"/>
      <c r="BI19" s="251">
        <f t="shared" si="24"/>
        <v>-5167384.615384616</v>
      </c>
      <c r="BJ19" s="243">
        <f t="shared" si="25"/>
        <v>0</v>
      </c>
      <c r="BK19" s="251"/>
      <c r="BL19" s="251"/>
      <c r="BM19" s="251">
        <v>0</v>
      </c>
      <c r="BN19" s="251"/>
      <c r="BO19" s="251"/>
      <c r="BP19" s="251"/>
      <c r="BQ19" s="251"/>
      <c r="BR19" s="251"/>
      <c r="BS19" s="251" t="str">
        <f t="shared" si="26"/>
        <v>100%</v>
      </c>
      <c r="BT19" s="251">
        <f t="shared" si="32"/>
        <v>8058076.9230769221</v>
      </c>
      <c r="BU19" s="242">
        <v>11000000</v>
      </c>
      <c r="BV19" s="152">
        <v>0</v>
      </c>
      <c r="BW19" s="152">
        <v>0</v>
      </c>
      <c r="BX19" s="152">
        <v>200000</v>
      </c>
      <c r="BY19" s="243">
        <f t="shared" si="27"/>
        <v>550000</v>
      </c>
      <c r="BZ19" s="243">
        <f t="shared" si="28"/>
        <v>11750000</v>
      </c>
      <c r="CA19" s="243" t="s">
        <v>118</v>
      </c>
      <c r="CB19" s="243"/>
      <c r="CC19" s="284"/>
      <c r="CD19" s="285"/>
      <c r="CE19" s="285"/>
      <c r="CF19" s="252"/>
      <c r="CG19" s="252"/>
    </row>
    <row r="20" spans="1:85" s="253" customFormat="1" ht="30.5" customHeight="1">
      <c r="A20" s="244"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249">
        <v>6340000</v>
      </c>
      <c r="H20" s="249">
        <f t="shared" si="4"/>
        <v>0</v>
      </c>
      <c r="I20" s="249">
        <f t="shared" si="5"/>
        <v>17810000</v>
      </c>
      <c r="J20" s="283">
        <v>1</v>
      </c>
      <c r="K20" s="250">
        <v>10.5</v>
      </c>
      <c r="L20" s="250"/>
      <c r="M20" s="250">
        <v>0.5</v>
      </c>
      <c r="N20" s="250"/>
      <c r="O20" s="250">
        <v>2</v>
      </c>
      <c r="P20" s="250"/>
      <c r="Q20" s="250"/>
      <c r="R20" s="250">
        <v>0</v>
      </c>
      <c r="S20" s="250">
        <v>0</v>
      </c>
      <c r="T20" s="250"/>
      <c r="U20" s="250">
        <v>0</v>
      </c>
      <c r="V20" s="250">
        <v>0</v>
      </c>
      <c r="W20" s="250">
        <v>0</v>
      </c>
      <c r="X20" s="250">
        <v>0</v>
      </c>
      <c r="Y20" s="249">
        <f t="shared" si="29"/>
        <v>2560384.6153846155</v>
      </c>
      <c r="Z20" s="249">
        <f t="shared" si="6"/>
        <v>121923.07692307692</v>
      </c>
      <c r="AA20" s="249">
        <f t="shared" si="7"/>
        <v>0</v>
      </c>
      <c r="AB20" s="249">
        <f t="shared" si="8"/>
        <v>487692.30769230769</v>
      </c>
      <c r="AC20" s="249">
        <f t="shared" si="9"/>
        <v>0</v>
      </c>
      <c r="AD20" s="249">
        <f t="shared" si="10"/>
        <v>0</v>
      </c>
      <c r="AE20" s="249">
        <f t="shared" si="11"/>
        <v>0</v>
      </c>
      <c r="AF20" s="249">
        <f t="shared" si="12"/>
        <v>0</v>
      </c>
      <c r="AG20" s="249">
        <f t="shared" si="13"/>
        <v>0</v>
      </c>
      <c r="AH20" s="249">
        <f t="shared" si="14"/>
        <v>0</v>
      </c>
      <c r="AI20" s="249">
        <f t="shared" si="15"/>
        <v>0</v>
      </c>
      <c r="AJ20" s="249"/>
      <c r="AK20" s="249">
        <f t="shared" si="16"/>
        <v>0</v>
      </c>
      <c r="AL20" s="249"/>
      <c r="AM20" s="249">
        <f t="shared" si="17"/>
        <v>0</v>
      </c>
      <c r="AN20" s="249">
        <f t="shared" si="30"/>
        <v>0</v>
      </c>
      <c r="AO20" s="249">
        <f t="shared" si="18"/>
        <v>9574134.615384616</v>
      </c>
      <c r="AP20" s="249"/>
      <c r="AQ20" s="249"/>
      <c r="AR20" s="28">
        <v>720000</v>
      </c>
      <c r="AS20" s="249"/>
      <c r="AT20" s="249"/>
      <c r="AU20" s="249"/>
      <c r="AV20" s="249">
        <f t="shared" si="19"/>
        <v>13464134.615384616</v>
      </c>
      <c r="AW20" s="249"/>
      <c r="AX20" s="249" t="s">
        <v>101</v>
      </c>
      <c r="AY20" s="251">
        <f t="shared" si="20"/>
        <v>507200</v>
      </c>
      <c r="AZ20" s="251">
        <f t="shared" si="20"/>
        <v>95100</v>
      </c>
      <c r="BA20" s="251">
        <f t="shared" si="20"/>
        <v>63400</v>
      </c>
      <c r="BB20" s="251">
        <f t="shared" si="21"/>
        <v>665700</v>
      </c>
      <c r="BC20" s="251"/>
      <c r="BD20" s="251"/>
      <c r="BE20" s="251">
        <f t="shared" si="22"/>
        <v>63400</v>
      </c>
      <c r="BF20" s="251">
        <f t="shared" si="31"/>
        <v>2631620.192307692</v>
      </c>
      <c r="BG20" s="251">
        <f t="shared" si="23"/>
        <v>10832514.423076924</v>
      </c>
      <c r="BH20" s="251"/>
      <c r="BI20" s="251">
        <f t="shared" si="24"/>
        <v>-833185.57692307606</v>
      </c>
      <c r="BJ20" s="243">
        <f t="shared" si="25"/>
        <v>0</v>
      </c>
      <c r="BK20" s="251"/>
      <c r="BL20" s="251"/>
      <c r="BM20" s="251">
        <v>0</v>
      </c>
      <c r="BN20" s="251"/>
      <c r="BO20" s="251"/>
      <c r="BP20" s="251"/>
      <c r="BQ20" s="251"/>
      <c r="BR20" s="251"/>
      <c r="BS20" s="251" t="str">
        <f t="shared" si="26"/>
        <v>80%</v>
      </c>
      <c r="BT20" s="251">
        <f t="shared" si="32"/>
        <v>10771307.692307694</v>
      </c>
      <c r="BU20" s="242">
        <v>23000000</v>
      </c>
      <c r="BV20" s="152">
        <v>0</v>
      </c>
      <c r="BW20" s="152">
        <v>0</v>
      </c>
      <c r="BX20" s="152">
        <v>200000</v>
      </c>
      <c r="BY20" s="243">
        <f t="shared" si="27"/>
        <v>1150000</v>
      </c>
      <c r="BZ20" s="243">
        <f t="shared" si="28"/>
        <v>24350000</v>
      </c>
      <c r="CA20" s="243" t="s">
        <v>114</v>
      </c>
      <c r="CB20" s="243"/>
      <c r="CC20" s="284"/>
      <c r="CD20" s="285"/>
      <c r="CE20" s="285"/>
      <c r="CF20" s="252"/>
      <c r="CG20" s="252"/>
    </row>
    <row r="21" spans="1:85" s="253" customFormat="1" ht="30.5" customHeight="1">
      <c r="A21" s="244">
        <v>7</v>
      </c>
      <c r="B21" s="254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249">
        <v>6340000</v>
      </c>
      <c r="H21" s="249">
        <f t="shared" si="4"/>
        <v>300000</v>
      </c>
      <c r="I21" s="249">
        <f t="shared" si="5"/>
        <v>11210000</v>
      </c>
      <c r="J21" s="283">
        <v>1</v>
      </c>
      <c r="K21" s="250">
        <v>11</v>
      </c>
      <c r="L21" s="250"/>
      <c r="M21" s="250"/>
      <c r="N21" s="250"/>
      <c r="O21" s="250">
        <v>2</v>
      </c>
      <c r="P21" s="250"/>
      <c r="Q21" s="250"/>
      <c r="R21" s="250">
        <v>4</v>
      </c>
      <c r="S21" s="250">
        <v>0</v>
      </c>
      <c r="T21" s="250"/>
      <c r="U21" s="250">
        <v>0</v>
      </c>
      <c r="V21" s="250">
        <v>0</v>
      </c>
      <c r="W21" s="250">
        <v>0</v>
      </c>
      <c r="X21" s="250">
        <v>0</v>
      </c>
      <c r="Y21" s="249">
        <f t="shared" si="29"/>
        <v>2682307.6923076925</v>
      </c>
      <c r="Z21" s="249">
        <f t="shared" si="6"/>
        <v>0</v>
      </c>
      <c r="AA21" s="249">
        <f t="shared" si="7"/>
        <v>0</v>
      </c>
      <c r="AB21" s="249">
        <f t="shared" si="8"/>
        <v>487692.30769230769</v>
      </c>
      <c r="AC21" s="249">
        <f t="shared" si="9"/>
        <v>0</v>
      </c>
      <c r="AD21" s="249">
        <f t="shared" si="10"/>
        <v>0</v>
      </c>
      <c r="AE21" s="249">
        <f t="shared" si="11"/>
        <v>2926153.846153846</v>
      </c>
      <c r="AF21" s="249">
        <f t="shared" si="12"/>
        <v>0</v>
      </c>
      <c r="AG21" s="249">
        <f t="shared" si="13"/>
        <v>0</v>
      </c>
      <c r="AH21" s="249">
        <f t="shared" si="14"/>
        <v>0</v>
      </c>
      <c r="AI21" s="249">
        <f t="shared" si="15"/>
        <v>0</v>
      </c>
      <c r="AJ21" s="249"/>
      <c r="AK21" s="249">
        <f t="shared" si="16"/>
        <v>0</v>
      </c>
      <c r="AL21" s="249"/>
      <c r="AM21" s="249">
        <f t="shared" si="17"/>
        <v>0</v>
      </c>
      <c r="AN21" s="249">
        <f t="shared" si="30"/>
        <v>126923.07692307694</v>
      </c>
      <c r="AO21" s="249">
        <f t="shared" si="18"/>
        <v>6249230.7692307699</v>
      </c>
      <c r="AP21" s="249"/>
      <c r="AQ21" s="249"/>
      <c r="AR21" s="28">
        <v>560000</v>
      </c>
      <c r="AS21" s="249"/>
      <c r="AT21" s="249"/>
      <c r="AU21" s="249"/>
      <c r="AV21" s="249">
        <f t="shared" si="19"/>
        <v>13032307.692307692</v>
      </c>
      <c r="AW21" s="249"/>
      <c r="AX21" s="249" t="s">
        <v>101</v>
      </c>
      <c r="AY21" s="251">
        <f t="shared" si="20"/>
        <v>531200</v>
      </c>
      <c r="AZ21" s="251">
        <f t="shared" si="20"/>
        <v>99600</v>
      </c>
      <c r="BA21" s="251">
        <f t="shared" si="20"/>
        <v>66400</v>
      </c>
      <c r="BB21" s="251">
        <f t="shared" si="21"/>
        <v>697200</v>
      </c>
      <c r="BC21" s="251"/>
      <c r="BD21" s="251"/>
      <c r="BE21" s="251">
        <f t="shared" si="22"/>
        <v>63400</v>
      </c>
      <c r="BF21" s="251">
        <f t="shared" si="31"/>
        <v>2430846.153846154</v>
      </c>
      <c r="BG21" s="251">
        <f t="shared" si="23"/>
        <v>10601461.538461538</v>
      </c>
      <c r="BH21" s="251"/>
      <c r="BI21" s="251">
        <f t="shared" si="24"/>
        <v>-1095738.461538462</v>
      </c>
      <c r="BJ21" s="243">
        <f t="shared" si="25"/>
        <v>0</v>
      </c>
      <c r="BK21" s="251"/>
      <c r="BL21" s="251"/>
      <c r="BM21" s="251">
        <v>0</v>
      </c>
      <c r="BN21" s="251"/>
      <c r="BO21" s="251"/>
      <c r="BP21" s="251"/>
      <c r="BQ21" s="251"/>
      <c r="BR21" s="251"/>
      <c r="BS21" s="251" t="str">
        <f t="shared" si="26"/>
        <v>80%</v>
      </c>
      <c r="BT21" s="251">
        <f t="shared" si="32"/>
        <v>10425846.153846154</v>
      </c>
      <c r="BU21" s="242">
        <v>17000000</v>
      </c>
      <c r="BV21" s="152">
        <v>0</v>
      </c>
      <c r="BW21" s="152">
        <v>0</v>
      </c>
      <c r="BX21" s="152">
        <v>200000</v>
      </c>
      <c r="BY21" s="243">
        <f t="shared" si="27"/>
        <v>850000</v>
      </c>
      <c r="BZ21" s="243">
        <f t="shared" si="28"/>
        <v>18050000</v>
      </c>
      <c r="CA21" s="243" t="s">
        <v>118</v>
      </c>
      <c r="CB21" s="243"/>
      <c r="CC21" s="284"/>
      <c r="CD21" s="285"/>
      <c r="CE21" s="285"/>
      <c r="CF21" s="252"/>
      <c r="CG21" s="252"/>
    </row>
    <row r="22" spans="1:85" s="286" customFormat="1" ht="18.75" customHeight="1">
      <c r="B22" s="287"/>
      <c r="I22" s="288"/>
      <c r="J22" s="288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90"/>
      <c r="V22" s="290"/>
      <c r="W22" s="291"/>
      <c r="X22" s="291"/>
      <c r="AC22" s="292"/>
      <c r="BJ22" s="293"/>
      <c r="BN22" s="293"/>
      <c r="BO22" s="293"/>
      <c r="BP22" s="293"/>
      <c r="BQ22" s="293"/>
      <c r="BR22" s="293"/>
      <c r="BS22" s="293"/>
      <c r="BT22" s="293"/>
      <c r="BU22" s="294"/>
      <c r="BV22" s="294"/>
      <c r="BW22" s="294"/>
      <c r="BX22" s="294"/>
      <c r="BY22" s="294"/>
      <c r="CD22" s="295"/>
    </row>
    <row r="23" spans="1:85" s="296" customFormat="1" ht="21" customHeight="1">
      <c r="B23" s="297"/>
      <c r="C23" s="297"/>
      <c r="D23" s="297"/>
      <c r="E23" s="297"/>
      <c r="F23" s="297"/>
      <c r="G23" s="297"/>
      <c r="H23" s="297"/>
      <c r="I23" s="297"/>
      <c r="J23" s="298"/>
      <c r="K23" s="299"/>
      <c r="L23" s="299"/>
      <c r="M23" s="299"/>
      <c r="N23" s="299"/>
      <c r="O23" s="299"/>
      <c r="P23" s="299"/>
      <c r="Q23" s="299"/>
      <c r="U23" s="300"/>
      <c r="V23" s="299"/>
      <c r="W23" s="297"/>
      <c r="X23" s="297"/>
      <c r="Y23" s="297"/>
      <c r="Z23" s="297"/>
      <c r="AA23" s="297"/>
      <c r="AB23" s="297"/>
      <c r="AC23" s="297"/>
      <c r="AK23" s="297"/>
      <c r="AM23" s="297"/>
      <c r="AN23" s="297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BC23" s="301"/>
      <c r="BD23" s="301"/>
      <c r="BJ23" s="297"/>
      <c r="BL23" s="297"/>
      <c r="BM23" s="297"/>
      <c r="BN23" s="297" t="s">
        <v>119</v>
      </c>
      <c r="BO23" s="297"/>
      <c r="BP23" s="297"/>
      <c r="BQ23" s="297"/>
      <c r="BR23" s="297"/>
      <c r="BS23" s="297"/>
      <c r="BT23" s="297"/>
      <c r="BU23" s="302"/>
      <c r="BV23" s="302"/>
      <c r="BW23" s="302"/>
      <c r="BX23" s="302"/>
      <c r="BY23" s="302"/>
    </row>
    <row r="24" spans="1:85" s="296" customFormat="1" ht="18" customHeight="1">
      <c r="B24" s="303"/>
      <c r="I24" s="298"/>
      <c r="J24" s="298"/>
      <c r="K24" s="300"/>
      <c r="L24" s="300"/>
      <c r="M24" s="300"/>
      <c r="N24" s="300"/>
      <c r="O24" s="300"/>
      <c r="P24" s="300"/>
      <c r="Q24" s="300"/>
      <c r="R24" s="299"/>
      <c r="U24" s="300"/>
      <c r="V24" s="300"/>
      <c r="W24" s="304"/>
      <c r="X24" s="304"/>
      <c r="AN24" s="302"/>
      <c r="AV24" s="297"/>
      <c r="AW24" s="297"/>
      <c r="AX24" s="297"/>
      <c r="AY24" s="302"/>
      <c r="AZ24" s="302"/>
      <c r="BA24" s="302"/>
      <c r="BB24" s="302"/>
      <c r="BL24" s="297"/>
      <c r="BM24" s="301"/>
      <c r="BU24" s="302"/>
      <c r="BV24" s="302"/>
      <c r="BW24" s="302"/>
      <c r="BX24" s="302"/>
      <c r="BY24" s="302"/>
      <c r="CD24" s="305"/>
    </row>
    <row r="25" spans="1:85" ht="15" customHeight="1">
      <c r="D25" s="309" t="s">
        <v>152</v>
      </c>
      <c r="I25" s="310"/>
      <c r="X25" s="258"/>
      <c r="BX25" s="258" t="s">
        <v>147</v>
      </c>
      <c r="CD25" s="314"/>
    </row>
    <row r="26" spans="1:85" ht="73.5" customHeight="1">
      <c r="J26" s="257"/>
      <c r="X26" s="258"/>
    </row>
  </sheetData>
  <mergeCells count="81">
    <mergeCell ref="A8:A11"/>
    <mergeCell ref="AS8:AS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L9:L11"/>
    <mergeCell ref="N9:N11"/>
    <mergeCell ref="C8:C11"/>
    <mergeCell ref="AQ8:AQ11"/>
    <mergeCell ref="U9:U11"/>
    <mergeCell ref="D8:D11"/>
    <mergeCell ref="BF10:BF11"/>
    <mergeCell ref="BO10:BO11"/>
    <mergeCell ref="Q9:Q11"/>
    <mergeCell ref="S9:S11"/>
    <mergeCell ref="BL10:BL11"/>
    <mergeCell ref="AC9:AC11"/>
    <mergeCell ref="AR8:AR11"/>
    <mergeCell ref="I8:I11"/>
    <mergeCell ref="BK10:BK11"/>
    <mergeCell ref="AP8:AP11"/>
    <mergeCell ref="R9:R11"/>
    <mergeCell ref="BU3:BZ6"/>
    <mergeCell ref="AU8:AU11"/>
    <mergeCell ref="BS8:BS11"/>
    <mergeCell ref="BK9:BP9"/>
    <mergeCell ref="BV8:BY10"/>
    <mergeCell ref="BI10:BI11"/>
    <mergeCell ref="AV8:AV11"/>
    <mergeCell ref="BR9:BR11"/>
    <mergeCell ref="BM10:BM11"/>
    <mergeCell ref="BN10:BN11"/>
    <mergeCell ref="BP10:BP11"/>
    <mergeCell ref="BU8:BU11"/>
    <mergeCell ref="BQ8:BR8"/>
    <mergeCell ref="BQ9:BQ11"/>
    <mergeCell ref="CA8:CA11"/>
    <mergeCell ref="AW8:AW11"/>
    <mergeCell ref="A3:BT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AY9:BJ9"/>
    <mergeCell ref="BT8:BT11"/>
    <mergeCell ref="E8:E11"/>
    <mergeCell ref="G8:G11"/>
    <mergeCell ref="AG9:AG11"/>
    <mergeCell ref="Z9:Z11"/>
    <mergeCell ref="AD9:AD11"/>
    <mergeCell ref="BG10:BG11"/>
    <mergeCell ref="V9:W10"/>
    <mergeCell ref="X9:X11"/>
    <mergeCell ref="AI9:AI11"/>
    <mergeCell ref="H8:H11"/>
    <mergeCell ref="J8:J11"/>
    <mergeCell ref="AT8:AT11"/>
    <mergeCell ref="F8:F11"/>
    <mergeCell ref="CB8:CB11"/>
    <mergeCell ref="Y9:Y11"/>
    <mergeCell ref="AA9:AA11"/>
    <mergeCell ref="AK9:AK11"/>
    <mergeCell ref="AM9:AM11"/>
    <mergeCell ref="AX8:AX11"/>
    <mergeCell ref="Y8:AO8"/>
    <mergeCell ref="BJ10:BJ11"/>
    <mergeCell ref="BZ8:BZ11"/>
    <mergeCell ref="AJ9:AJ11"/>
    <mergeCell ref="AL9:AL11"/>
    <mergeCell ref="AN9:AN11"/>
  </mergeCells>
  <conditionalFormatting sqref="B1:B6 B22:B1048576 B12:BT12">
    <cfRule type="duplicateValues" dxfId="17" priority="101"/>
  </conditionalFormatting>
  <conditionalFormatting sqref="B1:B6 B22:B1048576 D13:F13 J13:BI13 BK13:CB13 B12:CB12">
    <cfRule type="duplicateValues" dxfId="16" priority="104"/>
  </conditionalFormatting>
  <conditionalFormatting sqref="B8:B11">
    <cfRule type="duplicateValues" dxfId="15" priority="4"/>
    <cfRule type="duplicateValues" dxfId="14" priority="5"/>
  </conditionalFormatting>
  <conditionalFormatting sqref="B15:B21">
    <cfRule type="duplicateValues" dxfId="13" priority="7"/>
    <cfRule type="duplicateValues" dxfId="12" priority="6"/>
    <cfRule type="duplicateValues" dxfId="11" priority="8"/>
  </conditionalFormatting>
  <conditionalFormatting sqref="BJ13">
    <cfRule type="duplicateValues" dxfId="10" priority="9"/>
  </conditionalFormatting>
  <conditionalFormatting sqref="B7">
    <cfRule type="duplicateValues" dxfId="2" priority="1"/>
    <cfRule type="duplicateValues" dxfId="1" priority="2"/>
  </conditionalFormatting>
  <conditionalFormatting sqref="B7">
    <cfRule type="duplicateValues" dxfId="0" priority="3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25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  <c r="AE3" s="416"/>
      <c r="AF3" s="416"/>
      <c r="AG3" s="416"/>
      <c r="AH3" s="416"/>
      <c r="AI3" s="416"/>
      <c r="AJ3" s="416"/>
      <c r="AK3" s="416"/>
      <c r="AL3" s="416"/>
      <c r="AM3" s="416"/>
      <c r="AN3" s="416"/>
      <c r="AO3" s="416"/>
      <c r="AP3" s="416"/>
      <c r="AQ3" s="416"/>
      <c r="AR3" s="416"/>
      <c r="AS3" s="416"/>
      <c r="AT3" s="416"/>
      <c r="AU3" s="416"/>
      <c r="AV3" s="416"/>
      <c r="AW3" s="416"/>
      <c r="AX3" s="416"/>
      <c r="AY3" s="416"/>
      <c r="AZ3" s="416"/>
      <c r="BA3" s="416"/>
      <c r="BB3" s="416"/>
      <c r="BC3" s="416"/>
      <c r="BD3" s="416"/>
      <c r="BE3" s="416"/>
      <c r="BF3" s="416"/>
      <c r="BG3" s="416"/>
      <c r="BH3" s="416"/>
      <c r="BI3" s="416"/>
      <c r="BJ3" s="416"/>
      <c r="BK3" s="416"/>
      <c r="BL3" s="416"/>
      <c r="BM3" s="416"/>
      <c r="BN3" s="416"/>
      <c r="BO3" s="416"/>
      <c r="BP3" s="416"/>
      <c r="BQ3" s="416"/>
      <c r="BR3" s="416"/>
      <c r="BS3" s="416"/>
      <c r="BT3" s="416"/>
      <c r="BU3" s="416"/>
      <c r="BW3" s="415" t="s">
        <v>2</v>
      </c>
      <c r="BX3" s="416"/>
      <c r="BY3" s="416"/>
      <c r="BZ3" s="416"/>
      <c r="CA3" s="416"/>
      <c r="CB3" s="416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6"/>
      <c r="BX4" s="416"/>
      <c r="BY4" s="416"/>
      <c r="BZ4" s="416"/>
      <c r="CA4" s="416"/>
      <c r="CB4" s="416"/>
      <c r="CC4" s="42"/>
      <c r="CD4" s="42"/>
    </row>
    <row r="5" spans="1:87" s="45" customFormat="1">
      <c r="A5" s="428" t="s">
        <v>4</v>
      </c>
      <c r="B5" s="427" t="s">
        <v>5</v>
      </c>
      <c r="C5" s="401" t="s">
        <v>6</v>
      </c>
      <c r="D5" s="426" t="s">
        <v>141</v>
      </c>
      <c r="E5" s="426" t="s">
        <v>8</v>
      </c>
      <c r="F5" s="513" t="s">
        <v>142</v>
      </c>
      <c r="G5" s="401" t="s">
        <v>10</v>
      </c>
      <c r="H5" s="352" t="s">
        <v>11</v>
      </c>
      <c r="I5" s="352" t="s">
        <v>12</v>
      </c>
      <c r="J5" s="401" t="s">
        <v>13</v>
      </c>
      <c r="K5" s="430" t="s">
        <v>14</v>
      </c>
      <c r="L5" s="412"/>
      <c r="M5" s="412"/>
      <c r="N5" s="412"/>
      <c r="O5" s="412"/>
      <c r="P5" s="412"/>
      <c r="Q5" s="412"/>
      <c r="R5" s="412"/>
      <c r="S5" s="412"/>
      <c r="T5" s="412"/>
      <c r="U5" s="412"/>
      <c r="V5" s="412"/>
      <c r="W5" s="412"/>
      <c r="X5" s="412"/>
      <c r="Y5" s="401" t="s">
        <v>15</v>
      </c>
      <c r="Z5" s="412"/>
      <c r="AA5" s="412"/>
      <c r="AB5" s="412"/>
      <c r="AC5" s="412"/>
      <c r="AD5" s="412"/>
      <c r="AE5" s="412"/>
      <c r="AF5" s="412"/>
      <c r="AG5" s="412"/>
      <c r="AH5" s="412"/>
      <c r="AI5" s="412"/>
      <c r="AJ5" s="412"/>
      <c r="AK5" s="412"/>
      <c r="AL5" s="412"/>
      <c r="AM5" s="412"/>
      <c r="AN5" s="412"/>
      <c r="AO5" s="413"/>
      <c r="AP5" s="401" t="s">
        <v>16</v>
      </c>
      <c r="AQ5" s="401" t="s">
        <v>17</v>
      </c>
      <c r="AR5" s="401" t="s">
        <v>18</v>
      </c>
      <c r="AS5" s="401" t="s">
        <v>19</v>
      </c>
      <c r="AT5" s="401" t="s">
        <v>20</v>
      </c>
      <c r="AU5" s="401" t="s">
        <v>21</v>
      </c>
      <c r="AV5" s="401" t="s">
        <v>22</v>
      </c>
      <c r="AW5" s="401" t="s">
        <v>23</v>
      </c>
      <c r="AX5" s="401" t="s">
        <v>24</v>
      </c>
      <c r="AY5" s="411" t="s">
        <v>25</v>
      </c>
      <c r="AZ5" s="412"/>
      <c r="BA5" s="412"/>
      <c r="BB5" s="412"/>
      <c r="BC5" s="412"/>
      <c r="BD5" s="412"/>
      <c r="BE5" s="412"/>
      <c r="BF5" s="412"/>
      <c r="BG5" s="412"/>
      <c r="BH5" s="412"/>
      <c r="BI5" s="412"/>
      <c r="BJ5" s="412"/>
      <c r="BK5" s="412"/>
      <c r="BL5" s="412"/>
      <c r="BM5" s="412"/>
      <c r="BN5" s="412"/>
      <c r="BO5" s="412"/>
      <c r="BP5" s="413"/>
      <c r="BQ5" s="417" t="s">
        <v>26</v>
      </c>
      <c r="BR5" s="418"/>
      <c r="BS5" s="411" t="s">
        <v>143</v>
      </c>
      <c r="BT5" s="411" t="s">
        <v>27</v>
      </c>
      <c r="BU5" s="405" t="s">
        <v>28</v>
      </c>
      <c r="BW5" s="408" t="s">
        <v>29</v>
      </c>
      <c r="BX5" s="419" t="s">
        <v>30</v>
      </c>
      <c r="BY5" s="420"/>
      <c r="BZ5" s="420"/>
      <c r="CA5" s="418"/>
      <c r="CB5" s="414" t="s">
        <v>31</v>
      </c>
      <c r="CC5" s="396" t="s">
        <v>32</v>
      </c>
      <c r="CD5" s="396" t="s">
        <v>33</v>
      </c>
      <c r="CH5" s="46"/>
      <c r="CI5" s="47"/>
    </row>
    <row r="6" spans="1:87" s="45" customFormat="1">
      <c r="A6" s="397"/>
      <c r="B6" s="397"/>
      <c r="C6" s="397"/>
      <c r="D6" s="397"/>
      <c r="E6" s="397"/>
      <c r="F6" s="397"/>
      <c r="G6" s="397"/>
      <c r="H6" s="397"/>
      <c r="I6" s="397"/>
      <c r="J6" s="397"/>
      <c r="K6" s="402" t="s">
        <v>34</v>
      </c>
      <c r="L6" s="402" t="s">
        <v>35</v>
      </c>
      <c r="M6" s="402" t="s">
        <v>36</v>
      </c>
      <c r="N6" s="402" t="s">
        <v>37</v>
      </c>
      <c r="O6" s="402" t="s">
        <v>38</v>
      </c>
      <c r="P6" s="402" t="s">
        <v>39</v>
      </c>
      <c r="Q6" s="402" t="s">
        <v>40</v>
      </c>
      <c r="R6" s="402" t="s">
        <v>41</v>
      </c>
      <c r="S6" s="402" t="s">
        <v>42</v>
      </c>
      <c r="T6" s="402" t="s">
        <v>43</v>
      </c>
      <c r="U6" s="402" t="s">
        <v>44</v>
      </c>
      <c r="V6" s="432" t="s">
        <v>45</v>
      </c>
      <c r="W6" s="418"/>
      <c r="X6" s="402" t="s">
        <v>46</v>
      </c>
      <c r="Y6" s="401" t="s">
        <v>47</v>
      </c>
      <c r="Z6" s="401" t="s">
        <v>48</v>
      </c>
      <c r="AA6" s="401" t="s">
        <v>49</v>
      </c>
      <c r="AB6" s="401" t="s">
        <v>50</v>
      </c>
      <c r="AC6" s="352" t="s">
        <v>51</v>
      </c>
      <c r="AD6" s="352" t="s">
        <v>144</v>
      </c>
      <c r="AE6" s="352" t="s">
        <v>53</v>
      </c>
      <c r="AF6" s="352" t="s">
        <v>54</v>
      </c>
      <c r="AG6" s="401" t="s">
        <v>55</v>
      </c>
      <c r="AH6" s="352" t="s">
        <v>56</v>
      </c>
      <c r="AI6" s="352" t="s">
        <v>57</v>
      </c>
      <c r="AJ6" s="401" t="s">
        <v>58</v>
      </c>
      <c r="AK6" s="429" t="s">
        <v>59</v>
      </c>
      <c r="AL6" s="401" t="s">
        <v>60</v>
      </c>
      <c r="AM6" s="401" t="s">
        <v>61</v>
      </c>
      <c r="AN6" s="431" t="s">
        <v>62</v>
      </c>
      <c r="AO6" s="401" t="s">
        <v>63</v>
      </c>
      <c r="AP6" s="397"/>
      <c r="AQ6" s="397"/>
      <c r="AR6" s="397"/>
      <c r="AS6" s="397"/>
      <c r="AT6" s="397"/>
      <c r="AU6" s="397"/>
      <c r="AV6" s="397"/>
      <c r="AW6" s="397"/>
      <c r="AX6" s="397"/>
      <c r="AY6" s="411" t="s">
        <v>25</v>
      </c>
      <c r="AZ6" s="412"/>
      <c r="BA6" s="412"/>
      <c r="BB6" s="412"/>
      <c r="BC6" s="412"/>
      <c r="BD6" s="412"/>
      <c r="BE6" s="412"/>
      <c r="BF6" s="412"/>
      <c r="BG6" s="412"/>
      <c r="BH6" s="412"/>
      <c r="BI6" s="412"/>
      <c r="BJ6" s="413"/>
      <c r="BK6" s="411" t="s">
        <v>64</v>
      </c>
      <c r="BL6" s="412"/>
      <c r="BM6" s="412"/>
      <c r="BN6" s="412"/>
      <c r="BO6" s="412"/>
      <c r="BP6" s="413"/>
      <c r="BQ6" s="399" t="s">
        <v>65</v>
      </c>
      <c r="BR6" s="399" t="s">
        <v>66</v>
      </c>
      <c r="BS6" s="397"/>
      <c r="BT6" s="397"/>
      <c r="BU6" s="406"/>
      <c r="BW6" s="409"/>
      <c r="BX6" s="406"/>
      <c r="BY6" s="421"/>
      <c r="BZ6" s="421"/>
      <c r="CA6" s="409"/>
      <c r="CB6" s="397"/>
      <c r="CC6" s="397"/>
      <c r="CD6" s="397"/>
      <c r="CH6" s="46"/>
      <c r="CI6" s="47"/>
    </row>
    <row r="7" spans="1:87" s="45" customFormat="1" ht="12">
      <c r="A7" s="397"/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  <c r="Q7" s="397"/>
      <c r="R7" s="397"/>
      <c r="S7" s="397"/>
      <c r="T7" s="397"/>
      <c r="U7" s="397"/>
      <c r="V7" s="407"/>
      <c r="W7" s="433"/>
      <c r="X7" s="397"/>
      <c r="Y7" s="397"/>
      <c r="Z7" s="397"/>
      <c r="AA7" s="397"/>
      <c r="AB7" s="397"/>
      <c r="AC7" s="397"/>
      <c r="AD7" s="397"/>
      <c r="AE7" s="397"/>
      <c r="AF7" s="397"/>
      <c r="AG7" s="397"/>
      <c r="AH7" s="397"/>
      <c r="AI7" s="397"/>
      <c r="AJ7" s="397"/>
      <c r="AK7" s="406"/>
      <c r="AL7" s="397"/>
      <c r="AM7" s="397"/>
      <c r="AN7" s="397"/>
      <c r="AO7" s="397"/>
      <c r="AP7" s="397"/>
      <c r="AQ7" s="397"/>
      <c r="AR7" s="397"/>
      <c r="AS7" s="397"/>
      <c r="AT7" s="397"/>
      <c r="AU7" s="397"/>
      <c r="AV7" s="397"/>
      <c r="AW7" s="397"/>
      <c r="AX7" s="397"/>
      <c r="AY7" s="29" t="s">
        <v>67</v>
      </c>
      <c r="AZ7" s="29" t="s">
        <v>68</v>
      </c>
      <c r="BA7" s="29" t="s">
        <v>69</v>
      </c>
      <c r="BB7" s="411" t="s">
        <v>70</v>
      </c>
      <c r="BC7" s="403" t="s">
        <v>71</v>
      </c>
      <c r="BD7" s="403" t="s">
        <v>72</v>
      </c>
      <c r="BE7" s="403" t="s">
        <v>145</v>
      </c>
      <c r="BF7" s="403" t="s">
        <v>74</v>
      </c>
      <c r="BG7" s="403" t="s">
        <v>75</v>
      </c>
      <c r="BH7" s="403" t="s">
        <v>76</v>
      </c>
      <c r="BI7" s="403" t="s">
        <v>79</v>
      </c>
      <c r="BJ7" s="404" t="s">
        <v>80</v>
      </c>
      <c r="BK7" s="403" t="s">
        <v>81</v>
      </c>
      <c r="BL7" s="411" t="s">
        <v>82</v>
      </c>
      <c r="BM7" s="403" t="s">
        <v>83</v>
      </c>
      <c r="BN7" s="411" t="s">
        <v>84</v>
      </c>
      <c r="BO7" s="411" t="s">
        <v>146</v>
      </c>
      <c r="BP7" s="411" t="s">
        <v>85</v>
      </c>
      <c r="BQ7" s="397"/>
      <c r="BR7" s="397"/>
      <c r="BS7" s="397"/>
      <c r="BT7" s="397"/>
      <c r="BU7" s="406"/>
      <c r="BW7" s="409"/>
      <c r="BX7" s="422"/>
      <c r="BY7" s="423"/>
      <c r="BZ7" s="423"/>
      <c r="CA7" s="410"/>
      <c r="CB7" s="397"/>
      <c r="CC7" s="397"/>
      <c r="CD7" s="397"/>
      <c r="CH7" s="46"/>
      <c r="CI7" s="47"/>
    </row>
    <row r="8" spans="1:87" s="45" customFormat="1" ht="22.5" customHeight="1">
      <c r="A8" s="400"/>
      <c r="B8" s="400"/>
      <c r="C8" s="400"/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9" t="s">
        <v>86</v>
      </c>
      <c r="W8" s="49" t="s">
        <v>87</v>
      </c>
      <c r="X8" s="400"/>
      <c r="Y8" s="400"/>
      <c r="Z8" s="400"/>
      <c r="AA8" s="400"/>
      <c r="AB8" s="400"/>
      <c r="AC8" s="400"/>
      <c r="AD8" s="400"/>
      <c r="AE8" s="400"/>
      <c r="AF8" s="400"/>
      <c r="AG8" s="400"/>
      <c r="AH8" s="400"/>
      <c r="AI8" s="400"/>
      <c r="AJ8" s="400"/>
      <c r="AK8" s="407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30" t="s">
        <v>88</v>
      </c>
      <c r="AZ8" s="30" t="s">
        <v>89</v>
      </c>
      <c r="BA8" s="30" t="s">
        <v>90</v>
      </c>
      <c r="BB8" s="400"/>
      <c r="BC8" s="400"/>
      <c r="BD8" s="400"/>
      <c r="BE8" s="400"/>
      <c r="BF8" s="400"/>
      <c r="BG8" s="400"/>
      <c r="BH8" s="400"/>
      <c r="BI8" s="400"/>
      <c r="BJ8" s="400"/>
      <c r="BK8" s="400"/>
      <c r="BL8" s="400"/>
      <c r="BM8" s="400"/>
      <c r="BN8" s="400"/>
      <c r="BO8" s="400"/>
      <c r="BP8" s="400"/>
      <c r="BQ8" s="400"/>
      <c r="BR8" s="400"/>
      <c r="BS8" s="400"/>
      <c r="BT8" s="400"/>
      <c r="BU8" s="407"/>
      <c r="BW8" s="410"/>
      <c r="BX8" s="23" t="s">
        <v>91</v>
      </c>
      <c r="BY8" s="23" t="s">
        <v>92</v>
      </c>
      <c r="BZ8" s="23" t="s">
        <v>93</v>
      </c>
      <c r="CA8" s="24" t="s">
        <v>94</v>
      </c>
      <c r="CB8" s="398"/>
      <c r="CC8" s="398"/>
      <c r="CD8" s="398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BX5:CA7"/>
    <mergeCell ref="BQ6:BQ8"/>
    <mergeCell ref="Y5:AO5"/>
    <mergeCell ref="AN6:AN8"/>
    <mergeCell ref="BG7:BG8"/>
    <mergeCell ref="BQ5:BR5"/>
    <mergeCell ref="BK7:BK8"/>
    <mergeCell ref="BK6:BP6"/>
    <mergeCell ref="BN7:BN8"/>
    <mergeCell ref="BP7:BP8"/>
    <mergeCell ref="N6:N8"/>
    <mergeCell ref="AU5:AU8"/>
    <mergeCell ref="BH7:BH8"/>
    <mergeCell ref="BI7:BI8"/>
    <mergeCell ref="K5:X5"/>
    <mergeCell ref="Q6:Q8"/>
    <mergeCell ref="AC6:AC8"/>
    <mergeCell ref="AL6:AL8"/>
    <mergeCell ref="F5:F8"/>
    <mergeCell ref="AP5:AP8"/>
    <mergeCell ref="AB6:AB8"/>
    <mergeCell ref="M6:M8"/>
    <mergeCell ref="AH6:AH8"/>
    <mergeCell ref="AJ6:AJ8"/>
    <mergeCell ref="T6:T8"/>
    <mergeCell ref="AA6:AA8"/>
    <mergeCell ref="P6:P8"/>
    <mergeCell ref="S6:S8"/>
    <mergeCell ref="AM6:AM8"/>
    <mergeCell ref="U6:U8"/>
    <mergeCell ref="AG6:AG8"/>
    <mergeCell ref="AK6:AK8"/>
    <mergeCell ref="AD6:AD8"/>
    <mergeCell ref="AF6:AF8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BW3:CB4"/>
    <mergeCell ref="X6:X8"/>
    <mergeCell ref="AV5:AV8"/>
    <mergeCell ref="AX5:AX8"/>
    <mergeCell ref="V6:W7"/>
    <mergeCell ref="Y6:Y8"/>
    <mergeCell ref="AR5:AR8"/>
    <mergeCell ref="BB7:BB8"/>
    <mergeCell ref="BD7:BD8"/>
    <mergeCell ref="AS5:AS8"/>
    <mergeCell ref="AY6:BJ6"/>
    <mergeCell ref="BE7:BE8"/>
    <mergeCell ref="AO6:AO8"/>
    <mergeCell ref="BF7:BF8"/>
    <mergeCell ref="CB5:CB8"/>
    <mergeCell ref="BT5:BT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</mergeCells>
  <conditionalFormatting sqref="B1:B9 B12:B16 B20:B1048576 C9:BU9 D10:F10 J10:BI10 BK10:BU10 BW9:CD10">
    <cfRule type="duplicateValues" dxfId="9" priority="68"/>
  </conditionalFormatting>
  <conditionalFormatting sqref="B1:B9 B12:B16 B20:B1048576 C9:BU9">
    <cfRule type="duplicateValues" dxfId="8" priority="63"/>
    <cfRule type="duplicateValues" dxfId="7" priority="6"/>
  </conditionalFormatting>
  <conditionalFormatting sqref="B19">
    <cfRule type="duplicateValues" dxfId="6" priority="1"/>
    <cfRule type="duplicateValues" dxfId="5" priority="3"/>
    <cfRule type="duplicateValues" dxfId="4" priority="2"/>
  </conditionalFormatting>
  <conditionalFormatting sqref="BJ10">
    <cfRule type="duplicateValues" dxfId="3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2026-01-21T00:52:00Z</dcterms:modified>
</cp:coreProperties>
</file>