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co-my.sharepoint.com/personal/nguyentamquang_thaco_com_vn/Documents/1. CNTT VP HCM/01. QUAN TRI CNTT/0. DU AN CNTT/02. DU AN NHAN SU/HO SO DU AN/Mẫu bảng công - bảng lương/"/>
    </mc:Choice>
  </mc:AlternateContent>
  <xr:revisionPtr revIDLastSave="10" documentId="8_{290FE85C-2C3C-4E00-AA1D-60EC9B1EE541}" xr6:coauthVersionLast="47" xr6:coauthVersionMax="47" xr10:uidLastSave="{80CD9E59-74F7-47B4-97CD-0EA7F991AEFF}"/>
  <bookViews>
    <workbookView xWindow="-120" yWindow="-120" windowWidth="29040" windowHeight="15720" tabRatio="761" firstSheet="1" activeTab="1" xr2:uid="{D2D6ECD8-DC99-4D28-8DAC-0623419D46D2}"/>
  </bookViews>
  <sheets>
    <sheet name="Bảng lương CB-NV" sheetId="1" r:id="rId1"/>
    <sheet name="Mô tả Bảng lương CB-NV" sheetId="4" r:id="rId2"/>
    <sheet name="Bảng lương tạm ứng kỳ 1" sheetId="2" r:id="rId3"/>
    <sheet name="Mô tả Bảng lương tạm ứng kỳ 1" sheetId="5" r:id="rId4"/>
  </sheets>
  <definedNames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_">"SQRT"</definedName>
    <definedName name="_.._mik">#REF!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_?">#REF!</definedName>
    <definedName name="___??????">#REF!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xlnm._FilterDatabase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￥">#N/A</definedName>
    <definedName name="√">"SQRT"</definedName>
    <definedName name="※_추후_NAVA__PROJECT는__부품_">#REF!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.">#REF!</definedName>
    <definedName name="a_">#REF!</definedName>
    <definedName name="a___May">#REF!</definedName>
    <definedName name="a___Nhan_cong">#REF!</definedName>
    <definedName name="a___vat_lieu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.BB">#REF!</definedName>
    <definedName name="As_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ãn">#REF!</definedName>
    <definedName name="CÖÏ_LY_VAÄN_CHUYEÅ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.d">#REF!</definedName>
    <definedName name="d.d1">#REF!</definedName>
    <definedName name="d.d2">#REF!</definedName>
    <definedName name="d.Xáy_âaï_häüc">#N/A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...Be_ton_dÀ">#N/A</definedName>
    <definedName name="G_C">#N/A</definedName>
    <definedName name="G_ME">#REF!</definedName>
    <definedName name="g_탩Y">#REF!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_ng_mòc_cáng_trÖnh">#REF!</definedName>
    <definedName name="H_THUCHTHH">#REF!</definedName>
    <definedName name="H_THUCTT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...KÕt_cÊu_gæ__cõa__thÏp">#N/A</definedName>
    <definedName name="I_A">#REF!</definedName>
    <definedName name="I_B">#REF!</definedName>
    <definedName name="I_c">#REF!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...TrÀt">#N/A</definedName>
    <definedName name="l_1">#REF!</definedName>
    <definedName name="L_mong">#REF!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_N">#REF!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...çp_tg__tró">#N/A</definedName>
    <definedName name="Q_So">#REF!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...LÀng_nÒn_san">#N/A</definedName>
    <definedName name="R_F">#REF!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...LÀt">#N/A</definedName>
    <definedName name="S_2_Bï_v_nh">#REF!</definedName>
    <definedName name="S_Ⅱ">#REF!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...TrÇn">#N/A</definedName>
    <definedName name="T_Ⅲ">#REF!</definedName>
    <definedName name="T_P">#REF!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.18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ㅇㄻㄴㅇㄻㄴ">#REF!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小">#REF!</definedName>
    <definedName name="解_任_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17" i="2" l="1"/>
  <c r="CB17" i="2" s="1"/>
  <c r="BE17" i="2"/>
  <c r="BA17" i="2"/>
  <c r="AZ17" i="2"/>
  <c r="AY17" i="2"/>
  <c r="BB17" i="2" s="1"/>
  <c r="AN17" i="2"/>
  <c r="AM17" i="2"/>
  <c r="AK17" i="2"/>
  <c r="AI17" i="2"/>
  <c r="AG17" i="2"/>
  <c r="AF17" i="2"/>
  <c r="AE17" i="2"/>
  <c r="AD17" i="2"/>
  <c r="AC17" i="2"/>
  <c r="AB17" i="2"/>
  <c r="AA17" i="2"/>
  <c r="Z17" i="2"/>
  <c r="Y17" i="2"/>
  <c r="H17" i="2"/>
  <c r="A17" i="2"/>
  <c r="CA16" i="2"/>
  <c r="CB16" i="2" s="1"/>
  <c r="BE16" i="2"/>
  <c r="BA16" i="2"/>
  <c r="AZ16" i="2"/>
  <c r="AY16" i="2"/>
  <c r="BB16" i="2" s="1"/>
  <c r="AN16" i="2"/>
  <c r="AM16" i="2"/>
  <c r="AK16" i="2"/>
  <c r="AI16" i="2"/>
  <c r="AG16" i="2"/>
  <c r="AF16" i="2"/>
  <c r="AE16" i="2"/>
  <c r="AD16" i="2"/>
  <c r="AC16" i="2"/>
  <c r="AB16" i="2"/>
  <c r="AA16" i="2"/>
  <c r="Z16" i="2"/>
  <c r="Y16" i="2"/>
  <c r="H16" i="2"/>
  <c r="A16" i="2"/>
  <c r="CA19" i="2"/>
  <c r="CB19" i="2" s="1"/>
  <c r="BE19" i="2"/>
  <c r="BA19" i="2"/>
  <c r="AZ19" i="2"/>
  <c r="AY19" i="2"/>
  <c r="AN19" i="2"/>
  <c r="AM19" i="2"/>
  <c r="AK19" i="2"/>
  <c r="AI19" i="2"/>
  <c r="AG19" i="2"/>
  <c r="AF19" i="2"/>
  <c r="AE19" i="2"/>
  <c r="AD19" i="2"/>
  <c r="AC19" i="2"/>
  <c r="AB19" i="2"/>
  <c r="AA19" i="2"/>
  <c r="Z19" i="2"/>
  <c r="Y19" i="2"/>
  <c r="H19" i="2"/>
  <c r="A19" i="2"/>
  <c r="CA18" i="2"/>
  <c r="CB18" i="2" s="1"/>
  <c r="BE18" i="2"/>
  <c r="AM18" i="2"/>
  <c r="AK18" i="2"/>
  <c r="AI18" i="2"/>
  <c r="AG18" i="2"/>
  <c r="AE18" i="2"/>
  <c r="AD18" i="2"/>
  <c r="AC18" i="2"/>
  <c r="AB18" i="2"/>
  <c r="AA18" i="2"/>
  <c r="Z18" i="2"/>
  <c r="Y18" i="2"/>
  <c r="H18" i="2"/>
  <c r="BA18" i="2" s="1"/>
  <c r="AF18" i="2"/>
  <c r="A18" i="2"/>
  <c r="H16" i="1"/>
  <c r="AF16" i="1" s="1"/>
  <c r="CA19" i="1"/>
  <c r="CB19" i="1" s="1"/>
  <c r="BJ19" i="1"/>
  <c r="BE19" i="1"/>
  <c r="AX19" i="1"/>
  <c r="AM19" i="1"/>
  <c r="AK19" i="1"/>
  <c r="AI19" i="1"/>
  <c r="AG19" i="1"/>
  <c r="AE19" i="1"/>
  <c r="AD19" i="1"/>
  <c r="AC19" i="1"/>
  <c r="AB19" i="1"/>
  <c r="AA19" i="1"/>
  <c r="Z19" i="1"/>
  <c r="Y19" i="1"/>
  <c r="H19" i="1"/>
  <c r="AN19" i="1" s="1"/>
  <c r="A19" i="1"/>
  <c r="CA18" i="1"/>
  <c r="CB18" i="1" s="1"/>
  <c r="BJ18" i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F18" i="1" s="1"/>
  <c r="A18" i="1"/>
  <c r="CA17" i="1"/>
  <c r="CB17" i="1" s="1"/>
  <c r="BJ17" i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J16" i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A16" i="1"/>
  <c r="AK20" i="1"/>
  <c r="Y20" i="1"/>
  <c r="L14" i="1"/>
  <c r="M14" i="1"/>
  <c r="N14" i="1"/>
  <c r="O14" i="1"/>
  <c r="P14" i="1"/>
  <c r="Q14" i="1"/>
  <c r="I19" i="1" l="1"/>
  <c r="AF19" i="1"/>
  <c r="BA19" i="1"/>
  <c r="BB19" i="2"/>
  <c r="I16" i="2"/>
  <c r="AH16" i="2"/>
  <c r="I17" i="2"/>
  <c r="AH17" i="2"/>
  <c r="AN18" i="2"/>
  <c r="AY18" i="2"/>
  <c r="AZ18" i="2"/>
  <c r="AH18" i="2"/>
  <c r="I18" i="2"/>
  <c r="AO18" i="2" s="1"/>
  <c r="AV18" i="2" s="1"/>
  <c r="I19" i="2"/>
  <c r="AH19" i="2"/>
  <c r="AN18" i="1"/>
  <c r="AZ18" i="1"/>
  <c r="I18" i="1"/>
  <c r="BA17" i="1"/>
  <c r="I17" i="1"/>
  <c r="I16" i="1"/>
  <c r="AH18" i="1"/>
  <c r="AH19" i="1"/>
  <c r="AO19" i="1" s="1"/>
  <c r="AV19" i="1" s="1"/>
  <c r="BA18" i="1"/>
  <c r="AY18" i="1"/>
  <c r="BB18" i="1" s="1"/>
  <c r="AN16" i="1"/>
  <c r="AY19" i="1"/>
  <c r="AZ19" i="1"/>
  <c r="AZ16" i="1"/>
  <c r="AH16" i="1"/>
  <c r="AH17" i="1"/>
  <c r="BA16" i="1"/>
  <c r="AZ17" i="1"/>
  <c r="AY16" i="1"/>
  <c r="AY17" i="1"/>
  <c r="K17" i="4"/>
  <c r="H17" i="4"/>
  <c r="BY17" i="4"/>
  <c r="BZ17" i="4"/>
  <c r="CA17" i="4"/>
  <c r="BX17" i="4"/>
  <c r="BS17" i="4"/>
  <c r="BR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AY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BB18" i="2" l="1"/>
  <c r="AO19" i="2"/>
  <c r="AV19" i="2" s="1"/>
  <c r="BS19" i="2" s="1"/>
  <c r="BT19" i="2" s="1"/>
  <c r="AO17" i="2"/>
  <c r="AV17" i="2" s="1"/>
  <c r="AO16" i="2"/>
  <c r="AV16" i="2" s="1"/>
  <c r="BF19" i="2"/>
  <c r="BG19" i="2" s="1"/>
  <c r="BI19" i="2" s="1"/>
  <c r="BJ19" i="2" s="1"/>
  <c r="BS18" i="2"/>
  <c r="BT18" i="2" s="1"/>
  <c r="BF18" i="2"/>
  <c r="BG18" i="2" s="1"/>
  <c r="BI18" i="2" s="1"/>
  <c r="BJ18" i="2" s="1"/>
  <c r="BB17" i="1"/>
  <c r="AO17" i="1"/>
  <c r="AV17" i="1" s="1"/>
  <c r="BF17" i="1" s="1"/>
  <c r="BG17" i="1" s="1"/>
  <c r="BB16" i="1"/>
  <c r="BF19" i="1"/>
  <c r="BG19" i="1" s="1"/>
  <c r="BB19" i="1"/>
  <c r="AO18" i="1"/>
  <c r="AV18" i="1" s="1"/>
  <c r="AO16" i="1"/>
  <c r="AV16" i="1" s="1"/>
  <c r="BT19" i="4"/>
  <c r="CB19" i="5"/>
  <c r="BT19" i="5"/>
  <c r="BS19" i="5"/>
  <c r="BJ19" i="5"/>
  <c r="BI19" i="5"/>
  <c r="BG19" i="5"/>
  <c r="BF19" i="5"/>
  <c r="BF13" i="5"/>
  <c r="BF14" i="5"/>
  <c r="BF12" i="5"/>
  <c r="BE19" i="5"/>
  <c r="BB19" i="5"/>
  <c r="BA19" i="5"/>
  <c r="AZ19" i="5"/>
  <c r="AY19" i="5"/>
  <c r="AV19" i="5"/>
  <c r="AO19" i="5"/>
  <c r="AN19" i="5"/>
  <c r="AM19" i="5"/>
  <c r="AK19" i="5"/>
  <c r="AI19" i="5"/>
  <c r="AH19" i="5"/>
  <c r="AG19" i="5"/>
  <c r="AF19" i="5"/>
  <c r="AE19" i="5"/>
  <c r="AD19" i="5"/>
  <c r="AC19" i="5"/>
  <c r="AB19" i="5"/>
  <c r="AA19" i="5"/>
  <c r="Z19" i="5"/>
  <c r="Y19" i="5"/>
  <c r="I19" i="5"/>
  <c r="H19" i="5"/>
  <c r="F19" i="5"/>
  <c r="A19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W17" i="5"/>
  <c r="BX17" i="5"/>
  <c r="BY17" i="5"/>
  <c r="BZ17" i="5"/>
  <c r="CA17" i="5"/>
  <c r="CB17" i="5"/>
  <c r="CC17" i="5"/>
  <c r="CD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W18" i="5"/>
  <c r="BX18" i="5"/>
  <c r="BY18" i="5"/>
  <c r="BZ18" i="5"/>
  <c r="CA18" i="5"/>
  <c r="CB18" i="5"/>
  <c r="CC18" i="5"/>
  <c r="CD18" i="5"/>
  <c r="A18" i="5"/>
  <c r="A17" i="5"/>
  <c r="CA14" i="5"/>
  <c r="CB14" i="5" s="1"/>
  <c r="BE14" i="5"/>
  <c r="AM14" i="5"/>
  <c r="AK14" i="5"/>
  <c r="AI14" i="5"/>
  <c r="AG14" i="5"/>
  <c r="AE14" i="5"/>
  <c r="AD14" i="5"/>
  <c r="AC14" i="5"/>
  <c r="AB14" i="5"/>
  <c r="AA14" i="5"/>
  <c r="Z14" i="5"/>
  <c r="Y14" i="5"/>
  <c r="H14" i="5"/>
  <c r="AY14" i="5" s="1"/>
  <c r="F14" i="5"/>
  <c r="A14" i="5"/>
  <c r="CA13" i="5"/>
  <c r="CB13" i="5" s="1"/>
  <c r="BE13" i="5"/>
  <c r="AM13" i="5"/>
  <c r="AK13" i="5"/>
  <c r="AI13" i="5"/>
  <c r="AG13" i="5"/>
  <c r="AE13" i="5"/>
  <c r="AD13" i="5"/>
  <c r="AC13" i="5"/>
  <c r="AB13" i="5"/>
  <c r="AA13" i="5"/>
  <c r="Z13" i="5"/>
  <c r="Y13" i="5"/>
  <c r="H13" i="5"/>
  <c r="AN13" i="5" s="1"/>
  <c r="F13" i="5"/>
  <c r="AF13" i="5" s="1"/>
  <c r="A13" i="5"/>
  <c r="CB12" i="5"/>
  <c r="AH12" i="5" s="1"/>
  <c r="BE12" i="5"/>
  <c r="AM12" i="5"/>
  <c r="AK12" i="5"/>
  <c r="AI12" i="5"/>
  <c r="AG12" i="5"/>
  <c r="AE12" i="5"/>
  <c r="AD12" i="5"/>
  <c r="AC12" i="5"/>
  <c r="AB12" i="5"/>
  <c r="AA12" i="5"/>
  <c r="Z12" i="5"/>
  <c r="Y12" i="5"/>
  <c r="H12" i="5"/>
  <c r="AZ12" i="5" s="1"/>
  <c r="F12" i="5"/>
  <c r="AF12" i="5" s="1"/>
  <c r="A12" i="5"/>
  <c r="BU11" i="5"/>
  <c r="BP11" i="5"/>
  <c r="BN11" i="5"/>
  <c r="BM11" i="5"/>
  <c r="BL11" i="5"/>
  <c r="BK11" i="5"/>
  <c r="BC11" i="5"/>
  <c r="AL11" i="5"/>
  <c r="AJ11" i="5"/>
  <c r="X11" i="5"/>
  <c r="W11" i="5"/>
  <c r="V11" i="5"/>
  <c r="U11" i="5"/>
  <c r="S11" i="5"/>
  <c r="R11" i="5"/>
  <c r="K11" i="5"/>
  <c r="G11" i="5"/>
  <c r="BX9" i="5"/>
  <c r="BY9" i="5" s="1"/>
  <c r="BZ9" i="5" s="1"/>
  <c r="CA9" i="5" s="1"/>
  <c r="CB9" i="5" s="1"/>
  <c r="CC9" i="5" s="1"/>
  <c r="CD9" i="5" s="1"/>
  <c r="B9" i="5"/>
  <c r="C9" i="5" s="1"/>
  <c r="D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AV9" i="5" s="1"/>
  <c r="AY9" i="5" s="1"/>
  <c r="AZ9" i="5" s="1"/>
  <c r="BA9" i="5" s="1"/>
  <c r="BB9" i="5" s="1"/>
  <c r="BC9" i="5" s="1"/>
  <c r="BD9" i="5" s="1"/>
  <c r="BE9" i="5" s="1"/>
  <c r="BJ9" i="5" s="1"/>
  <c r="BK9" i="5" s="1"/>
  <c r="BL9" i="5" s="1"/>
  <c r="BM9" i="5" s="1"/>
  <c r="BN9" i="5" s="1"/>
  <c r="BP9" i="5" s="1"/>
  <c r="BQ9" i="5" s="1"/>
  <c r="BR9" i="5" s="1"/>
  <c r="BT9" i="5" s="1"/>
  <c r="BU9" i="5" s="1"/>
  <c r="A3" i="5"/>
  <c r="CB19" i="4"/>
  <c r="BU19" i="4"/>
  <c r="BL19" i="4"/>
  <c r="BK19" i="4"/>
  <c r="BJ19" i="4"/>
  <c r="BG19" i="4"/>
  <c r="BF19" i="4"/>
  <c r="BE19" i="4"/>
  <c r="BB19" i="4"/>
  <c r="BA19" i="4"/>
  <c r="AZ19" i="4"/>
  <c r="AY19" i="4"/>
  <c r="AX19" i="4"/>
  <c r="AV19" i="4"/>
  <c r="AI19" i="4"/>
  <c r="AH19" i="4"/>
  <c r="AG19" i="4"/>
  <c r="AF19" i="4"/>
  <c r="AE19" i="4"/>
  <c r="AD19" i="4"/>
  <c r="AC19" i="4"/>
  <c r="AB19" i="4"/>
  <c r="AA19" i="4"/>
  <c r="Z19" i="4"/>
  <c r="I19" i="4"/>
  <c r="H19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W18" i="4"/>
  <c r="BX18" i="4"/>
  <c r="BY18" i="4"/>
  <c r="BZ18" i="4"/>
  <c r="CA18" i="4"/>
  <c r="CB18" i="4"/>
  <c r="CC18" i="4"/>
  <c r="CD18" i="4"/>
  <c r="A18" i="4"/>
  <c r="A17" i="4"/>
  <c r="B17" i="4"/>
  <c r="C17" i="4"/>
  <c r="D17" i="4"/>
  <c r="E17" i="4"/>
  <c r="F17" i="4"/>
  <c r="G17" i="4"/>
  <c r="I17" i="4"/>
  <c r="AO19" i="4" s="1"/>
  <c r="J17" i="4"/>
  <c r="AN19" i="4"/>
  <c r="L17" i="4"/>
  <c r="AK19" i="4" s="1"/>
  <c r="M17" i="4"/>
  <c r="N17" i="4"/>
  <c r="O17" i="4"/>
  <c r="P17" i="4"/>
  <c r="Q17" i="4"/>
  <c r="R17" i="4"/>
  <c r="S17" i="4"/>
  <c r="T17" i="4"/>
  <c r="U17" i="4"/>
  <c r="V17" i="4"/>
  <c r="W17" i="4"/>
  <c r="X17" i="4"/>
  <c r="AM19" i="4" s="1"/>
  <c r="AP17" i="4"/>
  <c r="AQ17" i="4"/>
  <c r="AR17" i="4"/>
  <c r="AS17" i="4"/>
  <c r="AT17" i="4"/>
  <c r="AU17" i="4"/>
  <c r="AV17" i="4"/>
  <c r="AW17" i="4"/>
  <c r="AX17" i="4"/>
  <c r="BT17" i="4"/>
  <c r="BU17" i="4"/>
  <c r="BW17" i="4"/>
  <c r="CB17" i="4"/>
  <c r="CC17" i="4"/>
  <c r="CD17" i="4"/>
  <c r="CA14" i="4"/>
  <c r="CB14" i="4" s="1"/>
  <c r="BJ14" i="4"/>
  <c r="BE14" i="4"/>
  <c r="AX14" i="4"/>
  <c r="AM14" i="4"/>
  <c r="AK14" i="4"/>
  <c r="AI14" i="4"/>
  <c r="AG14" i="4"/>
  <c r="AF14" i="4"/>
  <c r="AE14" i="4"/>
  <c r="AD14" i="4"/>
  <c r="AC14" i="4"/>
  <c r="AB14" i="4"/>
  <c r="AA14" i="4"/>
  <c r="Z14" i="4"/>
  <c r="Y14" i="4"/>
  <c r="H14" i="4"/>
  <c r="A14" i="4"/>
  <c r="CA13" i="4"/>
  <c r="CB13" i="4" s="1"/>
  <c r="BJ13" i="4"/>
  <c r="BE13" i="4"/>
  <c r="AX13" i="4"/>
  <c r="AM13" i="4"/>
  <c r="AK13" i="4"/>
  <c r="AI13" i="4"/>
  <c r="AG13" i="4"/>
  <c r="AE13" i="4"/>
  <c r="AD13" i="4"/>
  <c r="AC13" i="4"/>
  <c r="AB13" i="4"/>
  <c r="AA13" i="4"/>
  <c r="Z13" i="4"/>
  <c r="Y13" i="4"/>
  <c r="H13" i="4"/>
  <c r="AN13" i="4" s="1"/>
  <c r="A13" i="4"/>
  <c r="CB12" i="4"/>
  <c r="BJ12" i="4"/>
  <c r="BE12" i="4"/>
  <c r="AX12" i="4"/>
  <c r="BA12" i="4" s="1"/>
  <c r="AM12" i="4"/>
  <c r="AK12" i="4"/>
  <c r="AI12" i="4"/>
  <c r="AG12" i="4"/>
  <c r="AE12" i="4"/>
  <c r="AD12" i="4"/>
  <c r="AC12" i="4"/>
  <c r="AB12" i="4"/>
  <c r="AA12" i="4"/>
  <c r="Z12" i="4"/>
  <c r="Y12" i="4"/>
  <c r="H12" i="4"/>
  <c r="AN12" i="4" s="1"/>
  <c r="A12" i="4"/>
  <c r="BQ11" i="4"/>
  <c r="BP11" i="4"/>
  <c r="BO11" i="4"/>
  <c r="BN11" i="4"/>
  <c r="BM11" i="4"/>
  <c r="BC11" i="4"/>
  <c r="AL11" i="4"/>
  <c r="AJ11" i="4"/>
  <c r="X11" i="4"/>
  <c r="W11" i="4"/>
  <c r="V11" i="4"/>
  <c r="U11" i="4"/>
  <c r="S11" i="4"/>
  <c r="R11" i="4"/>
  <c r="K11" i="4"/>
  <c r="G11" i="4"/>
  <c r="BX9" i="4"/>
  <c r="BY9" i="4" s="1"/>
  <c r="BZ9" i="4" s="1"/>
  <c r="CA9" i="4" s="1"/>
  <c r="CB9" i="4" s="1"/>
  <c r="CC9" i="4" s="1"/>
  <c r="CD9" i="4" s="1"/>
  <c r="B9" i="4"/>
  <c r="C9" i="4" s="1"/>
  <c r="D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L9" i="4" s="1"/>
  <c r="BM9" i="4" s="1"/>
  <c r="BN9" i="4" s="1"/>
  <c r="BO9" i="4" s="1"/>
  <c r="BP9" i="4" s="1"/>
  <c r="BQ9" i="4" s="1"/>
  <c r="BR9" i="4" s="1"/>
  <c r="BS9" i="4" s="1"/>
  <c r="BT9" i="4" s="1"/>
  <c r="BU9" i="4" s="1"/>
  <c r="A3" i="4"/>
  <c r="AB15" i="1"/>
  <c r="Y15" i="1"/>
  <c r="Y21" i="1"/>
  <c r="BJ21" i="1"/>
  <c r="BJ20" i="1"/>
  <c r="BJ15" i="1"/>
  <c r="AX21" i="1"/>
  <c r="AX20" i="1"/>
  <c r="AF21" i="1"/>
  <c r="BS17" i="2" l="1"/>
  <c r="BT17" i="2"/>
  <c r="BF17" i="2"/>
  <c r="BG17" i="2" s="1"/>
  <c r="BI17" i="2" s="1"/>
  <c r="BJ17" i="2" s="1"/>
  <c r="BS16" i="2"/>
  <c r="BT16" i="2" s="1"/>
  <c r="BF16" i="2"/>
  <c r="BG16" i="2" s="1"/>
  <c r="BI16" i="2" s="1"/>
  <c r="BJ16" i="2" s="1"/>
  <c r="BK19" i="1"/>
  <c r="BL19" i="1" s="1"/>
  <c r="BK17" i="1"/>
  <c r="BL17" i="1" s="1"/>
  <c r="BF18" i="1"/>
  <c r="BG18" i="1" s="1"/>
  <c r="BK18" i="1" s="1"/>
  <c r="BL18" i="1" s="1"/>
  <c r="BF16" i="1"/>
  <c r="BG16" i="1" s="1"/>
  <c r="BK16" i="1" s="1"/>
  <c r="BL16" i="1" s="1"/>
  <c r="Y19" i="4"/>
  <c r="AY13" i="5"/>
  <c r="AC11" i="5"/>
  <c r="AZ13" i="5"/>
  <c r="AK11" i="5"/>
  <c r="BA13" i="5"/>
  <c r="AF14" i="5"/>
  <c r="AF11" i="5" s="1"/>
  <c r="AI11" i="5"/>
  <c r="BE11" i="5"/>
  <c r="AG11" i="5"/>
  <c r="AZ14" i="5"/>
  <c r="AZ11" i="5" s="1"/>
  <c r="BA14" i="5"/>
  <c r="BB14" i="5" s="1"/>
  <c r="AD11" i="5"/>
  <c r="AH13" i="5"/>
  <c r="I13" i="5"/>
  <c r="AO13" i="5" s="1"/>
  <c r="AV13" i="5" s="1"/>
  <c r="I14" i="5"/>
  <c r="AH14" i="5"/>
  <c r="AH11" i="5" s="1"/>
  <c r="AM11" i="5"/>
  <c r="Y11" i="5"/>
  <c r="AY12" i="5"/>
  <c r="BA12" i="5"/>
  <c r="H11" i="5"/>
  <c r="AN12" i="5"/>
  <c r="AN14" i="5"/>
  <c r="I12" i="5"/>
  <c r="Y11" i="4"/>
  <c r="AG11" i="4"/>
  <c r="BT13" i="4"/>
  <c r="AN11" i="4"/>
  <c r="AF13" i="4"/>
  <c r="AM11" i="4"/>
  <c r="AD11" i="4"/>
  <c r="BE11" i="4"/>
  <c r="AH14" i="4"/>
  <c r="I14" i="4"/>
  <c r="AO14" i="4" s="1"/>
  <c r="AV14" i="4" s="1"/>
  <c r="BF14" i="4" s="1"/>
  <c r="BA14" i="4"/>
  <c r="AZ13" i="4"/>
  <c r="H11" i="4"/>
  <c r="AF12" i="4"/>
  <c r="AO12" i="4" s="1"/>
  <c r="AC11" i="4"/>
  <c r="AI11" i="4"/>
  <c r="BA13" i="4"/>
  <c r="I12" i="4"/>
  <c r="AY13" i="4"/>
  <c r="AK11" i="4"/>
  <c r="I13" i="4"/>
  <c r="I11" i="4" s="1"/>
  <c r="AH13" i="4"/>
  <c r="BB13" i="4"/>
  <c r="AY12" i="4"/>
  <c r="AZ12" i="4"/>
  <c r="AY14" i="4"/>
  <c r="AZ14" i="4"/>
  <c r="AH12" i="4"/>
  <c r="BE21" i="2"/>
  <c r="BE20" i="2"/>
  <c r="BE15" i="2"/>
  <c r="BE21" i="1"/>
  <c r="BE20" i="1"/>
  <c r="BE15" i="1"/>
  <c r="AO14" i="5" l="1"/>
  <c r="AV14" i="5" s="1"/>
  <c r="BB13" i="5"/>
  <c r="BA11" i="5"/>
  <c r="BS13" i="5"/>
  <c r="BT13" i="5"/>
  <c r="BG13" i="5"/>
  <c r="BI13" i="5" s="1"/>
  <c r="BJ13" i="5" s="1"/>
  <c r="I11" i="5"/>
  <c r="AO12" i="5"/>
  <c r="AN11" i="5"/>
  <c r="AY11" i="5"/>
  <c r="BB12" i="5"/>
  <c r="BB11" i="5" s="1"/>
  <c r="AF11" i="4"/>
  <c r="BA11" i="4"/>
  <c r="AZ11" i="4"/>
  <c r="AO13" i="4"/>
  <c r="AV13" i="4" s="1"/>
  <c r="BF13" i="4" s="1"/>
  <c r="BG13" i="4" s="1"/>
  <c r="BK13" i="4" s="1"/>
  <c r="BL13" i="4" s="1"/>
  <c r="BU13" i="4" s="1"/>
  <c r="AH11" i="4"/>
  <c r="BB14" i="4"/>
  <c r="BB12" i="4"/>
  <c r="BB11" i="4" s="1"/>
  <c r="AY11" i="4"/>
  <c r="AV12" i="4"/>
  <c r="BG14" i="4"/>
  <c r="BK14" i="4" s="1"/>
  <c r="BL14" i="4" s="1"/>
  <c r="AK15" i="1"/>
  <c r="AG20" i="1"/>
  <c r="AG21" i="1"/>
  <c r="AG15" i="1"/>
  <c r="Z15" i="1"/>
  <c r="CA21" i="2"/>
  <c r="CB21" i="2" s="1"/>
  <c r="AM21" i="2"/>
  <c r="AK21" i="2"/>
  <c r="AI21" i="2"/>
  <c r="AG21" i="2"/>
  <c r="AE21" i="2"/>
  <c r="AD21" i="2"/>
  <c r="AC21" i="2"/>
  <c r="AB21" i="2"/>
  <c r="AA21" i="2"/>
  <c r="Z21" i="2"/>
  <c r="Y21" i="2"/>
  <c r="H21" i="2"/>
  <c r="BA21" i="2" s="1"/>
  <c r="A21" i="2"/>
  <c r="CA20" i="2"/>
  <c r="CB20" i="2" s="1"/>
  <c r="AH20" i="2" s="1"/>
  <c r="AM20" i="2"/>
  <c r="AK20" i="2"/>
  <c r="AI20" i="2"/>
  <c r="AG20" i="2"/>
  <c r="AF20" i="2"/>
  <c r="AE20" i="2"/>
  <c r="AD20" i="2"/>
  <c r="AC20" i="2"/>
  <c r="AB20" i="2"/>
  <c r="AA20" i="2"/>
  <c r="Z20" i="2"/>
  <c r="Y20" i="2"/>
  <c r="H20" i="2"/>
  <c r="AZ20" i="2" s="1"/>
  <c r="A20" i="2"/>
  <c r="CB15" i="2"/>
  <c r="AM15" i="2"/>
  <c r="AK15" i="2"/>
  <c r="AI15" i="2"/>
  <c r="AG15" i="2"/>
  <c r="AE15" i="2"/>
  <c r="AD15" i="2"/>
  <c r="AC15" i="2"/>
  <c r="AB15" i="2"/>
  <c r="AA15" i="2"/>
  <c r="Z15" i="2"/>
  <c r="Y15" i="2"/>
  <c r="H15" i="2"/>
  <c r="AN15" i="2" s="1"/>
  <c r="AF15" i="2"/>
  <c r="A15" i="2"/>
  <c r="BP14" i="2"/>
  <c r="BN14" i="2"/>
  <c r="BM14" i="2"/>
  <c r="BL14" i="2"/>
  <c r="BK14" i="2"/>
  <c r="BE14" i="2"/>
  <c r="BC14" i="2"/>
  <c r="AL14" i="2"/>
  <c r="AJ14" i="2"/>
  <c r="X14" i="2"/>
  <c r="W14" i="2"/>
  <c r="V14" i="2"/>
  <c r="U14" i="2"/>
  <c r="S14" i="2"/>
  <c r="R14" i="2"/>
  <c r="K14" i="2"/>
  <c r="G14" i="2"/>
  <c r="BX12" i="2"/>
  <c r="BY12" i="2" s="1"/>
  <c r="BZ12" i="2" s="1"/>
  <c r="CA12" i="2" s="1"/>
  <c r="CB12" i="2" s="1"/>
  <c r="CC12" i="2" s="1"/>
  <c r="CD12" i="2" s="1"/>
  <c r="B12" i="2"/>
  <c r="C12" i="2" s="1"/>
  <c r="D12" i="2" s="1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Y12" i="2" s="1"/>
  <c r="AZ12" i="2" s="1"/>
  <c r="BA12" i="2" s="1"/>
  <c r="BB12" i="2" s="1"/>
  <c r="BC12" i="2" s="1"/>
  <c r="BD12" i="2" s="1"/>
  <c r="BE12" i="2" s="1"/>
  <c r="BJ12" i="2" s="1"/>
  <c r="BK12" i="2" s="1"/>
  <c r="BL12" i="2" s="1"/>
  <c r="BM12" i="2" s="1"/>
  <c r="BN12" i="2" s="1"/>
  <c r="BP12" i="2" s="1"/>
  <c r="BQ12" i="2" s="1"/>
  <c r="BR12" i="2" s="1"/>
  <c r="BT12" i="2" s="1"/>
  <c r="A3" i="2"/>
  <c r="AD14" i="2" l="1"/>
  <c r="AK14" i="2"/>
  <c r="BU12" i="2"/>
  <c r="BT12" i="4"/>
  <c r="BG14" i="5"/>
  <c r="BI14" i="5" s="1"/>
  <c r="BJ14" i="5" s="1"/>
  <c r="BS14" i="5"/>
  <c r="BT14" i="5" s="1"/>
  <c r="AO11" i="5"/>
  <c r="AV12" i="5"/>
  <c r="AO11" i="4"/>
  <c r="BF12" i="4"/>
  <c r="BG12" i="4" s="1"/>
  <c r="BK12" i="4" s="1"/>
  <c r="BL12" i="4" s="1"/>
  <c r="AV11" i="4"/>
  <c r="AF21" i="2"/>
  <c r="AG14" i="2"/>
  <c r="AZ15" i="2"/>
  <c r="I15" i="2"/>
  <c r="AC14" i="2"/>
  <c r="AH15" i="2"/>
  <c r="AI14" i="2"/>
  <c r="AY21" i="2"/>
  <c r="AF14" i="2"/>
  <c r="H14" i="2"/>
  <c r="AM14" i="2"/>
  <c r="AY15" i="2"/>
  <c r="Y14" i="2"/>
  <c r="AH21" i="2"/>
  <c r="I21" i="2"/>
  <c r="BA20" i="2"/>
  <c r="I20" i="2"/>
  <c r="AY20" i="2"/>
  <c r="AN21" i="2"/>
  <c r="AZ21" i="2"/>
  <c r="BA15" i="2"/>
  <c r="AN20" i="2"/>
  <c r="BB21" i="2" l="1"/>
  <c r="AH14" i="2"/>
  <c r="AV11" i="5"/>
  <c r="BS12" i="5"/>
  <c r="BT12" i="5" s="1"/>
  <c r="BT11" i="5" s="1"/>
  <c r="BG12" i="5"/>
  <c r="BI12" i="5" s="1"/>
  <c r="BJ12" i="5" s="1"/>
  <c r="BJ11" i="5" s="1"/>
  <c r="BL11" i="4"/>
  <c r="BU12" i="4"/>
  <c r="AO15" i="2"/>
  <c r="AV15" i="2" s="1"/>
  <c r="BF15" i="2" s="1"/>
  <c r="BG15" i="2" s="1"/>
  <c r="AO20" i="2"/>
  <c r="AV20" i="2" s="1"/>
  <c r="AN14" i="2"/>
  <c r="I14" i="2"/>
  <c r="AO21" i="2"/>
  <c r="AV21" i="2" s="1"/>
  <c r="BA14" i="2"/>
  <c r="BB20" i="2"/>
  <c r="BB15" i="2"/>
  <c r="AY14" i="2"/>
  <c r="AZ14" i="2"/>
  <c r="BS21" i="2" l="1"/>
  <c r="BT21" i="2" s="1"/>
  <c r="BI15" i="2"/>
  <c r="BJ15" i="2" s="1"/>
  <c r="BF20" i="2"/>
  <c r="BG20" i="2" s="1"/>
  <c r="BI20" i="2" s="1"/>
  <c r="BJ20" i="2" s="1"/>
  <c r="BS20" i="2"/>
  <c r="BT20" i="2" s="1"/>
  <c r="BS15" i="2"/>
  <c r="BT15" i="2" s="1"/>
  <c r="AO14" i="2"/>
  <c r="BF21" i="2"/>
  <c r="BG21" i="2" s="1"/>
  <c r="BI21" i="2" s="1"/>
  <c r="BJ21" i="2" s="1"/>
  <c r="AV14" i="2"/>
  <c r="BB14" i="2"/>
  <c r="BT14" i="2" l="1"/>
  <c r="BT14" i="4" s="1"/>
  <c r="BJ14" i="2"/>
  <c r="BU14" i="2"/>
  <c r="BU14" i="4" l="1"/>
  <c r="BU11" i="4" s="1"/>
  <c r="BT11" i="4"/>
  <c r="AM21" i="1"/>
  <c r="AM20" i="1"/>
  <c r="AM15" i="1"/>
  <c r="AI21" i="1" l="1"/>
  <c r="AI20" i="1"/>
  <c r="AI15" i="1"/>
  <c r="AK21" i="1"/>
  <c r="AE21" i="1"/>
  <c r="AE20" i="1"/>
  <c r="AE15" i="1"/>
  <c r="AD21" i="1"/>
  <c r="AD20" i="1"/>
  <c r="AD15" i="1"/>
  <c r="AC15" i="1"/>
  <c r="AC21" i="1"/>
  <c r="AC20" i="1"/>
  <c r="AB21" i="1"/>
  <c r="AB20" i="1"/>
  <c r="AA21" i="1"/>
  <c r="AA20" i="1"/>
  <c r="AA15" i="1"/>
  <c r="Z21" i="1"/>
  <c r="Z20" i="1"/>
  <c r="R14" i="1" l="1"/>
  <c r="CB15" i="1"/>
  <c r="AH15" i="1" l="1"/>
  <c r="A3" i="1"/>
  <c r="B12" i="1"/>
  <c r="G14" i="1"/>
  <c r="K14" i="1"/>
  <c r="S14" i="1"/>
  <c r="U14" i="1"/>
  <c r="V14" i="1"/>
  <c r="W14" i="1"/>
  <c r="X14" i="1"/>
  <c r="AJ14" i="1"/>
  <c r="AK14" i="1"/>
  <c r="AL14" i="1"/>
  <c r="BC14" i="1"/>
  <c r="BM14" i="1"/>
  <c r="BN14" i="1"/>
  <c r="BO14" i="1"/>
  <c r="BQ14" i="1"/>
  <c r="A15" i="1"/>
  <c r="H15" i="1"/>
  <c r="A20" i="1"/>
  <c r="H20" i="1"/>
  <c r="A21" i="1"/>
  <c r="H21" i="1"/>
  <c r="BT19" i="1" l="1"/>
  <c r="BU19" i="1" s="1"/>
  <c r="BT18" i="1"/>
  <c r="BU18" i="1" s="1"/>
  <c r="I15" i="1"/>
  <c r="AZ15" i="1"/>
  <c r="BA15" i="1"/>
  <c r="AZ21" i="1"/>
  <c r="AN21" i="1"/>
  <c r="BT16" i="1"/>
  <c r="BU16" i="1" s="1"/>
  <c r="BT17" i="1"/>
  <c r="BU17" i="1" s="1"/>
  <c r="AF20" i="1"/>
  <c r="AZ20" i="1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T15" i="1"/>
  <c r="BT21" i="1"/>
  <c r="BT20" i="1"/>
  <c r="AF15" i="1"/>
  <c r="AN15" i="1"/>
  <c r="AO15" i="1" s="1"/>
  <c r="BA21" i="1"/>
  <c r="AY21" i="1"/>
  <c r="AN20" i="1"/>
  <c r="AY20" i="1"/>
  <c r="BA20" i="1"/>
  <c r="AY15" i="1"/>
  <c r="BP14" i="1"/>
  <c r="AG14" i="1"/>
  <c r="BE14" i="1"/>
  <c r="H14" i="1"/>
  <c r="CA21" i="1"/>
  <c r="CB21" i="1" s="1"/>
  <c r="CA20" i="1"/>
  <c r="CB20" i="1" s="1"/>
  <c r="I20" i="1" s="1"/>
  <c r="AH21" i="1" l="1"/>
  <c r="AH14" i="1" s="1"/>
  <c r="I21" i="1"/>
  <c r="AZ14" i="1"/>
  <c r="AH20" i="1"/>
  <c r="AO20" i="1"/>
  <c r="AV15" i="1"/>
  <c r="BF15" i="1" s="1"/>
  <c r="AY14" i="1"/>
  <c r="BA14" i="1"/>
  <c r="BB21" i="1"/>
  <c r="BB20" i="1"/>
  <c r="BB15" i="1"/>
  <c r="AC14" i="1"/>
  <c r="AI14" i="1"/>
  <c r="AM14" i="1"/>
  <c r="AO21" i="1"/>
  <c r="AV20" i="1" l="1"/>
  <c r="AV21" i="1"/>
  <c r="BB14" i="1"/>
  <c r="BG15" i="1"/>
  <c r="BK15" i="1" s="1"/>
  <c r="AD14" i="1"/>
  <c r="AF14" i="1"/>
  <c r="I14" i="1"/>
  <c r="Y14" i="1"/>
  <c r="AN14" i="1"/>
  <c r="BX12" i="1"/>
  <c r="BY12" i="1" s="1"/>
  <c r="BZ12" i="1" s="1"/>
  <c r="CA12" i="1" s="1"/>
  <c r="CB12" i="1" s="1"/>
  <c r="CC12" i="1" s="1"/>
  <c r="CD12" i="1" s="1"/>
  <c r="BF21" i="1" l="1"/>
  <c r="BG21" i="1" s="1"/>
  <c r="BF20" i="1"/>
  <c r="BG20" i="1" s="1"/>
  <c r="AO14" i="1"/>
  <c r="BL15" i="1"/>
  <c r="BU15" i="1" s="1"/>
  <c r="AV14" i="1"/>
  <c r="BK21" i="1" l="1"/>
  <c r="BL21" i="1" s="1"/>
  <c r="BU21" i="1" s="1"/>
  <c r="BK20" i="1"/>
  <c r="BL20" i="1" s="1"/>
  <c r="BU20" i="1" l="1"/>
  <c r="BL14" i="1"/>
  <c r="BT14" i="1"/>
  <c r="BU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3B7FFEF4-AE63-4DFA-B536-7BAA2BEE4A14}">
      <text>
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</text>
    </comment>
    <comment ref="F8" authorId="1" shapeId="0" xr:uid="{F2CA1CEE-0407-4ECA-B543-A94DFE1E09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
Reply:
    LT: Lương Tháng
LN: Lương ngày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E2E9D45B-DF17-427F-97F4-573038627707}">
      <text>
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</text>
    </comment>
    <comment ref="F5" authorId="1" shapeId="0" xr:uid="{71B14A45-6C96-40CB-98DD-DD6B3885D55F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</t>
      </text>
    </comment>
  </commentList>
</comments>
</file>

<file path=xl/sharedStrings.xml><?xml version="1.0" encoding="utf-8"?>
<sst xmlns="http://schemas.openxmlformats.org/spreadsheetml/2006/main" count="549" uniqueCount="151">
  <si>
    <t>CÔNG TY …..............</t>
  </si>
  <si>
    <t>ĐC:…...........</t>
  </si>
  <si>
    <t>THỐNG KÊ LƯƠNG</t>
  </si>
  <si>
    <t xml:space="preserve">Ngày công thực tế tháng </t>
  </si>
  <si>
    <t>TT</t>
  </si>
  <si>
    <t>MSNV</t>
  </si>
  <si>
    <t>Họ và tên</t>
  </si>
  <si>
    <t>Đơn vị</t>
  </si>
  <si>
    <t>Loại HĐLĐ</t>
  </si>
  <si>
    <t>Đối tượng được tính làm thêm giờ</t>
  </si>
  <si>
    <t>Mức lương HĐLĐ</t>
  </si>
  <si>
    <t xml:space="preserve"> Phụ cấp (PCCC, ATVSV) </t>
  </si>
  <si>
    <t>Định mức Thưởng HQCV</t>
  </si>
  <si>
    <t>Tỷ lệ % tạm ứng thưởng HQCV</t>
  </si>
  <si>
    <t>Ngày công trong tháng</t>
  </si>
  <si>
    <t>Các khoản được hưởng trong tháng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</si>
  <si>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</si>
  <si>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</si>
  <si>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</si>
  <si>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</si>
  <si>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</si>
  <si>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</si>
  <si>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Tổng thu nhập</t>
  </si>
  <si>
    <t>Thu nhập chịu thuế khác</t>
  </si>
  <si>
    <t>Tham gia BHXH</t>
  </si>
  <si>
    <t>Các khoản trừ</t>
  </si>
  <si>
    <t>Quyết toán thuế</t>
  </si>
  <si>
    <t>Thực nhận kỳ 1</t>
  </si>
  <si>
    <t>Thực nhận kỳ 2</t>
  </si>
  <si>
    <t>Ngạch lương</t>
  </si>
  <si>
    <t>Các khoản được hưởng</t>
  </si>
  <si>
    <t>Tổng lương và các khoản PC khác</t>
  </si>
  <si>
    <t>Là ĐT, ĐP PCCC, AT-VSV</t>
  </si>
  <si>
    <t>Mức Bồi dưỡng sức khỏe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</si>
  <si>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</si>
  <si>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</si>
  <si>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</si>
  <si>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</si>
  <si>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</si>
  <si>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</si>
  <si>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</si>
  <si>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</si>
  <si>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</si>
  <si>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</si>
  <si>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</si>
  <si>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ngừng việc trong tháng</t>
  </si>
  <si>
    <t>Ngày công PHSK</t>
  </si>
  <si>
    <t>Lương
Ngày thường</t>
  </si>
  <si>
    <t>Lương ngày nghỉ phép</t>
  </si>
  <si>
    <t>Lương ngày nghỉ chế độ</t>
  </si>
  <si>
    <t>Lương ngày nghỉ Lễ Tết</t>
  </si>
  <si>
    <t>Lương Tăng ca ngày thường</t>
  </si>
  <si>
    <t>Lương tăng ca ngày nghỉ</t>
  </si>
  <si>
    <t>Lương tăng ca ngày Lễ/Tết</t>
  </si>
  <si>
    <t>Lương phụ cấp ban đêm</t>
  </si>
  <si>
    <t>Lương nữ nghỉ HK</t>
  </si>
  <si>
    <t>Lương làm việc ngày T7 được nghỉ</t>
  </si>
  <si>
    <t>Lương ngày tạm ngừng việc</t>
  </si>
  <si>
    <t>Lương trực hỗ trợ bảo vệ</t>
  </si>
  <si>
    <t>Phụ cấp công tác</t>
  </si>
  <si>
    <t>Phép năm nghỉ việc</t>
  </si>
  <si>
    <t>Bồi dưỡng PHSK</t>
  </si>
  <si>
    <t xml:space="preserve">Phụ cấp PCCC (ĐT, ĐP), Phụ cấp AT-VSV </t>
  </si>
  <si>
    <t>Tạm ứng  thưởng HQCV</t>
  </si>
  <si>
    <t>Các khoản trích nộp</t>
  </si>
  <si>
    <t>Các khoản thu hộ/thu khác</t>
  </si>
  <si>
    <t>Truy thu theo QTT</t>
  </si>
  <si>
    <t>Hoàn trả theo QTT</t>
  </si>
  <si>
    <t>BHXH</t>
  </si>
  <si>
    <t>BHYT</t>
  </si>
  <si>
    <t>BHTN</t>
  </si>
  <si>
    <t>TỔng BHXH</t>
  </si>
  <si>
    <t>Truy thu BHXH</t>
  </si>
  <si>
    <t>Hoàn trả BHXH</t>
  </si>
  <si>
    <t>Phí 
công đoàn</t>
  </si>
  <si>
    <t>TN miễn thuế</t>
  </si>
  <si>
    <t>Thu nhập chịu thuế</t>
  </si>
  <si>
    <t>NPT</t>
  </si>
  <si>
    <t>Giảm trừ NPT</t>
  </si>
  <si>
    <t>Giảm trừ cá nhân</t>
  </si>
  <si>
    <t>TNTT</t>
  </si>
  <si>
    <t>Thuế TNCN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</si>
  <si>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</si>
  <si>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</si>
  <si>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</si>
  <si>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</si>
  <si>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…..............</t>
  </si>
  <si>
    <t>14 ngày đầu</t>
  </si>
  <si>
    <t>Từ ngày 15 trở đi</t>
  </si>
  <si>
    <t>8%</t>
  </si>
  <si>
    <t>1.5%</t>
  </si>
  <si>
    <t>1%</t>
  </si>
  <si>
    <t>PC chức danh</t>
  </si>
  <si>
    <t>PC kiêm nhiệm</t>
  </si>
  <si>
    <t>PC Biệt phái</t>
  </si>
  <si>
    <t>PC thâm niên</t>
  </si>
  <si>
    <t>65</t>
  </si>
  <si>
    <t>IN</t>
  </si>
  <si>
    <t>Tô Thanh Liêm</t>
  </si>
  <si>
    <t>Ban kế toán</t>
  </si>
  <si>
    <t>CT</t>
  </si>
  <si>
    <t>LT</t>
  </si>
  <si>
    <t>x</t>
  </si>
  <si>
    <t>Nguyễn Thành An</t>
  </si>
  <si>
    <t>Ban nhân sự</t>
  </si>
  <si>
    <t>2504023</t>
  </si>
  <si>
    <t>Nguyễn Hữu Thọ</t>
  </si>
  <si>
    <t>Ban tài chính</t>
  </si>
  <si>
    <t>Trương Thị Thu Hiền</t>
  </si>
  <si>
    <t>2305991</t>
  </si>
  <si>
    <t>Võ Thị Tú Trinh</t>
  </si>
  <si>
    <t>Ban hành chính</t>
  </si>
  <si>
    <t>LN</t>
  </si>
  <si>
    <t>Nguyễn Ngọc Thủy Tiên</t>
  </si>
  <si>
    <t>TV</t>
  </si>
  <si>
    <t>ĐP PCCC</t>
  </si>
  <si>
    <t>2006324</t>
  </si>
  <si>
    <t>Nguyễn Hồng Nhung</t>
  </si>
  <si>
    <t>Ban Chuyển đổi số</t>
  </si>
  <si>
    <t>AT-VSV</t>
  </si>
  <si>
    <t xml:space="preserve"> </t>
  </si>
  <si>
    <t>Nguyễn Văn A</t>
  </si>
  <si>
    <t>Ban…</t>
  </si>
  <si>
    <t>ĐT PCCC</t>
  </si>
  <si>
    <t>Nguyễn Văn C</t>
  </si>
  <si>
    <t>789123</t>
  </si>
  <si>
    <t>Nguyễn Thị B</t>
  </si>
  <si>
    <t>Số thứ tự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</si>
  <si>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</si>
  <si>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</si>
  <si>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</si>
  <si>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</si>
  <si>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</si>
  <si>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</si>
  <si>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mặc định là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</si>
  <si>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</si>
  <si>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</si>
  <si>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</si>
  <si>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</si>
  <si>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</si>
  <si>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</si>
  <si>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</si>
  <si>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Khối</t>
  </si>
  <si>
    <t>LN/LT</t>
  </si>
  <si>
    <t>Tỷ lệ tạm ứng lương</t>
  </si>
  <si>
    <t>Lương chủ nhật</t>
  </si>
  <si>
    <t>Phí 
công đoàn
(Lương HĐLĐ *1%)</t>
  </si>
  <si>
    <t>Tiền cơm</t>
  </si>
  <si>
    <t>s</t>
  </si>
  <si>
    <t>QTNV</t>
  </si>
  <si>
    <t>SXLR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</si>
</sst>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_-* #,##0.0_-;\-* #,##0.0_-;_-* &quot;-&quot;??_-;_-@_-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</cellStyleXfs>
  <cellXfs count="351">
    <xf numFmtId="0" fontId="0" fillId="0" borderId="0" xfId="0"/>
    <xf numFmtId="165" fontId="4" fillId="0" borderId="0" xfId="1" applyNumberFormat="1" applyFont="1" applyFill="1" applyAlignment="1">
      <alignment horizontal="center" vertical="center"/>
    </xf>
    <xf numFmtId="0" fontId="5" fillId="0" borderId="0" xfId="3" applyFont="1" applyAlignment="1">
      <alignment horizontal="left" vertical="center"/>
    </xf>
    <xf numFmtId="165" fontId="4" fillId="0" borderId="0" xfId="1" applyNumberFormat="1" applyFont="1" applyFill="1" applyAlignment="1">
      <alignment vertical="center"/>
    </xf>
    <xf numFmtId="0" fontId="3" fillId="0" borderId="0" xfId="3" applyFont="1" applyAlignment="1">
      <alignment vertical="center"/>
    </xf>
    <xf numFmtId="165" fontId="6" fillId="0" borderId="0" xfId="1" applyNumberFormat="1" applyFont="1" applyFill="1" applyAlignment="1">
      <alignment vertical="center"/>
    </xf>
    <xf numFmtId="165" fontId="7" fillId="0" borderId="0" xfId="1" applyNumberFormat="1" applyFont="1" applyFill="1" applyBorder="1" applyAlignment="1">
      <alignment vertical="center" wrapText="1"/>
    </xf>
    <xf numFmtId="164" fontId="6" fillId="0" borderId="0" xfId="1" applyFont="1" applyFill="1" applyAlignment="1">
      <alignment vertical="center"/>
    </xf>
    <xf numFmtId="165" fontId="8" fillId="0" borderId="0" xfId="1" applyNumberFormat="1" applyFont="1" applyFill="1" applyAlignment="1">
      <alignment vertical="center"/>
    </xf>
    <xf numFmtId="165" fontId="9" fillId="0" borderId="0" xfId="1" applyNumberFormat="1" applyFont="1" applyFill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5" fontId="13" fillId="0" borderId="0" xfId="1" applyNumberFormat="1" applyFont="1" applyFill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4" fontId="17" fillId="0" borderId="0" xfId="1" applyFont="1" applyFill="1" applyAlignment="1">
      <alignment vertical="center"/>
    </xf>
    <xf numFmtId="165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5" fontId="20" fillId="0" borderId="0" xfId="1" applyNumberFormat="1" applyFont="1" applyFill="1" applyAlignment="1">
      <alignment horizontal="center" vertical="center" wrapText="1"/>
    </xf>
    <xf numFmtId="165" fontId="21" fillId="0" borderId="0" xfId="1" applyNumberFormat="1" applyFont="1" applyFill="1" applyAlignment="1">
      <alignment horizontal="center" vertical="center" wrapText="1"/>
    </xf>
    <xf numFmtId="164" fontId="20" fillId="0" borderId="0" xfId="1" applyFont="1" applyFill="1" applyAlignment="1">
      <alignment horizontal="center" vertical="center"/>
    </xf>
    <xf numFmtId="164" fontId="20" fillId="0" borderId="0" xfId="1" applyFont="1" applyFill="1" applyAlignment="1">
      <alignment horizontal="center" vertical="center" wrapText="1"/>
    </xf>
    <xf numFmtId="165" fontId="20" fillId="0" borderId="0" xfId="1" applyNumberFormat="1" applyFont="1" applyFill="1" applyAlignment="1">
      <alignment horizontal="center" vertical="center"/>
    </xf>
    <xf numFmtId="165" fontId="25" fillId="0" borderId="0" xfId="0" applyNumberFormat="1" applyFont="1" applyAlignment="1">
      <alignment horizontal="left" vertical="center" shrinkToFit="1"/>
    </xf>
    <xf numFmtId="165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10" xfId="3" applyFont="1" applyBorder="1" applyAlignment="1">
      <alignment horizontal="center" vertical="center" shrinkToFit="1"/>
    </xf>
    <xf numFmtId="49" fontId="18" fillId="0" borderId="10" xfId="1" applyNumberFormat="1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Fill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Fill="1" applyAlignment="1">
      <alignment horizontal="center"/>
    </xf>
    <xf numFmtId="164" fontId="32" fillId="0" borderId="0" xfId="1" applyFont="1" applyFill="1" applyAlignment="1">
      <alignment horizontal="center"/>
    </xf>
    <xf numFmtId="164" fontId="34" fillId="0" borderId="0" xfId="1" applyFont="1" applyFill="1"/>
    <xf numFmtId="0" fontId="34" fillId="0" borderId="0" xfId="0" applyFont="1"/>
    <xf numFmtId="164" fontId="34" fillId="0" borderId="0" xfId="0" applyNumberFormat="1" applyFont="1"/>
    <xf numFmtId="0" fontId="35" fillId="0" borderId="9" xfId="0" applyFont="1" applyBorder="1" applyAlignment="1">
      <alignment horizontal="center"/>
    </xf>
    <xf numFmtId="14" fontId="32" fillId="0" borderId="0" xfId="0" applyNumberFormat="1" applyFont="1"/>
    <xf numFmtId="165" fontId="32" fillId="0" borderId="0" xfId="1" applyNumberFormat="1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Fill="1" applyAlignment="1">
      <alignment horizontal="center"/>
    </xf>
    <xf numFmtId="166" fontId="36" fillId="0" borderId="0" xfId="1" applyNumberFormat="1" applyFont="1" applyFill="1" applyAlignment="1">
      <alignment horizontal="center"/>
    </xf>
    <xf numFmtId="164" fontId="36" fillId="0" borderId="0" xfId="1" applyFont="1" applyFill="1" applyAlignment="1">
      <alignment horizontal="center"/>
    </xf>
    <xf numFmtId="0" fontId="37" fillId="0" borderId="0" xfId="0" applyFont="1"/>
    <xf numFmtId="165" fontId="36" fillId="0" borderId="0" xfId="0" applyNumberFormat="1" applyFont="1"/>
    <xf numFmtId="14" fontId="36" fillId="0" borderId="0" xfId="0" applyNumberFormat="1" applyFont="1"/>
    <xf numFmtId="165" fontId="36" fillId="0" borderId="0" xfId="1" applyNumberFormat="1" applyFont="1" applyFill="1"/>
    <xf numFmtId="49" fontId="36" fillId="0" borderId="0" xfId="0" applyNumberFormat="1" applyFont="1" applyAlignment="1">
      <alignment horizontal="center"/>
    </xf>
    <xf numFmtId="164" fontId="37" fillId="0" borderId="0" xfId="1" applyFont="1" applyFill="1"/>
    <xf numFmtId="0" fontId="19" fillId="0" borderId="0" xfId="0" applyFont="1" applyAlignment="1">
      <alignment horizontal="center"/>
    </xf>
    <xf numFmtId="164" fontId="16" fillId="0" borderId="0" xfId="1" applyFont="1" applyFill="1" applyAlignment="1">
      <alignment horizontal="center"/>
    </xf>
    <xf numFmtId="165" fontId="16" fillId="0" borderId="0" xfId="1" applyNumberFormat="1" applyFont="1" applyFill="1"/>
    <xf numFmtId="165" fontId="19" fillId="0" borderId="0" xfId="1" applyNumberFormat="1" applyFont="1" applyFill="1"/>
    <xf numFmtId="164" fontId="19" fillId="0" borderId="0" xfId="1" applyFont="1" applyFill="1"/>
    <xf numFmtId="49" fontId="19" fillId="0" borderId="0" xfId="1" applyNumberFormat="1" applyFont="1" applyFill="1" applyAlignment="1">
      <alignment horizontal="center"/>
    </xf>
    <xf numFmtId="165" fontId="19" fillId="0" borderId="0" xfId="1" applyNumberFormat="1" applyFont="1" applyFill="1" applyAlignment="1">
      <alignment wrapText="1"/>
    </xf>
    <xf numFmtId="165" fontId="16" fillId="0" borderId="0" xfId="1" applyNumberFormat="1" applyFont="1" applyFill="1" applyAlignment="1">
      <alignment horizontal="center"/>
    </xf>
    <xf numFmtId="165" fontId="39" fillId="0" borderId="0" xfId="1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3" xfId="2" applyFont="1" applyFill="1" applyBorder="1" applyAlignment="1">
      <alignment horizontal="center" vertical="center" wrapText="1"/>
    </xf>
    <xf numFmtId="165" fontId="8" fillId="2" borderId="13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10" xfId="1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10" xfId="3" applyFont="1" applyBorder="1" applyAlignment="1">
      <alignment horizontal="center" vertical="center" shrinkToFit="1"/>
    </xf>
    <xf numFmtId="0" fontId="41" fillId="0" borderId="18" xfId="3" applyFont="1" applyBorder="1" applyAlignment="1">
      <alignment horizontal="center" vertical="center"/>
    </xf>
    <xf numFmtId="165" fontId="41" fillId="0" borderId="18" xfId="1" applyNumberFormat="1" applyFont="1" applyFill="1" applyBorder="1" applyAlignment="1">
      <alignment horizontal="left" vertical="center"/>
    </xf>
    <xf numFmtId="0" fontId="41" fillId="0" borderId="18" xfId="0" applyFont="1" applyBorder="1" applyAlignment="1">
      <alignment horizontal="left" vertical="center"/>
    </xf>
    <xf numFmtId="167" fontId="41" fillId="0" borderId="18" xfId="1" applyNumberFormat="1" applyFont="1" applyFill="1" applyBorder="1" applyAlignment="1">
      <alignment horizontal="left" vertical="center"/>
    </xf>
    <xf numFmtId="165" fontId="29" fillId="0" borderId="13" xfId="1" applyNumberFormat="1" applyFont="1" applyFill="1" applyBorder="1" applyAlignment="1">
      <alignment horizontal="left" vertical="center"/>
    </xf>
    <xf numFmtId="165" fontId="29" fillId="0" borderId="1" xfId="1" applyNumberFormat="1" applyFont="1" applyFill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8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8" xfId="0" applyFont="1" applyBorder="1" applyAlignment="1">
      <alignment horizontal="left" vertical="center"/>
    </xf>
    <xf numFmtId="165" fontId="29" fillId="0" borderId="18" xfId="1" applyNumberFormat="1" applyFont="1" applyFill="1" applyBorder="1" applyAlignment="1">
      <alignment horizontal="left" vertical="center"/>
    </xf>
    <xf numFmtId="9" fontId="42" fillId="0" borderId="18" xfId="1" applyNumberFormat="1" applyFont="1" applyFill="1" applyBorder="1" applyAlignment="1">
      <alignment horizontal="center" vertical="center"/>
    </xf>
    <xf numFmtId="164" fontId="29" fillId="0" borderId="18" xfId="1" applyFont="1" applyFill="1" applyBorder="1" applyAlignment="1">
      <alignment horizontal="left" vertical="center"/>
    </xf>
    <xf numFmtId="165" fontId="42" fillId="0" borderId="18" xfId="1" applyNumberFormat="1" applyFont="1" applyFill="1" applyBorder="1" applyAlignment="1">
      <alignment horizontal="left" vertical="center"/>
    </xf>
    <xf numFmtId="165" fontId="43" fillId="0" borderId="0" xfId="2" applyNumberFormat="1" applyFont="1" applyFill="1" applyAlignment="1">
      <alignment horizontal="left" vertical="center"/>
    </xf>
    <xf numFmtId="14" fontId="43" fillId="0" borderId="0" xfId="2" applyNumberFormat="1" applyFont="1" applyFill="1" applyAlignment="1">
      <alignment horizontal="left" vertical="center"/>
    </xf>
    <xf numFmtId="165" fontId="29" fillId="0" borderId="0" xfId="0" applyNumberFormat="1" applyFont="1" applyAlignment="1">
      <alignment horizontal="left" vertical="center"/>
    </xf>
    <xf numFmtId="165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5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1" xfId="1" applyNumberFormat="1" applyFont="1" applyFill="1" applyBorder="1" applyAlignment="1">
      <alignment horizontal="center" vertical="center" shrinkToFit="1"/>
    </xf>
    <xf numFmtId="165" fontId="41" fillId="0" borderId="20" xfId="1" applyNumberFormat="1" applyFont="1" applyFill="1" applyBorder="1" applyAlignment="1">
      <alignment horizontal="left" vertical="center"/>
    </xf>
    <xf numFmtId="165" fontId="29" fillId="0" borderId="5" xfId="1" applyNumberFormat="1" applyFont="1" applyFill="1" applyBorder="1" applyAlignment="1">
      <alignment horizontal="left" vertical="center"/>
    </xf>
    <xf numFmtId="49" fontId="18" fillId="0" borderId="12" xfId="1" applyNumberFormat="1" applyFont="1" applyFill="1" applyBorder="1" applyAlignment="1">
      <alignment horizontal="center" vertical="center" shrinkToFit="1"/>
    </xf>
    <xf numFmtId="49" fontId="8" fillId="0" borderId="12" xfId="1" applyNumberFormat="1" applyFont="1" applyFill="1" applyBorder="1" applyAlignment="1">
      <alignment horizontal="center" vertical="center" shrinkToFit="1"/>
    </xf>
    <xf numFmtId="165" fontId="29" fillId="0" borderId="22" xfId="1" applyNumberFormat="1" applyFont="1" applyFill="1" applyBorder="1" applyAlignment="1">
      <alignment horizontal="left" vertical="center"/>
    </xf>
    <xf numFmtId="165" fontId="6" fillId="5" borderId="0" xfId="1" applyNumberFormat="1" applyFont="1" applyFill="1" applyBorder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5" fontId="22" fillId="5" borderId="0" xfId="1" applyNumberFormat="1" applyFont="1" applyFill="1" applyBorder="1" applyAlignment="1">
      <alignment horizontal="center" vertical="center" wrapText="1"/>
    </xf>
    <xf numFmtId="49" fontId="18" fillId="5" borderId="0" xfId="1" applyNumberFormat="1" applyFont="1" applyFill="1" applyBorder="1" applyAlignment="1">
      <alignment horizontal="center" vertical="center" shrinkToFit="1"/>
    </xf>
    <xf numFmtId="49" fontId="8" fillId="5" borderId="0" xfId="1" applyNumberFormat="1" applyFont="1" applyFill="1" applyBorder="1" applyAlignment="1">
      <alignment horizontal="center" vertical="center" shrinkToFit="1"/>
    </xf>
    <xf numFmtId="165" fontId="41" fillId="5" borderId="0" xfId="1" applyNumberFormat="1" applyFont="1" applyFill="1" applyBorder="1" applyAlignment="1">
      <alignment horizontal="left" vertical="center"/>
    </xf>
    <xf numFmtId="165" fontId="29" fillId="5" borderId="0" xfId="1" applyNumberFormat="1" applyFont="1" applyFill="1" applyBorder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5" fontId="16" fillId="5" borderId="0" xfId="1" applyNumberFormat="1" applyFont="1" applyFill="1" applyBorder="1"/>
    <xf numFmtId="0" fontId="29" fillId="0" borderId="18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167" fontId="41" fillId="2" borderId="18" xfId="1" applyNumberFormat="1" applyFont="1" applyFill="1" applyBorder="1" applyAlignment="1">
      <alignment horizontal="left" vertical="center"/>
    </xf>
    <xf numFmtId="164" fontId="29" fillId="2" borderId="18" xfId="1" applyFont="1" applyFill="1" applyBorder="1" applyAlignment="1">
      <alignment horizontal="left" vertical="center"/>
    </xf>
    <xf numFmtId="165" fontId="45" fillId="0" borderId="0" xfId="1" applyNumberFormat="1" applyFont="1" applyFill="1" applyAlignment="1">
      <alignment vertical="center"/>
    </xf>
    <xf numFmtId="1" fontId="42" fillId="0" borderId="0" xfId="0" applyNumberFormat="1" applyFont="1"/>
    <xf numFmtId="165" fontId="14" fillId="0" borderId="0" xfId="0" applyNumberFormat="1" applyFont="1"/>
    <xf numFmtId="0" fontId="8" fillId="0" borderId="0" xfId="3" applyFont="1" applyAlignment="1">
      <alignment horizontal="left" vertical="center"/>
    </xf>
    <xf numFmtId="165" fontId="8" fillId="0" borderId="0" xfId="1" applyNumberFormat="1" applyFont="1" applyFill="1" applyAlignment="1">
      <alignment horizontal="center" vertical="center"/>
    </xf>
    <xf numFmtId="0" fontId="47" fillId="0" borderId="0" xfId="3" applyFont="1" applyAlignment="1">
      <alignment vertical="center"/>
    </xf>
    <xf numFmtId="165" fontId="22" fillId="0" borderId="0" xfId="1" applyNumberFormat="1" applyFont="1" applyFill="1" applyBorder="1" applyAlignment="1">
      <alignment vertical="center" wrapText="1"/>
    </xf>
    <xf numFmtId="164" fontId="8" fillId="0" borderId="0" xfId="1" applyFont="1" applyFill="1" applyAlignment="1">
      <alignment vertical="center"/>
    </xf>
    <xf numFmtId="0" fontId="8" fillId="0" borderId="0" xfId="3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0" fontId="48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5" fontId="47" fillId="0" borderId="0" xfId="0" applyNumberFormat="1" applyFont="1" applyAlignment="1">
      <alignment horizontal="left" vertical="center" shrinkToFit="1"/>
    </xf>
    <xf numFmtId="165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7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9" fillId="0" borderId="18" xfId="3" applyFont="1" applyBorder="1" applyAlignment="1">
      <alignment horizontal="center" vertical="center"/>
    </xf>
    <xf numFmtId="165" fontId="49" fillId="0" borderId="18" xfId="1" applyNumberFormat="1" applyFont="1" applyFill="1" applyBorder="1" applyAlignment="1">
      <alignment horizontal="left" vertical="center"/>
    </xf>
    <xf numFmtId="0" fontId="49" fillId="0" borderId="18" xfId="0" applyFont="1" applyBorder="1" applyAlignment="1">
      <alignment horizontal="left" vertical="center"/>
    </xf>
    <xf numFmtId="167" fontId="49" fillId="0" borderId="18" xfId="1" applyNumberFormat="1" applyFont="1" applyFill="1" applyBorder="1" applyAlignment="1">
      <alignment horizontal="left" vertical="center"/>
    </xf>
    <xf numFmtId="167" fontId="49" fillId="2" borderId="18" xfId="1" applyNumberFormat="1" applyFont="1" applyFill="1" applyBorder="1" applyAlignment="1">
      <alignment horizontal="left" vertical="center"/>
    </xf>
    <xf numFmtId="165" fontId="49" fillId="0" borderId="20" xfId="1" applyNumberFormat="1" applyFont="1" applyFill="1" applyBorder="1" applyAlignment="1">
      <alignment horizontal="left" vertical="center"/>
    </xf>
    <xf numFmtId="165" fontId="47" fillId="0" borderId="22" xfId="1" applyNumberFormat="1" applyFont="1" applyFill="1" applyBorder="1" applyAlignment="1">
      <alignment horizontal="left" vertical="center"/>
    </xf>
    <xf numFmtId="165" fontId="47" fillId="0" borderId="13" xfId="1" applyNumberFormat="1" applyFont="1" applyFill="1" applyBorder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7" fillId="0" borderId="18" xfId="3" applyFont="1" applyBorder="1" applyAlignment="1">
      <alignment horizontal="center" vertical="center"/>
    </xf>
    <xf numFmtId="0" fontId="47" fillId="0" borderId="1" xfId="0" quotePrefix="1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0" fontId="47" fillId="0" borderId="18" xfId="0" applyFont="1" applyBorder="1" applyAlignment="1">
      <alignment horizontal="left" vertical="center"/>
    </xf>
    <xf numFmtId="0" fontId="47" fillId="0" borderId="18" xfId="0" applyFont="1" applyBorder="1" applyAlignment="1">
      <alignment horizontal="center" vertical="center"/>
    </xf>
    <xf numFmtId="0" fontId="50" fillId="0" borderId="18" xfId="0" applyFont="1" applyBorder="1" applyAlignment="1">
      <alignment horizontal="center" vertical="center"/>
    </xf>
    <xf numFmtId="165" fontId="47" fillId="0" borderId="18" xfId="1" applyNumberFormat="1" applyFont="1" applyFill="1" applyBorder="1" applyAlignment="1">
      <alignment horizontal="left" vertical="center"/>
    </xf>
    <xf numFmtId="9" fontId="20" fillId="0" borderId="18" xfId="1" applyNumberFormat="1" applyFont="1" applyFill="1" applyBorder="1" applyAlignment="1">
      <alignment horizontal="center" vertical="center"/>
    </xf>
    <xf numFmtId="164" fontId="47" fillId="0" borderId="18" xfId="1" applyFont="1" applyFill="1" applyBorder="1" applyAlignment="1">
      <alignment horizontal="left" vertical="center"/>
    </xf>
    <xf numFmtId="164" fontId="47" fillId="2" borderId="18" xfId="1" applyFont="1" applyFill="1" applyBorder="1" applyAlignment="1">
      <alignment horizontal="left" vertical="center"/>
    </xf>
    <xf numFmtId="165" fontId="20" fillId="0" borderId="18" xfId="1" applyNumberFormat="1" applyFont="1" applyFill="1" applyBorder="1" applyAlignment="1">
      <alignment horizontal="left" vertical="center"/>
    </xf>
    <xf numFmtId="165" fontId="47" fillId="0" borderId="1" xfId="1" applyNumberFormat="1" applyFont="1" applyFill="1" applyBorder="1" applyAlignment="1">
      <alignment horizontal="left" vertical="center"/>
    </xf>
    <xf numFmtId="165" fontId="47" fillId="0" borderId="5" xfId="1" applyNumberFormat="1" applyFont="1" applyFill="1" applyBorder="1" applyAlignment="1">
      <alignment horizontal="left" vertical="center"/>
    </xf>
    <xf numFmtId="165" fontId="50" fillId="0" borderId="0" xfId="2" applyNumberFormat="1" applyFont="1" applyFill="1" applyAlignment="1">
      <alignment horizontal="left" vertical="center"/>
    </xf>
    <xf numFmtId="14" fontId="50" fillId="0" borderId="0" xfId="2" applyNumberFormat="1" applyFont="1" applyFill="1" applyAlignment="1">
      <alignment horizontal="left" vertical="center"/>
    </xf>
    <xf numFmtId="165" fontId="47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49" fontId="47" fillId="0" borderId="1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/>
    </xf>
    <xf numFmtId="49" fontId="51" fillId="0" borderId="0" xfId="1" applyNumberFormat="1" applyFont="1" applyFill="1" applyAlignment="1">
      <alignment horizontal="center"/>
    </xf>
    <xf numFmtId="165" fontId="51" fillId="0" borderId="0" xfId="1" applyNumberFormat="1" applyFont="1" applyFill="1" applyAlignment="1">
      <alignment wrapText="1"/>
    </xf>
    <xf numFmtId="165" fontId="47" fillId="0" borderId="0" xfId="1" applyNumberFormat="1" applyFont="1" applyFill="1" applyAlignment="1">
      <alignment horizontal="center"/>
    </xf>
    <xf numFmtId="165" fontId="23" fillId="0" borderId="0" xfId="1" applyNumberFormat="1" applyFont="1" applyFill="1" applyAlignment="1">
      <alignment horizontal="center"/>
    </xf>
    <xf numFmtId="165" fontId="51" fillId="0" borderId="0" xfId="1" applyNumberFormat="1" applyFont="1" applyFill="1"/>
    <xf numFmtId="0" fontId="52" fillId="0" borderId="0" xfId="0" applyFont="1"/>
    <xf numFmtId="164" fontId="47" fillId="0" borderId="0" xfId="1" applyFont="1" applyFill="1" applyAlignment="1">
      <alignment horizontal="center"/>
    </xf>
    <xf numFmtId="165" fontId="47" fillId="0" borderId="0" xfId="1" applyNumberFormat="1" applyFont="1" applyFill="1"/>
    <xf numFmtId="164" fontId="51" fillId="0" borderId="0" xfId="1" applyFont="1" applyFill="1"/>
    <xf numFmtId="0" fontId="51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Fill="1" applyAlignment="1">
      <alignment horizontal="center"/>
    </xf>
    <xf numFmtId="165" fontId="20" fillId="0" borderId="0" xfId="1" applyNumberFormat="1" applyFont="1" applyFill="1" applyAlignment="1">
      <alignment wrapText="1"/>
    </xf>
    <xf numFmtId="165" fontId="20" fillId="0" borderId="0" xfId="1" applyNumberFormat="1" applyFont="1" applyFill="1" applyAlignment="1">
      <alignment horizontal="center"/>
    </xf>
    <xf numFmtId="165" fontId="21" fillId="0" borderId="0" xfId="1" applyNumberFormat="1" applyFont="1" applyFill="1" applyAlignment="1">
      <alignment horizontal="center"/>
    </xf>
    <xf numFmtId="165" fontId="20" fillId="0" borderId="0" xfId="1" applyNumberFormat="1" applyFont="1" applyFill="1"/>
    <xf numFmtId="0" fontId="53" fillId="0" borderId="0" xfId="0" applyFont="1"/>
    <xf numFmtId="164" fontId="20" fillId="0" borderId="0" xfId="1" applyFont="1" applyFill="1" applyAlignment="1">
      <alignment horizontal="center"/>
    </xf>
    <xf numFmtId="164" fontId="20" fillId="0" borderId="0" xfId="1" applyFont="1" applyFill="1"/>
    <xf numFmtId="0" fontId="20" fillId="0" borderId="0" xfId="0" applyFont="1"/>
    <xf numFmtId="0" fontId="47" fillId="0" borderId="18" xfId="1" applyNumberFormat="1" applyFont="1" applyFill="1" applyBorder="1" applyAlignment="1">
      <alignment horizontal="left" vertical="center" wrapText="1"/>
    </xf>
    <xf numFmtId="0" fontId="47" fillId="0" borderId="1" xfId="1" applyNumberFormat="1" applyFont="1" applyFill="1" applyBorder="1" applyAlignment="1">
      <alignment horizontal="left" vertical="center" wrapText="1"/>
    </xf>
    <xf numFmtId="0" fontId="47" fillId="0" borderId="1" xfId="3" applyFont="1" applyBorder="1" applyAlignment="1">
      <alignment horizontal="center" vertical="center" wrapText="1"/>
    </xf>
    <xf numFmtId="0" fontId="47" fillId="0" borderId="1" xfId="0" quotePrefix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20" fillId="0" borderId="1" xfId="1" applyNumberFormat="1" applyFont="1" applyFill="1" applyBorder="1" applyAlignment="1">
      <alignment horizontal="center" vertical="center" wrapText="1"/>
    </xf>
    <xf numFmtId="0" fontId="47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Fill="1" applyBorder="1" applyAlignment="1">
      <alignment horizontal="left" vertical="center" wrapText="1"/>
    </xf>
    <xf numFmtId="0" fontId="50" fillId="0" borderId="0" xfId="2" applyNumberFormat="1" applyFont="1" applyFill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7" fillId="3" borderId="1" xfId="1" applyNumberFormat="1" applyFont="1" applyFill="1" applyBorder="1" applyAlignment="1">
      <alignment horizontal="left" vertical="center" wrapText="1"/>
    </xf>
    <xf numFmtId="0" fontId="52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center" vertical="center"/>
    </xf>
    <xf numFmtId="49" fontId="51" fillId="0" borderId="0" xfId="1" applyNumberFormat="1" applyFont="1" applyFill="1" applyAlignment="1">
      <alignment horizontal="center" vertical="center"/>
    </xf>
    <xf numFmtId="165" fontId="51" fillId="0" borderId="0" xfId="1" applyNumberFormat="1" applyFont="1" applyFill="1" applyAlignment="1">
      <alignment vertical="center" wrapText="1"/>
    </xf>
    <xf numFmtId="165" fontId="47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65" fontId="51" fillId="0" borderId="0" xfId="1" applyNumberFormat="1" applyFont="1" applyFill="1" applyAlignment="1">
      <alignment vertical="center"/>
    </xf>
    <xf numFmtId="164" fontId="47" fillId="0" borderId="0" xfId="1" applyFont="1" applyFill="1" applyAlignment="1">
      <alignment horizontal="center" vertical="center"/>
    </xf>
    <xf numFmtId="165" fontId="47" fillId="0" borderId="0" xfId="1" applyNumberFormat="1" applyFont="1" applyFill="1" applyAlignment="1">
      <alignment vertical="center"/>
    </xf>
    <xf numFmtId="164" fontId="51" fillId="0" borderId="0" xfId="1" applyFont="1" applyFill="1" applyAlignment="1">
      <alignment vertical="center"/>
    </xf>
    <xf numFmtId="0" fontId="51" fillId="0" borderId="0" xfId="0" applyFont="1" applyAlignment="1">
      <alignment vertical="center"/>
    </xf>
    <xf numFmtId="0" fontId="47" fillId="0" borderId="18" xfId="3" applyFont="1" applyBorder="1" applyAlignment="1">
      <alignment horizontal="center" vertical="center" wrapText="1"/>
    </xf>
    <xf numFmtId="0" fontId="47" fillId="0" borderId="18" xfId="0" applyFont="1" applyBorder="1" applyAlignment="1">
      <alignment horizontal="left" vertical="center" wrapText="1"/>
    </xf>
    <xf numFmtId="0" fontId="20" fillId="0" borderId="18" xfId="1" applyNumberFormat="1" applyFont="1" applyFill="1" applyBorder="1" applyAlignment="1">
      <alignment horizontal="center" vertical="center" wrapText="1"/>
    </xf>
    <xf numFmtId="0" fontId="20" fillId="0" borderId="18" xfId="1" applyNumberFormat="1" applyFont="1" applyFill="1" applyBorder="1" applyAlignment="1">
      <alignment horizontal="left" vertical="center" wrapText="1"/>
    </xf>
    <xf numFmtId="0" fontId="47" fillId="0" borderId="13" xfId="1" applyNumberFormat="1" applyFont="1" applyFill="1" applyBorder="1" applyAlignment="1">
      <alignment horizontal="left" vertical="center" wrapText="1"/>
    </xf>
    <xf numFmtId="0" fontId="47" fillId="0" borderId="5" xfId="1" applyNumberFormat="1" applyFont="1" applyFill="1" applyBorder="1" applyAlignment="1">
      <alignment horizontal="left" vertical="center" wrapText="1"/>
    </xf>
    <xf numFmtId="0" fontId="47" fillId="0" borderId="22" xfId="1" applyNumberFormat="1" applyFont="1" applyFill="1" applyBorder="1" applyAlignment="1">
      <alignment horizontal="left" vertical="center" wrapText="1"/>
    </xf>
    <xf numFmtId="165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3" applyFont="1" applyAlignment="1">
      <alignment horizontal="center" vertical="center"/>
    </xf>
    <xf numFmtId="0" fontId="55" fillId="0" borderId="0" xfId="3" applyFont="1" applyAlignment="1">
      <alignment horizontal="center" vertical="center"/>
    </xf>
    <xf numFmtId="164" fontId="8" fillId="3" borderId="8" xfId="1" applyFont="1" applyFill="1" applyBorder="1" applyAlignment="1">
      <alignment horizontal="center" vertical="center" wrapText="1"/>
    </xf>
    <xf numFmtId="164" fontId="8" fillId="3" borderId="19" xfId="1" applyFont="1" applyFill="1" applyBorder="1" applyAlignment="1">
      <alignment horizontal="center" vertical="center" wrapText="1"/>
    </xf>
    <xf numFmtId="164" fontId="8" fillId="3" borderId="13" xfId="1" applyFont="1" applyFill="1" applyBorder="1" applyAlignment="1">
      <alignment horizontal="center" vertical="center" wrapText="1"/>
    </xf>
    <xf numFmtId="165" fontId="22" fillId="2" borderId="4" xfId="1" applyNumberFormat="1" applyFont="1" applyFill="1" applyBorder="1" applyAlignment="1">
      <alignment horizontal="center" vertical="center" wrapText="1"/>
    </xf>
    <xf numFmtId="165" fontId="22" fillId="2" borderId="10" xfId="1" applyNumberFormat="1" applyFont="1" applyFill="1" applyBorder="1" applyAlignment="1">
      <alignment horizontal="center" vertical="center" wrapText="1"/>
    </xf>
    <xf numFmtId="165" fontId="22" fillId="2" borderId="18" xfId="1" applyNumberFormat="1" applyFont="1" applyFill="1" applyBorder="1" applyAlignment="1">
      <alignment horizontal="center" vertical="center" wrapText="1"/>
    </xf>
    <xf numFmtId="0" fontId="22" fillId="4" borderId="4" xfId="1" applyNumberFormat="1" applyFont="1" applyFill="1" applyBorder="1" applyAlignment="1">
      <alignment horizontal="center" vertical="center" wrapText="1"/>
    </xf>
    <xf numFmtId="0" fontId="22" fillId="4" borderId="18" xfId="1" applyNumberFormat="1" applyFont="1" applyFill="1" applyBorder="1" applyAlignment="1">
      <alignment horizontal="center" vertical="center" wrapText="1"/>
    </xf>
    <xf numFmtId="165" fontId="8" fillId="2" borderId="21" xfId="1" applyNumberFormat="1" applyFont="1" applyFill="1" applyBorder="1" applyAlignment="1">
      <alignment horizontal="center" vertical="center"/>
    </xf>
    <xf numFmtId="165" fontId="8" fillId="2" borderId="16" xfId="1" applyNumberFormat="1" applyFont="1" applyFill="1" applyBorder="1" applyAlignment="1">
      <alignment horizontal="center" vertical="center"/>
    </xf>
    <xf numFmtId="165" fontId="8" fillId="2" borderId="22" xfId="1" applyNumberFormat="1" applyFont="1" applyFill="1" applyBorder="1" applyAlignment="1">
      <alignment horizontal="center" vertical="center"/>
    </xf>
    <xf numFmtId="9" fontId="8" fillId="2" borderId="2" xfId="2" applyFont="1" applyFill="1" applyBorder="1" applyAlignment="1">
      <alignment horizontal="center" vertical="center"/>
    </xf>
    <xf numFmtId="9" fontId="8" fillId="2" borderId="9" xfId="2" applyFont="1" applyFill="1" applyBorder="1" applyAlignment="1">
      <alignment horizontal="center" vertical="center"/>
    </xf>
    <xf numFmtId="9" fontId="8" fillId="2" borderId="3" xfId="2" applyFont="1" applyFill="1" applyBorder="1" applyAlignment="1">
      <alignment horizontal="center" vertical="center"/>
    </xf>
    <xf numFmtId="9" fontId="8" fillId="2" borderId="11" xfId="2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9" fontId="8" fillId="2" borderId="12" xfId="2" applyFont="1" applyFill="1" applyBorder="1" applyAlignment="1">
      <alignment horizontal="center" vertical="center"/>
    </xf>
    <xf numFmtId="9" fontId="8" fillId="2" borderId="14" xfId="2" applyFont="1" applyFill="1" applyBorder="1" applyAlignment="1">
      <alignment horizontal="center" vertical="center"/>
    </xf>
    <xf numFmtId="9" fontId="8" fillId="2" borderId="15" xfId="2" applyFont="1" applyFill="1" applyBorder="1" applyAlignment="1">
      <alignment horizontal="center" vertical="center"/>
    </xf>
    <xf numFmtId="9" fontId="8" fillId="2" borderId="16" xfId="2" applyFont="1" applyFill="1" applyBorder="1" applyAlignment="1">
      <alignment horizontal="center" vertical="center"/>
    </xf>
    <xf numFmtId="164" fontId="8" fillId="2" borderId="8" xfId="1" applyFont="1" applyFill="1" applyBorder="1" applyAlignment="1">
      <alignment horizontal="center" vertical="center" wrapText="1"/>
    </xf>
    <xf numFmtId="164" fontId="8" fillId="2" borderId="19" xfId="1" applyFont="1" applyFill="1" applyBorder="1" applyAlignment="1">
      <alignment horizontal="center" vertical="center" wrapText="1"/>
    </xf>
    <xf numFmtId="164" fontId="8" fillId="2" borderId="13" xfId="1" applyFont="1" applyFill="1" applyBorder="1" applyAlignment="1">
      <alignment horizontal="center" vertical="center" wrapText="1"/>
    </xf>
    <xf numFmtId="165" fontId="22" fillId="4" borderId="4" xfId="1" applyNumberFormat="1" applyFont="1" applyFill="1" applyBorder="1" applyAlignment="1">
      <alignment horizontal="center" vertical="center" wrapText="1"/>
    </xf>
    <xf numFmtId="165" fontId="22" fillId="4" borderId="10" xfId="1" applyNumberFormat="1" applyFont="1" applyFill="1" applyBorder="1" applyAlignment="1">
      <alignment horizontal="center" vertical="center" wrapText="1"/>
    </xf>
    <xf numFmtId="165" fontId="22" fillId="4" borderId="18" xfId="1" applyNumberFormat="1" applyFont="1" applyFill="1" applyBorder="1" applyAlignment="1">
      <alignment horizontal="center" vertical="center" wrapText="1"/>
    </xf>
    <xf numFmtId="165" fontId="22" fillId="4" borderId="2" xfId="1" applyNumberFormat="1" applyFont="1" applyFill="1" applyBorder="1" applyAlignment="1">
      <alignment horizontal="center" vertical="center" wrapText="1"/>
    </xf>
    <xf numFmtId="165" fontId="22" fillId="4" borderId="11" xfId="1" applyNumberFormat="1" applyFont="1" applyFill="1" applyBorder="1" applyAlignment="1">
      <alignment horizontal="center" vertical="center" wrapText="1"/>
    </xf>
    <xf numFmtId="165" fontId="22" fillId="4" borderId="20" xfId="1" applyNumberFormat="1" applyFont="1" applyFill="1" applyBorder="1" applyAlignment="1">
      <alignment horizontal="center" vertical="center" wrapText="1"/>
    </xf>
    <xf numFmtId="165" fontId="27" fillId="4" borderId="4" xfId="1" applyNumberFormat="1" applyFont="1" applyFill="1" applyBorder="1" applyAlignment="1">
      <alignment horizontal="center" vertical="center" wrapText="1"/>
    </xf>
    <xf numFmtId="165" fontId="27" fillId="4" borderId="18" xfId="1" applyNumberFormat="1" applyFont="1" applyFill="1" applyBorder="1" applyAlignment="1">
      <alignment horizontal="center" vertical="center" wrapText="1"/>
    </xf>
    <xf numFmtId="0" fontId="18" fillId="4" borderId="4" xfId="1" applyNumberFormat="1" applyFont="1" applyFill="1" applyBorder="1" applyAlignment="1">
      <alignment horizontal="center" vertical="center" wrapText="1"/>
    </xf>
    <xf numFmtId="0" fontId="18" fillId="4" borderId="18" xfId="1" applyNumberFormat="1" applyFont="1" applyFill="1" applyBorder="1" applyAlignment="1">
      <alignment horizontal="center" vertical="center" wrapText="1"/>
    </xf>
    <xf numFmtId="165" fontId="22" fillId="4" borderId="3" xfId="1" applyNumberFormat="1" applyFont="1" applyFill="1" applyBorder="1" applyAlignment="1">
      <alignment horizontal="center" vertical="center" wrapText="1"/>
    </xf>
    <xf numFmtId="165" fontId="7" fillId="3" borderId="4" xfId="1" applyNumberFormat="1" applyFont="1" applyFill="1" applyBorder="1" applyAlignment="1">
      <alignment horizontal="center" vertical="center" wrapText="1"/>
    </xf>
    <xf numFmtId="165" fontId="7" fillId="3" borderId="10" xfId="1" applyNumberFormat="1" applyFont="1" applyFill="1" applyBorder="1" applyAlignment="1">
      <alignment horizontal="center" vertical="center" wrapText="1"/>
    </xf>
    <xf numFmtId="165" fontId="7" fillId="3" borderId="18" xfId="1" applyNumberFormat="1" applyFont="1" applyFill="1" applyBorder="1" applyAlignment="1">
      <alignment horizontal="center" vertical="center" wrapText="1"/>
    </xf>
    <xf numFmtId="164" fontId="7" fillId="2" borderId="5" xfId="1" applyFont="1" applyFill="1" applyBorder="1" applyAlignment="1">
      <alignment horizontal="center" vertical="center" wrapText="1"/>
    </xf>
    <xf numFmtId="164" fontId="7" fillId="2" borderId="6" xfId="1" applyFont="1" applyFill="1" applyBorder="1" applyAlignment="1">
      <alignment horizontal="center" vertical="center" wrapText="1"/>
    </xf>
    <xf numFmtId="165" fontId="7" fillId="2" borderId="5" xfId="1" applyNumberFormat="1" applyFont="1" applyFill="1" applyBorder="1" applyAlignment="1">
      <alignment horizontal="center" vertical="center" wrapText="1"/>
    </xf>
    <xf numFmtId="165" fontId="7" fillId="2" borderId="6" xfId="1" applyNumberFormat="1" applyFont="1" applyFill="1" applyBorder="1" applyAlignment="1">
      <alignment horizontal="center" vertical="center" wrapText="1"/>
    </xf>
    <xf numFmtId="165" fontId="7" fillId="2" borderId="7" xfId="1" applyNumberFormat="1" applyFont="1" applyFill="1" applyBorder="1" applyAlignment="1">
      <alignment horizontal="center" vertical="center" wrapText="1"/>
    </xf>
    <xf numFmtId="164" fontId="27" fillId="2" borderId="4" xfId="1" applyFont="1" applyFill="1" applyBorder="1" applyAlignment="1">
      <alignment horizontal="center" vertical="center" wrapText="1"/>
    </xf>
    <xf numFmtId="164" fontId="27" fillId="2" borderId="10" xfId="1" applyFont="1" applyFill="1" applyBorder="1" applyAlignment="1">
      <alignment horizontal="center" vertical="center" wrapText="1"/>
    </xf>
    <xf numFmtId="164" fontId="27" fillId="2" borderId="18" xfId="1" applyFont="1" applyFill="1" applyBorder="1" applyAlignment="1">
      <alignment horizontal="center" vertical="center" wrapText="1"/>
    </xf>
    <xf numFmtId="165" fontId="28" fillId="2" borderId="4" xfId="1" applyNumberFormat="1" applyFont="1" applyFill="1" applyBorder="1" applyAlignment="1">
      <alignment horizontal="center" vertical="center" wrapText="1"/>
    </xf>
    <xf numFmtId="165" fontId="28" fillId="2" borderId="10" xfId="1" applyNumberFormat="1" applyFont="1" applyFill="1" applyBorder="1" applyAlignment="1">
      <alignment horizontal="center" vertical="center" wrapText="1"/>
    </xf>
    <xf numFmtId="165" fontId="28" fillId="2" borderId="18" xfId="1" applyNumberFormat="1" applyFont="1" applyFill="1" applyBorder="1" applyAlignment="1">
      <alignment horizontal="center" vertical="center" wrapText="1"/>
    </xf>
    <xf numFmtId="165" fontId="28" fillId="3" borderId="4" xfId="1" applyNumberFormat="1" applyFont="1" applyFill="1" applyBorder="1" applyAlignment="1">
      <alignment horizontal="center" vertical="center" wrapText="1"/>
    </xf>
    <xf numFmtId="165" fontId="28" fillId="3" borderId="10" xfId="1" applyNumberFormat="1" applyFont="1" applyFill="1" applyBorder="1" applyAlignment="1">
      <alignment horizontal="center" vertical="center" wrapText="1"/>
    </xf>
    <xf numFmtId="165" fontId="28" fillId="3" borderId="18" xfId="1" applyNumberFormat="1" applyFont="1" applyFill="1" applyBorder="1" applyAlignment="1">
      <alignment horizontal="center" vertical="center" wrapText="1"/>
    </xf>
    <xf numFmtId="43" fontId="24" fillId="2" borderId="2" xfId="5" applyFont="1" applyFill="1" applyBorder="1" applyAlignment="1">
      <alignment horizontal="center" vertical="center" wrapText="1"/>
    </xf>
    <xf numFmtId="43" fontId="24" fillId="2" borderId="3" xfId="5" applyFont="1" applyFill="1" applyBorder="1" applyAlignment="1">
      <alignment horizontal="center" vertical="center" wrapText="1"/>
    </xf>
    <xf numFmtId="43" fontId="24" fillId="2" borderId="20" xfId="5" applyFont="1" applyFill="1" applyBorder="1" applyAlignment="1">
      <alignment horizontal="center" vertical="center" wrapText="1"/>
    </xf>
    <xf numFmtId="43" fontId="24" fillId="2" borderId="17" xfId="5" applyFont="1" applyFill="1" applyBorder="1" applyAlignment="1">
      <alignment horizontal="center" vertical="center" wrapText="1"/>
    </xf>
    <xf numFmtId="165" fontId="17" fillId="0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2" borderId="4" xfId="3" applyFont="1" applyFill="1" applyBorder="1" applyAlignment="1">
      <alignment horizontal="center" vertical="center"/>
    </xf>
    <xf numFmtId="0" fontId="22" fillId="2" borderId="10" xfId="3" applyFont="1" applyFill="1" applyBorder="1" applyAlignment="1">
      <alignment horizontal="center" vertical="center"/>
    </xf>
    <xf numFmtId="0" fontId="22" fillId="2" borderId="18" xfId="3" applyFont="1" applyFill="1" applyBorder="1" applyAlignment="1">
      <alignment horizontal="center" vertical="center"/>
    </xf>
    <xf numFmtId="49" fontId="22" fillId="2" borderId="4" xfId="1" applyNumberFormat="1" applyFont="1" applyFill="1" applyBorder="1" applyAlignment="1">
      <alignment horizontal="center" vertical="center" wrapText="1"/>
    </xf>
    <xf numFmtId="49" fontId="22" fillId="2" borderId="10" xfId="1" applyNumberFormat="1" applyFont="1" applyFill="1" applyBorder="1" applyAlignment="1">
      <alignment horizontal="center" vertical="center" wrapText="1"/>
    </xf>
    <xf numFmtId="49" fontId="22" fillId="2" borderId="18" xfId="1" applyNumberFormat="1" applyFont="1" applyFill="1" applyBorder="1" applyAlignment="1">
      <alignment horizontal="center" vertical="center" wrapText="1"/>
    </xf>
    <xf numFmtId="165" fontId="22" fillId="2" borderId="4" xfId="1" applyNumberFormat="1" applyFont="1" applyFill="1" applyBorder="1" applyAlignment="1">
      <alignment horizontal="center" vertical="center"/>
    </xf>
    <xf numFmtId="165" fontId="22" fillId="2" borderId="10" xfId="1" applyNumberFormat="1" applyFont="1" applyFill="1" applyBorder="1" applyAlignment="1">
      <alignment horizontal="center" vertical="center"/>
    </xf>
    <xf numFmtId="165" fontId="22" fillId="2" borderId="18" xfId="1" applyNumberFormat="1" applyFont="1" applyFill="1" applyBorder="1" applyAlignment="1">
      <alignment horizontal="center" vertical="center"/>
    </xf>
    <xf numFmtId="165" fontId="7" fillId="2" borderId="4" xfId="1" applyNumberFormat="1" applyFont="1" applyFill="1" applyBorder="1" applyAlignment="1">
      <alignment horizontal="center" vertical="center" wrapText="1"/>
    </xf>
    <xf numFmtId="165" fontId="7" fillId="2" borderId="10" xfId="1" applyNumberFormat="1" applyFont="1" applyFill="1" applyBorder="1" applyAlignment="1">
      <alignment horizontal="center" vertical="center" wrapText="1"/>
    </xf>
    <xf numFmtId="165" fontId="7" fillId="2" borderId="18" xfId="1" applyNumberFormat="1" applyFont="1" applyFill="1" applyBorder="1" applyAlignment="1">
      <alignment horizontal="center" vertical="center" wrapText="1"/>
    </xf>
    <xf numFmtId="165" fontId="18" fillId="4" borderId="4" xfId="1" applyNumberFormat="1" applyFont="1" applyFill="1" applyBorder="1" applyAlignment="1">
      <alignment horizontal="center" vertical="center" wrapText="1"/>
    </xf>
    <xf numFmtId="165" fontId="18" fillId="4" borderId="18" xfId="1" applyNumberFormat="1" applyFont="1" applyFill="1" applyBorder="1" applyAlignment="1">
      <alignment horizontal="center" vertical="center" wrapText="1"/>
    </xf>
    <xf numFmtId="165" fontId="22" fillId="4" borderId="5" xfId="1" applyNumberFormat="1" applyFont="1" applyFill="1" applyBorder="1" applyAlignment="1">
      <alignment horizontal="center" vertical="center" wrapText="1"/>
    </xf>
    <xf numFmtId="165" fontId="22" fillId="4" borderId="6" xfId="1" applyNumberFormat="1" applyFont="1" applyFill="1" applyBorder="1" applyAlignment="1">
      <alignment horizontal="center" vertical="center" wrapText="1"/>
    </xf>
    <xf numFmtId="165" fontId="22" fillId="4" borderId="7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10" xfId="1" applyNumberFormat="1" applyFont="1" applyFill="1" applyBorder="1" applyAlignment="1">
      <alignment horizontal="center" vertical="center" wrapText="1"/>
    </xf>
    <xf numFmtId="165" fontId="8" fillId="3" borderId="18" xfId="1" applyNumberFormat="1" applyFont="1" applyFill="1" applyBorder="1" applyAlignment="1">
      <alignment horizontal="center" vertical="center" wrapText="1"/>
    </xf>
    <xf numFmtId="165" fontId="22" fillId="2" borderId="2" xfId="1" applyNumberFormat="1" applyFont="1" applyFill="1" applyBorder="1" applyAlignment="1">
      <alignment horizontal="center" vertical="center" wrapText="1"/>
    </xf>
    <xf numFmtId="165" fontId="22" fillId="2" borderId="11" xfId="1" applyNumberFormat="1" applyFont="1" applyFill="1" applyBorder="1" applyAlignment="1">
      <alignment horizontal="center" vertical="center" wrapText="1"/>
    </xf>
    <xf numFmtId="165" fontId="22" fillId="2" borderId="20" xfId="1" applyNumberFormat="1" applyFont="1" applyFill="1" applyBorder="1" applyAlignment="1">
      <alignment horizontal="center" vertical="center" wrapText="1"/>
    </xf>
    <xf numFmtId="165" fontId="22" fillId="3" borderId="4" xfId="1" applyNumberFormat="1" applyFont="1" applyFill="1" applyBorder="1" applyAlignment="1">
      <alignment horizontal="center" vertical="center" wrapText="1"/>
    </xf>
    <xf numFmtId="165" fontId="22" fillId="3" borderId="10" xfId="1" applyNumberFormat="1" applyFont="1" applyFill="1" applyBorder="1" applyAlignment="1">
      <alignment horizontal="center" vertical="center" wrapText="1"/>
    </xf>
    <xf numFmtId="165" fontId="22" fillId="3" borderId="18" xfId="1" applyNumberFormat="1" applyFont="1" applyFill="1" applyBorder="1" applyAlignment="1">
      <alignment horizontal="center" vertical="center" wrapText="1"/>
    </xf>
    <xf numFmtId="164" fontId="22" fillId="2" borderId="4" xfId="1" applyFont="1" applyFill="1" applyBorder="1" applyAlignment="1">
      <alignment horizontal="center" vertical="center" wrapText="1"/>
    </xf>
    <xf numFmtId="164" fontId="22" fillId="2" borderId="10" xfId="1" applyFont="1" applyFill="1" applyBorder="1" applyAlignment="1">
      <alignment horizontal="center" vertical="center" wrapText="1"/>
    </xf>
    <xf numFmtId="164" fontId="22" fillId="2" borderId="18" xfId="1" applyFont="1" applyFill="1" applyBorder="1" applyAlignment="1">
      <alignment horizontal="center" vertical="center" wrapText="1"/>
    </xf>
    <xf numFmtId="43" fontId="22" fillId="2" borderId="2" xfId="5" applyFont="1" applyFill="1" applyBorder="1" applyAlignment="1">
      <alignment horizontal="center" vertical="center" wrapText="1"/>
    </xf>
    <xf numFmtId="43" fontId="22" fillId="2" borderId="3" xfId="5" applyFont="1" applyFill="1" applyBorder="1" applyAlignment="1">
      <alignment horizontal="center" vertical="center" wrapText="1"/>
    </xf>
    <xf numFmtId="43" fontId="22" fillId="2" borderId="20" xfId="5" applyFont="1" applyFill="1" applyBorder="1" applyAlignment="1">
      <alignment horizontal="center" vertical="center" wrapText="1"/>
    </xf>
    <xf numFmtId="43" fontId="22" fillId="2" borderId="17" xfId="5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8" fillId="0" borderId="0" xfId="1" applyNumberFormat="1" applyFont="1" applyFill="1" applyAlignment="1">
      <alignment horizontal="center" vertical="center"/>
    </xf>
    <xf numFmtId="164" fontId="22" fillId="2" borderId="5" xfId="1" applyFont="1" applyFill="1" applyBorder="1" applyAlignment="1">
      <alignment horizontal="center" vertical="center" wrapText="1"/>
    </xf>
    <xf numFmtId="164" fontId="22" fillId="2" borderId="6" xfId="1" applyFont="1" applyFill="1" applyBorder="1" applyAlignment="1">
      <alignment horizontal="center" vertical="center" wrapText="1"/>
    </xf>
    <xf numFmtId="165" fontId="22" fillId="2" borderId="5" xfId="1" applyNumberFormat="1" applyFont="1" applyFill="1" applyBorder="1" applyAlignment="1">
      <alignment horizontal="center" vertical="center" wrapText="1"/>
    </xf>
    <xf numFmtId="165" fontId="22" fillId="2" borderId="6" xfId="1" applyNumberFormat="1" applyFont="1" applyFill="1" applyBorder="1" applyAlignment="1">
      <alignment horizontal="center" vertical="center" wrapText="1"/>
    </xf>
    <xf numFmtId="165" fontId="22" fillId="2" borderId="7" xfId="1" applyNumberFormat="1" applyFont="1" applyFill="1" applyBorder="1" applyAlignment="1">
      <alignment horizontal="center" vertical="center" wrapText="1"/>
    </xf>
    <xf numFmtId="165" fontId="23" fillId="2" borderId="4" xfId="1" applyNumberFormat="1" applyFont="1" applyFill="1" applyBorder="1" applyAlignment="1">
      <alignment horizontal="center" vertical="center" wrapText="1"/>
    </xf>
    <xf numFmtId="165" fontId="23" fillId="2" borderId="10" xfId="1" applyNumberFormat="1" applyFont="1" applyFill="1" applyBorder="1" applyAlignment="1">
      <alignment horizontal="center" vertical="center" wrapText="1"/>
    </xf>
    <xf numFmtId="165" fontId="23" fillId="2" borderId="18" xfId="1" applyNumberFormat="1" applyFont="1" applyFill="1" applyBorder="1" applyAlignment="1">
      <alignment horizontal="center" vertical="center" wrapText="1"/>
    </xf>
    <xf numFmtId="0" fontId="22" fillId="4" borderId="4" xfId="1" applyNumberFormat="1" applyFont="1" applyFill="1" applyBorder="1" applyAlignment="1">
      <alignment horizontal="center" vertical="top" wrapText="1"/>
    </xf>
    <xf numFmtId="0" fontId="22" fillId="4" borderId="18" xfId="1" applyNumberFormat="1" applyFont="1" applyFill="1" applyBorder="1" applyAlignment="1">
      <alignment horizontal="center" vertical="top" wrapText="1"/>
    </xf>
    <xf numFmtId="165" fontId="22" fillId="4" borderId="4" xfId="1" applyNumberFormat="1" applyFont="1" applyFill="1" applyBorder="1" applyAlignment="1">
      <alignment horizontal="center" vertical="top" wrapText="1"/>
    </xf>
    <xf numFmtId="165" fontId="22" fillId="4" borderId="18" xfId="1" applyNumberFormat="1" applyFont="1" applyFill="1" applyBorder="1" applyAlignment="1">
      <alignment horizontal="center" vertical="top" wrapText="1"/>
    </xf>
    <xf numFmtId="165" fontId="18" fillId="4" borderId="4" xfId="1" applyNumberFormat="1" applyFont="1" applyFill="1" applyBorder="1" applyAlignment="1">
      <alignment horizontal="center" vertical="top" wrapText="1"/>
    </xf>
    <xf numFmtId="165" fontId="18" fillId="4" borderId="18" xfId="1" applyNumberFormat="1" applyFont="1" applyFill="1" applyBorder="1" applyAlignment="1">
      <alignment horizontal="center" vertical="top" wrapText="1"/>
    </xf>
    <xf numFmtId="165" fontId="27" fillId="4" borderId="4" xfId="1" applyNumberFormat="1" applyFont="1" applyFill="1" applyBorder="1" applyAlignment="1">
      <alignment horizontal="center" vertical="top" wrapText="1"/>
    </xf>
    <xf numFmtId="165" fontId="27" fillId="4" borderId="18" xfId="1" applyNumberFormat="1" applyFont="1" applyFill="1" applyBorder="1" applyAlignment="1">
      <alignment horizontal="center" vertical="top" wrapText="1"/>
    </xf>
  </cellXfs>
  <cellStyles count="9">
    <cellStyle name="1991-" xfId="3" xr:uid="{A17CEA74-8B48-417D-811A-F51DCA832671}"/>
    <cellStyle name="Comma" xfId="1" builtinId="3"/>
    <cellStyle name="Comma 16 2" xfId="4" xr:uid="{D967AD8C-0044-4E37-A344-CAC2927C890E}"/>
    <cellStyle name="Comma 2" xfId="6" xr:uid="{F8EA4D14-C0AA-4BF2-A34D-46D781B18D90}"/>
    <cellStyle name="Comma 21" xfId="5" xr:uid="{3FE22722-219A-4172-A93A-8D6EF52AB3B5}"/>
    <cellStyle name="Normal" xfId="0" builtinId="0"/>
    <cellStyle name="Normal 2" xfId="7" xr:uid="{2A744030-9AE7-4BB8-BAD0-3C0C8A2953B6}"/>
    <cellStyle name="Per cent" xfId="2" builtinId="5"/>
    <cellStyle name="Percent 2" xfId="8" xr:uid="{2763F245-BD58-41B8-A450-D1B9FA8F507A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n Nhân sự" id="{D3FA6084-F0E4-463D-86AA-AC68FAC14D9B}" userId="Ban Nhân sự" providerId="None"/>
  <person displayName="Nguyen Tam Quang" id="{81445BAF-7529-4416-84F4-B6FEE15042ED}" userId="S::nguyentamquang@THACO.COM.VN::6b088825-6f3e-4fc0-aadb-54f44dd294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5-06-17T07:30:30.10" personId="{D3FA6084-F0E4-463D-86AA-AC68FAC14D9B}" id="{3B7FFEF4-AE63-4DFA-B536-7BAA2BEE4A14}">
    <text>TV: Thử việc
CT: Chính thức</text>
  </threadedComment>
  <threadedComment ref="F8" dT="2025-05-05T02:07:34.15" personId="{D3FA6084-F0E4-463D-86AA-AC68FAC14D9B}" id="{F2CA1CEE-0407-4ECA-B543-A94DFE1E09BB}">
    <text>Đối tượng Lương ngày tại các TĐTV</text>
  </threadedComment>
  <threadedComment ref="F8" dT="2025-12-25T03:48:46.42" personId="{81445BAF-7529-4416-84F4-B6FEE15042ED}" id="{047B122B-D7FE-44E8-9F1F-0EB7B8715AED}" parentId="{F2CA1CEE-0407-4ECA-B543-A94DFE1E09BB}">
    <text xml:space="preserve">LT: Lương Tháng
LN: Lương ngày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" dT="2025-06-17T07:30:30.10" personId="{D3FA6084-F0E4-463D-86AA-AC68FAC14D9B}" id="{3B7FFEF4-AE63-4DFB-B536-7BAA2BEE4A14}">
    <text>TV: Thử việc
CT: Chính thức</text>
  </threadedComment>
  <threadedComment ref="F5" dT="2025-05-05T02:07:34.15" personId="{D3FA6084-F0E4-463D-86AA-AC68FAC14D9B}" id="{F2CA1CEE-0407-4ECB-B543-A94DFE1E09BB}">
    <text>Đối tượng Lương ngày tại các TĐTV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0394-4FA9-4F5E-A699-03C99A53ECC0}">
  <sheetPr>
    <tabColor rgb="FF92D050"/>
  </sheetPr>
  <dimension ref="A1:CI24"/>
  <sheetViews>
    <sheetView zoomScaleNormal="100" zoomScaleSheetLayoutView="70" workbookViewId="0">
      <selection activeCell="AR21" sqref="AR21"/>
    </sheetView>
  </sheetViews>
  <sheetFormatPr defaultColWidth="9.140625" defaultRowHeight="15" outlineLevelRow="1" outlineLevelCol="1"/>
  <cols>
    <col min="1" max="1" width="5.42578125" style="61" customWidth="1"/>
    <col min="2" max="2" width="8.42578125" style="66" customWidth="1"/>
    <col min="3" max="3" width="15.85546875" style="67" customWidth="1"/>
    <col min="4" max="4" width="15.85546875" style="68" customWidth="1" outlineLevel="1"/>
    <col min="5" max="5" width="8.42578125" style="68" bestFit="1" customWidth="1" outlineLevel="1"/>
    <col min="6" max="6" width="11.42578125" style="69" customWidth="1" outlineLevel="1"/>
    <col min="7" max="7" width="13.7109375" style="64" bestFit="1" customWidth="1"/>
    <col min="8" max="8" width="12.42578125" style="64" customWidth="1"/>
    <col min="9" max="9" width="12.42578125" customWidth="1"/>
    <col min="10" max="10" width="7.5703125" customWidth="1" outlineLevel="1"/>
    <col min="11" max="24" width="7.140625" style="62" customWidth="1"/>
    <col min="25" max="47" width="12.28515625" style="63" customWidth="1"/>
    <col min="48" max="49" width="13" style="63" customWidth="1"/>
    <col min="50" max="50" width="6.7109375" style="63" customWidth="1"/>
    <col min="51" max="53" width="10.42578125" style="63" customWidth="1" outlineLevel="1"/>
    <col min="54" max="58" width="10.42578125" style="63" customWidth="1"/>
    <col min="59" max="59" width="13.7109375" style="63" bestFit="1" customWidth="1"/>
    <col min="60" max="71" width="10.42578125" style="63" customWidth="1"/>
    <col min="72" max="73" width="12.42578125" style="63" customWidth="1"/>
    <col min="74" max="74" width="12.42578125" style="122" customWidth="1"/>
    <col min="75" max="79" width="12.7109375" style="64" customWidth="1" outlineLevel="1"/>
    <col min="80" max="80" width="12.7109375" style="65" customWidth="1" outlineLevel="1"/>
    <col min="81" max="82" width="10.7109375" style="65" customWidth="1" outlineLevel="1"/>
    <col min="83" max="83" width="19.42578125" style="36" customWidth="1"/>
    <col min="84" max="84" width="12.28515625" style="36" customWidth="1"/>
    <col min="85" max="85" width="12.42578125" style="36" customWidth="1"/>
    <col min="86" max="86" width="11.7109375" style="36" customWidth="1"/>
    <col min="87" max="16384" width="9.1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27"/>
      <c r="BE1" s="5"/>
      <c r="BF1" s="127"/>
      <c r="BG1" s="5"/>
      <c r="BH1" s="5"/>
      <c r="BI1" s="5"/>
      <c r="BJ1" s="5"/>
      <c r="BK1" s="5"/>
      <c r="BL1" s="5"/>
      <c r="BM1" s="5"/>
      <c r="BN1" s="5"/>
      <c r="BO1" s="5"/>
      <c r="BP1" s="9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149999999999999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127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316" t="str">
        <f ca="1">"BẢNG THANH TOÁN TIỀN LƯƠNG THÁNG …."&amp;" NĂM "&amp;YEAR(NOW())</f>
        <v>BẢNG THANH TOÁN TIỀN LƯƠNG THÁNG …. NĂM 2026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  <c r="BE3" s="316"/>
      <c r="BF3" s="316"/>
      <c r="BG3" s="316"/>
      <c r="BH3" s="316"/>
      <c r="BI3" s="316"/>
      <c r="BJ3" s="316"/>
      <c r="BK3" s="316"/>
      <c r="BL3" s="316"/>
      <c r="BM3" s="316"/>
      <c r="BN3" s="316"/>
      <c r="BO3" s="316"/>
      <c r="BP3" s="316"/>
      <c r="BQ3" s="316"/>
      <c r="BR3" s="316"/>
      <c r="BS3" s="316"/>
      <c r="BT3" s="316"/>
      <c r="BU3" s="316"/>
      <c r="BV3" s="110"/>
      <c r="BW3" s="297" t="s">
        <v>2</v>
      </c>
      <c r="BX3" s="297"/>
      <c r="BY3" s="297"/>
      <c r="BZ3" s="297"/>
      <c r="CA3" s="297"/>
      <c r="CB3" s="298"/>
      <c r="CC3" s="71"/>
      <c r="CD3" s="71"/>
      <c r="CE3" s="240" t="s">
        <v>3</v>
      </c>
      <c r="CF3" s="241">
        <v>26</v>
      </c>
    </row>
    <row r="4" spans="1:87" s="16" customFormat="1" ht="21.6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298"/>
      <c r="BX4" s="298"/>
      <c r="BY4" s="298"/>
      <c r="BZ4" s="298"/>
      <c r="CA4" s="298"/>
      <c r="CB4" s="298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298"/>
      <c r="BX5" s="298"/>
      <c r="BY5" s="298"/>
      <c r="BZ5" s="298"/>
      <c r="CA5" s="298"/>
      <c r="CB5" s="298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297"/>
      <c r="BX6" s="297"/>
      <c r="BY6" s="297"/>
      <c r="BZ6" s="297"/>
      <c r="CA6" s="297"/>
      <c r="CB6" s="298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2"/>
      <c r="BK7" s="22"/>
      <c r="BL7" s="21"/>
      <c r="BM7" s="21"/>
      <c r="BN7" s="22"/>
      <c r="BO7" s="21"/>
      <c r="BP7" s="22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149999999999999" customHeight="1">
      <c r="A8" s="299" t="s">
        <v>4</v>
      </c>
      <c r="B8" s="302" t="s">
        <v>5</v>
      </c>
      <c r="C8" s="245" t="s">
        <v>6</v>
      </c>
      <c r="D8" s="305" t="s">
        <v>7</v>
      </c>
      <c r="E8" s="305" t="s">
        <v>8</v>
      </c>
      <c r="F8" s="245" t="s">
        <v>9</v>
      </c>
      <c r="G8" s="308" t="s">
        <v>10</v>
      </c>
      <c r="H8" s="276" t="s">
        <v>11</v>
      </c>
      <c r="I8" s="276" t="s">
        <v>12</v>
      </c>
      <c r="J8" s="308" t="s">
        <v>13</v>
      </c>
      <c r="K8" s="279" t="s">
        <v>14</v>
      </c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1" t="s">
        <v>15</v>
      </c>
      <c r="Z8" s="282"/>
      <c r="AA8" s="282"/>
      <c r="AB8" s="282"/>
      <c r="AC8" s="282"/>
      <c r="AD8" s="282"/>
      <c r="AE8" s="282"/>
      <c r="AF8" s="282"/>
      <c r="AG8" s="282"/>
      <c r="AH8" s="282"/>
      <c r="AI8" s="282"/>
      <c r="AJ8" s="282"/>
      <c r="AK8" s="282"/>
      <c r="AL8" s="282"/>
      <c r="AM8" s="282"/>
      <c r="AN8" s="282"/>
      <c r="AO8" s="283"/>
      <c r="AP8" s="308" t="s">
        <v>16</v>
      </c>
      <c r="AQ8" s="308" t="s">
        <v>17</v>
      </c>
      <c r="AR8" s="308" t="s">
        <v>18</v>
      </c>
      <c r="AS8" s="308" t="s">
        <v>19</v>
      </c>
      <c r="AT8" s="308" t="s">
        <v>20</v>
      </c>
      <c r="AU8" s="308" t="s">
        <v>21</v>
      </c>
      <c r="AV8" s="245" t="s">
        <v>22</v>
      </c>
      <c r="AW8" s="245" t="s">
        <v>23</v>
      </c>
      <c r="AX8" s="245" t="s">
        <v>24</v>
      </c>
      <c r="AY8" s="313" t="s">
        <v>25</v>
      </c>
      <c r="AZ8" s="314"/>
      <c r="BA8" s="314"/>
      <c r="BB8" s="314"/>
      <c r="BC8" s="314"/>
      <c r="BD8" s="314"/>
      <c r="BE8" s="314"/>
      <c r="BF8" s="314"/>
      <c r="BG8" s="314"/>
      <c r="BH8" s="314"/>
      <c r="BI8" s="314"/>
      <c r="BJ8" s="314"/>
      <c r="BK8" s="314"/>
      <c r="BL8" s="314"/>
      <c r="BM8" s="314"/>
      <c r="BN8" s="314"/>
      <c r="BO8" s="314"/>
      <c r="BP8" s="314"/>
      <c r="BQ8" s="315"/>
      <c r="BR8" s="268" t="s">
        <v>26</v>
      </c>
      <c r="BS8" s="275"/>
      <c r="BT8" s="265" t="s">
        <v>27</v>
      </c>
      <c r="BU8" s="268" t="s">
        <v>28</v>
      </c>
      <c r="BV8" s="114"/>
      <c r="BW8" s="250" t="s">
        <v>29</v>
      </c>
      <c r="BX8" s="253" t="s">
        <v>30</v>
      </c>
      <c r="BY8" s="254"/>
      <c r="BZ8" s="254"/>
      <c r="CA8" s="255"/>
      <c r="CB8" s="262" t="s">
        <v>31</v>
      </c>
      <c r="CC8" s="242" t="s">
        <v>32</v>
      </c>
      <c r="CD8" s="242" t="s">
        <v>33</v>
      </c>
      <c r="CH8" s="27"/>
      <c r="CI8" s="28"/>
    </row>
    <row r="9" spans="1:87" s="11" customFormat="1" ht="19.149999999999999" customHeight="1">
      <c r="A9" s="300"/>
      <c r="B9" s="303"/>
      <c r="C9" s="246"/>
      <c r="D9" s="306"/>
      <c r="E9" s="306"/>
      <c r="F9" s="246"/>
      <c r="G9" s="309"/>
      <c r="H9" s="277"/>
      <c r="I9" s="277"/>
      <c r="J9" s="309"/>
      <c r="K9" s="284" t="s">
        <v>34</v>
      </c>
      <c r="L9" s="284" t="s">
        <v>35</v>
      </c>
      <c r="M9" s="284" t="s">
        <v>36</v>
      </c>
      <c r="N9" s="284" t="s">
        <v>37</v>
      </c>
      <c r="O9" s="284" t="s">
        <v>38</v>
      </c>
      <c r="P9" s="284" t="s">
        <v>39</v>
      </c>
      <c r="Q9" s="284" t="s">
        <v>40</v>
      </c>
      <c r="R9" s="284" t="s">
        <v>41</v>
      </c>
      <c r="S9" s="284" t="s">
        <v>42</v>
      </c>
      <c r="T9" s="284" t="s">
        <v>43</v>
      </c>
      <c r="U9" s="284" t="s">
        <v>44</v>
      </c>
      <c r="V9" s="293" t="s">
        <v>45</v>
      </c>
      <c r="W9" s="294"/>
      <c r="X9" s="284" t="s">
        <v>46</v>
      </c>
      <c r="Y9" s="287" t="s">
        <v>47</v>
      </c>
      <c r="Z9" s="287" t="s">
        <v>48</v>
      </c>
      <c r="AA9" s="287" t="s">
        <v>49</v>
      </c>
      <c r="AB9" s="287" t="s">
        <v>50</v>
      </c>
      <c r="AC9" s="290" t="s">
        <v>51</v>
      </c>
      <c r="AD9" s="290" t="s">
        <v>52</v>
      </c>
      <c r="AE9" s="290" t="s">
        <v>53</v>
      </c>
      <c r="AF9" s="290" t="s">
        <v>54</v>
      </c>
      <c r="AG9" s="287" t="s">
        <v>55</v>
      </c>
      <c r="AH9" s="290" t="s">
        <v>56</v>
      </c>
      <c r="AI9" s="290" t="s">
        <v>57</v>
      </c>
      <c r="AJ9" s="287" t="s">
        <v>58</v>
      </c>
      <c r="AK9" s="320" t="s">
        <v>59</v>
      </c>
      <c r="AL9" s="245" t="s">
        <v>60</v>
      </c>
      <c r="AM9" s="287" t="s">
        <v>61</v>
      </c>
      <c r="AN9" s="317" t="s">
        <v>62</v>
      </c>
      <c r="AO9" s="245" t="s">
        <v>63</v>
      </c>
      <c r="AP9" s="309"/>
      <c r="AQ9" s="309"/>
      <c r="AR9" s="309"/>
      <c r="AS9" s="309"/>
      <c r="AT9" s="309"/>
      <c r="AU9" s="309"/>
      <c r="AV9" s="246"/>
      <c r="AW9" s="246"/>
      <c r="AX9" s="246"/>
      <c r="AY9" s="313" t="s">
        <v>64</v>
      </c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4"/>
      <c r="BK9" s="314"/>
      <c r="BL9" s="315"/>
      <c r="BM9" s="313" t="s">
        <v>65</v>
      </c>
      <c r="BN9" s="314"/>
      <c r="BO9" s="314"/>
      <c r="BP9" s="314"/>
      <c r="BQ9" s="315"/>
      <c r="BR9" s="266" t="s">
        <v>66</v>
      </c>
      <c r="BS9" s="266" t="s">
        <v>67</v>
      </c>
      <c r="BT9" s="266"/>
      <c r="BU9" s="269"/>
      <c r="BV9" s="114"/>
      <c r="BW9" s="251"/>
      <c r="BX9" s="256"/>
      <c r="BY9" s="257"/>
      <c r="BZ9" s="257"/>
      <c r="CA9" s="258"/>
      <c r="CB9" s="263"/>
      <c r="CC9" s="243"/>
      <c r="CD9" s="243"/>
      <c r="CH9" s="27"/>
      <c r="CI9" s="28"/>
    </row>
    <row r="10" spans="1:87" s="29" customFormat="1" ht="19.149999999999999" customHeight="1">
      <c r="A10" s="300"/>
      <c r="B10" s="303"/>
      <c r="C10" s="246"/>
      <c r="D10" s="306"/>
      <c r="E10" s="306"/>
      <c r="F10" s="246"/>
      <c r="G10" s="309"/>
      <c r="H10" s="277"/>
      <c r="I10" s="277"/>
      <c r="J10" s="309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95"/>
      <c r="W10" s="296"/>
      <c r="X10" s="285"/>
      <c r="Y10" s="288"/>
      <c r="Z10" s="288"/>
      <c r="AA10" s="288"/>
      <c r="AB10" s="288"/>
      <c r="AC10" s="291"/>
      <c r="AD10" s="291"/>
      <c r="AE10" s="291"/>
      <c r="AF10" s="291"/>
      <c r="AG10" s="288"/>
      <c r="AH10" s="291"/>
      <c r="AI10" s="291"/>
      <c r="AJ10" s="288"/>
      <c r="AK10" s="321"/>
      <c r="AL10" s="246"/>
      <c r="AM10" s="288"/>
      <c r="AN10" s="318"/>
      <c r="AO10" s="246"/>
      <c r="AP10" s="309"/>
      <c r="AQ10" s="309"/>
      <c r="AR10" s="309"/>
      <c r="AS10" s="309"/>
      <c r="AT10" s="309"/>
      <c r="AU10" s="309"/>
      <c r="AV10" s="246"/>
      <c r="AW10" s="246"/>
      <c r="AX10" s="246"/>
      <c r="AY10" s="101" t="s">
        <v>68</v>
      </c>
      <c r="AZ10" s="101" t="s">
        <v>69</v>
      </c>
      <c r="BA10" s="101" t="s">
        <v>70</v>
      </c>
      <c r="BB10" s="271" t="s">
        <v>71</v>
      </c>
      <c r="BC10" s="248" t="s">
        <v>72</v>
      </c>
      <c r="BD10" s="248" t="s">
        <v>73</v>
      </c>
      <c r="BE10" s="273" t="s">
        <v>74</v>
      </c>
      <c r="BF10" s="248" t="s">
        <v>75</v>
      </c>
      <c r="BG10" s="248" t="s">
        <v>76</v>
      </c>
      <c r="BH10" s="248" t="s">
        <v>77</v>
      </c>
      <c r="BI10" s="248" t="s">
        <v>78</v>
      </c>
      <c r="BJ10" s="248" t="s">
        <v>79</v>
      </c>
      <c r="BK10" s="248" t="s">
        <v>80</v>
      </c>
      <c r="BL10" s="311" t="s">
        <v>81</v>
      </c>
      <c r="BM10" s="248" t="s">
        <v>82</v>
      </c>
      <c r="BN10" s="265" t="s">
        <v>83</v>
      </c>
      <c r="BO10" s="248" t="s">
        <v>84</v>
      </c>
      <c r="BP10" s="265" t="s">
        <v>85</v>
      </c>
      <c r="BQ10" s="265" t="s">
        <v>86</v>
      </c>
      <c r="BR10" s="266"/>
      <c r="BS10" s="266"/>
      <c r="BT10" s="266"/>
      <c r="BU10" s="269"/>
      <c r="BV10" s="114"/>
      <c r="BW10" s="252"/>
      <c r="BX10" s="259"/>
      <c r="BY10" s="260"/>
      <c r="BZ10" s="260"/>
      <c r="CA10" s="261"/>
      <c r="CB10" s="264"/>
      <c r="CC10" s="244"/>
      <c r="CD10" s="244"/>
      <c r="CH10" s="27"/>
      <c r="CI10" s="28"/>
    </row>
    <row r="11" spans="1:87" s="29" customFormat="1" ht="38.25">
      <c r="A11" s="301"/>
      <c r="B11" s="304"/>
      <c r="C11" s="247"/>
      <c r="D11" s="307"/>
      <c r="E11" s="307"/>
      <c r="F11" s="247"/>
      <c r="G11" s="310"/>
      <c r="H11" s="278"/>
      <c r="I11" s="278"/>
      <c r="J11" s="310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30" t="s">
        <v>87</v>
      </c>
      <c r="W11" s="30" t="s">
        <v>88</v>
      </c>
      <c r="X11" s="286"/>
      <c r="Y11" s="289"/>
      <c r="Z11" s="289"/>
      <c r="AA11" s="289"/>
      <c r="AB11" s="289"/>
      <c r="AC11" s="292"/>
      <c r="AD11" s="292"/>
      <c r="AE11" s="292"/>
      <c r="AF11" s="292"/>
      <c r="AG11" s="289"/>
      <c r="AH11" s="292"/>
      <c r="AI11" s="292"/>
      <c r="AJ11" s="289"/>
      <c r="AK11" s="322"/>
      <c r="AL11" s="247"/>
      <c r="AM11" s="289"/>
      <c r="AN11" s="319"/>
      <c r="AO11" s="247"/>
      <c r="AP11" s="310"/>
      <c r="AQ11" s="310"/>
      <c r="AR11" s="310"/>
      <c r="AS11" s="310"/>
      <c r="AT11" s="310"/>
      <c r="AU11" s="310"/>
      <c r="AV11" s="247"/>
      <c r="AW11" s="247"/>
      <c r="AX11" s="247"/>
      <c r="AY11" s="102" t="s">
        <v>89</v>
      </c>
      <c r="AZ11" s="102" t="s">
        <v>90</v>
      </c>
      <c r="BA11" s="102" t="s">
        <v>91</v>
      </c>
      <c r="BB11" s="272"/>
      <c r="BC11" s="249"/>
      <c r="BD11" s="249"/>
      <c r="BE11" s="274"/>
      <c r="BF11" s="249"/>
      <c r="BG11" s="249"/>
      <c r="BH11" s="249"/>
      <c r="BI11" s="249"/>
      <c r="BJ11" s="249"/>
      <c r="BK11" s="249"/>
      <c r="BL11" s="312"/>
      <c r="BM11" s="249"/>
      <c r="BN11" s="267"/>
      <c r="BO11" s="249"/>
      <c r="BP11" s="267"/>
      <c r="BQ11" s="267"/>
      <c r="BR11" s="267"/>
      <c r="BS11" s="267"/>
      <c r="BT11" s="267"/>
      <c r="BU11" s="270"/>
      <c r="BV11" s="114"/>
      <c r="BW11" s="252"/>
      <c r="BX11" s="72" t="s">
        <v>92</v>
      </c>
      <c r="BY11" s="72" t="s">
        <v>93</v>
      </c>
      <c r="BZ11" s="72" t="s">
        <v>94</v>
      </c>
      <c r="CA11" s="73" t="s">
        <v>95</v>
      </c>
      <c r="CB11" s="264"/>
      <c r="CC11" s="244"/>
      <c r="CD11" s="244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 t="shared" ref="C12:BU12" si="0">B12+1</f>
        <v>3</v>
      </c>
      <c r="D12" s="33">
        <f t="shared" si="0"/>
        <v>4</v>
      </c>
      <c r="E12" s="33"/>
      <c r="F12" s="33">
        <f>D12+1</f>
        <v>5</v>
      </c>
      <c r="G12" s="33">
        <f t="shared" si="0"/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si="0"/>
        <v>49</v>
      </c>
      <c r="BA12" s="33">
        <f t="shared" si="0"/>
        <v>50</v>
      </c>
      <c r="BB12" s="33">
        <f t="shared" si="0"/>
        <v>51</v>
      </c>
      <c r="BC12" s="33">
        <f t="shared" si="0"/>
        <v>52</v>
      </c>
      <c r="BD12" s="33">
        <f t="shared" si="0"/>
        <v>53</v>
      </c>
      <c r="BE12" s="33">
        <f t="shared" si="0"/>
        <v>54</v>
      </c>
      <c r="BF12" s="33"/>
      <c r="BG12" s="33"/>
      <c r="BH12" s="33"/>
      <c r="BI12" s="33"/>
      <c r="BJ12" s="33"/>
      <c r="BK12" s="33"/>
      <c r="BL12" s="33">
        <f>BE12+1</f>
        <v>55</v>
      </c>
      <c r="BM12" s="33">
        <f t="shared" si="0"/>
        <v>56</v>
      </c>
      <c r="BN12" s="33">
        <f t="shared" si="0"/>
        <v>57</v>
      </c>
      <c r="BO12" s="33">
        <f t="shared" si="0"/>
        <v>58</v>
      </c>
      <c r="BP12" s="33">
        <f t="shared" si="0"/>
        <v>59</v>
      </c>
      <c r="BQ12" s="33">
        <f t="shared" si="0"/>
        <v>60</v>
      </c>
      <c r="BR12" s="33">
        <f t="shared" si="0"/>
        <v>61</v>
      </c>
      <c r="BS12" s="33">
        <f t="shared" si="0"/>
        <v>62</v>
      </c>
      <c r="BT12" s="33">
        <f t="shared" si="0"/>
        <v>63</v>
      </c>
      <c r="BU12" s="33">
        <f t="shared" si="0"/>
        <v>64</v>
      </c>
      <c r="BV12" s="115"/>
      <c r="BW12" s="106" t="s">
        <v>96</v>
      </c>
      <c r="BX12" s="33">
        <f t="shared" ref="BX12" si="1">BW12+1</f>
        <v>66</v>
      </c>
      <c r="BY12" s="33">
        <f t="shared" ref="BY12" si="2">BX12+1</f>
        <v>67</v>
      </c>
      <c r="BZ12" s="33">
        <f t="shared" ref="BZ12" si="3">BY12+1</f>
        <v>68</v>
      </c>
      <c r="CA12" s="33">
        <f t="shared" ref="CA12" si="4">BZ12+1</f>
        <v>69</v>
      </c>
      <c r="CB12" s="33">
        <f t="shared" ref="CB12" si="5">CA12+1</f>
        <v>70</v>
      </c>
      <c r="CC12" s="33">
        <f t="shared" ref="CC12" si="6">CB12+1</f>
        <v>71</v>
      </c>
      <c r="CD12" s="33">
        <f t="shared" ref="CD12" si="7">CC12+1</f>
        <v>72</v>
      </c>
      <c r="CG12" s="29"/>
      <c r="CH12" s="27"/>
      <c r="CI12" s="28"/>
    </row>
    <row r="13" spans="1:87" s="77" customFormat="1" ht="15" customHeight="1">
      <c r="A13" s="79" t="s">
        <v>97</v>
      </c>
      <c r="B13" s="79" t="s">
        <v>97</v>
      </c>
      <c r="C13" s="79" t="s">
        <v>97</v>
      </c>
      <c r="D13" s="33"/>
      <c r="E13" s="33"/>
      <c r="F13" s="33"/>
      <c r="G13" s="79" t="s">
        <v>97</v>
      </c>
      <c r="H13" s="79" t="s">
        <v>97</v>
      </c>
      <c r="I13" s="79" t="s">
        <v>97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 t="shared" ref="H14:I14" si="8">SUM(H15:H21)</f>
        <v>1080000</v>
      </c>
      <c r="I14" s="81">
        <f t="shared" si="8"/>
        <v>182280000</v>
      </c>
      <c r="J14" s="81"/>
      <c r="K14" s="83">
        <f t="shared" ref="K14:AM14" si="9">SUM(K15:K21)</f>
        <v>166</v>
      </c>
      <c r="L14" s="83">
        <f t="shared" si="9"/>
        <v>8</v>
      </c>
      <c r="M14" s="83">
        <f t="shared" si="9"/>
        <v>2</v>
      </c>
      <c r="N14" s="83">
        <f t="shared" si="9"/>
        <v>2</v>
      </c>
      <c r="O14" s="83">
        <f t="shared" si="9"/>
        <v>0</v>
      </c>
      <c r="P14" s="83">
        <f t="shared" si="9"/>
        <v>5</v>
      </c>
      <c r="Q14" s="83">
        <f t="shared" si="9"/>
        <v>2</v>
      </c>
      <c r="R14" s="83">
        <f>SUM(R15:R21)</f>
        <v>0</v>
      </c>
      <c r="S14" s="83">
        <f t="shared" si="9"/>
        <v>2</v>
      </c>
      <c r="T14" s="125"/>
      <c r="U14" s="83">
        <f t="shared" si="9"/>
        <v>2</v>
      </c>
      <c r="V14" s="83">
        <f t="shared" si="9"/>
        <v>0</v>
      </c>
      <c r="W14" s="83">
        <f t="shared" si="9"/>
        <v>0</v>
      </c>
      <c r="X14" s="83">
        <f t="shared" si="9"/>
        <v>0</v>
      </c>
      <c r="Y14" s="81">
        <f t="shared" si="9"/>
        <v>48340000</v>
      </c>
      <c r="Z14" s="81"/>
      <c r="AA14" s="81"/>
      <c r="AB14" s="81"/>
      <c r="AC14" s="81">
        <f t="shared" si="9"/>
        <v>1828846.1538461538</v>
      </c>
      <c r="AD14" s="81">
        <f t="shared" si="9"/>
        <v>975384.61538461538</v>
      </c>
      <c r="AE14" s="81"/>
      <c r="AF14" s="81">
        <f t="shared" si="9"/>
        <v>111923.07692307692</v>
      </c>
      <c r="AG14" s="81">
        <f t="shared" si="9"/>
        <v>0</v>
      </c>
      <c r="AH14" s="81">
        <f>SUM(AH15:AH21)</f>
        <v>3246153.846153846</v>
      </c>
      <c r="AI14" s="81">
        <f t="shared" si="9"/>
        <v>0</v>
      </c>
      <c r="AJ14" s="81">
        <f t="shared" si="9"/>
        <v>0</v>
      </c>
      <c r="AK14" s="81">
        <f t="shared" si="9"/>
        <v>61538.461538461539</v>
      </c>
      <c r="AL14" s="81">
        <f t="shared" si="9"/>
        <v>0</v>
      </c>
      <c r="AM14" s="81">
        <f t="shared" si="9"/>
        <v>0</v>
      </c>
      <c r="AN14" s="81">
        <f t="shared" ref="AN14:BT14" si="10">SUM(AN15:AN21)</f>
        <v>1080000</v>
      </c>
      <c r="AO14" s="81">
        <f t="shared" si="10"/>
        <v>181283076.92307696</v>
      </c>
      <c r="AP14" s="81"/>
      <c r="AQ14" s="81"/>
      <c r="AR14" s="81"/>
      <c r="AS14" s="81"/>
      <c r="AT14" s="81"/>
      <c r="AU14" s="81"/>
      <c r="AV14" s="81">
        <f t="shared" si="10"/>
        <v>239266923.07692307</v>
      </c>
      <c r="AW14" s="81"/>
      <c r="AX14" s="81"/>
      <c r="AY14" s="81">
        <f t="shared" si="10"/>
        <v>3544000</v>
      </c>
      <c r="AZ14" s="81">
        <f>SUM(AZ15:AZ21)</f>
        <v>664500</v>
      </c>
      <c r="BA14" s="81">
        <f t="shared" si="10"/>
        <v>443000</v>
      </c>
      <c r="BB14" s="81">
        <f t="shared" si="10"/>
        <v>4651500</v>
      </c>
      <c r="BC14" s="81">
        <f t="shared" si="10"/>
        <v>0</v>
      </c>
      <c r="BD14" s="81"/>
      <c r="BE14" s="81">
        <f t="shared" si="10"/>
        <v>503400</v>
      </c>
      <c r="BF14" s="81"/>
      <c r="BG14" s="81"/>
      <c r="BH14" s="81"/>
      <c r="BI14" s="81"/>
      <c r="BJ14" s="81"/>
      <c r="BK14" s="81"/>
      <c r="BL14" s="81">
        <f t="shared" si="10"/>
        <v>20461490</v>
      </c>
      <c r="BM14" s="81">
        <f t="shared" si="10"/>
        <v>0</v>
      </c>
      <c r="BN14" s="81">
        <f t="shared" si="10"/>
        <v>0</v>
      </c>
      <c r="BO14" s="81">
        <f t="shared" si="10"/>
        <v>0</v>
      </c>
      <c r="BP14" s="81">
        <f t="shared" si="10"/>
        <v>0</v>
      </c>
      <c r="BQ14" s="81">
        <f t="shared" si="10"/>
        <v>0</v>
      </c>
      <c r="BR14" s="81"/>
      <c r="BS14" s="81"/>
      <c r="BT14" s="81">
        <f t="shared" si="10"/>
        <v>92038615.384615406</v>
      </c>
      <c r="BU14" s="104">
        <f t="shared" ref="BU14" si="11">SUM(BU15:BU21)</f>
        <v>121611917.6923077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6" customHeight="1">
      <c r="A15" s="87">
        <f>IF(B15=0,"",COUNTA($B$15:(B15)))</f>
        <v>1</v>
      </c>
      <c r="B15" s="88">
        <v>2405236</v>
      </c>
      <c r="C15" s="89" t="s">
        <v>98</v>
      </c>
      <c r="D15" s="90" t="s">
        <v>99</v>
      </c>
      <c r="E15" s="123" t="s">
        <v>100</v>
      </c>
      <c r="F15" s="124" t="s">
        <v>101</v>
      </c>
      <c r="G15" s="91">
        <v>9520000</v>
      </c>
      <c r="H15" s="91">
        <f>+IF(OR(CC15="ĐT PCCC",CC15="ĐP PCCC"),780000,IF(CC15="AT-VSV",300000,0))</f>
        <v>0</v>
      </c>
      <c r="I15" s="91">
        <f>CB15-BZ15-G15-H15</f>
        <v>50480000</v>
      </c>
      <c r="J15" s="92">
        <v>1</v>
      </c>
      <c r="K15" s="93">
        <v>26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126"/>
      <c r="U15" s="93">
        <v>0</v>
      </c>
      <c r="V15" s="93">
        <v>0</v>
      </c>
      <c r="W15" s="93">
        <v>0</v>
      </c>
      <c r="X15" s="93">
        <v>0</v>
      </c>
      <c r="Y15" s="91">
        <f>G15*(K15+L15)/26</f>
        <v>9520000</v>
      </c>
      <c r="Z15" s="91">
        <f>M15*G15/26</f>
        <v>0</v>
      </c>
      <c r="AA15" s="91">
        <f>G15*N15/26</f>
        <v>0</v>
      </c>
      <c r="AB15" s="91">
        <f>G15*O15/26</f>
        <v>0</v>
      </c>
      <c r="AC15" s="91">
        <f>G15*P15*150%/26</f>
        <v>0</v>
      </c>
      <c r="AD15" s="91">
        <f>G15*Q15/26*200%</f>
        <v>0</v>
      </c>
      <c r="AE15" s="91">
        <f>G15*R15/26*300%</f>
        <v>0</v>
      </c>
      <c r="AF15" s="91">
        <f>ROUND((G15+H15)/26*S15*30%,0)</f>
        <v>0</v>
      </c>
      <c r="AG15" s="91">
        <f>T15*G15/26/8</f>
        <v>0</v>
      </c>
      <c r="AH15" s="91">
        <f>CB15/26*U15</f>
        <v>0</v>
      </c>
      <c r="AI15" s="91">
        <f>G15*V15/26</f>
        <v>0</v>
      </c>
      <c r="AJ15" s="91"/>
      <c r="AK15" s="91">
        <f>BZ15*L15/26</f>
        <v>0</v>
      </c>
      <c r="AL15" s="91"/>
      <c r="AM15" s="91">
        <f>X15*CD15</f>
        <v>0</v>
      </c>
      <c r="AN15" s="91">
        <f>H15/26*(K15+L15)</f>
        <v>0</v>
      </c>
      <c r="AO15" s="91">
        <f>IF(F15="LN",I15*(K15+L15)/26+(H15+I15)*50%*M15/26+MAX($G15*P15/26*150%,P15*$BW15/26)-AC15+MAX($G15*Q15/26*200%,Q15*$BW15/26)-AD15+MAX($G15*R15/26*300%,R15*$BW15/26)-AE15+BW15*S15/26-AF15+AH15-AG15,I15-I15*($CF$3-K15-L15)/26+(H15+I15)*50%*M15/26+BW15*O15/26-AB15+MAX($G15*P15/26*150%,P15*$BW15/26)-AC15+MAX($G15*Q15/26*200%,Q15*$BW15/26)-AD15+MAX($G15*R15/26*300%,R15*$BW15/26)-AE15+BW15*S15/26-AF15+AH15-AG15+(G15-G15*($CF$3-K15-L15)/26-Y15)+(H15-H15*($CF$3-K15-L15)/26-AN15))</f>
        <v>50480000</v>
      </c>
      <c r="AP15" s="91"/>
      <c r="AQ15" s="91"/>
      <c r="AR15" s="91">
        <v>1000000</v>
      </c>
      <c r="AS15" s="91"/>
      <c r="AT15" s="91"/>
      <c r="AU15" s="91"/>
      <c r="AV15" s="94">
        <f>Y15+Z15+AA15+AB15+AC15+AD15+AE15+AF15+AG15+AI15+AJ15+AK15+AL15+AM15+AN15+AO15+AP15-AQ15+AR15+AS15+AT15+AU15</f>
        <v>61000000</v>
      </c>
      <c r="AW15" s="94"/>
      <c r="AX15" s="94" t="s">
        <v>102</v>
      </c>
      <c r="AY15" s="85">
        <f>ROUND(IF($AX15="x",($G15+$H15)*AY$11,0),0)</f>
        <v>761600</v>
      </c>
      <c r="AZ15" s="85">
        <f>ROUND(IF($AX15="x",($G15+$H15)*AZ$11,0),0)</f>
        <v>142800</v>
      </c>
      <c r="BA15" s="85">
        <f t="shared" ref="BA15" si="12">ROUND(IF($AX15="x",($G15+$H15)*BA$11,0),0)</f>
        <v>95200</v>
      </c>
      <c r="BB15" s="85">
        <f>SUM(AY15:BA15)</f>
        <v>999600</v>
      </c>
      <c r="BC15" s="85"/>
      <c r="BD15" s="85"/>
      <c r="BE15" s="85">
        <f>IF(G15*1%&gt;=234000,234000,G15*1%)</f>
        <v>95200</v>
      </c>
      <c r="BF15" s="85">
        <f>AM15+IF(E15="CT",IF(AR15&gt;=730000,730000,AR15),0)+IF(((AV15-AM15-IF(AR15&gt;=730000,730000,AR15)-AS15)*15%-AS15)&gt;"0",((AV15-AM15-IF(AR15&gt;=730000,730000,AR15)-AS15)*15%-AS15),0)</f>
        <v>730000</v>
      </c>
      <c r="BG15" s="85">
        <f>AV15-BF15+AW15</f>
        <v>60270000</v>
      </c>
      <c r="BH15" s="85">
        <v>3</v>
      </c>
      <c r="BI15" s="85">
        <v>4400000</v>
      </c>
      <c r="BJ15" s="85">
        <f>IF(E15="CT",11000000,0)</f>
        <v>11000000</v>
      </c>
      <c r="BK15" s="85">
        <f>BG15-BB15-BC15+BD15-BH15*BI15-BJ15</f>
        <v>35070400</v>
      </c>
      <c r="BL15" s="84">
        <f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5517600</v>
      </c>
      <c r="BM15" s="85"/>
      <c r="BN15" s="85"/>
      <c r="BO15" s="85">
        <v>0</v>
      </c>
      <c r="BP15" s="85"/>
      <c r="BQ15" s="85"/>
      <c r="BR15" s="85"/>
      <c r="BS15" s="85"/>
      <c r="BT15" s="85">
        <f>SUMIFS('Bảng lương tạm ứng kỳ 1'!BT:BT,'Bảng lương CB-NV'!B:B,'Bảng lương tạm ứng kỳ 1'!B15)</f>
        <v>25846153.846153852</v>
      </c>
      <c r="BU15" s="105">
        <f>AV15-BB15-BC15+BD15-BE15-BL15-BM15-BN15-BO15-BP15-BQ15-BR15+BS15-BT15</f>
        <v>28541446.153846148</v>
      </c>
      <c r="BV15" s="118"/>
      <c r="BW15" s="108">
        <v>60000000</v>
      </c>
      <c r="BX15" s="84">
        <v>0</v>
      </c>
      <c r="BY15" s="84"/>
      <c r="BZ15" s="84">
        <v>200000</v>
      </c>
      <c r="CA15" s="84">
        <v>0</v>
      </c>
      <c r="CB15" s="84">
        <f>SUM(BW15:CA15)</f>
        <v>60200000</v>
      </c>
      <c r="CC15" s="84"/>
      <c r="CD15" s="84"/>
      <c r="CE15" s="95"/>
      <c r="CF15" s="96"/>
      <c r="CG15" s="96"/>
      <c r="CH15" s="97"/>
      <c r="CI15" s="98"/>
    </row>
    <row r="16" spans="1:87" s="99" customFormat="1" ht="30.6" customHeight="1">
      <c r="A16" s="87">
        <f>IF(B16=0,"",COUNTA($B$15:(B16)))</f>
        <v>2</v>
      </c>
      <c r="B16" s="88">
        <v>2106723</v>
      </c>
      <c r="C16" s="89" t="s">
        <v>103</v>
      </c>
      <c r="D16" s="90" t="s">
        <v>104</v>
      </c>
      <c r="E16" s="123" t="s">
        <v>100</v>
      </c>
      <c r="F16" s="124" t="s">
        <v>101</v>
      </c>
      <c r="G16" s="91">
        <v>8480000</v>
      </c>
      <c r="H16" s="91">
        <f>+IF(OR(CC16="ĐT PCCC",CC16="ĐP PCCC"),780000,IF(CC16="AT-VSV",300000,0))</f>
        <v>0</v>
      </c>
      <c r="I16" s="91">
        <f t="shared" ref="I16:I21" si="13">CB16-BZ16-G16-H16</f>
        <v>43520000</v>
      </c>
      <c r="J16" s="92">
        <v>1</v>
      </c>
      <c r="K16" s="93">
        <v>19</v>
      </c>
      <c r="L16" s="93">
        <v>5</v>
      </c>
      <c r="M16" s="93">
        <v>0</v>
      </c>
      <c r="N16" s="93">
        <v>0</v>
      </c>
      <c r="O16" s="93">
        <v>0</v>
      </c>
      <c r="P16" s="93">
        <v>0</v>
      </c>
      <c r="Q16" s="93">
        <v>0</v>
      </c>
      <c r="R16" s="93">
        <v>0</v>
      </c>
      <c r="S16" s="93">
        <v>0</v>
      </c>
      <c r="T16" s="126"/>
      <c r="U16" s="93">
        <v>0</v>
      </c>
      <c r="V16" s="93">
        <v>0</v>
      </c>
      <c r="W16" s="93">
        <v>0</v>
      </c>
      <c r="X16" s="93">
        <v>0</v>
      </c>
      <c r="Y16" s="91">
        <f>G16*(K16+L16)/26</f>
        <v>7827692.307692308</v>
      </c>
      <c r="Z16" s="91">
        <f t="shared" ref="Z16:Z17" si="14">M16*G16/26</f>
        <v>0</v>
      </c>
      <c r="AA16" s="91">
        <f t="shared" ref="AA16:AA17" si="15">G16*N16/26</f>
        <v>0</v>
      </c>
      <c r="AB16" s="91">
        <f t="shared" ref="AB16:AB17" si="16">G16*O16/26</f>
        <v>0</v>
      </c>
      <c r="AC16" s="91">
        <f t="shared" ref="AC16:AC17" si="17">G16*P16*150%/26</f>
        <v>0</v>
      </c>
      <c r="AD16" s="91">
        <f t="shared" ref="AD16:AD17" si="18">G16*Q16/26*200%</f>
        <v>0</v>
      </c>
      <c r="AE16" s="91">
        <f t="shared" ref="AE16:AE17" si="19">G16*R16/26*300%</f>
        <v>0</v>
      </c>
      <c r="AF16" s="91">
        <f>ROUND((G16+H16)/26*S16*30%,0)</f>
        <v>0</v>
      </c>
      <c r="AG16" s="91">
        <f t="shared" ref="AG16:AG17" si="20">T16*G16/26/8</f>
        <v>0</v>
      </c>
      <c r="AH16" s="91">
        <f>CB16/26*U16</f>
        <v>0</v>
      </c>
      <c r="AI16" s="91">
        <f t="shared" ref="AI16:AI17" si="21">G16*V16/26</f>
        <v>0</v>
      </c>
      <c r="AJ16" s="91"/>
      <c r="AK16" s="91">
        <f>BZ16*L16/26</f>
        <v>38461.538461538461</v>
      </c>
      <c r="AL16" s="91"/>
      <c r="AM16" s="91">
        <f>X16*CD16</f>
        <v>0</v>
      </c>
      <c r="AN16" s="91">
        <f t="shared" ref="AN16:AN17" si="22">H16/26*K16</f>
        <v>0</v>
      </c>
      <c r="AO16" s="91">
        <f>IF(F16="LN",I16*(K16+L16)/26+(H16+I16)*50%*M16/26+MAX($G16*P16/26*150%,P16*$BW16/26)-AC16+MAX($G16*Q16/26*200%,Q16*$BW16/26)-AD16+MAX($G16*R16/26*300%,R16*$BW16/26)-AE16+BW16*S16/26-AF16+AH16-AG16,I16-I16*($CF$3-K16-L16)/26+(H16+I16)*50%*M16/26+BW16*O16/26-AB16+MAX($G16*P16/26*150%,P16*$BW16/26)-AC16+MAX($G16*Q16/26*200%,Q16*$BW16/26)-AD16+MAX($G16*R16/26*300%,R16*$BW16/26)-AE16+BW16*S16/26-AF16+AH16-AG16+(G16-G16*($CF$3-K16-L16)/26-Y16)+(H16-H16*($CF$3-K16-L16)/26-AN16))</f>
        <v>40172307.692307696</v>
      </c>
      <c r="AP16" s="91"/>
      <c r="AQ16" s="91"/>
      <c r="AR16" s="91">
        <v>720000</v>
      </c>
      <c r="AS16" s="91"/>
      <c r="AT16" s="91"/>
      <c r="AU16" s="91"/>
      <c r="AV16" s="94">
        <f t="shared" ref="AV16:AV17" si="23">Y16+Z16+AA16+AB16+AC16+AD16+AE16+AF16+AG16+AI16+AJ16+AK16+AL16+AM16+AN16+AO16+AP16-AQ16+AR16+AS16+AT16+AU16</f>
        <v>48758461.538461544</v>
      </c>
      <c r="AW16" s="94"/>
      <c r="AX16" s="94" t="str">
        <f>IF(E16="CT","x",0)</f>
        <v>x</v>
      </c>
      <c r="AY16" s="85">
        <f t="shared" ref="AY16:AZ21" si="24">ROUND(IF($AX16="x",($G16+$H16)*AY$11,0),0)</f>
        <v>678400</v>
      </c>
      <c r="AZ16" s="85">
        <f>ROUND(IF($AX16="x",($G16+$H16)*AZ$11,0),0)</f>
        <v>127200</v>
      </c>
      <c r="BA16" s="85">
        <f>ROUND(IF($AX16="x",($G16+$H16)*BA$11,0),0)</f>
        <v>84800</v>
      </c>
      <c r="BB16" s="85">
        <f>SUM(AY16:BA16)</f>
        <v>890400</v>
      </c>
      <c r="BC16" s="85"/>
      <c r="BD16" s="85"/>
      <c r="BE16" s="85">
        <f t="shared" ref="BE16:BE17" si="25">IF(G16*1%&gt;=234000,234000,G16*1%)</f>
        <v>84800</v>
      </c>
      <c r="BF16" s="85">
        <f t="shared" ref="BF16:BF17" si="26">AM16+IF(E16="CT",IF(AR16&gt;=730000,730000,AR16),0)+IF(((AV16-AM16-IF(AR16&gt;=730000,730000,AR16)-AS16)*15%-AS16)&gt;"0",((AV16-AM16-IF(AR16&gt;=730000,730000,AR16)-AS16)*15%-AS16),0)</f>
        <v>720000</v>
      </c>
      <c r="BG16" s="85">
        <f t="shared" ref="BG16:BG17" si="27">AV16-BF16+AW16</f>
        <v>48038461.538461544</v>
      </c>
      <c r="BH16" s="85"/>
      <c r="BI16" s="85">
        <v>4400000</v>
      </c>
      <c r="BJ16" s="85">
        <f>IF(E16="CT",11000000,0)</f>
        <v>11000000</v>
      </c>
      <c r="BK16" s="85">
        <f t="shared" ref="BK16:BK17" si="28">BG16-BB16-BC16+BD16-BH16*BI16-BJ16</f>
        <v>36148061.538461544</v>
      </c>
      <c r="BL16" s="84">
        <f t="shared" ref="BL16:BL17" si="29">IF(E16="TV",BK16*10%,IF(BK16&gt;0,ROUND(IF(BK16&gt;=80000000,BK16*35%-9850000,IF(BK16&gt;=52000000,BK16*30%-5850000,IF(BK16&gt;=32000000,BK16*25%-3250000,IF(BK16&gt;=18000000,BK16*20%-1650000,IF(BK16&gt;=10000000,BK16*15%-750000,IF(BK16&gt;5000000,BK16*10%-250000,BK16*5%)))))),0),0))</f>
        <v>5787015</v>
      </c>
      <c r="BM16" s="85"/>
      <c r="BN16" s="85"/>
      <c r="BO16" s="85">
        <v>0</v>
      </c>
      <c r="BP16" s="85"/>
      <c r="BQ16" s="85"/>
      <c r="BR16" s="85"/>
      <c r="BS16" s="85"/>
      <c r="BT16" s="85">
        <f>SUMIFS('Bảng lương tạm ứng kỳ 1'!BT:BT,'Bảng lương CB-NV'!B:B,'Bảng lương tạm ứng kỳ 1'!B14)</f>
        <v>0</v>
      </c>
      <c r="BU16" s="105">
        <f t="shared" ref="BU16:BU17" si="30">AV16-BB16-BC16+BD16-BE16-BL16-BM16-BN16-BO16-BP16-BQ16-BR16+BS16-BT16</f>
        <v>41996246.538461544</v>
      </c>
      <c r="BV16" s="118"/>
      <c r="BW16" s="108">
        <v>40000000</v>
      </c>
      <c r="BX16" s="84">
        <v>5000000</v>
      </c>
      <c r="BY16" s="84">
        <v>5000000</v>
      </c>
      <c r="BZ16" s="84">
        <v>200000</v>
      </c>
      <c r="CA16" s="84">
        <f>+BW16*5%</f>
        <v>2000000</v>
      </c>
      <c r="CB16" s="84">
        <f t="shared" ref="CB16:CB17" si="31">SUM(BW16:CA16)</f>
        <v>52200000</v>
      </c>
      <c r="CC16" s="84"/>
      <c r="CD16" s="84"/>
      <c r="CE16" s="95"/>
      <c r="CF16" s="96"/>
      <c r="CG16" s="96"/>
      <c r="CH16" s="97"/>
      <c r="CI16" s="98"/>
    </row>
    <row r="17" spans="1:87" s="99" customFormat="1" ht="30.6" customHeight="1">
      <c r="A17" s="87">
        <f>IF(B17=0,"",COUNTA($B$15:(B17)))</f>
        <v>3</v>
      </c>
      <c r="B17" s="100" t="s">
        <v>105</v>
      </c>
      <c r="C17" s="89" t="s">
        <v>106</v>
      </c>
      <c r="D17" s="90" t="s">
        <v>107</v>
      </c>
      <c r="E17" s="123" t="s">
        <v>100</v>
      </c>
      <c r="F17" s="124" t="s">
        <v>101</v>
      </c>
      <c r="G17" s="91">
        <v>7820000</v>
      </c>
      <c r="H17" s="91">
        <f>+IF(OR(CC17="ĐT PCCC",CC17="ĐP PCCC"),780000,IF(CC17="AT-VSV",300000,0))</f>
        <v>0</v>
      </c>
      <c r="I17" s="91">
        <f t="shared" si="13"/>
        <v>34180000</v>
      </c>
      <c r="J17" s="92">
        <v>1</v>
      </c>
      <c r="K17" s="93">
        <v>24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126"/>
      <c r="U17" s="93">
        <v>2</v>
      </c>
      <c r="V17" s="93">
        <v>0</v>
      </c>
      <c r="W17" s="93">
        <v>0</v>
      </c>
      <c r="X17" s="93">
        <v>0</v>
      </c>
      <c r="Y17" s="91">
        <f>G17*(K17+L17)/26</f>
        <v>7218461.538461538</v>
      </c>
      <c r="Z17" s="91">
        <f t="shared" si="14"/>
        <v>0</v>
      </c>
      <c r="AA17" s="91">
        <f t="shared" si="15"/>
        <v>0</v>
      </c>
      <c r="AB17" s="91">
        <f t="shared" si="16"/>
        <v>0</v>
      </c>
      <c r="AC17" s="91">
        <f t="shared" si="17"/>
        <v>0</v>
      </c>
      <c r="AD17" s="91">
        <f t="shared" si="18"/>
        <v>0</v>
      </c>
      <c r="AE17" s="91">
        <f t="shared" si="19"/>
        <v>0</v>
      </c>
      <c r="AF17" s="91">
        <f>IF(F17="LN",(G17+H17)/26*S17*30%,0)</f>
        <v>0</v>
      </c>
      <c r="AG17" s="91">
        <f t="shared" si="20"/>
        <v>0</v>
      </c>
      <c r="AH17" s="91">
        <f>CB17/26*U17</f>
        <v>3246153.846153846</v>
      </c>
      <c r="AI17" s="91">
        <f t="shared" si="21"/>
        <v>0</v>
      </c>
      <c r="AJ17" s="91"/>
      <c r="AK17" s="91">
        <f>BZ17*L17/26</f>
        <v>0</v>
      </c>
      <c r="AL17" s="91"/>
      <c r="AM17" s="91">
        <f>X17*CD17</f>
        <v>0</v>
      </c>
      <c r="AN17" s="91">
        <f t="shared" si="22"/>
        <v>0</v>
      </c>
      <c r="AO17" s="91">
        <f>IF(F17="LN",I17*(K17+L17)/26+(H17+I17)*50%*M17/26+MAX($G17*P17/26*150%,P17*$BW17/26)-AC17+MAX($G17*Q17/26*200%,Q17*$BW17/26)-AD17+MAX($G17*R17/26*300%,R17*$BW17/26)-AE17+BW17*S17/26-AF17+AH17-AG17,I17-I17*($CF$3-K17-L17)/26+(H17+I17)*50%*M17/26+BW17*O17/26-AB17+MAX($G17*P17/26*150%,P17*$BW17/26)-AC17+MAX($G17*Q17/26*200%,Q17*$BW17/26)-AD17+MAX($G17*R17/26*300%,R17*$BW17/26)-AE17+BW17*S17/26-AF17+AH17-AG17+(G17-G17*($CF$3-K17-L17)/26-Y17)+(H17-H17*($CF$3-K17-L17)/26-AN17))</f>
        <v>34796923.07692308</v>
      </c>
      <c r="AP17" s="91"/>
      <c r="AQ17" s="91"/>
      <c r="AR17" s="91">
        <v>560000</v>
      </c>
      <c r="AS17" s="91"/>
      <c r="AT17" s="91"/>
      <c r="AU17" s="91"/>
      <c r="AV17" s="94">
        <f t="shared" si="23"/>
        <v>42575384.615384616</v>
      </c>
      <c r="AW17" s="94"/>
      <c r="AX17" s="94" t="str">
        <f>IF(E17="CT","x",0)</f>
        <v>x</v>
      </c>
      <c r="AY17" s="85">
        <f t="shared" si="24"/>
        <v>625600</v>
      </c>
      <c r="AZ17" s="85">
        <f t="shared" si="24"/>
        <v>117300</v>
      </c>
      <c r="BA17" s="85">
        <f>ROUND(IF($AX17="x",($G17+$H17)*BA$11,0),0)</f>
        <v>78200</v>
      </c>
      <c r="BB17" s="85">
        <f t="shared" ref="BB17" si="32">SUM(AY17:BA17)</f>
        <v>821100</v>
      </c>
      <c r="BC17" s="85"/>
      <c r="BD17" s="85"/>
      <c r="BE17" s="85">
        <f t="shared" si="25"/>
        <v>78200</v>
      </c>
      <c r="BF17" s="85">
        <f t="shared" si="26"/>
        <v>560000</v>
      </c>
      <c r="BG17" s="85">
        <f t="shared" si="27"/>
        <v>42015384.615384616</v>
      </c>
      <c r="BH17" s="85"/>
      <c r="BI17" s="85">
        <v>4400000</v>
      </c>
      <c r="BJ17" s="85">
        <f>IF(E17="CT",11000000,0)</f>
        <v>11000000</v>
      </c>
      <c r="BK17" s="85">
        <f t="shared" si="28"/>
        <v>30194284.615384616</v>
      </c>
      <c r="BL17" s="84">
        <f t="shared" si="29"/>
        <v>4388857</v>
      </c>
      <c r="BM17" s="85"/>
      <c r="BN17" s="85"/>
      <c r="BO17" s="85">
        <v>0</v>
      </c>
      <c r="BP17" s="85"/>
      <c r="BQ17" s="85"/>
      <c r="BR17" s="85"/>
      <c r="BS17" s="85"/>
      <c r="BT17" s="85">
        <f>SUMIFS('Bảng lương tạm ứng kỳ 1'!BT:BT,'Bảng lương CB-NV'!B:B,'Bảng lương tạm ứng kỳ 1'!B15)</f>
        <v>25846153.846153852</v>
      </c>
      <c r="BU17" s="105">
        <f t="shared" si="30"/>
        <v>11441073.769230764</v>
      </c>
      <c r="BV17" s="118"/>
      <c r="BW17" s="108">
        <v>40000000</v>
      </c>
      <c r="BX17" s="84">
        <v>0</v>
      </c>
      <c r="BY17" s="84">
        <v>0</v>
      </c>
      <c r="BZ17" s="84">
        <v>200000</v>
      </c>
      <c r="CA17" s="84">
        <f>+BW17*5%</f>
        <v>2000000</v>
      </c>
      <c r="CB17" s="84">
        <f t="shared" si="31"/>
        <v>42200000</v>
      </c>
      <c r="CC17" s="84"/>
      <c r="CD17" s="84"/>
      <c r="CE17" s="95"/>
      <c r="CF17" s="96"/>
      <c r="CG17" s="96"/>
      <c r="CH17" s="97"/>
      <c r="CI17" s="98"/>
    </row>
    <row r="18" spans="1:87" s="99" customFormat="1" ht="30.6" customHeight="1">
      <c r="A18" s="87">
        <f>IF(B18=0,"",COUNTA($B$15:(B18)))</f>
        <v>4</v>
      </c>
      <c r="B18" s="88">
        <v>2406198</v>
      </c>
      <c r="C18" s="89" t="s">
        <v>108</v>
      </c>
      <c r="D18" s="90" t="s">
        <v>99</v>
      </c>
      <c r="E18" s="123" t="s">
        <v>100</v>
      </c>
      <c r="F18" s="124" t="s">
        <v>101</v>
      </c>
      <c r="G18" s="91">
        <v>6990000</v>
      </c>
      <c r="H18" s="91">
        <f>+IF(OR(CC18="ĐT PCCC",CC18="ĐP PCCC"),780000,IF(CC18="AT-VSV",300000,0))</f>
        <v>0</v>
      </c>
      <c r="I18" s="91">
        <f t="shared" si="13"/>
        <v>19160000</v>
      </c>
      <c r="J18" s="92">
        <v>1</v>
      </c>
      <c r="K18" s="93">
        <v>23</v>
      </c>
      <c r="L18" s="93">
        <v>3</v>
      </c>
      <c r="M18" s="93">
        <v>0</v>
      </c>
      <c r="N18" s="93">
        <v>0</v>
      </c>
      <c r="O18" s="93">
        <v>0</v>
      </c>
      <c r="P18" s="93">
        <v>0</v>
      </c>
      <c r="Q18" s="93">
        <v>0</v>
      </c>
      <c r="R18" s="93">
        <v>0</v>
      </c>
      <c r="S18" s="93">
        <v>0</v>
      </c>
      <c r="T18" s="126"/>
      <c r="U18" s="93">
        <v>0</v>
      </c>
      <c r="V18" s="93">
        <v>0</v>
      </c>
      <c r="W18" s="93">
        <v>0</v>
      </c>
      <c r="X18" s="93">
        <v>0</v>
      </c>
      <c r="Y18" s="91">
        <f>G18*(K18+L18)/26</f>
        <v>6990000</v>
      </c>
      <c r="Z18" s="91">
        <f t="shared" ref="Z18:Z19" si="33">M18*G18/26</f>
        <v>0</v>
      </c>
      <c r="AA18" s="91">
        <f t="shared" ref="AA18:AA19" si="34">G18*N18/26</f>
        <v>0</v>
      </c>
      <c r="AB18" s="91">
        <f t="shared" ref="AB18:AB19" si="35">G18*O18/26</f>
        <v>0</v>
      </c>
      <c r="AC18" s="91">
        <f t="shared" ref="AC18:AC19" si="36">G18*P18*150%/26</f>
        <v>0</v>
      </c>
      <c r="AD18" s="91">
        <f t="shared" ref="AD18:AD19" si="37">G18*Q18/26*200%</f>
        <v>0</v>
      </c>
      <c r="AE18" s="91">
        <f t="shared" ref="AE18:AE19" si="38">G18*R18/26*300%</f>
        <v>0</v>
      </c>
      <c r="AF18" s="91">
        <f>ROUND((G18+H18)/26*S18*30%,0)</f>
        <v>0</v>
      </c>
      <c r="AG18" s="91">
        <f t="shared" ref="AG18:AG19" si="39">T18*G18/26/8</f>
        <v>0</v>
      </c>
      <c r="AH18" s="91">
        <f>CB18/26*U18</f>
        <v>0</v>
      </c>
      <c r="AI18" s="91">
        <f t="shared" ref="AI18:AI19" si="40">G18*V18/26</f>
        <v>0</v>
      </c>
      <c r="AJ18" s="91"/>
      <c r="AK18" s="91">
        <f>BZ18*L18/26</f>
        <v>23076.923076923078</v>
      </c>
      <c r="AL18" s="91"/>
      <c r="AM18" s="91">
        <f>X18*CD18</f>
        <v>0</v>
      </c>
      <c r="AN18" s="91">
        <f t="shared" ref="AN18:AN19" si="41">H18/26*K18</f>
        <v>0</v>
      </c>
      <c r="AO18" s="91">
        <f>IF(F18="LN",I18*(K18+L18)/26+(H18+I18)*50%*M18/26+MAX($G18*P18/26*150%,P18*$BW18/26)-AC18+MAX($G18*Q18/26*200%,Q18*$BW18/26)-AD18+MAX($G18*R18/26*300%,R18*$BW18/26)-AE18+BW18*S18/26-AF18+AH18-AG18,I18-I18*($CF$3-K18-L18)/26+(H18+I18)*50%*M18/26+BW18*O18/26-AB18+MAX($G18*P18/26*150%,P18*$BW18/26)-AC18+MAX($G18*Q18/26*200%,Q18*$BW18/26)-AD18+MAX($G18*R18/26*300%,R18*$BW18/26)-AE18+BW18*S18/26-AF18+AH18-AG18+(G18-G18*($CF$3-K18-L18)/26-Y18)+(H18-H18*($CF$3-K18-L18)/26-AN18))</f>
        <v>19160000</v>
      </c>
      <c r="AP18" s="91"/>
      <c r="AQ18" s="91"/>
      <c r="AR18" s="91">
        <v>720000</v>
      </c>
      <c r="AS18" s="91"/>
      <c r="AT18" s="91"/>
      <c r="AU18" s="91"/>
      <c r="AV18" s="94">
        <f t="shared" ref="AV18:AV19" si="42">Y18+Z18+AA18+AB18+AC18+AD18+AE18+AF18+AG18+AI18+AJ18+AK18+AL18+AM18+AN18+AO18+AP18-AQ18+AR18+AS18+AT18+AU18</f>
        <v>26893076.923076924</v>
      </c>
      <c r="AW18" s="94"/>
      <c r="AX18" s="94" t="str">
        <f>IF(E18="CT","x",0)</f>
        <v>x</v>
      </c>
      <c r="AY18" s="85">
        <f t="shared" si="24"/>
        <v>559200</v>
      </c>
      <c r="AZ18" s="85">
        <f>ROUND(IF($AX18="x",($G18+$H18)*AZ$11,0),0)</f>
        <v>104850</v>
      </c>
      <c r="BA18" s="85">
        <f>ROUND(IF($AX18="x",($G18+$H18)*BA$11,0),0)</f>
        <v>69900</v>
      </c>
      <c r="BB18" s="85">
        <f>SUM(AY18:BA18)</f>
        <v>733950</v>
      </c>
      <c r="BC18" s="85"/>
      <c r="BD18" s="85"/>
      <c r="BE18" s="85">
        <f t="shared" ref="BE18:BE19" si="43">IF(G18*1%&gt;=234000,234000,G18*1%)</f>
        <v>69900</v>
      </c>
      <c r="BF18" s="85">
        <f t="shared" ref="BF18:BF19" si="44">AM18+IF(E18="CT",IF(AR18&gt;=730000,730000,AR18),0)+IF(((AV18-AM18-IF(AR18&gt;=730000,730000,AR18)-AS18)*15%-AS18)&gt;"0",((AV18-AM18-IF(AR18&gt;=730000,730000,AR18)-AS18)*15%-AS18),0)</f>
        <v>720000</v>
      </c>
      <c r="BG18" s="85">
        <f t="shared" ref="BG18:BG19" si="45">AV18-BF18+AW18</f>
        <v>26173076.923076924</v>
      </c>
      <c r="BH18" s="85"/>
      <c r="BI18" s="85">
        <v>4400000</v>
      </c>
      <c r="BJ18" s="85">
        <f>IF(E18="CT",11000000,0)</f>
        <v>11000000</v>
      </c>
      <c r="BK18" s="85">
        <f t="shared" ref="BK18:BK19" si="46">BG18-BB18-BC18+BD18-BH18*BI18-BJ18</f>
        <v>14439126.923076924</v>
      </c>
      <c r="BL18" s="84">
        <f t="shared" ref="BL18:BL19" si="47">IF(E18="TV",BK18*10%,IF(BK18&gt;0,ROUND(IF(BK18&gt;=80000000,BK18*35%-9850000,IF(BK18&gt;=52000000,BK18*30%-5850000,IF(BK18&gt;=32000000,BK18*25%-3250000,IF(BK18&gt;=18000000,BK18*20%-1650000,IF(BK18&gt;=10000000,BK18*15%-750000,IF(BK18&gt;5000000,BK18*10%-250000,BK18*5%)))))),0),0))</f>
        <v>1415869</v>
      </c>
      <c r="BM18" s="85"/>
      <c r="BN18" s="85"/>
      <c r="BO18" s="85">
        <v>0</v>
      </c>
      <c r="BP18" s="85"/>
      <c r="BQ18" s="85"/>
      <c r="BR18" s="85"/>
      <c r="BS18" s="85"/>
      <c r="BT18" s="85">
        <f>SUMIFS('Bảng lương tạm ứng kỳ 1'!BT:BT,'Bảng lương CB-NV'!B:B,'Bảng lương tạm ứng kỳ 1'!B20)</f>
        <v>10195307.692307694</v>
      </c>
      <c r="BU18" s="105">
        <f t="shared" ref="BU18:BU19" si="48">AV18-BB18-BC18+BD18-BE18-BL18-BM18-BN18-BO18-BP18-BQ18-BR18+BS18-BT18</f>
        <v>14478050.23076923</v>
      </c>
      <c r="BV18" s="118"/>
      <c r="BW18" s="108">
        <v>23000000</v>
      </c>
      <c r="BX18" s="84">
        <v>0</v>
      </c>
      <c r="BY18" s="84">
        <v>2000000</v>
      </c>
      <c r="BZ18" s="84">
        <v>200000</v>
      </c>
      <c r="CA18" s="84">
        <f>+BW18*5%</f>
        <v>1150000</v>
      </c>
      <c r="CB18" s="84">
        <f t="shared" ref="CB18:CB19" si="49">SUM(BW18:CA18)</f>
        <v>26350000</v>
      </c>
      <c r="CC18" s="84"/>
      <c r="CD18" s="84"/>
      <c r="CE18" s="95"/>
      <c r="CF18" s="96"/>
      <c r="CG18" s="96"/>
      <c r="CH18" s="97"/>
      <c r="CI18" s="98"/>
    </row>
    <row r="19" spans="1:87" s="99" customFormat="1" ht="30.6" customHeight="1">
      <c r="A19" s="87">
        <f>IF(B19=0,"",COUNTA($B$15:(B19)))</f>
        <v>5</v>
      </c>
      <c r="B19" s="100" t="s">
        <v>109</v>
      </c>
      <c r="C19" s="89" t="s">
        <v>110</v>
      </c>
      <c r="D19" s="90" t="s">
        <v>111</v>
      </c>
      <c r="E19" s="123" t="s">
        <v>100</v>
      </c>
      <c r="F19" s="124" t="s">
        <v>112</v>
      </c>
      <c r="G19" s="91">
        <v>4850000</v>
      </c>
      <c r="H19" s="91">
        <f>+IF(OR(CC19="ĐT PCCC",CC19="ĐP PCCC"),780000,IF(CC19="AT-VSV",300000,0))</f>
        <v>0</v>
      </c>
      <c r="I19" s="91">
        <f t="shared" si="13"/>
        <v>6700000</v>
      </c>
      <c r="J19" s="92">
        <v>1</v>
      </c>
      <c r="K19" s="93">
        <v>22</v>
      </c>
      <c r="L19" s="93">
        <v>0</v>
      </c>
      <c r="M19" s="93">
        <v>2</v>
      </c>
      <c r="N19" s="93">
        <v>2</v>
      </c>
      <c r="O19" s="93">
        <v>0</v>
      </c>
      <c r="P19" s="93">
        <v>0</v>
      </c>
      <c r="Q19" s="93">
        <v>0</v>
      </c>
      <c r="R19" s="93">
        <v>0</v>
      </c>
      <c r="S19" s="93">
        <v>2</v>
      </c>
      <c r="T19" s="126"/>
      <c r="U19" s="93">
        <v>0</v>
      </c>
      <c r="V19" s="93">
        <v>0</v>
      </c>
      <c r="W19" s="93">
        <v>0</v>
      </c>
      <c r="X19" s="93">
        <v>0</v>
      </c>
      <c r="Y19" s="91">
        <f>G19*(K19+L19)/26</f>
        <v>4103846.153846154</v>
      </c>
      <c r="Z19" s="91">
        <f t="shared" si="33"/>
        <v>373076.92307692306</v>
      </c>
      <c r="AA19" s="91">
        <f t="shared" si="34"/>
        <v>373076.92307692306</v>
      </c>
      <c r="AB19" s="91">
        <f t="shared" si="35"/>
        <v>0</v>
      </c>
      <c r="AC19" s="91">
        <f t="shared" si="36"/>
        <v>0</v>
      </c>
      <c r="AD19" s="91">
        <f t="shared" si="37"/>
        <v>0</v>
      </c>
      <c r="AE19" s="91">
        <f t="shared" si="38"/>
        <v>0</v>
      </c>
      <c r="AF19" s="91">
        <f>IF(F19="LN",(G19+H19)/26*S19*30%,0)</f>
        <v>111923.07692307692</v>
      </c>
      <c r="AG19" s="91">
        <f t="shared" si="39"/>
        <v>0</v>
      </c>
      <c r="AH19" s="91">
        <f>CB19/26*U19</f>
        <v>0</v>
      </c>
      <c r="AI19" s="91">
        <f t="shared" si="40"/>
        <v>0</v>
      </c>
      <c r="AJ19" s="91"/>
      <c r="AK19" s="91">
        <f>BZ19*L19/26</f>
        <v>0</v>
      </c>
      <c r="AL19" s="91"/>
      <c r="AM19" s="91">
        <f>X19*CD19</f>
        <v>0</v>
      </c>
      <c r="AN19" s="91">
        <f t="shared" si="41"/>
        <v>0</v>
      </c>
      <c r="AO19" s="91">
        <f>IF(F19="LN",I19*(K19+L19)/26+(H19+I19)*50%*M19/26+MAX($G19*P19/26*150%,P19*$BW19/26)-AC19+MAX($G19*Q19/26*200%,Q19*$BW19/26)-AD19+MAX($G19*R19/26*300%,R19*$BW19/26)-AE19+BW19*S19/26-AF19+AH19-AG19,I19-I19*($CF$3-K19-L19)/26+(H19+I19)*50%*M19/26+BW19*O19/26-AB19+MAX($G19*P19/26*150%,P19*$BW19/26)-AC19+MAX($G19*Q19/26*200%,Q19*$BW19/26)-AD19+MAX($G19*R19/26*300%,R19*$BW19/26)-AE19+BW19*S19/26-AF19+AH19-AG19+(G19-G19*($CF$3-K19-L19)/26-Y19)+(H19-H19*($CF$3-K19-L19)/26-AN19))</f>
        <v>6661153.846153846</v>
      </c>
      <c r="AP19" s="91"/>
      <c r="AQ19" s="91"/>
      <c r="AR19" s="91">
        <v>560000</v>
      </c>
      <c r="AS19" s="91"/>
      <c r="AT19" s="91"/>
      <c r="AU19" s="91"/>
      <c r="AV19" s="94">
        <f t="shared" si="42"/>
        <v>12183076.923076924</v>
      </c>
      <c r="AW19" s="94"/>
      <c r="AX19" s="94" t="str">
        <f>IF(E19="CT","x",0)</f>
        <v>x</v>
      </c>
      <c r="AY19" s="85">
        <f t="shared" si="24"/>
        <v>388000</v>
      </c>
      <c r="AZ19" s="85">
        <f t="shared" si="24"/>
        <v>72750</v>
      </c>
      <c r="BA19" s="85">
        <f>ROUND(IF($AX19="x",($G19+$H19)*BA$11,0),0)</f>
        <v>48500</v>
      </c>
      <c r="BB19" s="85">
        <f t="shared" ref="BB19" si="50">SUM(AY19:BA19)</f>
        <v>509250</v>
      </c>
      <c r="BC19" s="85"/>
      <c r="BD19" s="85"/>
      <c r="BE19" s="85">
        <f t="shared" si="43"/>
        <v>48500</v>
      </c>
      <c r="BF19" s="85">
        <f t="shared" si="44"/>
        <v>560000</v>
      </c>
      <c r="BG19" s="85">
        <f t="shared" si="45"/>
        <v>11623076.923076924</v>
      </c>
      <c r="BH19" s="85"/>
      <c r="BI19" s="85">
        <v>4400000</v>
      </c>
      <c r="BJ19" s="85">
        <f>IF(E19="CT",11000000,0)</f>
        <v>11000000</v>
      </c>
      <c r="BK19" s="85">
        <f t="shared" si="46"/>
        <v>113826.92307692394</v>
      </c>
      <c r="BL19" s="84">
        <f t="shared" si="47"/>
        <v>5691</v>
      </c>
      <c r="BM19" s="85"/>
      <c r="BN19" s="85"/>
      <c r="BO19" s="85">
        <v>0</v>
      </c>
      <c r="BP19" s="85"/>
      <c r="BQ19" s="85"/>
      <c r="BR19" s="85"/>
      <c r="BS19" s="85"/>
      <c r="BT19" s="85">
        <f>SUMIFS('Bảng lương tạm ứng kỳ 1'!BT:BT,'Bảng lương CB-NV'!B:B,'Bảng lương tạm ứng kỳ 1'!B21)</f>
        <v>9977846.153846154</v>
      </c>
      <c r="BU19" s="105">
        <f t="shared" si="48"/>
        <v>1641789.7692307699</v>
      </c>
      <c r="BV19" s="118"/>
      <c r="BW19" s="108">
        <v>11000000</v>
      </c>
      <c r="BX19" s="84">
        <v>0</v>
      </c>
      <c r="BY19" s="84">
        <v>0</v>
      </c>
      <c r="BZ19" s="84">
        <v>200000</v>
      </c>
      <c r="CA19" s="84">
        <f>+BW19*5%</f>
        <v>550000</v>
      </c>
      <c r="CB19" s="84">
        <f t="shared" si="49"/>
        <v>11750000</v>
      </c>
      <c r="CC19" s="84"/>
      <c r="CD19" s="84"/>
      <c r="CE19" s="95"/>
      <c r="CF19" s="96"/>
      <c r="CG19" s="96"/>
      <c r="CH19" s="97"/>
      <c r="CI19" s="98"/>
    </row>
    <row r="20" spans="1:87" s="99" customFormat="1" ht="30.6" customHeight="1">
      <c r="A20" s="87">
        <f>IF(B20=0,"",COUNTA($B$15:(B20)))</f>
        <v>6</v>
      </c>
      <c r="B20" s="88">
        <v>2406145</v>
      </c>
      <c r="C20" s="89" t="s">
        <v>113</v>
      </c>
      <c r="D20" s="90" t="s">
        <v>104</v>
      </c>
      <c r="E20" s="123" t="s">
        <v>114</v>
      </c>
      <c r="F20" s="124" t="s">
        <v>101</v>
      </c>
      <c r="G20" s="91">
        <v>6340000</v>
      </c>
      <c r="H20" s="91">
        <f>+IF(OR(CC20="ĐT PCCC",CC20="ĐP PCCC"),780000,IF(CC20="AT-VSV",300000,0))</f>
        <v>780000</v>
      </c>
      <c r="I20" s="91">
        <f t="shared" si="13"/>
        <v>17030000</v>
      </c>
      <c r="J20" s="92">
        <v>1</v>
      </c>
      <c r="K20" s="93">
        <v>26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126"/>
      <c r="U20" s="93">
        <v>0</v>
      </c>
      <c r="V20" s="93">
        <v>0</v>
      </c>
      <c r="W20" s="93">
        <v>0</v>
      </c>
      <c r="X20" s="93">
        <v>0</v>
      </c>
      <c r="Y20" s="91">
        <f>G20*(K20+L20)/26</f>
        <v>6340000</v>
      </c>
      <c r="Z20" s="91">
        <f t="shared" ref="Z20:Z21" si="51">M20*G20/26</f>
        <v>0</v>
      </c>
      <c r="AA20" s="91">
        <f t="shared" ref="AA20:AA21" si="52">G20*N20/26</f>
        <v>0</v>
      </c>
      <c r="AB20" s="91">
        <f t="shared" ref="AB20:AB21" si="53">G20*O20/26</f>
        <v>0</v>
      </c>
      <c r="AC20" s="91">
        <f t="shared" ref="AC20:AC21" si="54">G20*P20*150%/26</f>
        <v>0</v>
      </c>
      <c r="AD20" s="91">
        <f t="shared" ref="AD20:AD21" si="55">G20*Q20/26*200%</f>
        <v>0</v>
      </c>
      <c r="AE20" s="91">
        <f t="shared" ref="AE20:AE21" si="56">G20*R20/26*300%</f>
        <v>0</v>
      </c>
      <c r="AF20" s="91">
        <f>ROUND((G20+H20)/26*S20*30%,0)</f>
        <v>0</v>
      </c>
      <c r="AG20" s="91">
        <f t="shared" ref="AG20:AG21" si="57">T20*G20/26/8</f>
        <v>0</v>
      </c>
      <c r="AH20" s="91">
        <f>CB20/26*U20</f>
        <v>0</v>
      </c>
      <c r="AI20" s="91">
        <f t="shared" ref="AI20:AI21" si="58">G20*V20/26</f>
        <v>0</v>
      </c>
      <c r="AJ20" s="91"/>
      <c r="AK20" s="91">
        <f>BZ20*L20/26</f>
        <v>0</v>
      </c>
      <c r="AL20" s="91"/>
      <c r="AM20" s="91">
        <f>X20*CD20</f>
        <v>0</v>
      </c>
      <c r="AN20" s="91">
        <f t="shared" ref="AN20:AN21" si="59">H20/26*K20</f>
        <v>780000</v>
      </c>
      <c r="AO20" s="91">
        <f>IF(F20="LN",I20*(K20+L20)/26+(H20+I20)*50%*M20/26+MAX($G20*P20/26*150%,P20*$BW20/26)-AC20+MAX($G20*Q20/26*200%,Q20*$BW20/26)-AD20+MAX($G20*R20/26*300%,R20*$BW20/26)-AE20+BW20*S20/26-AF20+AH20-AG20,I20-I20*($CF$3-K20-L20)/26+(H20+I20)*50%*M20/26+BW20*O20/26-AB20+MAX($G20*P20/26*150%,P20*$BW20/26)-AC20+MAX($G20*Q20/26*200%,Q20*$BW20/26)-AD20+MAX($G20*R20/26*300%,R20*$BW20/26)-AE20+BW20*S20/26-AF20+AH20-AG20+(G20-G20*($CF$3-K20-L20)/26-Y20)+(H20-H20*($CF$3-K20-L20)/26-AN20))</f>
        <v>17030000</v>
      </c>
      <c r="AP20" s="91"/>
      <c r="AQ20" s="91"/>
      <c r="AR20" s="91">
        <v>720000</v>
      </c>
      <c r="AS20" s="91"/>
      <c r="AT20" s="91"/>
      <c r="AU20" s="91"/>
      <c r="AV20" s="94">
        <f t="shared" ref="AV20:AV21" si="60">Y20+Z20+AA20+AB20+AC20+AD20+AE20+AF20+AG20+AI20+AJ20+AK20+AL20+AM20+AN20+AO20+AP20-AQ20+AR20+AS20+AT20+AU20</f>
        <v>24870000</v>
      </c>
      <c r="AW20" s="94"/>
      <c r="AX20" s="94">
        <f>IF(E20="CT","x",0)</f>
        <v>0</v>
      </c>
      <c r="AY20" s="85">
        <f t="shared" si="24"/>
        <v>0</v>
      </c>
      <c r="AZ20" s="85">
        <f>ROUND(IF($AX20="x",($G20+$H20)*AZ$11,0),0)</f>
        <v>0</v>
      </c>
      <c r="BA20" s="85">
        <f>ROUND(IF($AX20="x",($G20+$H20)*BA$11,0),0)</f>
        <v>0</v>
      </c>
      <c r="BB20" s="85">
        <f>SUM(AY20:BA20)</f>
        <v>0</v>
      </c>
      <c r="BC20" s="85"/>
      <c r="BD20" s="85"/>
      <c r="BE20" s="85">
        <f t="shared" ref="BE20:BE21" si="61">IF(G20*1%&gt;=234000,234000,G20*1%)</f>
        <v>63400</v>
      </c>
      <c r="BF20" s="85">
        <f t="shared" ref="BF20:BF21" si="62">AM20+IF(E20="CT",IF(AR20&gt;=730000,730000,AR20),0)+IF(((AV20-AM20-IF(AR20&gt;=730000,730000,AR20)-AS20)*15%-AS20)&gt;"0",((AV20-AM20-IF(AR20&gt;=730000,730000,AR20)-AS20)*15%-AS20),0)</f>
        <v>0</v>
      </c>
      <c r="BG20" s="85">
        <f t="shared" ref="BG20:BG21" si="63">AV20-BF20+AW20</f>
        <v>24870000</v>
      </c>
      <c r="BH20" s="85"/>
      <c r="BI20" s="85">
        <v>4400000</v>
      </c>
      <c r="BJ20" s="85">
        <f>IF(E20="CT",11000000,0)</f>
        <v>0</v>
      </c>
      <c r="BK20" s="85">
        <f t="shared" ref="BK20:BK21" si="64">BG20-BB20-BC20+BD20-BH20*BI20-BJ20</f>
        <v>24870000</v>
      </c>
      <c r="BL20" s="84">
        <f t="shared" ref="BL20:BL21" si="65">IF(E20="TV",BK20*10%,IF(BK20&gt;0,ROUND(IF(BK20&gt;=80000000,BK20*35%-9850000,IF(BK20&gt;=52000000,BK20*30%-5850000,IF(BK20&gt;=32000000,BK20*25%-3250000,IF(BK20&gt;=18000000,BK20*20%-1650000,IF(BK20&gt;=10000000,BK20*15%-750000,IF(BK20&gt;5000000,BK20*10%-250000,BK20*5%)))))),0),0))</f>
        <v>2487000</v>
      </c>
      <c r="BM20" s="85"/>
      <c r="BN20" s="85"/>
      <c r="BO20" s="85">
        <v>0</v>
      </c>
      <c r="BP20" s="85"/>
      <c r="BQ20" s="85"/>
      <c r="BR20" s="85"/>
      <c r="BS20" s="85"/>
      <c r="BT20" s="85">
        <f>SUMIFS('Bảng lương tạm ứng kỳ 1'!BT:BT,'Bảng lương CB-NV'!B:B,'Bảng lương tạm ứng kỳ 1'!B20)</f>
        <v>10195307.692307694</v>
      </c>
      <c r="BU20" s="105">
        <f t="shared" ref="BU20:BU21" si="66">AV20-BB20-BC20+BD20-BE20-BL20-BM20-BN20-BO20-BP20-BQ20-BR20+BS20-BT20</f>
        <v>12124292.307692306</v>
      </c>
      <c r="BV20" s="118"/>
      <c r="BW20" s="108">
        <v>23000000</v>
      </c>
      <c r="BX20" s="84">
        <v>0</v>
      </c>
      <c r="BY20" s="84">
        <v>0</v>
      </c>
      <c r="BZ20" s="84">
        <v>200000</v>
      </c>
      <c r="CA20" s="84">
        <f>+BW20*5%</f>
        <v>1150000</v>
      </c>
      <c r="CB20" s="84">
        <f t="shared" ref="CB20:CB21" si="67">SUM(BW20:CA20)</f>
        <v>24350000</v>
      </c>
      <c r="CC20" s="84" t="s">
        <v>115</v>
      </c>
      <c r="CD20" s="84"/>
      <c r="CE20" s="95"/>
      <c r="CF20" s="96"/>
      <c r="CG20" s="96"/>
      <c r="CH20" s="97"/>
      <c r="CI20" s="98"/>
    </row>
    <row r="21" spans="1:87" s="99" customFormat="1" ht="30.6" customHeight="1">
      <c r="A21" s="87">
        <f>IF(B21=0,"",COUNTA($B$15:(B21)))</f>
        <v>7</v>
      </c>
      <c r="B21" s="100" t="s">
        <v>116</v>
      </c>
      <c r="C21" s="89" t="s">
        <v>117</v>
      </c>
      <c r="D21" s="90" t="s">
        <v>118</v>
      </c>
      <c r="E21" s="123" t="s">
        <v>100</v>
      </c>
      <c r="F21" s="124" t="s">
        <v>101</v>
      </c>
      <c r="G21" s="91">
        <v>6340000</v>
      </c>
      <c r="H21" s="91">
        <f>+IF(OR(CC21="ĐT PCCC",CC21="ĐP PCCC"),780000,IF(CC21="AT-VSV",300000,0))</f>
        <v>300000</v>
      </c>
      <c r="I21" s="91">
        <f t="shared" si="13"/>
        <v>11210000</v>
      </c>
      <c r="J21" s="92">
        <v>1</v>
      </c>
      <c r="K21" s="93">
        <v>26</v>
      </c>
      <c r="L21" s="93">
        <v>0</v>
      </c>
      <c r="M21" s="93">
        <v>0</v>
      </c>
      <c r="N21" s="93">
        <v>0</v>
      </c>
      <c r="O21" s="93">
        <v>0</v>
      </c>
      <c r="P21" s="93">
        <v>5</v>
      </c>
      <c r="Q21" s="93">
        <v>2</v>
      </c>
      <c r="R21" s="93">
        <v>0</v>
      </c>
      <c r="S21" s="93">
        <v>0</v>
      </c>
      <c r="T21" s="126"/>
      <c r="U21" s="93">
        <v>0</v>
      </c>
      <c r="V21" s="93">
        <v>0</v>
      </c>
      <c r="W21" s="93">
        <v>0</v>
      </c>
      <c r="X21" s="93">
        <v>0</v>
      </c>
      <c r="Y21" s="91">
        <f>G21*(K21+L21)/26</f>
        <v>6340000</v>
      </c>
      <c r="Z21" s="91">
        <f t="shared" si="51"/>
        <v>0</v>
      </c>
      <c r="AA21" s="91">
        <f t="shared" si="52"/>
        <v>0</v>
      </c>
      <c r="AB21" s="91">
        <f t="shared" si="53"/>
        <v>0</v>
      </c>
      <c r="AC21" s="91">
        <f t="shared" si="54"/>
        <v>1828846.1538461538</v>
      </c>
      <c r="AD21" s="91">
        <f t="shared" si="55"/>
        <v>975384.61538461538</v>
      </c>
      <c r="AE21" s="91">
        <f t="shared" si="56"/>
        <v>0</v>
      </c>
      <c r="AF21" s="91">
        <f>IF(F21="LN",(G21+H21)/26*S21*30%,0)</f>
        <v>0</v>
      </c>
      <c r="AG21" s="91">
        <f t="shared" si="57"/>
        <v>0</v>
      </c>
      <c r="AH21" s="91">
        <f>CB21/26*U21</f>
        <v>0</v>
      </c>
      <c r="AI21" s="91">
        <f t="shared" si="58"/>
        <v>0</v>
      </c>
      <c r="AJ21" s="91"/>
      <c r="AK21" s="91">
        <f>BZ21*L21/26</f>
        <v>0</v>
      </c>
      <c r="AL21" s="91"/>
      <c r="AM21" s="91">
        <f>X21*CD21</f>
        <v>0</v>
      </c>
      <c r="AN21" s="91">
        <f t="shared" si="59"/>
        <v>300000</v>
      </c>
      <c r="AO21" s="91">
        <f>IF(F21="LN",I21*(K21+L21)/26+(H21+I21)*50%*M21/26+MAX($G21*P21/26*150%,P21*$BW21/26)-AC21+MAX($G21*Q21/26*200%,Q21*$BW21/26)-AD21+MAX($G21*R21/26*300%,R21*$BW21/26)-AE21+BW21*S21/26-AF21+AH21-AG21,I21-I21*($CF$3-K21-L21)/26+(H21+I21)*50%*M21/26+BW21*O21/26-AB21+MAX($G21*P21/26*150%,P21*$BW21/26)-AC21+MAX($G21*Q21/26*200%,Q21*$BW21/26)-AD21+MAX($G21*R21/26*300%,R21*$BW21/26)-AE21+BW21*S21/26-AF21+AH21-AG21+(G21-G21*($CF$3-K21-L21)/26-Y21)+(H21-H21*($CF$3-K21-L21)/26-AN21))</f>
        <v>12982692.307692306</v>
      </c>
      <c r="AP21" s="91"/>
      <c r="AQ21" s="91"/>
      <c r="AR21" s="91">
        <v>560000</v>
      </c>
      <c r="AS21" s="91"/>
      <c r="AT21" s="91"/>
      <c r="AU21" s="91"/>
      <c r="AV21" s="94">
        <f t="shared" si="60"/>
        <v>22986923.076923076</v>
      </c>
      <c r="AW21" s="94"/>
      <c r="AX21" s="94" t="str">
        <f>IF(E21="CT","x",0)</f>
        <v>x</v>
      </c>
      <c r="AY21" s="85">
        <f t="shared" si="24"/>
        <v>531200</v>
      </c>
      <c r="AZ21" s="85">
        <f t="shared" si="24"/>
        <v>99600</v>
      </c>
      <c r="BA21" s="85">
        <f>ROUND(IF($AX21="x",($G21+$H21)*BA$11,0),0)</f>
        <v>66400</v>
      </c>
      <c r="BB21" s="85">
        <f t="shared" ref="BB21" si="68">SUM(AY21:BA21)</f>
        <v>697200</v>
      </c>
      <c r="BC21" s="85"/>
      <c r="BD21" s="85"/>
      <c r="BE21" s="85">
        <f t="shared" si="61"/>
        <v>63400</v>
      </c>
      <c r="BF21" s="85">
        <f t="shared" si="62"/>
        <v>560000</v>
      </c>
      <c r="BG21" s="85">
        <f t="shared" si="63"/>
        <v>22426923.076923076</v>
      </c>
      <c r="BH21" s="85"/>
      <c r="BI21" s="85">
        <v>4400000</v>
      </c>
      <c r="BJ21" s="85">
        <f>IF(E21="CT",11000000,0)</f>
        <v>11000000</v>
      </c>
      <c r="BK21" s="85">
        <f t="shared" si="64"/>
        <v>10729723.076923076</v>
      </c>
      <c r="BL21" s="84">
        <f t="shared" si="65"/>
        <v>859458</v>
      </c>
      <c r="BM21" s="85"/>
      <c r="BN21" s="85"/>
      <c r="BO21" s="85">
        <v>0</v>
      </c>
      <c r="BP21" s="85"/>
      <c r="BQ21" s="85"/>
      <c r="BR21" s="85"/>
      <c r="BS21" s="85"/>
      <c r="BT21" s="85">
        <f>SUMIFS('Bảng lương tạm ứng kỳ 1'!BT:BT,'Bảng lương CB-NV'!B:B,'Bảng lương tạm ứng kỳ 1'!B21)</f>
        <v>9977846.153846154</v>
      </c>
      <c r="BU21" s="105">
        <f t="shared" si="66"/>
        <v>11389018.923076922</v>
      </c>
      <c r="BV21" s="118"/>
      <c r="BW21" s="108">
        <v>17000000</v>
      </c>
      <c r="BX21" s="84">
        <v>0</v>
      </c>
      <c r="BY21" s="84">
        <v>0</v>
      </c>
      <c r="BZ21" s="84">
        <v>200000</v>
      </c>
      <c r="CA21" s="84">
        <f>+BW21*5%</f>
        <v>850000</v>
      </c>
      <c r="CB21" s="84">
        <f t="shared" si="67"/>
        <v>18050000</v>
      </c>
      <c r="CC21" s="84" t="s">
        <v>119</v>
      </c>
      <c r="CD21" s="84"/>
      <c r="CE21" s="95"/>
      <c r="CF21" s="96"/>
      <c r="CG21" s="96"/>
      <c r="CH21" s="97"/>
      <c r="CI21" s="98"/>
    </row>
    <row r="22" spans="1:87" s="37" customFormat="1" ht="18.75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L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B22" s="128"/>
      <c r="CC22" s="129"/>
      <c r="CD22" s="129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L23" s="50"/>
      <c r="BN23" s="50"/>
      <c r="BO23" s="50"/>
      <c r="BP23" s="50" t="s">
        <v>120</v>
      </c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  <c r="CD23" s="56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N24" s="50"/>
      <c r="BO24" s="56"/>
      <c r="BV24" s="121"/>
      <c r="BW24" s="58"/>
      <c r="BX24" s="58"/>
      <c r="BY24" s="58"/>
      <c r="BZ24" s="58"/>
      <c r="CA24" s="58"/>
      <c r="CF24" s="57"/>
    </row>
  </sheetData>
  <autoFilter ref="A12:CI21" xr:uid="{00000000-0001-0000-0000-000000000000}"/>
  <dataConsolidate/>
  <mergeCells count="82">
    <mergeCell ref="Q9:Q11"/>
    <mergeCell ref="N9:N11"/>
    <mergeCell ref="O9:O11"/>
    <mergeCell ref="P9:P11"/>
    <mergeCell ref="BH10:BH11"/>
    <mergeCell ref="BK10:BK11"/>
    <mergeCell ref="BD10:BD11"/>
    <mergeCell ref="AK9:AK11"/>
    <mergeCell ref="AI9:AI11"/>
    <mergeCell ref="AS8:AS11"/>
    <mergeCell ref="AT8:AT11"/>
    <mergeCell ref="AU8:AU11"/>
    <mergeCell ref="AP8:AP11"/>
    <mergeCell ref="AQ8:AQ11"/>
    <mergeCell ref="AR8:AR11"/>
    <mergeCell ref="AV8:AV11"/>
    <mergeCell ref="AY8:BQ8"/>
    <mergeCell ref="AW8:AW11"/>
    <mergeCell ref="A3:BU3"/>
    <mergeCell ref="BJ10:BJ11"/>
    <mergeCell ref="AN9:AN11"/>
    <mergeCell ref="T9:T11"/>
    <mergeCell ref="S9:S11"/>
    <mergeCell ref="U9:U11"/>
    <mergeCell ref="AB9:AB11"/>
    <mergeCell ref="AE9:AE11"/>
    <mergeCell ref="AL9:AL11"/>
    <mergeCell ref="AM9:AM11"/>
    <mergeCell ref="AG9:AG11"/>
    <mergeCell ref="AH9:AH11"/>
    <mergeCell ref="BS9:BS11"/>
    <mergeCell ref="BO10:BO11"/>
    <mergeCell ref="BP10:BP11"/>
    <mergeCell ref="E8:E11"/>
    <mergeCell ref="BW3:CB6"/>
    <mergeCell ref="A8:A11"/>
    <mergeCell ref="B8:B11"/>
    <mergeCell ref="C8:C11"/>
    <mergeCell ref="D8:D11"/>
    <mergeCell ref="F8:F11"/>
    <mergeCell ref="G8:G11"/>
    <mergeCell ref="J8:J11"/>
    <mergeCell ref="BL10:BL11"/>
    <mergeCell ref="AY9:BL9"/>
    <mergeCell ref="BM9:BQ9"/>
    <mergeCell ref="K9:K11"/>
    <mergeCell ref="R9:R11"/>
    <mergeCell ref="BN10:BN11"/>
    <mergeCell ref="BQ10:BQ11"/>
    <mergeCell ref="BI10:BI11"/>
    <mergeCell ref="H8:H11"/>
    <mergeCell ref="I8:I11"/>
    <mergeCell ref="K8:X8"/>
    <mergeCell ref="Y8:AO8"/>
    <mergeCell ref="X9:X11"/>
    <mergeCell ref="Z9:Z11"/>
    <mergeCell ref="Y9:Y11"/>
    <mergeCell ref="AC9:AC11"/>
    <mergeCell ref="AD9:AD11"/>
    <mergeCell ref="AF9:AF11"/>
    <mergeCell ref="V9:W10"/>
    <mergeCell ref="L9:L11"/>
    <mergeCell ref="AA9:AA11"/>
    <mergeCell ref="AO9:AO11"/>
    <mergeCell ref="AJ9:AJ11"/>
    <mergeCell ref="M9:M11"/>
    <mergeCell ref="CD8:CD11"/>
    <mergeCell ref="AX8:AX11"/>
    <mergeCell ref="BF10:BF11"/>
    <mergeCell ref="BG10:BG11"/>
    <mergeCell ref="BW8:BW11"/>
    <mergeCell ref="BX8:CA10"/>
    <mergeCell ref="CB8:CB11"/>
    <mergeCell ref="CC8:CC11"/>
    <mergeCell ref="BT8:BT11"/>
    <mergeCell ref="BU8:BU11"/>
    <mergeCell ref="BB10:BB11"/>
    <mergeCell ref="BC10:BC11"/>
    <mergeCell ref="BE10:BE11"/>
    <mergeCell ref="BM10:BM11"/>
    <mergeCell ref="BR8:BS8"/>
    <mergeCell ref="BR9:BR11"/>
  </mergeCells>
  <conditionalFormatting sqref="B1:B12 C12:BU12 B15:B1048576">
    <cfRule type="duplicateValues" dxfId="23" priority="36"/>
  </conditionalFormatting>
  <conditionalFormatting sqref="BL13">
    <cfRule type="duplicateValues" dxfId="22" priority="2"/>
  </conditionalFormatting>
  <conditionalFormatting sqref="B1:B12 C12:BU12 B15:B1048576">
    <cfRule type="duplicateValues" dxfId="21" priority="74"/>
  </conditionalFormatting>
  <conditionalFormatting sqref="B1:B12 D13:F13 J13:BK13 BM13:CD13 C12:CD12 B15:B1048576">
    <cfRule type="duplicateValues" dxfId="20" priority="79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FE99-6253-41F8-B5C4-EB61855DCF71}">
  <sheetPr>
    <tabColor rgb="FF92D050"/>
  </sheetPr>
  <dimension ref="A1:CI24"/>
  <sheetViews>
    <sheetView tabSelected="1" zoomScale="85" zoomScaleNormal="85" zoomScaleSheetLayoutView="70" workbookViewId="0">
      <selection activeCell="CF4" sqref="CF4"/>
    </sheetView>
  </sheetViews>
  <sheetFormatPr defaultColWidth="20.7109375" defaultRowHeight="15" outlineLevelRow="1" outlineLevelCol="1"/>
  <cols>
    <col min="1" max="1" width="20.7109375" style="178"/>
    <col min="2" max="2" width="20.7109375" style="179"/>
    <col min="3" max="3" width="20.7109375" style="180"/>
    <col min="4" max="5" width="20.7109375" style="181" outlineLevel="1"/>
    <col min="6" max="6" width="20.7109375" style="182" outlineLevel="1"/>
    <col min="7" max="8" width="20.7109375" style="183"/>
    <col min="9" max="9" width="20.7109375" style="184"/>
    <col min="10" max="10" width="20.7109375" style="184" outlineLevel="1"/>
    <col min="11" max="24" width="20.7109375" style="185"/>
    <col min="25" max="50" width="20.7109375" style="186"/>
    <col min="51" max="53" width="20.7109375" style="186" outlineLevel="1"/>
    <col min="54" max="73" width="20.7109375" style="186"/>
    <col min="75" max="79" width="20.7109375" style="183" outlineLevel="1"/>
    <col min="80" max="82" width="20.7109375" style="187" outlineLevel="1"/>
    <col min="83" max="16384" width="20.7109375" style="188"/>
  </cols>
  <sheetData>
    <row r="1" spans="1:87" s="132" customFormat="1" outlineLevel="1">
      <c r="A1" s="130" t="s">
        <v>0</v>
      </c>
      <c r="B1" s="131"/>
      <c r="C1" s="130"/>
      <c r="D1" s="8"/>
      <c r="E1" s="8"/>
      <c r="F1" s="8"/>
      <c r="I1" s="133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V1"/>
      <c r="BW1" s="8"/>
      <c r="BX1" s="8"/>
      <c r="BY1" s="8"/>
      <c r="BZ1" s="8"/>
      <c r="CA1" s="8"/>
      <c r="CB1" s="135"/>
      <c r="CC1" s="135"/>
      <c r="CD1" s="135"/>
    </row>
    <row r="2" spans="1:87" s="132" customFormat="1" outlineLevel="1">
      <c r="A2" s="136" t="s">
        <v>1</v>
      </c>
      <c r="B2" s="131"/>
      <c r="C2" s="137"/>
      <c r="D2" s="8"/>
      <c r="E2" s="8"/>
      <c r="F2" s="8"/>
      <c r="I2" s="133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/>
      <c r="BW2" s="8"/>
      <c r="BX2" s="8"/>
      <c r="BY2" s="8"/>
      <c r="BZ2" s="8"/>
      <c r="CA2" s="8"/>
      <c r="CB2" s="137"/>
      <c r="CC2" s="137"/>
      <c r="CD2" s="137"/>
    </row>
    <row r="3" spans="1:87" s="139" customFormat="1" outlineLevel="1">
      <c r="A3" s="333" t="str">
        <f ca="1">"BẢNG THANH TOÁN TIỀN LƯƠNG THÁNG …."&amp;" NĂM "&amp;YEAR(NOW())</f>
        <v>BẢNG THANH TOÁN TIỀN LƯƠNG THÁNG …. NĂM 2026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3"/>
      <c r="AG3" s="333"/>
      <c r="AH3" s="333"/>
      <c r="AI3" s="333"/>
      <c r="AJ3" s="333"/>
      <c r="AK3" s="333"/>
      <c r="AL3" s="333"/>
      <c r="AM3" s="333"/>
      <c r="AN3" s="333"/>
      <c r="AO3" s="333"/>
      <c r="AP3" s="333"/>
      <c r="AQ3" s="333"/>
      <c r="AR3" s="333"/>
      <c r="AS3" s="333"/>
      <c r="AT3" s="333"/>
      <c r="AU3" s="333"/>
      <c r="AV3" s="333"/>
      <c r="AW3" s="333"/>
      <c r="AX3" s="333"/>
      <c r="AY3" s="333"/>
      <c r="AZ3" s="333"/>
      <c r="BA3" s="333"/>
      <c r="BB3" s="333"/>
      <c r="BC3" s="333"/>
      <c r="BD3" s="333"/>
      <c r="BE3" s="333"/>
      <c r="BF3" s="333"/>
      <c r="BG3" s="333"/>
      <c r="BH3" s="333"/>
      <c r="BI3" s="333"/>
      <c r="BJ3" s="333"/>
      <c r="BK3" s="333"/>
      <c r="BL3" s="333"/>
      <c r="BM3" s="333"/>
      <c r="BN3" s="333"/>
      <c r="BO3" s="333"/>
      <c r="BP3" s="333"/>
      <c r="BQ3" s="333"/>
      <c r="BR3" s="333"/>
      <c r="BS3" s="333"/>
      <c r="BT3" s="333"/>
      <c r="BU3" s="333"/>
      <c r="BV3"/>
      <c r="BW3" s="334" t="s">
        <v>2</v>
      </c>
      <c r="BX3" s="334"/>
      <c r="BY3" s="334"/>
      <c r="BZ3" s="334"/>
      <c r="CA3" s="334"/>
      <c r="CB3" s="333"/>
      <c r="CC3" s="138"/>
      <c r="CD3" s="138"/>
      <c r="CE3" s="139" t="s">
        <v>3</v>
      </c>
      <c r="CF3" s="139">
        <v>26</v>
      </c>
    </row>
    <row r="4" spans="1:87" s="139" customFormat="1" outlineLevel="1">
      <c r="A4" s="140"/>
      <c r="B4" s="140"/>
      <c r="C4" s="140"/>
      <c r="D4" s="140"/>
      <c r="E4" s="140"/>
      <c r="F4" s="140"/>
      <c r="G4" s="140"/>
      <c r="H4" s="140"/>
      <c r="I4" s="133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/>
      <c r="BW4" s="333"/>
      <c r="BX4" s="333"/>
      <c r="BY4" s="333"/>
      <c r="BZ4" s="333"/>
      <c r="CA4" s="333"/>
      <c r="CB4" s="333"/>
      <c r="CC4" s="138"/>
      <c r="CD4" s="138"/>
    </row>
    <row r="5" spans="1:87" s="141" customFormat="1">
      <c r="A5" s="299" t="s">
        <v>4</v>
      </c>
      <c r="B5" s="302" t="s">
        <v>5</v>
      </c>
      <c r="C5" s="245" t="s">
        <v>6</v>
      </c>
      <c r="D5" s="305" t="s">
        <v>7</v>
      </c>
      <c r="E5" s="305" t="s">
        <v>8</v>
      </c>
      <c r="F5" s="245" t="s">
        <v>9</v>
      </c>
      <c r="G5" s="245" t="s">
        <v>10</v>
      </c>
      <c r="H5" s="323" t="s">
        <v>11</v>
      </c>
      <c r="I5" s="323" t="s">
        <v>12</v>
      </c>
      <c r="J5" s="245" t="s">
        <v>13</v>
      </c>
      <c r="K5" s="335" t="s">
        <v>14</v>
      </c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7" t="s">
        <v>15</v>
      </c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9"/>
      <c r="AP5" s="245" t="s">
        <v>16</v>
      </c>
      <c r="AQ5" s="245" t="s">
        <v>17</v>
      </c>
      <c r="AR5" s="245" t="s">
        <v>18</v>
      </c>
      <c r="AS5" s="245" t="s">
        <v>19</v>
      </c>
      <c r="AT5" s="245" t="s">
        <v>20</v>
      </c>
      <c r="AU5" s="245" t="s">
        <v>21</v>
      </c>
      <c r="AV5" s="245" t="s">
        <v>22</v>
      </c>
      <c r="AW5" s="245" t="s">
        <v>23</v>
      </c>
      <c r="AX5" s="245" t="s">
        <v>24</v>
      </c>
      <c r="AY5" s="313" t="s">
        <v>25</v>
      </c>
      <c r="AZ5" s="314"/>
      <c r="BA5" s="314"/>
      <c r="BB5" s="314"/>
      <c r="BC5" s="314"/>
      <c r="BD5" s="314"/>
      <c r="BE5" s="314"/>
      <c r="BF5" s="314"/>
      <c r="BG5" s="314"/>
      <c r="BH5" s="314"/>
      <c r="BI5" s="314"/>
      <c r="BJ5" s="314"/>
      <c r="BK5" s="314"/>
      <c r="BL5" s="314"/>
      <c r="BM5" s="314"/>
      <c r="BN5" s="314"/>
      <c r="BO5" s="314"/>
      <c r="BP5" s="314"/>
      <c r="BQ5" s="315"/>
      <c r="BR5" s="268" t="s">
        <v>26</v>
      </c>
      <c r="BS5" s="275"/>
      <c r="BT5" s="265" t="s">
        <v>27</v>
      </c>
      <c r="BU5" s="268" t="s">
        <v>28</v>
      </c>
      <c r="BV5"/>
      <c r="BW5" s="250" t="s">
        <v>29</v>
      </c>
      <c r="BX5" s="253" t="s">
        <v>30</v>
      </c>
      <c r="BY5" s="254"/>
      <c r="BZ5" s="254"/>
      <c r="CA5" s="255"/>
      <c r="CB5" s="262" t="s">
        <v>31</v>
      </c>
      <c r="CC5" s="242" t="s">
        <v>32</v>
      </c>
      <c r="CD5" s="242" t="s">
        <v>33</v>
      </c>
      <c r="CH5" s="142"/>
      <c r="CI5" s="143"/>
    </row>
    <row r="6" spans="1:87" s="141" customFormat="1">
      <c r="A6" s="300"/>
      <c r="B6" s="303"/>
      <c r="C6" s="246"/>
      <c r="D6" s="306"/>
      <c r="E6" s="306"/>
      <c r="F6" s="246"/>
      <c r="G6" s="246"/>
      <c r="H6" s="324"/>
      <c r="I6" s="324"/>
      <c r="J6" s="246"/>
      <c r="K6" s="326" t="s">
        <v>34</v>
      </c>
      <c r="L6" s="326" t="s">
        <v>35</v>
      </c>
      <c r="M6" s="326" t="s">
        <v>36</v>
      </c>
      <c r="N6" s="326" t="s">
        <v>37</v>
      </c>
      <c r="O6" s="326" t="s">
        <v>38</v>
      </c>
      <c r="P6" s="326" t="s">
        <v>39</v>
      </c>
      <c r="Q6" s="326" t="s">
        <v>40</v>
      </c>
      <c r="R6" s="326" t="s">
        <v>41</v>
      </c>
      <c r="S6" s="326" t="s">
        <v>42</v>
      </c>
      <c r="T6" s="326" t="s">
        <v>43</v>
      </c>
      <c r="U6" s="326" t="s">
        <v>44</v>
      </c>
      <c r="V6" s="329" t="s">
        <v>45</v>
      </c>
      <c r="W6" s="330"/>
      <c r="X6" s="326" t="s">
        <v>46</v>
      </c>
      <c r="Y6" s="245" t="s">
        <v>47</v>
      </c>
      <c r="Z6" s="245" t="s">
        <v>48</v>
      </c>
      <c r="AA6" s="245" t="s">
        <v>49</v>
      </c>
      <c r="AB6" s="245" t="s">
        <v>50</v>
      </c>
      <c r="AC6" s="323" t="s">
        <v>51</v>
      </c>
      <c r="AD6" s="323" t="s">
        <v>52</v>
      </c>
      <c r="AE6" s="323" t="s">
        <v>53</v>
      </c>
      <c r="AF6" s="323" t="s">
        <v>54</v>
      </c>
      <c r="AG6" s="245" t="s">
        <v>55</v>
      </c>
      <c r="AH6" s="323" t="s">
        <v>56</v>
      </c>
      <c r="AI6" s="323" t="s">
        <v>57</v>
      </c>
      <c r="AJ6" s="245" t="s">
        <v>58</v>
      </c>
      <c r="AK6" s="320" t="s">
        <v>59</v>
      </c>
      <c r="AL6" s="245" t="s">
        <v>60</v>
      </c>
      <c r="AM6" s="245" t="s">
        <v>61</v>
      </c>
      <c r="AN6" s="317" t="s">
        <v>62</v>
      </c>
      <c r="AO6" s="245" t="s">
        <v>63</v>
      </c>
      <c r="AP6" s="246"/>
      <c r="AQ6" s="246"/>
      <c r="AR6" s="246"/>
      <c r="AS6" s="246"/>
      <c r="AT6" s="246"/>
      <c r="AU6" s="246"/>
      <c r="AV6" s="246"/>
      <c r="AW6" s="246"/>
      <c r="AX6" s="246"/>
      <c r="AY6" s="313" t="s">
        <v>64</v>
      </c>
      <c r="AZ6" s="314"/>
      <c r="BA6" s="314"/>
      <c r="BB6" s="314"/>
      <c r="BC6" s="314"/>
      <c r="BD6" s="314"/>
      <c r="BE6" s="314"/>
      <c r="BF6" s="314"/>
      <c r="BG6" s="314"/>
      <c r="BH6" s="314"/>
      <c r="BI6" s="314"/>
      <c r="BJ6" s="314"/>
      <c r="BK6" s="314"/>
      <c r="BL6" s="315"/>
      <c r="BM6" s="313" t="s">
        <v>65</v>
      </c>
      <c r="BN6" s="314"/>
      <c r="BO6" s="314"/>
      <c r="BP6" s="314"/>
      <c r="BQ6" s="315"/>
      <c r="BR6" s="266" t="s">
        <v>66</v>
      </c>
      <c r="BS6" s="266" t="s">
        <v>67</v>
      </c>
      <c r="BT6" s="266"/>
      <c r="BU6" s="269"/>
      <c r="BV6"/>
      <c r="BW6" s="251"/>
      <c r="BX6" s="256"/>
      <c r="BY6" s="257"/>
      <c r="BZ6" s="257"/>
      <c r="CA6" s="258"/>
      <c r="CB6" s="263"/>
      <c r="CC6" s="243"/>
      <c r="CD6" s="243"/>
      <c r="CH6" s="142"/>
      <c r="CI6" s="143"/>
    </row>
    <row r="7" spans="1:87" s="144" customFormat="1">
      <c r="A7" s="300"/>
      <c r="B7" s="303"/>
      <c r="C7" s="246"/>
      <c r="D7" s="306"/>
      <c r="E7" s="306"/>
      <c r="F7" s="246"/>
      <c r="G7" s="246"/>
      <c r="H7" s="324"/>
      <c r="I7" s="324"/>
      <c r="J7" s="246"/>
      <c r="K7" s="327"/>
      <c r="L7" s="327"/>
      <c r="M7" s="327"/>
      <c r="N7" s="327"/>
      <c r="O7" s="327"/>
      <c r="P7" s="327"/>
      <c r="Q7" s="327"/>
      <c r="R7" s="327"/>
      <c r="S7" s="327"/>
      <c r="T7" s="327"/>
      <c r="U7" s="327"/>
      <c r="V7" s="331"/>
      <c r="W7" s="332"/>
      <c r="X7" s="327"/>
      <c r="Y7" s="246"/>
      <c r="Z7" s="246"/>
      <c r="AA7" s="246"/>
      <c r="AB7" s="246"/>
      <c r="AC7" s="324"/>
      <c r="AD7" s="324"/>
      <c r="AE7" s="324"/>
      <c r="AF7" s="324"/>
      <c r="AG7" s="246"/>
      <c r="AH7" s="324"/>
      <c r="AI7" s="324"/>
      <c r="AJ7" s="246"/>
      <c r="AK7" s="321"/>
      <c r="AL7" s="246"/>
      <c r="AM7" s="246"/>
      <c r="AN7" s="318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101" t="s">
        <v>68</v>
      </c>
      <c r="AZ7" s="101" t="s">
        <v>69</v>
      </c>
      <c r="BA7" s="101" t="s">
        <v>70</v>
      </c>
      <c r="BB7" s="265" t="s">
        <v>71</v>
      </c>
      <c r="BC7" s="248" t="s">
        <v>72</v>
      </c>
      <c r="BD7" s="248" t="s">
        <v>73</v>
      </c>
      <c r="BE7" s="273" t="s">
        <v>74</v>
      </c>
      <c r="BF7" s="248" t="s">
        <v>75</v>
      </c>
      <c r="BG7" s="248" t="s">
        <v>76</v>
      </c>
      <c r="BH7" s="248" t="s">
        <v>77</v>
      </c>
      <c r="BI7" s="248" t="s">
        <v>78</v>
      </c>
      <c r="BJ7" s="248" t="s">
        <v>79</v>
      </c>
      <c r="BK7" s="248" t="s">
        <v>80</v>
      </c>
      <c r="BL7" s="311" t="s">
        <v>81</v>
      </c>
      <c r="BM7" s="248" t="s">
        <v>82</v>
      </c>
      <c r="BN7" s="265" t="s">
        <v>83</v>
      </c>
      <c r="BO7" s="248" t="s">
        <v>84</v>
      </c>
      <c r="BP7" s="265" t="s">
        <v>85</v>
      </c>
      <c r="BQ7" s="265" t="s">
        <v>86</v>
      </c>
      <c r="BR7" s="266"/>
      <c r="BS7" s="266"/>
      <c r="BT7" s="266"/>
      <c r="BU7" s="269"/>
      <c r="BV7"/>
      <c r="BW7" s="252"/>
      <c r="BX7" s="259"/>
      <c r="BY7" s="260"/>
      <c r="BZ7" s="260"/>
      <c r="CA7" s="261"/>
      <c r="CB7" s="264"/>
      <c r="CC7" s="244"/>
      <c r="CD7" s="244"/>
      <c r="CH7" s="142"/>
      <c r="CI7" s="143"/>
    </row>
    <row r="8" spans="1:87" s="144" customFormat="1">
      <c r="A8" s="301"/>
      <c r="B8" s="304"/>
      <c r="C8" s="247"/>
      <c r="D8" s="307"/>
      <c r="E8" s="307"/>
      <c r="F8" s="247"/>
      <c r="G8" s="247"/>
      <c r="H8" s="325"/>
      <c r="I8" s="325"/>
      <c r="J8" s="247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145" t="s">
        <v>87</v>
      </c>
      <c r="W8" s="145" t="s">
        <v>88</v>
      </c>
      <c r="X8" s="328"/>
      <c r="Y8" s="247"/>
      <c r="Z8" s="247"/>
      <c r="AA8" s="247"/>
      <c r="AB8" s="247"/>
      <c r="AC8" s="325"/>
      <c r="AD8" s="325"/>
      <c r="AE8" s="325"/>
      <c r="AF8" s="325"/>
      <c r="AG8" s="247"/>
      <c r="AH8" s="325"/>
      <c r="AI8" s="325"/>
      <c r="AJ8" s="247"/>
      <c r="AK8" s="322"/>
      <c r="AL8" s="247"/>
      <c r="AM8" s="247"/>
      <c r="AN8" s="319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102" t="s">
        <v>89</v>
      </c>
      <c r="AZ8" s="102" t="s">
        <v>90</v>
      </c>
      <c r="BA8" s="102" t="s">
        <v>91</v>
      </c>
      <c r="BB8" s="267"/>
      <c r="BC8" s="249"/>
      <c r="BD8" s="249"/>
      <c r="BE8" s="274"/>
      <c r="BF8" s="249"/>
      <c r="BG8" s="249"/>
      <c r="BH8" s="249"/>
      <c r="BI8" s="249"/>
      <c r="BJ8" s="249"/>
      <c r="BK8" s="249"/>
      <c r="BL8" s="312"/>
      <c r="BM8" s="249"/>
      <c r="BN8" s="267"/>
      <c r="BO8" s="249"/>
      <c r="BP8" s="267"/>
      <c r="BQ8" s="267"/>
      <c r="BR8" s="267"/>
      <c r="BS8" s="267"/>
      <c r="BT8" s="267"/>
      <c r="BU8" s="270"/>
      <c r="BV8"/>
      <c r="BW8" s="252"/>
      <c r="BX8" s="72" t="s">
        <v>92</v>
      </c>
      <c r="BY8" s="72" t="s">
        <v>93</v>
      </c>
      <c r="BZ8" s="72" t="s">
        <v>94</v>
      </c>
      <c r="CA8" s="73" t="s">
        <v>95</v>
      </c>
      <c r="CB8" s="264"/>
      <c r="CC8" s="244"/>
      <c r="CD8" s="244"/>
      <c r="CE8" s="141"/>
      <c r="CF8" s="146"/>
      <c r="CH8" s="142"/>
      <c r="CI8" s="143"/>
    </row>
    <row r="9" spans="1:87" s="147" customFormat="1">
      <c r="A9" s="32">
        <v>1</v>
      </c>
      <c r="B9" s="33">
        <f>A9+1</f>
        <v>2</v>
      </c>
      <c r="C9" s="33">
        <f t="shared" ref="C9:BN9" si="0">B9+1</f>
        <v>3</v>
      </c>
      <c r="D9" s="33">
        <f t="shared" si="0"/>
        <v>4</v>
      </c>
      <c r="E9" s="33"/>
      <c r="F9" s="33">
        <f>D9+1</f>
        <v>5</v>
      </c>
      <c r="G9" s="33">
        <f t="shared" si="0"/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si="0"/>
        <v>49</v>
      </c>
      <c r="BA9" s="33">
        <f t="shared" si="0"/>
        <v>50</v>
      </c>
      <c r="BB9" s="33">
        <f t="shared" si="0"/>
        <v>51</v>
      </c>
      <c r="BC9" s="33">
        <f t="shared" si="0"/>
        <v>52</v>
      </c>
      <c r="BD9" s="33">
        <f t="shared" si="0"/>
        <v>53</v>
      </c>
      <c r="BE9" s="33">
        <f t="shared" si="0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si="0"/>
        <v>56</v>
      </c>
      <c r="BN9" s="33">
        <f t="shared" si="0"/>
        <v>57</v>
      </c>
      <c r="BO9" s="33">
        <f t="shared" ref="BO9:BU9" si="1">BN9+1</f>
        <v>58</v>
      </c>
      <c r="BP9" s="33">
        <f t="shared" si="1"/>
        <v>59</v>
      </c>
      <c r="BQ9" s="33">
        <f t="shared" si="1"/>
        <v>60</v>
      </c>
      <c r="BR9" s="33">
        <f t="shared" si="1"/>
        <v>61</v>
      </c>
      <c r="BS9" s="33">
        <f t="shared" si="1"/>
        <v>62</v>
      </c>
      <c r="BT9" s="33">
        <f t="shared" si="1"/>
        <v>63</v>
      </c>
      <c r="BU9" s="33">
        <f t="shared" si="1"/>
        <v>64</v>
      </c>
      <c r="BV9"/>
      <c r="BW9" s="106" t="s">
        <v>96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44"/>
      <c r="CH9" s="142"/>
      <c r="CI9" s="143"/>
    </row>
    <row r="10" spans="1:87" s="148" customFormat="1">
      <c r="A10" s="79" t="s">
        <v>97</v>
      </c>
      <c r="B10" s="79" t="s">
        <v>97</v>
      </c>
      <c r="C10" s="79" t="s">
        <v>97</v>
      </c>
      <c r="D10" s="33"/>
      <c r="E10" s="33"/>
      <c r="F10" s="33"/>
      <c r="G10" s="79" t="s">
        <v>97</v>
      </c>
      <c r="H10" s="79" t="s">
        <v>97</v>
      </c>
      <c r="I10" s="79" t="s">
        <v>97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V10"/>
      <c r="BW10" s="107"/>
      <c r="BX10" s="76"/>
      <c r="BY10" s="76"/>
      <c r="BZ10" s="76"/>
      <c r="CA10" s="76"/>
      <c r="CB10" s="76"/>
      <c r="CC10" s="76"/>
      <c r="CD10" s="76"/>
      <c r="CG10" s="149"/>
      <c r="CH10" s="142"/>
      <c r="CI10" s="143"/>
    </row>
    <row r="11" spans="1:87" s="158" customFormat="1">
      <c r="A11" s="150"/>
      <c r="B11" s="151"/>
      <c r="C11" s="151"/>
      <c r="D11" s="152"/>
      <c r="E11" s="152"/>
      <c r="F11" s="152"/>
      <c r="G11" s="151">
        <f>SUM(G12:G14)</f>
        <v>23500000</v>
      </c>
      <c r="H11" s="151">
        <f t="shared" ref="H11:I11" si="3">SUM(H12:H14)</f>
        <v>1860000</v>
      </c>
      <c r="I11" s="151">
        <f t="shared" si="3"/>
        <v>76640000</v>
      </c>
      <c r="J11" s="151"/>
      <c r="K11" s="153">
        <f t="shared" ref="K11:BU11" si="4">SUM(K12:K14)</f>
        <v>81</v>
      </c>
      <c r="L11" s="153"/>
      <c r="M11" s="153"/>
      <c r="N11" s="153"/>
      <c r="O11" s="153"/>
      <c r="P11" s="153"/>
      <c r="Q11" s="153"/>
      <c r="R11" s="153">
        <f>SUM(R12:R14)</f>
        <v>0</v>
      </c>
      <c r="S11" s="153">
        <f t="shared" si="4"/>
        <v>0</v>
      </c>
      <c r="T11" s="154"/>
      <c r="U11" s="153">
        <f t="shared" si="4"/>
        <v>0</v>
      </c>
      <c r="V11" s="153">
        <f t="shared" si="4"/>
        <v>0</v>
      </c>
      <c r="W11" s="153">
        <f t="shared" si="4"/>
        <v>0</v>
      </c>
      <c r="X11" s="153">
        <f t="shared" si="4"/>
        <v>0</v>
      </c>
      <c r="Y11" s="151">
        <f t="shared" si="4"/>
        <v>24403846.153846152</v>
      </c>
      <c r="Z11" s="151"/>
      <c r="AA11" s="151"/>
      <c r="AB11" s="151"/>
      <c r="AC11" s="151">
        <f t="shared" si="4"/>
        <v>0</v>
      </c>
      <c r="AD11" s="151">
        <f t="shared" si="4"/>
        <v>0</v>
      </c>
      <c r="AE11" s="151"/>
      <c r="AF11" s="151">
        <f t="shared" si="4"/>
        <v>0</v>
      </c>
      <c r="AG11" s="151">
        <f t="shared" si="4"/>
        <v>0</v>
      </c>
      <c r="AH11" s="151">
        <f>SUM(AH12:AH14)</f>
        <v>0</v>
      </c>
      <c r="AI11" s="151">
        <f t="shared" si="4"/>
        <v>0</v>
      </c>
      <c r="AJ11" s="151">
        <f t="shared" si="4"/>
        <v>0</v>
      </c>
      <c r="AK11" s="151">
        <f t="shared" si="4"/>
        <v>0</v>
      </c>
      <c r="AL11" s="151">
        <f t="shared" si="4"/>
        <v>0</v>
      </c>
      <c r="AM11" s="151">
        <f t="shared" si="4"/>
        <v>0</v>
      </c>
      <c r="AN11" s="151">
        <f t="shared" si="4"/>
        <v>1620000</v>
      </c>
      <c r="AO11" s="151">
        <f t="shared" si="4"/>
        <v>79899230.769230768</v>
      </c>
      <c r="AP11" s="151"/>
      <c r="AQ11" s="151"/>
      <c r="AR11" s="151"/>
      <c r="AS11" s="151"/>
      <c r="AT11" s="151"/>
      <c r="AU11" s="151"/>
      <c r="AV11" s="151">
        <f t="shared" si="4"/>
        <v>107483076.92307693</v>
      </c>
      <c r="AW11" s="151"/>
      <c r="AX11" s="151"/>
      <c r="AY11" s="151">
        <f t="shared" si="4"/>
        <v>1204800</v>
      </c>
      <c r="AZ11" s="151">
        <f>SUM(AZ12:AZ14)</f>
        <v>225900</v>
      </c>
      <c r="BA11" s="151">
        <f t="shared" si="4"/>
        <v>150600</v>
      </c>
      <c r="BB11" s="151">
        <f t="shared" si="4"/>
        <v>1581300</v>
      </c>
      <c r="BC11" s="151">
        <f t="shared" si="4"/>
        <v>0</v>
      </c>
      <c r="BD11" s="151"/>
      <c r="BE11" s="151">
        <f t="shared" si="4"/>
        <v>235000</v>
      </c>
      <c r="BF11" s="151"/>
      <c r="BG11" s="151"/>
      <c r="BH11" s="151"/>
      <c r="BI11" s="151"/>
      <c r="BJ11" s="151"/>
      <c r="BK11" s="151"/>
      <c r="BL11" s="151">
        <f t="shared" si="4"/>
        <v>6662827.230769231</v>
      </c>
      <c r="BM11" s="151">
        <f t="shared" si="4"/>
        <v>0</v>
      </c>
      <c r="BN11" s="151">
        <f t="shared" si="4"/>
        <v>0</v>
      </c>
      <c r="BO11" s="151">
        <f t="shared" si="4"/>
        <v>0</v>
      </c>
      <c r="BP11" s="151">
        <f t="shared" si="4"/>
        <v>0</v>
      </c>
      <c r="BQ11" s="151">
        <f t="shared" si="4"/>
        <v>0</v>
      </c>
      <c r="BR11" s="151"/>
      <c r="BS11" s="151"/>
      <c r="BT11" s="151">
        <f t="shared" si="4"/>
        <v>0</v>
      </c>
      <c r="BU11" s="155">
        <f t="shared" si="4"/>
        <v>99003949.692307696</v>
      </c>
      <c r="BV11"/>
      <c r="BW11" s="156"/>
      <c r="BX11" s="157"/>
      <c r="BY11" s="157"/>
      <c r="BZ11" s="157"/>
      <c r="CA11" s="157"/>
      <c r="CB11" s="157"/>
      <c r="CC11" s="157"/>
      <c r="CD11" s="157"/>
    </row>
    <row r="12" spans="1:87" s="176" customFormat="1">
      <c r="A12" s="159">
        <f>IF(B12=0,"",COUNTA($B$12:(B12)))</f>
        <v>1</v>
      </c>
      <c r="B12" s="160">
        <v>123456</v>
      </c>
      <c r="C12" s="161" t="s">
        <v>121</v>
      </c>
      <c r="D12" s="162" t="s">
        <v>122</v>
      </c>
      <c r="E12" s="163" t="s">
        <v>114</v>
      </c>
      <c r="F12" s="164" t="s">
        <v>101</v>
      </c>
      <c r="G12" s="165">
        <v>9520000</v>
      </c>
      <c r="H12" s="165">
        <f>+IF(OR(CC12="ĐT PCCC",CC12="ĐP PCCC"),780000,IF(CC12="AT-VSV",300000,0))</f>
        <v>780000</v>
      </c>
      <c r="I12" s="165">
        <f>CB12-BZ12-G12-H12</f>
        <v>49700000</v>
      </c>
      <c r="J12" s="166">
        <v>1</v>
      </c>
      <c r="K12" s="167">
        <v>27</v>
      </c>
      <c r="L12" s="167"/>
      <c r="M12" s="167"/>
      <c r="N12" s="167"/>
      <c r="O12" s="167"/>
      <c r="P12" s="167"/>
      <c r="Q12" s="167"/>
      <c r="R12" s="167">
        <v>0</v>
      </c>
      <c r="S12" s="167">
        <v>0</v>
      </c>
      <c r="T12" s="168"/>
      <c r="U12" s="167">
        <v>0</v>
      </c>
      <c r="V12" s="167">
        <v>0</v>
      </c>
      <c r="W12" s="167">
        <v>0</v>
      </c>
      <c r="X12" s="167">
        <v>0</v>
      </c>
      <c r="Y12" s="165">
        <f>G12*(K12+L12)/26</f>
        <v>9886153.846153846</v>
      </c>
      <c r="Z12" s="165">
        <f>M12*G12/26</f>
        <v>0</v>
      </c>
      <c r="AA12" s="165">
        <f>G12*N12/26</f>
        <v>0</v>
      </c>
      <c r="AB12" s="165">
        <f>G12*O12/26</f>
        <v>0</v>
      </c>
      <c r="AC12" s="165">
        <f>G12*P12*150%/26</f>
        <v>0</v>
      </c>
      <c r="AD12" s="165">
        <f>G12*Q12/26*200%</f>
        <v>0</v>
      </c>
      <c r="AE12" s="165">
        <f>G12*R12/26*300%</f>
        <v>0</v>
      </c>
      <c r="AF12" s="165">
        <f>ROUND((G12+H12)/26*S12*30%,0)</f>
        <v>0</v>
      </c>
      <c r="AG12" s="165">
        <f>T12*G12/26/8</f>
        <v>0</v>
      </c>
      <c r="AH12" s="165">
        <f>CB12/26*U12</f>
        <v>0</v>
      </c>
      <c r="AI12" s="165">
        <f>G12*V12/26</f>
        <v>0</v>
      </c>
      <c r="AJ12" s="165"/>
      <c r="AK12" s="165">
        <f>BZ12*L12/26</f>
        <v>0</v>
      </c>
      <c r="AL12" s="165"/>
      <c r="AM12" s="165">
        <f>X12*CD12</f>
        <v>0</v>
      </c>
      <c r="AN12" s="165">
        <f>H12/26*(K12+L12)</f>
        <v>810000</v>
      </c>
      <c r="AO12" s="165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51611538.461538464</v>
      </c>
      <c r="AP12" s="165"/>
      <c r="AQ12" s="165"/>
      <c r="AR12" s="165">
        <v>780000</v>
      </c>
      <c r="AS12" s="165"/>
      <c r="AT12" s="165"/>
      <c r="AU12" s="165"/>
      <c r="AV12" s="169">
        <f>Y12+Z12+AA12+AB12+AC12+AD12+AE12+AF12+AG12+AI12+AJ12+AK12+AL12+AM12+AN12+AO12+AP12-AQ12+AR12+AS12+AT12+AU12</f>
        <v>63087692.307692312</v>
      </c>
      <c r="AW12" s="169"/>
      <c r="AX12" s="169">
        <f>IF(E12="CT","x",0)</f>
        <v>0</v>
      </c>
      <c r="AY12" s="170">
        <f>ROUND(IF($AX12="x",($G12+$H12)*AY$8,0),0)</f>
        <v>0</v>
      </c>
      <c r="AZ12" s="170">
        <f>ROUND(IF($AX12="x",($G12+$H12)*AZ$8,0),0)</f>
        <v>0</v>
      </c>
      <c r="BA12" s="170">
        <f t="shared" ref="BA12" si="5">ROUND(IF($AX12="x",($G12+$H12)*BA$8,0),0)</f>
        <v>0</v>
      </c>
      <c r="BB12" s="170">
        <f>SUM(AY12:BA12)</f>
        <v>0</v>
      </c>
      <c r="BC12" s="170"/>
      <c r="BD12" s="170"/>
      <c r="BE12" s="170">
        <f>IF(G12*1%&gt;=234000,234000,G12*1%)</f>
        <v>95200</v>
      </c>
      <c r="BF12" s="170">
        <f>AM12+IF(E12="CT",IF(AR12&gt;=730000,730000,AR12),0)+IF(((AV12-AM12-IF(AR12&gt;=730000,730000,AR12)-AS12)*15%-AS12)&gt;"0",((AV12-AM12-IF(AR12&gt;=730000,730000,AR12)-AS12)*15%-AS12),0)</f>
        <v>0</v>
      </c>
      <c r="BG12" s="170">
        <f>AV12-BF12+AW12</f>
        <v>63087692.307692312</v>
      </c>
      <c r="BH12" s="170">
        <v>3</v>
      </c>
      <c r="BI12" s="170">
        <v>4400000</v>
      </c>
      <c r="BJ12" s="170">
        <f>IF(E12="CT",11000000,0)</f>
        <v>0</v>
      </c>
      <c r="BK12" s="170">
        <f>BG12-BB12-BC12+BD12-BH12*BI12-BJ12</f>
        <v>49887692.307692312</v>
      </c>
      <c r="BL12" s="157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70"/>
      <c r="BN12" s="170"/>
      <c r="BO12" s="170">
        <v>0</v>
      </c>
      <c r="BP12" s="170"/>
      <c r="BQ12" s="170"/>
      <c r="BR12" s="170"/>
      <c r="BS12" s="170"/>
      <c r="BT12" s="170">
        <f>SUMIFS('Bảng lương tạm ứng kỳ 1'!BT:BT,'Mô tả Bảng lương CB-NV'!B:B,'Bảng lương tạm ứng kỳ 1'!B15)</f>
        <v>0</v>
      </c>
      <c r="BU12" s="171">
        <f>AV12-BB12-BC12+BD12-BE12-BL12-BM12-BN12-BO12-BP12-BQ12-BR12+BS12-BT12</f>
        <v>58003723.07692308</v>
      </c>
      <c r="BV12"/>
      <c r="BW12" s="156">
        <v>60000000</v>
      </c>
      <c r="BX12" s="157">
        <v>0</v>
      </c>
      <c r="BY12" s="157"/>
      <c r="BZ12" s="157"/>
      <c r="CA12" s="157">
        <v>0</v>
      </c>
      <c r="CB12" s="157">
        <f>SUM(BW12:CA12)</f>
        <v>60000000</v>
      </c>
      <c r="CC12" s="157" t="s">
        <v>123</v>
      </c>
      <c r="CD12" s="157"/>
      <c r="CE12" s="172"/>
      <c r="CF12" s="173"/>
      <c r="CG12" s="173"/>
      <c r="CH12" s="174"/>
      <c r="CI12" s="175"/>
    </row>
    <row r="13" spans="1:87" s="176" customFormat="1">
      <c r="A13" s="159">
        <f>IF(B13=0,"",COUNTA($B$12:(B13)))</f>
        <v>2</v>
      </c>
      <c r="B13" s="160">
        <v>3562789</v>
      </c>
      <c r="C13" s="161" t="s">
        <v>124</v>
      </c>
      <c r="D13" s="162" t="s">
        <v>122</v>
      </c>
      <c r="E13" s="163" t="s">
        <v>100</v>
      </c>
      <c r="F13" s="164" t="s">
        <v>101</v>
      </c>
      <c r="G13" s="165">
        <v>6990000</v>
      </c>
      <c r="H13" s="165">
        <f>+IF(OR(CC13="ĐT PCCC",CC13="ĐP PCCC"),780000,IF(CC13="AT-VSV",300000,0))</f>
        <v>780000</v>
      </c>
      <c r="I13" s="165">
        <f>CB13-BZ13-G13-H13</f>
        <v>16380000</v>
      </c>
      <c r="J13" s="166">
        <v>1</v>
      </c>
      <c r="K13" s="167">
        <v>27</v>
      </c>
      <c r="L13" s="167"/>
      <c r="M13" s="167">
        <v>0</v>
      </c>
      <c r="N13" s="167"/>
      <c r="O13" s="167"/>
      <c r="P13" s="167"/>
      <c r="Q13" s="167"/>
      <c r="R13" s="167">
        <v>0</v>
      </c>
      <c r="S13" s="167">
        <v>0</v>
      </c>
      <c r="T13" s="168"/>
      <c r="U13" s="167">
        <v>0</v>
      </c>
      <c r="V13" s="167">
        <v>0</v>
      </c>
      <c r="W13" s="167">
        <v>0</v>
      </c>
      <c r="X13" s="167">
        <v>0</v>
      </c>
      <c r="Y13" s="165">
        <f>G13*(K13+L13)/26</f>
        <v>7258846.153846154</v>
      </c>
      <c r="Z13" s="165">
        <f t="shared" ref="Z13:Z14" si="6">M13*G13/26</f>
        <v>0</v>
      </c>
      <c r="AA13" s="165">
        <f t="shared" ref="AA13:AA14" si="7">G13*N13/26</f>
        <v>0</v>
      </c>
      <c r="AB13" s="165">
        <f t="shared" ref="AB13:AB14" si="8">G13*O13/26</f>
        <v>0</v>
      </c>
      <c r="AC13" s="165">
        <f t="shared" ref="AC13:AC14" si="9">G13*P13*150%/26</f>
        <v>0</v>
      </c>
      <c r="AD13" s="165">
        <f t="shared" ref="AD13:AD14" si="10">G13*Q13/26*200%</f>
        <v>0</v>
      </c>
      <c r="AE13" s="165">
        <f t="shared" ref="AE13:AE14" si="11">G13*R13/26*300%</f>
        <v>0</v>
      </c>
      <c r="AF13" s="165">
        <f>ROUND((G13+H13)/26*S13*30%,0)</f>
        <v>0</v>
      </c>
      <c r="AG13" s="165">
        <f t="shared" ref="AG13:AG14" si="12">T13*G13/26/8</f>
        <v>0</v>
      </c>
      <c r="AH13" s="165">
        <f>CB13/26*U13</f>
        <v>0</v>
      </c>
      <c r="AI13" s="165">
        <f t="shared" ref="AI13:AI14" si="13">G13*V13/26</f>
        <v>0</v>
      </c>
      <c r="AJ13" s="165"/>
      <c r="AK13" s="165">
        <f>BZ13*L13/26</f>
        <v>0</v>
      </c>
      <c r="AL13" s="165"/>
      <c r="AM13" s="165">
        <f>X13*CD13</f>
        <v>0</v>
      </c>
      <c r="AN13" s="165">
        <f t="shared" ref="AN13" si="14">H13/26*K13</f>
        <v>810000</v>
      </c>
      <c r="AO13" s="165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17010000</v>
      </c>
      <c r="AP13" s="165"/>
      <c r="AQ13" s="165"/>
      <c r="AR13" s="165">
        <v>780000</v>
      </c>
      <c r="AS13" s="165"/>
      <c r="AT13" s="165"/>
      <c r="AU13" s="165"/>
      <c r="AV13" s="169">
        <f t="shared" ref="AV13:AV14" si="15">Y13+Z13+AA13+AB13+AC13+AD13+AE13+AF13+AG13+AI13+AJ13+AK13+AL13+AM13+AN13+AO13+AP13-AQ13+AR13+AS13+AT13+AU13</f>
        <v>25858846.153846152</v>
      </c>
      <c r="AW13" s="169"/>
      <c r="AX13" s="169" t="str">
        <f>IF(E13="CT","x",0)</f>
        <v>x</v>
      </c>
      <c r="AY13" s="170">
        <f t="shared" ref="AY13:AZ14" si="16">ROUND(IF($AX13="x",($G13+$H13)*AY$8,0),0)</f>
        <v>621600</v>
      </c>
      <c r="AZ13" s="170">
        <f>ROUND(IF($AX13="x",($G13+$H13)*AZ$8,0),0)</f>
        <v>116550</v>
      </c>
      <c r="BA13" s="170">
        <f>ROUND(IF($AX13="x",($G13+$H13)*BA$8,0),0)</f>
        <v>77700</v>
      </c>
      <c r="BB13" s="170">
        <f>SUM(AY13:BA13)</f>
        <v>815850</v>
      </c>
      <c r="BC13" s="170"/>
      <c r="BD13" s="170"/>
      <c r="BE13" s="170">
        <f t="shared" ref="BE13:BE14" si="17">IF(G13*1%&gt;=234000,234000,G13*1%)</f>
        <v>69900</v>
      </c>
      <c r="BF13" s="170">
        <f t="shared" ref="BF13:BF14" si="18">AM13+IF(E13="CT",IF(AR13&gt;=730000,730000,AR13),0)+IF(((AV13-AM13-IF(AR13&gt;=730000,730000,AR13)-AS13)*15%-AS13)&gt;"0",((AV13-AM13-IF(AR13&gt;=730000,730000,AR13)-AS13)*15%-AS13),0)</f>
        <v>730000</v>
      </c>
      <c r="BG13" s="170">
        <f t="shared" ref="BG13:BG14" si="19">AV13-BF13+AW13</f>
        <v>25128846.153846152</v>
      </c>
      <c r="BH13" s="170"/>
      <c r="BI13" s="170">
        <v>4400000</v>
      </c>
      <c r="BJ13" s="170">
        <f>IF(E13="CT",11000000,0)</f>
        <v>11000000</v>
      </c>
      <c r="BK13" s="170">
        <f t="shared" ref="BK13:BK14" si="20">BG13-BB13-BC13+BD13-BH13*BI13-BJ13</f>
        <v>13312996.153846152</v>
      </c>
      <c r="BL13" s="157">
        <f t="shared" ref="BL13:BL14" si="21"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1246949</v>
      </c>
      <c r="BM13" s="170"/>
      <c r="BN13" s="170"/>
      <c r="BO13" s="170">
        <v>0</v>
      </c>
      <c r="BP13" s="170"/>
      <c r="BQ13" s="170"/>
      <c r="BR13" s="170"/>
      <c r="BS13" s="170"/>
      <c r="BT13" s="170">
        <f>SUMIFS('Bảng lương tạm ứng kỳ 1'!BT:BT,'Mô tả Bảng lương CB-NV'!B:B,'Bảng lương tạm ứng kỳ 1'!B20)</f>
        <v>0</v>
      </c>
      <c r="BU13" s="171">
        <f t="shared" ref="BU13:BU14" si="22">AV13-BB13-BC13+BD13-BE13-BL13-BM13-BN13-BO13-BP13-BQ13-BR13+BS13-BT13</f>
        <v>23726147.153846152</v>
      </c>
      <c r="BV13"/>
      <c r="BW13" s="156">
        <v>23000000</v>
      </c>
      <c r="BX13" s="157">
        <v>0</v>
      </c>
      <c r="BY13" s="157">
        <v>0</v>
      </c>
      <c r="BZ13" s="157"/>
      <c r="CA13" s="157">
        <f>+BW13*5%</f>
        <v>1150000</v>
      </c>
      <c r="CB13" s="157">
        <f t="shared" ref="CB13:CB14" si="23">SUM(BW13:CA13)</f>
        <v>24150000</v>
      </c>
      <c r="CC13" s="157" t="s">
        <v>115</v>
      </c>
      <c r="CD13" s="157"/>
      <c r="CE13" s="172"/>
      <c r="CF13" s="173"/>
      <c r="CG13" s="173"/>
      <c r="CH13" s="174"/>
      <c r="CI13" s="175"/>
    </row>
    <row r="14" spans="1:87" s="176" customFormat="1">
      <c r="A14" s="159">
        <f>IF(B14=0,"",COUNTA($B$12:(B14)))</f>
        <v>3</v>
      </c>
      <c r="B14" s="177" t="s">
        <v>125</v>
      </c>
      <c r="C14" s="161" t="s">
        <v>126</v>
      </c>
      <c r="D14" s="162" t="s">
        <v>122</v>
      </c>
      <c r="E14" s="163" t="s">
        <v>100</v>
      </c>
      <c r="F14" s="164" t="s">
        <v>101</v>
      </c>
      <c r="G14" s="165">
        <v>6990000</v>
      </c>
      <c r="H14" s="165">
        <f>+IF(OR(CC14="ĐT PCCC",CC14="ĐP PCCC"),780000,IF(CC14="AT-VSV",300000,0))</f>
        <v>300000</v>
      </c>
      <c r="I14" s="165">
        <f>CB14-BZ14-G14-H14</f>
        <v>10560000</v>
      </c>
      <c r="J14" s="166">
        <v>1</v>
      </c>
      <c r="K14" s="167">
        <v>27</v>
      </c>
      <c r="L14" s="167"/>
      <c r="M14" s="167"/>
      <c r="N14" s="167"/>
      <c r="O14" s="167"/>
      <c r="P14" s="167"/>
      <c r="Q14" s="167"/>
      <c r="R14" s="167">
        <v>0</v>
      </c>
      <c r="S14" s="167">
        <v>0</v>
      </c>
      <c r="T14" s="168"/>
      <c r="U14" s="167">
        <v>0</v>
      </c>
      <c r="V14" s="167">
        <v>0</v>
      </c>
      <c r="W14" s="167">
        <v>0</v>
      </c>
      <c r="X14" s="167">
        <v>0</v>
      </c>
      <c r="Y14" s="165">
        <f>G14*(K14+L14)/26</f>
        <v>7258846.153846154</v>
      </c>
      <c r="Z14" s="165">
        <f t="shared" si="6"/>
        <v>0</v>
      </c>
      <c r="AA14" s="165">
        <f t="shared" si="7"/>
        <v>0</v>
      </c>
      <c r="AB14" s="165">
        <f t="shared" si="8"/>
        <v>0</v>
      </c>
      <c r="AC14" s="165">
        <f t="shared" si="9"/>
        <v>0</v>
      </c>
      <c r="AD14" s="165">
        <f t="shared" si="10"/>
        <v>0</v>
      </c>
      <c r="AE14" s="165">
        <f t="shared" si="11"/>
        <v>0</v>
      </c>
      <c r="AF14" s="165">
        <f>IF(F14="LN",(G14+H14)/26*S14*30%,0)</f>
        <v>0</v>
      </c>
      <c r="AG14" s="165">
        <f t="shared" si="12"/>
        <v>0</v>
      </c>
      <c r="AH14" s="165">
        <f>CB14/26*U14</f>
        <v>0</v>
      </c>
      <c r="AI14" s="165">
        <f t="shared" si="13"/>
        <v>0</v>
      </c>
      <c r="AJ14" s="165"/>
      <c r="AK14" s="165">
        <f>BZ14*L14/26</f>
        <v>0</v>
      </c>
      <c r="AL14" s="165"/>
      <c r="AM14" s="165">
        <f>X14*CD14</f>
        <v>0</v>
      </c>
      <c r="AN14" s="165"/>
      <c r="AO14" s="165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5"/>
      <c r="AQ14" s="165"/>
      <c r="AR14" s="165"/>
      <c r="AS14" s="165"/>
      <c r="AT14" s="165"/>
      <c r="AU14" s="165"/>
      <c r="AV14" s="169">
        <f t="shared" si="15"/>
        <v>18536538.461538464</v>
      </c>
      <c r="AW14" s="169"/>
      <c r="AX14" s="169" t="str">
        <f>IF(E14="CT","x",0)</f>
        <v>x</v>
      </c>
      <c r="AY14" s="170">
        <f t="shared" si="16"/>
        <v>583200</v>
      </c>
      <c r="AZ14" s="170">
        <f t="shared" si="16"/>
        <v>109350</v>
      </c>
      <c r="BA14" s="170">
        <f>ROUND(IF($AX14="x",($G14+$H14)*BA$8,0),0)</f>
        <v>72900</v>
      </c>
      <c r="BB14" s="170">
        <f t="shared" ref="BB14" si="24">SUM(AY14:BA14)</f>
        <v>765450</v>
      </c>
      <c r="BC14" s="170"/>
      <c r="BD14" s="170"/>
      <c r="BE14" s="170">
        <f t="shared" si="17"/>
        <v>69900</v>
      </c>
      <c r="BF14" s="170">
        <f t="shared" si="18"/>
        <v>0</v>
      </c>
      <c r="BG14" s="170">
        <f t="shared" si="19"/>
        <v>18536538.461538464</v>
      </c>
      <c r="BH14" s="170"/>
      <c r="BI14" s="170">
        <v>4400000</v>
      </c>
      <c r="BJ14" s="170">
        <f>IF(E14="CT",11000000,0)</f>
        <v>11000000</v>
      </c>
      <c r="BK14" s="170">
        <f t="shared" si="20"/>
        <v>6771088.4615384638</v>
      </c>
      <c r="BL14" s="157">
        <f t="shared" si="21"/>
        <v>427109</v>
      </c>
      <c r="BM14" s="170"/>
      <c r="BN14" s="170"/>
      <c r="BO14" s="170">
        <v>0</v>
      </c>
      <c r="BP14" s="170"/>
      <c r="BQ14" s="170"/>
      <c r="BR14" s="170"/>
      <c r="BS14" s="170"/>
      <c r="BT14" s="170">
        <f>SUMIFS('Bảng lương tạm ứng kỳ 1'!BT:BT,'Mô tả Bảng lương CB-NV'!B:B,'Bảng lương tạm ứng kỳ 1'!B21)</f>
        <v>0</v>
      </c>
      <c r="BU14" s="171">
        <f t="shared" si="22"/>
        <v>17274079.461538464</v>
      </c>
      <c r="BV14"/>
      <c r="BW14" s="156">
        <v>17000000</v>
      </c>
      <c r="BX14" s="157">
        <v>0</v>
      </c>
      <c r="BY14" s="157">
        <v>0</v>
      </c>
      <c r="BZ14" s="157"/>
      <c r="CA14" s="157">
        <f>+BW14*5%</f>
        <v>850000</v>
      </c>
      <c r="CB14" s="157">
        <f t="shared" si="23"/>
        <v>17850000</v>
      </c>
      <c r="CC14" s="157" t="s">
        <v>119</v>
      </c>
      <c r="CD14" s="157"/>
      <c r="CE14" s="172"/>
      <c r="CF14" s="173"/>
      <c r="CG14" s="173"/>
      <c r="CH14" s="174"/>
      <c r="CI14" s="175"/>
    </row>
    <row r="17" spans="1:87" s="190" customFormat="1" ht="31.5">
      <c r="A17" s="189" t="str">
        <f>A5&amp;A6&amp;A7&amp;A8</f>
        <v>TT</v>
      </c>
      <c r="B17" s="189" t="str">
        <f t="shared" ref="B17:X17" si="25">B5&amp;B6&amp;B7&amp;B8</f>
        <v>MSNV</v>
      </c>
      <c r="C17" s="189" t="str">
        <f t="shared" si="25"/>
        <v>Họ và tên</v>
      </c>
      <c r="D17" s="189" t="str">
        <f t="shared" si="25"/>
        <v>Đơn vị</v>
      </c>
      <c r="E17" s="189" t="str">
        <f t="shared" si="25"/>
        <v>Loại HĐLĐ</v>
      </c>
      <c r="F17" s="189" t="str">
        <f t="shared" si="25"/>
        <v>Đối tượng được tính làm thêm giờ</v>
      </c>
      <c r="G17" s="189" t="str">
        <f t="shared" si="25"/>
        <v>Mức lương HĐLĐ</v>
      </c>
      <c r="H17" s="237" t="str">
        <f>H5&amp;H6&amp;H7&amp;H8</f>
        <v xml:space="preserve"> Phụ cấp (PCCC, ATVSV) </v>
      </c>
      <c r="I17" s="189" t="str">
        <f t="shared" si="25"/>
        <v>Định mức Thưởng HQCV</v>
      </c>
      <c r="J17" s="189" t="str">
        <f t="shared" si="25"/>
        <v>Tỷ lệ % tạm ứng thưởng HQCV</v>
      </c>
      <c r="K17" s="239" t="str">
        <f>K5&amp;K6&amp;K7&amp;K8</f>
        <v>Ngày công trong thángCông đi làm ngày thường</v>
      </c>
      <c r="L17" s="189" t="str">
        <f t="shared" si="25"/>
        <v>Công tác</v>
      </c>
      <c r="M17" s="189" t="str">
        <f t="shared" si="25"/>
        <v>Phép năm</v>
      </c>
      <c r="N17" s="189" t="str">
        <f t="shared" si="25"/>
        <v>Nghỉ chế độ</v>
      </c>
      <c r="O17" s="189" t="str">
        <f t="shared" si="25"/>
        <v>Nghỉ Lễ/Tết</v>
      </c>
      <c r="P17" s="189" t="str">
        <f t="shared" si="25"/>
        <v>Tăng ca ngày thường</v>
      </c>
      <c r="Q17" s="189" t="str">
        <f t="shared" si="25"/>
        <v>Tăng ca ngày chủ nhật</v>
      </c>
      <c r="R17" s="189" t="str">
        <f t="shared" si="25"/>
        <v>Tăng ca Lễ tết</v>
      </c>
      <c r="S17" s="189" t="str">
        <f t="shared" si="25"/>
        <v>Công phụ cấp ban đêm</v>
      </c>
      <c r="T17" s="189" t="str">
        <f t="shared" si="25"/>
        <v>Giờ công nữ nghỉ HK</v>
      </c>
      <c r="U17" s="189" t="str">
        <f t="shared" si="25"/>
        <v>Làm việc ngày T7 được nghỉ</v>
      </c>
      <c r="V17" s="189" t="str">
        <f t="shared" si="25"/>
        <v>Ngày ngừng việc trong tháng14 ngày đầu</v>
      </c>
      <c r="W17" s="189" t="str">
        <f t="shared" si="25"/>
        <v>Từ ngày 15 trở đi</v>
      </c>
      <c r="X17" s="189" t="str">
        <f t="shared" si="25"/>
        <v>Ngày công PHSK</v>
      </c>
      <c r="Y17" s="237" t="str">
        <f>Y6</f>
        <v>Lương
Ngày thường</v>
      </c>
      <c r="Z17" s="237" t="str">
        <f t="shared" ref="Z17:AN17" si="26">Z6</f>
        <v>Lương ngày nghỉ phép</v>
      </c>
      <c r="AA17" s="237" t="str">
        <f t="shared" si="26"/>
        <v>Lương ngày nghỉ chế độ</v>
      </c>
      <c r="AB17" s="237" t="str">
        <f t="shared" si="26"/>
        <v>Lương ngày nghỉ Lễ Tết</v>
      </c>
      <c r="AC17" s="237" t="str">
        <f t="shared" si="26"/>
        <v>Lương Tăng ca ngày thường</v>
      </c>
      <c r="AD17" s="237" t="str">
        <f t="shared" si="26"/>
        <v>Lương tăng ca ngày nghỉ</v>
      </c>
      <c r="AE17" s="237" t="str">
        <f t="shared" si="26"/>
        <v>Lương tăng ca ngày Lễ/Tết</v>
      </c>
      <c r="AF17" s="237" t="str">
        <f t="shared" si="26"/>
        <v>Lương phụ cấp ban đêm</v>
      </c>
      <c r="AG17" s="237" t="str">
        <f t="shared" si="26"/>
        <v>Lương nữ nghỉ HK</v>
      </c>
      <c r="AH17" s="237" t="str">
        <f t="shared" si="26"/>
        <v>Lương làm việc ngày T7 được nghỉ</v>
      </c>
      <c r="AI17" s="237" t="str">
        <f t="shared" si="26"/>
        <v>Lương ngày tạm ngừng việc</v>
      </c>
      <c r="AJ17" s="237" t="str">
        <f t="shared" si="26"/>
        <v>Lương trực hỗ trợ bảo vệ</v>
      </c>
      <c r="AK17" s="237" t="str">
        <f t="shared" si="26"/>
        <v>Phụ cấp công tác</v>
      </c>
      <c r="AL17" s="237" t="str">
        <f t="shared" si="26"/>
        <v>Phép năm nghỉ việc</v>
      </c>
      <c r="AM17" s="237" t="str">
        <f t="shared" si="26"/>
        <v>Bồi dưỡng PHSK</v>
      </c>
      <c r="AN17" s="237" t="str">
        <f t="shared" si="26"/>
        <v xml:space="preserve">Phụ cấp PCCC (ĐT, ĐP), Phụ cấp AT-VSV </v>
      </c>
      <c r="AO17" s="237" t="str">
        <f>AO6</f>
        <v>Tạm ứng  thưởng HQCV</v>
      </c>
      <c r="AP17" s="189" t="str">
        <f t="shared" ref="AP17:AX17" si="27">AP5</f>
        <v>Truy lãnh lương</v>
      </c>
      <c r="AQ17" s="189" t="str">
        <f t="shared" si="27"/>
        <v>Truy thu lương</v>
      </c>
      <c r="AR17" s="189" t="str">
        <f t="shared" si="27"/>
        <v>Hỗ trợ cơm</v>
      </c>
      <c r="AS17" s="189" t="str">
        <f t="shared" si="27"/>
        <v>Hỗ trợ Nhà ở</v>
      </c>
      <c r="AT17" s="189" t="str">
        <f t="shared" si="27"/>
        <v>Thưởng năm</v>
      </c>
      <c r="AU17" s="189" t="str">
        <f t="shared" si="27"/>
        <v>Chi trả phép năm chưa sử dụng</v>
      </c>
      <c r="AV17" s="189" t="str">
        <f t="shared" si="27"/>
        <v>Tổng thu nhập</v>
      </c>
      <c r="AW17" s="189" t="str">
        <f t="shared" si="27"/>
        <v>Thu nhập chịu thuế khác</v>
      </c>
      <c r="AX17" s="189" t="str">
        <f t="shared" si="27"/>
        <v>Tham gia BHXH</v>
      </c>
      <c r="AY17" s="237" t="str">
        <f>AY7</f>
        <v>BHXH</v>
      </c>
      <c r="AZ17" s="237" t="str">
        <f t="shared" ref="AZ17:BQ17" si="28">AZ7</f>
        <v>BHYT</v>
      </c>
      <c r="BA17" s="237" t="str">
        <f t="shared" si="28"/>
        <v>BHTN</v>
      </c>
      <c r="BB17" s="237" t="str">
        <f t="shared" si="28"/>
        <v>TỔng BHXH</v>
      </c>
      <c r="BC17" s="237" t="str">
        <f t="shared" si="28"/>
        <v>Truy thu BHXH</v>
      </c>
      <c r="BD17" s="237" t="str">
        <f t="shared" si="28"/>
        <v>Hoàn trả BHXH</v>
      </c>
      <c r="BE17" s="237" t="str">
        <f t="shared" si="28"/>
        <v>Phí 
công đoàn</v>
      </c>
      <c r="BF17" s="237" t="str">
        <f t="shared" si="28"/>
        <v>TN miễn thuế</v>
      </c>
      <c r="BG17" s="237" t="str">
        <f t="shared" si="28"/>
        <v>Thu nhập chịu thuế</v>
      </c>
      <c r="BH17" s="237" t="str">
        <f t="shared" si="28"/>
        <v>NPT</v>
      </c>
      <c r="BI17" s="237" t="str">
        <f t="shared" si="28"/>
        <v>Giảm trừ NPT</v>
      </c>
      <c r="BJ17" s="237" t="str">
        <f t="shared" si="28"/>
        <v>Giảm trừ cá nhân</v>
      </c>
      <c r="BK17" s="237" t="str">
        <f t="shared" si="28"/>
        <v>TNTT</v>
      </c>
      <c r="BL17" s="237" t="str">
        <f t="shared" si="28"/>
        <v>Thuế TNCN</v>
      </c>
      <c r="BM17" s="237" t="str">
        <f t="shared" si="28"/>
        <v>Thu tiền tạm ứng</v>
      </c>
      <c r="BN17" s="237" t="str">
        <f t="shared" si="28"/>
        <v xml:space="preserve">Thu hộ cho Cty Đầu tư tiền KBT…, </v>
      </c>
      <c r="BO17" s="237" t="str">
        <f t="shared" si="28"/>
        <v>Thu tiền điện thoại vượt mức</v>
      </c>
      <c r="BP17" s="237" t="str">
        <f t="shared" si="28"/>
        <v>Tiền phúng điếu</v>
      </c>
      <c r="BQ17" s="237" t="str">
        <f t="shared" si="28"/>
        <v>…..............</v>
      </c>
      <c r="BR17" s="237" t="str">
        <f>BR6</f>
        <v>Truy thu theo QTT</v>
      </c>
      <c r="BS17" s="237" t="str">
        <f>BS6</f>
        <v>Hoàn trả theo QTT</v>
      </c>
      <c r="BT17" s="189" t="str">
        <f t="shared" ref="BT17:CD17" si="29">BT5</f>
        <v>Thực nhận kỳ 1</v>
      </c>
      <c r="BU17" s="189" t="str">
        <f t="shared" si="29"/>
        <v>Thực nhận kỳ 2</v>
      </c>
      <c r="BV17"/>
      <c r="BW17" s="189" t="str">
        <f t="shared" si="29"/>
        <v>Ngạch lương</v>
      </c>
      <c r="BX17" s="238" t="str">
        <f>BX8</f>
        <v>PC chức danh</v>
      </c>
      <c r="BY17" s="238" t="str">
        <f t="shared" ref="BY17:CA17" si="30">BY8</f>
        <v>PC kiêm nhiệm</v>
      </c>
      <c r="BZ17" s="238" t="str">
        <f t="shared" si="30"/>
        <v>PC Biệt phái</v>
      </c>
      <c r="CA17" s="238" t="str">
        <f t="shared" si="30"/>
        <v>PC thâm niên</v>
      </c>
      <c r="CB17" s="189" t="str">
        <f t="shared" si="29"/>
        <v>Tổng lương và các khoản PC khác</v>
      </c>
      <c r="CC17" s="189" t="str">
        <f t="shared" si="29"/>
        <v>Là ĐT, ĐP PCCC, AT-VSV</v>
      </c>
      <c r="CD17" s="189" t="str">
        <f t="shared" si="29"/>
        <v>Mức Bồi dưỡng sức khỏe</v>
      </c>
    </row>
    <row r="18" spans="1:87" s="192" customFormat="1">
      <c r="A18" s="191" t="str">
        <f>SUBSTITUTE(ADDRESS(1,COLUMN(),4),1,"")</f>
        <v>A</v>
      </c>
      <c r="B18" s="191" t="str">
        <f t="shared" ref="B18:BM18" si="31">SUBSTITUTE(ADDRESS(1,COLUMN(),4),1,"")</f>
        <v>B</v>
      </c>
      <c r="C18" s="191" t="str">
        <f t="shared" si="31"/>
        <v>C</v>
      </c>
      <c r="D18" s="191" t="str">
        <f t="shared" si="31"/>
        <v>D</v>
      </c>
      <c r="E18" s="191" t="str">
        <f t="shared" si="31"/>
        <v>E</v>
      </c>
      <c r="F18" s="191" t="str">
        <f t="shared" si="31"/>
        <v>F</v>
      </c>
      <c r="G18" s="191" t="str">
        <f t="shared" si="31"/>
        <v>G</v>
      </c>
      <c r="H18" s="191" t="str">
        <f t="shared" si="31"/>
        <v>H</v>
      </c>
      <c r="I18" s="191" t="str">
        <f t="shared" si="31"/>
        <v>I</v>
      </c>
      <c r="J18" s="191" t="str">
        <f t="shared" si="31"/>
        <v>J</v>
      </c>
      <c r="K18" s="191" t="str">
        <f t="shared" si="31"/>
        <v>K</v>
      </c>
      <c r="L18" s="191" t="str">
        <f t="shared" si="31"/>
        <v>L</v>
      </c>
      <c r="M18" s="191" t="str">
        <f t="shared" si="31"/>
        <v>M</v>
      </c>
      <c r="N18" s="191" t="str">
        <f t="shared" si="31"/>
        <v>N</v>
      </c>
      <c r="O18" s="191" t="str">
        <f t="shared" si="31"/>
        <v>O</v>
      </c>
      <c r="P18" s="191" t="str">
        <f t="shared" si="31"/>
        <v>P</v>
      </c>
      <c r="Q18" s="191" t="str">
        <f t="shared" si="31"/>
        <v>Q</v>
      </c>
      <c r="R18" s="191" t="str">
        <f t="shared" si="31"/>
        <v>R</v>
      </c>
      <c r="S18" s="191" t="str">
        <f t="shared" si="31"/>
        <v>S</v>
      </c>
      <c r="T18" s="191" t="str">
        <f t="shared" si="31"/>
        <v>T</v>
      </c>
      <c r="U18" s="191" t="str">
        <f t="shared" si="31"/>
        <v>U</v>
      </c>
      <c r="V18" s="191" t="str">
        <f t="shared" si="31"/>
        <v>V</v>
      </c>
      <c r="W18" s="191" t="str">
        <f t="shared" si="31"/>
        <v>W</v>
      </c>
      <c r="X18" s="191" t="str">
        <f t="shared" si="31"/>
        <v>X</v>
      </c>
      <c r="Y18" s="191" t="str">
        <f t="shared" si="31"/>
        <v>Y</v>
      </c>
      <c r="Z18" s="191" t="str">
        <f t="shared" si="31"/>
        <v>Z</v>
      </c>
      <c r="AA18" s="191" t="str">
        <f t="shared" si="31"/>
        <v>AA</v>
      </c>
      <c r="AB18" s="191" t="str">
        <f t="shared" si="31"/>
        <v>AB</v>
      </c>
      <c r="AC18" s="191" t="str">
        <f t="shared" si="31"/>
        <v>AC</v>
      </c>
      <c r="AD18" s="191" t="str">
        <f t="shared" si="31"/>
        <v>AD</v>
      </c>
      <c r="AE18" s="191" t="str">
        <f t="shared" si="31"/>
        <v>AE</v>
      </c>
      <c r="AF18" s="191" t="str">
        <f t="shared" si="31"/>
        <v>AF</v>
      </c>
      <c r="AG18" s="191" t="str">
        <f t="shared" si="31"/>
        <v>AG</v>
      </c>
      <c r="AH18" s="191" t="str">
        <f t="shared" si="31"/>
        <v>AH</v>
      </c>
      <c r="AI18" s="191" t="str">
        <f t="shared" si="31"/>
        <v>AI</v>
      </c>
      <c r="AJ18" s="191" t="str">
        <f t="shared" si="31"/>
        <v>AJ</v>
      </c>
      <c r="AK18" s="191" t="str">
        <f t="shared" si="31"/>
        <v>AK</v>
      </c>
      <c r="AL18" s="191" t="str">
        <f t="shared" si="31"/>
        <v>AL</v>
      </c>
      <c r="AM18" s="191" t="str">
        <f t="shared" si="31"/>
        <v>AM</v>
      </c>
      <c r="AN18" s="191" t="str">
        <f t="shared" si="31"/>
        <v>AN</v>
      </c>
      <c r="AO18" s="191" t="str">
        <f t="shared" si="31"/>
        <v>AO</v>
      </c>
      <c r="AP18" s="191" t="str">
        <f t="shared" si="31"/>
        <v>AP</v>
      </c>
      <c r="AQ18" s="191" t="str">
        <f t="shared" si="31"/>
        <v>AQ</v>
      </c>
      <c r="AR18" s="191" t="str">
        <f t="shared" si="31"/>
        <v>AR</v>
      </c>
      <c r="AS18" s="191" t="str">
        <f t="shared" si="31"/>
        <v>AS</v>
      </c>
      <c r="AT18" s="191" t="str">
        <f t="shared" si="31"/>
        <v>AT</v>
      </c>
      <c r="AU18" s="191" t="str">
        <f t="shared" si="31"/>
        <v>AU</v>
      </c>
      <c r="AV18" s="191" t="str">
        <f t="shared" si="31"/>
        <v>AV</v>
      </c>
      <c r="AW18" s="191" t="str">
        <f t="shared" si="31"/>
        <v>AW</v>
      </c>
      <c r="AX18" s="191" t="str">
        <f t="shared" si="31"/>
        <v>AX</v>
      </c>
      <c r="AY18" s="191" t="str">
        <f t="shared" si="31"/>
        <v>AY</v>
      </c>
      <c r="AZ18" s="191" t="str">
        <f t="shared" si="31"/>
        <v>AZ</v>
      </c>
      <c r="BA18" s="191" t="str">
        <f t="shared" si="31"/>
        <v>BA</v>
      </c>
      <c r="BB18" s="191" t="str">
        <f t="shared" si="31"/>
        <v>BB</v>
      </c>
      <c r="BC18" s="191" t="str">
        <f t="shared" si="31"/>
        <v>BC</v>
      </c>
      <c r="BD18" s="191" t="str">
        <f t="shared" si="31"/>
        <v>BD</v>
      </c>
      <c r="BE18" s="191" t="str">
        <f t="shared" si="31"/>
        <v>BE</v>
      </c>
      <c r="BF18" s="191" t="str">
        <f t="shared" si="31"/>
        <v>BF</v>
      </c>
      <c r="BG18" s="191" t="str">
        <f t="shared" si="31"/>
        <v>BG</v>
      </c>
      <c r="BH18" s="191" t="str">
        <f t="shared" si="31"/>
        <v>BH</v>
      </c>
      <c r="BI18" s="191" t="str">
        <f t="shared" si="31"/>
        <v>BI</v>
      </c>
      <c r="BJ18" s="191" t="str">
        <f t="shared" si="31"/>
        <v>BJ</v>
      </c>
      <c r="BK18" s="191" t="str">
        <f t="shared" si="31"/>
        <v>BK</v>
      </c>
      <c r="BL18" s="191" t="str">
        <f t="shared" si="31"/>
        <v>BL</v>
      </c>
      <c r="BM18" s="191" t="str">
        <f t="shared" si="31"/>
        <v>BM</v>
      </c>
      <c r="BN18" s="191" t="str">
        <f t="shared" ref="BN18:CD18" si="32">SUBSTITUTE(ADDRESS(1,COLUMN(),4),1,"")</f>
        <v>BN</v>
      </c>
      <c r="BO18" s="191" t="str">
        <f t="shared" si="32"/>
        <v>BO</v>
      </c>
      <c r="BP18" s="191" t="str">
        <f t="shared" si="32"/>
        <v>BP</v>
      </c>
      <c r="BQ18" s="191" t="str">
        <f t="shared" si="32"/>
        <v>BQ</v>
      </c>
      <c r="BR18" s="191" t="str">
        <f t="shared" si="32"/>
        <v>BR</v>
      </c>
      <c r="BS18" s="191" t="str">
        <f t="shared" si="32"/>
        <v>BS</v>
      </c>
      <c r="BT18" s="191" t="str">
        <f t="shared" si="32"/>
        <v>BT</v>
      </c>
      <c r="BU18" s="191" t="str">
        <f t="shared" si="32"/>
        <v>BU</v>
      </c>
      <c r="BV18"/>
      <c r="BW18" s="191" t="str">
        <f t="shared" si="32"/>
        <v>BW</v>
      </c>
      <c r="BX18" s="191" t="str">
        <f t="shared" si="32"/>
        <v>BX</v>
      </c>
      <c r="BY18" s="191" t="str">
        <f t="shared" si="32"/>
        <v>BY</v>
      </c>
      <c r="BZ18" s="191" t="str">
        <f t="shared" si="32"/>
        <v>BZ</v>
      </c>
      <c r="CA18" s="191" t="str">
        <f t="shared" si="32"/>
        <v>CA</v>
      </c>
      <c r="CB18" s="191" t="str">
        <f t="shared" si="32"/>
        <v>CB</v>
      </c>
      <c r="CC18" s="191" t="str">
        <f t="shared" si="32"/>
        <v>CC</v>
      </c>
      <c r="CD18" s="191" t="str">
        <f t="shared" si="32"/>
        <v>CD</v>
      </c>
    </row>
    <row r="19" spans="1:87" s="214" customFormat="1" ht="409.5">
      <c r="A19" s="205" t="s">
        <v>127</v>
      </c>
      <c r="B19" s="206" t="s">
        <v>128</v>
      </c>
      <c r="C19" s="206" t="s">
        <v>129</v>
      </c>
      <c r="D19" s="207" t="s">
        <v>130</v>
      </c>
      <c r="E19" s="208" t="s">
        <v>131</v>
      </c>
      <c r="F19" s="209" t="s">
        <v>132</v>
      </c>
      <c r="G19" s="208" t="s">
        <v>133</v>
      </c>
      <c r="H19" s="204" t="str">
        <f>"+IF(OR(["&amp;CC17&amp;"]=""ĐT PCCC"",["&amp;CC17&amp;"]=""ĐP PCCC""),780000,IF(["&amp;CC17&amp;"]=""AT-VSV"",300000,0))"</f>
        <v>+IF(OR([Là ĐT, ĐP PCCC, AT-VSV]="ĐT PCCC",[Là ĐT, ĐP PCCC, AT-VSV]="ĐP PCCC"),780000,IF([Là ĐT, ĐP PCCC, AT-VSV]="AT-VSV",300000,0))</v>
      </c>
      <c r="I19" s="204" t="str">
        <f>"["&amp;CB17&amp;"]-["&amp;BZ17&amp;"]-["&amp;G17&amp;"]-["&amp;H17&amp;"]"</f>
        <v>[Tổng lương và các khoản PC khác]-[PC Biệt phái]-[Mức lương HĐLĐ]-[ Phụ cấp (PCCC, ATVSV) ]</v>
      </c>
      <c r="J19" s="210" t="s">
        <v>134</v>
      </c>
      <c r="K19" s="204" t="s">
        <v>135</v>
      </c>
      <c r="L19" s="204" t="s">
        <v>136</v>
      </c>
      <c r="M19" s="204" t="s">
        <v>137</v>
      </c>
      <c r="N19" s="204" t="s">
        <v>137</v>
      </c>
      <c r="O19" s="204" t="s">
        <v>138</v>
      </c>
      <c r="P19" s="204" t="s">
        <v>139</v>
      </c>
      <c r="Q19" s="204" t="s">
        <v>140</v>
      </c>
      <c r="R19" s="204" t="s">
        <v>141</v>
      </c>
      <c r="S19" s="204" t="s">
        <v>137</v>
      </c>
      <c r="T19" s="211"/>
      <c r="U19" s="204">
        <v>0</v>
      </c>
      <c r="V19" s="204">
        <v>0</v>
      </c>
      <c r="W19" s="204">
        <v>0</v>
      </c>
      <c r="X19" s="204">
        <v>0</v>
      </c>
      <c r="Y19" s="204" t="str">
        <f>"["&amp;G17&amp;"]*(["&amp;K17&amp;"]+["&amp;L17&amp;"])/26"</f>
        <v>[Mức lương HĐLĐ]*([Ngày công trong thángCông đi làm ngày thường]+[Công tác])/26</v>
      </c>
      <c r="Z19" s="204" t="str">
        <f>"["&amp;M17&amp;"]*["&amp;G17&amp;"]/26"</f>
        <v>[Phép năm]*[Mức lương HĐLĐ]/26</v>
      </c>
      <c r="AA19" s="204" t="str">
        <f>"["&amp;G17&amp;"]*["&amp;N17&amp;"]/26"</f>
        <v>[Mức lương HĐLĐ]*[Nghỉ chế độ]/26</v>
      </c>
      <c r="AB19" s="204" t="str">
        <f>"["&amp;G17&amp;"]*["&amp;O17&amp;"]/26"</f>
        <v>[Mức lương HĐLĐ]*[Nghỉ Lễ/Tết]/26</v>
      </c>
      <c r="AC19" s="204" t="str">
        <f>"["&amp;G17&amp;"]*["&amp;P17&amp;"]*150%/26"</f>
        <v>[Mức lương HĐLĐ]*[Tăng ca ngày thường]*150%/26</v>
      </c>
      <c r="AD19" s="204" t="str">
        <f>"["&amp;G17&amp;"]*["&amp;Q17&amp;"]/26*200%"</f>
        <v>[Mức lương HĐLĐ]*[Tăng ca ngày chủ nhật]/26*200%</v>
      </c>
      <c r="AE19" s="204" t="str">
        <f>"["&amp;G17&amp;"]*["&amp;R17&amp;"]/26*300%"</f>
        <v>[Mức lương HĐLĐ]*[Tăng ca Lễ tết]/26*300%</v>
      </c>
      <c r="AF19" s="204" t="str">
        <f>"ROUND((["&amp;G17&amp;"]+["&amp;H17&amp;"])/26*["&amp;S17&amp;"]*30%,0)"</f>
        <v>ROUND(([Mức lương HĐLĐ]+[ Phụ cấp (PCCC, ATVSV) ])/26*[Công phụ cấp ban đêm]*30%,0)</v>
      </c>
      <c r="AG19" s="204" t="str">
        <f>"["&amp;T17&amp;"]*["&amp;G17&amp;"]/26/8"</f>
        <v>[Giờ công nữ nghỉ HK]*[Mức lương HĐLĐ]/26/8</v>
      </c>
      <c r="AH19" s="204" t="str">
        <f>"["&amp;CB17&amp;"]/26*["&amp;U17&amp;"]"</f>
        <v>[Tổng lương và các khoản PC khác]/26*[Làm việc ngày T7 được nghỉ]</v>
      </c>
      <c r="AI19" s="204" t="str">
        <f>"["&amp;G17&amp;"]*["&amp;V17&amp;"]/26"</f>
        <v>[Mức lương HĐLĐ]*[Ngày ngừng việc trong tháng14 ngày đầu]/26</v>
      </c>
      <c r="AJ19" s="204"/>
      <c r="AK19" s="204" t="str">
        <f>"["&amp;BZ17&amp;"]*["&amp;L17&amp;"]/26"</f>
        <v>[PC Biệt phái]*[Công tác]/26</v>
      </c>
      <c r="AL19" s="204"/>
      <c r="AM19" s="204" t="str">
        <f>"["&amp;X17&amp;"]*["&amp;CD17&amp;"]"</f>
        <v>[Ngày công PHSK]*[Mức Bồi dưỡng sức khỏe]</v>
      </c>
      <c r="AN19" s="204" t="str">
        <f>"["&amp;H17&amp;"]/26*(["&amp;K17&amp;"]+["&amp;L17&amp;"])"</f>
        <v>[ Phụ cấp (PCCC, ATVSV) ]/26*([Ngày công trong thángCông đi làm ngày thường]+[Công tác])</v>
      </c>
      <c r="AO19" s="203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IF([Đối tượng được tính làm thêm giờ]="LN",[Định mức Thưởng HQCV]*([Ngày công trong thángCông đi làm ngày thường]+[Công tác])/26+([ Phụ cấp (PCCC, ATVSV) ]+[Định mức Thưởng HQCV])*50%*[Phép năm]/26+MAX([Mức lương HĐLĐ]*[Tăng ca ngày thường]/26*150%,[Tăng ca ngày thường]*[Ngạch lương]/26)-[Lương Tăng ca ngày thường]+MAX([Mức lương HĐLĐ]*[Tăng ca ngày chủ nhật]/26*200%,[Tăng ca ngày chủ nhật]*[Ngạch lương]/26)-[Lương tăng ca ngày nghỉ]+MAX([Mức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HK],[Định mức Thưởng HQCV]-[Định mức Thưởng HQCV]*([Ngày công thực tế tháng ]-[Ngày công trong thángCông đi làm ngày thường]-[Công tác])/26+([ Phụ cấp (PCCC, ATVSV) ]+[Định mức Thưởng HQCV])*50%*[Phép năm]/26+[Ngạch lương]*[Nghỉ Lễ/Tết]/26-[Lương ngày nghỉ Lễ Tết]+MAX([Mức lương HĐLĐ]*[Tăng ca ngày thường]/26*150%,[Tăng ca ngày thường]*[Ngạch lương]/26)-[Lương Tăng ca ngày thường]+MAX([Mức lương HĐLĐ]*[Tăng ca ngày chủ nhật]/26*200%,[Tăng ca ngày chủ nhật]*[Ngạch lương]/26)-[Lương tăng ca ngày nghỉ]+MAX([Mức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HK]+([Mức lương HĐLĐ]-[Mức lương HĐLĐ]*([Ngày công thực tế tháng ]-[Ngày công trong thángCông đi làm ngày thường]-[Công tác])/26-[Lương
Ngày thường])+([ Phụ cấp (PCCC, ATVSV) ]-[ Phụ cấp (PCCC, ATVSV) ]*([Ngày công thực tế tháng ]-[Ngày công trong thángCông đi làm ngày thường]-[Công tác])/26-[Phụ cấp PCCC (ĐT, ĐP), Phụ cấp AT-VSV ]))</v>
      </c>
      <c r="AP19" s="204"/>
      <c r="AQ19" s="204"/>
      <c r="AR19" s="204">
        <v>780000</v>
      </c>
      <c r="AS19" s="204"/>
      <c r="AT19" s="204"/>
      <c r="AU19" s="204"/>
      <c r="AV19" s="212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thường]+[Lương ngày nghỉ phép]+[Lương ngày nghỉ chế độ]+[Lương ngày nghỉ Lễ Tết]+[Lương Tăng ca ngày thường]+[Lương tăng ca ngày nghỉ]+[Lương tăng ca ngày Lễ/Tết]+[Lương phụ cấp ban đêm]+[Lương nữ nghỉ HK]+[Lương ngày tạm ngừng việc]+[Lương trực hỗ trợ bảo vệ]+[Phụ cấp công tác]+[Phép năm nghỉ việc]+[Bồi dưỡng PHSK]+[Phụ cấp PCCC (ĐT, ĐP), Phụ cấp AT-VSV ]+[Tạm ứng  thưởng HQCV]+[Truy lãnh lương]-[Truy thu lương]+[Hỗ trợ cơm]+[Hỗ trợ Nhà ở]+[Thưởng năm]+[Chi trả phép năm chưa sử dụng]</v>
      </c>
      <c r="AW19" s="212"/>
      <c r="AX19" s="212" t="str">
        <f>"IF(["&amp;E17&amp;"]=""CT"",""x"",0)"</f>
        <v>IF([Loại HĐLĐ]="CT","x",0)</v>
      </c>
      <c r="AY19" s="204" t="str">
        <f>"ROUND(IF(["&amp;$AX17&amp;"]=""x"",(["&amp;$G17&amp;"]+["&amp;$H17&amp;"])*["&amp;AY$8&amp;"],0),0)"</f>
        <v>ROUND(IF([Tham gia BHXH]="x",([Mức lương HĐLĐ]+[ Phụ cấp (PCCC, ATVSV) ])*[8%],0),0)</v>
      </c>
      <c r="AZ19" s="204" t="str">
        <f>"ROUND(IF(["&amp;$AX17&amp;"]=""x"",(["&amp;$G17&amp;"]+["&amp;$H17&amp;"])*["&amp;AZ$8&amp;"],0),0)"</f>
        <v>ROUND(IF([Tham gia BHXH]="x",([Mức lương HĐLĐ]+[ Phụ cấp (PCCC, ATVSV) ])*[1.5%],0),0)</v>
      </c>
      <c r="BA19" s="204" t="str">
        <f>"ROUND(IF(["&amp;$AX17&amp;"]=""x"",(["&amp;$G17&amp;"]+["&amp;$H17&amp;"])*["&amp;BA$8&amp;"],0),0)"</f>
        <v>ROUND(IF([Tham gia BHXH]="x",([Mức lương HĐLĐ]+[ Phụ cấp (PCCC, ATVSV) ])*[1%],0),0)</v>
      </c>
      <c r="BB19" s="204" t="str">
        <f>"["&amp;AY17&amp;"]+["&amp;AZ17&amp;"]+["&amp;BA17&amp;"]"</f>
        <v>[BHXH]+[BHYT]+[BHTN]</v>
      </c>
      <c r="BC19" s="204"/>
      <c r="BD19" s="204"/>
      <c r="BE19" s="204" t="str">
        <f>"IF(["&amp;G17&amp;"]*1%&gt;=234000,234000,["&amp;G17&amp;"]*1%)"</f>
        <v>IF([Mức lương HĐLĐ]*1%&gt;=234000,234000,[Mức lương HĐLĐ]*1%)</v>
      </c>
      <c r="BF19" s="204" t="str">
        <f>"["&amp;AM17&amp;"]+IF(["&amp;E17&amp;"]=""CT"",IF(["&amp;AR17&amp;"]&gt;=730000,730000,["&amp;AR17&amp;"]),0)+IF(((["&amp;AV17&amp;"]-["&amp;AM17&amp;"]-IF(["&amp;AR17&amp;"]&gt;=730000,730000,["&amp;AR17&amp;"])-["&amp;AS17&amp;"])*15%-["&amp;AS17&amp;"])&gt;""0"",((["&amp;AV17&amp;"]-["&amp;AM17&amp;"]-IF(["&amp;AR17&amp;"]&gt;=730000,730000,["&amp;AR17&amp;"])-["&amp;AS17&amp;"])*15%-["&amp;AS17&amp;"]),0)"</f>
        <v>[Bồi dưỡng PHSK]+IF([Loại HĐLĐ]="CT",IF([Hỗ trợ cơm]&gt;=730000,730000,[Hỗ trợ cơm]),0)+IF((([Tổng thu nhập]-[Bồi dưỡng PHSK]-IF([Hỗ trợ cơm]&gt;=730000,730000,[Hỗ trợ cơm])-[Hỗ trợ Nhà ở])*15%-[Hỗ trợ Nhà ở])&gt;"0",(([Tổng thu nhập]-[Bồi dưỡng PHSK]-IF([Hỗ trợ cơm]&gt;=730000,730000,[Hỗ trợ cơm])-[Hỗ trợ Nhà ở])*15%-[Hỗ trợ Nhà ở]),0)</v>
      </c>
      <c r="BG19" s="204" t="str">
        <f>"["&amp;AV17&amp;"]-["&amp;BF17&amp;"]+["&amp;AW17&amp;"]"</f>
        <v>[Tổng thu nhập]-[TN miễn thuế]+[Thu nhập chịu thuế khác]</v>
      </c>
      <c r="BH19" s="204">
        <v>3</v>
      </c>
      <c r="BI19" s="204">
        <v>4400000</v>
      </c>
      <c r="BJ19" s="204" t="str">
        <f>"IF(["&amp;E17&amp;"]=""CT"",11000000,0)"</f>
        <v>IF([Loại HĐLĐ]="CT",11000000,0)</v>
      </c>
      <c r="BK19" s="204" t="str">
        <f>"["&amp;BG17&amp;"]-["&amp;BB17&amp;"]-["&amp;BC17&amp;"]+["&amp;BD17&amp;"]-["&amp;BH17&amp;"]*["&amp;BI17&amp;"]-["&amp;BJ17&amp;"]"</f>
        <v>[Thu nhập chịu thuế]-[TỔng BHXH]-[Truy thu BHXH]+[Hoàn trả BHXH]-[NPT]*[Giảm trừ NPT]-[Giảm trừ cá nhân]</v>
      </c>
      <c r="BL19" s="204" t="str">
        <f>"IF(["&amp;E17&amp;"]=""TV"",["&amp;BK17&amp;"]*10%,IF(["&amp;BK17&amp;"]&gt;0,ROUND(IF(["&amp;BK17&amp;"]&gt;=80000000,["&amp;BK17&amp;"]*35%-9850000,IF(["&amp;BK17&amp;"]&gt;=52000000,["&amp;BK17&amp;"]*30%-5850000,IF(["&amp;BK17&amp;"]&gt;=32000000,["&amp;BK17&amp;"]*25%-3250000,IF(["&amp;BK17&amp;"]&gt;=18000000,["&amp;BK17&amp;"]*20%-1650000,IF(["&amp;BK17&amp;"]&gt;=10000000,["&amp;BK17&amp;"]*15%-750000,IF(["&amp;BK17&amp;"]&gt;5000000,["&amp;BK17&amp;"]*10%-250000,["&amp;BK17&amp;"]*5%)))))),0),0))"</f>
        <v>IF([Loại HĐLĐ]="TV",[TNTT]*10%,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)</v>
      </c>
      <c r="BM19" s="204"/>
      <c r="BN19" s="204"/>
      <c r="BO19" s="204">
        <v>0</v>
      </c>
      <c r="BP19" s="204"/>
      <c r="BQ19" s="204"/>
      <c r="BR19" s="204"/>
      <c r="BS19" s="204"/>
      <c r="BT19" s="216" t="str">
        <f>"["&amp;'Mô tả Bảng lương tạm ứng kỳ 1'!BT17&amp;"]"</f>
        <v>[Thực nhận kỳ 1]</v>
      </c>
      <c r="BU19" s="204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[Tổng thu nhập]-[TỔng BHXH]-[Truy thu BHXH]+[Hoàn trả BHXH]-[Phí 
công đoàn]-[Thuế TNCN]-[Thu tiền tạm ứng]-[Thu hộ cho Cty Đầu tư tiền KBT…, ]-[Thu tiền điện thoại vượt mức]-[Tiền phúng điếu]-[…..............]-[Truy thu theo QTT]+[Hoàn trả theo QTT]-[Thực nhận kỳ 1]</v>
      </c>
      <c r="BV19"/>
      <c r="BW19" s="204">
        <v>60000000</v>
      </c>
      <c r="BX19" s="204">
        <v>0</v>
      </c>
      <c r="BY19" s="204"/>
      <c r="BZ19" s="204"/>
      <c r="CA19" s="204">
        <v>0</v>
      </c>
      <c r="CB19" s="204" t="str">
        <f>"["&amp;BW17&amp;"]+["&amp;BX17&amp;"]+["&amp;BY17&amp;"]+["&amp;BZ17&amp;"]+["&amp;CA17&amp;"]"</f>
        <v>[Ngạch lương]+[PC chức danh]+[PC kiêm nhiệm]+[PC Biệt phái]+[PC thâm niên]</v>
      </c>
      <c r="CC19" s="204" t="s">
        <v>123</v>
      </c>
      <c r="CD19" s="204"/>
      <c r="CE19" s="213"/>
      <c r="CF19" s="213"/>
      <c r="CG19" s="213"/>
      <c r="CI19" s="215"/>
    </row>
    <row r="20" spans="1:87" s="202" customFormat="1">
      <c r="A20" s="193"/>
      <c r="B20" s="194"/>
      <c r="C20" s="195"/>
      <c r="D20" s="196"/>
      <c r="E20" s="196"/>
      <c r="F20" s="197"/>
      <c r="G20" s="198"/>
      <c r="H20" s="198"/>
      <c r="I20" s="199"/>
      <c r="J20" s="199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8"/>
      <c r="BK20" s="198"/>
      <c r="BL20" s="198"/>
      <c r="BM20" s="198"/>
      <c r="BN20" s="198"/>
      <c r="BO20" s="198"/>
      <c r="BP20" s="198"/>
      <c r="BQ20" s="198"/>
      <c r="BR20" s="198"/>
      <c r="BS20" s="198"/>
      <c r="BT20" s="198"/>
      <c r="BU20" s="198"/>
      <c r="BV20"/>
      <c r="BW20" s="198"/>
      <c r="BX20" s="198"/>
      <c r="BY20" s="198"/>
      <c r="BZ20" s="198"/>
      <c r="CA20" s="198"/>
      <c r="CB20" s="201"/>
      <c r="CC20" s="201"/>
      <c r="CD20" s="201"/>
    </row>
    <row r="21" spans="1:87" s="202" customFormat="1">
      <c r="A21" s="193"/>
      <c r="B21" s="194"/>
      <c r="C21" s="195"/>
      <c r="D21" s="196"/>
      <c r="E21" s="196"/>
      <c r="F21" s="197"/>
      <c r="G21" s="198"/>
      <c r="H21" s="198"/>
      <c r="I21" s="199"/>
      <c r="J21" s="199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  <c r="BH21" s="198"/>
      <c r="BI21" s="198"/>
      <c r="BJ21" s="198"/>
      <c r="BK21" s="198"/>
      <c r="BL21" s="198"/>
      <c r="BM21" s="198"/>
      <c r="BN21" s="198"/>
      <c r="BO21" s="198"/>
      <c r="BP21" s="198"/>
      <c r="BQ21" s="198"/>
      <c r="BR21" s="198"/>
      <c r="BS21" s="198"/>
      <c r="BT21" s="198"/>
      <c r="BU21" s="198"/>
      <c r="BV21"/>
      <c r="BW21" s="198"/>
      <c r="BX21" s="198"/>
      <c r="BY21" s="198"/>
      <c r="BZ21" s="198"/>
      <c r="CA21" s="198"/>
      <c r="CB21" s="201"/>
      <c r="CC21" s="201"/>
      <c r="CD21" s="201"/>
    </row>
    <row r="22" spans="1:87" s="202" customFormat="1">
      <c r="A22" s="193"/>
      <c r="B22" s="194"/>
      <c r="C22" s="195"/>
      <c r="D22" s="196"/>
      <c r="E22" s="196"/>
      <c r="F22" s="197"/>
      <c r="G22" s="198"/>
      <c r="H22" s="198"/>
      <c r="I22" s="199"/>
      <c r="J22" s="199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198"/>
      <c r="BM22" s="198"/>
      <c r="BN22" s="198"/>
      <c r="BO22" s="198"/>
      <c r="BP22" s="198"/>
      <c r="BQ22" s="198"/>
      <c r="BR22" s="198"/>
      <c r="BS22" s="198"/>
      <c r="BT22" s="198"/>
      <c r="BU22" s="198"/>
      <c r="BV22"/>
      <c r="BW22" s="198"/>
      <c r="BX22" s="198"/>
      <c r="BY22" s="198"/>
      <c r="BZ22" s="198"/>
      <c r="CA22" s="198"/>
      <c r="CB22" s="201"/>
      <c r="CC22" s="201"/>
      <c r="CD22" s="201"/>
    </row>
    <row r="23" spans="1:87" s="202" customFormat="1">
      <c r="A23" s="193"/>
      <c r="B23" s="194"/>
      <c r="C23" s="195"/>
      <c r="D23" s="196"/>
      <c r="E23" s="196"/>
      <c r="F23" s="197"/>
      <c r="G23" s="198"/>
      <c r="H23" s="198"/>
      <c r="I23" s="199"/>
      <c r="J23" s="199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  <c r="BH23" s="198"/>
      <c r="BI23" s="198"/>
      <c r="BJ23" s="198"/>
      <c r="BK23" s="198"/>
      <c r="BL23" s="198"/>
      <c r="BM23" s="198"/>
      <c r="BN23" s="198"/>
      <c r="BO23" s="198"/>
      <c r="BP23" s="198"/>
      <c r="BQ23" s="198"/>
      <c r="BR23" s="198"/>
      <c r="BS23" s="198"/>
      <c r="BT23" s="198"/>
      <c r="BU23" s="198"/>
      <c r="BV23"/>
      <c r="BW23" s="198"/>
      <c r="BX23" s="198"/>
      <c r="BY23" s="198"/>
      <c r="BZ23" s="198"/>
      <c r="CA23" s="198"/>
      <c r="CB23" s="201"/>
      <c r="CC23" s="201"/>
      <c r="CD23" s="201"/>
    </row>
    <row r="24" spans="1:87" s="202" customFormat="1">
      <c r="A24" s="193"/>
      <c r="B24" s="194"/>
      <c r="C24" s="195"/>
      <c r="D24" s="196"/>
      <c r="E24" s="196"/>
      <c r="F24" s="197"/>
      <c r="G24" s="198"/>
      <c r="H24" s="198"/>
      <c r="I24" s="199"/>
      <c r="J24" s="199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198"/>
      <c r="BO24" s="198"/>
      <c r="BP24" s="198"/>
      <c r="BQ24" s="198"/>
      <c r="BR24" s="198"/>
      <c r="BS24" s="198"/>
      <c r="BT24" s="198"/>
      <c r="BU24" s="198"/>
      <c r="BV24"/>
      <c r="BW24" s="198"/>
      <c r="BX24" s="198"/>
      <c r="BY24" s="198"/>
      <c r="BZ24" s="198"/>
      <c r="CA24" s="198"/>
      <c r="CB24" s="201"/>
      <c r="CC24" s="201"/>
      <c r="CD24" s="201"/>
    </row>
  </sheetData>
  <autoFilter ref="A9:CI14" xr:uid="{00000000-0001-0000-0000-000000000000}"/>
  <dataConsolidate/>
  <mergeCells count="82"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Q6:Q8"/>
    <mergeCell ref="R6:R8"/>
    <mergeCell ref="S6:S8"/>
    <mergeCell ref="T6:T8"/>
    <mergeCell ref="P6:P8"/>
    <mergeCell ref="AX5:AX8"/>
    <mergeCell ref="AR5:AR8"/>
    <mergeCell ref="AS5:AS8"/>
    <mergeCell ref="AT5:AT8"/>
    <mergeCell ref="AU5:AU8"/>
    <mergeCell ref="AV5:AV8"/>
    <mergeCell ref="AW5:AW8"/>
    <mergeCell ref="AQ5:AQ8"/>
    <mergeCell ref="AA6:AA8"/>
    <mergeCell ref="U6:U8"/>
    <mergeCell ref="V6:W7"/>
    <mergeCell ref="X6:X8"/>
    <mergeCell ref="AY5:BQ5"/>
    <mergeCell ref="BR5:BS5"/>
    <mergeCell ref="BT5:BT8"/>
    <mergeCell ref="BF7:BF8"/>
    <mergeCell ref="BG7:BG8"/>
    <mergeCell ref="BH7:BH8"/>
    <mergeCell ref="BI7:BI8"/>
    <mergeCell ref="BS6:BS8"/>
    <mergeCell ref="BB7:BB8"/>
    <mergeCell ref="BC7:BC8"/>
    <mergeCell ref="BD7:BD8"/>
    <mergeCell ref="BE7:BE8"/>
    <mergeCell ref="K6:K8"/>
    <mergeCell ref="L6:L8"/>
    <mergeCell ref="M6:M8"/>
    <mergeCell ref="N6:N8"/>
    <mergeCell ref="O6:O8"/>
    <mergeCell ref="BX5:CA7"/>
    <mergeCell ref="CB5:CB8"/>
    <mergeCell ref="CC5:CC8"/>
    <mergeCell ref="CD5:CD8"/>
    <mergeCell ref="BU5:BU8"/>
    <mergeCell ref="BW5:BW8"/>
    <mergeCell ref="Y6:Y8"/>
    <mergeCell ref="Z6:Z8"/>
    <mergeCell ref="AM6:AM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AL6:AL8"/>
    <mergeCell ref="AN6:AN8"/>
    <mergeCell ref="AO6:AO8"/>
    <mergeCell ref="AY6:BL6"/>
    <mergeCell ref="BM6:BQ6"/>
    <mergeCell ref="BR6:BR8"/>
    <mergeCell ref="BP7:BP8"/>
    <mergeCell ref="BQ7:BQ8"/>
    <mergeCell ref="BJ7:BJ8"/>
    <mergeCell ref="BK7:BK8"/>
    <mergeCell ref="BL7:BL8"/>
    <mergeCell ref="BM7:BM8"/>
    <mergeCell ref="BN7:BN8"/>
    <mergeCell ref="BO7:BO8"/>
  </mergeCells>
  <conditionalFormatting sqref="B12:B16 B1:B9 C9:BU9 B20:B1048576">
    <cfRule type="duplicateValues" dxfId="19" priority="6"/>
    <cfRule type="duplicateValues" dxfId="18" priority="49"/>
  </conditionalFormatting>
  <conditionalFormatting sqref="B12:B16 B1:B9 D10:F10 J10:BK10 BM10:BU10 C9:BU9 B20:B1048576 BW9:CD10">
    <cfRule type="duplicateValues" dxfId="17" priority="54"/>
  </conditionalFormatting>
  <conditionalFormatting sqref="B19:C19">
    <cfRule type="duplicateValues" dxfId="16" priority="1"/>
    <cfRule type="duplicateValues" dxfId="15" priority="2"/>
    <cfRule type="duplicateValues" dxfId="14" priority="3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12D2-8A40-4046-B0FE-B2F6FB806D49}">
  <sheetPr>
    <tabColor theme="0" tint="-0.499984740745262"/>
  </sheetPr>
  <dimension ref="A1:CI26"/>
  <sheetViews>
    <sheetView zoomScaleNormal="100" zoomScaleSheetLayoutView="70" workbookViewId="0">
      <pane xSplit="6" ySplit="14" topLeftCell="G15" activePane="bottomRight" state="frozen"/>
      <selection pane="bottomRight" activeCell="BW15" sqref="BW15:BW21"/>
      <selection pane="bottomLeft" activeCell="E18" sqref="E18"/>
      <selection pane="topRight" activeCell="E18" sqref="E18"/>
    </sheetView>
  </sheetViews>
  <sheetFormatPr defaultColWidth="9.140625" defaultRowHeight="15" outlineLevelRow="1" outlineLevelCol="1"/>
  <cols>
    <col min="1" max="1" width="5.42578125" style="61" customWidth="1"/>
    <col min="2" max="2" width="8.42578125" style="66" customWidth="1"/>
    <col min="3" max="3" width="10.85546875" style="67" bestFit="1" customWidth="1"/>
    <col min="4" max="4" width="5.5703125" style="68" bestFit="1" customWidth="1" outlineLevel="1"/>
    <col min="5" max="5" width="5.5703125" style="68" customWidth="1" outlineLevel="1"/>
    <col min="6" max="6" width="5.5703125" style="69" bestFit="1" customWidth="1" outlineLevel="1"/>
    <col min="7" max="7" width="13.7109375" style="64" bestFit="1" customWidth="1"/>
    <col min="8" max="8" width="12.42578125" style="64" customWidth="1"/>
    <col min="9" max="9" width="12.42578125" customWidth="1"/>
    <col min="10" max="10" width="7.5703125" customWidth="1" outlineLevel="1"/>
    <col min="11" max="24" width="7.140625" style="62" customWidth="1"/>
    <col min="25" max="47" width="12.28515625" style="63" customWidth="1"/>
    <col min="48" max="49" width="13" style="63" customWidth="1"/>
    <col min="50" max="50" width="6.7109375" style="63" customWidth="1"/>
    <col min="51" max="53" width="10.42578125" style="63" customWidth="1" outlineLevel="1"/>
    <col min="54" max="71" width="10.42578125" style="63" customWidth="1"/>
    <col min="72" max="72" width="12.42578125" style="63" customWidth="1"/>
    <col min="73" max="73" width="12.42578125" style="63" hidden="1" customWidth="1"/>
    <col min="74" max="74" width="12.42578125" style="122" customWidth="1"/>
    <col min="75" max="79" width="12.7109375" style="64" customWidth="1" outlineLevel="1"/>
    <col min="80" max="80" width="12.7109375" style="65" customWidth="1" outlineLevel="1"/>
    <col min="81" max="82" width="10.7109375" style="65" customWidth="1" outlineLevel="1"/>
    <col min="83" max="83" width="19.42578125" style="36" customWidth="1"/>
    <col min="84" max="84" width="12.28515625" style="36" customWidth="1"/>
    <col min="85" max="85" width="12.42578125" style="36" customWidth="1"/>
    <col min="86" max="86" width="11.7109375" style="36" customWidth="1"/>
    <col min="87" max="16384" width="9.1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149999999999999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316" t="str">
        <f ca="1">"BẢNG THANH TOÁN TIỀN LƯƠNG THÁNG …."&amp;" NĂM "&amp;YEAR(NOW())</f>
        <v>BẢNG THANH TOÁN TIỀN LƯƠNG THÁNG …. NĂM 2026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  <c r="BE3" s="316"/>
      <c r="BF3" s="316"/>
      <c r="BG3" s="316"/>
      <c r="BH3" s="316"/>
      <c r="BI3" s="316"/>
      <c r="BJ3" s="316"/>
      <c r="BK3" s="316"/>
      <c r="BL3" s="316"/>
      <c r="BM3" s="316"/>
      <c r="BN3" s="316"/>
      <c r="BO3" s="316"/>
      <c r="BP3" s="316"/>
      <c r="BQ3" s="316"/>
      <c r="BR3" s="316"/>
      <c r="BS3" s="316"/>
      <c r="BT3" s="316"/>
      <c r="BU3" s="316"/>
      <c r="BV3" s="110"/>
      <c r="BW3" s="297" t="s">
        <v>2</v>
      </c>
      <c r="BX3" s="297"/>
      <c r="BY3" s="297"/>
      <c r="BZ3" s="297"/>
      <c r="CA3" s="297"/>
      <c r="CB3" s="298"/>
      <c r="CC3" s="71"/>
      <c r="CD3" s="71"/>
      <c r="CE3" s="16" t="s">
        <v>3</v>
      </c>
      <c r="CF3" s="16">
        <v>25</v>
      </c>
    </row>
    <row r="4" spans="1:87" s="16" customFormat="1" ht="21.6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298"/>
      <c r="BX4" s="298"/>
      <c r="BY4" s="298"/>
      <c r="BZ4" s="298"/>
      <c r="CA4" s="298"/>
      <c r="CB4" s="298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298"/>
      <c r="BX5" s="298"/>
      <c r="BY5" s="298"/>
      <c r="BZ5" s="298"/>
      <c r="CA5" s="298"/>
      <c r="CB5" s="298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297"/>
      <c r="BX6" s="297"/>
      <c r="BY6" s="297"/>
      <c r="BZ6" s="297"/>
      <c r="CA6" s="297"/>
      <c r="CB6" s="298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149999999999999" customHeight="1">
      <c r="A8" s="299" t="s">
        <v>4</v>
      </c>
      <c r="B8" s="302" t="s">
        <v>5</v>
      </c>
      <c r="C8" s="245" t="s">
        <v>6</v>
      </c>
      <c r="D8" s="305" t="s">
        <v>142</v>
      </c>
      <c r="E8" s="305" t="s">
        <v>8</v>
      </c>
      <c r="F8" s="340" t="s">
        <v>143</v>
      </c>
      <c r="G8" s="308" t="s">
        <v>10</v>
      </c>
      <c r="H8" s="276" t="s">
        <v>11</v>
      </c>
      <c r="I8" s="276" t="s">
        <v>12</v>
      </c>
      <c r="J8" s="308" t="s">
        <v>13</v>
      </c>
      <c r="K8" s="279" t="s">
        <v>14</v>
      </c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1" t="s">
        <v>15</v>
      </c>
      <c r="Z8" s="282"/>
      <c r="AA8" s="282"/>
      <c r="AB8" s="282"/>
      <c r="AC8" s="282"/>
      <c r="AD8" s="282"/>
      <c r="AE8" s="282"/>
      <c r="AF8" s="282"/>
      <c r="AG8" s="282"/>
      <c r="AH8" s="282"/>
      <c r="AI8" s="282"/>
      <c r="AJ8" s="282"/>
      <c r="AK8" s="282"/>
      <c r="AL8" s="282"/>
      <c r="AM8" s="282"/>
      <c r="AN8" s="282"/>
      <c r="AO8" s="283"/>
      <c r="AP8" s="308" t="s">
        <v>16</v>
      </c>
      <c r="AQ8" s="308" t="s">
        <v>17</v>
      </c>
      <c r="AR8" s="308" t="s">
        <v>18</v>
      </c>
      <c r="AS8" s="308" t="s">
        <v>19</v>
      </c>
      <c r="AT8" s="308" t="s">
        <v>20</v>
      </c>
      <c r="AU8" s="308" t="s">
        <v>21</v>
      </c>
      <c r="AV8" s="245" t="s">
        <v>22</v>
      </c>
      <c r="AW8" s="245" t="s">
        <v>23</v>
      </c>
      <c r="AX8" s="245" t="s">
        <v>24</v>
      </c>
      <c r="AY8" s="313" t="s">
        <v>25</v>
      </c>
      <c r="AZ8" s="314"/>
      <c r="BA8" s="314"/>
      <c r="BB8" s="314"/>
      <c r="BC8" s="314"/>
      <c r="BD8" s="314"/>
      <c r="BE8" s="314"/>
      <c r="BF8" s="314"/>
      <c r="BG8" s="314"/>
      <c r="BH8" s="314"/>
      <c r="BI8" s="314"/>
      <c r="BJ8" s="314"/>
      <c r="BK8" s="314"/>
      <c r="BL8" s="314"/>
      <c r="BM8" s="314"/>
      <c r="BN8" s="314"/>
      <c r="BO8" s="314"/>
      <c r="BP8" s="315"/>
      <c r="BQ8" s="268" t="s">
        <v>26</v>
      </c>
      <c r="BR8" s="275"/>
      <c r="BS8" s="265" t="s">
        <v>144</v>
      </c>
      <c r="BT8" s="265" t="s">
        <v>27</v>
      </c>
      <c r="BU8" s="268" t="s">
        <v>28</v>
      </c>
      <c r="BV8" s="114"/>
      <c r="BW8" s="250" t="s">
        <v>29</v>
      </c>
      <c r="BX8" s="253" t="s">
        <v>30</v>
      </c>
      <c r="BY8" s="254"/>
      <c r="BZ8" s="254"/>
      <c r="CA8" s="255"/>
      <c r="CB8" s="262" t="s">
        <v>31</v>
      </c>
      <c r="CC8" s="242" t="s">
        <v>32</v>
      </c>
      <c r="CD8" s="242" t="s">
        <v>33</v>
      </c>
      <c r="CH8" s="27"/>
      <c r="CI8" s="28"/>
    </row>
    <row r="9" spans="1:87" s="11" customFormat="1" ht="19.149999999999999" customHeight="1">
      <c r="A9" s="300"/>
      <c r="B9" s="303"/>
      <c r="C9" s="246"/>
      <c r="D9" s="306"/>
      <c r="E9" s="306"/>
      <c r="F9" s="341"/>
      <c r="G9" s="309"/>
      <c r="H9" s="277"/>
      <c r="I9" s="277"/>
      <c r="J9" s="309"/>
      <c r="K9" s="284" t="s">
        <v>34</v>
      </c>
      <c r="L9" s="284" t="s">
        <v>35</v>
      </c>
      <c r="M9" s="284" t="s">
        <v>36</v>
      </c>
      <c r="N9" s="284" t="s">
        <v>37</v>
      </c>
      <c r="O9" s="284" t="s">
        <v>38</v>
      </c>
      <c r="P9" s="284" t="s">
        <v>39</v>
      </c>
      <c r="Q9" s="284" t="s">
        <v>40</v>
      </c>
      <c r="R9" s="284" t="s">
        <v>41</v>
      </c>
      <c r="S9" s="284" t="s">
        <v>42</v>
      </c>
      <c r="T9" s="284" t="s">
        <v>43</v>
      </c>
      <c r="U9" s="284" t="s">
        <v>44</v>
      </c>
      <c r="V9" s="293" t="s">
        <v>45</v>
      </c>
      <c r="W9" s="294"/>
      <c r="X9" s="284" t="s">
        <v>46</v>
      </c>
      <c r="Y9" s="287" t="s">
        <v>47</v>
      </c>
      <c r="Z9" s="287" t="s">
        <v>48</v>
      </c>
      <c r="AA9" s="287" t="s">
        <v>49</v>
      </c>
      <c r="AB9" s="287" t="s">
        <v>50</v>
      </c>
      <c r="AC9" s="290" t="s">
        <v>51</v>
      </c>
      <c r="AD9" s="290" t="s">
        <v>145</v>
      </c>
      <c r="AE9" s="290" t="s">
        <v>53</v>
      </c>
      <c r="AF9" s="290" t="s">
        <v>54</v>
      </c>
      <c r="AG9" s="287" t="s">
        <v>55</v>
      </c>
      <c r="AH9" s="290" t="s">
        <v>56</v>
      </c>
      <c r="AI9" s="290" t="s">
        <v>57</v>
      </c>
      <c r="AJ9" s="287" t="s">
        <v>58</v>
      </c>
      <c r="AK9" s="320" t="s">
        <v>59</v>
      </c>
      <c r="AL9" s="245" t="s">
        <v>60</v>
      </c>
      <c r="AM9" s="287" t="s">
        <v>61</v>
      </c>
      <c r="AN9" s="317" t="s">
        <v>62</v>
      </c>
      <c r="AO9" s="245" t="s">
        <v>63</v>
      </c>
      <c r="AP9" s="309"/>
      <c r="AQ9" s="309"/>
      <c r="AR9" s="309"/>
      <c r="AS9" s="309"/>
      <c r="AT9" s="309"/>
      <c r="AU9" s="309"/>
      <c r="AV9" s="246"/>
      <c r="AW9" s="246"/>
      <c r="AX9" s="246"/>
      <c r="AY9" s="313" t="s">
        <v>64</v>
      </c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5"/>
      <c r="BK9" s="313" t="s">
        <v>65</v>
      </c>
      <c r="BL9" s="314"/>
      <c r="BM9" s="314"/>
      <c r="BN9" s="314"/>
      <c r="BO9" s="314"/>
      <c r="BP9" s="315"/>
      <c r="BQ9" s="266" t="s">
        <v>66</v>
      </c>
      <c r="BR9" s="266" t="s">
        <v>67</v>
      </c>
      <c r="BS9" s="266"/>
      <c r="BT9" s="266"/>
      <c r="BU9" s="269"/>
      <c r="BV9" s="114"/>
      <c r="BW9" s="251"/>
      <c r="BX9" s="256"/>
      <c r="BY9" s="257"/>
      <c r="BZ9" s="257"/>
      <c r="CA9" s="258"/>
      <c r="CB9" s="263"/>
      <c r="CC9" s="243"/>
      <c r="CD9" s="243"/>
      <c r="CH9" s="27"/>
      <c r="CI9" s="28"/>
    </row>
    <row r="10" spans="1:87" s="29" customFormat="1" ht="19.149999999999999" customHeight="1">
      <c r="A10" s="300"/>
      <c r="B10" s="303"/>
      <c r="C10" s="246"/>
      <c r="D10" s="306"/>
      <c r="E10" s="306"/>
      <c r="F10" s="341"/>
      <c r="G10" s="309"/>
      <c r="H10" s="277"/>
      <c r="I10" s="277"/>
      <c r="J10" s="309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95"/>
      <c r="W10" s="296"/>
      <c r="X10" s="285"/>
      <c r="Y10" s="288"/>
      <c r="Z10" s="288"/>
      <c r="AA10" s="288"/>
      <c r="AB10" s="288"/>
      <c r="AC10" s="291"/>
      <c r="AD10" s="291"/>
      <c r="AE10" s="291"/>
      <c r="AF10" s="291"/>
      <c r="AG10" s="288"/>
      <c r="AH10" s="291"/>
      <c r="AI10" s="291"/>
      <c r="AJ10" s="288"/>
      <c r="AK10" s="321"/>
      <c r="AL10" s="246"/>
      <c r="AM10" s="288"/>
      <c r="AN10" s="318"/>
      <c r="AO10" s="246"/>
      <c r="AP10" s="309"/>
      <c r="AQ10" s="309"/>
      <c r="AR10" s="309"/>
      <c r="AS10" s="309"/>
      <c r="AT10" s="309"/>
      <c r="AU10" s="309"/>
      <c r="AV10" s="246"/>
      <c r="AW10" s="246"/>
      <c r="AX10" s="246"/>
      <c r="AY10" s="101" t="s">
        <v>68</v>
      </c>
      <c r="AZ10" s="101" t="s">
        <v>69</v>
      </c>
      <c r="BA10" s="101" t="s">
        <v>70</v>
      </c>
      <c r="BB10" s="349" t="s">
        <v>71</v>
      </c>
      <c r="BC10" s="343" t="s">
        <v>72</v>
      </c>
      <c r="BD10" s="343" t="s">
        <v>73</v>
      </c>
      <c r="BE10" s="343" t="s">
        <v>146</v>
      </c>
      <c r="BF10" s="343" t="s">
        <v>75</v>
      </c>
      <c r="BG10" s="343" t="s">
        <v>76</v>
      </c>
      <c r="BH10" s="343" t="s">
        <v>77</v>
      </c>
      <c r="BI10" s="343" t="s">
        <v>80</v>
      </c>
      <c r="BJ10" s="347" t="s">
        <v>81</v>
      </c>
      <c r="BK10" s="343" t="s">
        <v>82</v>
      </c>
      <c r="BL10" s="345" t="s">
        <v>83</v>
      </c>
      <c r="BM10" s="343" t="s">
        <v>84</v>
      </c>
      <c r="BN10" s="345" t="s">
        <v>85</v>
      </c>
      <c r="BO10" s="345" t="s">
        <v>147</v>
      </c>
      <c r="BP10" s="265" t="s">
        <v>86</v>
      </c>
      <c r="BQ10" s="266"/>
      <c r="BR10" s="266"/>
      <c r="BS10" s="266"/>
      <c r="BT10" s="266"/>
      <c r="BU10" s="269"/>
      <c r="BV10" s="114"/>
      <c r="BW10" s="252"/>
      <c r="BX10" s="259"/>
      <c r="BY10" s="260"/>
      <c r="BZ10" s="260"/>
      <c r="CA10" s="261"/>
      <c r="CB10" s="264"/>
      <c r="CC10" s="244"/>
      <c r="CD10" s="244"/>
      <c r="CH10" s="27"/>
      <c r="CI10" s="28"/>
    </row>
    <row r="11" spans="1:87" s="29" customFormat="1" ht="38.25">
      <c r="A11" s="301"/>
      <c r="B11" s="304"/>
      <c r="C11" s="247"/>
      <c r="D11" s="307"/>
      <c r="E11" s="307"/>
      <c r="F11" s="342"/>
      <c r="G11" s="310"/>
      <c r="H11" s="278"/>
      <c r="I11" s="278"/>
      <c r="J11" s="310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30" t="s">
        <v>87</v>
      </c>
      <c r="W11" s="30" t="s">
        <v>88</v>
      </c>
      <c r="X11" s="286"/>
      <c r="Y11" s="289"/>
      <c r="Z11" s="289"/>
      <c r="AA11" s="289"/>
      <c r="AB11" s="289"/>
      <c r="AC11" s="292"/>
      <c r="AD11" s="292"/>
      <c r="AE11" s="292"/>
      <c r="AF11" s="292"/>
      <c r="AG11" s="289"/>
      <c r="AH11" s="292"/>
      <c r="AI11" s="292"/>
      <c r="AJ11" s="289"/>
      <c r="AK11" s="322"/>
      <c r="AL11" s="247"/>
      <c r="AM11" s="289"/>
      <c r="AN11" s="319"/>
      <c r="AO11" s="247"/>
      <c r="AP11" s="310"/>
      <c r="AQ11" s="310"/>
      <c r="AR11" s="310"/>
      <c r="AS11" s="310"/>
      <c r="AT11" s="310"/>
      <c r="AU11" s="310"/>
      <c r="AV11" s="247"/>
      <c r="AW11" s="247"/>
      <c r="AX11" s="247"/>
      <c r="AY11" s="102" t="s">
        <v>89</v>
      </c>
      <c r="AZ11" s="102" t="s">
        <v>90</v>
      </c>
      <c r="BA11" s="102" t="s">
        <v>91</v>
      </c>
      <c r="BB11" s="350"/>
      <c r="BC11" s="344"/>
      <c r="BD11" s="344"/>
      <c r="BE11" s="344"/>
      <c r="BF11" s="344"/>
      <c r="BG11" s="344"/>
      <c r="BH11" s="344"/>
      <c r="BI11" s="344"/>
      <c r="BJ11" s="348"/>
      <c r="BK11" s="344"/>
      <c r="BL11" s="346"/>
      <c r="BM11" s="344"/>
      <c r="BN11" s="346"/>
      <c r="BO11" s="346"/>
      <c r="BP11" s="267"/>
      <c r="BQ11" s="267"/>
      <c r="BR11" s="267"/>
      <c r="BS11" s="267"/>
      <c r="BT11" s="267"/>
      <c r="BU11" s="270"/>
      <c r="BV11" s="114"/>
      <c r="BW11" s="252"/>
      <c r="BX11" s="72" t="s">
        <v>92</v>
      </c>
      <c r="BY11" s="72" t="s">
        <v>93</v>
      </c>
      <c r="BZ11" s="72" t="s">
        <v>94</v>
      </c>
      <c r="CA11" s="73" t="s">
        <v>95</v>
      </c>
      <c r="CB11" s="264"/>
      <c r="CC11" s="244"/>
      <c r="CD11" s="244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 t="shared" ref="C12:BN12" si="0">B12+1</f>
        <v>3</v>
      </c>
      <c r="D12" s="33">
        <f t="shared" si="0"/>
        <v>4</v>
      </c>
      <c r="E12" s="33"/>
      <c r="F12" s="33">
        <f>D12+1</f>
        <v>5</v>
      </c>
      <c r="G12" s="33">
        <f t="shared" si="0"/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si="0"/>
        <v>49</v>
      </c>
      <c r="BA12" s="33">
        <f t="shared" si="0"/>
        <v>50</v>
      </c>
      <c r="BB12" s="33">
        <f t="shared" si="0"/>
        <v>51</v>
      </c>
      <c r="BC12" s="33">
        <f t="shared" si="0"/>
        <v>52</v>
      </c>
      <c r="BD12" s="33">
        <f t="shared" si="0"/>
        <v>53</v>
      </c>
      <c r="BE12" s="33">
        <f t="shared" si="0"/>
        <v>54</v>
      </c>
      <c r="BF12" s="33"/>
      <c r="BG12" s="33"/>
      <c r="BH12" s="33"/>
      <c r="BI12" s="33"/>
      <c r="BJ12" s="33">
        <f>BE12+1</f>
        <v>55</v>
      </c>
      <c r="BK12" s="33">
        <f t="shared" si="0"/>
        <v>56</v>
      </c>
      <c r="BL12" s="33">
        <f t="shared" si="0"/>
        <v>57</v>
      </c>
      <c r="BM12" s="33">
        <f t="shared" si="0"/>
        <v>58</v>
      </c>
      <c r="BN12" s="33">
        <f t="shared" si="0"/>
        <v>59</v>
      </c>
      <c r="BO12" s="33"/>
      <c r="BP12" s="33">
        <f>BN12+1</f>
        <v>60</v>
      </c>
      <c r="BQ12" s="33">
        <f t="shared" ref="BQ12:BU12" si="1">BP12+1</f>
        <v>61</v>
      </c>
      <c r="BR12" s="33">
        <f t="shared" si="1"/>
        <v>62</v>
      </c>
      <c r="BS12" s="33"/>
      <c r="BT12" s="33">
        <f>BR12+1</f>
        <v>63</v>
      </c>
      <c r="BU12" s="33">
        <f t="shared" si="1"/>
        <v>64</v>
      </c>
      <c r="BV12" s="115"/>
      <c r="BW12" s="106" t="s">
        <v>96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97</v>
      </c>
      <c r="B13" s="79" t="s">
        <v>97</v>
      </c>
      <c r="C13" s="79" t="s">
        <v>97</v>
      </c>
      <c r="D13" s="33"/>
      <c r="E13" s="33"/>
      <c r="F13" s="33"/>
      <c r="G13" s="79" t="s">
        <v>97</v>
      </c>
      <c r="H13" s="79" t="s">
        <v>97</v>
      </c>
      <c r="I13" s="79" t="s">
        <v>97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 t="shared" ref="H14:I14" si="3">SUM(H15:H21)</f>
        <v>4020000</v>
      </c>
      <c r="I14" s="81">
        <f t="shared" si="3"/>
        <v>167340000</v>
      </c>
      <c r="J14" s="81"/>
      <c r="K14" s="83">
        <f t="shared" ref="K14:BU14" si="4"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 t="shared" si="4"/>
        <v>0</v>
      </c>
      <c r="T14" s="83"/>
      <c r="U14" s="83">
        <f t="shared" si="4"/>
        <v>0</v>
      </c>
      <c r="V14" s="83">
        <f t="shared" si="4"/>
        <v>0</v>
      </c>
      <c r="W14" s="83">
        <f t="shared" si="4"/>
        <v>0</v>
      </c>
      <c r="X14" s="83">
        <f t="shared" si="4"/>
        <v>0</v>
      </c>
      <c r="Y14" s="81">
        <f t="shared" si="4"/>
        <v>20878269.230769232</v>
      </c>
      <c r="Z14" s="81"/>
      <c r="AA14" s="81"/>
      <c r="AB14" s="81"/>
      <c r="AC14" s="81">
        <f t="shared" si="4"/>
        <v>0</v>
      </c>
      <c r="AD14" s="81">
        <f t="shared" si="4"/>
        <v>0</v>
      </c>
      <c r="AE14" s="81"/>
      <c r="AF14" s="81">
        <f t="shared" si="4"/>
        <v>0</v>
      </c>
      <c r="AG14" s="81">
        <f t="shared" si="4"/>
        <v>0</v>
      </c>
      <c r="AH14" s="81">
        <f t="shared" si="4"/>
        <v>0</v>
      </c>
      <c r="AI14" s="81">
        <f t="shared" si="4"/>
        <v>0</v>
      </c>
      <c r="AJ14" s="81">
        <f t="shared" si="4"/>
        <v>0</v>
      </c>
      <c r="AK14" s="81">
        <f t="shared" si="4"/>
        <v>0</v>
      </c>
      <c r="AL14" s="81">
        <f t="shared" si="4"/>
        <v>0</v>
      </c>
      <c r="AM14" s="81">
        <f t="shared" si="4"/>
        <v>0</v>
      </c>
      <c r="AN14" s="81">
        <f t="shared" si="4"/>
        <v>1655769.230769231</v>
      </c>
      <c r="AO14" s="81">
        <f t="shared" si="4"/>
        <v>92927596.15384616</v>
      </c>
      <c r="AP14" s="81"/>
      <c r="AQ14" s="81"/>
      <c r="AR14" s="81"/>
      <c r="AS14" s="81"/>
      <c r="AT14" s="81"/>
      <c r="AU14" s="81"/>
      <c r="AV14" s="81">
        <f t="shared" si="4"/>
        <v>128527211.53846155</v>
      </c>
      <c r="AW14" s="81"/>
      <c r="AX14" s="81"/>
      <c r="AY14" s="81">
        <f t="shared" si="4"/>
        <v>4348800</v>
      </c>
      <c r="AZ14" s="81">
        <f t="shared" si="4"/>
        <v>815400</v>
      </c>
      <c r="BA14" s="81">
        <f t="shared" si="4"/>
        <v>543600</v>
      </c>
      <c r="BB14" s="81">
        <f t="shared" si="4"/>
        <v>5707800</v>
      </c>
      <c r="BC14" s="81">
        <f t="shared" si="4"/>
        <v>0</v>
      </c>
      <c r="BD14" s="81"/>
      <c r="BE14" s="81">
        <f t="shared" si="4"/>
        <v>503400</v>
      </c>
      <c r="BF14" s="81"/>
      <c r="BG14" s="81"/>
      <c r="BH14" s="81"/>
      <c r="BI14" s="81"/>
      <c r="BJ14" s="81">
        <f t="shared" si="4"/>
        <v>4630005</v>
      </c>
      <c r="BK14" s="81">
        <f t="shared" si="4"/>
        <v>0</v>
      </c>
      <c r="BL14" s="81">
        <f t="shared" si="4"/>
        <v>0</v>
      </c>
      <c r="BM14" s="81">
        <f t="shared" si="4"/>
        <v>0</v>
      </c>
      <c r="BN14" s="81">
        <f t="shared" si="4"/>
        <v>0</v>
      </c>
      <c r="BO14" s="81"/>
      <c r="BP14" s="81">
        <f t="shared" si="4"/>
        <v>0</v>
      </c>
      <c r="BQ14" s="81"/>
      <c r="BR14" s="81"/>
      <c r="BS14" s="81"/>
      <c r="BT14" s="81">
        <f t="shared" si="4"/>
        <v>104321384.61538464</v>
      </c>
      <c r="BU14" s="104">
        <f t="shared" si="4"/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6" customHeight="1">
      <c r="A15" s="87">
        <f>IF(B15=0,"",COUNTA($B$15:(B15)))</f>
        <v>1</v>
      </c>
      <c r="B15" s="88">
        <v>2405236</v>
      </c>
      <c r="C15" s="89" t="s">
        <v>98</v>
      </c>
      <c r="D15" s="90" t="s">
        <v>99</v>
      </c>
      <c r="E15" s="123" t="s">
        <v>114</v>
      </c>
      <c r="F15" s="124" t="s">
        <v>101</v>
      </c>
      <c r="G15" s="91">
        <v>9520000</v>
      </c>
      <c r="H15" s="91">
        <f>+IF(OR(CC15="ĐT PCCC",CC15="ĐP PCCC"),780000,IF(CC15="AT-VSV",300000,0))</f>
        <v>780000</v>
      </c>
      <c r="I15" s="91">
        <f>CB15-BZ15-G15-H15</f>
        <v>49700000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>G15*(K15+L15)/26</f>
        <v>4027692.3076923075</v>
      </c>
      <c r="Z15" s="91">
        <f>M15*G15/26</f>
        <v>0</v>
      </c>
      <c r="AA15" s="91">
        <f>G15*N15/26</f>
        <v>0</v>
      </c>
      <c r="AB15" s="91">
        <f>G15*O15/26</f>
        <v>732307.69230769225</v>
      </c>
      <c r="AC15" s="91">
        <f>G15*P15*150%/26</f>
        <v>0</v>
      </c>
      <c r="AD15" s="91">
        <f>G15*Q15/26*200%</f>
        <v>0</v>
      </c>
      <c r="AE15" s="91">
        <f>G15*R15/26*300%</f>
        <v>0</v>
      </c>
      <c r="AF15" s="91">
        <f>IF(F15="LT",0,(G15+H15)/26*S15*30%)</f>
        <v>0</v>
      </c>
      <c r="AG15" s="91">
        <f>T15*G15/23/8</f>
        <v>0</v>
      </c>
      <c r="AH15" s="91">
        <f>CB15/26*U15</f>
        <v>0</v>
      </c>
      <c r="AI15" s="91">
        <f>G15*V15/26</f>
        <v>0</v>
      </c>
      <c r="AJ15" s="91"/>
      <c r="AK15" s="91">
        <f>BZ15*L15/26</f>
        <v>0</v>
      </c>
      <c r="AL15" s="91"/>
      <c r="AM15" s="91">
        <f>X15*CD15</f>
        <v>0</v>
      </c>
      <c r="AN15" s="91">
        <f>H15/26*(K15+L15)</f>
        <v>330000</v>
      </c>
      <c r="AO15" s="91">
        <f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27217692.307692312</v>
      </c>
      <c r="AP15" s="91"/>
      <c r="AQ15" s="91"/>
      <c r="AR15" s="91"/>
      <c r="AS15" s="91"/>
      <c r="AT15" s="91"/>
      <c r="AU15" s="91"/>
      <c r="AV15" s="94">
        <f>Y15+Z15+AA15+AB15+AC15+AD15+AE15+AF15+AG15+AI15+AJ15+AK15+AL15+AM15+AN15+AO15+AP15-AQ15+AR15+AS15+AT15+AU15</f>
        <v>32307692.307692312</v>
      </c>
      <c r="AW15" s="94"/>
      <c r="AX15" s="94" t="s">
        <v>102</v>
      </c>
      <c r="AY15" s="85">
        <f>ROUND(IF($AX15="x",($G15+$H15)*AY$11,0),0)</f>
        <v>824000</v>
      </c>
      <c r="AZ15" s="85">
        <f>ROUND(IF($AX15="x",($G15+$H15)*AZ$11,0),0)</f>
        <v>154500</v>
      </c>
      <c r="BA15" s="85">
        <f>ROUND(IF($AX15="x",($G15+$H15)*BA$11,0),0)</f>
        <v>103000</v>
      </c>
      <c r="BB15" s="85">
        <f>SUM(AY15:BA15)</f>
        <v>1081500</v>
      </c>
      <c r="BC15" s="85"/>
      <c r="BD15" s="85"/>
      <c r="BE15" s="85">
        <f>IF(G15*1%&gt;=234000,234000,G15*1%)</f>
        <v>95200</v>
      </c>
      <c r="BF15" s="85">
        <f>AM15+IF(AR15&gt;="730000",730000,AR15)+IF(((AV15-AM15-IF(AR15&gt;="730000",730000,AR15)-AS15)*15%-AS15)&gt;"0",((AV15-AM15-IF(AR15&gt;="730000",730000,AR15)-AS15)*15%-AS15),0)</f>
        <v>0</v>
      </c>
      <c r="BG15" s="85">
        <f>AV15-BF15+AW15</f>
        <v>32307692.307692312</v>
      </c>
      <c r="BH15" s="85">
        <v>3</v>
      </c>
      <c r="BI15" s="85">
        <f>BG15-BB15-BC15+BD15-BH15*4400000-IF(E15="CT",11000000,0)</f>
        <v>18026192.307692312</v>
      </c>
      <c r="BJ15" s="84">
        <f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1955238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>IF(AV15&gt;=11000000,"80%","100%")</f>
        <v>80%</v>
      </c>
      <c r="BT15" s="85">
        <f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>SUM(BW15:CA15)</f>
        <v>60000000</v>
      </c>
      <c r="CC15" s="84" t="s">
        <v>123</v>
      </c>
      <c r="CD15" s="84"/>
      <c r="CE15" s="95"/>
      <c r="CF15" s="96"/>
      <c r="CG15" s="96"/>
      <c r="CH15" s="97"/>
      <c r="CI15" s="98"/>
    </row>
    <row r="16" spans="1:87" s="99" customFormat="1" ht="30.6" customHeight="1">
      <c r="A16" s="87">
        <f>IF(B16=0,"",COUNTA($B$15:(B16)))</f>
        <v>2</v>
      </c>
      <c r="B16" s="88">
        <v>2106723</v>
      </c>
      <c r="C16" s="89" t="s">
        <v>103</v>
      </c>
      <c r="D16" s="90" t="s">
        <v>104</v>
      </c>
      <c r="E16" s="123" t="s">
        <v>100</v>
      </c>
      <c r="F16" s="124" t="s">
        <v>101</v>
      </c>
      <c r="G16" s="91">
        <v>8480000</v>
      </c>
      <c r="H16" s="91">
        <f>+IF(OR(CC16="ĐT PCCC",CC16="ĐP PCCC"),780000,IF(CC16="AT-VSV",300000,0))</f>
        <v>780000</v>
      </c>
      <c r="I16" s="91">
        <f>CB16-BZ16-G16-H16</f>
        <v>32740000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ref="Y16:Y17" si="5">G16*(K16+L16)/26</f>
        <v>3424615.3846153845</v>
      </c>
      <c r="Z16" s="91">
        <f t="shared" ref="Z16:Z17" si="6">M16*G16/26</f>
        <v>163076.92307692306</v>
      </c>
      <c r="AA16" s="91">
        <f t="shared" ref="AA16:AA17" si="7">G16*N16/26</f>
        <v>0</v>
      </c>
      <c r="AB16" s="91">
        <f t="shared" ref="AB16:AB17" si="8">G16*O16/26</f>
        <v>652307.69230769225</v>
      </c>
      <c r="AC16" s="91">
        <f t="shared" ref="AC16:AC17" si="9">G16*P16*150%/26</f>
        <v>0</v>
      </c>
      <c r="AD16" s="91">
        <f t="shared" ref="AD16:AD17" si="10">G16*Q16/26*200%</f>
        <v>0</v>
      </c>
      <c r="AE16" s="91">
        <f t="shared" ref="AE16:AE17" si="11">G16*R16/26*300%</f>
        <v>0</v>
      </c>
      <c r="AF16" s="91">
        <f t="shared" ref="AF16:AF17" si="12">IF(F16="LT",0,(G16+H16)/26*S16*30%)</f>
        <v>0</v>
      </c>
      <c r="AG16" s="91">
        <f t="shared" ref="AG16:AG17" si="13">T16*G16/23/8</f>
        <v>0</v>
      </c>
      <c r="AH16" s="91">
        <f>CB16/26*U16</f>
        <v>0</v>
      </c>
      <c r="AI16" s="91">
        <f t="shared" ref="AI16:AI17" si="14">G16*V16/26</f>
        <v>0</v>
      </c>
      <c r="AJ16" s="91"/>
      <c r="AK16" s="91">
        <f>BZ16*L16/26</f>
        <v>0</v>
      </c>
      <c r="AL16" s="91"/>
      <c r="AM16" s="91">
        <f>X16*CD16</f>
        <v>0</v>
      </c>
      <c r="AN16" s="91">
        <f t="shared" ref="AN16:AN17" si="15">H16/26*K16</f>
        <v>315000</v>
      </c>
      <c r="AO16" s="91">
        <f t="shared" ref="AO16:AO17" si="16">IF(F16="LN",I16*(K16+L16)/26+(H16+I16)*50%*M16/26+IF(F16="LT",BW16*O16/26-AB16,0)+MAX($G16*P16/26*150%,P16*$BW16/26)-AC16+MAX($G16*Q16/26*200%,Q16*$BW16/26)-AD16+MAX($G16*R16/26*300%,R16*$BW16/26)-AE16+BW16*S16/26-AF16+AH16-AG16,I16-I16*($CF$3-K16-L16)/26+(H16+I16)*50%*M16/26+IF(F16="LT",BW16*O16/26-AB16,0)+MAX($G16*P16/26*150%,P16*$BW16/26)-AC16+MAX($G16*Q16/26*200%,Q16*$BW16/26)-AD16+MAX($G16*R16/26*300%,R16*$BW16/26)-AE16+BW16*S16/26-AF16+AH16-AG16+(G16-G16*($CF$3-K16-L16)/26-Y16)+(H16-H16*($CF$3-K16-L16)/26-AN16))</f>
        <v>17584230.769230772</v>
      </c>
      <c r="AP16" s="91"/>
      <c r="AQ16" s="91"/>
      <c r="AR16" s="91"/>
      <c r="AS16" s="91"/>
      <c r="AT16" s="91"/>
      <c r="AU16" s="91"/>
      <c r="AV16" s="94">
        <f t="shared" ref="AV16:AV17" si="17">Y16+Z16+AA16+AB16+AC16+AD16+AE16+AF16+AG16+AI16+AJ16+AK16+AL16+AM16+AN16+AO16+AP16-AQ16+AR16+AS16+AT16+AU16</f>
        <v>22139230.769230772</v>
      </c>
      <c r="AW16" s="94"/>
      <c r="AX16" s="94" t="s">
        <v>102</v>
      </c>
      <c r="AY16" s="85">
        <f t="shared" ref="AY16:AY21" si="18">ROUND(IF($AX16="x",($G16+$H16)*AY$11,0),0)</f>
        <v>740800</v>
      </c>
      <c r="AZ16" s="85">
        <f>ROUND(IF($AX16="x",($G16+$H16)*AZ$11,0),0)</f>
        <v>138900</v>
      </c>
      <c r="BA16" s="85">
        <f>ROUND(IF($AX16="x",($G16+$H16)*BA$11,0),0)</f>
        <v>92600</v>
      </c>
      <c r="BB16" s="85">
        <f>SUM(AY16:BA16)</f>
        <v>972300</v>
      </c>
      <c r="BC16" s="85"/>
      <c r="BD16" s="85"/>
      <c r="BE16" s="85">
        <f t="shared" ref="BE16:BE17" si="19">IF(G16*1%&gt;=234000,234000,G16*1%)</f>
        <v>84800</v>
      </c>
      <c r="BF16" s="85">
        <f t="shared" ref="BF16:BF17" si="20">AM16+IF(AR16&gt;="730000",730000,AR16)+IF(((AV16-AM16-IF(AR16&gt;="730000",730000,AR16)-AS16)*15%-AS16)&gt;"0",((AV16-AM16-IF(AR16&gt;="730000",730000,AR16)-AS16)*15%-AS16),0)</f>
        <v>0</v>
      </c>
      <c r="BG16" s="85">
        <f t="shared" ref="BG16:BG17" si="21">AV16-BF16+AW16</f>
        <v>22139230.769230772</v>
      </c>
      <c r="BH16" s="85"/>
      <c r="BI16" s="85">
        <f t="shared" ref="BI16:BI17" si="22">BG16-BB16-BC16+BD16-BH16*4400000-IF(E16="CT",11000000,0)</f>
        <v>10166930.769230772</v>
      </c>
      <c r="BJ16" s="84">
        <f t="shared" ref="BJ16:BJ17" si="23">IF(BI16&gt;0,ROUND(IF(BI16&gt;=80000000,BI16*35%-9850000,IF(BI16&gt;=52000000,BI16*30%-5850000,IF(BI16&gt;=32000000,BI16*25%-3250000,IF(BI16&gt;=18000000,BI16*20%-1650000,IF(BI16&gt;=10000000,BI16*15%-750000,IF(BI16&gt;5000000,BI16*10%-250000,BI16*5%)))))),0),0)</f>
        <v>775040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ref="BS16:BS17" si="24">IF(AV16&gt;=11000000,"80%","100%")</f>
        <v>80%</v>
      </c>
      <c r="BT16" s="85">
        <f t="shared" ref="BT16:BT17" si="25">AV16*BS16-BN16-BK16-BP16-BO16</f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>+BW16*5%</f>
        <v>2000000</v>
      </c>
      <c r="CB16" s="84">
        <f t="shared" ref="CB16:CB17" si="26">SUM(BW16:CA16)</f>
        <v>42000000</v>
      </c>
      <c r="CC16" s="84" t="s">
        <v>115</v>
      </c>
      <c r="CD16" s="84"/>
      <c r="CE16" s="95"/>
      <c r="CF16" s="96"/>
      <c r="CG16" s="96"/>
      <c r="CH16" s="97"/>
      <c r="CI16" s="98"/>
    </row>
    <row r="17" spans="1:87" s="99" customFormat="1" ht="30.6" customHeight="1">
      <c r="A17" s="87">
        <f>IF(B17=0,"",COUNTA($B$15:(B17)))</f>
        <v>3</v>
      </c>
      <c r="B17" s="100" t="s">
        <v>105</v>
      </c>
      <c r="C17" s="89" t="s">
        <v>106</v>
      </c>
      <c r="D17" s="90" t="s">
        <v>107</v>
      </c>
      <c r="E17" s="123" t="s">
        <v>100</v>
      </c>
      <c r="F17" s="124" t="s">
        <v>101</v>
      </c>
      <c r="G17" s="91">
        <v>7820000</v>
      </c>
      <c r="H17" s="91">
        <f>+IF(OR(CC17="ĐT PCCC",CC17="ĐP PCCC"),780000,IF(CC17="AT-VSV",300000,0))</f>
        <v>300000</v>
      </c>
      <c r="I17" s="91">
        <f>CB17-BZ17-G17-H17</f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5"/>
        <v>3308461.5384615385</v>
      </c>
      <c r="Z17" s="91">
        <f t="shared" si="6"/>
        <v>0</v>
      </c>
      <c r="AA17" s="91">
        <f t="shared" si="7"/>
        <v>0</v>
      </c>
      <c r="AB17" s="91">
        <f t="shared" si="8"/>
        <v>601538.4615384615</v>
      </c>
      <c r="AC17" s="91">
        <f t="shared" si="9"/>
        <v>0</v>
      </c>
      <c r="AD17" s="91">
        <f t="shared" si="10"/>
        <v>0</v>
      </c>
      <c r="AE17" s="91">
        <f t="shared" si="11"/>
        <v>3609230.769230769</v>
      </c>
      <c r="AF17" s="91">
        <f t="shared" si="12"/>
        <v>0</v>
      </c>
      <c r="AG17" s="91">
        <f t="shared" si="13"/>
        <v>0</v>
      </c>
      <c r="AH17" s="91">
        <f>CB17/26*U17</f>
        <v>0</v>
      </c>
      <c r="AI17" s="91">
        <f t="shared" si="14"/>
        <v>0</v>
      </c>
      <c r="AJ17" s="91"/>
      <c r="AK17" s="91">
        <f>BZ17*L17/26</f>
        <v>0</v>
      </c>
      <c r="AL17" s="91"/>
      <c r="AM17" s="91">
        <f>X17*CD17</f>
        <v>0</v>
      </c>
      <c r="AN17" s="91">
        <f t="shared" si="15"/>
        <v>126923.07692307694</v>
      </c>
      <c r="AO17" s="91">
        <f t="shared" si="16"/>
        <v>20969230.769230772</v>
      </c>
      <c r="AP17" s="91"/>
      <c r="AQ17" s="91"/>
      <c r="AR17" s="91"/>
      <c r="AS17" s="91"/>
      <c r="AT17" s="91"/>
      <c r="AU17" s="91"/>
      <c r="AV17" s="94">
        <f t="shared" si="17"/>
        <v>28615384.615384616</v>
      </c>
      <c r="AW17" s="94"/>
      <c r="AX17" s="94" t="s">
        <v>102</v>
      </c>
      <c r="AY17" s="85">
        <f t="shared" si="18"/>
        <v>649600</v>
      </c>
      <c r="AZ17" s="85">
        <f>ROUND(IF($AX17="x",($G17+$H17)*AZ$11,0),0)</f>
        <v>121800</v>
      </c>
      <c r="BA17" s="85">
        <f>ROUND(IF($AX17="x",($G17+$H17)*BA$11,0),0)</f>
        <v>81200</v>
      </c>
      <c r="BB17" s="85">
        <f t="shared" ref="BB17" si="27">SUM(AY17:BA17)</f>
        <v>852600</v>
      </c>
      <c r="BC17" s="85"/>
      <c r="BD17" s="85"/>
      <c r="BE17" s="85">
        <f t="shared" si="19"/>
        <v>78200</v>
      </c>
      <c r="BF17" s="85">
        <f t="shared" si="20"/>
        <v>0</v>
      </c>
      <c r="BG17" s="85">
        <f t="shared" si="21"/>
        <v>28615384.615384616</v>
      </c>
      <c r="BH17" s="85"/>
      <c r="BI17" s="85">
        <f t="shared" si="22"/>
        <v>16762784.615384616</v>
      </c>
      <c r="BJ17" s="84">
        <f t="shared" si="23"/>
        <v>1764418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24"/>
        <v>80%</v>
      </c>
      <c r="BT17" s="85">
        <f t="shared" si="25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>+BW17*5%</f>
        <v>2000000</v>
      </c>
      <c r="CB17" s="84">
        <f t="shared" si="26"/>
        <v>42000000</v>
      </c>
      <c r="CC17" s="84" t="s">
        <v>119</v>
      </c>
      <c r="CD17" s="84"/>
      <c r="CE17" s="95"/>
      <c r="CF17" s="96"/>
      <c r="CG17" s="96"/>
      <c r="CH17" s="97"/>
      <c r="CI17" s="98"/>
    </row>
    <row r="18" spans="1:87" s="99" customFormat="1" ht="30.6" customHeight="1">
      <c r="A18" s="87">
        <f>IF(B18=0,"",COUNTA($B$15:(B18)))</f>
        <v>4</v>
      </c>
      <c r="B18" s="88">
        <v>2406198</v>
      </c>
      <c r="C18" s="89" t="s">
        <v>108</v>
      </c>
      <c r="D18" s="90" t="s">
        <v>99</v>
      </c>
      <c r="E18" s="123" t="s">
        <v>100</v>
      </c>
      <c r="F18" s="124" t="s">
        <v>101</v>
      </c>
      <c r="G18" s="91">
        <v>6990000</v>
      </c>
      <c r="H18" s="91">
        <f>+IF(OR(CC18="ĐT PCCC",CC18="ĐP PCCC"),780000,IF(CC18="AT-VSV",300000,0))</f>
        <v>780000</v>
      </c>
      <c r="I18" s="91">
        <f>CB18-BZ18-G18-H18</f>
        <v>16380000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ref="Y18:Y19" si="28">G18*(K18+L18)/26</f>
        <v>2822884.6153846155</v>
      </c>
      <c r="Z18" s="91">
        <f t="shared" ref="Z18:Z19" si="29">M18*G18/26</f>
        <v>134423.07692307694</v>
      </c>
      <c r="AA18" s="91">
        <f t="shared" ref="AA18:AA19" si="30">G18*N18/26</f>
        <v>0</v>
      </c>
      <c r="AB18" s="91">
        <f t="shared" ref="AB18:AB19" si="31">G18*O18/26</f>
        <v>537692.30769230775</v>
      </c>
      <c r="AC18" s="91">
        <f t="shared" ref="AC18:AC19" si="32">G18*P18*150%/26</f>
        <v>0</v>
      </c>
      <c r="AD18" s="91">
        <f t="shared" ref="AD18:AD19" si="33">G18*Q18/26*200%</f>
        <v>0</v>
      </c>
      <c r="AE18" s="91">
        <f t="shared" ref="AE18:AE19" si="34">G18*R18/26*300%</f>
        <v>0</v>
      </c>
      <c r="AF18" s="91">
        <f t="shared" ref="AF18:AF19" si="35">IF(F18="LT",0,(G18+H18)/26*S18*30%)</f>
        <v>0</v>
      </c>
      <c r="AG18" s="91">
        <f t="shared" ref="AG18:AG19" si="36">T18*G18/23/8</f>
        <v>0</v>
      </c>
      <c r="AH18" s="91">
        <f>CB18/26*U18</f>
        <v>0</v>
      </c>
      <c r="AI18" s="91">
        <f t="shared" ref="AI18:AI19" si="37">G18*V18/26</f>
        <v>0</v>
      </c>
      <c r="AJ18" s="91"/>
      <c r="AK18" s="91">
        <f>BZ18*L18/26</f>
        <v>0</v>
      </c>
      <c r="AL18" s="91"/>
      <c r="AM18" s="91">
        <f>X18*CD18</f>
        <v>0</v>
      </c>
      <c r="AN18" s="91">
        <f t="shared" ref="AN18:AN19" si="38">H18/26*K18</f>
        <v>315000</v>
      </c>
      <c r="AO18" s="91">
        <f t="shared" ref="AO18:AO19" si="39">IF(F18="LN",I18*(K18+L18)/26+(H18+I18)*50%*M18/26+IF(F18="LT",BW18*O18/26-AB18,0)+MAX($G18*P18/26*150%,P18*$BW18/26)-AC18+MAX($G18*Q18/26*200%,Q18*$BW18/26)-AD18+MAX($G18*R18/26*300%,R18*$BW18/26)-AE18+BW18*S18/26-AF18+AH18-AG18,I18-I18*($CF$3-K18-L18)/26+(H18+I18)*50%*M18/26+IF(F18="LT",BW18*O18/26-AB18,0)+MAX($G18*P18/26*150%,P18*$BW18/26)-AC18+MAX($G18*Q18/26*200%,Q18*$BW18/26)-AD18+MAX($G18*R18/26*300%,R18*$BW18/26)-AE18+BW18*S18/26-AF18+AH18-AG18+(G18-G18*($CF$3-K18-L18)/26-Y18)+(H18-H18*($CF$3-K18-L18)/26-AN18))</f>
        <v>8940384.615384616</v>
      </c>
      <c r="AP18" s="91"/>
      <c r="AQ18" s="91"/>
      <c r="AR18" s="91"/>
      <c r="AS18" s="91"/>
      <c r="AT18" s="91"/>
      <c r="AU18" s="91"/>
      <c r="AV18" s="94">
        <f t="shared" ref="AV18:AV19" si="40">Y18+Z18+AA18+AB18+AC18+AD18+AE18+AF18+AG18+AI18+AJ18+AK18+AL18+AM18+AN18+AO18+AP18-AQ18+AR18+AS18+AT18+AU18</f>
        <v>12750384.615384616</v>
      </c>
      <c r="AW18" s="94"/>
      <c r="AX18" s="94" t="s">
        <v>102</v>
      </c>
      <c r="AY18" s="85">
        <f t="shared" si="18"/>
        <v>621600</v>
      </c>
      <c r="AZ18" s="85">
        <f>ROUND(IF($AX18="x",($G18+$H18)*AZ$11,0),0)</f>
        <v>116550</v>
      </c>
      <c r="BA18" s="85">
        <f>ROUND(IF($AX18="x",($G18+$H18)*BA$11,0),0)</f>
        <v>77700</v>
      </c>
      <c r="BB18" s="85">
        <f>SUM(AY18:BA18)</f>
        <v>815850</v>
      </c>
      <c r="BC18" s="85"/>
      <c r="BD18" s="85"/>
      <c r="BE18" s="85">
        <f t="shared" ref="BE18:BE19" si="41">IF(G18*1%&gt;=234000,234000,G18*1%)</f>
        <v>69900</v>
      </c>
      <c r="BF18" s="85">
        <f t="shared" ref="BF18:BF19" si="42">AM18+IF(AR18&gt;="730000",730000,AR18)+IF(((AV18-AM18-IF(AR18&gt;="730000",730000,AR18)-AS18)*15%-AS18)&gt;"0",((AV18-AM18-IF(AR18&gt;="730000",730000,AR18)-AS18)*15%-AS18),0)</f>
        <v>0</v>
      </c>
      <c r="BG18" s="85">
        <f t="shared" ref="BG18:BG19" si="43">AV18-BF18+AW18</f>
        <v>12750384.615384616</v>
      </c>
      <c r="BH18" s="85"/>
      <c r="BI18" s="85">
        <f t="shared" ref="BI18:BI19" si="44">BG18-BB18-BC18+BD18-BH18*4400000-IF(E18="CT",11000000,0)</f>
        <v>934534.61538461596</v>
      </c>
      <c r="BJ18" s="84">
        <f t="shared" ref="BJ18:BJ19" si="45">IF(BI18&gt;0,ROUND(IF(BI18&gt;=80000000,BI18*35%-9850000,IF(BI18&gt;=52000000,BI18*30%-5850000,IF(BI18&gt;=32000000,BI18*25%-3250000,IF(BI18&gt;=18000000,BI18*20%-1650000,IF(BI18&gt;=10000000,BI18*15%-750000,IF(BI18&gt;5000000,BI18*10%-250000,BI18*5%)))))),0),0)</f>
        <v>46727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ref="BS18:BS19" si="46">IF(AV18&gt;=11000000,"80%","100%")</f>
        <v>80%</v>
      </c>
      <c r="BT18" s="85">
        <f t="shared" ref="BT18:BT19" si="47">AV18*BS18-BN18-BK18-BP18-BO18</f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>+BW18*5%</f>
        <v>1150000</v>
      </c>
      <c r="CB18" s="84">
        <f t="shared" ref="CB18:CB19" si="48">SUM(BW18:CA18)</f>
        <v>24150000</v>
      </c>
      <c r="CC18" s="84" t="s">
        <v>115</v>
      </c>
      <c r="CD18" s="84"/>
      <c r="CE18" s="95"/>
      <c r="CF18" s="96"/>
      <c r="CG18" s="96"/>
      <c r="CH18" s="97"/>
      <c r="CI18" s="98"/>
    </row>
    <row r="19" spans="1:87" s="99" customFormat="1" ht="30.6" customHeight="1">
      <c r="A19" s="87">
        <f>IF(B19=0,"",COUNTA($B$15:(B19)))</f>
        <v>5</v>
      </c>
      <c r="B19" s="100" t="s">
        <v>109</v>
      </c>
      <c r="C19" s="89" t="s">
        <v>110</v>
      </c>
      <c r="D19" s="90" t="s">
        <v>111</v>
      </c>
      <c r="E19" s="123" t="s">
        <v>100</v>
      </c>
      <c r="F19" s="124" t="s">
        <v>112</v>
      </c>
      <c r="G19" s="91">
        <v>4850000</v>
      </c>
      <c r="H19" s="91">
        <f>+IF(OR(CC19="ĐT PCCC",CC19="ĐP PCCC"),780000,IF(CC19="AT-VSV",300000,0))</f>
        <v>300000</v>
      </c>
      <c r="I19" s="91">
        <f>CB19-BZ19-G19-H19</f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28"/>
        <v>2051923.076923077</v>
      </c>
      <c r="Z19" s="91">
        <f t="shared" si="29"/>
        <v>0</v>
      </c>
      <c r="AA19" s="91">
        <f t="shared" si="30"/>
        <v>0</v>
      </c>
      <c r="AB19" s="91">
        <f t="shared" si="31"/>
        <v>373076.92307692306</v>
      </c>
      <c r="AC19" s="91">
        <f t="shared" si="32"/>
        <v>0</v>
      </c>
      <c r="AD19" s="91">
        <f t="shared" si="33"/>
        <v>0</v>
      </c>
      <c r="AE19" s="91">
        <f t="shared" si="34"/>
        <v>2238461.5384615385</v>
      </c>
      <c r="AF19" s="91">
        <f t="shared" si="35"/>
        <v>0</v>
      </c>
      <c r="AG19" s="91">
        <f t="shared" si="36"/>
        <v>0</v>
      </c>
      <c r="AH19" s="91">
        <f>CB19/26*U19</f>
        <v>0</v>
      </c>
      <c r="AI19" s="91">
        <f t="shared" si="37"/>
        <v>0</v>
      </c>
      <c r="AJ19" s="91"/>
      <c r="AK19" s="91">
        <f>BZ19*L19/26</f>
        <v>0</v>
      </c>
      <c r="AL19" s="91"/>
      <c r="AM19" s="91">
        <f>X19*CD19</f>
        <v>0</v>
      </c>
      <c r="AN19" s="91">
        <f t="shared" si="38"/>
        <v>126923.07692307694</v>
      </c>
      <c r="AO19" s="91">
        <f t="shared" si="39"/>
        <v>2707692.3076923075</v>
      </c>
      <c r="AP19" s="91"/>
      <c r="AQ19" s="91"/>
      <c r="AR19" s="91"/>
      <c r="AS19" s="91"/>
      <c r="AT19" s="91"/>
      <c r="AU19" s="91"/>
      <c r="AV19" s="94">
        <f t="shared" si="40"/>
        <v>7498076.9230769221</v>
      </c>
      <c r="AW19" s="94"/>
      <c r="AX19" s="94" t="s">
        <v>102</v>
      </c>
      <c r="AY19" s="85">
        <f t="shared" si="18"/>
        <v>412000</v>
      </c>
      <c r="AZ19" s="85">
        <f>ROUND(IF($AX19="x",($G19+$H19)*AZ$11,0),0)</f>
        <v>77250</v>
      </c>
      <c r="BA19" s="85">
        <f>ROUND(IF($AX19="x",($G19+$H19)*BA$11,0),0)</f>
        <v>51500</v>
      </c>
      <c r="BB19" s="85">
        <f t="shared" ref="BB19" si="49">SUM(AY19:BA19)</f>
        <v>540750</v>
      </c>
      <c r="BC19" s="85"/>
      <c r="BD19" s="85"/>
      <c r="BE19" s="85">
        <f t="shared" si="41"/>
        <v>48500</v>
      </c>
      <c r="BF19" s="85">
        <f t="shared" si="42"/>
        <v>0</v>
      </c>
      <c r="BG19" s="85">
        <f t="shared" si="43"/>
        <v>7498076.9230769221</v>
      </c>
      <c r="BH19" s="85"/>
      <c r="BI19" s="85">
        <f t="shared" si="44"/>
        <v>-4042673.0769230779</v>
      </c>
      <c r="BJ19" s="84">
        <f t="shared" si="45"/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46"/>
        <v>100%</v>
      </c>
      <c r="BT19" s="85">
        <f t="shared" si="47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>+BW19*5%</f>
        <v>550000</v>
      </c>
      <c r="CB19" s="84">
        <f t="shared" si="48"/>
        <v>11550000</v>
      </c>
      <c r="CC19" s="84" t="s">
        <v>119</v>
      </c>
      <c r="CD19" s="84"/>
      <c r="CE19" s="95"/>
      <c r="CF19" s="96"/>
      <c r="CG19" s="96"/>
      <c r="CH19" s="97"/>
      <c r="CI19" s="98"/>
    </row>
    <row r="20" spans="1:87" s="99" customFormat="1" ht="30.6" customHeight="1">
      <c r="A20" s="87">
        <f>IF(B20=0,"",COUNTA($B$15:(B20)))</f>
        <v>6</v>
      </c>
      <c r="B20" s="88">
        <v>2406145</v>
      </c>
      <c r="C20" s="89" t="s">
        <v>113</v>
      </c>
      <c r="D20" s="90" t="s">
        <v>104</v>
      </c>
      <c r="E20" s="123" t="s">
        <v>100</v>
      </c>
      <c r="F20" s="124" t="s">
        <v>101</v>
      </c>
      <c r="G20" s="91">
        <v>6340000</v>
      </c>
      <c r="H20" s="91">
        <f>+IF(OR(CC20="ĐT PCCC",CC20="ĐP PCCC"),780000,IF(CC20="AT-VSV",300000,0))</f>
        <v>780000</v>
      </c>
      <c r="I20" s="91">
        <f>CB20-BZ20-G20-H20</f>
        <v>17030000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ref="Y20:Y21" si="50">G20*(K20+L20)/26</f>
        <v>2560384.6153846155</v>
      </c>
      <c r="Z20" s="91">
        <f t="shared" ref="Z20:Z21" si="51">M20*G20/26</f>
        <v>121923.07692307692</v>
      </c>
      <c r="AA20" s="91">
        <f t="shared" ref="AA20:AA21" si="52">G20*N20/26</f>
        <v>0</v>
      </c>
      <c r="AB20" s="91">
        <f t="shared" ref="AB20:AB21" si="53">G20*O20/26</f>
        <v>487692.30769230769</v>
      </c>
      <c r="AC20" s="91">
        <f t="shared" ref="AC20:AC21" si="54">G20*P20*150%/26</f>
        <v>0</v>
      </c>
      <c r="AD20" s="91">
        <f t="shared" ref="AD20:AD21" si="55">G20*Q20/26*200%</f>
        <v>0</v>
      </c>
      <c r="AE20" s="91">
        <f t="shared" ref="AE20:AE21" si="56">G20*R20/26*300%</f>
        <v>0</v>
      </c>
      <c r="AF20" s="91">
        <f t="shared" ref="AF20:AF21" si="57">IF(F20="LT",0,(G20+H20)/26*S20*30%)</f>
        <v>0</v>
      </c>
      <c r="AG20" s="91">
        <f t="shared" ref="AG20:AG21" si="58">T20*G20/23/8</f>
        <v>0</v>
      </c>
      <c r="AH20" s="91">
        <f>CB20/26*U20</f>
        <v>0</v>
      </c>
      <c r="AI20" s="91">
        <f t="shared" ref="AI20:AI21" si="59">G20*V20/26</f>
        <v>0</v>
      </c>
      <c r="AJ20" s="91"/>
      <c r="AK20" s="91">
        <f>BZ20*L20/26</f>
        <v>0</v>
      </c>
      <c r="AL20" s="91"/>
      <c r="AM20" s="91">
        <f>X20*CD20</f>
        <v>0</v>
      </c>
      <c r="AN20" s="91">
        <f t="shared" ref="AN20:AN21" si="60">H20/26*K20</f>
        <v>315000</v>
      </c>
      <c r="AO20" s="91">
        <f t="shared" ref="AO20:AO21" si="61">IF(F20="LN",I20*(K20+L20)/26+(H20+I20)*50%*M20/26+IF(F20="LT",BW20*O20/26-AB20,0)+MAX($G20*P20/26*150%,P20*$BW20/26)-AC20+MAX($G20*Q20/26*200%,Q20*$BW20/26)-AD20+MAX($G20*R20/26*300%,R20*$BW20/26)-AE20+BW20*S20/26-AF20+AH20-AG20,I20-I20*($CF$3-K20-L20)/26+(H20+I20)*50%*M20/26+IF(F20="LT",BW20*O20/26-AB20,0)+MAX($G20*P20/26*150%,P20*$BW20/26)-AC20+MAX($G20*Q20/26*200%,Q20*$BW20/26)-AD20+MAX($G20*R20/26*300%,R20*$BW20/26)-AE20+BW20*S20/26-AF20+AH20-AG20+(G20-G20*($CF$3-K20-L20)/26-Y20)+(H20-H20*($CF$3-K20-L20)/26-AN20))</f>
        <v>9259134.615384616</v>
      </c>
      <c r="AP20" s="91"/>
      <c r="AQ20" s="91"/>
      <c r="AR20" s="91"/>
      <c r="AS20" s="91"/>
      <c r="AT20" s="91"/>
      <c r="AU20" s="91"/>
      <c r="AV20" s="94">
        <f t="shared" ref="AV20:AV21" si="62">Y20+Z20+AA20+AB20+AC20+AD20+AE20+AF20+AG20+AI20+AJ20+AK20+AL20+AM20+AN20+AO20+AP20-AQ20+AR20+AS20+AT20+AU20</f>
        <v>12744134.615384616</v>
      </c>
      <c r="AW20" s="94"/>
      <c r="AX20" s="94" t="s">
        <v>102</v>
      </c>
      <c r="AY20" s="85">
        <f t="shared" si="18"/>
        <v>569600</v>
      </c>
      <c r="AZ20" s="85">
        <f>ROUND(IF($AX20="x",($G20+$H20)*AZ$11,0),0)</f>
        <v>106800</v>
      </c>
      <c r="BA20" s="85">
        <f>ROUND(IF($AX20="x",($G20+$H20)*BA$11,0),0)</f>
        <v>71200</v>
      </c>
      <c r="BB20" s="85">
        <f>SUM(AY20:BA20)</f>
        <v>747600</v>
      </c>
      <c r="BC20" s="85"/>
      <c r="BD20" s="85"/>
      <c r="BE20" s="85">
        <f t="shared" ref="BE20:BE21" si="63">IF(G20*1%&gt;=234000,234000,G20*1%)</f>
        <v>63400</v>
      </c>
      <c r="BF20" s="85">
        <f t="shared" ref="BF20:BF21" si="64">AM20+IF(AR20&gt;="730000",730000,AR20)+IF(((AV20-AM20-IF(AR20&gt;="730000",730000,AR20)-AS20)*15%-AS20)&gt;"0",((AV20-AM20-IF(AR20&gt;="730000",730000,AR20)-AS20)*15%-AS20),0)</f>
        <v>0</v>
      </c>
      <c r="BG20" s="85">
        <f t="shared" ref="BG20:BG21" si="65">AV20-BF20+AW20</f>
        <v>12744134.615384616</v>
      </c>
      <c r="BH20" s="85"/>
      <c r="BI20" s="85">
        <f t="shared" ref="BI20:BI21" si="66">BG20-BB20-BC20+BD20-BH20*4400000-IF(E20="CT",11000000,0)</f>
        <v>996534.61538461596</v>
      </c>
      <c r="BJ20" s="84">
        <f t="shared" ref="BJ20:BJ21" si="67">IF(BI20&gt;0,ROUND(IF(BI20&gt;=80000000,BI20*35%-9850000,IF(BI20&gt;=52000000,BI20*30%-5850000,IF(BI20&gt;=32000000,BI20*25%-3250000,IF(BI20&gt;=18000000,BI20*20%-1650000,IF(BI20&gt;=10000000,BI20*15%-750000,IF(BI20&gt;5000000,BI20*10%-250000,BI20*5%)))))),0),0)</f>
        <v>49827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ref="BS20:BS21" si="68">IF(AV20&gt;=11000000,"80%","100%")</f>
        <v>80%</v>
      </c>
      <c r="BT20" s="85">
        <f t="shared" ref="BT20:BT21" si="69">AV20*BS20-BN20-BK20-BP20-BO20</f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>+BW20*5%</f>
        <v>1150000</v>
      </c>
      <c r="CB20" s="84">
        <f t="shared" ref="CB20:CB21" si="70">SUM(BW20:CA20)</f>
        <v>24150000</v>
      </c>
      <c r="CC20" s="84" t="s">
        <v>115</v>
      </c>
      <c r="CD20" s="84"/>
      <c r="CE20" s="95"/>
      <c r="CF20" s="96"/>
      <c r="CG20" s="96"/>
      <c r="CH20" s="97"/>
      <c r="CI20" s="98"/>
    </row>
    <row r="21" spans="1:87" s="99" customFormat="1" ht="30.6" customHeight="1">
      <c r="A21" s="87">
        <f>IF(B21=0,"",COUNTA($B$15:(B21)))</f>
        <v>7</v>
      </c>
      <c r="B21" s="100" t="s">
        <v>116</v>
      </c>
      <c r="C21" s="89" t="s">
        <v>117</v>
      </c>
      <c r="D21" s="90" t="s">
        <v>118</v>
      </c>
      <c r="E21" s="123" t="s">
        <v>100</v>
      </c>
      <c r="F21" s="124" t="s">
        <v>101</v>
      </c>
      <c r="G21" s="91">
        <v>6340000</v>
      </c>
      <c r="H21" s="91">
        <f>+IF(OR(CC21="ĐT PCCC",CC21="ĐP PCCC"),780000,IF(CC21="AT-VSV",300000,0))</f>
        <v>300000</v>
      </c>
      <c r="I21" s="91">
        <f>CB21-BZ21-G21-H21</f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50"/>
        <v>2682307.6923076925</v>
      </c>
      <c r="Z21" s="91">
        <f t="shared" si="51"/>
        <v>0</v>
      </c>
      <c r="AA21" s="91">
        <f t="shared" si="52"/>
        <v>0</v>
      </c>
      <c r="AB21" s="91">
        <f t="shared" si="53"/>
        <v>487692.30769230769</v>
      </c>
      <c r="AC21" s="91">
        <f t="shared" si="54"/>
        <v>0</v>
      </c>
      <c r="AD21" s="91">
        <f t="shared" si="55"/>
        <v>0</v>
      </c>
      <c r="AE21" s="91">
        <f t="shared" si="56"/>
        <v>2926153.846153846</v>
      </c>
      <c r="AF21" s="91">
        <f t="shared" si="57"/>
        <v>0</v>
      </c>
      <c r="AG21" s="91">
        <f t="shared" si="58"/>
        <v>0</v>
      </c>
      <c r="AH21" s="91">
        <f>CB21/26*U21</f>
        <v>0</v>
      </c>
      <c r="AI21" s="91">
        <f t="shared" si="59"/>
        <v>0</v>
      </c>
      <c r="AJ21" s="91"/>
      <c r="AK21" s="91">
        <f>BZ21*L21/26</f>
        <v>0</v>
      </c>
      <c r="AL21" s="91"/>
      <c r="AM21" s="91">
        <f>X21*CD21</f>
        <v>0</v>
      </c>
      <c r="AN21" s="91">
        <f t="shared" si="60"/>
        <v>126923.07692307694</v>
      </c>
      <c r="AO21" s="91">
        <f t="shared" si="61"/>
        <v>6249230.7692307699</v>
      </c>
      <c r="AP21" s="91"/>
      <c r="AQ21" s="91"/>
      <c r="AR21" s="91"/>
      <c r="AS21" s="91"/>
      <c r="AT21" s="91"/>
      <c r="AU21" s="91"/>
      <c r="AV21" s="94">
        <f t="shared" si="62"/>
        <v>12472307.692307692</v>
      </c>
      <c r="AW21" s="94"/>
      <c r="AX21" s="94" t="s">
        <v>102</v>
      </c>
      <c r="AY21" s="85">
        <f t="shared" si="18"/>
        <v>531200</v>
      </c>
      <c r="AZ21" s="85">
        <f>ROUND(IF($AX21="x",($G21+$H21)*AZ$11,0),0)</f>
        <v>99600</v>
      </c>
      <c r="BA21" s="85">
        <f>ROUND(IF($AX21="x",($G21+$H21)*BA$11,0),0)</f>
        <v>66400</v>
      </c>
      <c r="BB21" s="85">
        <f t="shared" ref="BB21" si="71">SUM(AY21:BA21)</f>
        <v>697200</v>
      </c>
      <c r="BC21" s="85"/>
      <c r="BD21" s="85"/>
      <c r="BE21" s="85">
        <f t="shared" si="63"/>
        <v>63400</v>
      </c>
      <c r="BF21" s="85">
        <f t="shared" si="64"/>
        <v>0</v>
      </c>
      <c r="BG21" s="85">
        <f t="shared" si="65"/>
        <v>12472307.692307692</v>
      </c>
      <c r="BH21" s="85"/>
      <c r="BI21" s="85">
        <f t="shared" si="66"/>
        <v>775107.69230769202</v>
      </c>
      <c r="BJ21" s="84">
        <f t="shared" si="67"/>
        <v>38755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68"/>
        <v>80%</v>
      </c>
      <c r="BT21" s="85">
        <f t="shared" si="69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>+BW21*5%</f>
        <v>850000</v>
      </c>
      <c r="CB21" s="84">
        <f t="shared" si="70"/>
        <v>17850000</v>
      </c>
      <c r="CC21" s="84" t="s">
        <v>119</v>
      </c>
      <c r="CD21" s="84"/>
      <c r="CE21" s="95"/>
      <c r="CF21" s="96"/>
      <c r="CG21" s="96"/>
      <c r="CH21" s="97"/>
      <c r="CI21" s="98"/>
    </row>
    <row r="22" spans="1:87" s="37" customFormat="1" ht="18.75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120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I25" s="70"/>
      <c r="X25" s="63"/>
      <c r="BZ25" s="64" t="s">
        <v>148</v>
      </c>
      <c r="CF25" s="35"/>
    </row>
    <row r="26" spans="1:87" ht="73.5" customHeight="1">
      <c r="J26" s="62"/>
      <c r="X26" s="63"/>
    </row>
  </sheetData>
  <autoFilter ref="A12:CI21" xr:uid="{00000000-0001-0000-0000-000000000000}"/>
  <dataConsolidate/>
  <mergeCells count="82">
    <mergeCell ref="BS8:BS11"/>
    <mergeCell ref="BO10:BO11"/>
    <mergeCell ref="BJ10:BJ11"/>
    <mergeCell ref="BK10:BK11"/>
    <mergeCell ref="BL10:BL11"/>
    <mergeCell ref="BM10:BM11"/>
    <mergeCell ref="BN10:BN11"/>
    <mergeCell ref="BP10:BP11"/>
    <mergeCell ref="AY9:BJ9"/>
    <mergeCell ref="BK9:BP9"/>
    <mergeCell ref="BQ9:BQ11"/>
    <mergeCell ref="BR9:BR11"/>
    <mergeCell ref="BB10:BB11"/>
    <mergeCell ref="AF9:AF11"/>
    <mergeCell ref="BC10:BC11"/>
    <mergeCell ref="BD10:BD11"/>
    <mergeCell ref="BE10:BE11"/>
    <mergeCell ref="AH9:AH11"/>
    <mergeCell ref="AI9:AI11"/>
    <mergeCell ref="AJ9:AJ11"/>
    <mergeCell ref="AK9:AK11"/>
    <mergeCell ref="AL9:AL11"/>
    <mergeCell ref="AM9:AM11"/>
    <mergeCell ref="AQ8:AQ11"/>
    <mergeCell ref="AN9:AN11"/>
    <mergeCell ref="AO9:AO11"/>
    <mergeCell ref="BX8:CA10"/>
    <mergeCell ref="CB8:CB11"/>
    <mergeCell ref="CC8:CC11"/>
    <mergeCell ref="CD8:CD11"/>
    <mergeCell ref="K9:K11"/>
    <mergeCell ref="L9:L11"/>
    <mergeCell ref="M9:M11"/>
    <mergeCell ref="N9:N11"/>
    <mergeCell ref="O9:O11"/>
    <mergeCell ref="P9:P11"/>
    <mergeCell ref="AX8:AX11"/>
    <mergeCell ref="AY8:BP8"/>
    <mergeCell ref="BQ8:BR8"/>
    <mergeCell ref="BT8:BT11"/>
    <mergeCell ref="BU8:BU11"/>
    <mergeCell ref="BW8:BW11"/>
    <mergeCell ref="BH10:BH11"/>
    <mergeCell ref="BI10:BI11"/>
    <mergeCell ref="AR8:AR11"/>
    <mergeCell ref="AS8:AS11"/>
    <mergeCell ref="AT8:AT11"/>
    <mergeCell ref="AU8:AU11"/>
    <mergeCell ref="AV8:AV11"/>
    <mergeCell ref="AW8:AW11"/>
    <mergeCell ref="R9:R11"/>
    <mergeCell ref="S9:S11"/>
    <mergeCell ref="T9:T11"/>
    <mergeCell ref="BF10:BF11"/>
    <mergeCell ref="BG10:BG11"/>
    <mergeCell ref="AG9:AG11"/>
    <mergeCell ref="U9:U11"/>
    <mergeCell ref="V9:W10"/>
    <mergeCell ref="X9:X11"/>
    <mergeCell ref="Y9:Y11"/>
    <mergeCell ref="Z9:Z11"/>
    <mergeCell ref="AA9:AA11"/>
    <mergeCell ref="AB9:AB11"/>
    <mergeCell ref="AC9:AC11"/>
    <mergeCell ref="AD9:AD11"/>
    <mergeCell ref="AE9:AE11"/>
    <mergeCell ref="A3:BU3"/>
    <mergeCell ref="BW3:CB6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K8:X8"/>
    <mergeCell ref="Y8:AO8"/>
    <mergeCell ref="AP8:AP11"/>
    <mergeCell ref="Q9:Q11"/>
  </mergeCells>
  <conditionalFormatting sqref="B1:B12 C12:BU12 B22:B1048576">
    <cfRule type="duplicateValues" dxfId="12" priority="6"/>
  </conditionalFormatting>
  <conditionalFormatting sqref="B1:B12 D13:F13 J13:BI13 BK13:CD13 C12:CD12 B22:B1048576">
    <cfRule type="duplicateValues" dxfId="11" priority="5"/>
  </conditionalFormatting>
  <conditionalFormatting sqref="BJ13">
    <cfRule type="duplicateValues" dxfId="10" priority="4"/>
  </conditionalFormatting>
  <conditionalFormatting sqref="B15:B21">
    <cfRule type="duplicateValues" dxfId="9" priority="2"/>
  </conditionalFormatting>
  <conditionalFormatting sqref="B15:B21">
    <cfRule type="duplicateValues" dxfId="8" priority="3"/>
  </conditionalFormatting>
  <conditionalFormatting sqref="B15:B21">
    <cfRule type="duplicateValues" dxfId="7" priority="1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80B-E79D-4E24-9896-5B9C4171E437}">
  <sheetPr>
    <tabColor theme="0" tint="-0.499984740745262"/>
  </sheetPr>
  <dimension ref="A1:CI19"/>
  <sheetViews>
    <sheetView zoomScaleNormal="100" zoomScaleSheetLayoutView="70" workbookViewId="0">
      <pane xSplit="6" ySplit="11" topLeftCell="G19" activePane="bottomRight" state="frozen"/>
      <selection pane="bottomRight" activeCell="G24" sqref="G24"/>
      <selection pane="bottomLeft" activeCell="E18" sqref="E18"/>
      <selection pane="topRight" activeCell="E18" sqref="E18"/>
    </sheetView>
  </sheetViews>
  <sheetFormatPr defaultColWidth="9.140625" defaultRowHeight="15" outlineLevelRow="1" outlineLevelCol="1"/>
  <cols>
    <col min="1" max="1" width="5.42578125" style="220" customWidth="1"/>
    <col min="2" max="2" width="8.42578125" style="221" customWidth="1"/>
    <col min="3" max="3" width="10.85546875" style="222" bestFit="1" customWidth="1"/>
    <col min="4" max="4" width="5.5703125" style="223" bestFit="1" customWidth="1" outlineLevel="1"/>
    <col min="5" max="5" width="5.5703125" style="223" customWidth="1" outlineLevel="1"/>
    <col min="6" max="6" width="20.7109375" style="224" customWidth="1" outlineLevel="1"/>
    <col min="7" max="7" width="13.7109375" style="225" bestFit="1" customWidth="1"/>
    <col min="8" max="8" width="12.42578125" style="225" customWidth="1"/>
    <col min="9" max="9" width="12.42578125" style="217" customWidth="1"/>
    <col min="10" max="10" width="7.5703125" style="217" customWidth="1" outlineLevel="1"/>
    <col min="11" max="24" width="7.140625" style="226" customWidth="1"/>
    <col min="25" max="40" width="12.28515625" style="227" customWidth="1"/>
    <col min="41" max="41" width="100.7109375" style="227" customWidth="1"/>
    <col min="42" max="47" width="12.28515625" style="227" customWidth="1"/>
    <col min="48" max="48" width="30.7109375" style="227" customWidth="1"/>
    <col min="49" max="49" width="13" style="227" customWidth="1"/>
    <col min="50" max="50" width="6.7109375" style="227" customWidth="1"/>
    <col min="51" max="53" width="10.42578125" style="227" customWidth="1" outlineLevel="1"/>
    <col min="54" max="57" width="10.42578125" style="227" customWidth="1"/>
    <col min="58" max="58" width="30.7109375" style="227" customWidth="1"/>
    <col min="59" max="61" width="10.42578125" style="227" customWidth="1"/>
    <col min="62" max="62" width="30.7109375" style="227" customWidth="1"/>
    <col min="63" max="71" width="10.42578125" style="227" customWidth="1"/>
    <col min="72" max="73" width="12.42578125" style="227" customWidth="1"/>
    <col min="74" max="74" width="12.42578125" customWidth="1"/>
    <col min="75" max="79" width="12.7109375" style="225" customWidth="1" outlineLevel="1"/>
    <col min="80" max="80" width="12.7109375" style="228" customWidth="1" outlineLevel="1"/>
    <col min="81" max="82" width="10.7109375" style="228" customWidth="1" outlineLevel="1"/>
    <col min="83" max="83" width="19.42578125" style="229" customWidth="1"/>
    <col min="84" max="84" width="12.28515625" style="229" customWidth="1"/>
    <col min="85" max="85" width="12.42578125" style="229" customWidth="1"/>
    <col min="86" max="86" width="11.7109375" style="229" customWidth="1"/>
    <col min="87" max="16384" width="9.140625" style="229"/>
  </cols>
  <sheetData>
    <row r="1" spans="1:87" s="132" customFormat="1" outlineLevel="1">
      <c r="A1" s="130" t="s">
        <v>0</v>
      </c>
      <c r="B1" s="131"/>
      <c r="C1" s="130"/>
      <c r="D1" s="8"/>
      <c r="E1" s="8"/>
      <c r="F1" s="8"/>
      <c r="I1" s="133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V1"/>
      <c r="BW1" s="8"/>
      <c r="BX1" s="8"/>
      <c r="BY1" s="8"/>
      <c r="BZ1" s="8"/>
      <c r="CA1" s="8"/>
      <c r="CB1" s="135"/>
      <c r="CC1" s="135"/>
      <c r="CD1" s="135"/>
    </row>
    <row r="2" spans="1:87" s="132" customFormat="1" outlineLevel="1">
      <c r="A2" s="136" t="s">
        <v>1</v>
      </c>
      <c r="B2" s="131"/>
      <c r="C2" s="137"/>
      <c r="D2" s="8"/>
      <c r="E2" s="8"/>
      <c r="F2" s="8"/>
      <c r="I2" s="133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/>
      <c r="BW2" s="8"/>
      <c r="BX2" s="8"/>
      <c r="BY2" s="8"/>
      <c r="BZ2" s="8"/>
      <c r="CA2" s="8"/>
      <c r="CB2" s="137"/>
      <c r="CC2" s="137"/>
      <c r="CD2" s="137"/>
    </row>
    <row r="3" spans="1:87" s="139" customFormat="1" outlineLevel="1">
      <c r="A3" s="333" t="str">
        <f ca="1">"BẢNG THANH TOÁN TIỀN LƯƠNG THÁNG …."&amp;" NĂM "&amp;YEAR(NOW())</f>
        <v>BẢNG THANH TOÁN TIỀN LƯƠNG THÁNG …. NĂM 2026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3"/>
      <c r="AG3" s="333"/>
      <c r="AH3" s="333"/>
      <c r="AI3" s="333"/>
      <c r="AJ3" s="333"/>
      <c r="AK3" s="333"/>
      <c r="AL3" s="333"/>
      <c r="AM3" s="333"/>
      <c r="AN3" s="333"/>
      <c r="AO3" s="333"/>
      <c r="AP3" s="333"/>
      <c r="AQ3" s="333"/>
      <c r="AR3" s="333"/>
      <c r="AS3" s="333"/>
      <c r="AT3" s="333"/>
      <c r="AU3" s="333"/>
      <c r="AV3" s="333"/>
      <c r="AW3" s="333"/>
      <c r="AX3" s="333"/>
      <c r="AY3" s="333"/>
      <c r="AZ3" s="333"/>
      <c r="BA3" s="333"/>
      <c r="BB3" s="333"/>
      <c r="BC3" s="333"/>
      <c r="BD3" s="333"/>
      <c r="BE3" s="333"/>
      <c r="BF3" s="333"/>
      <c r="BG3" s="333"/>
      <c r="BH3" s="333"/>
      <c r="BI3" s="333"/>
      <c r="BJ3" s="333"/>
      <c r="BK3" s="333"/>
      <c r="BL3" s="333"/>
      <c r="BM3" s="333"/>
      <c r="BN3" s="333"/>
      <c r="BO3" s="333"/>
      <c r="BP3" s="333"/>
      <c r="BQ3" s="333"/>
      <c r="BR3" s="333"/>
      <c r="BS3" s="333"/>
      <c r="BT3" s="333"/>
      <c r="BU3" s="333"/>
      <c r="BV3"/>
      <c r="BW3" s="334" t="s">
        <v>2</v>
      </c>
      <c r="BX3" s="334"/>
      <c r="BY3" s="334"/>
      <c r="BZ3" s="334"/>
      <c r="CA3" s="334"/>
      <c r="CB3" s="333"/>
      <c r="CC3" s="138"/>
      <c r="CD3" s="138"/>
      <c r="CE3" s="139" t="s">
        <v>3</v>
      </c>
      <c r="CF3" s="139">
        <v>25</v>
      </c>
    </row>
    <row r="4" spans="1:87" s="139" customFormat="1" outlineLevel="1">
      <c r="A4" s="140"/>
      <c r="B4" s="140"/>
      <c r="C4" s="140"/>
      <c r="D4" s="140"/>
      <c r="E4" s="140"/>
      <c r="F4" s="140"/>
      <c r="G4" s="140"/>
      <c r="H4" s="140"/>
      <c r="I4" s="133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/>
      <c r="BW4" s="333"/>
      <c r="BX4" s="333"/>
      <c r="BY4" s="333"/>
      <c r="BZ4" s="333"/>
      <c r="CA4" s="333"/>
      <c r="CB4" s="333"/>
      <c r="CC4" s="138"/>
      <c r="CD4" s="138"/>
    </row>
    <row r="5" spans="1:87" s="141" customFormat="1">
      <c r="A5" s="299" t="s">
        <v>4</v>
      </c>
      <c r="B5" s="302" t="s">
        <v>5</v>
      </c>
      <c r="C5" s="245" t="s">
        <v>6</v>
      </c>
      <c r="D5" s="305" t="s">
        <v>142</v>
      </c>
      <c r="E5" s="305" t="s">
        <v>8</v>
      </c>
      <c r="F5" s="340" t="s">
        <v>143</v>
      </c>
      <c r="G5" s="245" t="s">
        <v>10</v>
      </c>
      <c r="H5" s="323" t="s">
        <v>11</v>
      </c>
      <c r="I5" s="323" t="s">
        <v>12</v>
      </c>
      <c r="J5" s="245" t="s">
        <v>13</v>
      </c>
      <c r="K5" s="335" t="s">
        <v>14</v>
      </c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7" t="s">
        <v>15</v>
      </c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9"/>
      <c r="AP5" s="245" t="s">
        <v>16</v>
      </c>
      <c r="AQ5" s="245" t="s">
        <v>17</v>
      </c>
      <c r="AR5" s="245" t="s">
        <v>18</v>
      </c>
      <c r="AS5" s="245" t="s">
        <v>19</v>
      </c>
      <c r="AT5" s="245" t="s">
        <v>20</v>
      </c>
      <c r="AU5" s="245" t="s">
        <v>21</v>
      </c>
      <c r="AV5" s="245" t="s">
        <v>22</v>
      </c>
      <c r="AW5" s="245" t="s">
        <v>23</v>
      </c>
      <c r="AX5" s="245" t="s">
        <v>24</v>
      </c>
      <c r="AY5" s="313" t="s">
        <v>25</v>
      </c>
      <c r="AZ5" s="314"/>
      <c r="BA5" s="314"/>
      <c r="BB5" s="314"/>
      <c r="BC5" s="314"/>
      <c r="BD5" s="314"/>
      <c r="BE5" s="314"/>
      <c r="BF5" s="314"/>
      <c r="BG5" s="314"/>
      <c r="BH5" s="314"/>
      <c r="BI5" s="314"/>
      <c r="BJ5" s="314"/>
      <c r="BK5" s="314"/>
      <c r="BL5" s="314"/>
      <c r="BM5" s="314"/>
      <c r="BN5" s="314"/>
      <c r="BO5" s="314"/>
      <c r="BP5" s="315"/>
      <c r="BQ5" s="268" t="s">
        <v>26</v>
      </c>
      <c r="BR5" s="275"/>
      <c r="BS5" s="265" t="s">
        <v>144</v>
      </c>
      <c r="BT5" s="265" t="s">
        <v>27</v>
      </c>
      <c r="BU5" s="268" t="s">
        <v>28</v>
      </c>
      <c r="BV5"/>
      <c r="BW5" s="250" t="s">
        <v>29</v>
      </c>
      <c r="BX5" s="253" t="s">
        <v>30</v>
      </c>
      <c r="BY5" s="254"/>
      <c r="BZ5" s="254"/>
      <c r="CA5" s="255"/>
      <c r="CB5" s="262" t="s">
        <v>31</v>
      </c>
      <c r="CC5" s="242" t="s">
        <v>32</v>
      </c>
      <c r="CD5" s="242" t="s">
        <v>33</v>
      </c>
      <c r="CH5" s="142"/>
      <c r="CI5" s="143"/>
    </row>
    <row r="6" spans="1:87" s="141" customFormat="1">
      <c r="A6" s="300"/>
      <c r="B6" s="303"/>
      <c r="C6" s="246"/>
      <c r="D6" s="306"/>
      <c r="E6" s="306"/>
      <c r="F6" s="341"/>
      <c r="G6" s="246"/>
      <c r="H6" s="324"/>
      <c r="I6" s="324"/>
      <c r="J6" s="246"/>
      <c r="K6" s="326" t="s">
        <v>34</v>
      </c>
      <c r="L6" s="326" t="s">
        <v>35</v>
      </c>
      <c r="M6" s="326" t="s">
        <v>36</v>
      </c>
      <c r="N6" s="326" t="s">
        <v>37</v>
      </c>
      <c r="O6" s="326" t="s">
        <v>38</v>
      </c>
      <c r="P6" s="326" t="s">
        <v>39</v>
      </c>
      <c r="Q6" s="326" t="s">
        <v>40</v>
      </c>
      <c r="R6" s="326" t="s">
        <v>41</v>
      </c>
      <c r="S6" s="326" t="s">
        <v>42</v>
      </c>
      <c r="T6" s="326" t="s">
        <v>43</v>
      </c>
      <c r="U6" s="326" t="s">
        <v>44</v>
      </c>
      <c r="V6" s="329" t="s">
        <v>45</v>
      </c>
      <c r="W6" s="330"/>
      <c r="X6" s="326" t="s">
        <v>46</v>
      </c>
      <c r="Y6" s="245" t="s">
        <v>47</v>
      </c>
      <c r="Z6" s="245" t="s">
        <v>48</v>
      </c>
      <c r="AA6" s="245" t="s">
        <v>49</v>
      </c>
      <c r="AB6" s="245" t="s">
        <v>50</v>
      </c>
      <c r="AC6" s="323" t="s">
        <v>51</v>
      </c>
      <c r="AD6" s="323" t="s">
        <v>145</v>
      </c>
      <c r="AE6" s="323" t="s">
        <v>53</v>
      </c>
      <c r="AF6" s="323" t="s">
        <v>54</v>
      </c>
      <c r="AG6" s="245" t="s">
        <v>55</v>
      </c>
      <c r="AH6" s="323" t="s">
        <v>56</v>
      </c>
      <c r="AI6" s="323" t="s">
        <v>57</v>
      </c>
      <c r="AJ6" s="245" t="s">
        <v>58</v>
      </c>
      <c r="AK6" s="320" t="s">
        <v>59</v>
      </c>
      <c r="AL6" s="245" t="s">
        <v>60</v>
      </c>
      <c r="AM6" s="245" t="s">
        <v>61</v>
      </c>
      <c r="AN6" s="317" t="s">
        <v>62</v>
      </c>
      <c r="AO6" s="245" t="s">
        <v>63</v>
      </c>
      <c r="AP6" s="246"/>
      <c r="AQ6" s="246"/>
      <c r="AR6" s="246"/>
      <c r="AS6" s="246"/>
      <c r="AT6" s="246"/>
      <c r="AU6" s="246"/>
      <c r="AV6" s="246"/>
      <c r="AW6" s="246"/>
      <c r="AX6" s="246"/>
      <c r="AY6" s="313" t="s">
        <v>64</v>
      </c>
      <c r="AZ6" s="314"/>
      <c r="BA6" s="314"/>
      <c r="BB6" s="314"/>
      <c r="BC6" s="314"/>
      <c r="BD6" s="314"/>
      <c r="BE6" s="314"/>
      <c r="BF6" s="314"/>
      <c r="BG6" s="314"/>
      <c r="BH6" s="314"/>
      <c r="BI6" s="314"/>
      <c r="BJ6" s="315"/>
      <c r="BK6" s="313" t="s">
        <v>65</v>
      </c>
      <c r="BL6" s="314"/>
      <c r="BM6" s="314"/>
      <c r="BN6" s="314"/>
      <c r="BO6" s="314"/>
      <c r="BP6" s="315"/>
      <c r="BQ6" s="266" t="s">
        <v>66</v>
      </c>
      <c r="BR6" s="266" t="s">
        <v>67</v>
      </c>
      <c r="BS6" s="266"/>
      <c r="BT6" s="266"/>
      <c r="BU6" s="269"/>
      <c r="BV6"/>
      <c r="BW6" s="251"/>
      <c r="BX6" s="256"/>
      <c r="BY6" s="257"/>
      <c r="BZ6" s="257"/>
      <c r="CA6" s="258"/>
      <c r="CB6" s="263"/>
      <c r="CC6" s="243"/>
      <c r="CD6" s="243"/>
      <c r="CH6" s="142"/>
      <c r="CI6" s="143"/>
    </row>
    <row r="7" spans="1:87" s="141" customFormat="1">
      <c r="A7" s="300"/>
      <c r="B7" s="303"/>
      <c r="C7" s="246"/>
      <c r="D7" s="306"/>
      <c r="E7" s="306"/>
      <c r="F7" s="341"/>
      <c r="G7" s="246"/>
      <c r="H7" s="324"/>
      <c r="I7" s="324"/>
      <c r="J7" s="246"/>
      <c r="K7" s="327"/>
      <c r="L7" s="327"/>
      <c r="M7" s="327"/>
      <c r="N7" s="327"/>
      <c r="O7" s="327"/>
      <c r="P7" s="327"/>
      <c r="Q7" s="327"/>
      <c r="R7" s="327"/>
      <c r="S7" s="327"/>
      <c r="T7" s="327"/>
      <c r="U7" s="327"/>
      <c r="V7" s="331"/>
      <c r="W7" s="332"/>
      <c r="X7" s="327"/>
      <c r="Y7" s="246"/>
      <c r="Z7" s="246"/>
      <c r="AA7" s="246"/>
      <c r="AB7" s="246"/>
      <c r="AC7" s="324"/>
      <c r="AD7" s="324"/>
      <c r="AE7" s="324"/>
      <c r="AF7" s="324"/>
      <c r="AG7" s="246"/>
      <c r="AH7" s="324"/>
      <c r="AI7" s="324"/>
      <c r="AJ7" s="246"/>
      <c r="AK7" s="321"/>
      <c r="AL7" s="246"/>
      <c r="AM7" s="246"/>
      <c r="AN7" s="318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101" t="s">
        <v>68</v>
      </c>
      <c r="AZ7" s="101" t="s">
        <v>69</v>
      </c>
      <c r="BA7" s="101" t="s">
        <v>70</v>
      </c>
      <c r="BB7" s="265" t="s">
        <v>71</v>
      </c>
      <c r="BC7" s="248" t="s">
        <v>72</v>
      </c>
      <c r="BD7" s="248" t="s">
        <v>73</v>
      </c>
      <c r="BE7" s="248" t="s">
        <v>146</v>
      </c>
      <c r="BF7" s="248" t="s">
        <v>75</v>
      </c>
      <c r="BG7" s="248" t="s">
        <v>76</v>
      </c>
      <c r="BH7" s="248" t="s">
        <v>77</v>
      </c>
      <c r="BI7" s="248" t="s">
        <v>80</v>
      </c>
      <c r="BJ7" s="311" t="s">
        <v>81</v>
      </c>
      <c r="BK7" s="248" t="s">
        <v>82</v>
      </c>
      <c r="BL7" s="265" t="s">
        <v>83</v>
      </c>
      <c r="BM7" s="248" t="s">
        <v>84</v>
      </c>
      <c r="BN7" s="265" t="s">
        <v>85</v>
      </c>
      <c r="BO7" s="265" t="s">
        <v>147</v>
      </c>
      <c r="BP7" s="265" t="s">
        <v>86</v>
      </c>
      <c r="BQ7" s="266"/>
      <c r="BR7" s="266"/>
      <c r="BS7" s="266"/>
      <c r="BT7" s="266"/>
      <c r="BU7" s="269"/>
      <c r="BV7"/>
      <c r="BW7" s="252"/>
      <c r="BX7" s="259"/>
      <c r="BY7" s="260"/>
      <c r="BZ7" s="260"/>
      <c r="CA7" s="261"/>
      <c r="CB7" s="264"/>
      <c r="CC7" s="244"/>
      <c r="CD7" s="244"/>
      <c r="CH7" s="142"/>
      <c r="CI7" s="143"/>
    </row>
    <row r="8" spans="1:87" s="141" customFormat="1" ht="22.5">
      <c r="A8" s="301"/>
      <c r="B8" s="304"/>
      <c r="C8" s="247"/>
      <c r="D8" s="307"/>
      <c r="E8" s="307"/>
      <c r="F8" s="342"/>
      <c r="G8" s="247"/>
      <c r="H8" s="325"/>
      <c r="I8" s="325"/>
      <c r="J8" s="247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145" t="s">
        <v>87</v>
      </c>
      <c r="W8" s="145" t="s">
        <v>88</v>
      </c>
      <c r="X8" s="328"/>
      <c r="Y8" s="247"/>
      <c r="Z8" s="247"/>
      <c r="AA8" s="247"/>
      <c r="AB8" s="247"/>
      <c r="AC8" s="325"/>
      <c r="AD8" s="325"/>
      <c r="AE8" s="325"/>
      <c r="AF8" s="325"/>
      <c r="AG8" s="247"/>
      <c r="AH8" s="325"/>
      <c r="AI8" s="325"/>
      <c r="AJ8" s="247"/>
      <c r="AK8" s="322"/>
      <c r="AL8" s="247"/>
      <c r="AM8" s="247"/>
      <c r="AN8" s="319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102" t="s">
        <v>89</v>
      </c>
      <c r="AZ8" s="102" t="s">
        <v>90</v>
      </c>
      <c r="BA8" s="102" t="s">
        <v>91</v>
      </c>
      <c r="BB8" s="267"/>
      <c r="BC8" s="249"/>
      <c r="BD8" s="249"/>
      <c r="BE8" s="249"/>
      <c r="BF8" s="249"/>
      <c r="BG8" s="249"/>
      <c r="BH8" s="249"/>
      <c r="BI8" s="249"/>
      <c r="BJ8" s="312"/>
      <c r="BK8" s="249"/>
      <c r="BL8" s="267"/>
      <c r="BM8" s="249"/>
      <c r="BN8" s="267"/>
      <c r="BO8" s="267"/>
      <c r="BP8" s="267"/>
      <c r="BQ8" s="267"/>
      <c r="BR8" s="267"/>
      <c r="BS8" s="267"/>
      <c r="BT8" s="267"/>
      <c r="BU8" s="270"/>
      <c r="BV8"/>
      <c r="BW8" s="252"/>
      <c r="BX8" s="72" t="s">
        <v>92</v>
      </c>
      <c r="BY8" s="72" t="s">
        <v>93</v>
      </c>
      <c r="BZ8" s="72" t="s">
        <v>94</v>
      </c>
      <c r="CA8" s="73" t="s">
        <v>95</v>
      </c>
      <c r="CB8" s="264"/>
      <c r="CC8" s="244"/>
      <c r="CD8" s="244"/>
      <c r="CF8" s="146"/>
      <c r="CH8" s="142"/>
      <c r="CI8" s="143"/>
    </row>
    <row r="9" spans="1:87" s="218" customFormat="1">
      <c r="A9" s="32">
        <v>1</v>
      </c>
      <c r="B9" s="33">
        <f>A9+1</f>
        <v>2</v>
      </c>
      <c r="C9" s="33">
        <f t="shared" ref="C9:BN9" si="0">B9+1</f>
        <v>3</v>
      </c>
      <c r="D9" s="33">
        <f t="shared" si="0"/>
        <v>4</v>
      </c>
      <c r="E9" s="33"/>
      <c r="F9" s="33">
        <f>D9+1</f>
        <v>5</v>
      </c>
      <c r="G9" s="33">
        <f t="shared" si="0"/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si="0"/>
        <v>49</v>
      </c>
      <c r="BA9" s="33">
        <f t="shared" si="0"/>
        <v>50</v>
      </c>
      <c r="BB9" s="33">
        <f t="shared" si="0"/>
        <v>51</v>
      </c>
      <c r="BC9" s="33">
        <f t="shared" si="0"/>
        <v>52</v>
      </c>
      <c r="BD9" s="33">
        <f t="shared" si="0"/>
        <v>53</v>
      </c>
      <c r="BE9" s="33">
        <f t="shared" si="0"/>
        <v>54</v>
      </c>
      <c r="BF9" s="33"/>
      <c r="BG9" s="33"/>
      <c r="BH9" s="33"/>
      <c r="BI9" s="33"/>
      <c r="BJ9" s="33">
        <f>BE9+1</f>
        <v>55</v>
      </c>
      <c r="BK9" s="33">
        <f t="shared" si="0"/>
        <v>56</v>
      </c>
      <c r="BL9" s="33">
        <f t="shared" si="0"/>
        <v>57</v>
      </c>
      <c r="BM9" s="33">
        <f t="shared" si="0"/>
        <v>58</v>
      </c>
      <c r="BN9" s="33">
        <f t="shared" si="0"/>
        <v>59</v>
      </c>
      <c r="BO9" s="33"/>
      <c r="BP9" s="33">
        <f>BN9+1</f>
        <v>60</v>
      </c>
      <c r="BQ9" s="33">
        <f t="shared" ref="BQ9:BU9" si="1">BP9+1</f>
        <v>61</v>
      </c>
      <c r="BR9" s="33">
        <f t="shared" si="1"/>
        <v>62</v>
      </c>
      <c r="BS9" s="33"/>
      <c r="BT9" s="33">
        <f>BR9+1</f>
        <v>63</v>
      </c>
      <c r="BU9" s="33">
        <f t="shared" si="1"/>
        <v>64</v>
      </c>
      <c r="BV9"/>
      <c r="BW9" s="106" t="s">
        <v>96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41"/>
      <c r="CH9" s="142"/>
      <c r="CI9" s="143"/>
    </row>
    <row r="10" spans="1:87" s="219" customFormat="1">
      <c r="A10" s="79" t="s">
        <v>97</v>
      </c>
      <c r="B10" s="79" t="s">
        <v>97</v>
      </c>
      <c r="C10" s="79" t="s">
        <v>97</v>
      </c>
      <c r="D10" s="33"/>
      <c r="E10" s="33"/>
      <c r="F10" s="33"/>
      <c r="G10" s="79" t="s">
        <v>97</v>
      </c>
      <c r="H10" s="79" t="s">
        <v>97</v>
      </c>
      <c r="I10" s="79" t="s">
        <v>97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V10"/>
      <c r="BW10" s="107"/>
      <c r="BX10" s="76"/>
      <c r="BY10" s="76"/>
      <c r="BZ10" s="76"/>
      <c r="CA10" s="76"/>
      <c r="CB10" s="76"/>
      <c r="CC10" s="76"/>
      <c r="CD10" s="76"/>
      <c r="CG10" s="138"/>
      <c r="CH10" s="142"/>
      <c r="CI10" s="143"/>
    </row>
    <row r="11" spans="1:87" s="158" customFormat="1">
      <c r="A11" s="150"/>
      <c r="B11" s="151"/>
      <c r="C11" s="151"/>
      <c r="D11" s="152"/>
      <c r="E11" s="152"/>
      <c r="F11" s="152"/>
      <c r="G11" s="151">
        <f>SUM(G12:G14)</f>
        <v>23500000</v>
      </c>
      <c r="H11" s="151">
        <f t="shared" ref="H11:I11" si="3">SUM(H12:H14)</f>
        <v>1860000</v>
      </c>
      <c r="I11" s="151">
        <f t="shared" si="3"/>
        <v>76640000</v>
      </c>
      <c r="J11" s="151"/>
      <c r="K11" s="153">
        <f t="shared" ref="K11:BU11" si="4">SUM(K12:K14)</f>
        <v>32.5</v>
      </c>
      <c r="L11" s="153"/>
      <c r="M11" s="153"/>
      <c r="N11" s="153"/>
      <c r="O11" s="153"/>
      <c r="P11" s="153"/>
      <c r="Q11" s="153"/>
      <c r="R11" s="153">
        <f>SUM(R12:R14)</f>
        <v>4</v>
      </c>
      <c r="S11" s="153">
        <f t="shared" si="4"/>
        <v>0</v>
      </c>
      <c r="T11" s="153"/>
      <c r="U11" s="153">
        <f t="shared" si="4"/>
        <v>0</v>
      </c>
      <c r="V11" s="153">
        <f t="shared" si="4"/>
        <v>0</v>
      </c>
      <c r="W11" s="153">
        <f t="shared" si="4"/>
        <v>0</v>
      </c>
      <c r="X11" s="153">
        <f t="shared" si="4"/>
        <v>0</v>
      </c>
      <c r="Y11" s="151">
        <f t="shared" si="4"/>
        <v>9807884.615384616</v>
      </c>
      <c r="Z11" s="151"/>
      <c r="AA11" s="151"/>
      <c r="AB11" s="151"/>
      <c r="AC11" s="151">
        <f t="shared" si="4"/>
        <v>0</v>
      </c>
      <c r="AD11" s="151">
        <f t="shared" si="4"/>
        <v>0</v>
      </c>
      <c r="AE11" s="151"/>
      <c r="AF11" s="151">
        <f t="shared" si="4"/>
        <v>0</v>
      </c>
      <c r="AG11" s="151">
        <f t="shared" si="4"/>
        <v>0</v>
      </c>
      <c r="AH11" s="151">
        <f t="shared" si="4"/>
        <v>0</v>
      </c>
      <c r="AI11" s="151">
        <f t="shared" si="4"/>
        <v>0</v>
      </c>
      <c r="AJ11" s="151">
        <f t="shared" si="4"/>
        <v>0</v>
      </c>
      <c r="AK11" s="151">
        <f t="shared" si="4"/>
        <v>0</v>
      </c>
      <c r="AL11" s="151">
        <f t="shared" si="4"/>
        <v>0</v>
      </c>
      <c r="AM11" s="151">
        <f t="shared" si="4"/>
        <v>0</v>
      </c>
      <c r="AN11" s="151">
        <f t="shared" si="4"/>
        <v>771923.07692307699</v>
      </c>
      <c r="AO11" s="151">
        <f t="shared" si="4"/>
        <v>40625769.230769232</v>
      </c>
      <c r="AP11" s="151"/>
      <c r="AQ11" s="151"/>
      <c r="AR11" s="151"/>
      <c r="AS11" s="151"/>
      <c r="AT11" s="151"/>
      <c r="AU11" s="151"/>
      <c r="AV11" s="151">
        <f t="shared" si="4"/>
        <v>56373846.15384616</v>
      </c>
      <c r="AW11" s="151"/>
      <c r="AX11" s="151"/>
      <c r="AY11" s="151">
        <f t="shared" si="4"/>
        <v>2028800</v>
      </c>
      <c r="AZ11" s="151">
        <f t="shared" si="4"/>
        <v>380400</v>
      </c>
      <c r="BA11" s="151">
        <f t="shared" si="4"/>
        <v>253600</v>
      </c>
      <c r="BB11" s="151">
        <f t="shared" si="4"/>
        <v>2662800</v>
      </c>
      <c r="BC11" s="151">
        <f t="shared" si="4"/>
        <v>0</v>
      </c>
      <c r="BD11" s="151"/>
      <c r="BE11" s="151">
        <f t="shared" si="4"/>
        <v>235000</v>
      </c>
      <c r="BF11" s="151"/>
      <c r="BG11" s="151"/>
      <c r="BH11" s="151"/>
      <c r="BI11" s="151"/>
      <c r="BJ11" s="151">
        <f t="shared" si="4"/>
        <v>499346</v>
      </c>
      <c r="BK11" s="151">
        <f t="shared" si="4"/>
        <v>0</v>
      </c>
      <c r="BL11" s="151">
        <f t="shared" si="4"/>
        <v>0</v>
      </c>
      <c r="BM11" s="151">
        <f t="shared" si="4"/>
        <v>0</v>
      </c>
      <c r="BN11" s="151">
        <f t="shared" si="4"/>
        <v>0</v>
      </c>
      <c r="BO11" s="151"/>
      <c r="BP11" s="151">
        <f t="shared" si="4"/>
        <v>0</v>
      </c>
      <c r="BQ11" s="151"/>
      <c r="BR11" s="151"/>
      <c r="BS11" s="151"/>
      <c r="BT11" s="151">
        <f t="shared" si="4"/>
        <v>45099076.923076928</v>
      </c>
      <c r="BU11" s="155">
        <f t="shared" si="4"/>
        <v>0</v>
      </c>
      <c r="BV11"/>
      <c r="BW11" s="156"/>
      <c r="BX11" s="157"/>
      <c r="BY11" s="157"/>
      <c r="BZ11" s="157"/>
      <c r="CA11" s="157"/>
      <c r="CB11" s="157"/>
      <c r="CC11" s="157"/>
      <c r="CD11" s="157"/>
    </row>
    <row r="12" spans="1:87" s="176" customFormat="1">
      <c r="A12" s="159">
        <f>IF(B12=0,"",COUNTA($B$12:(B12)))</f>
        <v>1</v>
      </c>
      <c r="B12" s="160">
        <v>123456</v>
      </c>
      <c r="C12" s="161" t="s">
        <v>121</v>
      </c>
      <c r="D12" s="162" t="s">
        <v>149</v>
      </c>
      <c r="E12" s="162" t="s">
        <v>100</v>
      </c>
      <c r="F12" s="162" t="str">
        <f>IF(BW12&gt;=18000000,"LT","LN")</f>
        <v>LT</v>
      </c>
      <c r="G12" s="165">
        <v>9520000</v>
      </c>
      <c r="H12" s="165">
        <f>+IF(OR(CC12="ĐT PCCC",CC12="ĐP PCCC"),780000,IF(CC12="AT-VSV",300000,0))</f>
        <v>780000</v>
      </c>
      <c r="I12" s="165">
        <f>CB12-BZ12-G12-H12</f>
        <v>49700000</v>
      </c>
      <c r="J12" s="166">
        <v>1</v>
      </c>
      <c r="K12" s="167">
        <v>11</v>
      </c>
      <c r="L12" s="167"/>
      <c r="M12" s="167"/>
      <c r="N12" s="167"/>
      <c r="O12" s="167">
        <v>2</v>
      </c>
      <c r="P12" s="167"/>
      <c r="Q12" s="167"/>
      <c r="R12" s="167">
        <v>0</v>
      </c>
      <c r="S12" s="167">
        <v>0</v>
      </c>
      <c r="T12" s="167"/>
      <c r="U12" s="167">
        <v>0</v>
      </c>
      <c r="V12" s="167">
        <v>0</v>
      </c>
      <c r="W12" s="167">
        <v>0</v>
      </c>
      <c r="X12" s="167">
        <v>0</v>
      </c>
      <c r="Y12" s="165">
        <f>G12*(K12+L12)/26</f>
        <v>4027692.3076923075</v>
      </c>
      <c r="Z12" s="165">
        <f>M12*G12/26</f>
        <v>0</v>
      </c>
      <c r="AA12" s="165">
        <f>G12*N12/26</f>
        <v>0</v>
      </c>
      <c r="AB12" s="165">
        <f>G12*O12/26</f>
        <v>732307.69230769225</v>
      </c>
      <c r="AC12" s="165">
        <f>G12*P12*150%/26</f>
        <v>0</v>
      </c>
      <c r="AD12" s="165">
        <f>G12*Q12/26*200%</f>
        <v>0</v>
      </c>
      <c r="AE12" s="165">
        <f>G12*R12/26*300%</f>
        <v>0</v>
      </c>
      <c r="AF12" s="165">
        <f>IF(F12="LT",0,(G12+H12)/26*S12*30%)</f>
        <v>0</v>
      </c>
      <c r="AG12" s="165">
        <f>T12*G12/23/8</f>
        <v>0</v>
      </c>
      <c r="AH12" s="165">
        <f>CB12/26*U12</f>
        <v>0</v>
      </c>
      <c r="AI12" s="165">
        <f>G12*V12/26</f>
        <v>0</v>
      </c>
      <c r="AJ12" s="165"/>
      <c r="AK12" s="165">
        <f>BZ12*L12/26</f>
        <v>0</v>
      </c>
      <c r="AL12" s="165"/>
      <c r="AM12" s="165">
        <f>X12*CD12</f>
        <v>0</v>
      </c>
      <c r="AN12" s="165">
        <f>H12/26*(K12+L12)</f>
        <v>330000</v>
      </c>
      <c r="AO12" s="165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27217692.307692312</v>
      </c>
      <c r="AP12" s="165"/>
      <c r="AQ12" s="165"/>
      <c r="AR12" s="165"/>
      <c r="AS12" s="165"/>
      <c r="AT12" s="165"/>
      <c r="AU12" s="165"/>
      <c r="AV12" s="169">
        <f>Y12+Z12+AA12+AB12+AC12+AD12+AE12+AF12+AG12+AI12+AJ12+AK12+AL12+AM12+AN12+AO12+AP12-AQ12+AR12+AS12+AT12+AU12</f>
        <v>32307692.307692312</v>
      </c>
      <c r="AW12" s="169"/>
      <c r="AX12" s="169" t="s">
        <v>102</v>
      </c>
      <c r="AY12" s="170">
        <f>ROUND(IF($AX12="x",($G12+$H12)*AY$8,0),0)</f>
        <v>824000</v>
      </c>
      <c r="AZ12" s="170">
        <f>ROUND(IF($AX12="x",($G12+$H12)*AZ$8,0),0)</f>
        <v>154500</v>
      </c>
      <c r="BA12" s="170">
        <f>ROUND(IF($AX12="x",($G12+$H12)*BA$8,0),0)</f>
        <v>103000</v>
      </c>
      <c r="BB12" s="170">
        <f>SUM(AY12:BA12)</f>
        <v>1081500</v>
      </c>
      <c r="BC12" s="170"/>
      <c r="BD12" s="170"/>
      <c r="BE12" s="170">
        <f>IF(G12*1%&gt;=234000,234000,G12*1%)</f>
        <v>95200</v>
      </c>
      <c r="BF12" s="170">
        <f>AM12+IF(AR12&gt;=730000,730000,AR12)+IF(((AV12-AM12-IF(AR12&gt;=730000,730000,AR12)-AS12)*15%-AS12)&gt;"0",((AV12-AM12-IF(AR12&gt;=730000,730000,AR12)-AS12)*15%-AS12),0)</f>
        <v>0</v>
      </c>
      <c r="BG12" s="170">
        <f>AV12-BF12+AW12</f>
        <v>32307692.307692312</v>
      </c>
      <c r="BH12" s="170">
        <v>3</v>
      </c>
      <c r="BI12" s="170">
        <f>BG12-BB12-BC12+BD12-BH12*4400000-IF(E12="CT",11000000,0)</f>
        <v>7026192.3076923117</v>
      </c>
      <c r="BJ12" s="157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452619</v>
      </c>
      <c r="BK12" s="170"/>
      <c r="BL12" s="170"/>
      <c r="BM12" s="170">
        <v>0</v>
      </c>
      <c r="BN12" s="170"/>
      <c r="BO12" s="170"/>
      <c r="BP12" s="170"/>
      <c r="BQ12" s="170"/>
      <c r="BR12" s="170"/>
      <c r="BS12" s="170" t="str">
        <f>IF(AV12&gt;=11000000,"80%","100%")</f>
        <v>80%</v>
      </c>
      <c r="BT12" s="170">
        <f>AV12*BS12-BN12-BK12-BP12-BO12</f>
        <v>25846153.846153852</v>
      </c>
      <c r="BU12" s="171"/>
      <c r="BV12"/>
      <c r="BW12" s="156">
        <v>60000000</v>
      </c>
      <c r="BX12" s="157">
        <v>0</v>
      </c>
      <c r="BY12" s="157"/>
      <c r="BZ12" s="157"/>
      <c r="CA12" s="157">
        <v>0</v>
      </c>
      <c r="CB12" s="157">
        <f>SUM(BW12:CA12)</f>
        <v>60000000</v>
      </c>
      <c r="CC12" s="157" t="s">
        <v>123</v>
      </c>
      <c r="CD12" s="157"/>
      <c r="CE12" s="172"/>
      <c r="CF12" s="173"/>
      <c r="CG12" s="173"/>
      <c r="CH12" s="174"/>
      <c r="CI12" s="175"/>
    </row>
    <row r="13" spans="1:87" s="176" customFormat="1">
      <c r="A13" s="159">
        <f>IF(B13=0,"",COUNTA($B$12:(B13)))</f>
        <v>2</v>
      </c>
      <c r="B13" s="160">
        <v>3562789</v>
      </c>
      <c r="C13" s="161" t="s">
        <v>124</v>
      </c>
      <c r="D13" s="162" t="s">
        <v>150</v>
      </c>
      <c r="E13" s="162" t="s">
        <v>100</v>
      </c>
      <c r="F13" s="162" t="str">
        <f t="shared" ref="F13:F14" si="5">IF(BW13&gt;=18000000,"LT","LN")</f>
        <v>LT</v>
      </c>
      <c r="G13" s="165">
        <v>6990000</v>
      </c>
      <c r="H13" s="165">
        <f>+IF(OR(CC13="ĐT PCCC",CC13="ĐP PCCC"),780000,IF(CC13="AT-VSV",300000,0))</f>
        <v>780000</v>
      </c>
      <c r="I13" s="165">
        <f>CB13-BZ13-G13-H13</f>
        <v>16380000</v>
      </c>
      <c r="J13" s="166">
        <v>1</v>
      </c>
      <c r="K13" s="167">
        <v>10.5</v>
      </c>
      <c r="L13" s="167"/>
      <c r="M13" s="167">
        <v>0.5</v>
      </c>
      <c r="N13" s="167"/>
      <c r="O13" s="167">
        <v>2</v>
      </c>
      <c r="P13" s="167"/>
      <c r="Q13" s="167"/>
      <c r="R13" s="167">
        <v>0</v>
      </c>
      <c r="S13" s="167">
        <v>0</v>
      </c>
      <c r="T13" s="167"/>
      <c r="U13" s="167">
        <v>0</v>
      </c>
      <c r="V13" s="167">
        <v>0</v>
      </c>
      <c r="W13" s="167">
        <v>0</v>
      </c>
      <c r="X13" s="167">
        <v>0</v>
      </c>
      <c r="Y13" s="165">
        <f t="shared" ref="Y13:Y14" si="6">G13*(K13+L13)/26</f>
        <v>2822884.6153846155</v>
      </c>
      <c r="Z13" s="165">
        <f t="shared" ref="Z13:Z14" si="7">M13*G13/26</f>
        <v>134423.07692307694</v>
      </c>
      <c r="AA13" s="165">
        <f t="shared" ref="AA13:AA14" si="8">G13*N13/26</f>
        <v>0</v>
      </c>
      <c r="AB13" s="165">
        <f t="shared" ref="AB13:AB14" si="9">G13*O13/26</f>
        <v>537692.30769230775</v>
      </c>
      <c r="AC13" s="165">
        <f t="shared" ref="AC13:AC14" si="10">G13*P13*150%/26</f>
        <v>0</v>
      </c>
      <c r="AD13" s="165">
        <f t="shared" ref="AD13:AD14" si="11">G13*Q13/26*200%</f>
        <v>0</v>
      </c>
      <c r="AE13" s="165">
        <f t="shared" ref="AE13:AE14" si="12">G13*R13/26*300%</f>
        <v>0</v>
      </c>
      <c r="AF13" s="165">
        <f t="shared" ref="AF13:AF14" si="13">IF(F13="LT",0,(G13+H13)/26*S13*30%)</f>
        <v>0</v>
      </c>
      <c r="AG13" s="165">
        <f t="shared" ref="AG13:AG14" si="14">T13*G13/23/8</f>
        <v>0</v>
      </c>
      <c r="AH13" s="165">
        <f>CB13/26*U13</f>
        <v>0</v>
      </c>
      <c r="AI13" s="165">
        <f t="shared" ref="AI13:AI14" si="15">G13*V13/26</f>
        <v>0</v>
      </c>
      <c r="AJ13" s="165"/>
      <c r="AK13" s="165">
        <f>BZ13*L13/26</f>
        <v>0</v>
      </c>
      <c r="AL13" s="165"/>
      <c r="AM13" s="165">
        <f>X13*CD13</f>
        <v>0</v>
      </c>
      <c r="AN13" s="165">
        <f t="shared" ref="AN13:AN14" si="16">H13/26*K13</f>
        <v>315000</v>
      </c>
      <c r="AO13" s="165">
        <f t="shared" ref="AO13:AO14" si="17"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8940384.615384616</v>
      </c>
      <c r="AP13" s="165"/>
      <c r="AQ13" s="165"/>
      <c r="AR13" s="165"/>
      <c r="AS13" s="165"/>
      <c r="AT13" s="165"/>
      <c r="AU13" s="165"/>
      <c r="AV13" s="169">
        <f t="shared" ref="AV13:AV14" si="18">Y13+Z13+AA13+AB13+AC13+AD13+AE13+AF13+AG13+AI13+AJ13+AK13+AL13+AM13+AN13+AO13+AP13-AQ13+AR13+AS13+AT13+AU13</f>
        <v>12750384.615384616</v>
      </c>
      <c r="AW13" s="169"/>
      <c r="AX13" s="169" t="s">
        <v>102</v>
      </c>
      <c r="AY13" s="170">
        <f t="shared" ref="AY13:AY14" si="19">ROUND(IF($AX13="x",($G13+$H13)*AY$8,0),0)</f>
        <v>621600</v>
      </c>
      <c r="AZ13" s="170">
        <f>ROUND(IF($AX13="x",($G13+$H13)*AZ$8,0),0)</f>
        <v>116550</v>
      </c>
      <c r="BA13" s="170">
        <f>ROUND(IF($AX13="x",($G13+$H13)*BA$8,0),0)</f>
        <v>77700</v>
      </c>
      <c r="BB13" s="170">
        <f>SUM(AY13:BA13)</f>
        <v>815850</v>
      </c>
      <c r="BC13" s="170"/>
      <c r="BD13" s="170"/>
      <c r="BE13" s="170">
        <f t="shared" ref="BE13:BE14" si="20">IF(G13*1%&gt;=234000,234000,G13*1%)</f>
        <v>69900</v>
      </c>
      <c r="BF13" s="170">
        <f t="shared" ref="BF13:BF14" si="21">AM13+IF(AR13&gt;=730000,730000,AR13)+IF(((AV13-AM13-IF(AR13&gt;=730000,730000,AR13)-AS13)*15%-AS13)&gt;"0",((AV13-AM13-IF(AR13&gt;=730000,730000,AR13)-AS13)*15%-AS13),0)</f>
        <v>0</v>
      </c>
      <c r="BG13" s="170">
        <f t="shared" ref="BG13:BG14" si="22">AV13-BF13+AW13</f>
        <v>12750384.615384616</v>
      </c>
      <c r="BH13" s="170"/>
      <c r="BI13" s="170">
        <f t="shared" ref="BI13:BI14" si="23">BG13-BB13-BC13+BD13-BH13*4400000-IF(E13="CT",11000000,0)</f>
        <v>934534.61538461596</v>
      </c>
      <c r="BJ13" s="157">
        <f t="shared" ref="BJ13:BJ14" si="24">IF(BI13&gt;0,ROUND(IF(BI13&gt;=80000000,BI13*35%-9850000,IF(BI13&gt;=52000000,BI13*30%-5850000,IF(BI13&gt;=32000000,BI13*25%-3250000,IF(BI13&gt;=18000000,BI13*20%-1650000,IF(BI13&gt;=10000000,BI13*15%-750000,IF(BI13&gt;5000000,BI13*10%-250000,BI13*5%)))))),0),0)</f>
        <v>46727</v>
      </c>
      <c r="BK13" s="170"/>
      <c r="BL13" s="170"/>
      <c r="BM13" s="170">
        <v>0</v>
      </c>
      <c r="BN13" s="170"/>
      <c r="BO13" s="170"/>
      <c r="BP13" s="170"/>
      <c r="BQ13" s="170"/>
      <c r="BR13" s="170"/>
      <c r="BS13" s="170" t="str">
        <f t="shared" ref="BS13:BS14" si="25">IF(AV13&gt;=11000000,"80%","100%")</f>
        <v>80%</v>
      </c>
      <c r="BT13" s="170">
        <f t="shared" ref="BT13:BT14" si="26">AV13*BS13-BN13-BK13-BP13-BO13</f>
        <v>10200307.692307694</v>
      </c>
      <c r="BU13" s="171"/>
      <c r="BV13"/>
      <c r="BW13" s="156">
        <v>23000000</v>
      </c>
      <c r="BX13" s="157">
        <v>0</v>
      </c>
      <c r="BY13" s="157">
        <v>0</v>
      </c>
      <c r="BZ13" s="157"/>
      <c r="CA13" s="157">
        <f>+BW13*5%</f>
        <v>1150000</v>
      </c>
      <c r="CB13" s="157">
        <f t="shared" ref="CB13:CB14" si="27">SUM(BW13:CA13)</f>
        <v>24150000</v>
      </c>
      <c r="CC13" s="157" t="s">
        <v>115</v>
      </c>
      <c r="CD13" s="157"/>
      <c r="CE13" s="172"/>
      <c r="CF13" s="173"/>
      <c r="CG13" s="173"/>
      <c r="CH13" s="174"/>
      <c r="CI13" s="175"/>
    </row>
    <row r="14" spans="1:87" s="176" customFormat="1">
      <c r="A14" s="159">
        <f>IF(B14=0,"",COUNTA($B$12:(B14)))</f>
        <v>3</v>
      </c>
      <c r="B14" s="177" t="s">
        <v>125</v>
      </c>
      <c r="C14" s="161" t="s">
        <v>126</v>
      </c>
      <c r="D14" s="162" t="s">
        <v>150</v>
      </c>
      <c r="E14" s="162" t="s">
        <v>100</v>
      </c>
      <c r="F14" s="162" t="str">
        <f t="shared" si="5"/>
        <v>LN</v>
      </c>
      <c r="G14" s="165">
        <v>6990000</v>
      </c>
      <c r="H14" s="165">
        <f>+IF(OR(CC14="ĐT PCCC",CC14="ĐP PCCC"),780000,IF(CC14="AT-VSV",300000,0))</f>
        <v>300000</v>
      </c>
      <c r="I14" s="165">
        <f>CB14-BZ14-G14-H14</f>
        <v>10560000</v>
      </c>
      <c r="J14" s="166">
        <v>1</v>
      </c>
      <c r="K14" s="167">
        <v>11</v>
      </c>
      <c r="L14" s="167"/>
      <c r="M14" s="167"/>
      <c r="N14" s="167"/>
      <c r="O14" s="167">
        <v>2</v>
      </c>
      <c r="P14" s="167"/>
      <c r="Q14" s="167"/>
      <c r="R14" s="167">
        <v>4</v>
      </c>
      <c r="S14" s="167">
        <v>0</v>
      </c>
      <c r="T14" s="167"/>
      <c r="U14" s="167">
        <v>0</v>
      </c>
      <c r="V14" s="167">
        <v>0</v>
      </c>
      <c r="W14" s="167">
        <v>0</v>
      </c>
      <c r="X14" s="167">
        <v>0</v>
      </c>
      <c r="Y14" s="165">
        <f t="shared" si="6"/>
        <v>2957307.6923076925</v>
      </c>
      <c r="Z14" s="165">
        <f t="shared" si="7"/>
        <v>0</v>
      </c>
      <c r="AA14" s="165">
        <f t="shared" si="8"/>
        <v>0</v>
      </c>
      <c r="AB14" s="165">
        <f t="shared" si="9"/>
        <v>537692.30769230775</v>
      </c>
      <c r="AC14" s="165">
        <f t="shared" si="10"/>
        <v>0</v>
      </c>
      <c r="AD14" s="165">
        <f t="shared" si="11"/>
        <v>0</v>
      </c>
      <c r="AE14" s="165">
        <f t="shared" si="12"/>
        <v>3226153.8461538465</v>
      </c>
      <c r="AF14" s="165">
        <f t="shared" si="13"/>
        <v>0</v>
      </c>
      <c r="AG14" s="165">
        <f t="shared" si="14"/>
        <v>0</v>
      </c>
      <c r="AH14" s="165">
        <f>CB14/26*U14</f>
        <v>0</v>
      </c>
      <c r="AI14" s="165">
        <f t="shared" si="15"/>
        <v>0</v>
      </c>
      <c r="AJ14" s="165"/>
      <c r="AK14" s="165">
        <f>BZ14*L14/26</f>
        <v>0</v>
      </c>
      <c r="AL14" s="165"/>
      <c r="AM14" s="165">
        <f>X14*CD14</f>
        <v>0</v>
      </c>
      <c r="AN14" s="165">
        <f t="shared" si="16"/>
        <v>126923.07692307694</v>
      </c>
      <c r="AO14" s="165">
        <f t="shared" si="17"/>
        <v>4467692.307692308</v>
      </c>
      <c r="AP14" s="165"/>
      <c r="AQ14" s="165"/>
      <c r="AR14" s="165"/>
      <c r="AS14" s="165"/>
      <c r="AT14" s="165"/>
      <c r="AU14" s="165"/>
      <c r="AV14" s="169">
        <f t="shared" si="18"/>
        <v>11315769.230769232</v>
      </c>
      <c r="AW14" s="169"/>
      <c r="AX14" s="169" t="s">
        <v>102</v>
      </c>
      <c r="AY14" s="170">
        <f t="shared" si="19"/>
        <v>583200</v>
      </c>
      <c r="AZ14" s="170">
        <f>ROUND(IF($AX14="x",($G14+$H14)*AZ$8,0),0)</f>
        <v>109350</v>
      </c>
      <c r="BA14" s="170">
        <f>ROUND(IF($AX14="x",($G14+$H14)*BA$8,0),0)</f>
        <v>72900</v>
      </c>
      <c r="BB14" s="170">
        <f t="shared" ref="BB14" si="28">SUM(AY14:BA14)</f>
        <v>765450</v>
      </c>
      <c r="BC14" s="170"/>
      <c r="BD14" s="170"/>
      <c r="BE14" s="170">
        <f t="shared" si="20"/>
        <v>69900</v>
      </c>
      <c r="BF14" s="170">
        <f t="shared" si="21"/>
        <v>0</v>
      </c>
      <c r="BG14" s="170">
        <f t="shared" si="22"/>
        <v>11315769.230769232</v>
      </c>
      <c r="BH14" s="170"/>
      <c r="BI14" s="170">
        <f t="shared" si="23"/>
        <v>-449680.76923076808</v>
      </c>
      <c r="BJ14" s="157">
        <f t="shared" si="24"/>
        <v>0</v>
      </c>
      <c r="BK14" s="170"/>
      <c r="BL14" s="170"/>
      <c r="BM14" s="170">
        <v>0</v>
      </c>
      <c r="BN14" s="170"/>
      <c r="BO14" s="170"/>
      <c r="BP14" s="170"/>
      <c r="BQ14" s="170"/>
      <c r="BR14" s="170"/>
      <c r="BS14" s="170" t="str">
        <f t="shared" si="25"/>
        <v>80%</v>
      </c>
      <c r="BT14" s="170">
        <f t="shared" si="26"/>
        <v>9052615.3846153859</v>
      </c>
      <c r="BU14" s="171"/>
      <c r="BV14"/>
      <c r="BW14" s="156">
        <v>17000000</v>
      </c>
      <c r="BX14" s="157">
        <v>0</v>
      </c>
      <c r="BY14" s="157">
        <v>0</v>
      </c>
      <c r="BZ14" s="157"/>
      <c r="CA14" s="157">
        <f>+BW14*5%</f>
        <v>850000</v>
      </c>
      <c r="CB14" s="157">
        <f t="shared" si="27"/>
        <v>17850000</v>
      </c>
      <c r="CC14" s="157" t="s">
        <v>119</v>
      </c>
      <c r="CD14" s="157"/>
      <c r="CE14" s="172"/>
      <c r="CF14" s="173"/>
      <c r="CG14" s="173"/>
      <c r="CH14" s="174"/>
      <c r="CI14" s="175"/>
    </row>
    <row r="17" spans="1:87" s="192" customFormat="1" ht="84">
      <c r="A17" s="189" t="str">
        <f>A5&amp;A6&amp;A7&amp;A8</f>
        <v>TT</v>
      </c>
      <c r="B17" s="189" t="str">
        <f t="shared" ref="B17:BM17" si="29">B5&amp;B6&amp;B7&amp;B8</f>
        <v>MSNV</v>
      </c>
      <c r="C17" s="189" t="str">
        <f t="shared" si="29"/>
        <v>Họ và tên</v>
      </c>
      <c r="D17" s="189" t="str">
        <f t="shared" si="29"/>
        <v>Khối</v>
      </c>
      <c r="E17" s="189" t="str">
        <f t="shared" si="29"/>
        <v>Loại HĐLĐ</v>
      </c>
      <c r="F17" s="189" t="str">
        <f t="shared" si="29"/>
        <v>LN/LT</v>
      </c>
      <c r="G17" s="189" t="str">
        <f t="shared" si="29"/>
        <v>Mức lương HĐLĐ</v>
      </c>
      <c r="H17" s="189" t="str">
        <f t="shared" si="29"/>
        <v xml:space="preserve"> Phụ cấp (PCCC, ATVSV) </v>
      </c>
      <c r="I17" s="189" t="str">
        <f t="shared" si="29"/>
        <v>Định mức Thưởng HQCV</v>
      </c>
      <c r="J17" s="189" t="str">
        <f t="shared" si="29"/>
        <v>Tỷ lệ % tạm ứng thưởng HQCV</v>
      </c>
      <c r="K17" s="189" t="str">
        <f t="shared" si="29"/>
        <v>Ngày công trong thángCông đi làm ngày thường</v>
      </c>
      <c r="L17" s="189" t="str">
        <f t="shared" si="29"/>
        <v>Công tác</v>
      </c>
      <c r="M17" s="189" t="str">
        <f t="shared" si="29"/>
        <v>Phép năm</v>
      </c>
      <c r="N17" s="189" t="str">
        <f t="shared" si="29"/>
        <v>Nghỉ chế độ</v>
      </c>
      <c r="O17" s="189" t="str">
        <f t="shared" si="29"/>
        <v>Nghỉ Lễ/Tết</v>
      </c>
      <c r="P17" s="189" t="str">
        <f t="shared" si="29"/>
        <v>Tăng ca ngày thường</v>
      </c>
      <c r="Q17" s="189" t="str">
        <f t="shared" si="29"/>
        <v>Tăng ca ngày chủ nhật</v>
      </c>
      <c r="R17" s="189" t="str">
        <f t="shared" si="29"/>
        <v>Tăng ca Lễ tết</v>
      </c>
      <c r="S17" s="189" t="str">
        <f t="shared" si="29"/>
        <v>Công phụ cấp ban đêm</v>
      </c>
      <c r="T17" s="189" t="str">
        <f t="shared" si="29"/>
        <v>Giờ công nữ nghỉ HK</v>
      </c>
      <c r="U17" s="189" t="str">
        <f t="shared" si="29"/>
        <v>Làm việc ngày T7 được nghỉ</v>
      </c>
      <c r="V17" s="189" t="str">
        <f t="shared" si="29"/>
        <v>Ngày ngừng việc trong tháng14 ngày đầu</v>
      </c>
      <c r="W17" s="189" t="str">
        <f t="shared" si="29"/>
        <v>Từ ngày 15 trở đi</v>
      </c>
      <c r="X17" s="189" t="str">
        <f t="shared" si="29"/>
        <v>Ngày công PHSK</v>
      </c>
      <c r="Y17" s="189" t="str">
        <f t="shared" si="29"/>
        <v>Các khoản được hưởng trong thángLương
Ngày thường</v>
      </c>
      <c r="Z17" s="189" t="str">
        <f t="shared" si="29"/>
        <v>Lương ngày nghỉ phép</v>
      </c>
      <c r="AA17" s="189" t="str">
        <f t="shared" si="29"/>
        <v>Lương ngày nghỉ chế độ</v>
      </c>
      <c r="AB17" s="189" t="str">
        <f t="shared" si="29"/>
        <v>Lương ngày nghỉ Lễ Tết</v>
      </c>
      <c r="AC17" s="189" t="str">
        <f t="shared" si="29"/>
        <v>Lương Tăng ca ngày thường</v>
      </c>
      <c r="AD17" s="189" t="str">
        <f t="shared" si="29"/>
        <v>Lương chủ nhật</v>
      </c>
      <c r="AE17" s="189" t="str">
        <f t="shared" si="29"/>
        <v>Lương tăng ca ngày Lễ/Tết</v>
      </c>
      <c r="AF17" s="189" t="str">
        <f t="shared" si="29"/>
        <v>Lương phụ cấp ban đêm</v>
      </c>
      <c r="AG17" s="189" t="str">
        <f t="shared" si="29"/>
        <v>Lương nữ nghỉ HK</v>
      </c>
      <c r="AH17" s="189" t="str">
        <f t="shared" si="29"/>
        <v>Lương làm việc ngày T7 được nghỉ</v>
      </c>
      <c r="AI17" s="189" t="str">
        <f t="shared" si="29"/>
        <v>Lương ngày tạm ngừng việc</v>
      </c>
      <c r="AJ17" s="189" t="str">
        <f t="shared" si="29"/>
        <v>Lương trực hỗ trợ bảo vệ</v>
      </c>
      <c r="AK17" s="189" t="str">
        <f t="shared" si="29"/>
        <v>Phụ cấp công tác</v>
      </c>
      <c r="AL17" s="189" t="str">
        <f t="shared" si="29"/>
        <v>Phép năm nghỉ việc</v>
      </c>
      <c r="AM17" s="189" t="str">
        <f t="shared" si="29"/>
        <v>Bồi dưỡng PHSK</v>
      </c>
      <c r="AN17" s="189" t="str">
        <f t="shared" si="29"/>
        <v xml:space="preserve">Phụ cấp PCCC (ĐT, ĐP), Phụ cấp AT-VSV </v>
      </c>
      <c r="AO17" s="189" t="str">
        <f t="shared" si="29"/>
        <v>Tạm ứng  thưởng HQCV</v>
      </c>
      <c r="AP17" s="189" t="str">
        <f t="shared" si="29"/>
        <v>Truy lãnh lương</v>
      </c>
      <c r="AQ17" s="189" t="str">
        <f t="shared" si="29"/>
        <v>Truy thu lương</v>
      </c>
      <c r="AR17" s="189" t="str">
        <f t="shared" si="29"/>
        <v>Hỗ trợ cơm</v>
      </c>
      <c r="AS17" s="189" t="str">
        <f t="shared" si="29"/>
        <v>Hỗ trợ Nhà ở</v>
      </c>
      <c r="AT17" s="189" t="str">
        <f t="shared" si="29"/>
        <v>Thưởng năm</v>
      </c>
      <c r="AU17" s="189" t="str">
        <f t="shared" si="29"/>
        <v>Chi trả phép năm chưa sử dụng</v>
      </c>
      <c r="AV17" s="189" t="str">
        <f t="shared" si="29"/>
        <v>Tổng thu nhập</v>
      </c>
      <c r="AW17" s="189" t="str">
        <f t="shared" si="29"/>
        <v>Thu nhập chịu thuế khác</v>
      </c>
      <c r="AX17" s="189" t="str">
        <f t="shared" si="29"/>
        <v>Tham gia BHXH</v>
      </c>
      <c r="AY17" s="189" t="str">
        <f t="shared" si="29"/>
        <v>Các khoản trừCác khoản trích nộpBHXH8%</v>
      </c>
      <c r="AZ17" s="189" t="str">
        <f t="shared" si="29"/>
        <v>BHYT1.5%</v>
      </c>
      <c r="BA17" s="189" t="str">
        <f t="shared" si="29"/>
        <v>BHTN1%</v>
      </c>
      <c r="BB17" s="189" t="str">
        <f t="shared" si="29"/>
        <v>TỔng BHXH</v>
      </c>
      <c r="BC17" s="189" t="str">
        <f t="shared" si="29"/>
        <v>Truy thu BHXH</v>
      </c>
      <c r="BD17" s="189" t="str">
        <f t="shared" si="29"/>
        <v>Hoàn trả BHXH</v>
      </c>
      <c r="BE17" s="189" t="str">
        <f t="shared" si="29"/>
        <v>Phí 
công đoàn
(Lương HĐLĐ *1%)</v>
      </c>
      <c r="BF17" s="189" t="str">
        <f t="shared" si="29"/>
        <v>TN miễn thuế</v>
      </c>
      <c r="BG17" s="189" t="str">
        <f t="shared" si="29"/>
        <v>Thu nhập chịu thuế</v>
      </c>
      <c r="BH17" s="189" t="str">
        <f t="shared" si="29"/>
        <v>NPT</v>
      </c>
      <c r="BI17" s="189" t="str">
        <f t="shared" si="29"/>
        <v>TNTT</v>
      </c>
      <c r="BJ17" s="189" t="str">
        <f t="shared" si="29"/>
        <v>Thuế TNCN</v>
      </c>
      <c r="BK17" s="189" t="str">
        <f t="shared" si="29"/>
        <v>Các khoản thu hộ/thu khácThu tiền tạm ứng</v>
      </c>
      <c r="BL17" s="189" t="str">
        <f t="shared" si="29"/>
        <v xml:space="preserve">Thu hộ cho Cty Đầu tư tiền KBT…, </v>
      </c>
      <c r="BM17" s="189" t="str">
        <f t="shared" si="29"/>
        <v>Thu tiền điện thoại vượt mức</v>
      </c>
      <c r="BN17" s="189" t="str">
        <f t="shared" ref="BN17:CD17" si="30">BN5&amp;BN6&amp;BN7&amp;BN8</f>
        <v>Tiền phúng điếu</v>
      </c>
      <c r="BO17" s="189" t="str">
        <f t="shared" si="30"/>
        <v>Tiền cơm</v>
      </c>
      <c r="BP17" s="189" t="str">
        <f t="shared" si="30"/>
        <v>…..............</v>
      </c>
      <c r="BQ17" s="189" t="str">
        <f t="shared" si="30"/>
        <v>Quyết toán thuếTruy thu theo QTT</v>
      </c>
      <c r="BR17" s="189" t="str">
        <f t="shared" si="30"/>
        <v>Hoàn trả theo QTT</v>
      </c>
      <c r="BS17" s="189" t="str">
        <f t="shared" si="30"/>
        <v>Tỷ lệ tạm ứng lương</v>
      </c>
      <c r="BT17" s="189" t="str">
        <f t="shared" si="30"/>
        <v>Thực nhận kỳ 1</v>
      </c>
      <c r="BU17" s="189" t="str">
        <f t="shared" si="30"/>
        <v>Thực nhận kỳ 2</v>
      </c>
      <c r="BV17"/>
      <c r="BW17" s="189" t="str">
        <f t="shared" si="30"/>
        <v>Ngạch lương</v>
      </c>
      <c r="BX17" s="189" t="str">
        <f t="shared" si="30"/>
        <v>Các khoản được hưởngPC chức danh</v>
      </c>
      <c r="BY17" s="189" t="str">
        <f t="shared" si="30"/>
        <v>PC kiêm nhiệm</v>
      </c>
      <c r="BZ17" s="189" t="str">
        <f t="shared" si="30"/>
        <v>PC Biệt phái</v>
      </c>
      <c r="CA17" s="189" t="str">
        <f t="shared" si="30"/>
        <v>PC thâm niên</v>
      </c>
      <c r="CB17" s="189" t="str">
        <f t="shared" si="30"/>
        <v>Tổng lương và các khoản PC khác</v>
      </c>
      <c r="CC17" s="189" t="str">
        <f t="shared" si="30"/>
        <v>Là ĐT, ĐP PCCC, AT-VSV</v>
      </c>
      <c r="CD17" s="189" t="str">
        <f t="shared" si="30"/>
        <v>Mức Bồi dưỡng sức khỏe</v>
      </c>
    </row>
    <row r="18" spans="1:87" s="192" customFormat="1">
      <c r="A18" s="191" t="str">
        <f>SUBSTITUTE(ADDRESS(1,COLUMN(),4),1,"")</f>
        <v>A</v>
      </c>
      <c r="B18" s="191" t="str">
        <f t="shared" ref="B18:BM18" si="31">SUBSTITUTE(ADDRESS(1,COLUMN(),4),1,"")</f>
        <v>B</v>
      </c>
      <c r="C18" s="191" t="str">
        <f t="shared" si="31"/>
        <v>C</v>
      </c>
      <c r="D18" s="191" t="str">
        <f t="shared" si="31"/>
        <v>D</v>
      </c>
      <c r="E18" s="191" t="str">
        <f t="shared" si="31"/>
        <v>E</v>
      </c>
      <c r="F18" s="191" t="str">
        <f t="shared" si="31"/>
        <v>F</v>
      </c>
      <c r="G18" s="191" t="str">
        <f t="shared" si="31"/>
        <v>G</v>
      </c>
      <c r="H18" s="191" t="str">
        <f t="shared" si="31"/>
        <v>H</v>
      </c>
      <c r="I18" s="191" t="str">
        <f t="shared" si="31"/>
        <v>I</v>
      </c>
      <c r="J18" s="191" t="str">
        <f t="shared" si="31"/>
        <v>J</v>
      </c>
      <c r="K18" s="191" t="str">
        <f t="shared" si="31"/>
        <v>K</v>
      </c>
      <c r="L18" s="191" t="str">
        <f t="shared" si="31"/>
        <v>L</v>
      </c>
      <c r="M18" s="191" t="str">
        <f t="shared" si="31"/>
        <v>M</v>
      </c>
      <c r="N18" s="191" t="str">
        <f t="shared" si="31"/>
        <v>N</v>
      </c>
      <c r="O18" s="191" t="str">
        <f t="shared" si="31"/>
        <v>O</v>
      </c>
      <c r="P18" s="191" t="str">
        <f t="shared" si="31"/>
        <v>P</v>
      </c>
      <c r="Q18" s="191" t="str">
        <f t="shared" si="31"/>
        <v>Q</v>
      </c>
      <c r="R18" s="191" t="str">
        <f t="shared" si="31"/>
        <v>R</v>
      </c>
      <c r="S18" s="191" t="str">
        <f t="shared" si="31"/>
        <v>S</v>
      </c>
      <c r="T18" s="191" t="str">
        <f t="shared" si="31"/>
        <v>T</v>
      </c>
      <c r="U18" s="191" t="str">
        <f t="shared" si="31"/>
        <v>U</v>
      </c>
      <c r="V18" s="191" t="str">
        <f t="shared" si="31"/>
        <v>V</v>
      </c>
      <c r="W18" s="191" t="str">
        <f t="shared" si="31"/>
        <v>W</v>
      </c>
      <c r="X18" s="191" t="str">
        <f t="shared" si="31"/>
        <v>X</v>
      </c>
      <c r="Y18" s="191" t="str">
        <f t="shared" si="31"/>
        <v>Y</v>
      </c>
      <c r="Z18" s="191" t="str">
        <f t="shared" si="31"/>
        <v>Z</v>
      </c>
      <c r="AA18" s="191" t="str">
        <f t="shared" si="31"/>
        <v>AA</v>
      </c>
      <c r="AB18" s="191" t="str">
        <f t="shared" si="31"/>
        <v>AB</v>
      </c>
      <c r="AC18" s="191" t="str">
        <f t="shared" si="31"/>
        <v>AC</v>
      </c>
      <c r="AD18" s="191" t="str">
        <f t="shared" si="31"/>
        <v>AD</v>
      </c>
      <c r="AE18" s="191" t="str">
        <f t="shared" si="31"/>
        <v>AE</v>
      </c>
      <c r="AF18" s="191" t="str">
        <f t="shared" si="31"/>
        <v>AF</v>
      </c>
      <c r="AG18" s="191" t="str">
        <f t="shared" si="31"/>
        <v>AG</v>
      </c>
      <c r="AH18" s="191" t="str">
        <f t="shared" si="31"/>
        <v>AH</v>
      </c>
      <c r="AI18" s="191" t="str">
        <f t="shared" si="31"/>
        <v>AI</v>
      </c>
      <c r="AJ18" s="191" t="str">
        <f t="shared" si="31"/>
        <v>AJ</v>
      </c>
      <c r="AK18" s="191" t="str">
        <f t="shared" si="31"/>
        <v>AK</v>
      </c>
      <c r="AL18" s="191" t="str">
        <f t="shared" si="31"/>
        <v>AL</v>
      </c>
      <c r="AM18" s="191" t="str">
        <f t="shared" si="31"/>
        <v>AM</v>
      </c>
      <c r="AN18" s="191" t="str">
        <f t="shared" si="31"/>
        <v>AN</v>
      </c>
      <c r="AO18" s="191" t="str">
        <f t="shared" si="31"/>
        <v>AO</v>
      </c>
      <c r="AP18" s="191" t="str">
        <f t="shared" si="31"/>
        <v>AP</v>
      </c>
      <c r="AQ18" s="191" t="str">
        <f t="shared" si="31"/>
        <v>AQ</v>
      </c>
      <c r="AR18" s="191" t="str">
        <f t="shared" si="31"/>
        <v>AR</v>
      </c>
      <c r="AS18" s="191" t="str">
        <f t="shared" si="31"/>
        <v>AS</v>
      </c>
      <c r="AT18" s="191" t="str">
        <f t="shared" si="31"/>
        <v>AT</v>
      </c>
      <c r="AU18" s="191" t="str">
        <f t="shared" si="31"/>
        <v>AU</v>
      </c>
      <c r="AV18" s="191" t="str">
        <f t="shared" si="31"/>
        <v>AV</v>
      </c>
      <c r="AW18" s="191" t="str">
        <f t="shared" si="31"/>
        <v>AW</v>
      </c>
      <c r="AX18" s="191" t="str">
        <f t="shared" si="31"/>
        <v>AX</v>
      </c>
      <c r="AY18" s="191" t="str">
        <f t="shared" si="31"/>
        <v>AY</v>
      </c>
      <c r="AZ18" s="191" t="str">
        <f t="shared" si="31"/>
        <v>AZ</v>
      </c>
      <c r="BA18" s="191" t="str">
        <f t="shared" si="31"/>
        <v>BA</v>
      </c>
      <c r="BB18" s="191" t="str">
        <f t="shared" si="31"/>
        <v>BB</v>
      </c>
      <c r="BC18" s="191" t="str">
        <f t="shared" si="31"/>
        <v>BC</v>
      </c>
      <c r="BD18" s="191" t="str">
        <f t="shared" si="31"/>
        <v>BD</v>
      </c>
      <c r="BE18" s="191" t="str">
        <f t="shared" si="31"/>
        <v>BE</v>
      </c>
      <c r="BF18" s="191" t="str">
        <f t="shared" si="31"/>
        <v>BF</v>
      </c>
      <c r="BG18" s="191" t="str">
        <f t="shared" si="31"/>
        <v>BG</v>
      </c>
      <c r="BH18" s="191" t="str">
        <f t="shared" si="31"/>
        <v>BH</v>
      </c>
      <c r="BI18" s="191" t="str">
        <f t="shared" si="31"/>
        <v>BI</v>
      </c>
      <c r="BJ18" s="191" t="str">
        <f t="shared" si="31"/>
        <v>BJ</v>
      </c>
      <c r="BK18" s="191" t="str">
        <f t="shared" si="31"/>
        <v>BK</v>
      </c>
      <c r="BL18" s="191" t="str">
        <f t="shared" si="31"/>
        <v>BL</v>
      </c>
      <c r="BM18" s="191" t="str">
        <f t="shared" si="31"/>
        <v>BM</v>
      </c>
      <c r="BN18" s="191" t="str">
        <f t="shared" ref="BN18:CD18" si="32">SUBSTITUTE(ADDRESS(1,COLUMN(),4),1,"")</f>
        <v>BN</v>
      </c>
      <c r="BO18" s="191" t="str">
        <f t="shared" si="32"/>
        <v>BO</v>
      </c>
      <c r="BP18" s="191" t="str">
        <f t="shared" si="32"/>
        <v>BP</v>
      </c>
      <c r="BQ18" s="191" t="str">
        <f t="shared" si="32"/>
        <v>BQ</v>
      </c>
      <c r="BR18" s="191" t="str">
        <f t="shared" si="32"/>
        <v>BR</v>
      </c>
      <c r="BS18" s="191" t="str">
        <f t="shared" si="32"/>
        <v>BS</v>
      </c>
      <c r="BT18" s="191" t="str">
        <f t="shared" si="32"/>
        <v>BT</v>
      </c>
      <c r="BU18" s="191" t="str">
        <f t="shared" si="32"/>
        <v>BU</v>
      </c>
      <c r="BV18"/>
      <c r="BW18" s="191" t="str">
        <f t="shared" si="32"/>
        <v>BW</v>
      </c>
      <c r="BX18" s="191" t="str">
        <f t="shared" si="32"/>
        <v>BX</v>
      </c>
      <c r="BY18" s="191" t="str">
        <f t="shared" si="32"/>
        <v>BY</v>
      </c>
      <c r="BZ18" s="191" t="str">
        <f t="shared" si="32"/>
        <v>BZ</v>
      </c>
      <c r="CA18" s="191" t="str">
        <f t="shared" si="32"/>
        <v>CA</v>
      </c>
      <c r="CB18" s="191" t="str">
        <f t="shared" si="32"/>
        <v>CB</v>
      </c>
      <c r="CC18" s="191" t="str">
        <f t="shared" si="32"/>
        <v>CC</v>
      </c>
      <c r="CD18" s="191" t="str">
        <f t="shared" si="32"/>
        <v>CD</v>
      </c>
    </row>
    <row r="19" spans="1:87" s="214" customFormat="1" ht="180">
      <c r="A19" s="230">
        <f>IF(B17=0,"",COUNTA($B$12:(B17)))</f>
        <v>4</v>
      </c>
      <c r="B19" s="206">
        <v>123456</v>
      </c>
      <c r="C19" s="207" t="s">
        <v>121</v>
      </c>
      <c r="D19" s="231" t="s">
        <v>149</v>
      </c>
      <c r="E19" s="231" t="s">
        <v>100</v>
      </c>
      <c r="F19" s="231" t="str">
        <f>"IF(["&amp;BW17&amp;"]&gt;=18000000,""LT"",""LN"")"</f>
        <v>IF([Ngạch lương]&gt;=18000000,"LT","LN")</v>
      </c>
      <c r="G19" s="203">
        <v>9520000</v>
      </c>
      <c r="H19" s="203" t="str">
        <f>"+IF(OR(["&amp;CC17&amp;"]=""ĐT PCCC"",["&amp;CC17&amp;"]=""ĐP PCCC""),780000,IF(["&amp;CC17&amp;"]=""AT-VSV"",300000,0))"</f>
        <v>+IF(OR([Là ĐT, ĐP PCCC, AT-VSV]="ĐT PCCC",[Là ĐT, ĐP PCCC, AT-VSV]="ĐP PCCC"),780000,IF([Là ĐT, ĐP PCCC, AT-VSV]="AT-VSV",300000,0))</v>
      </c>
      <c r="I19" s="203" t="str">
        <f>"["&amp;CB17&amp;"]-["&amp;BZ17&amp;"]-["&amp;G17&amp;"]-["&amp;H17&amp;"]"</f>
        <v>[Tổng lương và các khoản PC khác]-[PC Biệt phái]-[Mức lương HĐLĐ]-[ Phụ cấp (PCCC, ATVSV) ]</v>
      </c>
      <c r="J19" s="232">
        <v>1</v>
      </c>
      <c r="K19" s="203">
        <v>11</v>
      </c>
      <c r="L19" s="203"/>
      <c r="M19" s="203"/>
      <c r="N19" s="203"/>
      <c r="O19" s="203">
        <v>2</v>
      </c>
      <c r="P19" s="203"/>
      <c r="Q19" s="203"/>
      <c r="R19" s="203">
        <v>0</v>
      </c>
      <c r="S19" s="203">
        <v>0</v>
      </c>
      <c r="T19" s="203"/>
      <c r="U19" s="203">
        <v>0</v>
      </c>
      <c r="V19" s="203">
        <v>0</v>
      </c>
      <c r="W19" s="203">
        <v>0</v>
      </c>
      <c r="X19" s="203">
        <v>0</v>
      </c>
      <c r="Y19" s="203" t="str">
        <f>"["&amp;G17&amp;"]*(["&amp;K17&amp;"]+["&amp;L17&amp;"])/26"</f>
        <v>[Mức lương HĐLĐ]*([Ngày công trong thángCông đi làm ngày thường]+[Công tác])/26</v>
      </c>
      <c r="Z19" s="203" t="str">
        <f>"["&amp;M17&amp;"]*["&amp;G17&amp;"]/26"</f>
        <v>[Phép năm]*[Mức lương HĐLĐ]/26</v>
      </c>
      <c r="AA19" s="203" t="str">
        <f>"["&amp;G17&amp;"]*["&amp;N17&amp;"]/26"</f>
        <v>[Mức lương HĐLĐ]*[Nghỉ chế độ]/26</v>
      </c>
      <c r="AB19" s="203" t="str">
        <f>"["&amp;G17&amp;"]*["&amp;O17&amp;"]/26"</f>
        <v>[Mức lương HĐLĐ]*[Nghỉ Lễ/Tết]/26</v>
      </c>
      <c r="AC19" s="203" t="str">
        <f>"["&amp;G17&amp;"]*["&amp;P17&amp;"]*150%/26"</f>
        <v>[Mức lương HĐLĐ]*[Tăng ca ngày thường]*150%/26</v>
      </c>
      <c r="AD19" s="203" t="str">
        <f>"["&amp;G17&amp;"]*["&amp;Q17&amp;"]/26*200%"</f>
        <v>[Mức lương HĐLĐ]*[Tăng ca ngày chủ nhật]/26*200%</v>
      </c>
      <c r="AE19" s="203" t="str">
        <f>"["&amp;G17&amp;"]*["&amp;R17&amp;"]/26*300%"</f>
        <v>[Mức lương HĐLĐ]*[Tăng ca Lễ tết]/26*300%</v>
      </c>
      <c r="AF19" s="203" t="str">
        <f>"IF(["&amp;F17&amp;"]=""LT"",0,(["&amp;G17&amp;"]+["&amp;H17&amp;"])/26*["&amp;S17&amp;"]*30%)"</f>
        <v>IF([LN/LT]="LT",0,([Mức lương HĐLĐ]+[ Phụ cấp (PCCC, ATVSV) ])/26*[Công phụ cấp ban đêm]*30%)</v>
      </c>
      <c r="AG19" s="203" t="str">
        <f>"["&amp;T17&amp;"]*["&amp;G17&amp;"]/23/8"</f>
        <v>[Giờ công nữ nghỉ HK]*[Mức lương HĐLĐ]/23/8</v>
      </c>
      <c r="AH19" s="203" t="str">
        <f>"["&amp;CB17&amp;"]/26*["&amp;U17&amp;"]"</f>
        <v>[Tổng lương và các khoản PC khác]/26*[Làm việc ngày T7 được nghỉ]</v>
      </c>
      <c r="AI19" s="203" t="str">
        <f>"["&amp;G17&amp;"]*["&amp;V17&amp;"]/26"</f>
        <v>[Mức lương HĐLĐ]*[Ngày ngừng việc trong tháng14 ngày đầu]/26</v>
      </c>
      <c r="AJ19" s="203"/>
      <c r="AK19" s="203" t="str">
        <f>"["&amp;BZ17&amp;"]*["&amp;L17&amp;"]/26"</f>
        <v>[PC Biệt phái]*[Công tác]/26</v>
      </c>
      <c r="AL19" s="203"/>
      <c r="AM19" s="203" t="str">
        <f>"["&amp;X17&amp;"]*["&amp;CD17&amp;"]"</f>
        <v>[Ngày công PHSK]*[Mức Bồi dưỡng sức khỏe]</v>
      </c>
      <c r="AN19" s="203" t="str">
        <f>"["&amp;H17&amp;"]/26*(["&amp;K17&amp;"]+["&amp;L17&amp;"])"</f>
        <v>[ Phụ cấp (PCCC, ATVSV) ]/26*([Ngày công trong thángCông đi làm ngày thường]+[Công tác])</v>
      </c>
      <c r="AO19" s="203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IF([LN/LT]="LN",[Định mức Thưởng HQCV]*([Ngày công trong thángCông đi làm ngày thường]+[Công tác])/26+([ Phụ cấp (PCCC, ATVSV) ]+[Định mức Thưởng HQCV])*50%*[Phép năm]/26+IF([LN/LT]="LT",[Ngạch lương]*[Nghỉ Lễ/Tết]/26-[Lương ngày nghỉ Lễ Tết],0)+MAX([Mức lương HĐLĐ]*[Tăng ca ngày thường]/26*150%,[Tăng ca ngày thường]*[Ngạch lương]/26)-[Lương Tăng ca ngày thường]+MAX([Mức lương HĐLĐ]*[Tăng ca ngày chủ nhật]/26*200%,[Tăng ca ngày chủ nhật]*[Ngạch lương]/26)-[Lương chủ nhật]+MAX([Mức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HK],[Định mức Thưởng HQCV]-[Định mức Thưởng HQCV]*([Ngày công thực tế tháng ]-[Ngày công trong thángCông đi làm ngày thường]-[Công tác])/26+([ Phụ cấp (PCCC, ATVSV) ]+[Định mức Thưởng HQCV])*50%*[Phép năm]/26+IF([LN/LT]="LT",[Ngạch lương]*[Nghỉ Lễ/Tết]/26-[Lương ngày nghỉ Lễ Tết],0)+MAX([Mức lương HĐLĐ]*[Tăng ca ngày thường]/26*150%,[Tăng ca ngày thường]*[Ngạch lương]/26)-[Lương Tăng ca ngày thường]+MAX([Mức lương HĐLĐ]*[Tăng ca ngày chủ nhật]/26*200%,[Tăng ca ngày chủ nhật]*[Ngạch lương]/26)-[Lương chủ nhật]+MAX([Mức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HK]+([Mức lương HĐLĐ]-[Mức lương HĐLĐ]*([Ngày công thực tế tháng ]-[Ngày công trong thángCông đi làm ngày thường]-[Công tác])/26-[Các khoản được hưởng trong thángLương
Ngày thường])+([ Phụ cấp (PCCC, ATVSV) ]-[ Phụ cấp (PCCC, ATVSV) ]*([Ngày công thực tế tháng ]-[Ngày công trong thángCông đi làm ngày thường]-[Công tác])/26-[Phụ cấp PCCC (ĐT, ĐP), Phụ cấp AT-VSV ]))</v>
      </c>
      <c r="AP19" s="203"/>
      <c r="AQ19" s="203"/>
      <c r="AR19" s="203"/>
      <c r="AS19" s="203"/>
      <c r="AT19" s="203"/>
      <c r="AU19" s="203"/>
      <c r="AV19" s="233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[Các khoản được hưởng trong thángLương
Ngày thường]+[Lương ngày nghỉ phép]+[Lương ngày nghỉ chế độ]+[Lương ngày nghỉ Lễ Tết]+[Lương Tăng ca ngày thường]+[Lương chủ nhật]+[Lương tăng ca ngày Lễ/Tết]+[Lương phụ cấp ban đêm]+[Lương nữ nghỉ HK]+[Lương ngày tạm ngừng việc]+[Lương trực hỗ trợ bảo vệ]+[Phụ cấp công tác]+[Phép năm nghỉ việc]+[Bồi dưỡng PHSK]+[Phụ cấp PCCC (ĐT, ĐP), Phụ cấp AT-VSV ]+[Tạm ứng  thưởng HQCV]+[Truy lãnh lương]-[Truy thu lương]+[Hỗ trợ cơm]+[Hỗ trợ Nhà ở]+[Thưởng năm]+[Chi trả phép năm chưa sử dụng]</v>
      </c>
      <c r="AW19" s="233"/>
      <c r="AX19" s="233" t="s">
        <v>102</v>
      </c>
      <c r="AY19" s="204" t="str">
        <f>"ROUND(IF(["&amp;$AX17&amp;"]=""x"",(["&amp;$G17&amp;"]+["&amp;$H17&amp;"])*["&amp;AY$8&amp;"],0),0)"</f>
        <v>ROUND(IF([Tham gia BHXH]="x",([Mức lương HĐLĐ]+[ Phụ cấp (PCCC, ATVSV) ])*[8%],0),0)</v>
      </c>
      <c r="AZ19" s="204" t="str">
        <f>"ROUND(IF(["&amp;$AX17&amp;"]=""x"",(["&amp;$G17&amp;"]+["&amp;$H17&amp;"])*["&amp;AZ$8&amp;"],0),0)"</f>
        <v>ROUND(IF([Tham gia BHXH]="x",([Mức lương HĐLĐ]+[ Phụ cấp (PCCC, ATVSV) ])*[1.5%],0),0)</v>
      </c>
      <c r="BA19" s="204" t="str">
        <f>"ROUND(IF(["&amp;$AX17&amp;"]=""x"",(["&amp;$G17&amp;"]+["&amp;$H17&amp;"])*["&amp;BA$8&amp;"],0),0)"</f>
        <v>ROUND(IF([Tham gia BHXH]="x",([Mức lương HĐLĐ]+[ Phụ cấp (PCCC, ATVSV) ])*[1%],0),0)</v>
      </c>
      <c r="BB19" s="204" t="str">
        <f>"["&amp;AY17&amp;"]+["&amp;AZ17&amp;"]+["&amp;BA17&amp;"]"</f>
        <v>[Các khoản trừCác khoản trích nộpBHXH8%]+[BHYT1.5%]+[BHTN1%]</v>
      </c>
      <c r="BC19" s="204"/>
      <c r="BD19" s="204"/>
      <c r="BE19" s="204" t="str">
        <f>"IF(["&amp;G17&amp;"]*1%&gt;=234000,234000,["&amp;G17&amp;"]*1%)"</f>
        <v>IF([Mức lương HĐLĐ]*1%&gt;=234000,234000,[Mức lương HĐLĐ]*1%)</v>
      </c>
      <c r="BF19" s="204" t="str">
        <f>"["&amp;AM17&amp;"]+IF(["&amp;AR17&amp;"]&gt;=730000,730000,["&amp;AR17&amp;"])+IF(((["&amp;AV17&amp;"]-["&amp;AM17&amp;"]-IF(["&amp;AR17&amp;"]&gt;=730000,730000,["&amp;AR17&amp;"])-["&amp;AS17&amp;"])*15%-["&amp;AS17&amp;"])&gt;0,((["&amp;AV17&amp;"]-["&amp;AM17&amp;"]-IF(["&amp;AR17&amp;"]&gt;=730000,730000,["&amp;AR17&amp;"])-["&amp;AS17&amp;"])*15%-["&amp;AS17&amp;"]),0)"</f>
        <v>[Bồi dưỡng PHSK]+IF([Hỗ trợ cơm]&gt;=730000,730000,[Hỗ trợ cơm])+IF((([Tổng thu nhập]-[Bồi dưỡng PHSK]-IF([Hỗ trợ cơm]&gt;=730000,730000,[Hỗ trợ cơm])-[Hỗ trợ Nhà ở])*15%-[Hỗ trợ Nhà ở])&gt;0,(([Tổng thu nhập]-[Bồi dưỡng PHSK]-IF([Hỗ trợ cơm]&gt;=730000,730000,[Hỗ trợ cơm])-[Hỗ trợ Nhà ở])*15%-[Hỗ trợ Nhà ở]),0)</v>
      </c>
      <c r="BG19" s="204" t="str">
        <f>"["&amp;AV17&amp;"]-["&amp;BF17&amp;"]+["&amp;AW17&amp;"]"</f>
        <v>[Tổng thu nhập]-[TN miễn thuế]+[Thu nhập chịu thuế khác]</v>
      </c>
      <c r="BH19" s="204">
        <v>3</v>
      </c>
      <c r="BI19" s="204" t="str">
        <f>"["&amp;BG17&amp;"]-["&amp;BB17&amp;"]-["&amp;BC17&amp;"]+["&amp;BD17&amp;"]-["&amp;BH17&amp;"]*4400000-IF(["&amp;E17&amp;"]=""CT"",11000000,0)"</f>
        <v>[Thu nhập chịu thuế]-[TỔng BHXH]-[Truy thu BHXH]+[Hoàn trả BHXH]-[NPT]*4400000-IF([Loại HĐLĐ]="CT",11000000,0)</v>
      </c>
      <c r="BJ19" s="234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204"/>
      <c r="BL19" s="204"/>
      <c r="BM19" s="204">
        <v>0</v>
      </c>
      <c r="BN19" s="204"/>
      <c r="BO19" s="204"/>
      <c r="BP19" s="204"/>
      <c r="BQ19" s="204"/>
      <c r="BR19" s="204"/>
      <c r="BS19" s="204" t="str">
        <f>"IF(["&amp;AV17&amp;"]&gt;=11000000,80%,100%)"</f>
        <v>IF([Tổng thu nhập]&gt;=11000000,80%,100%)</v>
      </c>
      <c r="BT19" s="204" t="str">
        <f>"["&amp;AV17&amp;"]*["&amp;BS17&amp;"]-["&amp;BN17&amp;"]-["&amp;BK17&amp;"]-["&amp;BP17&amp;"]-["&amp;BO17&amp;"]"</f>
        <v>[Tổng thu nhập]*[Tỷ lệ tạm ứng lương]-[Tiền phúng điếu]-[Các khoản thu hộ/thu khácThu tiền tạm ứng]-[…..............]-[Tiền cơm]</v>
      </c>
      <c r="BU19" s="235"/>
      <c r="BV19"/>
      <c r="BW19" s="236">
        <v>60000000</v>
      </c>
      <c r="BX19" s="234">
        <v>0</v>
      </c>
      <c r="BY19" s="234"/>
      <c r="BZ19" s="234"/>
      <c r="CA19" s="234">
        <v>0</v>
      </c>
      <c r="CB19" s="234" t="str">
        <f>"["&amp;BW17&amp;"]+["&amp;BX17&amp;"]+["&amp;BY17&amp;"]+["&amp;BZ17&amp;"]+["&amp;CA17&amp;"]"</f>
        <v>[Ngạch lương]+[Các khoản được hưởngPC chức danh]+[PC kiêm nhiệm]+[PC Biệt phái]+[PC thâm niên]</v>
      </c>
      <c r="CC19" s="234" t="s">
        <v>123</v>
      </c>
      <c r="CD19" s="234"/>
      <c r="CE19" s="213"/>
      <c r="CF19" s="213"/>
      <c r="CG19" s="213"/>
      <c r="CI19" s="215"/>
    </row>
  </sheetData>
  <autoFilter ref="A9:CI14" xr:uid="{00000000-0001-0000-0000-000000000000}"/>
  <dataConsolidate/>
  <mergeCells count="82">
    <mergeCell ref="BK6:BP6"/>
    <mergeCell ref="BO7:BO8"/>
    <mergeCell ref="BP7:BP8"/>
    <mergeCell ref="BI7:BI8"/>
    <mergeCell ref="BJ7:BJ8"/>
    <mergeCell ref="BB7:BB8"/>
    <mergeCell ref="BC7:BC8"/>
    <mergeCell ref="BD7:BD8"/>
    <mergeCell ref="BE7:BE8"/>
    <mergeCell ref="AM6:AM8"/>
    <mergeCell ref="AN6:AN8"/>
    <mergeCell ref="AO6:AO8"/>
    <mergeCell ref="AY6:BJ6"/>
    <mergeCell ref="T6:T8"/>
    <mergeCell ref="U6:U8"/>
    <mergeCell ref="V6:W7"/>
    <mergeCell ref="X6:X8"/>
    <mergeCell ref="Y6:Y8"/>
    <mergeCell ref="BX5:CA7"/>
    <mergeCell ref="CB5:CB8"/>
    <mergeCell ref="CC5:CC8"/>
    <mergeCell ref="AR5:AR8"/>
    <mergeCell ref="AS5:AS8"/>
    <mergeCell ref="AT5:AT8"/>
    <mergeCell ref="AU5:AU8"/>
    <mergeCell ref="AV5:AV8"/>
    <mergeCell ref="AW5:AW8"/>
    <mergeCell ref="BK7:BK8"/>
    <mergeCell ref="BL7:BL8"/>
    <mergeCell ref="BM7:BM8"/>
    <mergeCell ref="BN7:BN8"/>
    <mergeCell ref="BF7:BF8"/>
    <mergeCell ref="BG7:BG8"/>
    <mergeCell ref="BH7:BH8"/>
    <mergeCell ref="Z6:Z8"/>
    <mergeCell ref="BW5:BW8"/>
    <mergeCell ref="AQ5:AQ8"/>
    <mergeCell ref="AL6:AL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BQ6:BQ8"/>
    <mergeCell ref="Q6:Q8"/>
    <mergeCell ref="R6:R8"/>
    <mergeCell ref="S6:S8"/>
    <mergeCell ref="CD5:CD8"/>
    <mergeCell ref="K6:K8"/>
    <mergeCell ref="L6:L8"/>
    <mergeCell ref="M6:M8"/>
    <mergeCell ref="N6:N8"/>
    <mergeCell ref="O6:O8"/>
    <mergeCell ref="AX5:AX8"/>
    <mergeCell ref="AY5:BP5"/>
    <mergeCell ref="BQ5:BR5"/>
    <mergeCell ref="BS5:BS8"/>
    <mergeCell ref="BT5:BT8"/>
    <mergeCell ref="BU5:BU8"/>
    <mergeCell ref="BR6:BR8"/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P6:P8"/>
  </mergeCells>
  <conditionalFormatting sqref="B1:B9 B12:B16 C9:BU9 B20:B1048576">
    <cfRule type="duplicateValues" dxfId="6" priority="63"/>
  </conditionalFormatting>
  <conditionalFormatting sqref="B1:B9 B12:B16 D10:F10 J10:BI10 BK10:BU10 C9:BU9 B20:B1048576 BW9:CD10">
    <cfRule type="duplicateValues" dxfId="5" priority="68"/>
  </conditionalFormatting>
  <conditionalFormatting sqref="B12:B16 B1:B9 C9:BU9 B20:B1048576">
    <cfRule type="duplicateValues" dxfId="4" priority="6"/>
  </conditionalFormatting>
  <conditionalFormatting sqref="B19">
    <cfRule type="duplicateValues" dxfId="3" priority="1"/>
    <cfRule type="duplicateValues" dxfId="2" priority="2"/>
    <cfRule type="duplicateValues" dxfId="1" priority="3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 NS</dc:creator>
  <cp:keywords/>
  <dc:description/>
  <cp:lastModifiedBy>Luu Duc Huy</cp:lastModifiedBy>
  <cp:revision/>
  <dcterms:created xsi:type="dcterms:W3CDTF">2024-10-30T08:54:41Z</dcterms:created>
  <dcterms:modified xsi:type="dcterms:W3CDTF">2026-02-03T07:48:07Z</dcterms:modified>
  <cp:category/>
  <cp:contentStatus/>
</cp:coreProperties>
</file>