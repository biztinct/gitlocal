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50" firstSheet="0" activeTab="0" autoFilterDateGrouping="1"/>
  </bookViews>
  <sheets>
    <sheet name="Template Payroll" sheetId="1" state="visible" r:id="rId1"/>
    <sheet name="PC cơm " sheetId="2" state="visible" r:id="rId2"/>
    <sheet name="TimeTB 2" sheetId="3" state="visible" r:id="rId3"/>
    <sheet name=" TimeTB 1" sheetId="4" state="visible" r:id="rId4"/>
    <sheet name="OT " sheetId="5" state="visible" r:id="rId5"/>
    <sheet name="NS" sheetId="6" state="visible" r:id="rId6"/>
    <sheet name="Incentive" sheetId="7" state="visible" r:id="rId7"/>
    <sheet name="Others" sheetId="8" state="visible" r:id="rId8"/>
    <sheet name="Benefit tính thuế" sheetId="9" state="visible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_">"SQRT"</definedName>
    <definedName name="_.._mik">#REF!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_1">#REF!</definedName>
    <definedName name="__xlnm._FilterDatabase_1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_FilterDatabase_6">#REF!</definedName>
    <definedName name="__xlnm._FilterDatabase_7">#REF!</definedName>
    <definedName name="__Y2" hidden="1">{"'Sheet1'!$L$16"}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￥">#N/A</definedName>
    <definedName name="√">"SQRT"</definedName>
    <definedName name="※_추후_NAVA__PROJECT는__부품_">#REF!</definedName>
    <definedName name="②도입임차금_기타">#REF!</definedName>
    <definedName name="③단자인건비_인건비">#REF!</definedName>
    <definedName name="⑤이자리스료_일반">#REF!</definedName>
    <definedName name="a">#REF!</definedName>
    <definedName name="Á">!#REF!</definedName>
    <definedName name="â">!#REF!</definedName>
    <definedName name="A.">#REF!</definedName>
    <definedName name="a_">#REF!</definedName>
    <definedName name="a___May">#REF!</definedName>
    <definedName name="a___Nhan_cong">#REF!</definedName>
    <definedName name="a___vat_lieu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.BB">#REF!</definedName>
    <definedName name="As_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ãn">#REF!</definedName>
    <definedName name="CÖÏ_LY_VAÄN_CHUYEÅ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>"#REF!"</definedName>
    <definedName name="d.d">#REF!</definedName>
    <definedName name="d.d1">#REF!</definedName>
    <definedName name="d.d2">#REF!</definedName>
    <definedName name="d.Xáy_âaï_häüc">#N/A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>#REF!</definedName>
    <definedName name="daymonth">[6]Payroll!$XEP$19:$XES$32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>'[9]Staff Data'!$J$4:$J$5</definedName>
    <definedName name="Dong_coc_cu">#REF!</definedName>
    <definedName name="DONVI">#N/A</definedName>
    <definedName name="DoorWindow">#REF!</definedName>
    <definedName name="dothang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...Be_ton_dÀ">#N/A</definedName>
    <definedName name="G_C">#N/A</definedName>
    <definedName name="G_ME">#REF!</definedName>
    <definedName name="g_탩Y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.">#REF!</definedName>
    <definedName name="h...Cçt_thÏp">#N/A</definedName>
    <definedName name="h...Gia_cäng_làõp_dæûng_vaì_thaïo_dåí_cäúp_pha">#N/A</definedName>
    <definedName name="H_ng_mòc_cáng_trÖnh">#REF!</definedName>
    <definedName name="H_THUCHTHH">#REF!</definedName>
    <definedName name="H_THUCTT">#REF!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>#REF!</definedName>
    <definedName name="HUYEN_NHA_BE">#REF!</definedName>
    <definedName name="HUYHAN">#REF!</definedName>
    <definedName name="HWARE">#REF!</definedName>
    <definedName name="I">#REF!</definedName>
    <definedName name="i...KÕt_cÊu_gæ__cõa__thÏp">#N/A</definedName>
    <definedName name="I_A">#REF!</definedName>
    <definedName name="I_B">#REF!</definedName>
    <definedName name="I_c">#REF!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...TrÀt">#N/A</definedName>
    <definedName name="l_1">#REF!</definedName>
    <definedName name="L_mong">#REF!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>"#REF!"</definedName>
    <definedName name="ot_total">"#REF!"</definedName>
    <definedName name="ot_untax">"#REF!"</definedName>
    <definedName name="otDetail_150">"#REF!"</definedName>
    <definedName name="otDetail_200">"#REF!"</definedName>
    <definedName name="otDetail_215">"#REF!"</definedName>
    <definedName name="otDetail_280">"#REF!"</definedName>
    <definedName name="otDetail_300">"#REF!"</definedName>
    <definedName name="otDetail_410">"#REF!"</definedName>
    <definedName name="OtDetail_Name">"#REF!"</definedName>
    <definedName name="outdia2">#REF!</definedName>
    <definedName name="OUTER">#REF!</definedName>
    <definedName name="overtime">"#REF!"</definedName>
    <definedName name="oxy">#REF!</definedName>
    <definedName name="O행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...çp_tg__tró">#N/A</definedName>
    <definedName name="Q_So">#REF!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>#REF!</definedName>
    <definedName name="QUAN_10">#REF!</definedName>
    <definedName name="QUAN_11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>#REF!</definedName>
    <definedName name="quan_21">!#REF!</definedName>
    <definedName name="QUAN_3">#REF!</definedName>
    <definedName name="QUẬN_3">!#REF!</definedName>
    <definedName name="QUAN_4">#REF!</definedName>
    <definedName name="QUAN_41">!#REF!</definedName>
    <definedName name="QUAN_5">#REF!</definedName>
    <definedName name="QUAN_6">#REF!</definedName>
    <definedName name="QUAN_7">#REF!</definedName>
    <definedName name="QUAN_8">#REF!</definedName>
    <definedName name="QUAN_9">#REF!</definedName>
    <definedName name="QUAN_BINH_TAN">#REF!</definedName>
    <definedName name="QUAN_BINH_THANH">#REF!</definedName>
    <definedName name="QUAN_GO_VAP">#REF!</definedName>
    <definedName name="QUAN_PHU_NHUAN">#REF!</definedName>
    <definedName name="QUAN_TAN_BINH">#REF!</definedName>
    <definedName name="QUAN_TAN_PHU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...LÀng_nÒn_san">#N/A</definedName>
    <definedName name="R_F">#REF!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...LÀt">#N/A</definedName>
    <definedName name="S_2_Bï_v_nh">#REF!</definedName>
    <definedName name="S_Ⅱ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...TrÇn">#N/A</definedName>
    <definedName name="T_Ⅲ">#REF!</definedName>
    <definedName name="T_P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ㅇㄻㄴㅇㄻㄴ">#REF!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小">#REF!</definedName>
    <definedName name="解_任_">#N/A</definedName>
    <definedName name="daymonth" localSheetId="0">'Template Payroll'!#REF!</definedName>
    <definedName name="ot_ID" localSheetId="0">#REF!</definedName>
    <definedName name="ot_total" localSheetId="0">#REF!</definedName>
    <definedName name="ot_untax" localSheetId="0">#REF!</definedName>
    <definedName name="otDetail_150" localSheetId="0">#REF!</definedName>
    <definedName name="otDetail_200" localSheetId="0">#REF!</definedName>
    <definedName name="otDetail_215" localSheetId="0">#REF!</definedName>
    <definedName name="otDetail_280" localSheetId="0">#REF!</definedName>
    <definedName name="otDetail_300" localSheetId="0">#REF!</definedName>
    <definedName name="otDetail_410" localSheetId="0">#REF!</definedName>
    <definedName name="OtDetail_Name" localSheetId="0">#REF!</definedName>
    <definedName name="payroll" localSheetId="0">'Template Payroll'!#REF!</definedName>
    <definedName name="Thamchieu" localSheetId="0">'[16]Bang tham chieu'!$B$2:$D$9</definedName>
    <definedName name="XET" localSheetId="0">'Template Payroll'!#REF!</definedName>
    <definedName name="_xlnm._FilterDatabase" localSheetId="0" hidden="1">'Template Payroll'!$A$4:$CG$19</definedName>
    <definedName name="_xlnm.Print_Titles" localSheetId="0">'Template Payroll'!$4:$4,'Template Payroll'!$A:$H</definedName>
    <definedName name="_xlnm._FilterDatabase" localSheetId="1" hidden="1">'PC cơm '!$A$6:$M$18</definedName>
    <definedName name="_xlnm.Print_Titles" localSheetId="1">'PC cơm '!$5:$6</definedName>
    <definedName name="_xlnm._FilterDatabase" localSheetId="2" hidden="1">'TimeTB 2'!$A$10:$AY$20</definedName>
    <definedName name="_xlnm.Print_Titles" localSheetId="2">'TimeTB 2'!$8:$10</definedName>
    <definedName name="_xlnm.Print_Area" localSheetId="2">'TimeTB 2'!$B$1:$AY$37</definedName>
    <definedName name="__xlnm._FilterDatabase_1" localSheetId="3">#REF!</definedName>
    <definedName name="__xlnm._FilterDatabase_2" localSheetId="3">#REF!</definedName>
    <definedName name="__xlnm._FilterDatabase_3" localSheetId="3">#REF!</definedName>
    <definedName name="__xlnm._FilterDatabase_4" localSheetId="3">#REF!</definedName>
    <definedName name="__xlnm._FilterDatabase_5" localSheetId="3">#REF!</definedName>
    <definedName name="__xlnm._FilterDatabase_7" localSheetId="3">#REF!</definedName>
    <definedName name="AA" localSheetId="3">#REF!</definedName>
    <definedName name="AO" localSheetId="3">#REF!</definedName>
    <definedName name="DATA" localSheetId="3">OFFSET(#REF!,0,0,COUNTA(#REF!)-1,COUNTA(#REF!)-1)</definedName>
    <definedName name="dayinmonth" localSheetId="3">#REF!</definedName>
    <definedName name="daymonth" localSheetId="3">[6]Payroll!$XEP$19:$XES$32</definedName>
    <definedName name="HUYEN_HOC_MON" localSheetId="3">#REF!</definedName>
    <definedName name="HUYEN_NHA_BE" localSheetId="3">#REF!</definedName>
    <definedName name="ot_ID" localSheetId="3">"#REF!"</definedName>
    <definedName name="ot_total" localSheetId="3">"#REF!"</definedName>
    <definedName name="ot_untax" localSheetId="3">"#REF!"</definedName>
    <definedName name="otDetail_150" localSheetId="3">"#REF!"</definedName>
    <definedName name="otDetail_200" localSheetId="3">"#REF!"</definedName>
    <definedName name="otDetail_215" localSheetId="3">"#REF!"</definedName>
    <definedName name="otDetail_280" localSheetId="3">"#REF!"</definedName>
    <definedName name="otDetail_300" localSheetId="3">"#REF!"</definedName>
    <definedName name="otDetail_410" localSheetId="3">"#REF!"</definedName>
    <definedName name="OtDetail_Name" localSheetId="3">"#REF!"</definedName>
    <definedName name="p" localSheetId="3">#REF!</definedName>
    <definedName name="payroll" localSheetId="3">[13]Payroll!#REF!</definedName>
    <definedName name="QUAN_1" localSheetId="3">#REF!</definedName>
    <definedName name="QUAN_10" localSheetId="3">#REF!</definedName>
    <definedName name="QUAN_11" localSheetId="3">#REF!</definedName>
    <definedName name="QUAN_12" localSheetId="3">#REF!</definedName>
    <definedName name="QUAN_2" localSheetId="3">#REF!</definedName>
    <definedName name="QUAN_3" localSheetId="3">#REF!</definedName>
    <definedName name="QUAN_4" localSheetId="3">#REF!</definedName>
    <definedName name="QUAN_5" localSheetId="3">#REF!</definedName>
    <definedName name="QUAN_6" localSheetId="3">#REF!</definedName>
    <definedName name="QUAN_7" localSheetId="3">#REF!</definedName>
    <definedName name="QUAN_8" localSheetId="3">#REF!</definedName>
    <definedName name="QUAN_9" localSheetId="3">#REF!</definedName>
    <definedName name="QUAN_BINH_TAN" localSheetId="3">#REF!</definedName>
    <definedName name="QUAN_BINH_THANH" localSheetId="3">#REF!</definedName>
    <definedName name="QUAN_GO_VAP" localSheetId="3">#REF!</definedName>
    <definedName name="QUAN_PHU_NHUAN" localSheetId="3">#REF!</definedName>
    <definedName name="QUAN_TAN_BINH" localSheetId="3">#REF!</definedName>
    <definedName name="QUAN_TAN_PHU" localSheetId="3">#REF!</definedName>
    <definedName name="QUAN_THU_DUC" localSheetId="3">#REF!</definedName>
    <definedName name="Thamchieu" localSheetId="3">#N/A</definedName>
    <definedName name="XET" localSheetId="3">[19]Payroll!#REF!</definedName>
    <definedName name="_xlnm._FilterDatabase" localSheetId="3" hidden="1">' TimeTB 1'!$A$21:$AU$29</definedName>
    <definedName name="_xlnm.Print_Titles" localSheetId="3">' TimeTB 1'!$19:$21</definedName>
    <definedName name="__xlnm._FilterDatabase" localSheetId="4">'OT '!$A$5:A5</definedName>
    <definedName name="__xlnm._FilterDatabase_1" localSheetId="4">#REF!</definedName>
    <definedName name="__xlnm._FilterDatabase_3" localSheetId="4">#REF!</definedName>
    <definedName name="__xlnm._FilterDatabase_4" localSheetId="4">#REF!</definedName>
    <definedName name="__xlnm._FilterDatabase_5" localSheetId="4">#REF!</definedName>
    <definedName name="__xlnm._FilterDatabase_7" localSheetId="4">#REF!</definedName>
    <definedName name="__xlnm.Print_Titles" localSheetId="4">'OT '!$4:$5</definedName>
    <definedName name="a" localSheetId="4">#REF!</definedName>
    <definedName name="AA" localSheetId="4">#REF!</definedName>
    <definedName name="AO" localSheetId="4">#REF!</definedName>
    <definedName name="DATA" localSheetId="4">OFFSET(#REF!,0,0,COUNTA(#REF!)-1,COUNTA(#REF!)-1)</definedName>
    <definedName name="dayinmonth" localSheetId="4">#REF!</definedName>
    <definedName name="HUYEN_HOC_MON" localSheetId="4">#REF!</definedName>
    <definedName name="HUYEN_NHA_BE" localSheetId="4">#REF!</definedName>
    <definedName name="ot_ID" localSheetId="4">'OT '!$B:$B</definedName>
    <definedName name="ot_total" localSheetId="4">'OT '!$R:$R</definedName>
    <definedName name="ot_untax" localSheetId="4">'OT '!$T:$T</definedName>
    <definedName name="otDetail_150" localSheetId="4">#N/A</definedName>
    <definedName name="otDetail_200" localSheetId="4">#N/A</definedName>
    <definedName name="otDetail_215" localSheetId="4">#N/A</definedName>
    <definedName name="otDetail_280" localSheetId="4">#N/A</definedName>
    <definedName name="otDetail_300" localSheetId="4">#N/A</definedName>
    <definedName name="otDetail_410" localSheetId="4">#N/A</definedName>
    <definedName name="OtDetail_Name" localSheetId="4">#N/A</definedName>
    <definedName name="p" localSheetId="4">#REF!</definedName>
    <definedName name="payroll" localSheetId="4">[14]Payroll!$C$20:$AQ$82</definedName>
    <definedName name="QUAN_1" localSheetId="4">#REF!</definedName>
    <definedName name="QUAN_10" localSheetId="4">#REF!</definedName>
    <definedName name="QUAN_11" localSheetId="4">#REF!</definedName>
    <definedName name="QUAN_12" localSheetId="4">#REF!</definedName>
    <definedName name="QUAN_2" localSheetId="4">#REF!</definedName>
    <definedName name="QUAN_3" localSheetId="4">#REF!</definedName>
    <definedName name="QUAN_4" localSheetId="4">#REF!</definedName>
    <definedName name="QUAN_5" localSheetId="4">#REF!</definedName>
    <definedName name="QUAN_6" localSheetId="4">#REF!</definedName>
    <definedName name="QUAN_7" localSheetId="4">#REF!</definedName>
    <definedName name="QUAN_8" localSheetId="4">#REF!</definedName>
    <definedName name="QUAN_9" localSheetId="4">#REF!</definedName>
    <definedName name="QUAN_BINH_TAN" localSheetId="4">#REF!</definedName>
    <definedName name="QUAN_BINH_THANH" localSheetId="4">#REF!</definedName>
    <definedName name="QUAN_GO_VAP" localSheetId="4">#REF!</definedName>
    <definedName name="QUAN_PHU_NHUAN" localSheetId="4">#REF!</definedName>
    <definedName name="QUAN_TAN_BINH" localSheetId="4">#REF!</definedName>
    <definedName name="QUAN_TAN_PHU" localSheetId="4">#REF!</definedName>
    <definedName name="QUAN_THU_DUC" localSheetId="4">#REF!</definedName>
    <definedName name="XET" localSheetId="4">#REF!</definedName>
    <definedName name="y" localSheetId="4">#REF!</definedName>
    <definedName name="_xlnm._FilterDatabase" localSheetId="4" hidden="1">'OT '!$A$5:$T$15</definedName>
    <definedName name="_xlnm.Print_Titles" localSheetId="4">'OT '!$4:$5</definedName>
    <definedName name="__xlnm._FilterDatabase" localSheetId="5">NS!$A$7:A7</definedName>
    <definedName name="__xlnm.Print_Titles" localSheetId="5">NS!$6:$7</definedName>
    <definedName name="ceilingsalary" localSheetId="5">"#REF!"</definedName>
    <definedName name="D" localSheetId="5">"#REF!"</definedName>
    <definedName name="daysinmonth" localSheetId="5">"#REF!"</definedName>
    <definedName name="dothang" localSheetId="5">"#REF!"</definedName>
    <definedName name="dotim" localSheetId="5">"#REF!"</definedName>
    <definedName name="luong" localSheetId="5">"#REF!"</definedName>
    <definedName name="master" localSheetId="5">"#REF!"</definedName>
    <definedName name="ot_ID" localSheetId="5">NS!$B:$B</definedName>
    <definedName name="ot_total" localSheetId="5">#N/A</definedName>
    <definedName name="ot_untax" localSheetId="5">#N/A</definedName>
    <definedName name="otDetail_150" localSheetId="5">#N/A</definedName>
    <definedName name="otDetail_200" localSheetId="5">#N/A</definedName>
    <definedName name="otDetail_215" localSheetId="5">#N/A</definedName>
    <definedName name="otDetail_280" localSheetId="5">#N/A</definedName>
    <definedName name="otDetail_300" localSheetId="5">#N/A</definedName>
    <definedName name="otDetail_410" localSheetId="5">#N/A</definedName>
    <definedName name="OtDetail_Name" localSheetId="5">#N/A</definedName>
    <definedName name="overtime" localSheetId="5">"#REF!"</definedName>
    <definedName name="payroll" localSheetId="5">[14]Payroll!$C$20:$AQ$82</definedName>
    <definedName name="SBVrate" localSheetId="5">"#REF!"</definedName>
    <definedName name="Socialrate" localSheetId="5">"#REF!"</definedName>
    <definedName name="vu" localSheetId="5">"#REF!"</definedName>
    <definedName name="workingdays" localSheetId="5">"#REF!"</definedName>
    <definedName name="_xlnm._FilterDatabase" localSheetId="5" hidden="1">'NS'!$A$7:$G$17</definedName>
    <definedName name="_xlnm.Print_Titles" localSheetId="5">'NS'!$6:$7</definedName>
    <definedName name="__xlnm._FilterDatabase" localSheetId="6">Incentive!$A$8:A19</definedName>
    <definedName name="__xlnm._FilterDatabase_1" localSheetId="6">#REF!</definedName>
    <definedName name="__xlnm._FilterDatabase_2" localSheetId="6">#REF!</definedName>
    <definedName name="__xlnm._FilterDatabase_3" localSheetId="6">#REF!</definedName>
    <definedName name="__xlnm._FilterDatabase_4" localSheetId="6">#REF!</definedName>
    <definedName name="__xlnm._FilterDatabase_5" localSheetId="6">#REF!</definedName>
    <definedName name="__xlnm._FilterDatabase_6" localSheetId="6">#REF!</definedName>
    <definedName name="__xlnm._FilterDatabase_7" localSheetId="6">#REF!</definedName>
    <definedName name="__xlnm.Print_Area" localSheetId="6">Incentive!$A$1:$H$14</definedName>
    <definedName name="__xlnm.Print_Titles" localSheetId="6">(Incentive!$A:$G,Incentive!$8:$8)</definedName>
    <definedName name="a" localSheetId="6">#REF!</definedName>
    <definedName name="AA" localSheetId="6">#REF!</definedName>
    <definedName name="AO" localSheetId="6">#REF!</definedName>
    <definedName name="DATA" localSheetId="6">OFFSET(#REF!,0,0,COUNTA(#REF!)-1,COUNTA(#REF!)-1)</definedName>
    <definedName name="dayinmonth" localSheetId="6">#REF!</definedName>
    <definedName name="daymonth" localSheetId="6">[6]Payroll!$XEP$19:$XES$32</definedName>
    <definedName name="DON_HANG" localSheetId="6">'[9]Staff Data'!$J$4:$J$5</definedName>
    <definedName name="HUYEN_HOC_MON" localSheetId="6">#REF!</definedName>
    <definedName name="HUYEN_NHA_BE" localSheetId="6">#REF!</definedName>
    <definedName name="ot_ID" localSheetId="6">"#REF!"</definedName>
    <definedName name="ot_total" localSheetId="6">"#REF!"</definedName>
    <definedName name="ot_untax" localSheetId="6">"#REF!"</definedName>
    <definedName name="otDetail_150" localSheetId="6">"#REF!"</definedName>
    <definedName name="otDetail_200" localSheetId="6">"#REF!"</definedName>
    <definedName name="otDetail_215" localSheetId="6">"#REF!"</definedName>
    <definedName name="otDetail_280" localSheetId="6">"#REF!"</definedName>
    <definedName name="otDetail_300" localSheetId="6">"#REF!"</definedName>
    <definedName name="otDetail_410" localSheetId="6">"#REF!"</definedName>
    <definedName name="OtDetail_Name" localSheetId="6">"#REF!"</definedName>
    <definedName name="p" localSheetId="6">#REF!</definedName>
    <definedName name="payroll" localSheetId="6">Incentive!#REF!</definedName>
    <definedName name="PICKER_PACKER" localSheetId="6">OFFSET('[9]Staff Data'!$G$7,0,0,COUNTA('[9]Staff Data'!$G:$G)-1,1)</definedName>
    <definedName name="QUAN_1" localSheetId="6">#REF!</definedName>
    <definedName name="QUAN_10" localSheetId="6">#REF!</definedName>
    <definedName name="QUAN_11" localSheetId="6">#REF!</definedName>
    <definedName name="QUAN_12" localSheetId="6">#REF!</definedName>
    <definedName name="QUAN_2" localSheetId="6">#REF!</definedName>
    <definedName name="QUAN_3" localSheetId="6">#REF!</definedName>
    <definedName name="QUAN_4" localSheetId="6">#REF!</definedName>
    <definedName name="QUAN_5" localSheetId="6">#REF!</definedName>
    <definedName name="QUAN_6" localSheetId="6">#REF!</definedName>
    <definedName name="QUAN_7" localSheetId="6">#REF!</definedName>
    <definedName name="QUAN_8" localSheetId="6">#REF!</definedName>
    <definedName name="QUAN_9" localSheetId="6">#REF!</definedName>
    <definedName name="QUAN_BINH_TAN" localSheetId="6">#REF!</definedName>
    <definedName name="QUAN_BINH_THANH" localSheetId="6">#REF!</definedName>
    <definedName name="QUAN_GO_VAP" localSheetId="6">#REF!</definedName>
    <definedName name="QUAN_PHU_NHUAN" localSheetId="6">#REF!</definedName>
    <definedName name="QUAN_TAN_BINH" localSheetId="6">#REF!</definedName>
    <definedName name="QUAN_TAN_PHU" localSheetId="6">#REF!</definedName>
    <definedName name="QUAN_THU_DUC" localSheetId="6">#REF!</definedName>
    <definedName name="SHIPPER" localSheetId="6">OFFSET('[9]Staff Data'!$C$4,0,0,COUNTA('[9]Staff Data'!$C:$C)-1,1)</definedName>
    <definedName name="Thamchieu" localSheetId="6">#N/A</definedName>
    <definedName name="XET" localSheetId="6">Incentive!#REF!</definedName>
    <definedName name="y" localSheetId="6">#REF!</definedName>
    <definedName name="_xlnm._FilterDatabase" localSheetId="6" hidden="1">'Incentive'!$A$8:$K$13</definedName>
    <definedName name="_xlnm.Print_Titles" localSheetId="6">'Incentive'!$8:$8,'Incentive'!$A:$G</definedName>
    <definedName name="_xlnm.Print_Area" localSheetId="6">'Incentive'!$A$1:$K$14</definedName>
    <definedName name="_xlnm._FilterDatabase" localSheetId="7" hidden="1">'Others'!$A$13:$F$16</definedName>
    <definedName name="_xlnm._FilterDatabase" localSheetId="8" hidden="1">'Benefit tính thuế'!$A$1:$H$19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_(* #,##0.00_);_(* \(#,##0.00\);_(* \-??_);_(@_)"/>
    <numFmt numFmtId="165" formatCode="_(* #,##0_);_(* \(#,##0\);_(* \-??_);_(@_)"/>
    <numFmt numFmtId="166" formatCode="[$-409]d\-mmm\-yy;@"/>
    <numFmt numFmtId="167" formatCode="_(* #,##0_);_(* \(#,##0\);_(* &quot;-&quot;??_);_(@_)"/>
    <numFmt numFmtId="168" formatCode="_-* #,##0\ _₫_-;\-* #,##0\ _₫_-;_-* &quot;-&quot;??\ _₫_-;_-@_-"/>
    <numFmt numFmtId="169" formatCode="#,##0.0"/>
    <numFmt numFmtId="170" formatCode="_(* #,##0.0_);_(* \(#,##0.0\);_(* \-??_);_(@_)"/>
    <numFmt numFmtId="171" formatCode="_-* #,##0.0\ _₫_-;\-* #,##0.0\ _₫_-;_-* &quot;-&quot;??\ _₫_-;_-@_-"/>
    <numFmt numFmtId="172" formatCode="d\-mmm\-yy;@"/>
    <numFmt numFmtId="173" formatCode="dd"/>
    <numFmt numFmtId="174" formatCode="0.0"/>
    <numFmt numFmtId="175" formatCode="_(* #,##0.0_);_(* \(#,##0.0\);_(* &quot;-&quot;??_);_(@_)"/>
    <numFmt numFmtId="176" formatCode="[$-409]mmmm\ d\,\ yyyy;@"/>
    <numFmt numFmtId="177" formatCode="[$-1010000]d/m/yyyy;@"/>
    <numFmt numFmtId="178" formatCode="_(* #,##0_);_(* \(#,##0\);_(* &quot;-&quot;?_);_(@_)"/>
    <numFmt numFmtId="179" formatCode="dd\/mm\/yyyy"/>
    <numFmt numFmtId="180" formatCode="0000"/>
    <numFmt numFmtId="181" formatCode="&quot; &quot;#,##0&quot; &quot;;&quot; (&quot;#,##0&quot;)&quot;;&quot; -&quot;00&quot; &quot;;&quot; &quot;@&quot; &quot;"/>
    <numFmt numFmtId="182" formatCode="&quot; &quot;#,##0.0&quot; &quot;;&quot; (&quot;#,##0.0&quot;)&quot;;&quot; -&quot;00.0&quot; &quot;;&quot; &quot;@&quot; &quot;"/>
    <numFmt numFmtId="183" formatCode="&quot; &quot;#,##0&quot; &quot;;&quot;-&quot;#,##0&quot; &quot;;&quot; -&quot;00&quot; &quot;;&quot; &quot;@&quot; &quot;"/>
    <numFmt numFmtId="184" formatCode="0.0%"/>
    <numFmt numFmtId="185" formatCode="_-* #,##0_-;\-* #,##0_-;_-* &quot;-&quot;??_-;_-@_-"/>
    <numFmt numFmtId="186" formatCode="_-* #,##0.00\ _₫_-;\-* #,##0.00\ _₫_-;_-* \-??\ _₫_-;_-@_-"/>
    <numFmt numFmtId="187" formatCode="_-* #,##0.00\ _₫_-;\-* #,##0.00\ _₫_-;_-* &quot;-&quot;??\ _₫_-;_-@_-"/>
    <numFmt numFmtId="188" formatCode="_-* #,##0.00_-;\-* #,##0.00_-;_-* &quot;-&quot;??_-;_-@_-"/>
    <numFmt numFmtId="189" formatCode="&quot; &quot;#,##0.00&quot; &quot;;&quot; (&quot;#,##0.00&quot;)&quot;;&quot; -&quot;00&quot; &quot;;&quot; &quot;@&quot; &quot;"/>
  </numFmts>
  <fonts count="395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angal"/>
      <family val="2"/>
      <sz val="10"/>
    </font>
    <font>
      <name val="Times New Roman"/>
      <charset val="1"/>
      <family val="1"/>
      <b val="1"/>
      <color indexed="8"/>
      <sz val="11"/>
    </font>
    <font>
      <name val="Calibri"/>
      <charset val="129"/>
      <family val="3"/>
      <color indexed="12"/>
      <sz val="11"/>
      <u val="single"/>
    </font>
    <font>
      <name val="Calibri"/>
      <charset val="1"/>
      <family val="2"/>
      <color indexed="8"/>
      <sz val="11"/>
    </font>
    <font>
      <name val="Arial"/>
      <charset val="1"/>
      <family val="2"/>
      <sz val="10"/>
    </font>
    <font>
      <name val="Calibri"/>
      <charset val="163"/>
      <family val="2"/>
      <color indexed="8"/>
      <sz val="11"/>
    </font>
    <font>
      <name val="Calibri"/>
      <charset val="129"/>
      <family val="3"/>
      <color indexed="8"/>
      <sz val="11"/>
    </font>
    <font>
      <name val="Tahoma"/>
      <charset val="1"/>
      <family val="2"/>
      <color indexed="8"/>
      <sz val="11"/>
    </font>
    <font>
      <name val="Tahoma"/>
      <charset val="163"/>
      <family val="2"/>
      <color indexed="8"/>
      <sz val="11"/>
    </font>
    <font>
      <name val="돋움"/>
      <charset val="1"/>
      <sz val="11"/>
    </font>
    <font>
      <name val="돋움"/>
      <charset val="129"/>
      <family val="3"/>
      <sz val="11"/>
    </font>
    <font>
      <name val="Times New Roman"/>
      <charset val="1"/>
      <family val="1"/>
      <color indexed="8"/>
      <sz val="11"/>
    </font>
    <font>
      <name val="Times New Roman"/>
      <charset val="1"/>
      <family val="1"/>
      <b val="1"/>
      <color indexed="10"/>
      <sz val="28"/>
    </font>
    <font>
      <name val="Times New Roman"/>
      <charset val="1"/>
      <family val="1"/>
      <b val="1"/>
      <color indexed="9"/>
      <sz val="11"/>
    </font>
    <font>
      <name val="Times New Roman"/>
      <charset val="1"/>
      <family val="1"/>
      <b val="1"/>
      <color indexed="9"/>
      <sz val="10"/>
    </font>
    <font>
      <name val="Times New Roman"/>
      <charset val="1"/>
      <family val="1"/>
      <b val="1"/>
      <color indexed="8"/>
      <sz val="10"/>
    </font>
    <font>
      <name val="Times New Roman"/>
      <charset val="1"/>
      <family val="1"/>
      <b val="1"/>
      <sz val="10"/>
    </font>
    <font>
      <name val="Times New Roman"/>
      <charset val="1"/>
      <family val="1"/>
      <b val="1"/>
      <sz val="13"/>
    </font>
    <font>
      <name val="Times New Roman"/>
      <charset val="1"/>
      <family val="1"/>
      <sz val="13"/>
    </font>
    <font>
      <name val="Times New Roman"/>
      <charset val="1"/>
      <family val="1"/>
      <color indexed="9"/>
      <sz val="11"/>
    </font>
    <font>
      <name val="Times New Roman"/>
      <charset val="1"/>
      <family val="1"/>
      <sz val="11"/>
    </font>
    <font>
      <name val="Calibri"/>
      <charset val="1"/>
      <family val="2"/>
      <color indexed="9"/>
      <sz val="11"/>
    </font>
    <font>
      <name val="Times New Roman"/>
      <charset val="1"/>
      <family val="1"/>
      <color indexed="8"/>
      <sz val="10"/>
    </font>
    <font>
      <name val="Times New Roman"/>
      <charset val="1"/>
      <family val="1"/>
      <sz val="10"/>
    </font>
    <font>
      <name val="Times New Roman"/>
      <charset val="1"/>
      <family val="1"/>
      <color indexed="10"/>
      <sz val="10"/>
    </font>
    <font>
      <name val="Times New Roman"/>
      <charset val="1"/>
      <family val="1"/>
      <b val="1"/>
      <color indexed="8"/>
      <sz val="9"/>
    </font>
    <font>
      <name val="Times New Roman"/>
      <charset val="1"/>
      <family val="1"/>
      <sz val="9"/>
    </font>
    <font>
      <name val="Times New Roman"/>
      <charset val="1"/>
      <family val="1"/>
      <b val="1"/>
      <sz val="9"/>
    </font>
    <font>
      <name val="Times New Roman"/>
      <charset val="1"/>
      <family val="1"/>
      <b val="1"/>
      <sz val="16"/>
    </font>
    <font>
      <name val="Times New Roman"/>
      <charset val="1"/>
      <family val="1"/>
      <b val="1"/>
      <sz val="12"/>
    </font>
    <font>
      <name val="Times New Roman"/>
      <charset val="1"/>
      <family val="1"/>
      <b val="1"/>
      <color indexed="8"/>
      <sz val="7"/>
    </font>
    <font>
      <name val="Times New Roman"/>
      <charset val="163"/>
      <family val="1"/>
      <i val="1"/>
      <color indexed="8"/>
      <sz val="7"/>
    </font>
    <font>
      <name val="Times New Roman"/>
      <charset val="163"/>
      <family val="1"/>
      <i val="1"/>
      <color indexed="8"/>
      <sz val="10"/>
    </font>
    <font>
      <name val="Times New Roman"/>
      <charset val="163"/>
      <family val="1"/>
      <i val="1"/>
      <sz val="9"/>
    </font>
    <font>
      <name val="Times New Roman"/>
      <charset val="1"/>
      <family val="1"/>
      <i val="1"/>
      <color indexed="10"/>
      <sz val="10"/>
    </font>
    <font>
      <name val="Times New Roman"/>
      <charset val="1"/>
      <family val="1"/>
      <i val="1"/>
      <sz val="10"/>
    </font>
    <font>
      <name val="Times New Roman"/>
      <charset val="1"/>
      <family val="1"/>
      <b val="1"/>
      <sz val="8"/>
    </font>
    <font>
      <name val="Tahoma"/>
      <charset val="1"/>
      <family val="2"/>
      <color indexed="9"/>
      <sz val="11"/>
    </font>
    <font>
      <name val="Times New Roman"/>
      <charset val="163"/>
      <family val="1"/>
      <b val="1"/>
      <color indexed="10"/>
      <sz val="16"/>
    </font>
    <font>
      <name val="Times New Roman"/>
      <charset val="1"/>
      <family val="1"/>
      <b val="1"/>
      <color indexed="14"/>
      <sz val="16"/>
    </font>
    <font>
      <name val="Times New Roman"/>
      <charset val="1"/>
      <family val="1"/>
      <sz val="12"/>
    </font>
    <font>
      <name val="Times New Roman"/>
      <charset val="1"/>
      <family val="2"/>
      <color indexed="8"/>
      <sz val="11"/>
    </font>
    <font>
      <name val="Calibri"/>
      <family val="2"/>
      <color theme="0"/>
      <sz val="11"/>
      <scheme val="minor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sz val="9"/>
    </font>
    <font>
      <name val="Times New Roman"/>
      <family val="1"/>
      <b val="1"/>
      <sz val="8"/>
    </font>
    <font>
      <name val="Times New Roman"/>
      <family val="2"/>
      <color theme="0"/>
      <sz val="11"/>
    </font>
    <font>
      <name val="Times New Roman"/>
      <family val="1"/>
      <b val="1"/>
      <color theme="0"/>
      <sz val="8"/>
    </font>
    <font>
      <name val="Times New Roman"/>
      <charset val="1"/>
      <family val="1"/>
      <color rgb="FFFF0000"/>
      <sz val="10"/>
    </font>
    <font>
      <name val="Times New Roman"/>
      <family val="1"/>
      <sz val="10"/>
    </font>
    <font>
      <name val="Times New Roman"/>
      <charset val="1"/>
      <family val="1"/>
      <b val="1"/>
      <color rgb="FFFF0000"/>
      <sz val="11"/>
    </font>
    <font>
      <name val="Times New Roman"/>
      <family val="1"/>
      <color rgb="FFFF0000"/>
      <sz val="10"/>
    </font>
    <font>
      <name val="Calibri"/>
      <charset val="163"/>
      <family val="2"/>
      <color theme="1"/>
      <sz val="11"/>
      <scheme val="minor"/>
    </font>
    <font>
      <name val="Tahoma"/>
      <family val="2"/>
      <color theme="1"/>
      <sz val="11"/>
    </font>
    <font>
      <name val="Cambria"/>
      <family val="2"/>
      <sz val="12"/>
      <scheme val="major"/>
    </font>
    <font>
      <name val="Times New Roman"/>
      <family val="1"/>
      <color rgb="FFFF0000"/>
      <sz val="11"/>
    </font>
    <font>
      <name val="Times New Roman"/>
      <family val="1"/>
      <b val="1"/>
      <sz val="12"/>
    </font>
    <font>
      <name val="Times New Roman"/>
      <family val="1"/>
      <b val="1"/>
      <sz val="18"/>
    </font>
    <font>
      <name val="Times New Roman"/>
      <family val="1"/>
      <color rgb="FFFF0000"/>
      <sz val="12"/>
    </font>
    <font>
      <name val="Times New Roman"/>
      <family val="1"/>
      <b val="1"/>
      <color rgb="FF0000FF"/>
      <sz val="24"/>
    </font>
    <font>
      <name val="Times New Roman"/>
      <family val="1"/>
      <b val="1"/>
      <color rgb="FFFF0000"/>
      <sz val="12"/>
      <u val="single"/>
    </font>
    <font>
      <name val="Times New Roman"/>
      <family val="1"/>
      <b val="1"/>
      <sz val="12"/>
      <u val="single"/>
    </font>
    <font>
      <name val="Times New Roman"/>
      <family val="1"/>
      <b val="1"/>
      <color rgb="FFFF0000"/>
      <sz val="12"/>
    </font>
    <font>
      <name val="Times New Roman"/>
      <family val="1"/>
      <i val="1"/>
      <color theme="1"/>
      <sz val="8"/>
    </font>
    <font>
      <name val="Times New Roman"/>
      <family val="1"/>
      <i val="1"/>
      <sz val="8"/>
    </font>
    <font>
      <name val="Times New Roman"/>
      <family val="1"/>
      <b val="1"/>
      <sz val="10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1"/>
    </font>
    <font>
      <name val="Times New Roman"/>
      <family val="2"/>
      <color theme="1"/>
      <sz val="11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color theme="1"/>
      <sz val="10"/>
    </font>
    <font>
      <name val="Calibri"/>
      <charset val="129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2"/>
    </font>
    <font>
      <name val="MS Sans Serif"/>
      <family val="2"/>
      <sz val="10"/>
    </font>
    <font>
      <name val="Times New Roman"/>
      <charset val="163"/>
      <family val="1"/>
      <b val="1"/>
      <color indexed="10"/>
      <sz val="17"/>
    </font>
    <font>
      <name val="Times New Roman"/>
      <family val="1"/>
      <b val="1"/>
      <color theme="1"/>
      <sz val="14"/>
    </font>
    <font>
      <name val="Times New Roman"/>
      <family val="1"/>
      <b val="1"/>
      <sz val="11"/>
    </font>
    <font>
      <name val="Times New Roman"/>
      <family val="1"/>
      <b val="1"/>
      <color rgb="FFFF0000"/>
      <sz val="10"/>
    </font>
    <font>
      <name val="Arial"/>
      <family val="2"/>
      <sz val="10"/>
    </font>
    <font>
      <name val="Times New Roman"/>
      <charset val="1"/>
      <family val="1"/>
      <color indexed="9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8"/>
    </font>
    <font>
      <name val="Times New Roman"/>
      <family val="1"/>
      <sz val="8"/>
    </font>
    <font>
      <name val="Arial"/>
      <family val="2"/>
      <sz val="8"/>
    </font>
    <font>
      <name val="Times New Roman"/>
      <family val="1"/>
      <i val="1"/>
      <color theme="0"/>
      <sz val="8"/>
    </font>
    <font>
      <name val="Times New Roman"/>
      <charset val="1"/>
      <family val="1"/>
      <color theme="1"/>
      <sz val="10"/>
    </font>
    <font>
      <name val="Times New Roman"/>
      <family val="1"/>
      <b val="1"/>
      <color indexed="8"/>
      <sz val="7"/>
    </font>
    <font>
      <name val="Times New Roman"/>
      <family val="1"/>
      <color theme="0"/>
      <sz val="8"/>
    </font>
    <font>
      <name val="Arial"/>
      <family val="2"/>
      <b val="1"/>
      <color theme="0"/>
      <sz val="8"/>
    </font>
    <font>
      <name val="Times New Roman"/>
      <family val="1"/>
      <color theme="0"/>
      <sz val="12"/>
    </font>
    <font>
      <name val="Arial"/>
      <family val="2"/>
      <color theme="0"/>
      <sz val="10"/>
    </font>
    <font>
      <name val="Calibri"/>
      <family val="2"/>
      <color rgb="FF000000"/>
      <sz val="11"/>
    </font>
    <font>
      <name val="Calibri"/>
      <family val="2"/>
      <color rgb="FF9C0006"/>
      <sz val="11"/>
    </font>
    <font>
      <name val="Calibri"/>
      <family val="2"/>
      <color rgb="FFFFFFFF"/>
      <sz val="11"/>
    </font>
    <font>
      <name val="MS Sans Serif"/>
      <color rgb="FF000000"/>
      <sz val="10"/>
    </font>
    <font>
      <name val="Tahoma"/>
      <family val="2"/>
      <color rgb="FF000000"/>
      <sz val="11"/>
    </font>
    <font>
      <name val="Times New Roman"/>
      <family val="1"/>
      <b val="1"/>
      <color rgb="FF002060"/>
      <sz val="12"/>
    </font>
    <font>
      <name val="Times New Roman"/>
      <family val="1"/>
      <b val="1"/>
      <color indexed="8"/>
      <sz val="10"/>
    </font>
    <font>
      <name val="Times New Roman"/>
      <family val="1"/>
      <b val="1"/>
      <color theme="1"/>
      <sz val="18"/>
    </font>
    <font>
      <name val="Calibri"/>
      <family val="2"/>
      <color theme="10"/>
      <sz val="11"/>
      <u val="single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b val="1"/>
      <color rgb="FFFF00FF"/>
      <sz val="12"/>
    </font>
    <font>
      <name val="Times New Roman"/>
      <charset val="1"/>
      <family val="1"/>
      <b val="1"/>
      <sz val="11"/>
    </font>
    <font>
      <name val="Times New Roman"/>
      <family val="1"/>
      <b val="1"/>
      <sz val="14"/>
    </font>
    <font>
      <name val="Times New Roman"/>
      <family val="1"/>
      <color theme="1"/>
      <sz val="14"/>
    </font>
    <font>
      <name val="Times New Roman"/>
      <family val="1"/>
      <color indexed="8"/>
      <sz val="9"/>
    </font>
    <font>
      <name val="Calibri"/>
      <family val="2"/>
      <color rgb="FF000000"/>
      <sz val="11"/>
    </font>
    <font>
      <name val="Cambria"/>
      <family val="2"/>
      <sz val="6"/>
      <scheme val="major"/>
    </font>
    <font>
      <name val="Mangal"/>
      <family val="2"/>
      <color theme="0"/>
      <sz val="10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8"/>
    </font>
    <font>
      <name val="Times New Roman"/>
      <charset val="1"/>
      <family val="1"/>
      <b val="1"/>
      <color theme="0"/>
      <sz val="18"/>
    </font>
    <font>
      <name val="Times New Roman"/>
      <family val="1"/>
      <color rgb="FF000000"/>
      <sz val="10"/>
    </font>
    <font>
      <name val="Arial"/>
      <family val="2"/>
      <sz val="9"/>
    </font>
    <font>
      <name val="Mangal"/>
      <family val="1"/>
      <b val="1"/>
      <sz val="12"/>
    </font>
    <font>
      <name val="Times New Roman"/>
      <family val="1"/>
      <sz val="13"/>
    </font>
    <font>
      <name val="Times New Roman"/>
      <family val="1"/>
      <color indexed="8"/>
      <sz val="10"/>
    </font>
    <font>
      <name val="Times New Roman"/>
      <family val="1"/>
      <b val="1"/>
      <sz val="13"/>
    </font>
    <font>
      <name val="Arial"/>
      <family val="2"/>
      <b val="1"/>
      <sz val="16"/>
    </font>
    <font>
      <name val="Times New Roman"/>
      <charset val="1"/>
      <family val="1"/>
      <color theme="0"/>
      <sz val="11"/>
    </font>
    <font>
      <name val="Times New Roman"/>
      <charset val="1"/>
      <family val="1"/>
      <b val="1"/>
      <color theme="0"/>
      <sz val="11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b val="1"/>
      <color rgb="FF0000FF"/>
      <sz val="10"/>
    </font>
    <font>
      <name val="Times New Roman"/>
      <charset val="163"/>
      <family val="1"/>
      <b val="1"/>
      <sz val="12"/>
    </font>
    <font>
      <name val="Times New Roman"/>
      <family val="1"/>
      <b val="1"/>
      <sz val="20"/>
    </font>
    <font>
      <name val="Times New Roman"/>
      <family val="1"/>
      <b val="1"/>
      <color rgb="FFFF0000"/>
      <sz val="14"/>
    </font>
    <font>
      <name val="Times New Roman"/>
      <family val="1"/>
      <sz val="14"/>
    </font>
    <font>
      <name val="Times New Roman"/>
      <family val="1"/>
      <color rgb="FFFF0000"/>
      <sz val="14"/>
    </font>
    <font>
      <name val="Times New Roman"/>
      <family val="1"/>
      <i val="1"/>
      <sz val="10"/>
    </font>
    <font>
      <name val="Mangal"/>
      <family val="1"/>
      <b val="1"/>
      <sz val="10"/>
    </font>
    <font>
      <name val="Times New Roman"/>
      <family val="1"/>
      <b val="1"/>
      <color theme="0"/>
      <sz val="12"/>
      <u val="single"/>
    </font>
    <font>
      <name val="Times New Roman"/>
      <family val="1"/>
      <b val="1"/>
      <color rgb="FFFF0000"/>
      <sz val="28"/>
    </font>
    <font>
      <name val="Times New Roman"/>
      <family val="1"/>
      <b val="1"/>
      <color theme="0"/>
      <sz val="11"/>
    </font>
    <font>
      <name val="Times New Roman"/>
      <family val="1"/>
      <b val="1"/>
      <color theme="0"/>
      <sz val="10"/>
    </font>
    <font>
      <name val="Times New Roman"/>
      <family val="1"/>
      <b val="1"/>
      <color rgb="FF92D050"/>
      <sz val="10"/>
    </font>
    <font>
      <name val="Times New Roman"/>
      <family val="1"/>
      <b val="1"/>
      <i val="1"/>
      <sz val="10"/>
    </font>
    <font>
      <name val="Times New Roman"/>
      <family val="1"/>
      <color rgb="FF0000FF"/>
      <sz val="10"/>
    </font>
    <font>
      <name val="Calibri"/>
      <family val="2"/>
      <color theme="1"/>
      <sz val="18"/>
      <scheme val="minor"/>
    </font>
    <font>
      <name val="Times New Roman"/>
      <family val="1"/>
      <b val="1"/>
      <color rgb="FF000000"/>
      <sz val="14"/>
    </font>
    <font>
      <name val="Times New Roman"/>
      <family val="1"/>
      <color theme="10"/>
      <sz val="11"/>
      <u val="single"/>
    </font>
    <font>
      <name val="Times New Roman"/>
      <family val="1"/>
      <b val="1"/>
      <color rgb="FFC00000"/>
      <sz val="10"/>
    </font>
    <font>
      <name val="Times New Roman"/>
      <family val="1"/>
      <color rgb="FFC00000"/>
      <sz val="14"/>
    </font>
    <font>
      <name val="Times New Roman"/>
      <family val="1"/>
      <b val="1"/>
      <color rgb="FF000000"/>
      <sz val="12"/>
    </font>
    <font>
      <name val="Mangal"/>
      <family val="2"/>
      <sz val="14"/>
    </font>
    <font>
      <name val="Times New Roman"/>
      <charset val="1"/>
      <family val="1"/>
      <b val="1"/>
      <sz val="20"/>
    </font>
  </fonts>
  <fills count="66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FFFF"/>
        <bgColor rgb="FF92D050"/>
      </patternFill>
    </fill>
  </fills>
  <borders count="1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rgb="FF008000"/>
      </right>
      <top style="thin">
        <color rgb="FF008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6034">
    <xf numFmtId="0" fontId="325" fillId="0" borderId="0"/>
    <xf numFmtId="164" fontId="238" fillId="0" borderId="0"/>
    <xf numFmtId="186" fontId="238" fillId="0" borderId="0"/>
    <xf numFmtId="164" fontId="238" fillId="0" borderId="0"/>
    <xf numFmtId="164" fontId="238" fillId="0" borderId="0"/>
    <xf numFmtId="164" fontId="238" fillId="0" borderId="0"/>
    <xf numFmtId="164" fontId="238" fillId="0" borderId="0"/>
    <xf numFmtId="0" fontId="239" fillId="2" borderId="81" applyAlignment="1">
      <alignment horizontal="center" vertical="center"/>
    </xf>
    <xf numFmtId="0" fontId="245" fillId="3" borderId="0"/>
    <xf numFmtId="0" fontId="259" fillId="4" borderId="0"/>
    <xf numFmtId="0" fontId="275" fillId="5" borderId="0"/>
    <xf numFmtId="0" fontId="275" fillId="6" borderId="0"/>
    <xf numFmtId="0" fontId="275" fillId="7" borderId="0"/>
    <xf numFmtId="0" fontId="275" fillId="8" borderId="0"/>
    <xf numFmtId="0" fontId="279" fillId="0" borderId="0"/>
    <xf numFmtId="0" fontId="240" fillId="0" borderId="0"/>
    <xf numFmtId="0" fontId="241" fillId="0" borderId="0"/>
    <xf numFmtId="0" fontId="242" fillId="0" borderId="0"/>
    <xf numFmtId="0" fontId="243" fillId="0" borderId="0"/>
    <xf numFmtId="0" fontId="241" fillId="0" borderId="0"/>
    <xf numFmtId="0" fontId="244" fillId="0" borderId="0"/>
    <xf numFmtId="0" fontId="245" fillId="0" borderId="0"/>
    <xf numFmtId="0" fontId="241" fillId="0" borderId="0"/>
    <xf numFmtId="0" fontId="246" fillId="0" borderId="0"/>
    <xf numFmtId="0" fontId="244" fillId="0" borderId="0"/>
    <xf numFmtId="0" fontId="247" fillId="0" borderId="0"/>
    <xf numFmtId="0" fontId="248" fillId="0" borderId="0"/>
    <xf numFmtId="0" fontId="328" fillId="0" borderId="0"/>
    <xf numFmtId="43" fontId="328" fillId="0" borderId="0"/>
    <xf numFmtId="0" fontId="318" fillId="0" borderId="0"/>
    <xf numFmtId="0" fontId="292" fillId="0" borderId="0"/>
    <xf numFmtId="43" fontId="292" fillId="0" borderId="0"/>
    <xf numFmtId="0" fontId="328" fillId="0" borderId="0"/>
    <xf numFmtId="0" fontId="328" fillId="15" borderId="0"/>
    <xf numFmtId="0" fontId="328" fillId="0" borderId="0"/>
    <xf numFmtId="0" fontId="292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07" fillId="0" borderId="0"/>
    <xf numFmtId="0" fontId="285" fillId="17" borderId="0"/>
    <xf numFmtId="0" fontId="285" fillId="16" borderId="0"/>
    <xf numFmtId="0" fontId="285" fillId="14" borderId="0"/>
    <xf numFmtId="0" fontId="285" fillId="18" borderId="0"/>
    <xf numFmtId="0" fontId="307" fillId="15" borderId="0"/>
    <xf numFmtId="0" fontId="318" fillId="0" borderId="0"/>
    <xf numFmtId="43" fontId="328" fillId="0" borderId="0"/>
    <xf numFmtId="0" fontId="328" fillId="0" borderId="0"/>
    <xf numFmtId="43" fontId="328" fillId="0" borderId="0"/>
    <xf numFmtId="0" fontId="318" fillId="0" borderId="0"/>
    <xf numFmtId="0" fontId="328" fillId="0" borderId="0"/>
    <xf numFmtId="43" fontId="328" fillId="0" borderId="0"/>
    <xf numFmtId="0" fontId="328" fillId="0" borderId="0"/>
    <xf numFmtId="0" fontId="292" fillId="0" borderId="0"/>
    <xf numFmtId="43" fontId="292" fillId="0" borderId="0"/>
    <xf numFmtId="0" fontId="318" fillId="0" borderId="0"/>
    <xf numFmtId="0" fontId="292" fillId="0" borderId="0"/>
    <xf numFmtId="43" fontId="292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13" fillId="0" borderId="0" applyAlignment="1">
      <alignment vertical="center"/>
    </xf>
    <xf numFmtId="188" fontId="313" fillId="0" borderId="0" applyAlignment="1">
      <alignment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1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242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18" fillId="0" borderId="0"/>
    <xf numFmtId="0" fontId="328" fillId="0" borderId="0"/>
    <xf numFmtId="43" fontId="328" fillId="0" borderId="0"/>
    <xf numFmtId="0" fontId="328" fillId="0" borderId="0"/>
    <xf numFmtId="0" fontId="31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0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292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1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243" fillId="0" borderId="0"/>
    <xf numFmtId="0" fontId="328" fillId="0" borderId="0"/>
    <xf numFmtId="186" fontId="238" fillId="0" borderId="0"/>
    <xf numFmtId="0" fontId="325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55" fillId="0" borderId="0"/>
    <xf numFmtId="189" fontId="355" fillId="0" borderId="0"/>
    <xf numFmtId="0" fontId="340" fillId="41" borderId="0"/>
    <xf numFmtId="0" fontId="355" fillId="42" borderId="0"/>
    <xf numFmtId="0" fontId="340" fillId="41" borderId="0"/>
    <xf numFmtId="189" fontId="355" fillId="0" borderId="0"/>
    <xf numFmtId="0" fontId="341" fillId="43" borderId="0"/>
    <xf numFmtId="0" fontId="342" fillId="0" borderId="0"/>
    <xf numFmtId="0" fontId="355" fillId="0" borderId="0"/>
    <xf numFmtId="0" fontId="355" fillId="0" borderId="0"/>
    <xf numFmtId="0" fontId="355" fillId="0" borderId="0"/>
    <xf numFmtId="0" fontId="343" fillId="0" borderId="0"/>
    <xf numFmtId="0" fontId="328" fillId="0" borderId="0"/>
    <xf numFmtId="43" fontId="328" fillId="0" borderId="0"/>
    <xf numFmtId="0" fontId="328" fillId="0" borderId="0"/>
    <xf numFmtId="164" fontId="23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280" fillId="44" borderId="0"/>
    <xf numFmtId="0" fontId="347" fillId="0" borderId="0" applyAlignment="1" applyProtection="1">
      <alignment vertical="top"/>
      <protection locked="0" hidden="0"/>
    </xf>
    <xf numFmtId="0" fontId="328" fillId="0" borderId="0"/>
    <xf numFmtId="0" fontId="328" fillId="0" borderId="0"/>
    <xf numFmtId="0" fontId="292" fillId="0" borderId="0"/>
    <xf numFmtId="43" fontId="328" fillId="0" borderId="0"/>
    <xf numFmtId="188" fontId="292" fillId="0" borderId="0"/>
    <xf numFmtId="43" fontId="328" fillId="0" borderId="0"/>
    <xf numFmtId="0" fontId="355" fillId="0" borderId="0"/>
    <xf numFmtId="43" fontId="355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280" fillId="44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5" fillId="0" borderId="0"/>
    <xf numFmtId="164" fontId="23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292" fillId="0" borderId="0"/>
    <xf numFmtId="43" fontId="292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1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1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43" fontId="328" fillId="0" borderId="0"/>
    <xf numFmtId="0" fontId="355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239" fillId="2" borderId="81" applyAlignment="1">
      <alignment horizontal="center" vertical="center"/>
    </xf>
    <xf numFmtId="0" fontId="328" fillId="15" borderId="0"/>
    <xf numFmtId="0" fontId="328" fillId="0" borderId="0"/>
    <xf numFmtId="43" fontId="328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8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8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15" borderId="0"/>
    <xf numFmtId="0" fontId="328" fillId="0" borderId="0"/>
    <xf numFmtId="43" fontId="328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87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43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239" fillId="2" borderId="81" applyAlignment="1">
      <alignment horizontal="center" vertical="center"/>
    </xf>
    <xf numFmtId="0" fontId="328" fillId="15" borderId="0"/>
    <xf numFmtId="0" fontId="328" fillId="0" borderId="0"/>
    <xf numFmtId="43" fontId="328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11" fillId="32" borderId="97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15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188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188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239" fillId="2" borderId="81" applyAlignment="1">
      <alignment horizontal="center" vertical="center"/>
    </xf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187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87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98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8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239" fillId="2" borderId="81" applyAlignment="1">
      <alignment horizontal="center" vertical="center"/>
    </xf>
    <xf numFmtId="0" fontId="239" fillId="2" borderId="81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0" fontId="311" fillId="32" borderId="97" applyAlignment="1">
      <alignment horizontal="center" vertical="center"/>
    </xf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0" fontId="23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9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11" fillId="32" borderId="97" applyAlignment="1">
      <alignment horizontal="center" vertical="center"/>
    </xf>
    <xf numFmtId="9" fontId="328" fillId="0" borderId="0"/>
    <xf numFmtId="0" fontId="328" fillId="0" borderId="0"/>
    <xf numFmtId="43" fontId="328" fillId="0" borderId="0"/>
    <xf numFmtId="9" fontId="328" fillId="0" borderId="0"/>
    <xf numFmtId="0" fontId="328" fillId="0" borderId="0"/>
    <xf numFmtId="0" fontId="328" fillId="0" borderId="0"/>
    <xf numFmtId="0" fontId="328" fillId="0" borderId="0"/>
    <xf numFmtId="188" fontId="328" fillId="0" borderId="0"/>
    <xf numFmtId="43" fontId="328" fillId="0" borderId="0"/>
    <xf numFmtId="0" fontId="325" fillId="0" borderId="0"/>
    <xf numFmtId="43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11" fillId="32" borderId="97" applyAlignment="1">
      <alignment horizontal="center" vertical="center"/>
    </xf>
    <xf numFmtId="9" fontId="328" fillId="0" borderId="0"/>
    <xf numFmtId="0" fontId="311" fillId="32" borderId="98" applyAlignment="1">
      <alignment horizontal="center" vertical="center"/>
    </xf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0" fontId="355" fillId="0" borderId="0"/>
    <xf numFmtId="0" fontId="328" fillId="0" borderId="0"/>
    <xf numFmtId="43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0" fontId="328" fillId="0" borderId="0"/>
    <xf numFmtId="9" fontId="328" fillId="0" borderId="0"/>
    <xf numFmtId="0" fontId="328" fillId="0" borderId="0"/>
    <xf numFmtId="43" fontId="328" fillId="0" borderId="0"/>
    <xf numFmtId="0" fontId="328" fillId="0" borderId="0"/>
    <xf numFmtId="43" fontId="328" fillId="0" borderId="0"/>
    <xf numFmtId="43" fontId="328" fillId="0" borderId="0"/>
    <xf numFmtId="0" fontId="328" fillId="0" borderId="0"/>
    <xf numFmtId="43" fontId="328" fillId="0" borderId="0"/>
    <xf numFmtId="9" fontId="328" fillId="0" borderId="0"/>
  </cellStyleXfs>
  <cellXfs count="861">
    <xf numFmtId="0" fontId="0" fillId="0" borderId="0" pivotButton="0" quotePrefix="0" xfId="0"/>
    <xf numFmtId="0" fontId="264" fillId="9" borderId="0" pivotButton="0" quotePrefix="0" xfId="0"/>
    <xf numFmtId="3" fontId="264" fillId="9" borderId="0" pivotButton="0" quotePrefix="0" xfId="0"/>
    <xf numFmtId="4" fontId="264" fillId="9" borderId="0" pivotButton="0" quotePrefix="0" xfId="0"/>
    <xf numFmtId="0" fontId="265" fillId="9" borderId="0" pivotButton="0" quotePrefix="0" xfId="0"/>
    <xf numFmtId="4" fontId="265" fillId="9" borderId="0" pivotButton="0" quotePrefix="0" xfId="0"/>
    <xf numFmtId="0" fontId="266" fillId="9" borderId="0" applyAlignment="1" pivotButton="0" quotePrefix="0" xfId="0">
      <alignment vertical="center"/>
    </xf>
    <xf numFmtId="3" fontId="266" fillId="9" borderId="0" applyAlignment="1" pivotButton="0" quotePrefix="0" xfId="0">
      <alignment vertical="center"/>
    </xf>
    <xf numFmtId="4" fontId="266" fillId="9" borderId="0" applyAlignment="1" pivotButton="0" quotePrefix="0" xfId="0">
      <alignment vertical="center"/>
    </xf>
    <xf numFmtId="0" fontId="258" fillId="9" borderId="0" pivotButton="0" quotePrefix="0" xfId="0"/>
    <xf numFmtId="0" fontId="267" fillId="9" borderId="0" applyAlignment="1" pivotButton="0" quotePrefix="0" xfId="0">
      <alignment vertical="center"/>
    </xf>
    <xf numFmtId="0" fontId="267" fillId="9" borderId="0" applyAlignment="1" pivotButton="0" quotePrefix="0" xfId="0">
      <alignment horizontal="center" vertical="center"/>
    </xf>
    <xf numFmtId="3" fontId="267" fillId="9" borderId="0" applyAlignment="1" pivotButton="0" quotePrefix="0" xfId="0">
      <alignment horizontal="center" vertical="center"/>
    </xf>
    <xf numFmtId="3" fontId="254" fillId="0" borderId="2" applyAlignment="1" pivotButton="0" quotePrefix="0" xfId="0">
      <alignment horizontal="center" vertical="center"/>
    </xf>
    <xf numFmtId="4" fontId="267" fillId="9" borderId="0" applyAlignment="1" pivotButton="0" quotePrefix="0" xfId="0">
      <alignment horizontal="center" vertical="center"/>
    </xf>
    <xf numFmtId="4" fontId="267" fillId="9" borderId="0" applyAlignment="1" pivotButton="0" quotePrefix="0" xfId="0">
      <alignment vertical="center"/>
    </xf>
    <xf numFmtId="4" fontId="267" fillId="9" borderId="2" applyAlignment="1" pivotButton="0" quotePrefix="0" xfId="0">
      <alignment horizontal="center" vertical="center"/>
    </xf>
    <xf numFmtId="3" fontId="258" fillId="9" borderId="0" pivotButton="0" quotePrefix="0" xfId="0"/>
    <xf numFmtId="4" fontId="254" fillId="9" borderId="0" pivotButton="0" quotePrefix="0" xfId="0"/>
    <xf numFmtId="0" fontId="254" fillId="9" borderId="0" pivotButton="0" quotePrefix="0" xfId="0"/>
    <xf numFmtId="4" fontId="258" fillId="9" borderId="0" pivotButton="0" quotePrefix="0" xfId="0"/>
    <xf numFmtId="0" fontId="268" fillId="9" borderId="4" applyAlignment="1" pivotButton="0" quotePrefix="0" xfId="0">
      <alignment vertical="center" wrapText="1"/>
    </xf>
    <xf numFmtId="0" fontId="253" fillId="9" borderId="4" applyAlignment="1" pivotButton="0" quotePrefix="0" xfId="0">
      <alignment horizontal="center" vertical="center" wrapText="1"/>
    </xf>
    <xf numFmtId="0" fontId="253" fillId="9" borderId="4" applyAlignment="1" pivotButton="0" quotePrefix="0" xfId="0">
      <alignment vertical="center" wrapText="1"/>
    </xf>
    <xf numFmtId="0" fontId="253" fillId="10" borderId="1" applyAlignment="1" pivotButton="0" quotePrefix="0" xfId="0">
      <alignment vertical="center" wrapText="1"/>
    </xf>
    <xf numFmtId="0" fontId="264" fillId="9" borderId="0" applyAlignment="1" pivotButton="0" quotePrefix="0" xfId="0">
      <alignment vertical="center"/>
    </xf>
    <xf numFmtId="0" fontId="268" fillId="9" borderId="3" applyAlignment="1" pivotButton="0" quotePrefix="0" xfId="0">
      <alignment vertical="center" wrapText="1"/>
    </xf>
    <xf numFmtId="0" fontId="253" fillId="9" borderId="1" applyAlignment="1" pivotButton="0" quotePrefix="0" xfId="0">
      <alignment horizontal="center" vertical="center" wrapText="1"/>
    </xf>
    <xf numFmtId="0" fontId="253" fillId="12" borderId="3" applyAlignment="1" pivotButton="0" quotePrefix="0" xfId="0">
      <alignment vertical="center" wrapText="1"/>
    </xf>
    <xf numFmtId="3" fontId="253" fillId="12" borderId="1" applyAlignment="1" pivotButton="0" quotePrefix="0" xfId="0">
      <alignment horizontal="center" vertical="center" wrapText="1"/>
    </xf>
    <xf numFmtId="9" fontId="253" fillId="12" borderId="1" applyAlignment="1" pivotButton="0" quotePrefix="0" xfId="0">
      <alignment vertical="center" wrapText="1"/>
    </xf>
    <xf numFmtId="0" fontId="269" fillId="0" borderId="3" applyAlignment="1" pivotButton="0" quotePrefix="0" xfId="0">
      <alignment horizontal="center" vertical="center" wrapText="1"/>
    </xf>
    <xf numFmtId="0" fontId="270" fillId="0" borderId="6" applyAlignment="1" pivotButton="0" quotePrefix="0" xfId="0">
      <alignment horizontal="center" vertical="center" wrapText="1"/>
    </xf>
    <xf numFmtId="3" fontId="270" fillId="0" borderId="1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/>
    </xf>
    <xf numFmtId="0" fontId="261" fillId="9" borderId="1" applyAlignment="1" pivotButton="0" quotePrefix="0" xfId="0">
      <alignment horizontal="center" vertical="center"/>
    </xf>
    <xf numFmtId="164" fontId="261" fillId="9" borderId="5" applyAlignment="1" pivotButton="0" quotePrefix="0" xfId="1">
      <alignment vertical="center"/>
    </xf>
    <xf numFmtId="0" fontId="264" fillId="0" borderId="0" applyAlignment="1" pivotButton="0" quotePrefix="0" xfId="0">
      <alignment vertical="center"/>
    </xf>
    <xf numFmtId="0" fontId="276" fillId="9" borderId="0" applyAlignment="1" pivotButton="0" quotePrefix="0" xfId="0">
      <alignment vertical="center"/>
    </xf>
    <xf numFmtId="3" fontId="276" fillId="9" borderId="0" applyAlignment="1" pivotButton="0" quotePrefix="0" xfId="0">
      <alignment vertical="center"/>
    </xf>
    <xf numFmtId="4" fontId="276" fillId="9" borderId="0" applyAlignment="1" pivotButton="0" quotePrefix="0" xfId="0">
      <alignment vertical="center"/>
    </xf>
    <xf numFmtId="0" fontId="0" fillId="22" borderId="0" pivotButton="0" quotePrefix="0" xfId="0"/>
    <xf numFmtId="0" fontId="296" fillId="22" borderId="0" applyAlignment="1" pivotButton="0" quotePrefix="0" xfId="36">
      <alignment vertical="center"/>
    </xf>
    <xf numFmtId="0" fontId="282" fillId="22" borderId="0" applyAlignment="1" pivotButton="0" quotePrefix="0" xfId="36">
      <alignment vertical="center"/>
    </xf>
    <xf numFmtId="0" fontId="282" fillId="22" borderId="0" applyAlignment="1" pivotButton="0" quotePrefix="0" xfId="36">
      <alignment horizontal="left" vertical="center"/>
    </xf>
    <xf numFmtId="0" fontId="296" fillId="22" borderId="0" applyAlignment="1" pivotButton="0" quotePrefix="0" xfId="36">
      <alignment horizontal="center" vertical="center"/>
    </xf>
    <xf numFmtId="0" fontId="296" fillId="22" borderId="0" applyAlignment="1" pivotButton="0" quotePrefix="0" xfId="36">
      <alignment horizontal="left" vertical="center"/>
    </xf>
    <xf numFmtId="0" fontId="302" fillId="25" borderId="0" applyAlignment="1" pivotButton="0" quotePrefix="0" xfId="36">
      <alignment horizontal="center" vertical="center"/>
    </xf>
    <xf numFmtId="0" fontId="303" fillId="25" borderId="0" applyAlignment="1" pivotButton="0" quotePrefix="0" xfId="36">
      <alignment horizontal="center" vertical="center"/>
    </xf>
    <xf numFmtId="0" fontId="253" fillId="9" borderId="10" applyAlignment="1" pivotButton="0" quotePrefix="0" xfId="0">
      <alignment vertical="center" wrapText="1"/>
    </xf>
    <xf numFmtId="0" fontId="268" fillId="9" borderId="10" applyAlignment="1" pivotButton="0" quotePrefix="0" xfId="0">
      <alignment vertical="center" wrapText="1"/>
    </xf>
    <xf numFmtId="0" fontId="253" fillId="9" borderId="10" applyAlignment="1" pivotButton="0" quotePrefix="0" xfId="0">
      <alignment horizontal="center" vertical="center" wrapText="1"/>
    </xf>
    <xf numFmtId="3" fontId="253" fillId="9" borderId="10" applyAlignment="1" pivotButton="0" quotePrefix="0" xfId="0">
      <alignment vertical="center" wrapText="1"/>
    </xf>
    <xf numFmtId="0" fontId="253" fillId="10" borderId="9" applyAlignment="1" pivotButton="0" quotePrefix="0" xfId="0">
      <alignment horizontal="center" vertical="center" wrapText="1"/>
    </xf>
    <xf numFmtId="165" fontId="260" fillId="0" borderId="1" applyAlignment="1" pivotButton="0" quotePrefix="0" xfId="1">
      <alignment vertical="center"/>
    </xf>
    <xf numFmtId="165" fontId="272" fillId="0" borderId="1" applyAlignment="1" pivotButton="0" quotePrefix="0" xfId="1">
      <alignment vertical="center"/>
    </xf>
    <xf numFmtId="165" fontId="273" fillId="0" borderId="5" applyAlignment="1" pivotButton="0" quotePrefix="0" xfId="1">
      <alignment vertical="center"/>
    </xf>
    <xf numFmtId="165" fontId="262" fillId="0" borderId="5" applyAlignment="1" pivotButton="0" quotePrefix="0" xfId="1">
      <alignment vertical="center"/>
    </xf>
    <xf numFmtId="0" fontId="321" fillId="9" borderId="0" applyAlignment="1" pivotButton="0" quotePrefix="0" xfId="0">
      <alignment vertical="center"/>
    </xf>
    <xf numFmtId="0" fontId="296" fillId="0" borderId="0" applyAlignment="1" pivotButton="0" quotePrefix="0" xfId="36">
      <alignment horizontal="center" vertical="center"/>
    </xf>
    <xf numFmtId="0" fontId="282" fillId="0" borderId="0" applyAlignment="1" pivotButton="0" quotePrefix="0" xfId="36">
      <alignment horizontal="center" vertical="center"/>
    </xf>
    <xf numFmtId="0" fontId="298" fillId="0" borderId="0" applyAlignment="1" pivotButton="0" quotePrefix="0" xfId="36">
      <alignment horizontal="center" vertical="center"/>
    </xf>
    <xf numFmtId="0" fontId="302" fillId="0" borderId="0" applyAlignment="1" pivotButton="0" quotePrefix="0" xfId="36">
      <alignment horizontal="center" vertical="center"/>
    </xf>
    <xf numFmtId="0" fontId="296" fillId="22" borderId="0" applyAlignment="1" pivotButton="0" quotePrefix="0" xfId="623">
      <alignment horizontal="center" vertical="center"/>
    </xf>
    <xf numFmtId="0" fontId="296" fillId="0" borderId="0" applyAlignment="1" pivotButton="0" quotePrefix="0" xfId="623">
      <alignment horizontal="center" vertical="center"/>
    </xf>
    <xf numFmtId="0" fontId="296" fillId="22" borderId="0" applyAlignment="1" pivotButton="0" quotePrefix="0" xfId="623">
      <alignment vertical="center"/>
    </xf>
    <xf numFmtId="0" fontId="282" fillId="22" borderId="0" applyAlignment="1" pivotButton="0" quotePrefix="0" xfId="623">
      <alignment vertical="center"/>
    </xf>
    <xf numFmtId="0" fontId="282" fillId="22" borderId="0" applyAlignment="1" pivotButton="0" quotePrefix="0" xfId="623">
      <alignment horizontal="center" vertical="center"/>
    </xf>
    <xf numFmtId="0" fontId="282" fillId="0" borderId="0" applyAlignment="1" pivotButton="0" quotePrefix="0" xfId="623">
      <alignment horizontal="center" vertical="center"/>
    </xf>
    <xf numFmtId="0" fontId="298" fillId="22" borderId="0" applyAlignment="1" pivotButton="0" quotePrefix="0" xfId="623">
      <alignment horizontal="center" vertical="center"/>
    </xf>
    <xf numFmtId="0" fontId="298" fillId="0" borderId="0" applyAlignment="1" pivotButton="0" quotePrefix="0" xfId="623">
      <alignment horizontal="center" vertical="center"/>
    </xf>
    <xf numFmtId="0" fontId="296" fillId="22" borderId="0" applyAlignment="1" pivotButton="0" quotePrefix="0" xfId="623">
      <alignment horizontal="left" vertical="center"/>
    </xf>
    <xf numFmtId="0" fontId="282" fillId="0" borderId="0" applyAlignment="1" pivotButton="0" quotePrefix="0" xfId="623">
      <alignment vertical="center"/>
    </xf>
    <xf numFmtId="0" fontId="299" fillId="22" borderId="0" applyAlignment="1" pivotButton="0" quotePrefix="0" xfId="623">
      <alignment horizontal="left" vertical="center"/>
    </xf>
    <xf numFmtId="0" fontId="300" fillId="22" borderId="0" applyAlignment="1" pivotButton="0" quotePrefix="0" xfId="623">
      <alignment horizontal="center" vertical="center"/>
    </xf>
    <xf numFmtId="0" fontId="300" fillId="0" borderId="0" applyAlignment="1" pivotButton="0" quotePrefix="0" xfId="623">
      <alignment horizontal="center" vertical="center"/>
    </xf>
    <xf numFmtId="0" fontId="295" fillId="22" borderId="0" applyAlignment="1" pivotButton="0" quotePrefix="0" xfId="623">
      <alignment horizontal="left" vertical="center"/>
    </xf>
    <xf numFmtId="0" fontId="301" fillId="22" borderId="0" applyAlignment="1" pivotButton="0" quotePrefix="0" xfId="623">
      <alignment horizontal="left" vertical="center" wrapText="1"/>
    </xf>
    <xf numFmtId="0" fontId="294" fillId="22" borderId="0" applyAlignment="1" pivotButton="0" quotePrefix="0" xfId="623">
      <alignment horizontal="left" vertical="center" wrapText="1"/>
    </xf>
    <xf numFmtId="0" fontId="281" fillId="0" borderId="0" applyAlignment="1" pivotButton="0" quotePrefix="0" xfId="623">
      <alignment horizontal="left" vertical="center" wrapText="1"/>
    </xf>
    <xf numFmtId="0" fontId="281" fillId="22" borderId="0" applyAlignment="1" pivotButton="0" quotePrefix="0" xfId="623">
      <alignment horizontal="left" vertical="center"/>
    </xf>
    <xf numFmtId="0" fontId="301" fillId="22" borderId="0" applyAlignment="1" pivotButton="0" quotePrefix="0" xfId="623">
      <alignment horizontal="center" vertical="center" wrapText="1"/>
    </xf>
    <xf numFmtId="0" fontId="281" fillId="22" borderId="0" applyAlignment="1" pivotButton="0" quotePrefix="0" xfId="623">
      <alignment horizontal="left" vertical="center" wrapText="1"/>
    </xf>
    <xf numFmtId="0" fontId="302" fillId="25" borderId="0" applyAlignment="1" pivotButton="0" quotePrefix="0" xfId="623">
      <alignment horizontal="center" vertical="center"/>
    </xf>
    <xf numFmtId="0" fontId="302" fillId="0" borderId="0" applyAlignment="1" pivotButton="0" quotePrefix="0" xfId="623">
      <alignment horizontal="center" vertical="center"/>
    </xf>
    <xf numFmtId="0" fontId="303" fillId="25" borderId="0" applyAlignment="1" pivotButton="0" quotePrefix="0" xfId="623">
      <alignment horizontal="center" vertical="center"/>
    </xf>
    <xf numFmtId="0" fontId="302" fillId="25" borderId="0" applyAlignment="1" pivotButton="0" quotePrefix="0" xfId="623">
      <alignment vertical="center"/>
    </xf>
    <xf numFmtId="0" fontId="306" fillId="25" borderId="0" applyAlignment="1" pivotButton="0" quotePrefix="0" xfId="623">
      <alignment horizontal="center" vertical="center"/>
    </xf>
    <xf numFmtId="0" fontId="281" fillId="0" borderId="0" applyAlignment="1" pivotButton="0" quotePrefix="0" xfId="623">
      <alignment horizontal="center" vertical="center"/>
    </xf>
    <xf numFmtId="0" fontId="306" fillId="0" borderId="0" applyAlignment="1" pivotButton="0" quotePrefix="0" xfId="623">
      <alignment horizontal="center" vertical="center"/>
    </xf>
    <xf numFmtId="0" fontId="281" fillId="25" borderId="0" applyAlignment="1" pivotButton="0" quotePrefix="0" xfId="623">
      <alignment vertical="center"/>
    </xf>
    <xf numFmtId="0" fontId="306" fillId="25" borderId="0" applyAlignment="1" pivotButton="0" quotePrefix="0" xfId="623">
      <alignment vertical="center"/>
    </xf>
    <xf numFmtId="0" fontId="281" fillId="0" borderId="0" applyAlignment="1" pivotButton="0" quotePrefix="0" xfId="623">
      <alignment vertical="center"/>
    </xf>
    <xf numFmtId="0" fontId="306" fillId="0" borderId="0" applyAlignment="1" pivotButton="0" quotePrefix="0" xfId="623">
      <alignment vertical="center"/>
    </xf>
    <xf numFmtId="0" fontId="294" fillId="25" borderId="0" applyAlignment="1" pivotButton="0" quotePrefix="0" xfId="623">
      <alignment horizontal="center" vertical="center"/>
    </xf>
    <xf numFmtId="0" fontId="249" fillId="0" borderId="0" pivotButton="0" quotePrefix="0" xfId="629"/>
    <xf numFmtId="0" fontId="329" fillId="22" borderId="0" applyAlignment="1" pivotButton="0" quotePrefix="0" xfId="36">
      <alignment vertical="center"/>
    </xf>
    <xf numFmtId="0" fontId="329" fillId="22" borderId="0" applyAlignment="1" pivotButton="0" quotePrefix="0" xfId="36">
      <alignment horizontal="left" vertical="center"/>
    </xf>
    <xf numFmtId="166" fontId="296" fillId="22" borderId="0" applyAlignment="1" pivotButton="0" quotePrefix="0" xfId="36">
      <alignment vertical="center"/>
    </xf>
    <xf numFmtId="166" fontId="282" fillId="22" borderId="0" applyAlignment="1" pivotButton="0" quotePrefix="0" xfId="36">
      <alignment vertical="center"/>
    </xf>
    <xf numFmtId="166" fontId="296" fillId="22" borderId="0" applyAlignment="1" pivotButton="0" quotePrefix="0" xfId="36">
      <alignment horizontal="left" vertical="center"/>
    </xf>
    <xf numFmtId="0" fontId="330" fillId="0" borderId="0" applyAlignment="1" pivotButton="0" quotePrefix="0" xfId="36">
      <alignment vertical="center"/>
    </xf>
    <xf numFmtId="0" fontId="284" fillId="0" borderId="0" applyAlignment="1" pivotButton="0" quotePrefix="0" xfId="36">
      <alignment vertical="center"/>
    </xf>
    <xf numFmtId="167" fontId="330" fillId="0" borderId="0" applyAlignment="1" pivotButton="0" quotePrefix="0" xfId="38">
      <alignment vertical="center"/>
    </xf>
    <xf numFmtId="168" fontId="330" fillId="0" borderId="0" applyAlignment="1" pivotButton="0" quotePrefix="0" xfId="38">
      <alignment vertical="center"/>
    </xf>
    <xf numFmtId="0" fontId="274" fillId="0" borderId="0" applyAlignment="1" pivotButton="0" quotePrefix="0" xfId="18">
      <alignment horizontal="left" vertical="center"/>
    </xf>
    <xf numFmtId="0" fontId="331" fillId="0" borderId="0" pivotButton="0" quotePrefix="0" xfId="0"/>
    <xf numFmtId="167" fontId="0" fillId="0" borderId="0" pivotButton="0" quotePrefix="0" xfId="0"/>
    <xf numFmtId="0" fontId="335" fillId="0" borderId="0" applyAlignment="1" pivotButton="0" quotePrefix="0" xfId="36">
      <alignment vertical="center"/>
    </xf>
    <xf numFmtId="0" fontId="338" fillId="0" borderId="0" pivotButton="0" quotePrefix="0" xfId="0"/>
    <xf numFmtId="169" fontId="254" fillId="36" borderId="5" applyAlignment="1" pivotButton="0" quotePrefix="0" xfId="0">
      <alignment vertical="center"/>
    </xf>
    <xf numFmtId="167" fontId="330" fillId="22" borderId="0" applyAlignment="1" pivotButton="0" quotePrefix="0" xfId="38">
      <alignment vertical="center"/>
    </xf>
    <xf numFmtId="0" fontId="331" fillId="22" borderId="0" pivotButton="0" quotePrefix="0" xfId="0"/>
    <xf numFmtId="170" fontId="238" fillId="0" borderId="0" applyAlignment="1" pivotButton="0" quotePrefix="0" xfId="1">
      <alignment horizontal="right"/>
    </xf>
    <xf numFmtId="0" fontId="330" fillId="0" borderId="0" applyAlignment="1" pivotButton="0" quotePrefix="0" xfId="36">
      <alignment horizontal="center" vertical="center"/>
    </xf>
    <xf numFmtId="0" fontId="284" fillId="0" borderId="0" applyAlignment="1" pivotButton="0" quotePrefix="0" xfId="36">
      <alignment horizontal="center" vertical="center"/>
    </xf>
    <xf numFmtId="0" fontId="331" fillId="0" borderId="0" applyAlignment="1" pivotButton="0" quotePrefix="0" xfId="0">
      <alignment horizontal="center" vertical="center"/>
    </xf>
    <xf numFmtId="171" fontId="282" fillId="0" borderId="0" applyAlignment="1" pivotButton="0" quotePrefix="0" xfId="628">
      <alignment vertical="center"/>
    </xf>
    <xf numFmtId="0" fontId="335" fillId="0" borderId="0" applyAlignment="1" pivotButton="0" quotePrefix="0" xfId="36">
      <alignment horizontal="center" vertical="center"/>
    </xf>
    <xf numFmtId="0" fontId="252" fillId="4" borderId="30" applyAlignment="1" pivotButton="0" quotePrefix="0" xfId="9">
      <alignment horizontal="center" vertical="center"/>
    </xf>
    <xf numFmtId="0" fontId="252" fillId="4" borderId="30" applyAlignment="1" pivotButton="0" quotePrefix="0" xfId="9">
      <alignment horizontal="center"/>
    </xf>
    <xf numFmtId="0" fontId="252" fillId="4" borderId="31" applyAlignment="1" pivotButton="0" quotePrefix="0" xfId="9">
      <alignment horizontal="center" wrapText="1"/>
    </xf>
    <xf numFmtId="0" fontId="252" fillId="4" borderId="30" applyAlignment="1" pivotButton="0" quotePrefix="0" xfId="9">
      <alignment horizontal="center" vertical="center" wrapText="1"/>
    </xf>
    <xf numFmtId="0" fontId="250" fillId="9" borderId="0" applyAlignment="1" pivotButton="0" quotePrefix="0" xfId="629">
      <alignment vertical="center"/>
    </xf>
    <xf numFmtId="0" fontId="249" fillId="9" borderId="0" applyAlignment="1" pivotButton="0" quotePrefix="0" xfId="629">
      <alignment vertical="center"/>
    </xf>
    <xf numFmtId="0" fontId="260" fillId="9" borderId="0" applyAlignment="1" pivotButton="0" quotePrefix="0" xfId="629">
      <alignment horizontal="center" vertical="center"/>
    </xf>
    <xf numFmtId="14" fontId="249" fillId="9" borderId="0" applyAlignment="1" pivotButton="0" quotePrefix="0" xfId="629">
      <alignment horizontal="center" vertical="center"/>
    </xf>
    <xf numFmtId="0" fontId="239" fillId="9" borderId="2" pivotButton="0" quotePrefix="0" xfId="629"/>
    <xf numFmtId="0" fontId="249" fillId="9" borderId="0" pivotButton="0" quotePrefix="0" xfId="629"/>
    <xf numFmtId="0" fontId="260" fillId="9" borderId="0" applyAlignment="1" pivotButton="0" quotePrefix="0" xfId="629">
      <alignment horizontal="center"/>
    </xf>
    <xf numFmtId="14" fontId="249" fillId="9" borderId="0" applyAlignment="1" pivotButton="0" quotePrefix="0" xfId="629">
      <alignment horizontal="center"/>
    </xf>
    <xf numFmtId="0" fontId="255" fillId="9" borderId="0" applyAlignment="1" pivotButton="0" quotePrefix="0" xfId="629">
      <alignment vertical="center"/>
    </xf>
    <xf numFmtId="0" fontId="255" fillId="9" borderId="0" pivotButton="0" quotePrefix="0" xfId="629"/>
    <xf numFmtId="165" fontId="256" fillId="9" borderId="0" applyAlignment="1" pivotButton="0" quotePrefix="0" xfId="661">
      <alignment vertical="center"/>
    </xf>
    <xf numFmtId="165" fontId="261" fillId="9" borderId="0" applyAlignment="1" pivotButton="0" quotePrefix="0" xfId="661">
      <alignment horizontal="center"/>
    </xf>
    <xf numFmtId="14" fontId="256" fillId="9" borderId="0" applyAlignment="1" pivotButton="0" quotePrefix="0" xfId="629">
      <alignment horizontal="center" vertical="center"/>
    </xf>
    <xf numFmtId="0" fontId="256" fillId="9" borderId="0" applyAlignment="1" pivotButton="0" quotePrefix="0" xfId="629">
      <alignment vertical="center"/>
    </xf>
    <xf numFmtId="0" fontId="239" fillId="9" borderId="0" pivotButton="0" quotePrefix="0" xfId="629"/>
    <xf numFmtId="172" fontId="257" fillId="9" borderId="0" pivotButton="0" quotePrefix="0" xfId="629"/>
    <xf numFmtId="172" fontId="326" fillId="9" borderId="0" applyAlignment="1" pivotButton="0" quotePrefix="0" xfId="629">
      <alignment horizontal="center"/>
    </xf>
    <xf numFmtId="0" fontId="257" fillId="9" borderId="0" pivotButton="0" quotePrefix="0" xfId="629"/>
    <xf numFmtId="0" fontId="239" fillId="9" borderId="17" applyAlignment="1" pivotButton="0" quotePrefix="0" xfId="662">
      <alignment horizontal="center"/>
    </xf>
    <xf numFmtId="0" fontId="239" fillId="9" borderId="0" applyAlignment="1" pivotButton="0" quotePrefix="0" xfId="629">
      <alignment horizontal="center"/>
    </xf>
    <xf numFmtId="172" fontId="261" fillId="9" borderId="32" applyAlignment="1" pivotButton="0" quotePrefix="0" xfId="629">
      <alignment horizontal="center"/>
    </xf>
    <xf numFmtId="14" fontId="239" fillId="9" borderId="0" applyAlignment="1" pivotButton="0" quotePrefix="0" xfId="629">
      <alignment horizontal="center"/>
    </xf>
    <xf numFmtId="14" fontId="251" fillId="9" borderId="17" applyAlignment="1" pivotButton="0" quotePrefix="0" xfId="662">
      <alignment horizontal="center"/>
    </xf>
    <xf numFmtId="0" fontId="251" fillId="9" borderId="17" applyAlignment="1" pivotButton="0" quotePrefix="0" xfId="662">
      <alignment horizontal="center"/>
    </xf>
    <xf numFmtId="0" fontId="252" fillId="4" borderId="24" applyAlignment="1" pivotButton="0" quotePrefix="0" xfId="9">
      <alignment horizontal="center" vertical="center"/>
    </xf>
    <xf numFmtId="14" fontId="289" fillId="9" borderId="33" applyAlignment="1" pivotButton="0" quotePrefix="0" xfId="629">
      <alignment horizontal="center" vertical="center"/>
    </xf>
    <xf numFmtId="0" fontId="297" fillId="37" borderId="24" applyAlignment="1" pivotButton="0" quotePrefix="0" xfId="629">
      <alignment horizontal="center" vertical="center" wrapText="1"/>
    </xf>
    <xf numFmtId="0" fontId="249" fillId="33" borderId="0" applyAlignment="1" pivotButton="0" quotePrefix="0" xfId="629">
      <alignment vertical="center"/>
    </xf>
    <xf numFmtId="0" fontId="253" fillId="38" borderId="24" applyAlignment="1" pivotButton="0" quotePrefix="0" xfId="629">
      <alignment horizontal="center" vertical="center"/>
    </xf>
    <xf numFmtId="165" fontId="263" fillId="38" borderId="23" applyAlignment="1" pivotButton="0" quotePrefix="0" xfId="661">
      <alignment horizontal="center" vertical="center"/>
    </xf>
    <xf numFmtId="165" fontId="263" fillId="38" borderId="24" applyAlignment="1" pivotButton="0" quotePrefix="0" xfId="661">
      <alignment vertical="center"/>
    </xf>
    <xf numFmtId="0" fontId="249" fillId="0" borderId="0" applyAlignment="1" pivotButton="0" quotePrefix="0" xfId="629">
      <alignment horizontal="center"/>
    </xf>
    <xf numFmtId="14" fontId="249" fillId="0" borderId="0" applyAlignment="1" pivotButton="0" quotePrefix="0" xfId="629">
      <alignment horizontal="center"/>
    </xf>
    <xf numFmtId="0" fontId="260" fillId="0" borderId="0" applyAlignment="1" pivotButton="0" quotePrefix="0" xfId="629">
      <alignment horizontal="center"/>
    </xf>
    <xf numFmtId="0" fontId="349" fillId="45" borderId="34" applyAlignment="1" pivotButton="0" quotePrefix="0" xfId="0">
      <alignment horizontal="center" vertical="center"/>
    </xf>
    <xf numFmtId="0" fontId="282" fillId="0" borderId="35" applyAlignment="1" pivotButton="0" quotePrefix="0" xfId="623">
      <alignment horizontal="center" vertical="center"/>
    </xf>
    <xf numFmtId="0" fontId="282" fillId="0" borderId="35" applyAlignment="1" pivotButton="0" quotePrefix="0" xfId="627">
      <alignment vertical="center"/>
    </xf>
    <xf numFmtId="0" fontId="305" fillId="30" borderId="35" applyAlignment="1" pivotButton="0" quotePrefix="0" xfId="129">
      <alignment horizontal="center" vertical="center"/>
    </xf>
    <xf numFmtId="14" fontId="261" fillId="33" borderId="24" applyAlignment="1" pivotButton="0" quotePrefix="0" xfId="629">
      <alignment vertical="center"/>
    </xf>
    <xf numFmtId="165" fontId="249" fillId="33" borderId="0" applyAlignment="1" pivotButton="0" quotePrefix="0" xfId="629">
      <alignment vertical="center"/>
    </xf>
    <xf numFmtId="0" fontId="335" fillId="0" borderId="0" applyAlignment="1" pivotButton="0" quotePrefix="0" xfId="36">
      <alignment horizontal="left" vertical="center"/>
    </xf>
    <xf numFmtId="0" fontId="286" fillId="0" borderId="0" applyAlignment="1" pivotButton="0" quotePrefix="0" xfId="36">
      <alignment horizontal="center" vertical="center"/>
    </xf>
    <xf numFmtId="0" fontId="286" fillId="0" borderId="0" applyAlignment="1" pivotButton="0" quotePrefix="0" xfId="36">
      <alignment horizontal="left" vertical="center"/>
    </xf>
    <xf numFmtId="0" fontId="286" fillId="22" borderId="0" applyAlignment="1" pivotButton="0" quotePrefix="0" xfId="36">
      <alignment horizontal="left" vertical="center"/>
    </xf>
    <xf numFmtId="167" fontId="335" fillId="0" borderId="0" applyAlignment="1" pivotButton="0" quotePrefix="0" xfId="38">
      <alignment vertical="center"/>
    </xf>
    <xf numFmtId="168" fontId="335" fillId="0" borderId="0" applyAlignment="1" pivotButton="0" quotePrefix="0" xfId="38">
      <alignment vertical="center"/>
    </xf>
    <xf numFmtId="170" fontId="357" fillId="0" borderId="0" applyAlignment="1" pivotButton="0" quotePrefix="0" xfId="1">
      <alignment horizontal="right"/>
    </xf>
    <xf numFmtId="0" fontId="282" fillId="22" borderId="35" applyAlignment="1" pivotButton="0" quotePrefix="0" xfId="36">
      <alignment horizontal="center" vertical="center"/>
    </xf>
    <xf numFmtId="171" fontId="282" fillId="0" borderId="35" applyAlignment="1" pivotButton="0" quotePrefix="0" xfId="628">
      <alignment vertical="center"/>
    </xf>
    <xf numFmtId="1" fontId="238" fillId="22" borderId="24" applyAlignment="1" pivotButton="0" quotePrefix="0" xfId="1">
      <alignment horizontal="center"/>
    </xf>
    <xf numFmtId="165" fontId="263" fillId="33" borderId="0" applyAlignment="1" pivotButton="0" quotePrefix="0" xfId="661">
      <alignment vertical="center"/>
    </xf>
    <xf numFmtId="0" fontId="304" fillId="25" borderId="35" applyAlignment="1" pivotButton="0" quotePrefix="0" xfId="623">
      <alignment horizontal="center" vertical="center" wrapText="1"/>
    </xf>
    <xf numFmtId="173" fontId="281" fillId="29" borderId="35" applyAlignment="1" pivotButton="0" quotePrefix="0" xfId="623">
      <alignment horizontal="center" vertical="center"/>
    </xf>
    <xf numFmtId="0" fontId="304" fillId="25" borderId="12" applyAlignment="1" pivotButton="0" quotePrefix="0" xfId="623">
      <alignment horizontal="center" vertical="center" wrapText="1"/>
    </xf>
    <xf numFmtId="0" fontId="288" fillId="0" borderId="35" applyAlignment="1" pivotButton="0" quotePrefix="0" xfId="623">
      <alignment horizontal="center" vertical="center"/>
    </xf>
    <xf numFmtId="0" fontId="304" fillId="27" borderId="35" applyAlignment="1" pivotButton="0" quotePrefix="0" xfId="623">
      <alignment horizontal="center" vertical="center" wrapText="1"/>
    </xf>
    <xf numFmtId="0" fontId="282" fillId="0" borderId="42" applyAlignment="1" pivotButton="0" quotePrefix="0" xfId="623">
      <alignment horizontal="center" vertical="center"/>
    </xf>
    <xf numFmtId="171" fontId="282" fillId="27" borderId="35" applyAlignment="1" pivotButton="0" quotePrefix="0" xfId="628">
      <alignment vertical="center"/>
    </xf>
    <xf numFmtId="174" fontId="282" fillId="0" borderId="49" applyAlignment="1" pivotButton="0" quotePrefix="0" xfId="626">
      <alignment horizontal="center" vertical="center"/>
    </xf>
    <xf numFmtId="0" fontId="305" fillId="22" borderId="44" applyAlignment="1" pivotButton="0" quotePrefix="0" xfId="129">
      <alignment horizontal="center" vertical="center"/>
    </xf>
    <xf numFmtId="0" fontId="359" fillId="0" borderId="0" applyAlignment="1" pivotButton="0" quotePrefix="0" xfId="623">
      <alignment vertical="center"/>
    </xf>
    <xf numFmtId="167" fontId="337" fillId="0" borderId="0" applyAlignment="1" pivotButton="0" quotePrefix="0" xfId="624">
      <alignment vertical="center"/>
    </xf>
    <xf numFmtId="168" fontId="337" fillId="0" borderId="0" applyAlignment="1" pivotButton="0" quotePrefix="0" xfId="624">
      <alignment vertical="center"/>
    </xf>
    <xf numFmtId="0" fontId="337" fillId="0" borderId="0" applyAlignment="1" pivotButton="0" quotePrefix="0" xfId="623">
      <alignment vertical="center"/>
    </xf>
    <xf numFmtId="0" fontId="336" fillId="0" borderId="22" applyAlignment="1" applyProtection="1" pivotButton="0" quotePrefix="0" xfId="623">
      <alignment horizontal="center" vertical="center"/>
      <protection locked="1" hidden="1"/>
    </xf>
    <xf numFmtId="175" fontId="336" fillId="0" borderId="22" applyAlignment="1" applyProtection="1" pivotButton="0" quotePrefix="0" xfId="625">
      <alignment horizontal="center" vertical="center"/>
      <protection locked="1" hidden="1"/>
    </xf>
    <xf numFmtId="0" fontId="337" fillId="22" borderId="0" applyAlignment="1" pivotButton="0" quotePrefix="0" xfId="623">
      <alignment horizontal="center" vertical="center"/>
    </xf>
    <xf numFmtId="0" fontId="360" fillId="0" borderId="0" applyAlignment="1" pivotButton="0" quotePrefix="0" xfId="626">
      <alignment horizontal="left" vertical="center"/>
    </xf>
    <xf numFmtId="0" fontId="359" fillId="0" borderId="0" applyAlignment="1" pivotButton="0" quotePrefix="0" xfId="623">
      <alignment horizontal="left" vertical="center"/>
    </xf>
    <xf numFmtId="167" fontId="337" fillId="0" borderId="0" applyAlignment="1" pivotButton="0" quotePrefix="0" xfId="624">
      <alignment vertical="center"/>
    </xf>
    <xf numFmtId="168" fontId="337" fillId="0" borderId="0" applyAlignment="1" pivotButton="0" quotePrefix="0" xfId="624">
      <alignment vertical="center"/>
    </xf>
    <xf numFmtId="0" fontId="337" fillId="22" borderId="0" applyAlignment="1" pivotButton="0" quotePrefix="0" xfId="623">
      <alignment vertical="center"/>
    </xf>
    <xf numFmtId="0" fontId="358" fillId="0" borderId="0" applyAlignment="1" pivotButton="0" quotePrefix="0" xfId="623">
      <alignment horizontal="left" vertical="center"/>
    </xf>
    <xf numFmtId="0" fontId="332" fillId="0" borderId="0" applyAlignment="1" pivotButton="0" quotePrefix="0" xfId="623">
      <alignment horizontal="center" vertical="center"/>
    </xf>
    <xf numFmtId="0" fontId="332" fillId="25" borderId="0" applyAlignment="1" pivotButton="0" quotePrefix="0" xfId="623">
      <alignment horizontal="center" vertical="center"/>
    </xf>
    <xf numFmtId="0" fontId="304" fillId="25" borderId="18" applyAlignment="1" pivotButton="0" quotePrefix="0" xfId="36">
      <alignment horizontal="center" vertical="center" wrapText="1"/>
    </xf>
    <xf numFmtId="0" fontId="305" fillId="22" borderId="35" applyAlignment="1" pivotButton="0" quotePrefix="0" xfId="129">
      <alignment horizontal="center" vertical="center"/>
    </xf>
    <xf numFmtId="0" fontId="0" fillId="0" borderId="35" pivotButton="0" quotePrefix="0" xfId="0"/>
    <xf numFmtId="173" fontId="330" fillId="29" borderId="21" applyAlignment="1" pivotButton="0" quotePrefix="0" xfId="619">
      <alignment horizontal="center" vertical="center"/>
    </xf>
    <xf numFmtId="165" fontId="323" fillId="9" borderId="0" pivotButton="0" quotePrefix="0" xfId="629"/>
    <xf numFmtId="165" fontId="323" fillId="33" borderId="0" pivotButton="0" quotePrefix="0" xfId="629"/>
    <xf numFmtId="0" fontId="261" fillId="33" borderId="24" applyAlignment="1" pivotButton="0" quotePrefix="0" xfId="629">
      <alignment vertical="center"/>
    </xf>
    <xf numFmtId="170" fontId="363" fillId="0" borderId="35" applyAlignment="1" pivotButton="0" quotePrefix="0" xfId="1">
      <alignment horizontal="right" shrinkToFit="1"/>
    </xf>
    <xf numFmtId="0" fontId="0" fillId="0" borderId="53" pivotButton="0" quotePrefix="0" xfId="0"/>
    <xf numFmtId="0" fontId="260" fillId="33" borderId="53" applyAlignment="1" pivotButton="0" quotePrefix="0" xfId="629">
      <alignment horizontal="center" vertical="center"/>
    </xf>
    <xf numFmtId="0" fontId="287" fillId="33" borderId="53" applyAlignment="1" pivotButton="0" quotePrefix="0" xfId="629">
      <alignment vertical="center"/>
    </xf>
    <xf numFmtId="14" fontId="261" fillId="33" borderId="53" applyAlignment="1" pivotButton="0" quotePrefix="0" xfId="629">
      <alignment vertical="center"/>
    </xf>
    <xf numFmtId="0" fontId="332" fillId="25" borderId="0" applyAlignment="1" pivotButton="0" quotePrefix="0" xfId="36">
      <alignment horizontal="center" vertical="center"/>
    </xf>
    <xf numFmtId="167" fontId="332" fillId="25" borderId="0" applyAlignment="1" pivotButton="0" quotePrefix="0" xfId="36">
      <alignment horizontal="center" vertical="center"/>
    </xf>
    <xf numFmtId="43" fontId="338" fillId="0" borderId="0" pivotButton="0" quotePrefix="0" xfId="0"/>
    <xf numFmtId="176" fontId="293" fillId="22" borderId="44" applyAlignment="1" pivotButton="0" quotePrefix="0" xfId="627">
      <alignment vertical="center" wrapText="1"/>
    </xf>
    <xf numFmtId="0" fontId="368" fillId="9" borderId="0" applyAlignment="1" pivotButton="0" quotePrefix="0" xfId="629">
      <alignment vertical="center"/>
    </xf>
    <xf numFmtId="165" fontId="369" fillId="9" borderId="0" pivotButton="0" quotePrefix="0" xfId="629"/>
    <xf numFmtId="0" fontId="368" fillId="9" borderId="0" pivotButton="0" quotePrefix="0" xfId="629"/>
    <xf numFmtId="0" fontId="261" fillId="33" borderId="53" applyAlignment="1" pivotButton="0" quotePrefix="0" xfId="629">
      <alignment vertical="center"/>
    </xf>
    <xf numFmtId="0" fontId="319" fillId="0" borderId="53" applyAlignment="1" pivotButton="0" quotePrefix="0" xfId="581">
      <alignment horizontal="center"/>
    </xf>
    <xf numFmtId="165" fontId="261" fillId="22" borderId="24" applyAlignment="1" pivotButton="0" quotePrefix="0" xfId="629">
      <alignment vertical="center"/>
    </xf>
    <xf numFmtId="165" fontId="261" fillId="22" borderId="53" applyAlignment="1" pivotButton="0" quotePrefix="0" xfId="629">
      <alignment vertical="center"/>
    </xf>
    <xf numFmtId="177" fontId="354" fillId="0" borderId="0" applyAlignment="1" pivotButton="0" quotePrefix="0" xfId="0">
      <alignment horizontal="left" wrapText="1"/>
    </xf>
    <xf numFmtId="0" fontId="44" fillId="0" borderId="0" pivotButton="0" quotePrefix="0" xfId="709"/>
    <xf numFmtId="0" fontId="282" fillId="22" borderId="0" applyAlignment="1" pivotButton="0" quotePrefix="0" xfId="710">
      <alignment horizontal="left" vertical="center"/>
    </xf>
    <xf numFmtId="174" fontId="344" fillId="0" borderId="53" applyAlignment="1" pivotButton="0" quotePrefix="0" xfId="709">
      <alignment horizontal="center" vertical="center"/>
    </xf>
    <xf numFmtId="178" fontId="319" fillId="0" borderId="53" applyAlignment="1" pivotButton="0" quotePrefix="0" xfId="711">
      <alignment horizontal="center"/>
    </xf>
    <xf numFmtId="0" fontId="319" fillId="51" borderId="53" applyAlignment="1" pivotButton="0" quotePrefix="0" xfId="711">
      <alignment horizontal="center"/>
    </xf>
    <xf numFmtId="0" fontId="319" fillId="0" borderId="53" applyAlignment="1" pivotButton="0" quotePrefix="0" xfId="711">
      <alignment horizontal="center"/>
    </xf>
    <xf numFmtId="0" fontId="319" fillId="22" borderId="53" applyAlignment="1" pivotButton="0" quotePrefix="0" xfId="711">
      <alignment horizontal="left"/>
    </xf>
    <xf numFmtId="179" fontId="354" fillId="0" borderId="0" applyAlignment="1" pivotButton="0" quotePrefix="0" xfId="0">
      <alignment horizontal="left" wrapText="1"/>
    </xf>
    <xf numFmtId="177" fontId="354" fillId="0" borderId="0" applyAlignment="1" pivotButton="0" quotePrefix="1" xfId="0">
      <alignment horizontal="left" wrapText="1"/>
    </xf>
    <xf numFmtId="0" fontId="261" fillId="33" borderId="0" applyAlignment="1" pivotButton="0" quotePrefix="0" xfId="0">
      <alignment horizontal="center" wrapText="1"/>
    </xf>
    <xf numFmtId="0" fontId="351" fillId="9" borderId="0" applyAlignment="1" pivotButton="0" quotePrefix="0" xfId="629">
      <alignment horizontal="center"/>
    </xf>
    <xf numFmtId="4" fontId="373" fillId="38" borderId="0" applyAlignment="1" pivotButton="0" quotePrefix="0" xfId="0">
      <alignment vertical="center"/>
    </xf>
    <xf numFmtId="3" fontId="373" fillId="9" borderId="0" applyAlignment="1" pivotButton="0" quotePrefix="0" xfId="0">
      <alignment vertical="center"/>
    </xf>
    <xf numFmtId="0" fontId="374" fillId="22" borderId="0" applyAlignment="1" pivotButton="0" quotePrefix="0" xfId="623">
      <alignment horizontal="left" vertical="center"/>
    </xf>
    <xf numFmtId="165" fontId="282" fillId="0" borderId="53" applyAlignment="1" pivotButton="0" quotePrefix="0" xfId="1">
      <alignment horizontal="center"/>
    </xf>
    <xf numFmtId="167" fontId="282" fillId="0" borderId="53" applyAlignment="1" pivotButton="0" quotePrefix="0" xfId="1">
      <alignment horizontal="center"/>
    </xf>
    <xf numFmtId="0" fontId="349" fillId="45" borderId="56" applyAlignment="1" pivotButton="0" quotePrefix="0" xfId="0">
      <alignment horizontal="center" vertical="center"/>
    </xf>
    <xf numFmtId="0" fontId="288" fillId="25" borderId="18" applyAlignment="1" pivotButton="0" quotePrefix="0" xfId="36">
      <alignment vertical="center" wrapText="1"/>
    </xf>
    <xf numFmtId="0" fontId="304" fillId="25" borderId="18" applyAlignment="1" pivotButton="0" quotePrefix="0" xfId="0">
      <alignment vertical="center" wrapText="1"/>
    </xf>
    <xf numFmtId="0" fontId="304" fillId="0" borderId="0" applyAlignment="1" pivotButton="0" quotePrefix="0" xfId="623">
      <alignment horizontal="left" vertical="center"/>
    </xf>
    <xf numFmtId="0" fontId="319" fillId="55" borderId="0" applyAlignment="1" pivotButton="0" quotePrefix="0" xfId="711">
      <alignment horizontal="left"/>
    </xf>
    <xf numFmtId="0" fontId="319" fillId="55" borderId="53" applyAlignment="1" pivotButton="0" quotePrefix="0" xfId="711">
      <alignment horizontal="center"/>
    </xf>
    <xf numFmtId="0" fontId="319" fillId="55" borderId="53" applyAlignment="1" pivotButton="0" quotePrefix="0" xfId="711">
      <alignment horizontal="left" wrapText="1"/>
    </xf>
    <xf numFmtId="0" fontId="310" fillId="0" borderId="19" pivotButton="0" quotePrefix="0" xfId="711"/>
    <xf numFmtId="0" fontId="310" fillId="0" borderId="8" applyAlignment="1" pivotButton="0" quotePrefix="0" xfId="711">
      <alignment wrapText="1"/>
    </xf>
    <xf numFmtId="0" fontId="356" fillId="0" borderId="0" applyAlignment="1" applyProtection="1" pivotButton="0" quotePrefix="0" xfId="0">
      <alignment horizontal="center" vertical="center"/>
      <protection locked="0" hidden="0"/>
    </xf>
    <xf numFmtId="4" fontId="254" fillId="36" borderId="5" applyAlignment="1" pivotButton="0" quotePrefix="0" xfId="0">
      <alignment vertical="center"/>
    </xf>
    <xf numFmtId="167" fontId="282" fillId="0" borderId="0" applyAlignment="1" pivotButton="0" quotePrefix="0" xfId="1440">
      <alignment horizontal="left"/>
    </xf>
    <xf numFmtId="180" fontId="282" fillId="0" borderId="0" applyAlignment="1" pivotButton="0" quotePrefix="0" xfId="1441">
      <alignment horizontal="center"/>
    </xf>
    <xf numFmtId="167" fontId="295" fillId="0" borderId="0" applyAlignment="1" pivotButton="0" quotePrefix="0" xfId="1440">
      <alignment horizontal="left"/>
    </xf>
    <xf numFmtId="167" fontId="329" fillId="0" borderId="0" applyAlignment="1" pivotButton="0" quotePrefix="0" xfId="1440">
      <alignment horizontal="left"/>
    </xf>
    <xf numFmtId="167" fontId="296" fillId="0" borderId="0" applyAlignment="1" pivotButton="0" quotePrefix="0" xfId="1440">
      <alignment horizontal="left"/>
    </xf>
    <xf numFmtId="167" fontId="364" fillId="0" borderId="0" applyAlignment="1" pivotButton="0" quotePrefix="0" xfId="1440">
      <alignment horizontal="left"/>
    </xf>
    <xf numFmtId="167" fontId="366" fillId="0" borderId="0" applyAlignment="1" pivotButton="0" quotePrefix="0" xfId="1440">
      <alignment horizontal="left"/>
    </xf>
    <xf numFmtId="173" fontId="330" fillId="47" borderId="21" applyAlignment="1" pivotButton="0" quotePrefix="0" xfId="619">
      <alignment horizontal="center" vertical="center"/>
    </xf>
    <xf numFmtId="0" fontId="325" fillId="22" borderId="61" pivotButton="0" quotePrefix="0" xfId="0"/>
    <xf numFmtId="174" fontId="349" fillId="45" borderId="34" applyAlignment="1" pivotButton="0" quotePrefix="0" xfId="0">
      <alignment horizontal="center" vertical="center"/>
    </xf>
    <xf numFmtId="0" fontId="304" fillId="25" borderId="18" applyAlignment="1" pivotButton="0" quotePrefix="0" xfId="36">
      <alignment vertical="center" wrapText="1"/>
    </xf>
    <xf numFmtId="0" fontId="304" fillId="0" borderId="18" applyAlignment="1" pivotButton="0" quotePrefix="0" xfId="36">
      <alignment vertical="center" wrapText="1"/>
    </xf>
    <xf numFmtId="0" fontId="261" fillId="33" borderId="61" applyAlignment="1" pivotButton="0" quotePrefix="0" xfId="0">
      <alignment horizontal="center" wrapText="1"/>
    </xf>
    <xf numFmtId="166" fontId="288" fillId="22" borderId="61" applyAlignment="1" pivotButton="0" quotePrefix="0" xfId="627">
      <alignment horizontal="left" vertical="center" wrapText="1"/>
    </xf>
    <xf numFmtId="0" fontId="0" fillId="22" borderId="61" pivotButton="0" quotePrefix="0" xfId="0"/>
    <xf numFmtId="0" fontId="282" fillId="0" borderId="61" applyAlignment="1" pivotButton="0" quotePrefix="0" xfId="623">
      <alignment horizontal="center" vertical="center"/>
    </xf>
    <xf numFmtId="0" fontId="305" fillId="22" borderId="61" applyAlignment="1" pivotButton="0" quotePrefix="0" xfId="129">
      <alignment horizontal="center" vertical="center"/>
    </xf>
    <xf numFmtId="0" fontId="0" fillId="0" borderId="61" pivotButton="0" quotePrefix="0" xfId="0"/>
    <xf numFmtId="0" fontId="319" fillId="55" borderId="53" applyAlignment="1" pivotButton="0" quotePrefix="0" xfId="711">
      <alignment horizontal="center" vertical="center" wrapText="1"/>
    </xf>
    <xf numFmtId="165" fontId="363" fillId="0" borderId="35" applyAlignment="1" pivotButton="0" quotePrefix="0" xfId="1">
      <alignment horizontal="right" shrinkToFit="1"/>
    </xf>
    <xf numFmtId="171" fontId="295" fillId="0" borderId="44" applyAlignment="1" pivotButton="0" quotePrefix="0" xfId="628">
      <alignment vertical="center"/>
    </xf>
    <xf numFmtId="17" fontId="304" fillId="28" borderId="47" applyAlignment="1" pivotButton="0" quotePrefix="0" xfId="623">
      <alignment vertical="center"/>
    </xf>
    <xf numFmtId="17" fontId="304" fillId="28" borderId="40" applyAlignment="1" pivotButton="0" quotePrefix="0" xfId="623">
      <alignment vertical="center"/>
    </xf>
    <xf numFmtId="0" fontId="296" fillId="0" borderId="0" applyAlignment="1" pivotButton="0" quotePrefix="0" xfId="36">
      <alignment vertical="center"/>
    </xf>
    <xf numFmtId="0" fontId="282" fillId="0" borderId="0" applyAlignment="1" pivotButton="0" quotePrefix="0" xfId="36">
      <alignment vertical="center"/>
    </xf>
    <xf numFmtId="0" fontId="296" fillId="0" borderId="0" applyAlignment="1" pivotButton="0" quotePrefix="0" xfId="36">
      <alignment horizontal="left" vertical="center"/>
    </xf>
    <xf numFmtId="0" fontId="303" fillId="0" borderId="0" applyAlignment="1" pivotButton="0" quotePrefix="0" xfId="36">
      <alignment horizontal="center" vertical="center"/>
    </xf>
    <xf numFmtId="174" fontId="238" fillId="22" borderId="24" applyAlignment="1" pivotButton="0" quotePrefix="0" xfId="1">
      <alignment horizontal="center"/>
    </xf>
    <xf numFmtId="165" fontId="238" fillId="22" borderId="62" pivotButton="0" quotePrefix="0" xfId="1"/>
    <xf numFmtId="0" fontId="282" fillId="0" borderId="63" applyAlignment="1" pivotButton="0" quotePrefix="0" xfId="623">
      <alignment horizontal="center" vertical="center"/>
    </xf>
    <xf numFmtId="0" fontId="282" fillId="0" borderId="62" applyAlignment="1" pivotButton="0" quotePrefix="0" xfId="623">
      <alignment horizontal="center" vertical="center"/>
    </xf>
    <xf numFmtId="0" fontId="305" fillId="22" borderId="62" applyAlignment="1" pivotButton="0" quotePrefix="0" xfId="129">
      <alignment horizontal="center" vertical="center"/>
    </xf>
    <xf numFmtId="0" fontId="0" fillId="0" borderId="62" pivotButton="0" quotePrefix="0" xfId="0"/>
    <xf numFmtId="0" fontId="319" fillId="51" borderId="18" applyAlignment="1" pivotButton="0" quotePrefix="0" xfId="711">
      <alignment horizontal="left"/>
    </xf>
    <xf numFmtId="0" fontId="319" fillId="0" borderId="8" applyAlignment="1" pivotButton="0" quotePrefix="0" xfId="711">
      <alignment horizontal="center"/>
    </xf>
    <xf numFmtId="0" fontId="319" fillId="51" borderId="55" applyAlignment="1" pivotButton="0" quotePrefix="0" xfId="711">
      <alignment horizontal="center"/>
    </xf>
    <xf numFmtId="0" fontId="319" fillId="51" borderId="55" applyAlignment="1" pivotButton="0" quotePrefix="0" xfId="711">
      <alignment horizontal="left"/>
    </xf>
    <xf numFmtId="165" fontId="282" fillId="51" borderId="18" applyAlignment="1" pivotButton="0" quotePrefix="0" xfId="1">
      <alignment horizontal="center"/>
    </xf>
    <xf numFmtId="0" fontId="319" fillId="51" borderId="18" applyAlignment="1" pivotButton="0" quotePrefix="0" xfId="581">
      <alignment horizontal="center"/>
    </xf>
    <xf numFmtId="43" fontId="282" fillId="51" borderId="18" applyAlignment="1" pivotButton="0" quotePrefix="0" xfId="1">
      <alignment horizontal="center"/>
    </xf>
    <xf numFmtId="0" fontId="319" fillId="51" borderId="37" pivotButton="0" quotePrefix="0" xfId="711"/>
    <xf numFmtId="0" fontId="319" fillId="51" borderId="36" pivotButton="0" quotePrefix="0" xfId="711"/>
    <xf numFmtId="181" fontId="310" fillId="51" borderId="53" applyAlignment="1" pivotButton="0" quotePrefix="0" xfId="711">
      <alignment horizontal="center"/>
    </xf>
    <xf numFmtId="0" fontId="319" fillId="51" borderId="38" pivotButton="0" quotePrefix="0" xfId="711"/>
    <xf numFmtId="182" fontId="310" fillId="51" borderId="53" applyAlignment="1" pivotButton="0" quotePrefix="0" xfId="711">
      <alignment horizontal="center"/>
    </xf>
    <xf numFmtId="165" fontId="282" fillId="0" borderId="53" applyAlignment="1" pivotButton="0" quotePrefix="0" xfId="1">
      <alignment horizontal="left"/>
    </xf>
    <xf numFmtId="0" fontId="310" fillId="0" borderId="8" applyAlignment="1" pivotButton="0" quotePrefix="0" xfId="711">
      <alignment horizontal="left"/>
    </xf>
    <xf numFmtId="0" fontId="312" fillId="22" borderId="62" applyAlignment="1" pivotButton="0" quotePrefix="0" xfId="0">
      <alignment horizontal="center" vertical="center"/>
    </xf>
    <xf numFmtId="165" fontId="238" fillId="9" borderId="0" applyAlignment="1" pivotButton="0" quotePrefix="0" xfId="1">
      <alignment vertical="center"/>
    </xf>
    <xf numFmtId="0" fontId="329" fillId="22" borderId="0" applyAlignment="1" pivotButton="0" quotePrefix="0" xfId="36">
      <alignment vertical="center" shrinkToFit="1"/>
    </xf>
    <xf numFmtId="0" fontId="282" fillId="22" borderId="0" applyAlignment="1" pivotButton="0" quotePrefix="0" xfId="36">
      <alignment vertical="center" shrinkToFit="1"/>
    </xf>
    <xf numFmtId="0" fontId="329" fillId="22" borderId="0" applyAlignment="1" pivotButton="0" quotePrefix="0" xfId="36">
      <alignment horizontal="left" vertical="center" shrinkToFit="1"/>
    </xf>
    <xf numFmtId="0" fontId="302" fillId="25" borderId="0" applyAlignment="1" pivotButton="0" quotePrefix="0" xfId="36">
      <alignment horizontal="center" vertical="center" shrinkToFit="1"/>
    </xf>
    <xf numFmtId="0" fontId="304" fillId="25" borderId="18" applyAlignment="1" pivotButton="0" quotePrefix="0" xfId="0">
      <alignment vertical="center" shrinkToFit="1"/>
    </xf>
    <xf numFmtId="0" fontId="0" fillId="0" borderId="35" applyAlignment="1" pivotButton="0" quotePrefix="0" xfId="0">
      <alignment shrinkToFit="1"/>
    </xf>
    <xf numFmtId="49" fontId="354" fillId="0" borderId="25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165" fontId="357" fillId="9" borderId="0" applyAlignment="1" pivotButton="0" quotePrefix="0" xfId="1">
      <alignment vertical="center"/>
    </xf>
    <xf numFmtId="173" fontId="281" fillId="40" borderId="35" applyAlignment="1" pivotButton="0" quotePrefix="0" xfId="623">
      <alignment horizontal="center" vertical="center"/>
    </xf>
    <xf numFmtId="167" fontId="282" fillId="0" borderId="61" applyAlignment="1" pivotButton="0" quotePrefix="0" xfId="1">
      <alignment horizontal="center"/>
    </xf>
    <xf numFmtId="174" fontId="319" fillId="0" borderId="53" applyAlignment="1" pivotButton="0" quotePrefix="0" xfId="581">
      <alignment horizontal="center"/>
    </xf>
    <xf numFmtId="174" fontId="319" fillId="0" borderId="61" applyAlignment="1" pivotButton="0" quotePrefix="0" xfId="581">
      <alignment horizontal="center"/>
    </xf>
    <xf numFmtId="3" fontId="254" fillId="36" borderId="5" applyAlignment="1" pivotButton="0" quotePrefix="0" xfId="0">
      <alignment vertical="center"/>
    </xf>
    <xf numFmtId="0" fontId="380" fillId="0" borderId="0" applyAlignment="1" pivotButton="0" quotePrefix="0" xfId="36">
      <alignment horizontal="center" vertical="center"/>
    </xf>
    <xf numFmtId="0" fontId="358" fillId="0" borderId="0" applyAlignment="1" pivotButton="0" quotePrefix="0" xfId="36">
      <alignment horizontal="left" vertical="center"/>
    </xf>
    <xf numFmtId="0" fontId="337" fillId="0" borderId="0" applyAlignment="1" pivotButton="0" quotePrefix="0" xfId="36">
      <alignment horizontal="left" vertical="center"/>
    </xf>
    <xf numFmtId="0" fontId="337" fillId="0" borderId="0" applyAlignment="1" pivotButton="0" quotePrefix="0" xfId="36">
      <alignment horizontal="left" vertical="center" shrinkToFit="1"/>
    </xf>
    <xf numFmtId="166" fontId="358" fillId="0" borderId="0" applyAlignment="1" pivotButton="0" quotePrefix="0" xfId="36">
      <alignment horizontal="left" vertical="center"/>
    </xf>
    <xf numFmtId="0" fontId="335" fillId="0" borderId="0" applyAlignment="1" pivotButton="0" quotePrefix="0" xfId="619">
      <alignment horizontal="center" vertical="top"/>
    </xf>
    <xf numFmtId="170" fontId="357" fillId="0" borderId="0" applyAlignment="1" pivotButton="0" quotePrefix="0" xfId="1">
      <alignment horizontal="right" vertical="center"/>
    </xf>
    <xf numFmtId="0" fontId="361" fillId="48" borderId="68" applyAlignment="1" pivotButton="0" quotePrefix="0" xfId="0">
      <alignment horizontal="center" vertical="center"/>
    </xf>
    <xf numFmtId="0" fontId="361" fillId="52" borderId="68" applyAlignment="1" pivotButton="0" quotePrefix="0" xfId="0">
      <alignment horizontal="center" vertical="center"/>
    </xf>
    <xf numFmtId="0" fontId="361" fillId="53" borderId="68" applyAlignment="1" pivotButton="0" quotePrefix="0" xfId="0">
      <alignment horizontal="center" vertical="center"/>
    </xf>
    <xf numFmtId="0" fontId="361" fillId="22" borderId="68" applyAlignment="1" pivotButton="0" quotePrefix="0" xfId="0">
      <alignment horizontal="center" vertical="center"/>
    </xf>
    <xf numFmtId="178" fontId="319" fillId="0" borderId="53" applyAlignment="1" pivotButton="0" quotePrefix="0" xfId="711">
      <alignment horizontal="center" vertical="center"/>
    </xf>
    <xf numFmtId="14" fontId="281" fillId="22" borderId="35" applyAlignment="1" pivotButton="0" quotePrefix="0" xfId="623">
      <alignment vertical="center"/>
    </xf>
    <xf numFmtId="14" fontId="281" fillId="22" borderId="62" applyAlignment="1" pivotButton="0" quotePrefix="0" xfId="623">
      <alignment vertical="center"/>
    </xf>
    <xf numFmtId="14" fontId="281" fillId="22" borderId="61" applyAlignment="1" pivotButton="0" quotePrefix="0" xfId="623">
      <alignment vertical="center"/>
    </xf>
    <xf numFmtId="0" fontId="365" fillId="33" borderId="24" applyAlignment="1" pivotButton="0" quotePrefix="0" xfId="629">
      <alignment horizontal="right" wrapText="1"/>
    </xf>
    <xf numFmtId="0" fontId="333" fillId="33" borderId="53" applyAlignment="1" pivotButton="0" quotePrefix="0" xfId="629">
      <alignment horizontal="right" wrapText="1"/>
    </xf>
    <xf numFmtId="0" fontId="361" fillId="48" borderId="0" applyAlignment="1" pivotButton="0" quotePrefix="0" xfId="0">
      <alignment horizontal="center" vertical="center"/>
    </xf>
    <xf numFmtId="0" fontId="361" fillId="52" borderId="0" applyAlignment="1" pivotButton="0" quotePrefix="0" xfId="0">
      <alignment horizontal="center" vertical="center"/>
    </xf>
    <xf numFmtId="0" fontId="305" fillId="31" borderId="61" applyAlignment="1" pivotButton="0" quotePrefix="0" xfId="129">
      <alignment horizontal="center" vertical="center"/>
    </xf>
    <xf numFmtId="0" fontId="305" fillId="31" borderId="35" applyAlignment="1" pivotButton="0" quotePrefix="0" xfId="129">
      <alignment horizontal="center" vertical="center"/>
    </xf>
    <xf numFmtId="0" fontId="305" fillId="31" borderId="62" applyAlignment="1" pivotButton="0" quotePrefix="0" xfId="129">
      <alignment horizontal="center" vertical="center"/>
    </xf>
    <xf numFmtId="167" fontId="376" fillId="0" borderId="0" applyAlignment="1" pivotButton="0" quotePrefix="0" xfId="38">
      <alignment vertical="center"/>
    </xf>
    <xf numFmtId="0" fontId="44" fillId="0" borderId="61" pivotButton="0" quotePrefix="0" xfId="709"/>
    <xf numFmtId="0" fontId="19" fillId="0" borderId="61" pivotButton="0" quotePrefix="0" xfId="709"/>
    <xf numFmtId="165" fontId="238" fillId="0" borderId="61" pivotButton="0" quotePrefix="0" xfId="1"/>
    <xf numFmtId="165" fontId="238" fillId="19" borderId="61" pivotButton="0" quotePrefix="0" xfId="1"/>
    <xf numFmtId="0" fontId="44" fillId="26" borderId="0" pivotButton="0" quotePrefix="0" xfId="709"/>
    <xf numFmtId="0" fontId="261" fillId="0" borderId="61" applyAlignment="1" pivotButton="0" quotePrefix="0" xfId="0">
      <alignment horizontal="center" vertical="center" wrapText="1"/>
    </xf>
    <xf numFmtId="0" fontId="361" fillId="52" borderId="83" applyAlignment="1" pivotButton="0" quotePrefix="0" xfId="0">
      <alignment horizontal="center" vertical="center"/>
    </xf>
    <xf numFmtId="0" fontId="361" fillId="48" borderId="83" applyAlignment="1" pivotButton="0" quotePrefix="0" xfId="0">
      <alignment horizontal="center" vertical="center"/>
    </xf>
    <xf numFmtId="0" fontId="17" fillId="0" borderId="0" pivotButton="0" quotePrefix="0" xfId="709"/>
    <xf numFmtId="174" fontId="44" fillId="0" borderId="0" pivotButton="0" quotePrefix="0" xfId="709"/>
    <xf numFmtId="170" fontId="379" fillId="0" borderId="0" applyAlignment="1" pivotButton="0" quotePrefix="0" xfId="1">
      <alignment horizontal="right"/>
    </xf>
    <xf numFmtId="0" fontId="330" fillId="0" borderId="24" applyAlignment="1" pivotButton="0" quotePrefix="0" xfId="619">
      <alignment horizontal="center" vertical="top"/>
    </xf>
    <xf numFmtId="0" fontId="0" fillId="22" borderId="83" pivotButton="0" quotePrefix="0" xfId="0"/>
    <xf numFmtId="174" fontId="319" fillId="0" borderId="83" applyAlignment="1" pivotButton="0" quotePrefix="0" xfId="581">
      <alignment horizontal="center"/>
    </xf>
    <xf numFmtId="174" fontId="349" fillId="45" borderId="34" applyAlignment="1" pivotButton="0" quotePrefix="1" xfId="0">
      <alignment horizontal="center" vertical="center"/>
    </xf>
    <xf numFmtId="0" fontId="13" fillId="0" borderId="0" pivotButton="0" quotePrefix="0" xfId="709"/>
    <xf numFmtId="174" fontId="379" fillId="24" borderId="24" applyAlignment="1" pivotButton="0" quotePrefix="0" xfId="1">
      <alignment horizontal="center"/>
    </xf>
    <xf numFmtId="0" fontId="260" fillId="22" borderId="86" applyAlignment="1" pivotButton="0" quotePrefix="0" xfId="0">
      <alignment horizontal="center" vertical="center" wrapText="1"/>
    </xf>
    <xf numFmtId="3" fontId="254" fillId="9" borderId="16" applyAlignment="1" pivotButton="0" quotePrefix="0" xfId="0">
      <alignment vertical="center"/>
    </xf>
    <xf numFmtId="0" fontId="270" fillId="0" borderId="64" applyAlignment="1" pivotButton="0" quotePrefix="0" xfId="0">
      <alignment horizontal="center" vertical="center" wrapText="1"/>
    </xf>
    <xf numFmtId="0" fontId="310" fillId="51" borderId="36" pivotButton="0" quotePrefix="0" xfId="711"/>
    <xf numFmtId="0" fontId="282" fillId="0" borderId="87" applyAlignment="1" pivotButton="0" quotePrefix="0" xfId="623">
      <alignment horizontal="center" vertical="center"/>
    </xf>
    <xf numFmtId="0" fontId="261" fillId="33" borderId="87" applyAlignment="1" pivotButton="0" quotePrefix="0" xfId="0">
      <alignment horizontal="center" wrapText="1"/>
    </xf>
    <xf numFmtId="0" fontId="282" fillId="0" borderId="87" applyAlignment="1" pivotButton="0" quotePrefix="0" xfId="627">
      <alignment vertical="center"/>
    </xf>
    <xf numFmtId="0" fontId="305" fillId="31" borderId="87" applyAlignment="1" pivotButton="0" quotePrefix="0" xfId="129">
      <alignment horizontal="center" vertical="center"/>
    </xf>
    <xf numFmtId="0" fontId="0" fillId="0" borderId="87" pivotButton="0" quotePrefix="0" xfId="0"/>
    <xf numFmtId="0" fontId="305" fillId="22" borderId="87" applyAlignment="1" pivotButton="0" quotePrefix="0" xfId="129">
      <alignment horizontal="center" vertical="center"/>
    </xf>
    <xf numFmtId="14" fontId="281" fillId="22" borderId="87" applyAlignment="1" pivotButton="0" quotePrefix="0" xfId="623">
      <alignment vertical="center"/>
    </xf>
    <xf numFmtId="0" fontId="278" fillId="39" borderId="11" applyAlignment="1" pivotButton="0" quotePrefix="0" xfId="0">
      <alignment vertical="center"/>
    </xf>
    <xf numFmtId="0" fontId="371" fillId="59" borderId="0" pivotButton="0" quotePrefix="0" xfId="0"/>
    <xf numFmtId="0" fontId="371" fillId="59" borderId="0" applyAlignment="1" pivotButton="0" quotePrefix="0" xfId="0">
      <alignment shrinkToFit="1"/>
    </xf>
    <xf numFmtId="0" fontId="323" fillId="59" borderId="91" applyAlignment="1" pivotButton="0" quotePrefix="0" xfId="0">
      <alignment horizontal="center"/>
    </xf>
    <xf numFmtId="0" fontId="388" fillId="59" borderId="0" pivotButton="0" quotePrefix="0" xfId="0"/>
    <xf numFmtId="0" fontId="371" fillId="59" borderId="88" applyAlignment="1" pivotButton="0" quotePrefix="0" xfId="0">
      <alignment horizontal="left"/>
    </xf>
    <xf numFmtId="0" fontId="371" fillId="59" borderId="90" applyAlignment="1" pivotButton="0" quotePrefix="0" xfId="0">
      <alignment horizontal="left"/>
    </xf>
    <xf numFmtId="0" fontId="371" fillId="59" borderId="89" applyAlignment="1" pivotButton="0" quotePrefix="0" xfId="0">
      <alignment horizontal="left"/>
    </xf>
    <xf numFmtId="0" fontId="383" fillId="22" borderId="0" applyAlignment="1" pivotButton="0" quotePrefix="0" xfId="666">
      <alignment horizontal="center" vertical="center" wrapText="1"/>
    </xf>
    <xf numFmtId="0" fontId="383" fillId="22" borderId="0" applyAlignment="1" pivotButton="0" quotePrefix="0" xfId="666">
      <alignment horizontal="center" vertical="center"/>
    </xf>
    <xf numFmtId="0" fontId="384" fillId="22" borderId="0" applyAlignment="1" pivotButton="0" quotePrefix="0" xfId="666">
      <alignment horizontal="center" vertical="center" wrapText="1"/>
    </xf>
    <xf numFmtId="0" fontId="304" fillId="61" borderId="92" applyAlignment="1" pivotButton="0" quotePrefix="0" xfId="666">
      <alignment horizontal="center" vertical="center" wrapText="1"/>
    </xf>
    <xf numFmtId="0" fontId="389" fillId="22" borderId="94" applyAlignment="1" pivotButton="0" quotePrefix="0" xfId="667">
      <alignment vertical="center"/>
    </xf>
    <xf numFmtId="43" fontId="44" fillId="0" borderId="0" pivotButton="0" quotePrefix="0" xfId="709"/>
    <xf numFmtId="0" fontId="311" fillId="51" borderId="36" applyAlignment="1" pivotButton="0" quotePrefix="0" xfId="709">
      <alignment vertical="center"/>
    </xf>
    <xf numFmtId="0" fontId="282" fillId="51" borderId="53" applyAlignment="1" pivotButton="0" quotePrefix="0" xfId="711">
      <alignment horizontal="center" vertical="center"/>
    </xf>
    <xf numFmtId="0" fontId="304" fillId="60" borderId="92" applyAlignment="1" pivotButton="0" quotePrefix="0" xfId="666">
      <alignment horizontal="center" vertical="center" wrapText="1"/>
    </xf>
    <xf numFmtId="14" fontId="0" fillId="0" borderId="0" pivotButton="0" quotePrefix="0" xfId="0"/>
    <xf numFmtId="175" fontId="0" fillId="0" borderId="0" pivotButton="0" quotePrefix="0" xfId="0"/>
    <xf numFmtId="0" fontId="311" fillId="22" borderId="0" applyAlignment="1" pivotButton="0" quotePrefix="0" xfId="6008">
      <alignment horizontal="center" vertical="center" wrapText="1"/>
    </xf>
    <xf numFmtId="10" fontId="311" fillId="22" borderId="0" applyAlignment="1" pivotButton="0" quotePrefix="0" xfId="6008">
      <alignment horizontal="center" vertical="center"/>
    </xf>
    <xf numFmtId="0" fontId="311" fillId="22" borderId="0" applyAlignment="1" pivotButton="0" quotePrefix="0" xfId="6008">
      <alignment horizontal="center" vertical="center"/>
    </xf>
    <xf numFmtId="4" fontId="254" fillId="36" borderId="57" applyAlignment="1" pivotButton="0" quotePrefix="0" xfId="0">
      <alignment vertical="center"/>
    </xf>
    <xf numFmtId="0" fontId="376" fillId="0" borderId="0" applyAlignment="1" pivotButton="0" quotePrefix="0" xfId="36">
      <alignment vertical="center"/>
    </xf>
    <xf numFmtId="0" fontId="383" fillId="22" borderId="0" applyAlignment="1" pivotButton="0" quotePrefix="0" xfId="666">
      <alignment horizontal="center" vertical="center" shrinkToFit="1"/>
    </xf>
    <xf numFmtId="0" fontId="310" fillId="0" borderId="0" pivotButton="0" quotePrefix="0" xfId="6020"/>
    <xf numFmtId="0" fontId="4" fillId="0" borderId="0" pivotButton="0" quotePrefix="0" xfId="6020"/>
    <xf numFmtId="0" fontId="392" fillId="0" borderId="34" applyAlignment="1" pivotButton="0" quotePrefix="0" xfId="6020">
      <alignment horizontal="center" vertical="center" wrapText="1"/>
    </xf>
    <xf numFmtId="183" fontId="392" fillId="0" borderId="52" applyAlignment="1" pivotButton="0" quotePrefix="0" xfId="6021">
      <alignment horizontal="center" vertical="center"/>
    </xf>
    <xf numFmtId="0" fontId="319" fillId="0" borderId="98" applyAlignment="1" pivotButton="0" quotePrefix="0" xfId="6020">
      <alignment horizontal="center"/>
    </xf>
    <xf numFmtId="0" fontId="319" fillId="0" borderId="98" pivotButton="0" quotePrefix="0" xfId="6020"/>
    <xf numFmtId="167" fontId="319" fillId="0" borderId="98" pivotButton="0" quotePrefix="0" xfId="6021"/>
    <xf numFmtId="167" fontId="310" fillId="0" borderId="98" pivotButton="0" quotePrefix="0" xfId="6020"/>
    <xf numFmtId="167" fontId="310" fillId="0" borderId="98" pivotButton="0" quotePrefix="0" xfId="6021"/>
    <xf numFmtId="0" fontId="319" fillId="0" borderId="0" pivotButton="0" quotePrefix="0" xfId="6020"/>
    <xf numFmtId="0" fontId="310" fillId="0" borderId="0" applyAlignment="1" pivotButton="0" quotePrefix="0" xfId="6020">
      <alignment horizontal="center"/>
    </xf>
    <xf numFmtId="0" fontId="305" fillId="0" borderId="61" applyAlignment="1" pivotButton="0" quotePrefix="0" xfId="129">
      <alignment horizontal="center" vertical="center"/>
    </xf>
    <xf numFmtId="0" fontId="305" fillId="0" borderId="35" applyAlignment="1" pivotButton="0" quotePrefix="0" xfId="129">
      <alignment horizontal="center" vertical="center"/>
    </xf>
    <xf numFmtId="0" fontId="305" fillId="0" borderId="62" applyAlignment="1" pivotButton="0" quotePrefix="0" xfId="129">
      <alignment horizontal="center" vertical="center"/>
    </xf>
    <xf numFmtId="0" fontId="288" fillId="0" borderId="61" applyAlignment="1" pivotButton="0" quotePrefix="0" xfId="129">
      <alignment horizontal="center" vertical="center"/>
    </xf>
    <xf numFmtId="0" fontId="305" fillId="0" borderId="87" applyAlignment="1" pivotButton="0" quotePrefix="0" xfId="129">
      <alignment horizontal="center" vertical="center"/>
    </xf>
    <xf numFmtId="0" fontId="288" fillId="0" borderId="87" applyAlignment="1" pivotButton="0" quotePrefix="0" xfId="129">
      <alignment horizontal="center" vertical="center"/>
    </xf>
    <xf numFmtId="166" fontId="288" fillId="22" borderId="61" applyAlignment="1" pivotButton="0" quotePrefix="0" xfId="627">
      <alignment horizontal="right" vertical="center" wrapText="1"/>
    </xf>
    <xf numFmtId="0" fontId="361" fillId="48" borderId="98" applyAlignment="1" pivotButton="0" quotePrefix="0" xfId="0">
      <alignment horizontal="center" vertical="center"/>
    </xf>
    <xf numFmtId="0" fontId="361" fillId="52" borderId="98" applyAlignment="1" pivotButton="0" quotePrefix="0" xfId="0">
      <alignment horizontal="center" vertical="center"/>
    </xf>
    <xf numFmtId="0" fontId="361" fillId="53" borderId="98" applyAlignment="1" pivotButton="0" quotePrefix="0" xfId="0">
      <alignment horizontal="center" vertical="center"/>
    </xf>
    <xf numFmtId="0" fontId="361" fillId="22" borderId="98" applyAlignment="1" pivotButton="0" quotePrefix="0" xfId="0">
      <alignment horizontal="center" vertical="center"/>
    </xf>
    <xf numFmtId="165" fontId="323" fillId="51" borderId="53" applyAlignment="1" pivotButton="0" quotePrefix="0" xfId="1">
      <alignment horizontal="right" vertical="center"/>
    </xf>
    <xf numFmtId="14" fontId="361" fillId="48" borderId="98" applyAlignment="1" pivotButton="0" quotePrefix="0" xfId="0">
      <alignment horizontal="center" vertical="center"/>
    </xf>
    <xf numFmtId="165" fontId="282" fillId="0" borderId="98" pivotButton="0" quotePrefix="0" xfId="1"/>
    <xf numFmtId="0" fontId="319" fillId="0" borderId="98" applyAlignment="1" pivotButton="0" quotePrefix="0" xfId="6020">
      <alignment shrinkToFit="1"/>
    </xf>
    <xf numFmtId="167" fontId="4" fillId="0" borderId="0" pivotButton="0" quotePrefix="0" xfId="6020"/>
    <xf numFmtId="0" fontId="4" fillId="0" borderId="0" applyAlignment="1" pivotButton="0" quotePrefix="0" xfId="6020">
      <alignment horizontal="center"/>
    </xf>
    <xf numFmtId="0" fontId="330" fillId="21" borderId="24" applyAlignment="1" pivotButton="0" quotePrefix="0" xfId="619">
      <alignment horizontal="center" vertical="top"/>
    </xf>
    <xf numFmtId="166" fontId="288" fillId="22" borderId="61" applyAlignment="1" pivotButton="0" quotePrefix="0" xfId="627">
      <alignment horizontal="left" vertical="center" shrinkToFit="1"/>
    </xf>
    <xf numFmtId="0" fontId="381" fillId="22" borderId="0" pivotButton="0" quotePrefix="0" xfId="6031"/>
    <xf numFmtId="0" fontId="306" fillId="22" borderId="0" pivotButton="0" quotePrefix="0" xfId="6031"/>
    <xf numFmtId="167" fontId="306" fillId="22" borderId="0" pivotButton="0" quotePrefix="0" xfId="6032"/>
    <xf numFmtId="0" fontId="306" fillId="0" borderId="0" pivotButton="0" quotePrefix="0" xfId="6031"/>
    <xf numFmtId="0" fontId="311" fillId="22" borderId="0" pivotButton="0" quotePrefix="0" xfId="6031"/>
    <xf numFmtId="176" fontId="311" fillId="22" borderId="0" applyAlignment="1" pivotButton="0" quotePrefix="0" xfId="6031">
      <alignment horizontal="center"/>
    </xf>
    <xf numFmtId="0" fontId="382" fillId="22" borderId="0" applyAlignment="1" pivotButton="0" quotePrefix="0" xfId="6031">
      <alignment horizontal="center"/>
    </xf>
    <xf numFmtId="0" fontId="305" fillId="22" borderId="0" pivotButton="0" quotePrefix="0" xfId="6031"/>
    <xf numFmtId="0" fontId="382" fillId="22" borderId="0" pivotButton="0" quotePrefix="0" xfId="6031"/>
    <xf numFmtId="184" fontId="304" fillId="61" borderId="92" applyAlignment="1" pivotButton="0" quotePrefix="0" xfId="6033">
      <alignment horizontal="center" vertical="center" wrapText="1"/>
    </xf>
    <xf numFmtId="0" fontId="323" fillId="22" borderId="0" applyAlignment="1" pivotButton="0" quotePrefix="0" xfId="6031">
      <alignment wrapText="1"/>
    </xf>
    <xf numFmtId="0" fontId="323" fillId="22" borderId="102" applyAlignment="1" pivotButton="0" quotePrefix="0" xfId="6031">
      <alignment wrapText="1"/>
    </xf>
    <xf numFmtId="0" fontId="312" fillId="22" borderId="94" applyAlignment="1" pivotButton="0" quotePrefix="0" xfId="6031">
      <alignment horizontal="left" vertical="center"/>
    </xf>
    <xf numFmtId="0" fontId="312" fillId="22" borderId="94" applyAlignment="1" pivotButton="0" quotePrefix="0" xfId="6031">
      <alignment horizontal="center" vertical="center"/>
    </xf>
    <xf numFmtId="0" fontId="312" fillId="22" borderId="94" applyAlignment="1" pivotButton="0" quotePrefix="0" xfId="6031">
      <alignment vertical="center"/>
    </xf>
    <xf numFmtId="0" fontId="288" fillId="22" borderId="94" applyAlignment="1" pivotButton="0" quotePrefix="0" xfId="6031">
      <alignment vertical="center"/>
    </xf>
    <xf numFmtId="167" fontId="288" fillId="22" borderId="94" applyAlignment="1" pivotButton="0" quotePrefix="0" xfId="6032">
      <alignment vertical="center"/>
    </xf>
    <xf numFmtId="175" fontId="290" fillId="0" borderId="94" applyAlignment="1" pivotButton="0" quotePrefix="0" xfId="6032">
      <alignment vertical="center"/>
    </xf>
    <xf numFmtId="167" fontId="288" fillId="0" borderId="94" applyAlignment="1" pivotButton="0" quotePrefix="0" xfId="6032">
      <alignment horizontal="center" vertical="center"/>
    </xf>
    <xf numFmtId="167" fontId="288" fillId="56" borderId="94" applyAlignment="1" pivotButton="0" quotePrefix="0" xfId="6032">
      <alignment vertical="center"/>
    </xf>
    <xf numFmtId="167" fontId="386" fillId="0" borderId="94" applyAlignment="1" pivotButton="0" quotePrefix="0" xfId="6032">
      <alignment vertical="center"/>
    </xf>
    <xf numFmtId="167" fontId="312" fillId="22" borderId="94" applyAlignment="1" pivotButton="0" quotePrefix="0" xfId="6031">
      <alignment vertical="center"/>
    </xf>
    <xf numFmtId="167" fontId="288" fillId="0" borderId="94" applyAlignment="1" pivotButton="0" quotePrefix="0" xfId="6032">
      <alignment vertical="center"/>
    </xf>
    <xf numFmtId="167" fontId="288" fillId="0" borderId="94" applyAlignment="1" pivotButton="0" quotePrefix="0" xfId="6031">
      <alignment vertical="center"/>
    </xf>
    <xf numFmtId="167" fontId="288" fillId="56" borderId="94" applyAlignment="1" pivotButton="0" quotePrefix="0" xfId="6031">
      <alignment vertical="center"/>
    </xf>
    <xf numFmtId="167" fontId="288" fillId="22" borderId="94" applyAlignment="1" pivotButton="0" quotePrefix="0" xfId="6031">
      <alignment vertical="center"/>
    </xf>
    <xf numFmtId="9" fontId="288" fillId="22" borderId="94" applyAlignment="1" pivotButton="0" quotePrefix="0" xfId="6032">
      <alignment vertical="center"/>
    </xf>
    <xf numFmtId="167" fontId="378" fillId="22" borderId="94" applyAlignment="1" pivotButton="0" quotePrefix="0" xfId="6032">
      <alignment vertical="center"/>
    </xf>
    <xf numFmtId="167" fontId="378" fillId="22" borderId="94" applyAlignment="1" pivotButton="0" quotePrefix="0" xfId="6031">
      <alignment vertical="center"/>
    </xf>
    <xf numFmtId="167" fontId="306" fillId="22" borderId="94" applyAlignment="1" pivotButton="0" quotePrefix="0" xfId="6031">
      <alignment vertical="center"/>
    </xf>
    <xf numFmtId="0" fontId="306" fillId="22" borderId="0" applyAlignment="1" pivotButton="0" quotePrefix="0" xfId="6031">
      <alignment vertical="center"/>
    </xf>
    <xf numFmtId="167" fontId="370" fillId="22" borderId="94" applyAlignment="1" pivotButton="0" quotePrefix="0" xfId="6032">
      <alignment vertical="center"/>
    </xf>
    <xf numFmtId="0" fontId="306" fillId="0" borderId="0" applyAlignment="1" pivotButton="0" quotePrefix="0" xfId="6031">
      <alignment vertical="center"/>
    </xf>
    <xf numFmtId="0" fontId="377" fillId="22" borderId="0" applyAlignment="1" pivotButton="0" quotePrefix="0" xfId="6031">
      <alignment horizontal="center" vertical="center"/>
    </xf>
    <xf numFmtId="167" fontId="377" fillId="22" borderId="0" applyAlignment="1" pivotButton="0" quotePrefix="0" xfId="6032">
      <alignment horizontal="center" vertical="center"/>
    </xf>
    <xf numFmtId="167" fontId="297" fillId="22" borderId="0" applyAlignment="1" pivotButton="0" quotePrefix="0" xfId="6032">
      <alignment horizontal="center" vertical="center" wrapText="1"/>
    </xf>
    <xf numFmtId="43" fontId="377" fillId="22" borderId="0" applyAlignment="1" pivotButton="0" quotePrefix="0" xfId="6032">
      <alignment horizontal="center" vertical="center" wrapText="1"/>
    </xf>
    <xf numFmtId="167" fontId="390" fillId="22" borderId="0" applyAlignment="1" pivotButton="0" quotePrefix="0" xfId="6032">
      <alignment horizontal="center" vertical="center" wrapText="1"/>
    </xf>
    <xf numFmtId="167" fontId="391" fillId="22" borderId="0" applyAlignment="1" pivotButton="0" quotePrefix="0" xfId="6032">
      <alignment horizontal="center" vertical="center" wrapText="1"/>
    </xf>
    <xf numFmtId="167" fontId="377" fillId="22" borderId="0" applyAlignment="1" pivotButton="0" quotePrefix="0" xfId="6032">
      <alignment horizontal="center" vertical="center" wrapText="1"/>
    </xf>
    <xf numFmtId="167" fontId="337" fillId="22" borderId="0" applyAlignment="1" pivotButton="0" quotePrefix="0" xfId="6032">
      <alignment horizontal="center" vertical="center" wrapText="1"/>
    </xf>
    <xf numFmtId="167" fontId="306" fillId="0" borderId="0" pivotButton="0" quotePrefix="0" xfId="6032"/>
    <xf numFmtId="0" fontId="370" fillId="22" borderId="94" applyAlignment="1" pivotButton="0" quotePrefix="0" xfId="6031">
      <alignment vertical="center"/>
    </xf>
    <xf numFmtId="0" fontId="311" fillId="22" borderId="0" applyAlignment="1" pivotButton="0" quotePrefix="0" xfId="6031">
      <alignment vertical="center"/>
    </xf>
    <xf numFmtId="0" fontId="370" fillId="57" borderId="94" applyAlignment="1" pivotButton="0" quotePrefix="0" xfId="6031">
      <alignment vertical="center"/>
    </xf>
    <xf numFmtId="0" fontId="304" fillId="57" borderId="94" applyAlignment="1" pivotButton="0" quotePrefix="0" xfId="6031">
      <alignment vertical="center"/>
    </xf>
    <xf numFmtId="167" fontId="304" fillId="57" borderId="94" applyAlignment="1" pivotButton="0" quotePrefix="0" xfId="6032">
      <alignment vertical="center"/>
    </xf>
    <xf numFmtId="175" fontId="324" fillId="58" borderId="94" applyAlignment="1" pivotButton="0" quotePrefix="0" xfId="6032">
      <alignment vertical="center"/>
    </xf>
    <xf numFmtId="167" fontId="304" fillId="58" borderId="94" applyAlignment="1" pivotButton="0" quotePrefix="0" xfId="6032">
      <alignment horizontal="center" vertical="center"/>
    </xf>
    <xf numFmtId="167" fontId="372" fillId="58" borderId="94" applyAlignment="1" pivotButton="0" quotePrefix="0" xfId="6032">
      <alignment vertical="center"/>
    </xf>
    <xf numFmtId="167" fontId="370" fillId="57" borderId="94" applyAlignment="1" pivotButton="0" quotePrefix="0" xfId="6031">
      <alignment vertical="center"/>
    </xf>
    <xf numFmtId="167" fontId="304" fillId="58" borderId="94" applyAlignment="1" pivotButton="0" quotePrefix="0" xfId="6032">
      <alignment vertical="center"/>
    </xf>
    <xf numFmtId="167" fontId="304" fillId="58" borderId="94" applyAlignment="1" pivotButton="0" quotePrefix="0" xfId="6031">
      <alignment vertical="center"/>
    </xf>
    <xf numFmtId="167" fontId="304" fillId="57" borderId="94" applyAlignment="1" pivotButton="0" quotePrefix="0" xfId="6031">
      <alignment vertical="center"/>
    </xf>
    <xf numFmtId="9" fontId="304" fillId="57" borderId="94" applyAlignment="1" pivotButton="0" quotePrefix="0" xfId="6032">
      <alignment vertical="center"/>
    </xf>
    <xf numFmtId="167" fontId="385" fillId="57" borderId="94" applyAlignment="1" pivotButton="0" quotePrefix="0" xfId="6032">
      <alignment vertical="center"/>
    </xf>
    <xf numFmtId="167" fontId="385" fillId="57" borderId="94" applyAlignment="1" pivotButton="0" quotePrefix="0" xfId="6031">
      <alignment vertical="center"/>
    </xf>
    <xf numFmtId="167" fontId="311" fillId="57" borderId="94" applyAlignment="1" pivotButton="0" quotePrefix="0" xfId="6031">
      <alignment vertical="center"/>
    </xf>
    <xf numFmtId="0" fontId="306" fillId="22" borderId="0" applyAlignment="1" pivotButton="0" quotePrefix="0" xfId="6031">
      <alignment shrinkToFit="1"/>
    </xf>
    <xf numFmtId="0" fontId="304" fillId="60" borderId="92" applyAlignment="1" pivotButton="0" quotePrefix="0" xfId="666">
      <alignment horizontal="center" vertical="center" shrinkToFit="1"/>
    </xf>
    <xf numFmtId="0" fontId="377" fillId="22" borderId="0" applyAlignment="1" pivotButton="0" quotePrefix="0" xfId="6031">
      <alignment horizontal="center" vertical="center" shrinkToFit="1"/>
    </xf>
    <xf numFmtId="0" fontId="306" fillId="0" borderId="0" applyAlignment="1" pivotButton="0" quotePrefix="0" xfId="6031">
      <alignment shrinkToFit="1"/>
    </xf>
    <xf numFmtId="167" fontId="370" fillId="22" borderId="94" applyAlignment="1" pivotButton="0" quotePrefix="0" xfId="6032">
      <alignment vertical="center" shrinkToFit="1"/>
    </xf>
    <xf numFmtId="167" fontId="370" fillId="0" borderId="94" applyAlignment="1" pivotButton="0" quotePrefix="0" xfId="6032">
      <alignment vertical="center" shrinkToFit="1"/>
    </xf>
    <xf numFmtId="167" fontId="310" fillId="22" borderId="94" applyAlignment="1" pivotButton="0" quotePrefix="0" xfId="6032">
      <alignment vertical="center" shrinkToFit="1"/>
    </xf>
    <xf numFmtId="176" fontId="311" fillId="22" borderId="0" applyAlignment="1" pivotButton="0" quotePrefix="0" xfId="6031">
      <alignment shrinkToFit="1"/>
    </xf>
    <xf numFmtId="0" fontId="312" fillId="22" borderId="94" applyAlignment="1" pivotButton="0" quotePrefix="0" xfId="6031">
      <alignment horizontal="left" vertical="center" shrinkToFit="1"/>
    </xf>
    <xf numFmtId="0" fontId="283" fillId="61" borderId="92" applyAlignment="1" pivotButton="0" quotePrefix="0" xfId="666">
      <alignment horizontal="center" vertical="center" wrapText="1"/>
    </xf>
    <xf numFmtId="0" fontId="280" fillId="0" borderId="0" pivotButton="0" quotePrefix="0" xfId="6020"/>
    <xf numFmtId="14" fontId="296" fillId="22" borderId="0" applyAlignment="1" pivotButton="0" quotePrefix="0" xfId="36">
      <alignment vertical="center"/>
    </xf>
    <xf numFmtId="14" fontId="282" fillId="22" borderId="0" applyAlignment="1" pivotButton="0" quotePrefix="0" xfId="36">
      <alignment vertical="center"/>
    </xf>
    <xf numFmtId="14" fontId="296" fillId="22" borderId="0" applyAlignment="1" pivotButton="0" quotePrefix="0" xfId="36">
      <alignment horizontal="left" vertical="center"/>
    </xf>
    <xf numFmtId="14" fontId="358" fillId="0" borderId="0" applyAlignment="1" pivotButton="0" quotePrefix="0" xfId="36">
      <alignment horizontal="left" vertical="center"/>
    </xf>
    <xf numFmtId="14" fontId="302" fillId="25" borderId="0" applyAlignment="1" pivotButton="0" quotePrefix="0" xfId="36">
      <alignment horizontal="center" vertical="center"/>
    </xf>
    <xf numFmtId="14" fontId="254" fillId="33" borderId="53" applyAlignment="1" pivotButton="0" quotePrefix="0" xfId="0">
      <alignment horizontal="center"/>
    </xf>
    <xf numFmtId="14" fontId="0" fillId="0" borderId="35" pivotButton="0" quotePrefix="0" xfId="0"/>
    <xf numFmtId="14" fontId="371" fillId="59" borderId="0" pivotButton="0" quotePrefix="0" xfId="0"/>
    <xf numFmtId="14" fontId="371" fillId="59" borderId="90" applyAlignment="1" pivotButton="0" quotePrefix="0" xfId="0">
      <alignment horizontal="left"/>
    </xf>
    <xf numFmtId="14" fontId="354" fillId="0" borderId="0" applyAlignment="1" pivotButton="0" quotePrefix="0" xfId="0">
      <alignment horizontal="left" wrapText="1"/>
    </xf>
    <xf numFmtId="167" fontId="377" fillId="22" borderId="95" applyAlignment="1" pivotButton="0" quotePrefix="0" xfId="6032">
      <alignment horizontal="center" vertical="center" wrapText="1"/>
    </xf>
    <xf numFmtId="0" fontId="319" fillId="22" borderId="53" applyAlignment="1" pivotButton="0" quotePrefix="0" xfId="711">
      <alignment horizontal="center" vertical="center"/>
    </xf>
    <xf numFmtId="165" fontId="282" fillId="0" borderId="18" applyAlignment="1" pivotButton="0" quotePrefix="0" xfId="712">
      <alignment horizontal="center" vertical="center"/>
    </xf>
    <xf numFmtId="165" fontId="282" fillId="22" borderId="53" applyAlignment="1" pivotButton="0" quotePrefix="0" xfId="712">
      <alignment horizontal="center" vertical="center"/>
    </xf>
    <xf numFmtId="0" fontId="311" fillId="0" borderId="0" pivotButton="0" quotePrefix="0" xfId="6031"/>
    <xf numFmtId="0" fontId="323" fillId="0" borderId="0" applyAlignment="1" pivotButton="0" quotePrefix="0" xfId="6031">
      <alignment wrapText="1"/>
    </xf>
    <xf numFmtId="0" fontId="377" fillId="0" borderId="0" applyAlignment="1" pivotButton="0" quotePrefix="0" xfId="6031">
      <alignment horizontal="center" vertical="center"/>
    </xf>
    <xf numFmtId="0" fontId="304" fillId="24" borderId="108" applyAlignment="1" pivotButton="0" quotePrefix="0" xfId="666">
      <alignment horizontal="center" vertical="center" wrapText="1"/>
    </xf>
    <xf numFmtId="0" fontId="304" fillId="24" borderId="93" applyAlignment="1" pivotButton="0" quotePrefix="0" xfId="666">
      <alignment horizontal="center" vertical="center" wrapText="1"/>
    </xf>
    <xf numFmtId="0" fontId="306" fillId="0" borderId="53" applyAlignment="1" pivotButton="0" quotePrefix="0" xfId="709">
      <alignment vertical="center"/>
    </xf>
    <xf numFmtId="165" fontId="282" fillId="0" borderId="53" applyAlignment="1" pivotButton="0" quotePrefix="0" xfId="712">
      <alignment vertical="center"/>
    </xf>
    <xf numFmtId="0" fontId="306" fillId="0" borderId="53" pivotButton="0" quotePrefix="0" xfId="709"/>
    <xf numFmtId="165" fontId="282" fillId="0" borderId="53" applyAlignment="1" pivotButton="0" quotePrefix="0" xfId="712">
      <alignment horizontal="center"/>
    </xf>
    <xf numFmtId="0" fontId="306" fillId="51" borderId="36" pivotButton="0" quotePrefix="0" xfId="709"/>
    <xf numFmtId="0" fontId="306" fillId="51" borderId="37" pivotButton="0" quotePrefix="0" xfId="709"/>
    <xf numFmtId="165" fontId="295" fillId="51" borderId="53" applyAlignment="1" pivotButton="0" quotePrefix="0" xfId="712">
      <alignment horizontal="center" vertical="center"/>
    </xf>
    <xf numFmtId="0" fontId="304" fillId="23" borderId="92" applyAlignment="1" pivotButton="0" quotePrefix="0" xfId="666">
      <alignment horizontal="center" vertical="center" wrapText="1"/>
    </xf>
    <xf numFmtId="0" fontId="304" fillId="29" borderId="92" applyAlignment="1" pivotButton="0" quotePrefix="0" xfId="666">
      <alignment horizontal="center" vertical="center" wrapText="1"/>
    </xf>
    <xf numFmtId="0" fontId="361" fillId="62" borderId="98" applyAlignment="1" pivotButton="0" quotePrefix="0" xfId="0">
      <alignment horizontal="center" vertical="center"/>
    </xf>
    <xf numFmtId="0" fontId="361" fillId="19" borderId="98" applyAlignment="1" pivotButton="0" quotePrefix="0" xfId="0">
      <alignment horizontal="center" vertical="center"/>
    </xf>
    <xf numFmtId="0" fontId="361" fillId="63" borderId="98" applyAlignment="1" pivotButton="0" quotePrefix="0" xfId="0">
      <alignment horizontal="center" vertical="center"/>
    </xf>
    <xf numFmtId="0" fontId="305" fillId="19" borderId="62" applyAlignment="1" pivotButton="0" quotePrefix="0" xfId="129">
      <alignment horizontal="center" vertical="center"/>
    </xf>
    <xf numFmtId="0" fontId="305" fillId="19" borderId="35" applyAlignment="1" pivotButton="0" quotePrefix="0" xfId="129">
      <alignment horizontal="center" vertical="center"/>
    </xf>
    <xf numFmtId="0" fontId="361" fillId="19" borderId="68" applyAlignment="1" pivotButton="0" quotePrefix="0" xfId="0">
      <alignment horizontal="center" vertical="center"/>
    </xf>
    <xf numFmtId="0" fontId="253" fillId="9" borderId="17" applyAlignment="1" pivotButton="0" quotePrefix="0" xfId="0">
      <alignment vertical="center" wrapText="1"/>
    </xf>
    <xf numFmtId="0" fontId="253" fillId="12" borderId="101" applyAlignment="1" pivotButton="0" quotePrefix="0" xfId="0">
      <alignment vertical="center" wrapText="1"/>
    </xf>
    <xf numFmtId="14" fontId="260" fillId="0" borderId="0" applyAlignment="1" pivotButton="0" quotePrefix="0" xfId="0">
      <alignment vertical="center"/>
    </xf>
    <xf numFmtId="4" fontId="254" fillId="36" borderId="16" applyAlignment="1" pivotButton="0" quotePrefix="0" xfId="0">
      <alignment vertical="center"/>
    </xf>
    <xf numFmtId="14" fontId="260" fillId="0" borderId="98" applyAlignment="1" pivotButton="0" quotePrefix="0" xfId="0">
      <alignment vertical="center"/>
    </xf>
    <xf numFmtId="4" fontId="254" fillId="36" borderId="98" applyAlignment="1" pivotButton="0" quotePrefix="0" xfId="0">
      <alignment vertical="center"/>
    </xf>
    <xf numFmtId="164" fontId="261" fillId="9" borderId="16" applyAlignment="1" pivotButton="0" quotePrefix="0" xfId="1">
      <alignment vertical="center"/>
    </xf>
    <xf numFmtId="3" fontId="254" fillId="9" borderId="98" applyAlignment="1" pivotButton="0" quotePrefix="0" xfId="0">
      <alignment vertical="center"/>
    </xf>
    <xf numFmtId="14" fontId="260" fillId="35" borderId="98" applyAlignment="1" pivotButton="0" quotePrefix="0" xfId="0">
      <alignment vertical="center"/>
    </xf>
    <xf numFmtId="165" fontId="272" fillId="35" borderId="1" applyAlignment="1" pivotButton="0" quotePrefix="0" xfId="1">
      <alignment vertical="center"/>
    </xf>
    <xf numFmtId="165" fontId="273" fillId="35" borderId="5" applyAlignment="1" pivotButton="0" quotePrefix="0" xfId="1">
      <alignment vertical="center"/>
    </xf>
    <xf numFmtId="167" fontId="306" fillId="0" borderId="98" pivotButton="0" quotePrefix="0" xfId="1"/>
    <xf numFmtId="9" fontId="277" fillId="11" borderId="9" applyAlignment="1" pivotButton="0" quotePrefix="0" xfId="0">
      <alignment vertical="center" wrapText="1"/>
    </xf>
    <xf numFmtId="0" fontId="270" fillId="0" borderId="98" applyAlignment="1" pivotButton="0" quotePrefix="0" xfId="0">
      <alignment horizontal="center" vertical="center" wrapText="1"/>
    </xf>
    <xf numFmtId="0" fontId="365" fillId="0" borderId="98" applyAlignment="1" pivotButton="0" quotePrefix="0" xfId="0">
      <alignment horizontal="center" vertical="center" wrapText="1"/>
    </xf>
    <xf numFmtId="14" fontId="319" fillId="0" borderId="98" pivotButton="0" quotePrefix="0" xfId="6020"/>
    <xf numFmtId="174" fontId="379" fillId="64" borderId="98" applyAlignment="1" pivotButton="0" quotePrefix="0" xfId="1">
      <alignment horizontal="center"/>
    </xf>
    <xf numFmtId="0" fontId="268" fillId="9" borderId="109" applyAlignment="1" pivotButton="0" quotePrefix="0" xfId="0">
      <alignment vertical="center" wrapText="1"/>
    </xf>
    <xf numFmtId="0" fontId="253" fillId="9" borderId="109" applyAlignment="1" pivotButton="0" quotePrefix="0" xfId="0">
      <alignment horizontal="center" vertical="center" wrapText="1"/>
    </xf>
    <xf numFmtId="0" fontId="253" fillId="12" borderId="109" applyAlignment="1" pivotButton="0" quotePrefix="0" xfId="0">
      <alignment vertical="center" wrapText="1"/>
    </xf>
    <xf numFmtId="3" fontId="253" fillId="12" borderId="109" applyAlignment="1" pivotButton="0" quotePrefix="0" xfId="0">
      <alignment vertical="center" wrapText="1"/>
    </xf>
    <xf numFmtId="0" fontId="253" fillId="10" borderId="109" applyAlignment="1" pivotButton="0" quotePrefix="0" xfId="0">
      <alignment horizontal="center" vertical="center" wrapText="1"/>
    </xf>
    <xf numFmtId="9" fontId="253" fillId="11" borderId="109" applyAlignment="1" pivotButton="0" quotePrefix="0" xfId="0">
      <alignment horizontal="center" vertical="center" wrapText="1"/>
    </xf>
    <xf numFmtId="0" fontId="267" fillId="39" borderId="110" applyAlignment="1" pivotButton="0" quotePrefix="0" xfId="0">
      <alignment vertical="center"/>
    </xf>
    <xf numFmtId="3" fontId="267" fillId="39" borderId="18" applyAlignment="1" pivotButton="0" quotePrefix="0" xfId="0">
      <alignment vertical="center"/>
    </xf>
    <xf numFmtId="3" fontId="267" fillId="39" borderId="11" applyAlignment="1" pivotButton="0" quotePrefix="0" xfId="0">
      <alignment vertical="center"/>
    </xf>
    <xf numFmtId="4" fontId="267" fillId="39" borderId="11" applyAlignment="1" pivotButton="0" quotePrefix="0" xfId="0">
      <alignment vertical="center"/>
    </xf>
    <xf numFmtId="0" fontId="269" fillId="0" borderId="98" applyAlignment="1" pivotButton="0" quotePrefix="0" xfId="0">
      <alignment horizontal="center" vertical="center" wrapText="1"/>
    </xf>
    <xf numFmtId="3" fontId="270" fillId="0" borderId="98" applyAlignment="1" pivotButton="0" quotePrefix="0" xfId="0">
      <alignment horizontal="center" vertical="center" wrapText="1"/>
    </xf>
    <xf numFmtId="0" fontId="334" fillId="0" borderId="98" applyAlignment="1" pivotButton="0" quotePrefix="0" xfId="0">
      <alignment horizontal="center" vertical="center" wrapText="1"/>
    </xf>
    <xf numFmtId="0" fontId="260" fillId="9" borderId="98" applyAlignment="1" pivotButton="0" quotePrefix="0" xfId="0">
      <alignment vertical="center"/>
    </xf>
    <xf numFmtId="14" fontId="288" fillId="0" borderId="98" applyAlignment="1" pivotButton="0" quotePrefix="0" xfId="0">
      <alignment vertical="center"/>
    </xf>
    <xf numFmtId="3" fontId="254" fillId="0" borderId="98" applyAlignment="1" pivotButton="0" quotePrefix="0" xfId="0">
      <alignment vertical="center"/>
    </xf>
    <xf numFmtId="170" fontId="261" fillId="11" borderId="98" applyAlignment="1" pivotButton="0" quotePrefix="0" xfId="1">
      <alignment vertical="center"/>
    </xf>
    <xf numFmtId="167" fontId="271" fillId="0" borderId="98" applyAlignment="1" pivotButton="0" quotePrefix="0" xfId="0">
      <alignment horizontal="center" vertical="center"/>
    </xf>
    <xf numFmtId="165" fontId="238" fillId="50" borderId="98" applyAlignment="1" pivotButton="0" quotePrefix="0" xfId="1">
      <alignment horizontal="center" vertical="center" wrapText="1"/>
    </xf>
    <xf numFmtId="0" fontId="312" fillId="47" borderId="94" applyAlignment="1" pivotButton="0" quotePrefix="0" xfId="6031">
      <alignment horizontal="left" vertical="center" shrinkToFit="1"/>
    </xf>
    <xf numFmtId="14" fontId="312" fillId="22" borderId="94" applyAlignment="1" pivotButton="0" quotePrefix="0" xfId="6031">
      <alignment horizontal="center" vertical="center"/>
    </xf>
    <xf numFmtId="0" fontId="312" fillId="20" borderId="94" applyAlignment="1" pivotButton="0" quotePrefix="0" xfId="6031">
      <alignment horizontal="left" vertical="center" shrinkToFit="1"/>
    </xf>
    <xf numFmtId="1" fontId="306" fillId="22" borderId="94" applyAlignment="1" pivotButton="0" quotePrefix="0" xfId="6031">
      <alignment vertical="center"/>
    </xf>
    <xf numFmtId="167" fontId="288" fillId="22" borderId="94" applyAlignment="1" pivotButton="0" quotePrefix="1" xfId="6032">
      <alignment vertical="center"/>
    </xf>
    <xf numFmtId="10" fontId="311" fillId="24" borderId="98" applyAlignment="1" pivotButton="0" quotePrefix="0" xfId="6008">
      <alignment horizontal="center" vertical="center"/>
    </xf>
    <xf numFmtId="167" fontId="310" fillId="24" borderId="98" pivotButton="0" quotePrefix="0" xfId="6021"/>
    <xf numFmtId="165" fontId="288" fillId="0" borderId="80" applyAlignment="1" pivotButton="0" quotePrefix="0" xfId="1">
      <alignment vertical="center"/>
    </xf>
    <xf numFmtId="0" fontId="353" fillId="0" borderId="0" applyAlignment="1" pivotButton="0" quotePrefix="0" xfId="6009">
      <alignment horizontal="center" vertical="center"/>
    </xf>
    <xf numFmtId="0" fontId="322" fillId="0" borderId="0" pivotButton="0" quotePrefix="0" xfId="6009"/>
    <xf numFmtId="0" fontId="353" fillId="0" borderId="0" pivotButton="0" quotePrefix="0" xfId="6009"/>
    <xf numFmtId="0" fontId="353" fillId="0" borderId="0" applyAlignment="1" pivotButton="0" quotePrefix="0" xfId="6009">
      <alignment shrinkToFit="1"/>
    </xf>
    <xf numFmtId="0" fontId="322" fillId="0" borderId="0" applyAlignment="1" pivotButton="0" quotePrefix="0" xfId="6009">
      <alignment shrinkToFit="1"/>
    </xf>
    <xf numFmtId="0" fontId="322" fillId="0" borderId="0" applyAlignment="1" pivotButton="0" quotePrefix="0" xfId="6009">
      <alignment horizontal="center"/>
    </xf>
    <xf numFmtId="167" fontId="353" fillId="0" borderId="0" pivotButton="0" quotePrefix="0" xfId="6010"/>
    <xf numFmtId="167" fontId="322" fillId="0" borderId="0" pivotButton="0" quotePrefix="0" xfId="6010"/>
    <xf numFmtId="0" fontId="322" fillId="22" borderId="0" pivotButton="0" quotePrefix="0" xfId="6009"/>
    <xf numFmtId="0" fontId="353" fillId="0" borderId="0" pivotButton="0" quotePrefix="0" xfId="6017"/>
    <xf numFmtId="165" fontId="393" fillId="0" borderId="0" pivotButton="0" quotePrefix="0" xfId="1"/>
    <xf numFmtId="0" fontId="394" fillId="9" borderId="0" applyAlignment="1" pivotButton="0" quotePrefix="0" xfId="0">
      <alignment vertical="center"/>
    </xf>
    <xf numFmtId="167" fontId="375" fillId="0" borderId="0" applyAlignment="1" pivotButton="0" quotePrefix="0" xfId="1440">
      <alignment horizontal="left"/>
    </xf>
    <xf numFmtId="0" fontId="51" fillId="0" borderId="0" pivotButton="0" quotePrefix="0" xfId="669"/>
    <xf numFmtId="0" fontId="282" fillId="0" borderId="0" applyAlignment="1" pivotButton="0" quotePrefix="0" xfId="0">
      <alignment horizontal="center" vertical="center"/>
    </xf>
    <xf numFmtId="0" fontId="51" fillId="22" borderId="0" pivotButton="0" quotePrefix="0" xfId="669"/>
    <xf numFmtId="0" fontId="387" fillId="0" borderId="0" pivotButton="0" quotePrefix="0" xfId="669"/>
    <xf numFmtId="0" fontId="282" fillId="0" borderId="98" applyAlignment="1" pivotButton="0" quotePrefix="0" xfId="0">
      <alignment horizontal="center" vertical="center"/>
    </xf>
    <xf numFmtId="0" fontId="364" fillId="34" borderId="98" applyAlignment="1" pivotButton="0" quotePrefix="0" xfId="697">
      <alignment horizontal="left" vertical="center"/>
    </xf>
    <xf numFmtId="185" fontId="282" fillId="22" borderId="98" applyAlignment="1" pivotButton="0" quotePrefix="0" xfId="672">
      <alignment horizontal="left" vertical="center" wrapText="1"/>
    </xf>
    <xf numFmtId="167" fontId="282" fillId="22" borderId="98" applyAlignment="1" pivotButton="0" quotePrefix="0" xfId="3">
      <alignment horizontal="left" vertical="center" wrapText="1"/>
    </xf>
    <xf numFmtId="167" fontId="306" fillId="0" borderId="98" pivotButton="0" quotePrefix="0" xfId="669"/>
    <xf numFmtId="0" fontId="364" fillId="46" borderId="98" applyAlignment="1" pivotButton="0" quotePrefix="0" xfId="697">
      <alignment horizontal="left" vertical="center"/>
    </xf>
    <xf numFmtId="0" fontId="51" fillId="0" borderId="98" pivotButton="0" quotePrefix="0" xfId="669"/>
    <xf numFmtId="167" fontId="311" fillId="19" borderId="98" pivotButton="0" quotePrefix="0" xfId="669"/>
    <xf numFmtId="0" fontId="350" fillId="27" borderId="98" applyAlignment="1" pivotButton="0" quotePrefix="0" xfId="0">
      <alignment horizontal="center" vertical="center"/>
    </xf>
    <xf numFmtId="0" fontId="350" fillId="27" borderId="98" applyAlignment="1" pivotButton="0" quotePrefix="0" xfId="0">
      <alignment horizontal="center" vertical="center" wrapText="1"/>
    </xf>
    <xf numFmtId="0" fontId="350" fillId="27" borderId="98" applyAlignment="1" pivotButton="0" quotePrefix="0" xfId="669">
      <alignment horizontal="center" vertical="center" wrapText="1"/>
    </xf>
    <xf numFmtId="0" fontId="370" fillId="57" borderId="94" applyAlignment="1" pivotButton="0" quotePrefix="0" xfId="6031">
      <alignment horizontal="left" vertical="center"/>
    </xf>
    <xf numFmtId="0" fontId="370" fillId="57" borderId="94" applyAlignment="1" pivotButton="0" quotePrefix="0" xfId="6031">
      <alignment horizontal="center" vertical="center"/>
    </xf>
    <xf numFmtId="0" fontId="370" fillId="22" borderId="106" applyAlignment="1" pivotButton="0" quotePrefix="0" xfId="6031">
      <alignment horizontal="center" vertical="center"/>
    </xf>
    <xf numFmtId="0" fontId="370" fillId="22" borderId="107" applyAlignment="1" pivotButton="0" quotePrefix="0" xfId="6031">
      <alignment horizontal="center" vertical="center"/>
    </xf>
    <xf numFmtId="0" fontId="370" fillId="22" borderId="96" applyAlignment="1" pivotButton="0" quotePrefix="0" xfId="6031">
      <alignment horizontal="center" vertical="center"/>
    </xf>
    <xf numFmtId="0" fontId="382" fillId="22" borderId="0" applyAlignment="1" pivotButton="0" quotePrefix="0" xfId="6031">
      <alignment horizontal="center"/>
    </xf>
    <xf numFmtId="0" fontId="392" fillId="0" borderId="34" applyAlignment="1" pivotButton="0" quotePrefix="0" xfId="6020">
      <alignment horizontal="center" vertical="center"/>
    </xf>
    <xf numFmtId="0" fontId="392" fillId="0" borderId="52" applyAlignment="1" pivotButton="0" quotePrefix="0" xfId="6020">
      <alignment horizontal="center" vertical="center"/>
    </xf>
    <xf numFmtId="0" fontId="310" fillId="0" borderId="100" applyAlignment="1" pivotButton="0" quotePrefix="0" xfId="6020">
      <alignment horizontal="center"/>
    </xf>
    <xf numFmtId="0" fontId="310" fillId="0" borderId="99" applyAlignment="1" pivotButton="0" quotePrefix="0" xfId="6020">
      <alignment horizontal="center"/>
    </xf>
    <xf numFmtId="0" fontId="346" fillId="0" borderId="0" applyAlignment="1" pivotButton="0" quotePrefix="0" xfId="6020">
      <alignment horizontal="center"/>
    </xf>
    <xf numFmtId="0" fontId="392" fillId="0" borderId="34" applyAlignment="1" pivotButton="0" quotePrefix="0" xfId="6020">
      <alignment horizontal="center" vertical="center" wrapText="1"/>
    </xf>
    <xf numFmtId="0" fontId="392" fillId="0" borderId="52" applyAlignment="1" pivotButton="0" quotePrefix="0" xfId="6020">
      <alignment horizontal="center" vertical="center" wrapText="1"/>
    </xf>
    <xf numFmtId="0" fontId="361" fillId="49" borderId="84" applyAlignment="1" pivotButton="0" quotePrefix="0" xfId="0">
      <alignment horizontal="center" vertical="center" wrapText="1"/>
    </xf>
    <xf numFmtId="0" fontId="361" fillId="49" borderId="7" applyAlignment="1" pivotButton="0" quotePrefix="0" xfId="0">
      <alignment horizontal="center" vertical="center" wrapText="1"/>
    </xf>
    <xf numFmtId="0" fontId="361" fillId="49" borderId="85" applyAlignment="1" pivotButton="0" quotePrefix="0" xfId="0">
      <alignment horizontal="center" vertical="center" wrapText="1"/>
    </xf>
    <xf numFmtId="0" fontId="362" fillId="23" borderId="55" applyAlignment="1" pivotButton="0" quotePrefix="0" xfId="0">
      <alignment horizontal="center" vertical="center" wrapText="1"/>
    </xf>
    <xf numFmtId="0" fontId="362" fillId="23" borderId="18" applyAlignment="1" pivotButton="0" quotePrefix="0" xfId="0">
      <alignment horizontal="center" vertical="center" wrapText="1"/>
    </xf>
    <xf numFmtId="17" fontId="330" fillId="29" borderId="103" applyAlignment="1" pivotButton="0" quotePrefix="0" xfId="619">
      <alignment horizontal="center" vertical="center"/>
    </xf>
    <xf numFmtId="17" fontId="330" fillId="29" borderId="104" applyAlignment="1" pivotButton="0" quotePrefix="0" xfId="619">
      <alignment horizontal="center" vertical="center"/>
    </xf>
    <xf numFmtId="17" fontId="284" fillId="28" borderId="98" applyAlignment="1" pivotButton="0" quotePrefix="0" xfId="619">
      <alignment horizontal="center" vertical="center"/>
    </xf>
    <xf numFmtId="17" fontId="284" fillId="28" borderId="104" applyAlignment="1" pivotButton="0" quotePrefix="0" xfId="619">
      <alignment horizontal="center" vertical="center"/>
    </xf>
    <xf numFmtId="17" fontId="284" fillId="28" borderId="105" applyAlignment="1" pivotButton="0" quotePrefix="0" xfId="619">
      <alignment horizontal="center" vertical="center"/>
    </xf>
    <xf numFmtId="0" fontId="367" fillId="0" borderId="36" applyAlignment="1" pivotButton="0" quotePrefix="0" xfId="0">
      <alignment horizontal="center"/>
    </xf>
    <xf numFmtId="0" fontId="367" fillId="0" borderId="37" applyAlignment="1" pivotButton="0" quotePrefix="0" xfId="0">
      <alignment horizontal="center"/>
    </xf>
    <xf numFmtId="0" fontId="367" fillId="0" borderId="38" applyAlignment="1" pivotButton="0" quotePrefix="0" xfId="0">
      <alignment horizontal="center"/>
    </xf>
    <xf numFmtId="0" fontId="304" fillId="0" borderId="60" applyAlignment="1" pivotButton="0" quotePrefix="0" xfId="36">
      <alignment horizontal="center" vertical="center" wrapText="1"/>
    </xf>
    <xf numFmtId="0" fontId="304" fillId="0" borderId="55" applyAlignment="1" pivotButton="0" quotePrefix="0" xfId="36">
      <alignment horizontal="center" vertical="center" wrapText="1"/>
    </xf>
    <xf numFmtId="0" fontId="304" fillId="25" borderId="60" applyAlignment="1" pivotButton="0" quotePrefix="0" xfId="36">
      <alignment horizontal="center" vertical="center" wrapText="1"/>
    </xf>
    <xf numFmtId="0" fontId="304" fillId="25" borderId="55" applyAlignment="1" pivotButton="0" quotePrefix="0" xfId="36">
      <alignment horizontal="center" vertical="center" wrapText="1"/>
    </xf>
    <xf numFmtId="14" fontId="324" fillId="26" borderId="29" applyAlignment="1" pivotButton="0" quotePrefix="0" xfId="36">
      <alignment horizontal="center" vertical="center" wrapText="1"/>
    </xf>
    <xf numFmtId="14" fontId="324" fillId="26" borderId="15" applyAlignment="1" pivotButton="0" quotePrefix="0" xfId="36">
      <alignment horizontal="center" vertical="center" wrapText="1"/>
    </xf>
    <xf numFmtId="14" fontId="324" fillId="26" borderId="18" applyAlignment="1" pivotButton="0" quotePrefix="0" xfId="36">
      <alignment horizontal="center" vertical="center" wrapText="1"/>
    </xf>
    <xf numFmtId="0" fontId="304" fillId="25" borderId="54" applyAlignment="1" pivotButton="0" quotePrefix="0" xfId="0">
      <alignment horizontal="center" vertical="center" wrapText="1"/>
    </xf>
    <xf numFmtId="0" fontId="304" fillId="25" borderId="55" applyAlignment="1" pivotButton="0" quotePrefix="0" xfId="0">
      <alignment horizontal="center" vertical="center" wrapText="1"/>
    </xf>
    <xf numFmtId="0" fontId="348" fillId="54" borderId="52" applyAlignment="1" pivotButton="0" quotePrefix="0" xfId="0">
      <alignment horizontal="center" vertical="center" wrapText="1"/>
    </xf>
    <xf numFmtId="0" fontId="352" fillId="26" borderId="29" applyAlignment="1" pivotButton="0" quotePrefix="0" xfId="36">
      <alignment horizontal="center" vertical="center" wrapText="1"/>
    </xf>
    <xf numFmtId="0" fontId="352" fillId="26" borderId="18" applyAlignment="1" pivotButton="0" quotePrefix="0" xfId="36">
      <alignment horizontal="center" vertical="center" wrapText="1"/>
    </xf>
    <xf numFmtId="0" fontId="348" fillId="65" borderId="84" applyAlignment="1" pivotButton="0" quotePrefix="0" xfId="0">
      <alignment horizontal="center" vertical="center" wrapText="1"/>
    </xf>
    <xf numFmtId="0" fontId="348" fillId="65" borderId="7" applyAlignment="1" pivotButton="0" quotePrefix="0" xfId="0">
      <alignment horizontal="center" vertical="center" wrapText="1"/>
    </xf>
    <xf numFmtId="0" fontId="348" fillId="65" borderId="85" applyAlignment="1" pivotButton="0" quotePrefix="0" xfId="0">
      <alignment horizontal="center" vertical="center" wrapText="1"/>
    </xf>
    <xf numFmtId="0" fontId="304" fillId="19" borderId="41" applyAlignment="1" pivotButton="0" quotePrefix="0" xfId="623">
      <alignment horizontal="center" vertical="center" wrapText="1"/>
    </xf>
    <xf numFmtId="0" fontId="304" fillId="19" borderId="35" applyAlignment="1" pivotButton="0" quotePrefix="0" xfId="623">
      <alignment horizontal="center" vertical="center" wrapText="1"/>
    </xf>
    <xf numFmtId="0" fontId="301" fillId="19" borderId="48" applyAlignment="1" pivotButton="0" quotePrefix="0" xfId="623">
      <alignment horizontal="center" vertical="center" wrapText="1"/>
    </xf>
    <xf numFmtId="0" fontId="301" fillId="19" borderId="49" applyAlignment="1" pivotButton="0" quotePrefix="0" xfId="623">
      <alignment horizontal="center" vertical="center" wrapText="1"/>
    </xf>
    <xf numFmtId="0" fontId="304" fillId="19" borderId="45" applyAlignment="1" pivotButton="0" quotePrefix="0" xfId="623">
      <alignment horizontal="center" vertical="center" wrapText="1"/>
    </xf>
    <xf numFmtId="0" fontId="304" fillId="19" borderId="55" applyAlignment="1" pivotButton="0" quotePrefix="0" xfId="623">
      <alignment horizontal="center" vertical="center" wrapText="1"/>
    </xf>
    <xf numFmtId="0" fontId="304" fillId="19" borderId="18" applyAlignment="1" pivotButton="0" quotePrefix="0" xfId="623">
      <alignment horizontal="center" vertical="center" wrapText="1"/>
    </xf>
    <xf numFmtId="0" fontId="306" fillId="25" borderId="50" applyAlignment="1" pivotButton="0" quotePrefix="0" xfId="623">
      <alignment horizontal="center" vertical="center"/>
    </xf>
    <xf numFmtId="0" fontId="306" fillId="25" borderId="51" applyAlignment="1" pivotButton="0" quotePrefix="0" xfId="623">
      <alignment horizontal="center" vertical="center"/>
    </xf>
    <xf numFmtId="0" fontId="306" fillId="25" borderId="43" applyAlignment="1" pivotButton="0" quotePrefix="0" xfId="623">
      <alignment horizontal="center" vertical="center"/>
    </xf>
    <xf numFmtId="0" fontId="304" fillId="25" borderId="41" applyAlignment="1" pivotButton="0" quotePrefix="0" xfId="623">
      <alignment horizontal="center" vertical="center" wrapText="1"/>
    </xf>
    <xf numFmtId="0" fontId="304" fillId="25" borderId="35" applyAlignment="1" pivotButton="0" quotePrefix="0" xfId="623">
      <alignment horizontal="center" vertical="center" wrapText="1"/>
    </xf>
    <xf numFmtId="0" fontId="304" fillId="25" borderId="39" applyAlignment="1" pivotButton="0" quotePrefix="0" xfId="623">
      <alignment horizontal="center" vertical="center" wrapText="1"/>
    </xf>
    <xf numFmtId="0" fontId="304" fillId="25" borderId="42" applyAlignment="1" pivotButton="0" quotePrefix="0" xfId="623">
      <alignment horizontal="center" vertical="center" wrapText="1"/>
    </xf>
    <xf numFmtId="0" fontId="304" fillId="0" borderId="45" applyAlignment="1" pivotButton="0" quotePrefix="0" xfId="623">
      <alignment horizontal="center" vertical="center" wrapText="1"/>
    </xf>
    <xf numFmtId="0" fontId="304" fillId="0" borderId="15" applyAlignment="1" pivotButton="0" quotePrefix="0" xfId="623">
      <alignment horizontal="center" vertical="center" wrapText="1"/>
    </xf>
    <xf numFmtId="0" fontId="304" fillId="0" borderId="18" applyAlignment="1" pivotButton="0" quotePrefix="0" xfId="623">
      <alignment horizontal="center" vertical="center" wrapText="1"/>
    </xf>
    <xf numFmtId="0" fontId="304" fillId="25" borderId="45" applyAlignment="1" pivotButton="0" quotePrefix="0" xfId="623">
      <alignment horizontal="center" vertical="center" wrapText="1"/>
    </xf>
    <xf numFmtId="0" fontId="304" fillId="25" borderId="15" applyAlignment="1" pivotButton="0" quotePrefix="0" xfId="623">
      <alignment horizontal="center" vertical="center" wrapText="1"/>
    </xf>
    <xf numFmtId="0" fontId="304" fillId="25" borderId="18" applyAlignment="1" pivotButton="0" quotePrefix="0" xfId="623">
      <alignment horizontal="center" vertical="center" wrapText="1"/>
    </xf>
    <xf numFmtId="17" fontId="304" fillId="29" borderId="46" applyAlignment="1" pivotButton="0" quotePrefix="0" xfId="623">
      <alignment horizontal="center" vertical="center"/>
    </xf>
    <xf numFmtId="17" fontId="304" fillId="29" borderId="47" applyAlignment="1" pivotButton="0" quotePrefix="0" xfId="623">
      <alignment horizontal="center" vertical="center"/>
    </xf>
    <xf numFmtId="17" fontId="304" fillId="28" borderId="61" applyAlignment="1" pivotButton="0" quotePrefix="0" xfId="623">
      <alignment horizontal="center" vertical="center"/>
    </xf>
    <xf numFmtId="4" fontId="253" fillId="10" borderId="26" applyAlignment="1" pivotButton="0" quotePrefix="0" xfId="0">
      <alignment horizontal="center" vertical="center" wrapText="1"/>
    </xf>
    <xf numFmtId="4" fontId="253" fillId="10" borderId="27" applyAlignment="1" pivotButton="0" quotePrefix="0" xfId="0">
      <alignment horizontal="center" vertical="center" wrapText="1"/>
    </xf>
    <xf numFmtId="4" fontId="253" fillId="10" borderId="28" applyAlignment="1" pivotButton="0" quotePrefix="0" xfId="0">
      <alignment horizontal="center" vertical="center" wrapText="1"/>
    </xf>
    <xf numFmtId="4" fontId="253" fillId="13" borderId="109" applyAlignment="1" pivotButton="0" quotePrefix="0" xfId="0">
      <alignment horizontal="center" vertical="center" wrapText="1"/>
    </xf>
    <xf numFmtId="4" fontId="253" fillId="13" borderId="11" applyAlignment="1" pivotButton="0" quotePrefix="0" xfId="0">
      <alignment horizontal="center" vertical="center" wrapText="1"/>
    </xf>
    <xf numFmtId="0" fontId="345" fillId="38" borderId="36" applyAlignment="1" pivotButton="0" quotePrefix="0" xfId="629">
      <alignment horizontal="center" vertical="center"/>
    </xf>
    <xf numFmtId="0" fontId="345" fillId="38" borderId="37" applyAlignment="1" pivotButton="0" quotePrefix="0" xfId="629">
      <alignment horizontal="center" vertical="center"/>
    </xf>
    <xf numFmtId="0" fontId="345" fillId="38" borderId="38" applyAlignment="1" pivotButton="0" quotePrefix="0" xfId="629">
      <alignment horizontal="center" vertical="center"/>
    </xf>
    <xf numFmtId="0" fontId="319" fillId="51" borderId="53" applyAlignment="1" pivotButton="0" quotePrefix="0" xfId="711">
      <alignment horizontal="center" vertical="center"/>
    </xf>
    <xf numFmtId="0" fontId="295" fillId="22" borderId="0" applyAlignment="1" pivotButton="0" quotePrefix="0" xfId="710">
      <alignment horizontal="left" vertical="center"/>
    </xf>
    <xf numFmtId="0" fontId="282" fillId="22" borderId="0" applyAlignment="1" pivotButton="0" quotePrefix="0" xfId="710">
      <alignment horizontal="left" vertical="center"/>
    </xf>
    <xf numFmtId="0" fontId="304" fillId="0" borderId="8" applyAlignment="1" pivotButton="0" quotePrefix="0" xfId="710">
      <alignment horizontal="left" vertical="center"/>
    </xf>
    <xf numFmtId="167" fontId="306" fillId="0" borderId="0" pivotButton="0" quotePrefix="0" xfId="6032"/>
    <xf numFmtId="167" fontId="306" fillId="22" borderId="0" pivotButton="0" quotePrefix="0" xfId="6032"/>
    <xf numFmtId="176" fontId="311" fillId="22" borderId="0" applyAlignment="1" pivotButton="0" quotePrefix="0" xfId="6031">
      <alignment horizontal="center"/>
    </xf>
    <xf numFmtId="176" fontId="311" fillId="22" borderId="0" applyAlignment="1" pivotButton="0" quotePrefix="0" xfId="6031">
      <alignment shrinkToFit="1"/>
    </xf>
    <xf numFmtId="165" fontId="238" fillId="50" borderId="98" applyAlignment="1" pivotButton="0" quotePrefix="0" xfId="1">
      <alignment horizontal="center" vertical="center" wrapText="1"/>
    </xf>
    <xf numFmtId="184" fontId="304" fillId="61" borderId="92" applyAlignment="1" pivotButton="0" quotePrefix="0" xfId="6033">
      <alignment horizontal="center" vertical="center" wrapText="1"/>
    </xf>
    <xf numFmtId="0" fontId="0" fillId="0" borderId="107" pivotButton="0" quotePrefix="0" xfId="0"/>
    <xf numFmtId="0" fontId="0" fillId="0" borderId="96" pivotButton="0" quotePrefix="0" xfId="0"/>
    <xf numFmtId="167" fontId="304" fillId="57" borderId="94" applyAlignment="1" pivotButton="0" quotePrefix="0" xfId="6032">
      <alignment vertical="center"/>
    </xf>
    <xf numFmtId="175" fontId="324" fillId="58" borderId="94" applyAlignment="1" pivotButton="0" quotePrefix="0" xfId="6032">
      <alignment vertical="center"/>
    </xf>
    <xf numFmtId="167" fontId="304" fillId="58" borderId="94" applyAlignment="1" pivotButton="0" quotePrefix="0" xfId="6032">
      <alignment horizontal="center" vertical="center"/>
    </xf>
    <xf numFmtId="167" fontId="372" fillId="58" borderId="94" applyAlignment="1" pivotButton="0" quotePrefix="0" xfId="6032">
      <alignment vertical="center"/>
    </xf>
    <xf numFmtId="167" fontId="370" fillId="57" borderId="94" applyAlignment="1" pivotButton="0" quotePrefix="0" xfId="6031">
      <alignment vertical="center"/>
    </xf>
    <xf numFmtId="167" fontId="304" fillId="58" borderId="94" applyAlignment="1" pivotButton="0" quotePrefix="0" xfId="6032">
      <alignment vertical="center"/>
    </xf>
    <xf numFmtId="167" fontId="304" fillId="58" borderId="94" applyAlignment="1" pivotButton="0" quotePrefix="0" xfId="6031">
      <alignment vertical="center"/>
    </xf>
    <xf numFmtId="167" fontId="304" fillId="57" borderId="94" applyAlignment="1" pivotButton="0" quotePrefix="0" xfId="6031">
      <alignment vertical="center"/>
    </xf>
    <xf numFmtId="167" fontId="385" fillId="57" borderId="94" applyAlignment="1" pivotButton="0" quotePrefix="0" xfId="6032">
      <alignment vertical="center"/>
    </xf>
    <xf numFmtId="167" fontId="385" fillId="57" borderId="94" applyAlignment="1" pivotButton="0" quotePrefix="0" xfId="6031">
      <alignment vertical="center"/>
    </xf>
    <xf numFmtId="167" fontId="311" fillId="57" borderId="94" applyAlignment="1" pivotButton="0" quotePrefix="0" xfId="6031">
      <alignment vertical="center"/>
    </xf>
    <xf numFmtId="165" fontId="288" fillId="0" borderId="80" applyAlignment="1" pivotButton="0" quotePrefix="0" xfId="1">
      <alignment vertical="center"/>
    </xf>
    <xf numFmtId="167" fontId="288" fillId="22" borderId="94" applyAlignment="1" pivotButton="0" quotePrefix="0" xfId="6032">
      <alignment vertical="center"/>
    </xf>
    <xf numFmtId="175" fontId="290" fillId="0" borderId="94" applyAlignment="1" pivotButton="0" quotePrefix="0" xfId="6032">
      <alignment vertical="center"/>
    </xf>
    <xf numFmtId="167" fontId="288" fillId="0" borderId="94" applyAlignment="1" pivotButton="0" quotePrefix="0" xfId="6032">
      <alignment horizontal="center" vertical="center"/>
    </xf>
    <xf numFmtId="167" fontId="288" fillId="56" borderId="94" applyAlignment="1" pivotButton="0" quotePrefix="0" xfId="6032">
      <alignment vertical="center"/>
    </xf>
    <xf numFmtId="167" fontId="386" fillId="0" borderId="94" applyAlignment="1" pivotButton="0" quotePrefix="0" xfId="6032">
      <alignment vertical="center"/>
    </xf>
    <xf numFmtId="167" fontId="312" fillId="22" borderId="94" applyAlignment="1" pivotButton="0" quotePrefix="0" xfId="6031">
      <alignment vertical="center"/>
    </xf>
    <xf numFmtId="167" fontId="288" fillId="0" borderId="94" applyAlignment="1" pivotButton="0" quotePrefix="0" xfId="6032">
      <alignment vertical="center"/>
    </xf>
    <xf numFmtId="167" fontId="288" fillId="0" borderId="94" applyAlignment="1" pivotButton="0" quotePrefix="0" xfId="6031">
      <alignment vertical="center"/>
    </xf>
    <xf numFmtId="167" fontId="288" fillId="56" borderId="94" applyAlignment="1" pivotButton="0" quotePrefix="0" xfId="6031">
      <alignment vertical="center"/>
    </xf>
    <xf numFmtId="167" fontId="288" fillId="22" borderId="94" applyAlignment="1" pivotButton="0" quotePrefix="0" xfId="6031">
      <alignment vertical="center"/>
    </xf>
    <xf numFmtId="167" fontId="288" fillId="22" borderId="94" applyAlignment="1" pivotButton="0" quotePrefix="1" xfId="6032">
      <alignment vertical="center"/>
    </xf>
    <xf numFmtId="167" fontId="378" fillId="22" borderId="94" applyAlignment="1" pivotButton="0" quotePrefix="0" xfId="6032">
      <alignment vertical="center"/>
    </xf>
    <xf numFmtId="167" fontId="378" fillId="22" borderId="94" applyAlignment="1" pivotButton="0" quotePrefix="0" xfId="6031">
      <alignment vertical="center"/>
    </xf>
    <xf numFmtId="167" fontId="306" fillId="22" borderId="94" applyAlignment="1" pivotButton="0" quotePrefix="0" xfId="6031">
      <alignment vertical="center"/>
    </xf>
    <xf numFmtId="166" fontId="288" fillId="22" borderId="61" applyAlignment="1" pivotButton="0" quotePrefix="0" xfId="627">
      <alignment horizontal="left" vertical="center" wrapText="1"/>
    </xf>
    <xf numFmtId="0" fontId="370" fillId="22" borderId="94" applyAlignment="1" pivotButton="0" quotePrefix="0" xfId="6031">
      <alignment horizontal="center" vertical="center"/>
    </xf>
    <xf numFmtId="167" fontId="370" fillId="22" borderId="94" applyAlignment="1" pivotButton="0" quotePrefix="0" xfId="6032">
      <alignment vertical="center"/>
    </xf>
    <xf numFmtId="167" fontId="370" fillId="22" borderId="94" applyAlignment="1" pivotButton="0" quotePrefix="0" xfId="6032">
      <alignment vertical="center" shrinkToFit="1"/>
    </xf>
    <xf numFmtId="167" fontId="370" fillId="0" borderId="94" applyAlignment="1" pivotButton="0" quotePrefix="0" xfId="6032">
      <alignment vertical="center" shrinkToFit="1"/>
    </xf>
    <xf numFmtId="167" fontId="310" fillId="22" borderId="94" applyAlignment="1" pivotButton="0" quotePrefix="0" xfId="6032">
      <alignment vertical="center" shrinkToFit="1"/>
    </xf>
    <xf numFmtId="167" fontId="377" fillId="22" borderId="0" applyAlignment="1" pivotButton="0" quotePrefix="0" xfId="6032">
      <alignment horizontal="center" vertical="center"/>
    </xf>
    <xf numFmtId="167" fontId="297" fillId="22" borderId="0" applyAlignment="1" pivotButton="0" quotePrefix="0" xfId="6032">
      <alignment horizontal="center" vertical="center" wrapText="1"/>
    </xf>
    <xf numFmtId="167" fontId="390" fillId="22" borderId="0" applyAlignment="1" pivotButton="0" quotePrefix="0" xfId="6032">
      <alignment horizontal="center" vertical="center" wrapText="1"/>
    </xf>
    <xf numFmtId="167" fontId="377" fillId="22" borderId="95" applyAlignment="1" pivotButton="0" quotePrefix="0" xfId="6032">
      <alignment horizontal="center" vertical="center" wrapText="1"/>
    </xf>
    <xf numFmtId="167" fontId="391" fillId="22" borderId="0" applyAlignment="1" pivotButton="0" quotePrefix="0" xfId="6032">
      <alignment horizontal="center" vertical="center" wrapText="1"/>
    </xf>
    <xf numFmtId="167" fontId="377" fillId="22" borderId="0" applyAlignment="1" pivotButton="0" quotePrefix="0" xfId="6032">
      <alignment horizontal="center" vertical="center" wrapText="1"/>
    </xf>
    <xf numFmtId="167" fontId="337" fillId="22" borderId="0" applyAlignment="1" pivotButton="0" quotePrefix="0" xfId="6032">
      <alignment horizontal="center" vertical="center" wrapText="1"/>
    </xf>
    <xf numFmtId="167" fontId="353" fillId="0" borderId="0" pivotButton="0" quotePrefix="0" xfId="6010"/>
    <xf numFmtId="167" fontId="322" fillId="0" borderId="0" pivotButton="0" quotePrefix="0" xfId="6010"/>
    <xf numFmtId="165" fontId="393" fillId="0" borderId="0" pivotButton="0" quotePrefix="0" xfId="1"/>
    <xf numFmtId="0" fontId="0" fillId="0" borderId="114" pivotButton="0" quotePrefix="0" xfId="0"/>
    <xf numFmtId="183" fontId="392" fillId="0" borderId="52" applyAlignment="1" pivotButton="0" quotePrefix="0" xfId="6021">
      <alignment horizontal="center" vertical="center"/>
    </xf>
    <xf numFmtId="165" fontId="282" fillId="0" borderId="98" pivotButton="0" quotePrefix="0" xfId="1"/>
    <xf numFmtId="167" fontId="319" fillId="0" borderId="98" pivotButton="0" quotePrefix="0" xfId="6021"/>
    <xf numFmtId="167" fontId="310" fillId="0" borderId="98" pivotButton="0" quotePrefix="0" xfId="6020"/>
    <xf numFmtId="0" fontId="310" fillId="0" borderId="115" applyAlignment="1" pivotButton="0" quotePrefix="0" xfId="6020">
      <alignment horizontal="center"/>
    </xf>
    <xf numFmtId="0" fontId="0" fillId="0" borderId="118" pivotButton="0" quotePrefix="0" xfId="0"/>
    <xf numFmtId="167" fontId="310" fillId="0" borderId="98" pivotButton="0" quotePrefix="0" xfId="6021"/>
    <xf numFmtId="167" fontId="310" fillId="24" borderId="98" pivotButton="0" quotePrefix="0" xfId="6021"/>
    <xf numFmtId="167" fontId="4" fillId="0" borderId="0" pivotButton="0" quotePrefix="0" xfId="6020"/>
    <xf numFmtId="167" fontId="0" fillId="0" borderId="0" pivotButton="0" quotePrefix="0" xfId="0"/>
    <xf numFmtId="167" fontId="329" fillId="0" borderId="0" applyAlignment="1" pivotButton="0" quotePrefix="0" xfId="1440">
      <alignment horizontal="left"/>
    </xf>
    <xf numFmtId="167" fontId="376" fillId="0" borderId="0" applyAlignment="1" pivotButton="0" quotePrefix="0" xfId="38">
      <alignment vertical="center"/>
    </xf>
    <xf numFmtId="167" fontId="330" fillId="0" borderId="0" applyAlignment="1" pivotButton="0" quotePrefix="0" xfId="38">
      <alignment vertical="center"/>
    </xf>
    <xf numFmtId="168" fontId="330" fillId="0" borderId="0" applyAlignment="1" pivotButton="0" quotePrefix="0" xfId="38">
      <alignment vertical="center"/>
    </xf>
    <xf numFmtId="166" fontId="296" fillId="22" borderId="0" applyAlignment="1" pivotButton="0" quotePrefix="0" xfId="36">
      <alignment vertical="center"/>
    </xf>
    <xf numFmtId="167" fontId="295" fillId="0" borderId="0" applyAlignment="1" pivotButton="0" quotePrefix="0" xfId="1440">
      <alignment horizontal="left"/>
    </xf>
    <xf numFmtId="167" fontId="330" fillId="22" borderId="0" applyAlignment="1" pivotButton="0" quotePrefix="0" xfId="38">
      <alignment vertical="center"/>
    </xf>
    <xf numFmtId="167" fontId="296" fillId="0" borderId="0" applyAlignment="1" pivotButton="0" quotePrefix="0" xfId="1440">
      <alignment horizontal="left"/>
    </xf>
    <xf numFmtId="166" fontId="282" fillId="22" borderId="0" applyAlignment="1" pivotButton="0" quotePrefix="0" xfId="36">
      <alignment vertical="center"/>
    </xf>
    <xf numFmtId="167" fontId="335" fillId="0" borderId="0" applyAlignment="1" pivotButton="0" quotePrefix="0" xfId="38">
      <alignment vertical="center"/>
    </xf>
    <xf numFmtId="168" fontId="335" fillId="0" borderId="0" applyAlignment="1" pivotButton="0" quotePrefix="0" xfId="38">
      <alignment vertical="center"/>
    </xf>
    <xf numFmtId="166" fontId="296" fillId="22" borderId="0" applyAlignment="1" pivotButton="0" quotePrefix="0" xfId="36">
      <alignment horizontal="left" vertical="center"/>
    </xf>
    <xf numFmtId="166" fontId="358" fillId="0" borderId="0" applyAlignment="1" pivotButton="0" quotePrefix="0" xfId="36">
      <alignment horizontal="left" vertical="center"/>
    </xf>
    <xf numFmtId="167" fontId="332" fillId="25" borderId="0" applyAlignment="1" pivotButton="0" quotePrefix="0" xfId="36">
      <alignment horizontal="center" vertical="center"/>
    </xf>
    <xf numFmtId="0" fontId="304" fillId="25" borderId="60" applyAlignment="1" pivotButton="0" quotePrefix="0" xfId="0">
      <alignment horizontal="center" vertical="center" wrapText="1"/>
    </xf>
    <xf numFmtId="14" fontId="324" fillId="26" borderId="98" applyAlignment="1" pivotButton="0" quotePrefix="0" xfId="36">
      <alignment horizontal="center" vertical="center" wrapText="1"/>
    </xf>
    <xf numFmtId="0" fontId="0" fillId="0" borderId="104" pivotButton="0" quotePrefix="0" xfId="0"/>
    <xf numFmtId="0" fontId="0" fillId="0" borderId="105" pivotButton="0" quotePrefix="0" xfId="0"/>
    <xf numFmtId="0" fontId="361" fillId="49" borderId="120" applyAlignment="1" pivotButton="0" quotePrefix="0" xfId="0">
      <alignment horizontal="center" vertical="center" wrapText="1"/>
    </xf>
    <xf numFmtId="0" fontId="348" fillId="65" borderId="120" applyAlignment="1" pivotButton="0" quotePrefix="0" xfId="0">
      <alignment horizontal="center" vertical="center" wrapText="1"/>
    </xf>
    <xf numFmtId="0" fontId="352" fillId="26" borderId="98" applyAlignment="1" pivotButton="0" quotePrefix="0" xfId="36">
      <alignment horizontal="center" vertical="center" wrapText="1"/>
    </xf>
    <xf numFmtId="0" fontId="0" fillId="0" borderId="55" pivotButton="0" quotePrefix="0" xfId="0"/>
    <xf numFmtId="0" fontId="0" fillId="0" borderId="113" pivotButton="0" quotePrefix="0" xfId="0"/>
    <xf numFmtId="173" fontId="330" fillId="29" borderId="21" applyAlignment="1" pivotButton="0" quotePrefix="0" xfId="619">
      <alignment horizontal="center" vertical="center"/>
    </xf>
    <xf numFmtId="173" fontId="330" fillId="47" borderId="21" applyAlignment="1" pivotButton="0" quotePrefix="0" xfId="619">
      <alignment horizontal="center" vertical="center"/>
    </xf>
    <xf numFmtId="0" fontId="0" fillId="0" borderId="119" pivotButton="0" quotePrefix="0" xfId="0"/>
    <xf numFmtId="0" fontId="0" fillId="0" borderId="18" pivotButton="0" quotePrefix="0" xfId="0"/>
    <xf numFmtId="0" fontId="0" fillId="0" borderId="85" pivotButton="0" quotePrefix="0" xfId="0"/>
    <xf numFmtId="166" fontId="288" fillId="22" borderId="61" applyAlignment="1" pivotButton="0" quotePrefix="0" xfId="627">
      <alignment horizontal="right" vertical="center" wrapText="1"/>
    </xf>
    <xf numFmtId="166" fontId="288" fillId="22" borderId="61" applyAlignment="1" pivotButton="0" quotePrefix="0" xfId="627">
      <alignment horizontal="left" vertical="center" shrinkToFit="1"/>
    </xf>
    <xf numFmtId="174" fontId="349" fillId="45" borderId="34" applyAlignment="1" pivotButton="0" quotePrefix="1" xfId="0">
      <alignment horizontal="center" vertical="center"/>
    </xf>
    <xf numFmtId="174" fontId="379" fillId="24" borderId="24" applyAlignment="1" pivotButton="0" quotePrefix="0" xfId="1">
      <alignment horizontal="center"/>
    </xf>
    <xf numFmtId="174" fontId="379" fillId="64" borderId="98" applyAlignment="1" pivotButton="0" quotePrefix="0" xfId="1">
      <alignment horizontal="center"/>
    </xf>
    <xf numFmtId="165" fontId="238" fillId="22" borderId="62" pivotButton="0" quotePrefix="0" xfId="1"/>
    <xf numFmtId="174" fontId="349" fillId="45" borderId="34" applyAlignment="1" pivotButton="0" quotePrefix="0" xfId="0">
      <alignment horizontal="center" vertical="center"/>
    </xf>
    <xf numFmtId="174" fontId="238" fillId="22" borderId="24" applyAlignment="1" pivotButton="0" quotePrefix="0" xfId="1">
      <alignment horizontal="center"/>
    </xf>
    <xf numFmtId="0" fontId="367" fillId="0" borderId="121" applyAlignment="1" pivotButton="0" quotePrefix="0" xfId="0">
      <alignment horizontal="center"/>
    </xf>
    <xf numFmtId="0" fontId="0" fillId="0" borderId="122" pivotButton="0" quotePrefix="0" xfId="0"/>
    <xf numFmtId="0" fontId="0" fillId="0" borderId="89" pivotButton="0" quotePrefix="0" xfId="0"/>
    <xf numFmtId="165" fontId="363" fillId="0" borderId="35" applyAlignment="1" pivotButton="0" quotePrefix="0" xfId="1">
      <alignment horizontal="right" shrinkToFit="1"/>
    </xf>
    <xf numFmtId="175" fontId="0" fillId="0" borderId="0" pivotButton="0" quotePrefix="0" xfId="0"/>
    <xf numFmtId="179" fontId="354" fillId="0" borderId="0" applyAlignment="1" pivotButton="0" quotePrefix="0" xfId="0">
      <alignment horizontal="left" wrapText="1"/>
    </xf>
    <xf numFmtId="177" fontId="354" fillId="0" borderId="0" applyAlignment="1" pivotButton="0" quotePrefix="1" xfId="0">
      <alignment horizontal="left" wrapText="1"/>
    </xf>
    <xf numFmtId="177" fontId="354" fillId="0" borderId="0" applyAlignment="1" pivotButton="0" quotePrefix="0" xfId="0">
      <alignment horizontal="left" wrapText="1"/>
    </xf>
    <xf numFmtId="167" fontId="364" fillId="0" borderId="0" applyAlignment="1" pivotButton="0" quotePrefix="0" xfId="1440">
      <alignment horizontal="left"/>
    </xf>
    <xf numFmtId="167" fontId="337" fillId="0" borderId="0" applyAlignment="1" pivotButton="0" quotePrefix="0" xfId="624">
      <alignment vertical="center"/>
    </xf>
    <xf numFmtId="168" fontId="337" fillId="0" borderId="0" applyAlignment="1" pivotButton="0" quotePrefix="0" xfId="624">
      <alignment vertical="center"/>
    </xf>
    <xf numFmtId="175" fontId="336" fillId="0" borderId="22" applyAlignment="1" applyProtection="1" pivotButton="0" quotePrefix="0" xfId="625">
      <alignment horizontal="center" vertical="center"/>
      <protection locked="1" hidden="1"/>
    </xf>
    <xf numFmtId="167" fontId="366" fillId="0" borderId="0" applyAlignment="1" pivotButton="0" quotePrefix="0" xfId="1440">
      <alignment horizontal="left"/>
    </xf>
    <xf numFmtId="0" fontId="304" fillId="0" borderId="41" applyAlignment="1" pivotButton="0" quotePrefix="0" xfId="623">
      <alignment horizontal="center" vertical="center" wrapText="1"/>
    </xf>
    <xf numFmtId="0" fontId="0" fillId="0" borderId="47" pivotButton="0" quotePrefix="0" xfId="0"/>
    <xf numFmtId="17" fontId="304" fillId="28" borderId="98" applyAlignment="1" pivotButton="0" quotePrefix="0" xfId="623">
      <alignment horizontal="center" vertical="center"/>
    </xf>
    <xf numFmtId="0" fontId="0" fillId="0" borderId="128" pivotButton="0" quotePrefix="0" xfId="0"/>
    <xf numFmtId="173" fontId="281" fillId="29" borderId="35" applyAlignment="1" pivotButton="0" quotePrefix="0" xfId="623">
      <alignment horizontal="center" vertical="center"/>
    </xf>
    <xf numFmtId="173" fontId="281" fillId="40" borderId="35" applyAlignment="1" pivotButton="0" quotePrefix="0" xfId="623">
      <alignment horizontal="center" vertical="center"/>
    </xf>
    <xf numFmtId="0" fontId="0" fillId="0" borderId="131" pivotButton="0" quotePrefix="0" xfId="0"/>
    <xf numFmtId="0" fontId="0" fillId="0" borderId="129" pivotButton="0" quotePrefix="0" xfId="0"/>
    <xf numFmtId="0" fontId="0" fillId="0" borderId="132" pivotButton="0" quotePrefix="0" xfId="0"/>
    <xf numFmtId="171" fontId="282" fillId="0" borderId="35" applyAlignment="1" pivotButton="0" quotePrefix="0" xfId="628">
      <alignment vertical="center"/>
    </xf>
    <xf numFmtId="171" fontId="282" fillId="27" borderId="35" applyAlignment="1" pivotButton="0" quotePrefix="0" xfId="628">
      <alignment vertical="center"/>
    </xf>
    <xf numFmtId="174" fontId="282" fillId="0" borderId="49" applyAlignment="1" pivotButton="0" quotePrefix="0" xfId="626">
      <alignment horizontal="center" vertical="center"/>
    </xf>
    <xf numFmtId="0" fontId="306" fillId="25" borderId="124" applyAlignment="1" pivotButton="0" quotePrefix="0" xfId="623">
      <alignment horizontal="center" vertical="center"/>
    </xf>
    <xf numFmtId="0" fontId="0" fillId="0" borderId="125" pivotButton="0" quotePrefix="0" xfId="0"/>
    <xf numFmtId="0" fontId="0" fillId="0" borderId="126" pivotButton="0" quotePrefix="0" xfId="0"/>
    <xf numFmtId="176" fontId="293" fillId="22" borderId="44" applyAlignment="1" pivotButton="0" quotePrefix="0" xfId="627">
      <alignment vertical="center" wrapText="1"/>
    </xf>
    <xf numFmtId="171" fontId="295" fillId="0" borderId="44" applyAlignment="1" pivotButton="0" quotePrefix="0" xfId="628">
      <alignment vertical="center"/>
    </xf>
    <xf numFmtId="171" fontId="282" fillId="0" borderId="0" applyAlignment="1" pivotButton="0" quotePrefix="0" xfId="628">
      <alignment vertical="center"/>
    </xf>
    <xf numFmtId="4" fontId="253" fillId="10" borderId="8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4" fontId="253" fillId="13" borderId="81" applyAlignment="1" pivotButton="0" quotePrefix="0" xfId="0">
      <alignment horizontal="center" vertical="center" wrapText="1"/>
    </xf>
    <xf numFmtId="0" fontId="0" fillId="0" borderId="11" pivotButton="0" quotePrefix="0" xfId="0"/>
    <xf numFmtId="164" fontId="261" fillId="9" borderId="16" applyAlignment="1" pivotButton="0" quotePrefix="0" xfId="1">
      <alignment vertical="center"/>
    </xf>
    <xf numFmtId="164" fontId="261" fillId="9" borderId="5" applyAlignment="1" pivotButton="0" quotePrefix="0" xfId="1">
      <alignment vertical="center"/>
    </xf>
    <xf numFmtId="165" fontId="260" fillId="0" borderId="1" applyAlignment="1" pivotButton="0" quotePrefix="0" xfId="1">
      <alignment vertical="center"/>
    </xf>
    <xf numFmtId="165" fontId="272" fillId="0" borderId="1" applyAlignment="1" pivotButton="0" quotePrefix="0" xfId="1">
      <alignment vertical="center"/>
    </xf>
    <xf numFmtId="165" fontId="273" fillId="0" borderId="5" applyAlignment="1" pivotButton="0" quotePrefix="0" xfId="1">
      <alignment vertical="center"/>
    </xf>
    <xf numFmtId="165" fontId="262" fillId="0" borderId="5" applyAlignment="1" pivotButton="0" quotePrefix="0" xfId="1">
      <alignment vertical="center"/>
    </xf>
    <xf numFmtId="165" fontId="272" fillId="35" borderId="1" applyAlignment="1" pivotButton="0" quotePrefix="0" xfId="1">
      <alignment vertical="center"/>
    </xf>
    <xf numFmtId="165" fontId="273" fillId="35" borderId="5" applyAlignment="1" pivotButton="0" quotePrefix="0" xfId="1">
      <alignment vertical="center"/>
    </xf>
    <xf numFmtId="169" fontId="254" fillId="36" borderId="5" applyAlignment="1" pivotButton="0" quotePrefix="0" xfId="0">
      <alignment vertical="center"/>
    </xf>
    <xf numFmtId="167" fontId="306" fillId="0" borderId="98" pivotButton="0" quotePrefix="0" xfId="1"/>
    <xf numFmtId="167" fontId="271" fillId="0" borderId="98" applyAlignment="1" pivotButton="0" quotePrefix="0" xfId="0">
      <alignment horizontal="center" vertical="center"/>
    </xf>
    <xf numFmtId="167" fontId="282" fillId="0" borderId="0" applyAlignment="1" pivotButton="0" quotePrefix="0" xfId="1440">
      <alignment horizontal="left"/>
    </xf>
    <xf numFmtId="167" fontId="375" fillId="0" borderId="0" applyAlignment="1" pivotButton="0" quotePrefix="0" xfId="1440">
      <alignment horizontal="left"/>
    </xf>
    <xf numFmtId="180" fontId="282" fillId="0" borderId="0" applyAlignment="1" pivotButton="0" quotePrefix="0" xfId="1441">
      <alignment horizontal="center"/>
    </xf>
    <xf numFmtId="165" fontId="369" fillId="9" borderId="0" pivotButton="0" quotePrefix="0" xfId="629"/>
    <xf numFmtId="165" fontId="256" fillId="9" borderId="0" applyAlignment="1" pivotButton="0" quotePrefix="0" xfId="661">
      <alignment vertical="center"/>
    </xf>
    <xf numFmtId="165" fontId="261" fillId="9" borderId="0" applyAlignment="1" pivotButton="0" quotePrefix="0" xfId="661">
      <alignment horizontal="center"/>
    </xf>
    <xf numFmtId="165" fontId="357" fillId="9" borderId="0" applyAlignment="1" pivotButton="0" quotePrefix="0" xfId="1">
      <alignment vertical="center"/>
    </xf>
    <xf numFmtId="165" fontId="238" fillId="9" borderId="0" applyAlignment="1" pivotButton="0" quotePrefix="0" xfId="1">
      <alignment vertical="center"/>
    </xf>
    <xf numFmtId="172" fontId="257" fillId="9" borderId="0" pivotButton="0" quotePrefix="0" xfId="629"/>
    <xf numFmtId="172" fontId="326" fillId="9" borderId="0" applyAlignment="1" pivotButton="0" quotePrefix="0" xfId="629">
      <alignment horizontal="center"/>
    </xf>
    <xf numFmtId="165" fontId="323" fillId="9" borderId="0" pivotButton="0" quotePrefix="0" xfId="629"/>
    <xf numFmtId="165" fontId="323" fillId="33" borderId="0" pivotButton="0" quotePrefix="0" xfId="629"/>
    <xf numFmtId="172" fontId="261" fillId="9" borderId="32" applyAlignment="1" pivotButton="0" quotePrefix="0" xfId="629">
      <alignment horizontal="center"/>
    </xf>
    <xf numFmtId="165" fontId="261" fillId="22" borderId="24" applyAlignment="1" pivotButton="0" quotePrefix="0" xfId="629">
      <alignment vertical="center"/>
    </xf>
    <xf numFmtId="165" fontId="249" fillId="33" borderId="0" applyAlignment="1" pivotButton="0" quotePrefix="0" xfId="629">
      <alignment vertical="center"/>
    </xf>
    <xf numFmtId="165" fontId="261" fillId="22" borderId="53" applyAlignment="1" pivotButton="0" quotePrefix="0" xfId="629">
      <alignment vertical="center"/>
    </xf>
    <xf numFmtId="0" fontId="345" fillId="38" borderId="121" applyAlignment="1" pivotButton="0" quotePrefix="0" xfId="629">
      <alignment horizontal="center" vertical="center"/>
    </xf>
    <xf numFmtId="165" fontId="263" fillId="38" borderId="23" applyAlignment="1" pivotButton="0" quotePrefix="0" xfId="661">
      <alignment horizontal="center" vertical="center"/>
    </xf>
    <xf numFmtId="165" fontId="263" fillId="38" borderId="24" applyAlignment="1" pivotButton="0" quotePrefix="0" xfId="661">
      <alignment vertical="center"/>
    </xf>
    <xf numFmtId="165" fontId="263" fillId="33" borderId="0" applyAlignment="1" pivotButton="0" quotePrefix="0" xfId="661">
      <alignment vertical="center"/>
    </xf>
    <xf numFmtId="0" fontId="0" fillId="0" borderId="8" pivotButton="0" quotePrefix="0" xfId="0"/>
    <xf numFmtId="0" fontId="319" fillId="51" borderId="98" applyAlignment="1" pivotButton="0" quotePrefix="0" xfId="711">
      <alignment horizontal="center" vertical="center"/>
    </xf>
    <xf numFmtId="178" fontId="319" fillId="0" borderId="53" applyAlignment="1" pivotButton="0" quotePrefix="0" xfId="711">
      <alignment horizontal="center" vertical="center"/>
    </xf>
    <xf numFmtId="165" fontId="282" fillId="0" borderId="53" applyAlignment="1" pivotButton="0" quotePrefix="0" xfId="712">
      <alignment vertical="center"/>
    </xf>
    <xf numFmtId="174" fontId="344" fillId="0" borderId="53" applyAlignment="1" pivotButton="0" quotePrefix="0" xfId="709">
      <alignment horizontal="center" vertical="center"/>
    </xf>
    <xf numFmtId="165" fontId="282" fillId="0" borderId="53" applyAlignment="1" pivotButton="0" quotePrefix="0" xfId="712">
      <alignment horizontal="center"/>
    </xf>
    <xf numFmtId="178" fontId="319" fillId="0" borderId="53" applyAlignment="1" pivotButton="0" quotePrefix="0" xfId="711">
      <alignment horizontal="center"/>
    </xf>
    <xf numFmtId="165" fontId="323" fillId="51" borderId="53" applyAlignment="1" pivotButton="0" quotePrefix="0" xfId="1">
      <alignment horizontal="right" vertical="center"/>
    </xf>
    <xf numFmtId="165" fontId="295" fillId="51" borderId="53" applyAlignment="1" pivotButton="0" quotePrefix="0" xfId="712">
      <alignment horizontal="center" vertical="center"/>
    </xf>
    <xf numFmtId="165" fontId="282" fillId="0" borderId="18" applyAlignment="1" pivotButton="0" quotePrefix="0" xfId="712">
      <alignment horizontal="center" vertical="center"/>
    </xf>
    <xf numFmtId="165" fontId="282" fillId="22" borderId="53" applyAlignment="1" pivotButton="0" quotePrefix="0" xfId="712">
      <alignment horizontal="center" vertical="center"/>
    </xf>
    <xf numFmtId="181" fontId="310" fillId="51" borderId="53" applyAlignment="1" pivotButton="0" quotePrefix="0" xfId="711">
      <alignment horizontal="center"/>
    </xf>
    <xf numFmtId="165" fontId="282" fillId="51" borderId="18" applyAlignment="1" pivotButton="0" quotePrefix="0" xfId="1">
      <alignment horizontal="center"/>
    </xf>
    <xf numFmtId="165" fontId="282" fillId="0" borderId="53" applyAlignment="1" pivotButton="0" quotePrefix="0" xfId="1">
      <alignment horizontal="left"/>
    </xf>
    <xf numFmtId="165" fontId="282" fillId="0" borderId="53" applyAlignment="1" pivotButton="0" quotePrefix="0" xfId="1">
      <alignment horizontal="center"/>
    </xf>
    <xf numFmtId="174" fontId="319" fillId="0" borderId="53" applyAlignment="1" pivotButton="0" quotePrefix="0" xfId="581">
      <alignment horizontal="center"/>
    </xf>
    <xf numFmtId="167" fontId="282" fillId="0" borderId="53" applyAlignment="1" pivotButton="0" quotePrefix="0" xfId="1">
      <alignment horizontal="center"/>
    </xf>
    <xf numFmtId="174" fontId="44" fillId="0" borderId="0" pivotButton="0" quotePrefix="0" xfId="709"/>
    <xf numFmtId="174" fontId="319" fillId="0" borderId="61" applyAlignment="1" pivotButton="0" quotePrefix="0" xfId="581">
      <alignment horizontal="center"/>
    </xf>
    <xf numFmtId="167" fontId="282" fillId="0" borderId="61" applyAlignment="1" pivotButton="0" quotePrefix="0" xfId="1">
      <alignment horizontal="center"/>
    </xf>
    <xf numFmtId="174" fontId="319" fillId="0" borderId="83" applyAlignment="1" pivotButton="0" quotePrefix="0" xfId="581">
      <alignment horizontal="center"/>
    </xf>
    <xf numFmtId="182" fontId="310" fillId="51" borderId="53" applyAlignment="1" pivotButton="0" quotePrefix="0" xfId="711">
      <alignment horizontal="center"/>
    </xf>
    <xf numFmtId="165" fontId="238" fillId="0" borderId="61" pivotButton="0" quotePrefix="0" xfId="1"/>
    <xf numFmtId="165" fontId="238" fillId="19" borderId="61" pivotButton="0" quotePrefix="0" xfId="1"/>
    <xf numFmtId="185" fontId="282" fillId="22" borderId="98" applyAlignment="1" pivotButton="0" quotePrefix="0" xfId="672">
      <alignment horizontal="left" vertical="center" wrapText="1"/>
    </xf>
    <xf numFmtId="167" fontId="282" fillId="22" borderId="98" applyAlignment="1" pivotButton="0" quotePrefix="0" xfId="3">
      <alignment horizontal="left" vertical="center" wrapText="1"/>
    </xf>
    <xf numFmtId="167" fontId="306" fillId="0" borderId="98" pivotButton="0" quotePrefix="0" xfId="669"/>
    <xf numFmtId="167" fontId="311" fillId="19" borderId="98" pivotButton="0" quotePrefix="0" xfId="669"/>
  </cellXfs>
  <cellStyles count="6034">
    <cellStyle name="Normal" xfId="0" builtinId="0"/>
    <cellStyle name="Comma" xfId="1" builtinId="3"/>
    <cellStyle name="Comma 2" xfId="2"/>
    <cellStyle name="Comma 2 2" xfId="3"/>
    <cellStyle name="Comma 2 3" xfId="4"/>
    <cellStyle name="Comma 3" xfId="5"/>
    <cellStyle name="Comma 3 2" xfId="6"/>
    <cellStyle name="Emart" xfId="7"/>
    <cellStyle name="Excel Built-in 40% - Accent3" xfId="8"/>
    <cellStyle name="Excel Built-in Accent1" xfId="9"/>
    <cellStyle name="Excel Built-in Accent2" xfId="10"/>
    <cellStyle name="Excel Built-in Accent4" xfId="11"/>
    <cellStyle name="Excel Built-in Accent5" xfId="12"/>
    <cellStyle name="Excel Built-in Accent6" xfId="13"/>
    <cellStyle name="Excel Built-in Normal" xfId="14"/>
    <cellStyle name="Hyperlink 2" xfId="15"/>
    <cellStyle name="Normal 2" xfId="16"/>
    <cellStyle name="Normal 2 2" xfId="17"/>
    <cellStyle name="Normal 3" xfId="18"/>
    <cellStyle name="Normal 3 2" xfId="19"/>
    <cellStyle name="Normal 3 3" xfId="20"/>
    <cellStyle name="Normal 4" xfId="21"/>
    <cellStyle name="Normal 4 2" xfId="22"/>
    <cellStyle name="Normal 5" xfId="23"/>
    <cellStyle name="Normal 6" xfId="24"/>
    <cellStyle name="Normal 7" xfId="25"/>
    <cellStyle name="표준_해외점포 인원현황 2010.01(수정)" xfId="26"/>
    <cellStyle name="Normal 8" xfId="27"/>
    <cellStyle name="Comma 4" xfId="28"/>
    <cellStyle name="Normal 9" xfId="29"/>
    <cellStyle name="Normal 4 3" xfId="30"/>
    <cellStyle name="Comma 3 3" xfId="31"/>
    <cellStyle name="Normal 10" xfId="32"/>
    <cellStyle name="40% - Accent3 2" xfId="33"/>
    <cellStyle name="Normal 3 3 2" xfId="34"/>
    <cellStyle name="Normal 5 2" xfId="35"/>
    <cellStyle name="Normal 3 2 2 2" xfId="36"/>
    <cellStyle name="Normal 3 4" xfId="37"/>
    <cellStyle name="Comma 2 4" xfId="38"/>
    <cellStyle name="Comma 2 2 2" xfId="39"/>
    <cellStyle name="Normal 11" xfId="40"/>
    <cellStyle name="Accent5 2" xfId="41"/>
    <cellStyle name="Accent4 2" xfId="42"/>
    <cellStyle name="Accent2 2" xfId="43"/>
    <cellStyle name="Accent6 2" xfId="44"/>
    <cellStyle name="40% - Accent3 3" xfId="45"/>
    <cellStyle name="Normal 12" xfId="46"/>
    <cellStyle name="Comma 5" xfId="47"/>
    <cellStyle name="Normal 13" xfId="48"/>
    <cellStyle name="Comma 6" xfId="49"/>
    <cellStyle name="Normal 12 2" xfId="50"/>
    <cellStyle name="Normal 14" xfId="51"/>
    <cellStyle name="Comma 7" xfId="52"/>
    <cellStyle name="Normal 15" xfId="53"/>
    <cellStyle name="Normal 16" xfId="54"/>
    <cellStyle name="Comma 8" xfId="55"/>
    <cellStyle name="Normal 17" xfId="56"/>
    <cellStyle name="Normal 4 4" xfId="57"/>
    <cellStyle name="Comma 3 4" xfId="58"/>
    <cellStyle name="Comma 9" xfId="59"/>
    <cellStyle name="Normal 18" xfId="60"/>
    <cellStyle name="Normal 13 2" xfId="61"/>
    <cellStyle name="Comma 6 2" xfId="62"/>
    <cellStyle name="Comma 10" xfId="63"/>
    <cellStyle name="Normal 3 5" xfId="64"/>
    <cellStyle name="Comma 2 5" xfId="65"/>
    <cellStyle name="Comma 2 2 3" xfId="66"/>
    <cellStyle name="Normal 3 3 3" xfId="67"/>
    <cellStyle name="Normal 19" xfId="68"/>
    <cellStyle name="Normal 20" xfId="69"/>
    <cellStyle name="Normal 21" xfId="70"/>
    <cellStyle name="Comma 11" xfId="71"/>
    <cellStyle name="Normal 22" xfId="72"/>
    <cellStyle name="Comma 12" xfId="73"/>
    <cellStyle name="Normal 23" xfId="74"/>
    <cellStyle name="Normal 24" xfId="75"/>
    <cellStyle name="Comma 13" xfId="76"/>
    <cellStyle name="Normal 3 6" xfId="77"/>
    <cellStyle name="Comma 2 6" xfId="78"/>
    <cellStyle name="Comma 2 2 4" xfId="79"/>
    <cellStyle name="Normal 3 3 4" xfId="80"/>
    <cellStyle name="Normal 3 7" xfId="81"/>
    <cellStyle name="Comma 2 7" xfId="82"/>
    <cellStyle name="Comma 2 2 5" xfId="83"/>
    <cellStyle name="Normal 3 3 5" xfId="84"/>
    <cellStyle name="Normal 25" xfId="85"/>
    <cellStyle name="Comma 14" xfId="86"/>
    <cellStyle name="Normal 26" xfId="87"/>
    <cellStyle name="Comma 15" xfId="88"/>
    <cellStyle name="Normal 27" xfId="89"/>
    <cellStyle name="Comma 16" xfId="90"/>
    <cellStyle name="Normal 28" xfId="91"/>
    <cellStyle name="Normal 29" xfId="92"/>
    <cellStyle name="Comma 17" xfId="93"/>
    <cellStyle name="Normal 30" xfId="94"/>
    <cellStyle name="Comma 18" xfId="95"/>
    <cellStyle name="Normal 3 8" xfId="96"/>
    <cellStyle name="Comma 2 8" xfId="97"/>
    <cellStyle name="Comma 2 2 6" xfId="98"/>
    <cellStyle name="Normal 3 3 6" xfId="99"/>
    <cellStyle name="Normal 31" xfId="100"/>
    <cellStyle name="Comma 19" xfId="101"/>
    <cellStyle name="Normal 32" xfId="102"/>
    <cellStyle name="Normal 33" xfId="103"/>
    <cellStyle name="Comma 20" xfId="104"/>
    <cellStyle name="Normal 3 9" xfId="105"/>
    <cellStyle name="Comma 2 9" xfId="106"/>
    <cellStyle name="Comma 2 2 7" xfId="107"/>
    <cellStyle name="Normal 3 3 7" xfId="108"/>
    <cellStyle name="Normal 34" xfId="109"/>
    <cellStyle name="Normal 35" xfId="110"/>
    <cellStyle name="Normal 3 10" xfId="111"/>
    <cellStyle name="Comma 2 10" xfId="112"/>
    <cellStyle name="Comma 2 2 8" xfId="113"/>
    <cellStyle name="Normal 3 3 8" xfId="114"/>
    <cellStyle name="Normal 3 11" xfId="115"/>
    <cellStyle name="Comma 2 11" xfId="116"/>
    <cellStyle name="Comma 2 2 9" xfId="117"/>
    <cellStyle name="Normal 3 3 9" xfId="118"/>
    <cellStyle name="Normal 36" xfId="119"/>
    <cellStyle name="Comma 21" xfId="120"/>
    <cellStyle name="Normal 37" xfId="121"/>
    <cellStyle name="Normal 3 12" xfId="122"/>
    <cellStyle name="Comma 2 12" xfId="123"/>
    <cellStyle name="Comma 2 2 10" xfId="124"/>
    <cellStyle name="Normal 3 3 10" xfId="125"/>
    <cellStyle name="Normal 38" xfId="126"/>
    <cellStyle name="Normal 39" xfId="127"/>
    <cellStyle name="Comma 22" xfId="128"/>
    <cellStyle name="Normal 2 2 2" xfId="129"/>
    <cellStyle name="Normal 3 13" xfId="130"/>
    <cellStyle name="Comma 2 13" xfId="131"/>
    <cellStyle name="Comma 2 2 11" xfId="132"/>
    <cellStyle name="Normal 3 3 11" xfId="133"/>
    <cellStyle name="Normal 40" xfId="134"/>
    <cellStyle name="Comma 23" xfId="135"/>
    <cellStyle name="Comma 24" xfId="136"/>
    <cellStyle name="Normal 41" xfId="137"/>
    <cellStyle name="Normal 42" xfId="138"/>
    <cellStyle name="Comma 25" xfId="139"/>
    <cellStyle name="Normal 3 14" xfId="140"/>
    <cellStyle name="Comma 2 14" xfId="141"/>
    <cellStyle name="Comma 2 2 12" xfId="142"/>
    <cellStyle name="Normal 3 3 12" xfId="143"/>
    <cellStyle name="Normal 43" xfId="144"/>
    <cellStyle name="Comma 26" xfId="145"/>
    <cellStyle name="Normal 3 15" xfId="146"/>
    <cellStyle name="Comma 2 15" xfId="147"/>
    <cellStyle name="Comma 2 2 13" xfId="148"/>
    <cellStyle name="Normal 3 3 13" xfId="149"/>
    <cellStyle name="Comma 27" xfId="150"/>
    <cellStyle name="Normal 44" xfId="151"/>
    <cellStyle name="Comma 28" xfId="152"/>
    <cellStyle name="Normal 45" xfId="153"/>
    <cellStyle name="Normal 2 3" xfId="154"/>
    <cellStyle name="Normal 3 16" xfId="155"/>
    <cellStyle name="Comma 2 16" xfId="156"/>
    <cellStyle name="Comma 2 2 14" xfId="157"/>
    <cellStyle name="Normal 3 3 14" xfId="158"/>
    <cellStyle name="Normal 46" xfId="159"/>
    <cellStyle name="Comma 29" xfId="160"/>
    <cellStyle name="Normal 47" xfId="161"/>
    <cellStyle name="Normal 3 17" xfId="162"/>
    <cellStyle name="Comma 2 17" xfId="163"/>
    <cellStyle name="Comma 2 2 15" xfId="164"/>
    <cellStyle name="Normal 3 3 15" xfId="165"/>
    <cellStyle name="Normal 10 2" xfId="166"/>
    <cellStyle name="Normal 3 2 2 2 2" xfId="167"/>
    <cellStyle name="Normal 48" xfId="168"/>
    <cellStyle name="Normal 3 2 2 2 3" xfId="169"/>
    <cellStyle name="Comma 30" xfId="170"/>
    <cellStyle name="Normal 49" xfId="171"/>
    <cellStyle name="Comma 31" xfId="172"/>
    <cellStyle name="Normal 50" xfId="173"/>
    <cellStyle name="Normal 3 2 2 2 4" xfId="174"/>
    <cellStyle name="Comma 32" xfId="175"/>
    <cellStyle name="Normal 3 18" xfId="176"/>
    <cellStyle name="Comma 2 18" xfId="177"/>
    <cellStyle name="Comma 2 2 16" xfId="178"/>
    <cellStyle name="Normal 3 3 16" xfId="179"/>
    <cellStyle name="Normal 3 2 2 2 5" xfId="180"/>
    <cellStyle name="Normal 51" xfId="181"/>
    <cellStyle name="Emart 2" xfId="182"/>
    <cellStyle name="Normal 13 2 2" xfId="183"/>
    <cellStyle name="Normal 3 4 2" xfId="184"/>
    <cellStyle name="Normal 3 2 2 2 6" xfId="185"/>
    <cellStyle name="Comma 33" xfId="186"/>
    <cellStyle name="Normal 52" xfId="187"/>
    <cellStyle name="Normal 53" xfId="188"/>
    <cellStyle name="Normal 3 19" xfId="189"/>
    <cellStyle name="Comma 2 19" xfId="190"/>
    <cellStyle name="Comma 2 2 17" xfId="191"/>
    <cellStyle name="Normal 3 3 17" xfId="192"/>
    <cellStyle name="Normal 3 2 2 2 7" xfId="193"/>
    <cellStyle name="Normal 54" xfId="194"/>
    <cellStyle name="Normal 55" xfId="195"/>
    <cellStyle name="Normal 3 2 2 2 8" xfId="196"/>
    <cellStyle name="Comma 34" xfId="197"/>
    <cellStyle name="Normal 56" xfId="198"/>
    <cellStyle name="Comma 35" xfId="199"/>
    <cellStyle name="Normal 57" xfId="200"/>
    <cellStyle name="Normal 3 2 2 2 9" xfId="201"/>
    <cellStyle name="Comma 36" xfId="202"/>
    <cellStyle name="Normal 3 20" xfId="203"/>
    <cellStyle name="Comma 2 20" xfId="204"/>
    <cellStyle name="Comma 2 2 18" xfId="205"/>
    <cellStyle name="Normal 3 3 18" xfId="206"/>
    <cellStyle name="Normal 3 2 2 2 10" xfId="207"/>
    <cellStyle name="Normal 58" xfId="208"/>
    <cellStyle name="Normal 59" xfId="209"/>
    <cellStyle name="Normal 3 2 2 2 11" xfId="210"/>
    <cellStyle name="Comma 37" xfId="211"/>
    <cellStyle name="Normal 60" xfId="212"/>
    <cellStyle name="Comma 38" xfId="213"/>
    <cellStyle name="Normal 61" xfId="214"/>
    <cellStyle name="Normal 3 2 2 2 12" xfId="215"/>
    <cellStyle name="Comma 39" xfId="216"/>
    <cellStyle name="Normal 3 21" xfId="217"/>
    <cellStyle name="Comma 2 21" xfId="218"/>
    <cellStyle name="Comma 2 2 19" xfId="219"/>
    <cellStyle name="Normal 3 3 19" xfId="220"/>
    <cellStyle name="Normal 3 2 2 2 13" xfId="221"/>
    <cellStyle name="Normal 62" xfId="222"/>
    <cellStyle name="Comma 40" xfId="223"/>
    <cellStyle name="Normal 63" xfId="224"/>
    <cellStyle name="Normal 3 2 2 2 14" xfId="225"/>
    <cellStyle name="Comma 41" xfId="226"/>
    <cellStyle name="Normal 64" xfId="227"/>
    <cellStyle name="Normal 3 22" xfId="228"/>
    <cellStyle name="Comma 2 22" xfId="229"/>
    <cellStyle name="Comma 2 2 20" xfId="230"/>
    <cellStyle name="Normal 3 3 20" xfId="231"/>
    <cellStyle name="Normal 3 2 2 2 15" xfId="232"/>
    <cellStyle name="Normal 65" xfId="233"/>
    <cellStyle name="Comma 42" xfId="234"/>
    <cellStyle name="Normal 66" xfId="235"/>
    <cellStyle name="Normal 3 2 2 2 16" xfId="236"/>
    <cellStyle name="Comma 43" xfId="237"/>
    <cellStyle name="Normal 67" xfId="238"/>
    <cellStyle name="Normal 3 2 2 2 17" xfId="239"/>
    <cellStyle name="Comma 44" xfId="240"/>
    <cellStyle name="Normal 3 23" xfId="241"/>
    <cellStyle name="Comma 2 23" xfId="242"/>
    <cellStyle name="Comma 2 2 21" xfId="243"/>
    <cellStyle name="Normal 3 3 21" xfId="244"/>
    <cellStyle name="Normal 3 2 2 2 18" xfId="245"/>
    <cellStyle name="Comma 45" xfId="246"/>
    <cellStyle name="Normal 68" xfId="247"/>
    <cellStyle name="Normal 69" xfId="248"/>
    <cellStyle name="Normal 3 2 2 2 19" xfId="249"/>
    <cellStyle name="Comma 46" xfId="250"/>
    <cellStyle name="Normal 70" xfId="251"/>
    <cellStyle name="Comma 47" xfId="252"/>
    <cellStyle name="Normal 3 24" xfId="253"/>
    <cellStyle name="Comma 2 24" xfId="254"/>
    <cellStyle name="Comma 2 2 22" xfId="255"/>
    <cellStyle name="Normal 3 3 22" xfId="256"/>
    <cellStyle name="Normal 3 2 2 2 20" xfId="257"/>
    <cellStyle name="Normal 71" xfId="258"/>
    <cellStyle name="Comma 48" xfId="259"/>
    <cellStyle name="Normal 72" xfId="260"/>
    <cellStyle name="Normal 3 2 2 2 21" xfId="261"/>
    <cellStyle name="Comma 49" xfId="262"/>
    <cellStyle name="Normal 3 25" xfId="263"/>
    <cellStyle name="Comma 2 25" xfId="264"/>
    <cellStyle name="Comma 2 2 23" xfId="265"/>
    <cellStyle name="Normal 3 3 23" xfId="266"/>
    <cellStyle name="Normal 3 2 2 2 22" xfId="267"/>
    <cellStyle name="Comma 50" xfId="268"/>
    <cellStyle name="Normal 73" xfId="269"/>
    <cellStyle name="Comma 51" xfId="270"/>
    <cellStyle name="Normal 74" xfId="271"/>
    <cellStyle name="Normal 3 2 2 2 23" xfId="272"/>
    <cellStyle name="Comma 52" xfId="273"/>
    <cellStyle name="Normal 75" xfId="274"/>
    <cellStyle name="Normal 3 2 2 2 24" xfId="275"/>
    <cellStyle name="Comma 53" xfId="276"/>
    <cellStyle name="Normal 76" xfId="277"/>
    <cellStyle name="Comma 54" xfId="278"/>
    <cellStyle name="Normal 3 26" xfId="279"/>
    <cellStyle name="Comma 2 26" xfId="280"/>
    <cellStyle name="Comma 2 2 24" xfId="281"/>
    <cellStyle name="Normal 3 3 24" xfId="282"/>
    <cellStyle name="Normal 3 2 2 2 25" xfId="283"/>
    <cellStyle name="Normal 77" xfId="284"/>
    <cellStyle name="Normal 3 2 2 2 26" xfId="285"/>
    <cellStyle name="Comma 55" xfId="286"/>
    <cellStyle name="Normal 78" xfId="287"/>
    <cellStyle name="Comma 56" xfId="288"/>
    <cellStyle name="Normal 79" xfId="289"/>
    <cellStyle name="Normal 3 2 2 2 27" xfId="290"/>
    <cellStyle name="Comma 57" xfId="291"/>
    <cellStyle name="Normal 80" xfId="292"/>
    <cellStyle name="Comma 58" xfId="293"/>
    <cellStyle name="Emart 3" xfId="294"/>
    <cellStyle name="Normal 3 27" xfId="295"/>
    <cellStyle name="Comma 2 27" xfId="296"/>
    <cellStyle name="Comma 2 2 25" xfId="297"/>
    <cellStyle name="Normal 3 3 25" xfId="298"/>
    <cellStyle name="Normal 3 2 2 2 28" xfId="299"/>
    <cellStyle name="Comma 59" xfId="300"/>
    <cellStyle name="Normal 81" xfId="301"/>
    <cellStyle name="Normal 3 2 2 2 29" xfId="302"/>
    <cellStyle name="Normal 3 3 2 2" xfId="303"/>
    <cellStyle name="Comma 60" xfId="304"/>
    <cellStyle name="Normal 3 28" xfId="305"/>
    <cellStyle name="Comma 2 28" xfId="306"/>
    <cellStyle name="Comma 2 2 26" xfId="307"/>
    <cellStyle name="Normal 3 3 26" xfId="308"/>
    <cellStyle name="Normal 3 2 2 2 30" xfId="309"/>
    <cellStyle name="Normal 82" xfId="310"/>
    <cellStyle name="Comma 61" xfId="311"/>
    <cellStyle name="Normal 83" xfId="312"/>
    <cellStyle name="Comma 62" xfId="313"/>
    <cellStyle name="Normal 84" xfId="314"/>
    <cellStyle name="Normal 3 2 2 2 31" xfId="315"/>
    <cellStyle name="Normal 3 3 2 3" xfId="316"/>
    <cellStyle name="Comma 63" xfId="317"/>
    <cellStyle name="Normal 85" xfId="318"/>
    <cellStyle name="Comma 2 29" xfId="319"/>
    <cellStyle name="Normal 3 29" xfId="320"/>
    <cellStyle name="Comma 2 30" xfId="321"/>
    <cellStyle name="Comma 2 2 27" xfId="322"/>
    <cellStyle name="Normal 3 3 27" xfId="323"/>
    <cellStyle name="Normal 3 2 2 2 32" xfId="324"/>
    <cellStyle name="Normal 86" xfId="325"/>
    <cellStyle name="Normal 3 2 2 2 33" xfId="326"/>
    <cellStyle name="Comma 64" xfId="327"/>
    <cellStyle name="Normal 87" xfId="328"/>
    <cellStyle name="Normal 3 2 2 2 34" xfId="329"/>
    <cellStyle name="Normal 3 3 2 4" xfId="330"/>
    <cellStyle name="Comma 65" xfId="331"/>
    <cellStyle name="Normal 88" xfId="332"/>
    <cellStyle name="Normal 3 2 2 2 35" xfId="333"/>
    <cellStyle name="Comma 66" xfId="334"/>
    <cellStyle name="Normal 89" xfId="335"/>
    <cellStyle name="Comma 2 31" xfId="336"/>
    <cellStyle name="Normal 3 30" xfId="337"/>
    <cellStyle name="Comma 2 32" xfId="338"/>
    <cellStyle name="Comma 2 2 28" xfId="339"/>
    <cellStyle name="Normal 3 3 28" xfId="340"/>
    <cellStyle name="Normal 3 2 2 2 36" xfId="341"/>
    <cellStyle name="Normal 90" xfId="342"/>
    <cellStyle name="Comma 67" xfId="343"/>
    <cellStyle name="Normal 91" xfId="344"/>
    <cellStyle name="Normal 3 2 2 2 37" xfId="345"/>
    <cellStyle name="Comma 68" xfId="346"/>
    <cellStyle name="Normal 3 3 2 5" xfId="347"/>
    <cellStyle name="Normal 3 31" xfId="348"/>
    <cellStyle name="Comma 2 33" xfId="349"/>
    <cellStyle name="Comma 2 2 29" xfId="350"/>
    <cellStyle name="Normal 3 3 29" xfId="351"/>
    <cellStyle name="Normal 3 2 2 2 38" xfId="352"/>
    <cellStyle name="Comma 2 34" xfId="353"/>
    <cellStyle name="Normal 92" xfId="354"/>
    <cellStyle name="Comma 69" xfId="355"/>
    <cellStyle name="Normal 93" xfId="356"/>
    <cellStyle name="Normal 3 2 2 2 39" xfId="357"/>
    <cellStyle name="Normal 3 3 2 6" xfId="358"/>
    <cellStyle name="Comma 70" xfId="359"/>
    <cellStyle name="Normal 94" xfId="360"/>
    <cellStyle name="Comma 2 35" xfId="361"/>
    <cellStyle name="Normal 95" xfId="362"/>
    <cellStyle name="Comma 71" xfId="363"/>
    <cellStyle name="Normal 3 32" xfId="364"/>
    <cellStyle name="Comma 2 36" xfId="365"/>
    <cellStyle name="Comma 2 2 30" xfId="366"/>
    <cellStyle name="Normal 3 3 30" xfId="367"/>
    <cellStyle name="Normal 3 2 2 2 40" xfId="368"/>
    <cellStyle name="Normal 96" xfId="369"/>
    <cellStyle name="Normal 3 2 2 2 41" xfId="370"/>
    <cellStyle name="Comma 72" xfId="371"/>
    <cellStyle name="Normal 3 3 2 7" xfId="372"/>
    <cellStyle name="Normal 97" xfId="373"/>
    <cellStyle name="Comma 2 37" xfId="374"/>
    <cellStyle name="Comma 73" xfId="375"/>
    <cellStyle name="Normal 3 33" xfId="376"/>
    <cellStyle name="Comma 2 38" xfId="377"/>
    <cellStyle name="Comma 2 2 31" xfId="378"/>
    <cellStyle name="Normal 3 3 31" xfId="379"/>
    <cellStyle name="Normal 3 2 2 2 42" xfId="380"/>
    <cellStyle name="Normal 98" xfId="381"/>
    <cellStyle name="Normal 3 2 2 2 43" xfId="382"/>
    <cellStyle name="Comma 74" xfId="383"/>
    <cellStyle name="Normal 3 3 2 8" xfId="384"/>
    <cellStyle name="Normal 3 34" xfId="385"/>
    <cellStyle name="Comma 2 39" xfId="386"/>
    <cellStyle name="Comma 2 2 32" xfId="387"/>
    <cellStyle name="Normal 3 3 32" xfId="388"/>
    <cellStyle name="Normal 3 2 2 2 44" xfId="389"/>
    <cellStyle name="Normal 99" xfId="390"/>
    <cellStyle name="Comma 75" xfId="391"/>
    <cellStyle name="Normal 100" xfId="392"/>
    <cellStyle name="Normal 3 2 2 2 45" xfId="393"/>
    <cellStyle name="Comma 76" xfId="394"/>
    <cellStyle name="Normal 3 3 2 9" xfId="395"/>
    <cellStyle name="Comma 2 40" xfId="396"/>
    <cellStyle name="Normal 101" xfId="397"/>
    <cellStyle name="Normal 3 2 2 2 46" xfId="398"/>
    <cellStyle name="Comma 77" xfId="399"/>
    <cellStyle name="Normal 102" xfId="400"/>
    <cellStyle name="Comma 78" xfId="401"/>
    <cellStyle name="Comma 2 41" xfId="402"/>
    <cellStyle name="Normal 3 35" xfId="403"/>
    <cellStyle name="Comma 2 42" xfId="404"/>
    <cellStyle name="Comma 2 2 33" xfId="405"/>
    <cellStyle name="Normal 3 3 33" xfId="406"/>
    <cellStyle name="Normal 3 2 2 2 47" xfId="407"/>
    <cellStyle name="Normal 103" xfId="408"/>
    <cellStyle name="Normal 3 2 2 2 48" xfId="409"/>
    <cellStyle name="Comma 79" xfId="410"/>
    <cellStyle name="Normal 3 3 2 10" xfId="411"/>
    <cellStyle name="Normal 3 36" xfId="412"/>
    <cellStyle name="Comma 2 43" xfId="413"/>
    <cellStyle name="Comma 2 2 34" xfId="414"/>
    <cellStyle name="Normal 3 3 34" xfId="415"/>
    <cellStyle name="Normal 3 2 2 2 49" xfId="416"/>
    <cellStyle name="Comma 2 44" xfId="417"/>
    <cellStyle name="Normal 104" xfId="418"/>
    <cellStyle name="Comma 80" xfId="419"/>
    <cellStyle name="Normal 105" xfId="420"/>
    <cellStyle name="Normal 3 2 2 2 50" xfId="421"/>
    <cellStyle name="Comma 81" xfId="422"/>
    <cellStyle name="Normal 3 3 2 11" xfId="423"/>
    <cellStyle name="Normal 106" xfId="424"/>
    <cellStyle name="Comma 82" xfId="425"/>
    <cellStyle name="Normal 3 37" xfId="426"/>
    <cellStyle name="Comma 2 45" xfId="427"/>
    <cellStyle name="Comma 2 2 35" xfId="428"/>
    <cellStyle name="Normal 3 3 35" xfId="429"/>
    <cellStyle name="Normal 3 2 2 2 51" xfId="430"/>
    <cellStyle name="Comma 2 46" xfId="431"/>
    <cellStyle name="Normal 3 3 2 12" xfId="432"/>
    <cellStyle name="Normal 3 38" xfId="433"/>
    <cellStyle name="Comma 2 47" xfId="434"/>
    <cellStyle name="Comma 2 2 36" xfId="435"/>
    <cellStyle name="Normal 3 3 36" xfId="436"/>
    <cellStyle name="Normal 3 2 2 2 52" xfId="437"/>
    <cellStyle name="Comma 2 48" xfId="438"/>
    <cellStyle name="Normal 107" xfId="439"/>
    <cellStyle name="Comma 2 49" xfId="440"/>
    <cellStyle name="Comma 83" xfId="441"/>
    <cellStyle name="Normal 108" xfId="442"/>
    <cellStyle name="Normal 3 2 2 2 53" xfId="443"/>
    <cellStyle name="Comma 84" xfId="444"/>
    <cellStyle name="Normal 109" xfId="445"/>
    <cellStyle name="Normal 3 2 2 2 54" xfId="446"/>
    <cellStyle name="Comma 85" xfId="447"/>
    <cellStyle name="Normal 3 3 2 13" xfId="448"/>
    <cellStyle name="Normal 80 2" xfId="449"/>
    <cellStyle name="Comma 58 2" xfId="450"/>
    <cellStyle name="Emart 3 2" xfId="451"/>
    <cellStyle name="Normal 3 39" xfId="452"/>
    <cellStyle name="Comma 2 50" xfId="453"/>
    <cellStyle name="Comma 2 2 37" xfId="454"/>
    <cellStyle name="Normal 3 3 37" xfId="455"/>
    <cellStyle name="Normal 3 2 2 2 55" xfId="456"/>
    <cellStyle name="Normal 110" xfId="457"/>
    <cellStyle name="Comma 2 51" xfId="458"/>
    <cellStyle name="Normal 111" xfId="459"/>
    <cellStyle name="Normal 3 2 2 2 56" xfId="460"/>
    <cellStyle name="Comma 86" xfId="461"/>
    <cellStyle name="Comma 87" xfId="462"/>
    <cellStyle name="Normal 112" xfId="463"/>
    <cellStyle name="Normal 3 2 2 2 57" xfId="464"/>
    <cellStyle name="Comma 88" xfId="465"/>
    <cellStyle name="Normal 3 3 2 14" xfId="466"/>
    <cellStyle name="Normal 3 40" xfId="467"/>
    <cellStyle name="Comma 2 52" xfId="468"/>
    <cellStyle name="Comma 2 2 38" xfId="469"/>
    <cellStyle name="Normal 3 3 38" xfId="470"/>
    <cellStyle name="Normal 3 2 2 2 58" xfId="471"/>
    <cellStyle name="Normal 113" xfId="472"/>
    <cellStyle name="Normal 3 2 2 2 59" xfId="473"/>
    <cellStyle name="Comma 89" xfId="474"/>
    <cellStyle name="Normal 114" xfId="475"/>
    <cellStyle name="Comma 2 53" xfId="476"/>
    <cellStyle name="Comma 90" xfId="477"/>
    <cellStyle name="Normal 115" xfId="478"/>
    <cellStyle name="Normal 3 2 2 2 60" xfId="479"/>
    <cellStyle name="Comma 91" xfId="480"/>
    <cellStyle name="Normal 3 3 2 15" xfId="481"/>
    <cellStyle name="Normal 116" xfId="482"/>
    <cellStyle name="Comma 2 54" xfId="483"/>
    <cellStyle name="Normal 5 2 2" xfId="484"/>
    <cellStyle name="Normal 3 41" xfId="485"/>
    <cellStyle name="Comma 2 55" xfId="486"/>
    <cellStyle name="Comma 2 2 39" xfId="487"/>
    <cellStyle name="Normal 3 3 39" xfId="488"/>
    <cellStyle name="Normal 3 2 2 2 61" xfId="489"/>
    <cellStyle name="Normal 117" xfId="490"/>
    <cellStyle name="Comma 92" xfId="491"/>
    <cellStyle name="Normal 118" xfId="492"/>
    <cellStyle name="Normal 3 2 2 2 62" xfId="493"/>
    <cellStyle name="Comma 93" xfId="494"/>
    <cellStyle name="Normal 3 3 2 16" xfId="495"/>
    <cellStyle name="Normal 3 42" xfId="496"/>
    <cellStyle name="Comma 2 56" xfId="497"/>
    <cellStyle name="Comma 2 2 40" xfId="498"/>
    <cellStyle name="Normal 3 3 40" xfId="499"/>
    <cellStyle name="Normal 3 2 2 2 63" xfId="500"/>
    <cellStyle name="Normal 119" xfId="501"/>
    <cellStyle name="Comma 2 57" xfId="502"/>
    <cellStyle name="Normal 120" xfId="503"/>
    <cellStyle name="Normal 3 2 2 2 64" xfId="504"/>
    <cellStyle name="Comma 94" xfId="505"/>
    <cellStyle name="Normal 3 3 2 17" xfId="506"/>
    <cellStyle name="Normal 3 43" xfId="507"/>
    <cellStyle name="Comma 2 58" xfId="508"/>
    <cellStyle name="Comma 2 2 41" xfId="509"/>
    <cellStyle name="Normal 3 3 41" xfId="510"/>
    <cellStyle name="Normal 3 2 2 2 65" xfId="511"/>
    <cellStyle name="Comma 2 59" xfId="512"/>
    <cellStyle name="Normal 121" xfId="513"/>
    <cellStyle name="Comma 95" xfId="514"/>
    <cellStyle name="Normal 122" xfId="515"/>
    <cellStyle name="Normal 3 2 2 2 66" xfId="516"/>
    <cellStyle name="Comma 96" xfId="517"/>
    <cellStyle name="Normal 3 3 2 18" xfId="518"/>
    <cellStyle name="Normal 3 44" xfId="519"/>
    <cellStyle name="Comma 2 60" xfId="520"/>
    <cellStyle name="Comma 2 2 42" xfId="521"/>
    <cellStyle name="Normal 3 3 42" xfId="522"/>
    <cellStyle name="Normal 3 2 2 2 67" xfId="523"/>
    <cellStyle name="Normal 123" xfId="524"/>
    <cellStyle name="Comma 2 61" xfId="525"/>
    <cellStyle name="Normal 124" xfId="526"/>
    <cellStyle name="Normal 3 2 2 2 68" xfId="527"/>
    <cellStyle name="Comma 97" xfId="528"/>
    <cellStyle name="Normal 3 3 2 19" xfId="529"/>
    <cellStyle name="Normal 3 45" xfId="530"/>
    <cellStyle name="Comma 2 62" xfId="531"/>
    <cellStyle name="Comma 2 2 43" xfId="532"/>
    <cellStyle name="Normal 3 3 43" xfId="533"/>
    <cellStyle name="Normal 3 2 2 2 69" xfId="534"/>
    <cellStyle name="Comma 2 63" xfId="535"/>
    <cellStyle name="Normal 124 2" xfId="536"/>
    <cellStyle name="Normal 3 3 2 19 2" xfId="537"/>
    <cellStyle name="Comma 97 2" xfId="538"/>
    <cellStyle name="Comma 2 64" xfId="539"/>
    <cellStyle name="Comma 2 2 44" xfId="540"/>
    <cellStyle name="Normal 3 2 2 2 70" xfId="541"/>
    <cellStyle name="Normal 125" xfId="542"/>
    <cellStyle name="Normal 3 2 2 2 71" xfId="543"/>
    <cellStyle name="Comma 98" xfId="544"/>
    <cellStyle name="Normal 3 3 2 20" xfId="545"/>
    <cellStyle name="Normal 126" xfId="546"/>
    <cellStyle name="Comma 2 65" xfId="547"/>
    <cellStyle name="Normal 3 46" xfId="548"/>
    <cellStyle name="Comma 2 66" xfId="549"/>
    <cellStyle name="Comma 2 2 45" xfId="550"/>
    <cellStyle name="Normal 3 3 44" xfId="551"/>
    <cellStyle name="Normal 3 2 2 2 72" xfId="552"/>
    <cellStyle name="Normal 127" xfId="553"/>
    <cellStyle name="Normal 3 2 2 2 73" xfId="554"/>
    <cellStyle name="Comma 99" xfId="555"/>
    <cellStyle name="Normal 128" xfId="556"/>
    <cellStyle name="Comma 100" xfId="557"/>
    <cellStyle name="Normal 129" xfId="558"/>
    <cellStyle name="Normal 3 2 2 2 74" xfId="559"/>
    <cellStyle name="Comma 101" xfId="560"/>
    <cellStyle name="Normal 3 3 2 21" xfId="561"/>
    <cellStyle name="Normal 130" xfId="562"/>
    <cellStyle name="Comma 102" xfId="563"/>
    <cellStyle name="Normal 3 47" xfId="564"/>
    <cellStyle name="Comma 2 67" xfId="565"/>
    <cellStyle name="Comma 2 2 46" xfId="566"/>
    <cellStyle name="Normal 3 3 45" xfId="567"/>
    <cellStyle name="Normal 3 2 2 2 75" xfId="568"/>
    <cellStyle name="Normal 131" xfId="569"/>
    <cellStyle name="Comma 2 68" xfId="570"/>
    <cellStyle name="Normal 132" xfId="571"/>
    <cellStyle name="Normal 3 2 2 2 76" xfId="572"/>
    <cellStyle name="Comma 103" xfId="573"/>
    <cellStyle name="Normal 3 3 2 22" xfId="574"/>
    <cellStyle name="Normal 133" xfId="575"/>
    <cellStyle name="Normal 3 2 2 2 77" xfId="576"/>
    <cellStyle name="Comma 104" xfId="577"/>
    <cellStyle name="Normal 3 3 2 23" xfId="578"/>
    <cellStyle name="Comma 2 69" xfId="579"/>
    <cellStyle name="Comma 2 2 47" xfId="580"/>
    <cellStyle name="Normal 134" xfId="581"/>
    <cellStyle name="Comma 2 70" xfId="582"/>
    <cellStyle name="Normal 3 48" xfId="583"/>
    <cellStyle name="Comma 2 71" xfId="584"/>
    <cellStyle name="Comma 2 2 48" xfId="585"/>
    <cellStyle name="Normal 3 3 46" xfId="586"/>
    <cellStyle name="Normal 3 2 2 2 78" xfId="587"/>
    <cellStyle name="Comma 105" xfId="588"/>
    <cellStyle name="Normal 3 2 2 2 79" xfId="589"/>
    <cellStyle name="Comma 2 4 2" xfId="590"/>
    <cellStyle name="Comma 2 2 2 2" xfId="591"/>
    <cellStyle name="Normal 3 3 2 24" xfId="592"/>
    <cellStyle name="Normal 135" xfId="593"/>
    <cellStyle name="Normal 3 2 2 2 80" xfId="594"/>
    <cellStyle name="Comma 106" xfId="595"/>
    <cellStyle name="Normal 136" xfId="596"/>
    <cellStyle name="Normal 132 2" xfId="597"/>
    <cellStyle name="Normal 3 3 2 25" xfId="598"/>
    <cellStyle name="Comma 107" xfId="599"/>
    <cellStyle name="Normal 3 3 2 22 2" xfId="600"/>
    <cellStyle name="Comma 103 2" xfId="601"/>
    <cellStyle name="Normal 137" xfId="602"/>
    <cellStyle name="Comma 2 72" xfId="603"/>
    <cellStyle name="Normal 138" xfId="604"/>
    <cellStyle name="Normal 3 2 2 2 81" xfId="605"/>
    <cellStyle name="Comma 108" xfId="606"/>
    <cellStyle name="Normal 3 3 2 26" xfId="607"/>
    <cellStyle name="Normal 139" xfId="608"/>
    <cellStyle name="Comma 2 73" xfId="609"/>
    <cellStyle name="Normal 140" xfId="610"/>
    <cellStyle name="Comma 109" xfId="611"/>
    <cellStyle name="Normal 141" xfId="612"/>
    <cellStyle name="Normal 3 2 2 2 82" xfId="613"/>
    <cellStyle name="Comma 110" xfId="614"/>
    <cellStyle name="Normal 3 3 2 27" xfId="615"/>
    <cellStyle name="Normal 80 2 2" xfId="616"/>
    <cellStyle name="Comma 58 2 2" xfId="617"/>
    <cellStyle name="Emart 3 2 2" xfId="618"/>
    <cellStyle name="Normal 3 2 2 2 83" xfId="619"/>
    <cellStyle name="Comma 2 4 3" xfId="620"/>
    <cellStyle name="Comma 2 2 2 3" xfId="621"/>
    <cellStyle name="Normal 3 3 2 28" xfId="622"/>
    <cellStyle name="Normal 3 2 2 2 83 2" xfId="623"/>
    <cellStyle name="Comma 2 4 3 2" xfId="624"/>
    <cellStyle name="Comma 2 2 2 3 2" xfId="625"/>
    <cellStyle name="Normal 3 4 3" xfId="626"/>
    <cellStyle name="Normal 3 3 2 28 2" xfId="627"/>
    <cellStyle name="Comma 2 4 4" xfId="628"/>
    <cellStyle name="Normal 2 2 3" xfId="629"/>
    <cellStyle name="Normal 139 2" xfId="630"/>
    <cellStyle name="Normal 142" xfId="631"/>
    <cellStyle name="Normal 3 3 2 29" xfId="632"/>
    <cellStyle name="Normal 3 2 2 2 25 2" xfId="633"/>
    <cellStyle name="Normal 7 2" xfId="634"/>
    <cellStyle name="Normal 143" xfId="635"/>
    <cellStyle name="Normal 3 2 2 2 84" xfId="636"/>
    <cellStyle name="Comma 111" xfId="637"/>
    <cellStyle name="Normal 3 3 2 28 2 2" xfId="638"/>
    <cellStyle name="Normal 144" xfId="639"/>
    <cellStyle name="Comma 112" xfId="640"/>
    <cellStyle name="Normal 145" xfId="641"/>
    <cellStyle name="Normal 3 2 2 2 85" xfId="642"/>
    <cellStyle name="Comma 113" xfId="643"/>
    <cellStyle name="Normal 146" xfId="644"/>
    <cellStyle name="Comma 114" xfId="645"/>
    <cellStyle name="Normal 147" xfId="646"/>
    <cellStyle name="Comma 115" xfId="647"/>
    <cellStyle name="cf1" xfId="648"/>
    <cellStyle name="cf2" xfId="649"/>
    <cellStyle name="cf3" xfId="650"/>
    <cellStyle name="Comma 3 5" xfId="651"/>
    <cellStyle name="Excel Built-in Accent1 2" xfId="652"/>
    <cellStyle name="Normal 10 3" xfId="653"/>
    <cellStyle name="Normal 2 4" xfId="654"/>
    <cellStyle name="Normal 3 49" xfId="655"/>
    <cellStyle name="Normal 3 2 2 2 86" xfId="656"/>
    <cellStyle name="Normal 4 5" xfId="657"/>
    <cellStyle name="Normal 148" xfId="658"/>
    <cellStyle name="Comma 116" xfId="659"/>
    <cellStyle name="Normal 3 2 2 2 87" xfId="660"/>
    <cellStyle name="Comma 4 2" xfId="661"/>
    <cellStyle name="Emart 2 2" xfId="662"/>
    <cellStyle name="Normal 149" xfId="663"/>
    <cellStyle name="Comma 117" xfId="664"/>
    <cellStyle name="Emart 4" xfId="665"/>
    <cellStyle name="Accent1 2" xfId="666"/>
    <cellStyle name="Hyperlink 3" xfId="667"/>
    <cellStyle name="Normal 2 4 2" xfId="668"/>
    <cellStyle name="Normal 150" xfId="669"/>
    <cellStyle name="Normal 2 5" xfId="670"/>
    <cellStyle name="Comma 118" xfId="671"/>
    <cellStyle name="Comma 3 6" xfId="672"/>
    <cellStyle name="Comma 2 74" xfId="673"/>
    <cellStyle name="Normal 151" xfId="674"/>
    <cellStyle name="Comma 119" xfId="675"/>
    <cellStyle name="Normal 152" xfId="676"/>
    <cellStyle name="Comma 120" xfId="677"/>
    <cellStyle name="Emart 5" xfId="678"/>
    <cellStyle name="Normal 2 4 2 2" xfId="679"/>
    <cellStyle name="Normal 153" xfId="680"/>
    <cellStyle name="Comma 121" xfId="681"/>
    <cellStyle name="Normal 152 2" xfId="682"/>
    <cellStyle name="Comma 120 2" xfId="683"/>
    <cellStyle name="Normal 2 4 2 2 2" xfId="684"/>
    <cellStyle name="Comma 122" xfId="685"/>
    <cellStyle name="Normal 154" xfId="686"/>
    <cellStyle name="Normal 152 2 2" xfId="687"/>
    <cellStyle name="Normal 153 2" xfId="688"/>
    <cellStyle name="Comma 120 2 2" xfId="689"/>
    <cellStyle name="Normal 155" xfId="690"/>
    <cellStyle name="Comma 123" xfId="691"/>
    <cellStyle name="Normal 152 2 3" xfId="692"/>
    <cellStyle name="Normal 3 2 2 2 25 3" xfId="693"/>
    <cellStyle name="Normal 153 2 2" xfId="694"/>
    <cellStyle name="Comma 120 2 2 2" xfId="695"/>
    <cellStyle name="Normal 152 2 2 2" xfId="696"/>
    <cellStyle name="Normal 2 4 2 2 2 2" xfId="697"/>
    <cellStyle name="Comma 124" xfId="698"/>
    <cellStyle name="Normal 156" xfId="699"/>
    <cellStyle name="Comma 125" xfId="700"/>
    <cellStyle name="Emart 6" xfId="701"/>
    <cellStyle name="Normal 152 2 2 2 2" xfId="702"/>
    <cellStyle name="Normal 80 2 2 2" xfId="703"/>
    <cellStyle name="Comma 58 2 2 2" xfId="704"/>
    <cellStyle name="Emart 3 2 2 2" xfId="705"/>
    <cellStyle name="Accent1 2 2" xfId="706"/>
    <cellStyle name="Normal 157" xfId="707"/>
    <cellStyle name="Comma 126" xfId="708"/>
    <cellStyle name="Normal 152 2 2 2 3" xfId="709"/>
    <cellStyle name="Normal 3 48 2" xfId="710"/>
    <cellStyle name="Normal 134 2" xfId="711"/>
    <cellStyle name="Comma 127" xfId="712"/>
    <cellStyle name="Comma 128" xfId="713"/>
    <cellStyle name="Normal 158" xfId="714"/>
    <cellStyle name="Normal 152 2 2 2 4" xfId="715"/>
    <cellStyle name="Emart 5 2" xfId="716"/>
    <cellStyle name="Normal 159" xfId="717"/>
    <cellStyle name="Comma 129" xfId="718"/>
    <cellStyle name="Normal 152 2 2 2 5" xfId="719"/>
    <cellStyle name="Normal 160" xfId="720"/>
    <cellStyle name="Normal 3 50" xfId="721"/>
    <cellStyle name="Comma 2 75" xfId="722"/>
    <cellStyle name="Comma 2 2 49" xfId="723"/>
    <cellStyle name="Normal 3 3 47" xfId="724"/>
    <cellStyle name="Normal 3 2 2 2 88" xfId="725"/>
    <cellStyle name="Normal 161" xfId="726"/>
    <cellStyle name="Comma 130" xfId="727"/>
    <cellStyle name="Normal 152 2 2 2 4 2" xfId="728"/>
    <cellStyle name="Normal 153 2 2 2" xfId="729"/>
    <cellStyle name="Comma 120 2 2 2 2" xfId="730"/>
    <cellStyle name="Normal 162" xfId="731"/>
    <cellStyle name="Comma 131" xfId="732"/>
    <cellStyle name="Normal 161 2" xfId="733"/>
    <cellStyle name="Comma 130 2" xfId="734"/>
    <cellStyle name="Normal 152 2 2 2 4 2 2" xfId="735"/>
    <cellStyle name="Normal 153 2 2 2 2" xfId="736"/>
    <cellStyle name="Comma 120 2 2 2 2 2" xfId="737"/>
    <cellStyle name="Normal 2 6" xfId="738"/>
    <cellStyle name="Comma 132" xfId="739"/>
    <cellStyle name="Normal 163" xfId="740"/>
    <cellStyle name="Normal 152 2 2 2 6" xfId="741"/>
    <cellStyle name="Normal 161 3" xfId="742"/>
    <cellStyle name="Comma 130 3" xfId="743"/>
    <cellStyle name="Normal 152 2 2 2 4 2 3" xfId="744"/>
    <cellStyle name="Normal 152 2 2 2 6 2" xfId="745"/>
    <cellStyle name="Comma 133" xfId="746"/>
    <cellStyle name="Comma 132 2" xfId="747"/>
    <cellStyle name="Normal 161 3 2" xfId="748"/>
    <cellStyle name="Normal 162 2" xfId="749"/>
    <cellStyle name="Comma 130 3 2" xfId="750"/>
    <cellStyle name="Normal 152 2 2 2 4 2 3 2" xfId="751"/>
    <cellStyle name="Normal 161 2 2" xfId="752"/>
    <cellStyle name="Normal 153 2 2 2 2 2" xfId="753"/>
    <cellStyle name="Comma 120 2 2 2 2 2 2" xfId="754"/>
    <cellStyle name="Comma 134" xfId="755"/>
    <cellStyle name="Normal 164" xfId="756"/>
    <cellStyle name="Normal 163 2" xfId="757"/>
    <cellStyle name="Normal 152 2 2 2 6 2 2" xfId="758"/>
    <cellStyle name="Normal 161 3 2 2" xfId="759"/>
    <cellStyle name="Comma 130 3 2 2" xfId="760"/>
    <cellStyle name="Normal 152 2 2 2 4 2 3 2 2" xfId="761"/>
    <cellStyle name="Normal 162 2 2" xfId="762"/>
    <cellStyle name="Normal 161 2 2 2" xfId="763"/>
    <cellStyle name="Normal 153 2 2 2 2 2 2" xfId="764"/>
    <cellStyle name="Comma 120 2 2 2 2 2 2 2" xfId="765"/>
    <cellStyle name="Normal 165" xfId="766"/>
    <cellStyle name="Comma 135" xfId="767"/>
    <cellStyle name="Emart 7" xfId="768"/>
    <cellStyle name="Normal 8 2" xfId="769"/>
    <cellStyle name="Comma 4 3" xfId="770"/>
    <cellStyle name="Normal 4 3 2" xfId="771"/>
    <cellStyle name="Comma 3 3 2" xfId="772"/>
    <cellStyle name="Normal 10 4" xfId="773"/>
    <cellStyle name="40% - Accent3 2 2" xfId="774"/>
    <cellStyle name="Normal 3 3 2 30" xfId="775"/>
    <cellStyle name="Normal 3 2 2 2 89" xfId="776"/>
    <cellStyle name="Normal 3 4 4" xfId="777"/>
    <cellStyle name="Comma 2 4 5" xfId="778"/>
    <cellStyle name="Comma 2 2 2 4" xfId="779"/>
    <cellStyle name="Comma 5 2" xfId="780"/>
    <cellStyle name="Normal 13 3" xfId="781"/>
    <cellStyle name="Comma 6 3" xfId="782"/>
    <cellStyle name="Normal 14 2" xfId="783"/>
    <cellStyle name="Comma 7 2" xfId="784"/>
    <cellStyle name="Normal 15 2" xfId="785"/>
    <cellStyle name="Normal 17 2" xfId="786"/>
    <cellStyle name="Comma 9 2" xfId="787"/>
    <cellStyle name="Normal 18 2" xfId="788"/>
    <cellStyle name="Normal 13 2 3" xfId="789"/>
    <cellStyle name="Comma 6 2 2" xfId="790"/>
    <cellStyle name="Comma 10 2" xfId="791"/>
    <cellStyle name="Normal 3 5 2" xfId="792"/>
    <cellStyle name="Comma 2 5 2" xfId="793"/>
    <cellStyle name="Comma 2 2 3 2" xfId="794"/>
    <cellStyle name="Normal 3 3 3 2" xfId="795"/>
    <cellStyle name="Normal 19 2" xfId="796"/>
    <cellStyle name="Normal 20 2" xfId="797"/>
    <cellStyle name="Normal 22 2" xfId="798"/>
    <cellStyle name="Comma 12 2" xfId="799"/>
    <cellStyle name="Normal 23 2" xfId="800"/>
    <cellStyle name="Normal 24 2" xfId="801"/>
    <cellStyle name="Comma 13 2" xfId="802"/>
    <cellStyle name="Normal 3 6 2" xfId="803"/>
    <cellStyle name="Comma 2 6 2" xfId="804"/>
    <cellStyle name="Comma 2 2 4 2" xfId="805"/>
    <cellStyle name="Normal 3 3 4 2" xfId="806"/>
    <cellStyle name="Normal 3 7 2" xfId="807"/>
    <cellStyle name="Comma 2 7 2" xfId="808"/>
    <cellStyle name="Comma 2 2 5 2" xfId="809"/>
    <cellStyle name="Normal 3 3 5 2" xfId="810"/>
    <cellStyle name="Normal 25 2" xfId="811"/>
    <cellStyle name="Comma 14 2" xfId="812"/>
    <cellStyle name="Normal 26 2" xfId="813"/>
    <cellStyle name="Comma 15 2" xfId="814"/>
    <cellStyle name="Normal 27 2" xfId="815"/>
    <cellStyle name="Comma 16 2" xfId="816"/>
    <cellStyle name="Normal 28 2" xfId="817"/>
    <cellStyle name="Normal 29 2" xfId="818"/>
    <cellStyle name="Comma 17 2" xfId="819"/>
    <cellStyle name="Normal 30 2" xfId="820"/>
    <cellStyle name="Comma 18 2" xfId="821"/>
    <cellStyle name="Normal 3 8 2" xfId="822"/>
    <cellStyle name="Comma 2 8 2" xfId="823"/>
    <cellStyle name="Comma 2 2 6 2" xfId="824"/>
    <cellStyle name="Normal 3 3 6 2" xfId="825"/>
    <cellStyle name="Normal 31 2" xfId="826"/>
    <cellStyle name="Comma 19 2" xfId="827"/>
    <cellStyle name="Normal 32 2" xfId="828"/>
    <cellStyle name="Normal 33 2" xfId="829"/>
    <cellStyle name="Comma 20 2" xfId="830"/>
    <cellStyle name="Normal 3 9 2" xfId="831"/>
    <cellStyle name="Comma 2 9 2" xfId="832"/>
    <cellStyle name="Comma 2 2 7 2" xfId="833"/>
    <cellStyle name="Normal 3 3 7 2" xfId="834"/>
    <cellStyle name="Normal 34 2" xfId="835"/>
    <cellStyle name="Normal 35 2" xfId="836"/>
    <cellStyle name="Normal 3 10 2" xfId="837"/>
    <cellStyle name="Comma 2 10 2" xfId="838"/>
    <cellStyle name="Comma 2 2 8 2" xfId="839"/>
    <cellStyle name="Normal 3 3 8 2" xfId="840"/>
    <cellStyle name="Normal 3 11 2" xfId="841"/>
    <cellStyle name="Comma 2 11 2" xfId="842"/>
    <cellStyle name="Comma 2 2 9 2" xfId="843"/>
    <cellStyle name="Normal 3 3 9 2" xfId="844"/>
    <cellStyle name="Normal 36 2" xfId="845"/>
    <cellStyle name="Comma 21 2" xfId="846"/>
    <cellStyle name="Normal 37 2" xfId="847"/>
    <cellStyle name="Normal 3 12 2" xfId="848"/>
    <cellStyle name="Comma 2 12 2" xfId="849"/>
    <cellStyle name="Comma 2 2 10 2" xfId="850"/>
    <cellStyle name="Normal 3 3 10 2" xfId="851"/>
    <cellStyle name="Normal 38 2" xfId="852"/>
    <cellStyle name="Normal 39 2" xfId="853"/>
    <cellStyle name="Comma 22 2" xfId="854"/>
    <cellStyle name="Normal 3 13 2" xfId="855"/>
    <cellStyle name="Comma 2 13 2" xfId="856"/>
    <cellStyle name="Comma 2 2 11 2" xfId="857"/>
    <cellStyle name="Normal 3 3 11 2" xfId="858"/>
    <cellStyle name="Normal 40 2" xfId="859"/>
    <cellStyle name="Comma 23 2" xfId="860"/>
    <cellStyle name="Comma 24 2" xfId="861"/>
    <cellStyle name="Normal 41 2" xfId="862"/>
    <cellStyle name="Normal 42 2" xfId="863"/>
    <cellStyle name="Comma 25 2" xfId="864"/>
    <cellStyle name="Normal 3 14 2" xfId="865"/>
    <cellStyle name="Comma 2 14 2" xfId="866"/>
    <cellStyle name="Comma 2 2 12 2" xfId="867"/>
    <cellStyle name="Normal 3 3 12 2" xfId="868"/>
    <cellStyle name="Normal 43 2" xfId="869"/>
    <cellStyle name="Comma 26 2" xfId="870"/>
    <cellStyle name="Normal 3 15 2" xfId="871"/>
    <cellStyle name="Comma 2 15 2" xfId="872"/>
    <cellStyle name="Comma 2 2 13 2" xfId="873"/>
    <cellStyle name="Normal 3 3 13 2" xfId="874"/>
    <cellStyle name="Normal 44 2" xfId="875"/>
    <cellStyle name="Comma 28 2" xfId="876"/>
    <cellStyle name="Normal 45 2" xfId="877"/>
    <cellStyle name="Normal 3 16 2" xfId="878"/>
    <cellStyle name="Comma 2 16 2" xfId="879"/>
    <cellStyle name="Comma 2 2 14 2" xfId="880"/>
    <cellStyle name="Normal 3 3 14 2" xfId="881"/>
    <cellStyle name="Normal 46 2" xfId="882"/>
    <cellStyle name="Comma 29 2" xfId="883"/>
    <cellStyle name="Normal 47 2" xfId="884"/>
    <cellStyle name="Normal 3 17 2" xfId="885"/>
    <cellStyle name="Comma 2 17 2" xfId="886"/>
    <cellStyle name="Comma 2 2 15 2" xfId="887"/>
    <cellStyle name="Normal 3 3 15 2" xfId="888"/>
    <cellStyle name="Normal 3 2 2 2 2 2" xfId="889"/>
    <cellStyle name="Normal 48 2" xfId="890"/>
    <cellStyle name="Normal 3 2 2 2 3 2" xfId="891"/>
    <cellStyle name="Comma 30 2" xfId="892"/>
    <cellStyle name="Normal 49 2" xfId="893"/>
    <cellStyle name="Comma 31 2" xfId="894"/>
    <cellStyle name="Normal 50 2" xfId="895"/>
    <cellStyle name="Normal 3 2 2 2 4 2" xfId="896"/>
    <cellStyle name="Comma 32 2" xfId="897"/>
    <cellStyle name="Normal 3 18 2" xfId="898"/>
    <cellStyle name="Comma 2 18 2" xfId="899"/>
    <cellStyle name="Comma 2 2 16 2" xfId="900"/>
    <cellStyle name="Normal 3 3 16 2" xfId="901"/>
    <cellStyle name="Normal 3 2 2 2 5 2" xfId="902"/>
    <cellStyle name="Normal 51 2" xfId="903"/>
    <cellStyle name="Emart 2 3" xfId="904"/>
    <cellStyle name="Normal 13 2 2 2" xfId="905"/>
    <cellStyle name="Normal 3 4 2 2" xfId="906"/>
    <cellStyle name="Normal 3 2 2 2 6 2" xfId="907"/>
    <cellStyle name="Comma 33 2" xfId="908"/>
    <cellStyle name="Normal 52 2" xfId="909"/>
    <cellStyle name="Normal 53 2" xfId="910"/>
    <cellStyle name="Normal 3 19 2" xfId="911"/>
    <cellStyle name="Comma 2 19 2" xfId="912"/>
    <cellStyle name="Comma 2 2 17 2" xfId="913"/>
    <cellStyle name="Normal 3 3 17 2" xfId="914"/>
    <cellStyle name="Normal 3 2 2 2 7 2" xfId="915"/>
    <cellStyle name="Normal 54 2" xfId="916"/>
    <cellStyle name="Normal 55 2" xfId="917"/>
    <cellStyle name="Normal 3 2 2 2 8 2" xfId="918"/>
    <cellStyle name="Comma 34 2" xfId="919"/>
    <cellStyle name="Normal 56 2" xfId="920"/>
    <cellStyle name="Comma 35 2" xfId="921"/>
    <cellStyle name="Normal 57 2" xfId="922"/>
    <cellStyle name="Normal 3 2 2 2 9 2" xfId="923"/>
    <cellStyle name="Comma 36 2" xfId="924"/>
    <cellStyle name="Normal 3 20 2" xfId="925"/>
    <cellStyle name="Comma 2 20 2" xfId="926"/>
    <cellStyle name="Comma 2 2 18 2" xfId="927"/>
    <cellStyle name="Normal 3 3 18 2" xfId="928"/>
    <cellStyle name="Normal 3 2 2 2 10 2" xfId="929"/>
    <cellStyle name="Normal 58 2" xfId="930"/>
    <cellStyle name="Normal 59 2" xfId="931"/>
    <cellStyle name="Normal 3 2 2 2 11 2" xfId="932"/>
    <cellStyle name="Comma 37 2" xfId="933"/>
    <cellStyle name="Normal 60 2" xfId="934"/>
    <cellStyle name="Comma 38 2" xfId="935"/>
    <cellStyle name="Normal 61 2" xfId="936"/>
    <cellStyle name="Normal 3 2 2 2 12 2" xfId="937"/>
    <cellStyle name="Comma 39 2" xfId="938"/>
    <cellStyle name="Normal 3 21 2" xfId="939"/>
    <cellStyle name="Comma 2 21 2" xfId="940"/>
    <cellStyle name="Comma 2 2 19 2" xfId="941"/>
    <cellStyle name="Normal 3 3 19 2" xfId="942"/>
    <cellStyle name="Normal 3 2 2 2 13 2" xfId="943"/>
    <cellStyle name="Normal 62 2" xfId="944"/>
    <cellStyle name="Comma 40 2" xfId="945"/>
    <cellStyle name="Normal 63 2" xfId="946"/>
    <cellStyle name="Normal 3 2 2 2 14 2" xfId="947"/>
    <cellStyle name="Comma 41 2" xfId="948"/>
    <cellStyle name="Normal 64 2" xfId="949"/>
    <cellStyle name="Normal 3 22 2" xfId="950"/>
    <cellStyle name="Comma 2 22 2" xfId="951"/>
    <cellStyle name="Comma 2 2 20 2" xfId="952"/>
    <cellStyle name="Normal 3 3 20 2" xfId="953"/>
    <cellStyle name="Normal 3 2 2 2 15 2" xfId="954"/>
    <cellStyle name="Normal 65 2" xfId="955"/>
    <cellStyle name="Comma 42 2" xfId="956"/>
    <cellStyle name="Normal 66 2" xfId="957"/>
    <cellStyle name="Normal 3 2 2 2 16 2" xfId="958"/>
    <cellStyle name="Comma 43 2" xfId="959"/>
    <cellStyle name="Normal 67 2" xfId="960"/>
    <cellStyle name="Normal 3 2 2 2 17 2" xfId="961"/>
    <cellStyle name="Comma 44 2" xfId="962"/>
    <cellStyle name="Normal 3 23 2" xfId="963"/>
    <cellStyle name="Comma 2 23 2" xfId="964"/>
    <cellStyle name="Comma 2 2 21 2" xfId="965"/>
    <cellStyle name="Normal 3 3 21 2" xfId="966"/>
    <cellStyle name="Normal 3 2 2 2 18 2" xfId="967"/>
    <cellStyle name="Comma 45 2" xfId="968"/>
    <cellStyle name="Normal 68 2" xfId="969"/>
    <cellStyle name="Normal 69 2" xfId="970"/>
    <cellStyle name="Normal 3 2 2 2 19 2" xfId="971"/>
    <cellStyle name="Comma 46 2" xfId="972"/>
    <cellStyle name="Normal 70 2" xfId="973"/>
    <cellStyle name="Comma 47 2" xfId="974"/>
    <cellStyle name="Normal 3 24 2" xfId="975"/>
    <cellStyle name="Comma 2 24 2" xfId="976"/>
    <cellStyle name="Comma 2 2 22 2" xfId="977"/>
    <cellStyle name="Normal 3 3 22 2" xfId="978"/>
    <cellStyle name="Normal 3 2 2 2 20 2" xfId="979"/>
    <cellStyle name="Normal 71 2" xfId="980"/>
    <cellStyle name="Comma 48 2" xfId="981"/>
    <cellStyle name="Normal 72 2" xfId="982"/>
    <cellStyle name="Normal 3 2 2 2 21 2" xfId="983"/>
    <cellStyle name="Comma 49 2" xfId="984"/>
    <cellStyle name="Normal 3 25 2" xfId="985"/>
    <cellStyle name="Comma 2 25 2" xfId="986"/>
    <cellStyle name="Comma 2 2 23 2" xfId="987"/>
    <cellStyle name="Normal 3 3 23 2" xfId="988"/>
    <cellStyle name="Normal 3 2 2 2 22 2" xfId="989"/>
    <cellStyle name="Comma 50 2" xfId="990"/>
    <cellStyle name="Normal 73 2" xfId="991"/>
    <cellStyle name="Comma 51 2" xfId="992"/>
    <cellStyle name="Normal 74 2" xfId="993"/>
    <cellStyle name="Normal 3 2 2 2 23 2" xfId="994"/>
    <cellStyle name="Comma 52 2" xfId="995"/>
    <cellStyle name="Normal 75 2" xfId="996"/>
    <cellStyle name="Normal 3 2 2 2 24 2" xfId="997"/>
    <cellStyle name="Comma 53 2" xfId="998"/>
    <cellStyle name="Normal 76 2" xfId="999"/>
    <cellStyle name="Comma 54 2" xfId="1000"/>
    <cellStyle name="Normal 3 26 2" xfId="1001"/>
    <cellStyle name="Comma 2 26 2" xfId="1002"/>
    <cellStyle name="Comma 2 2 24 2" xfId="1003"/>
    <cellStyle name="Normal 3 3 24 2" xfId="1004"/>
    <cellStyle name="Normal 3 2 2 2 25 4" xfId="1005"/>
    <cellStyle name="Normal 77 2" xfId="1006"/>
    <cellStyle name="Normal 3 2 2 2 26 2" xfId="1007"/>
    <cellStyle name="Comma 55 2" xfId="1008"/>
    <cellStyle name="Normal 78 2" xfId="1009"/>
    <cellStyle name="Comma 56 2" xfId="1010"/>
    <cellStyle name="Normal 79 2" xfId="1011"/>
    <cellStyle name="Normal 3 2 2 2 27 2" xfId="1012"/>
    <cellStyle name="Comma 57 2" xfId="1013"/>
    <cellStyle name="Normal 80 3" xfId="1014"/>
    <cellStyle name="Comma 58 3" xfId="1015"/>
    <cellStyle name="Normal 3 27 2" xfId="1016"/>
    <cellStyle name="Comma 2 27 2" xfId="1017"/>
    <cellStyle name="Comma 2 2 25 2" xfId="1018"/>
    <cellStyle name="Normal 3 3 25 2" xfId="1019"/>
    <cellStyle name="Normal 3 2 2 2 28 2" xfId="1020"/>
    <cellStyle name="Comma 59 2" xfId="1021"/>
    <cellStyle name="Normal 81 2" xfId="1022"/>
    <cellStyle name="Normal 3 2 2 2 29 2" xfId="1023"/>
    <cellStyle name="Normal 3 3 2 2 2" xfId="1024"/>
    <cellStyle name="Comma 60 2" xfId="1025"/>
    <cellStyle name="Normal 3 28 2" xfId="1026"/>
    <cellStyle name="Comma 2 28 2" xfId="1027"/>
    <cellStyle name="Comma 2 2 26 2" xfId="1028"/>
    <cellStyle name="Normal 3 3 26 2" xfId="1029"/>
    <cellStyle name="Normal 3 2 2 2 30 2" xfId="1030"/>
    <cellStyle name="Normal 82 2" xfId="1031"/>
    <cellStyle name="Comma 61 2" xfId="1032"/>
    <cellStyle name="Normal 83 2" xfId="1033"/>
    <cellStyle name="Comma 62 2" xfId="1034"/>
    <cellStyle name="Normal 84 2" xfId="1035"/>
    <cellStyle name="Normal 3 2 2 2 31 2" xfId="1036"/>
    <cellStyle name="Normal 3 3 2 3 2" xfId="1037"/>
    <cellStyle name="Comma 63 2" xfId="1038"/>
    <cellStyle name="Normal 85 2" xfId="1039"/>
    <cellStyle name="Comma 2 29 2" xfId="1040"/>
    <cellStyle name="Normal 3 29 2" xfId="1041"/>
    <cellStyle name="Comma 2 30 2" xfId="1042"/>
    <cellStyle name="Comma 2 2 27 2" xfId="1043"/>
    <cellStyle name="Normal 3 3 27 2" xfId="1044"/>
    <cellStyle name="Normal 3 2 2 2 32 2" xfId="1045"/>
    <cellStyle name="Normal 86 2" xfId="1046"/>
    <cellStyle name="Normal 3 2 2 2 33 2" xfId="1047"/>
    <cellStyle name="Comma 64 2" xfId="1048"/>
    <cellStyle name="Normal 87 2" xfId="1049"/>
    <cellStyle name="Normal 3 2 2 2 34 2" xfId="1050"/>
    <cellStyle name="Normal 3 3 2 4 2" xfId="1051"/>
    <cellStyle name="Comma 65 2" xfId="1052"/>
    <cellStyle name="Normal 88 2" xfId="1053"/>
    <cellStyle name="Normal 3 2 2 2 35 2" xfId="1054"/>
    <cellStyle name="Comma 66 2" xfId="1055"/>
    <cellStyle name="Normal 89 2" xfId="1056"/>
    <cellStyle name="Comma 2 31 2" xfId="1057"/>
    <cellStyle name="Normal 3 30 2" xfId="1058"/>
    <cellStyle name="Comma 2 32 2" xfId="1059"/>
    <cellStyle name="Comma 2 2 28 2" xfId="1060"/>
    <cellStyle name="Normal 3 3 28 2" xfId="1061"/>
    <cellStyle name="Normal 3 2 2 2 36 2" xfId="1062"/>
    <cellStyle name="Normal 90 2" xfId="1063"/>
    <cellStyle name="Comma 67 2" xfId="1064"/>
    <cellStyle name="Normal 91 2" xfId="1065"/>
    <cellStyle name="Normal 3 2 2 2 37 2" xfId="1066"/>
    <cellStyle name="Comma 68 2" xfId="1067"/>
    <cellStyle name="Normal 3 3 2 5 2" xfId="1068"/>
    <cellStyle name="Normal 3 31 2" xfId="1069"/>
    <cellStyle name="Comma 2 33 2" xfId="1070"/>
    <cellStyle name="Comma 2 2 29 2" xfId="1071"/>
    <cellStyle name="Normal 3 3 29 2" xfId="1072"/>
    <cellStyle name="Normal 3 2 2 2 38 2" xfId="1073"/>
    <cellStyle name="Comma 2 34 2" xfId="1074"/>
    <cellStyle name="Normal 92 2" xfId="1075"/>
    <cellStyle name="Comma 69 2" xfId="1076"/>
    <cellStyle name="Normal 93 2" xfId="1077"/>
    <cellStyle name="Normal 3 2 2 2 39 2" xfId="1078"/>
    <cellStyle name="Normal 3 3 2 6 2" xfId="1079"/>
    <cellStyle name="Comma 70 2" xfId="1080"/>
    <cellStyle name="Normal 94 2" xfId="1081"/>
    <cellStyle name="Comma 2 35 2" xfId="1082"/>
    <cellStyle name="Normal 95 2" xfId="1083"/>
    <cellStyle name="Comma 71 2" xfId="1084"/>
    <cellStyle name="Normal 3 32 2" xfId="1085"/>
    <cellStyle name="Comma 2 36 2" xfId="1086"/>
    <cellStyle name="Comma 2 2 30 2" xfId="1087"/>
    <cellStyle name="Normal 3 3 30 2" xfId="1088"/>
    <cellStyle name="Normal 3 2 2 2 40 2" xfId="1089"/>
    <cellStyle name="Normal 96 2" xfId="1090"/>
    <cellStyle name="Normal 3 2 2 2 41 2" xfId="1091"/>
    <cellStyle name="Comma 72 2" xfId="1092"/>
    <cellStyle name="Normal 3 3 2 7 2" xfId="1093"/>
    <cellStyle name="Normal 97 2" xfId="1094"/>
    <cellStyle name="Comma 2 37 2" xfId="1095"/>
    <cellStyle name="Comma 73 2" xfId="1096"/>
    <cellStyle name="Normal 3 33 2" xfId="1097"/>
    <cellStyle name="Comma 2 38 2" xfId="1098"/>
    <cellStyle name="Comma 2 2 31 2" xfId="1099"/>
    <cellStyle name="Normal 3 3 31 2" xfId="1100"/>
    <cellStyle name="Normal 3 2 2 2 42 2" xfId="1101"/>
    <cellStyle name="Normal 98 2" xfId="1102"/>
    <cellStyle name="Normal 3 2 2 2 43 2" xfId="1103"/>
    <cellStyle name="Comma 74 2" xfId="1104"/>
    <cellStyle name="Normal 3 3 2 8 2" xfId="1105"/>
    <cellStyle name="Normal 3 34 2" xfId="1106"/>
    <cellStyle name="Comma 2 39 2" xfId="1107"/>
    <cellStyle name="Comma 2 2 32 2" xfId="1108"/>
    <cellStyle name="Normal 3 3 32 2" xfId="1109"/>
    <cellStyle name="Normal 3 2 2 2 44 2" xfId="1110"/>
    <cellStyle name="Normal 99 2" xfId="1111"/>
    <cellStyle name="Comma 75 2" xfId="1112"/>
    <cellStyle name="Normal 100 2" xfId="1113"/>
    <cellStyle name="Normal 3 2 2 2 45 2" xfId="1114"/>
    <cellStyle name="Comma 76 2" xfId="1115"/>
    <cellStyle name="Normal 3 3 2 9 2" xfId="1116"/>
    <cellStyle name="Comma 2 40 2" xfId="1117"/>
    <cellStyle name="Normal 101 2" xfId="1118"/>
    <cellStyle name="Normal 3 2 2 2 46 2" xfId="1119"/>
    <cellStyle name="Comma 77 2" xfId="1120"/>
    <cellStyle name="Normal 102 2" xfId="1121"/>
    <cellStyle name="Comma 78 2" xfId="1122"/>
    <cellStyle name="Comma 2 41 2" xfId="1123"/>
    <cellStyle name="Normal 3 35 2" xfId="1124"/>
    <cellStyle name="Comma 2 42 2" xfId="1125"/>
    <cellStyle name="Comma 2 2 33 2" xfId="1126"/>
    <cellStyle name="Normal 3 3 33 2" xfId="1127"/>
    <cellStyle name="Normal 3 2 2 2 47 2" xfId="1128"/>
    <cellStyle name="Normal 103 2" xfId="1129"/>
    <cellStyle name="Normal 3 2 2 2 48 2" xfId="1130"/>
    <cellStyle name="Comma 79 2" xfId="1131"/>
    <cellStyle name="Normal 3 3 2 10 2" xfId="1132"/>
    <cellStyle name="Normal 3 36 2" xfId="1133"/>
    <cellStyle name="Comma 2 43 2" xfId="1134"/>
    <cellStyle name="Comma 2 2 34 2" xfId="1135"/>
    <cellStyle name="Normal 3 3 34 2" xfId="1136"/>
    <cellStyle name="Normal 3 2 2 2 49 2" xfId="1137"/>
    <cellStyle name="Comma 2 44 2" xfId="1138"/>
    <cellStyle name="Normal 104 2" xfId="1139"/>
    <cellStyle name="Comma 80 2" xfId="1140"/>
    <cellStyle name="Normal 105 2" xfId="1141"/>
    <cellStyle name="Normal 3 2 2 2 50 2" xfId="1142"/>
    <cellStyle name="Comma 81 2" xfId="1143"/>
    <cellStyle name="Normal 3 3 2 11 2" xfId="1144"/>
    <cellStyle name="Normal 106 2" xfId="1145"/>
    <cellStyle name="Comma 82 2" xfId="1146"/>
    <cellStyle name="Normal 3 37 2" xfId="1147"/>
    <cellStyle name="Comma 2 45 2" xfId="1148"/>
    <cellStyle name="Comma 2 2 35 2" xfId="1149"/>
    <cellStyle name="Normal 3 3 35 2" xfId="1150"/>
    <cellStyle name="Normal 3 2 2 2 51 2" xfId="1151"/>
    <cellStyle name="Comma 2 46 2" xfId="1152"/>
    <cellStyle name="Normal 3 3 2 12 2" xfId="1153"/>
    <cellStyle name="Normal 3 38 2" xfId="1154"/>
    <cellStyle name="Comma 2 47 2" xfId="1155"/>
    <cellStyle name="Comma 2 2 36 2" xfId="1156"/>
    <cellStyle name="Normal 3 3 36 2" xfId="1157"/>
    <cellStyle name="Normal 3 2 2 2 52 2" xfId="1158"/>
    <cellStyle name="Comma 2 48 2" xfId="1159"/>
    <cellStyle name="Normal 107 2" xfId="1160"/>
    <cellStyle name="Comma 2 49 2" xfId="1161"/>
    <cellStyle name="Comma 83 2" xfId="1162"/>
    <cellStyle name="Normal 108 2" xfId="1163"/>
    <cellStyle name="Normal 3 2 2 2 53 2" xfId="1164"/>
    <cellStyle name="Comma 84 2" xfId="1165"/>
    <cellStyle name="Normal 109 2" xfId="1166"/>
    <cellStyle name="Normal 3 2 2 2 54 2" xfId="1167"/>
    <cellStyle name="Comma 85 2" xfId="1168"/>
    <cellStyle name="Normal 3 3 2 13 2" xfId="1169"/>
    <cellStyle name="Normal 80 2 3" xfId="1170"/>
    <cellStyle name="Comma 58 2 3" xfId="1171"/>
    <cellStyle name="Normal 3 39 2" xfId="1172"/>
    <cellStyle name="Comma 2 50 2" xfId="1173"/>
    <cellStyle name="Comma 2 2 37 2" xfId="1174"/>
    <cellStyle name="Normal 3 3 37 2" xfId="1175"/>
    <cellStyle name="Normal 3 2 2 2 55 2" xfId="1176"/>
    <cellStyle name="Normal 110 2" xfId="1177"/>
    <cellStyle name="Comma 2 51 2" xfId="1178"/>
    <cellStyle name="Normal 111 2" xfId="1179"/>
    <cellStyle name="Normal 3 2 2 2 56 2" xfId="1180"/>
    <cellStyle name="Comma 86 2" xfId="1181"/>
    <cellStyle name="Comma 87 2" xfId="1182"/>
    <cellStyle name="Normal 112 2" xfId="1183"/>
    <cellStyle name="Normal 3 2 2 2 57 2" xfId="1184"/>
    <cellStyle name="Comma 88 2" xfId="1185"/>
    <cellStyle name="Normal 3 3 2 14 2" xfId="1186"/>
    <cellStyle name="Normal 3 40 2" xfId="1187"/>
    <cellStyle name="Comma 2 52 2" xfId="1188"/>
    <cellStyle name="Comma 2 2 38 2" xfId="1189"/>
    <cellStyle name="Normal 3 3 38 2" xfId="1190"/>
    <cellStyle name="Normal 3 2 2 2 58 2" xfId="1191"/>
    <cellStyle name="Normal 113 2" xfId="1192"/>
    <cellStyle name="Normal 3 2 2 2 59 2" xfId="1193"/>
    <cellStyle name="Comma 89 2" xfId="1194"/>
    <cellStyle name="Normal 114 2" xfId="1195"/>
    <cellStyle name="Comma 2 53 2" xfId="1196"/>
    <cellStyle name="Comma 90 2" xfId="1197"/>
    <cellStyle name="Normal 115 2" xfId="1198"/>
    <cellStyle name="Normal 3 2 2 2 60 2" xfId="1199"/>
    <cellStyle name="Comma 91 2" xfId="1200"/>
    <cellStyle name="Normal 3 3 2 15 2" xfId="1201"/>
    <cellStyle name="Normal 116 2" xfId="1202"/>
    <cellStyle name="Comma 2 54 2" xfId="1203"/>
    <cellStyle name="Normal 3 41 2" xfId="1204"/>
    <cellStyle name="Comma 2 55 2" xfId="1205"/>
    <cellStyle name="Comma 2 2 39 2" xfId="1206"/>
    <cellStyle name="Normal 3 3 39 2" xfId="1207"/>
    <cellStyle name="Normal 3 2 2 2 61 2" xfId="1208"/>
    <cellStyle name="Normal 117 2" xfId="1209"/>
    <cellStyle name="Comma 92 2" xfId="1210"/>
    <cellStyle name="Normal 118 2" xfId="1211"/>
    <cellStyle name="Normal 3 2 2 2 62 2" xfId="1212"/>
    <cellStyle name="Comma 93 2" xfId="1213"/>
    <cellStyle name="Normal 3 3 2 16 2" xfId="1214"/>
    <cellStyle name="Normal 3 42 2" xfId="1215"/>
    <cellStyle name="Comma 2 56 2" xfId="1216"/>
    <cellStyle name="Comma 2 2 40 2" xfId="1217"/>
    <cellStyle name="Normal 3 3 40 2" xfId="1218"/>
    <cellStyle name="Normal 3 2 2 2 63 2" xfId="1219"/>
    <cellStyle name="Normal 119 2" xfId="1220"/>
    <cellStyle name="Comma 2 57 2" xfId="1221"/>
    <cellStyle name="Normal 120 2" xfId="1222"/>
    <cellStyle name="Normal 3 2 2 2 64 2" xfId="1223"/>
    <cellStyle name="Comma 94 2" xfId="1224"/>
    <cellStyle name="Normal 3 3 2 17 2" xfId="1225"/>
    <cellStyle name="Normal 3 43 2" xfId="1226"/>
    <cellStyle name="Comma 2 58 2" xfId="1227"/>
    <cellStyle name="Comma 2 2 41 2" xfId="1228"/>
    <cellStyle name="Normal 3 3 41 2" xfId="1229"/>
    <cellStyle name="Normal 3 2 2 2 65 2" xfId="1230"/>
    <cellStyle name="Comma 2 59 2" xfId="1231"/>
    <cellStyle name="Normal 121 2" xfId="1232"/>
    <cellStyle name="Comma 95 2" xfId="1233"/>
    <cellStyle name="Normal 122 2" xfId="1234"/>
    <cellStyle name="Normal 3 2 2 2 66 2" xfId="1235"/>
    <cellStyle name="Comma 96 2" xfId="1236"/>
    <cellStyle name="Normal 3 3 2 18 2" xfId="1237"/>
    <cellStyle name="Normal 3 44 2" xfId="1238"/>
    <cellStyle name="Comma 2 60 2" xfId="1239"/>
    <cellStyle name="Comma 2 2 42 2" xfId="1240"/>
    <cellStyle name="Normal 3 3 42 2" xfId="1241"/>
    <cellStyle name="Normal 3 2 2 2 67 2" xfId="1242"/>
    <cellStyle name="Normal 123 2" xfId="1243"/>
    <cellStyle name="Comma 2 61 2" xfId="1244"/>
    <cellStyle name="Normal 124 3" xfId="1245"/>
    <cellStyle name="Normal 3 2 2 2 68 2" xfId="1246"/>
    <cellStyle name="Comma 97 3" xfId="1247"/>
    <cellStyle name="Normal 3 3 2 19 3" xfId="1248"/>
    <cellStyle name="Normal 3 45 2" xfId="1249"/>
    <cellStyle name="Comma 2 62 2" xfId="1250"/>
    <cellStyle name="Comma 2 2 43 2" xfId="1251"/>
    <cellStyle name="Normal 3 3 43 2" xfId="1252"/>
    <cellStyle name="Normal 3 2 2 2 69 2" xfId="1253"/>
    <cellStyle name="Comma 2 63 2" xfId="1254"/>
    <cellStyle name="Normal 124 2 2" xfId="1255"/>
    <cellStyle name="Normal 3 3 2 19 2 2" xfId="1256"/>
    <cellStyle name="Comma 97 2 2" xfId="1257"/>
    <cellStyle name="Comma 2 64 2" xfId="1258"/>
    <cellStyle name="Comma 2 2 44 2" xfId="1259"/>
    <cellStyle name="Normal 3 2 2 2 70 2" xfId="1260"/>
    <cellStyle name="Normal 125 2" xfId="1261"/>
    <cellStyle name="Normal 3 2 2 2 71 2" xfId="1262"/>
    <cellStyle name="Comma 98 2" xfId="1263"/>
    <cellStyle name="Normal 3 3 2 20 2" xfId="1264"/>
    <cellStyle name="Normal 126 2" xfId="1265"/>
    <cellStyle name="Comma 2 65 2" xfId="1266"/>
    <cellStyle name="Normal 3 46 2" xfId="1267"/>
    <cellStyle name="Comma 2 66 2" xfId="1268"/>
    <cellStyle name="Comma 2 2 45 2" xfId="1269"/>
    <cellStyle name="Normal 3 3 44 2" xfId="1270"/>
    <cellStyle name="Normal 3 2 2 2 72 2" xfId="1271"/>
    <cellStyle name="Normal 127 2" xfId="1272"/>
    <cellStyle name="Normal 3 2 2 2 73 2" xfId="1273"/>
    <cellStyle name="Comma 99 2" xfId="1274"/>
    <cellStyle name="Normal 128 2" xfId="1275"/>
    <cellStyle name="Comma 100 2" xfId="1276"/>
    <cellStyle name="Normal 129 2" xfId="1277"/>
    <cellStyle name="Normal 3 2 2 2 74 2" xfId="1278"/>
    <cellStyle name="Comma 101 2" xfId="1279"/>
    <cellStyle name="Normal 3 3 2 21 2" xfId="1280"/>
    <cellStyle name="Normal 130 2" xfId="1281"/>
    <cellStyle name="Comma 102 2" xfId="1282"/>
    <cellStyle name="Normal 3 47 2" xfId="1283"/>
    <cellStyle name="Comma 2 67 2" xfId="1284"/>
    <cellStyle name="Comma 2 2 46 2" xfId="1285"/>
    <cellStyle name="Normal 3 3 45 2" xfId="1286"/>
    <cellStyle name="Normal 3 2 2 2 75 2" xfId="1287"/>
    <cellStyle name="Normal 131 2" xfId="1288"/>
    <cellStyle name="Comma 2 68 2" xfId="1289"/>
    <cellStyle name="Normal 132 3" xfId="1290"/>
    <cellStyle name="Normal 3 2 2 2 76 2" xfId="1291"/>
    <cellStyle name="Comma 103 3" xfId="1292"/>
    <cellStyle name="Normal 3 3 2 22 3" xfId="1293"/>
    <cellStyle name="Normal 133 2" xfId="1294"/>
    <cellStyle name="Normal 3 2 2 2 77 2" xfId="1295"/>
    <cellStyle name="Comma 104 2" xfId="1296"/>
    <cellStyle name="Normal 3 3 2 23 2" xfId="1297"/>
    <cellStyle name="Comma 2 69 2" xfId="1298"/>
    <cellStyle name="Comma 2 2 47 2" xfId="1299"/>
    <cellStyle name="Normal 134 3" xfId="1300"/>
    <cellStyle name="Comma 2 70 2" xfId="1301"/>
    <cellStyle name="Normal 3 48 3" xfId="1302"/>
    <cellStyle name="Comma 2 71 2" xfId="1303"/>
    <cellStyle name="Comma 2 2 48 2" xfId="1304"/>
    <cellStyle name="Normal 3 3 46 2" xfId="1305"/>
    <cellStyle name="Normal 3 2 2 2 78 2" xfId="1306"/>
    <cellStyle name="Normal 3 2 2 2 79 2" xfId="1307"/>
    <cellStyle name="Comma 2 4 2 2" xfId="1308"/>
    <cellStyle name="Comma 2 2 2 2 2" xfId="1309"/>
    <cellStyle name="Normal 3 3 2 24 2" xfId="1310"/>
    <cellStyle name="Normal 135 2" xfId="1311"/>
    <cellStyle name="Normal 3 2 2 2 80 2" xfId="1312"/>
    <cellStyle name="Comma 106 2" xfId="1313"/>
    <cellStyle name="Normal 136 2" xfId="1314"/>
    <cellStyle name="Normal 132 2 2" xfId="1315"/>
    <cellStyle name="Normal 3 3 2 25 2" xfId="1316"/>
    <cellStyle name="Comma 107 2" xfId="1317"/>
    <cellStyle name="Normal 3 3 2 22 2 2" xfId="1318"/>
    <cellStyle name="Comma 103 2 2" xfId="1319"/>
    <cellStyle name="Normal 137 2" xfId="1320"/>
    <cellStyle name="Comma 2 72 2" xfId="1321"/>
    <cellStyle name="Normal 138 2" xfId="1322"/>
    <cellStyle name="Normal 3 2 2 2 81 2" xfId="1323"/>
    <cellStyle name="Comma 108 2" xfId="1324"/>
    <cellStyle name="Normal 3 3 2 26 2" xfId="1325"/>
    <cellStyle name="Normal 139 3" xfId="1326"/>
    <cellStyle name="Comma 2 73 2" xfId="1327"/>
    <cellStyle name="Normal 140 2" xfId="1328"/>
    <cellStyle name="Comma 109 2" xfId="1329"/>
    <cellStyle name="Normal 141 2" xfId="1330"/>
    <cellStyle name="Normal 3 2 2 2 82 2" xfId="1331"/>
    <cellStyle name="Comma 110 2" xfId="1332"/>
    <cellStyle name="Normal 3 3 2 27 2" xfId="1333"/>
    <cellStyle name="Normal 80 2 2 3" xfId="1334"/>
    <cellStyle name="Comma 58 2 2 3" xfId="1335"/>
    <cellStyle name="Normal 3 2 2 2 83 3" xfId="1336"/>
    <cellStyle name="Comma 2 4 3 3" xfId="1337"/>
    <cellStyle name="Comma 2 2 2 3 3" xfId="1338"/>
    <cellStyle name="Normal 3 3 2 28 3" xfId="1339"/>
    <cellStyle name="Normal 3 2 2 2 83 2 2" xfId="1340"/>
    <cellStyle name="Comma 2 4 3 2 2" xfId="1341"/>
    <cellStyle name="Comma 2 2 2 3 2 2" xfId="1342"/>
    <cellStyle name="Normal 3 3 2 28 2 3" xfId="1343"/>
    <cellStyle name="Normal 139 2 2" xfId="1344"/>
    <cellStyle name="Normal 142 2" xfId="1345"/>
    <cellStyle name="Normal 3 3 2 29 2" xfId="1346"/>
    <cellStyle name="Normal 3 2 2 2 25 2 2" xfId="1347"/>
    <cellStyle name="Normal 7 2 2" xfId="1348"/>
    <cellStyle name="Normal 143 2" xfId="1349"/>
    <cellStyle name="Normal 3 2 2 2 84 2" xfId="1350"/>
    <cellStyle name="Comma 111 2" xfId="1351"/>
    <cellStyle name="Normal 3 3 2 28 2 2 2" xfId="1352"/>
    <cellStyle name="Normal 144 2" xfId="1353"/>
    <cellStyle name="Comma 112 2" xfId="1354"/>
    <cellStyle name="Normal 145 2" xfId="1355"/>
    <cellStyle name="Normal 3 2 2 2 85 2" xfId="1356"/>
    <cellStyle name="Comma 113 2" xfId="1357"/>
    <cellStyle name="Normal 146 2" xfId="1358"/>
    <cellStyle name="Comma 114 2" xfId="1359"/>
    <cellStyle name="Normal 148 2" xfId="1360"/>
    <cellStyle name="Comma 116 2" xfId="1361"/>
    <cellStyle name="Normal 3 2 2 2 87 2" xfId="1362"/>
    <cellStyle name="Emart 2 2 2" xfId="1363"/>
    <cellStyle name="Normal 149 2" xfId="1364"/>
    <cellStyle name="Comma 117 2" xfId="1365"/>
    <cellStyle name="Emart 4 2" xfId="1366"/>
    <cellStyle name="Normal 2 4 2 3" xfId="1367"/>
    <cellStyle name="Normal 150 2" xfId="1368"/>
    <cellStyle name="Comma 118 2" xfId="1369"/>
    <cellStyle name="Comma 2 74 2" xfId="1370"/>
    <cellStyle name="Normal 151 2" xfId="1371"/>
    <cellStyle name="Normal 2 4 2 2 3" xfId="1372"/>
    <cellStyle name="Comma 121 2" xfId="1373"/>
    <cellStyle name="Normal 2 4 2 2 2 3" xfId="1374"/>
    <cellStyle name="Comma 122 2" xfId="1375"/>
    <cellStyle name="Normal 154 2" xfId="1376"/>
    <cellStyle name="Normal 155 2" xfId="1377"/>
    <cellStyle name="Comma 123 2" xfId="1378"/>
    <cellStyle name="Normal 152 2 3 2" xfId="1379"/>
    <cellStyle name="Normal 3 2 2 2 25 3 2" xfId="1380"/>
    <cellStyle name="Normal 2 4 2 2 2 2 2" xfId="1381"/>
    <cellStyle name="Comma 124 2" xfId="1382"/>
    <cellStyle name="Normal 156 2" xfId="1383"/>
    <cellStyle name="Comma 125 2" xfId="1384"/>
    <cellStyle name="Normal 152 2 2 2 2 2" xfId="1385"/>
    <cellStyle name="Normal 80 2 2 2 2" xfId="1386"/>
    <cellStyle name="Comma 58 2 2 2 2" xfId="1387"/>
    <cellStyle name="Normal 157 2" xfId="1388"/>
    <cellStyle name="Comma 126 2" xfId="1389"/>
    <cellStyle name="Normal 152 2 2 2 3 2" xfId="1390"/>
    <cellStyle name="Normal 3 48 2 2" xfId="1391"/>
    <cellStyle name="Normal 134 2 2" xfId="1392"/>
    <cellStyle name="Comma 127 2" xfId="1393"/>
    <cellStyle name="Comma 128 2" xfId="1394"/>
    <cellStyle name="Normal 158 2" xfId="1395"/>
    <cellStyle name="Normal 159 2" xfId="1396"/>
    <cellStyle name="Comma 129 2" xfId="1397"/>
    <cellStyle name="Normal 152 2 2 2 5 2" xfId="1398"/>
    <cellStyle name="Normal 160 2" xfId="1399"/>
    <cellStyle name="Normal 3 50 2" xfId="1400"/>
    <cellStyle name="Comma 2 75 2" xfId="1401"/>
    <cellStyle name="Comma 2 2 49 2" xfId="1402"/>
    <cellStyle name="Normal 3 3 47 2" xfId="1403"/>
    <cellStyle name="Normal 3 2 2 2 88 2" xfId="1404"/>
    <cellStyle name="Comma 131 2" xfId="1405"/>
    <cellStyle name="Comma 130 2 2" xfId="1406"/>
    <cellStyle name="Normal 152 2 2 2 4 2 2 2" xfId="1407"/>
    <cellStyle name="Normal 2 6 2" xfId="1408"/>
    <cellStyle name="Comma 132 3" xfId="1409"/>
    <cellStyle name="Comma 133 2" xfId="1410"/>
    <cellStyle name="Comma 132 2 2" xfId="1411"/>
    <cellStyle name="Comma 134 2" xfId="1412"/>
    <cellStyle name="Normal 164 2" xfId="1413"/>
    <cellStyle name="Normal 152 2 2 2 6 2 2 2" xfId="1414"/>
    <cellStyle name="Normal 163 2 2" xfId="1415"/>
    <cellStyle name="Normal 161 3 2 2 2" xfId="1416"/>
    <cellStyle name="Normal 162 2 2 2" xfId="1417"/>
    <cellStyle name="Normal 152 2 2 2 4 2 3 2 2 2" xfId="1418"/>
    <cellStyle name="Comma 130 3 2 2 2" xfId="1419"/>
    <cellStyle name="Normal 161 2 2 2 2" xfId="1420"/>
    <cellStyle name="Normal 153 2 2 2 2 2 2 2" xfId="1421"/>
    <cellStyle name="Comma 120 2 2 2 2 2 2 2 2" xfId="1422"/>
    <cellStyle name="Comma 136" xfId="1423"/>
    <cellStyle name="Normal 166" xfId="1424"/>
    <cellStyle name="Normal 152 2 2 2 6 2 2 2 2" xfId="1425"/>
    <cellStyle name="Comma 134 2 2" xfId="1426"/>
    <cellStyle name="Normal 161 3 2 2 2 2" xfId="1427"/>
    <cellStyle name="Normal 162 2 2 2 2" xfId="1428"/>
    <cellStyle name="Normal 152 2 2 2 4 2 3 2 2 2 2" xfId="1429"/>
    <cellStyle name="Comma 130 3 2 2 2 2" xfId="1430"/>
    <cellStyle name="Normal 161 2 2 2 2 2" xfId="1431"/>
    <cellStyle name="Normal 153 2 2 2 2 2 2 2 2" xfId="1432"/>
    <cellStyle name="Comma 120 2 2 2 2 2 2 2 2 2" xfId="1433"/>
    <cellStyle name="Normal 167" xfId="1434"/>
    <cellStyle name="Comma 137" xfId="1435"/>
    <cellStyle name="Normal 161 3 2 3" xfId="1436"/>
    <cellStyle name="Normal 152 2 2 2 6 2 3" xfId="1437"/>
    <cellStyle name="Comma 130 3 2 3" xfId="1438"/>
    <cellStyle name="Normal 152 2 2 2 4 2 3 2 3" xfId="1439"/>
    <cellStyle name="Comma 138" xfId="1440"/>
    <cellStyle name="Normal 168" xfId="1441"/>
    <cellStyle name="Emart 8" xfId="1442"/>
    <cellStyle name="Normal 161 3 2 4" xfId="1443"/>
    <cellStyle name="Normal 152 2 2 2 6 2 4" xfId="1444"/>
    <cellStyle name="Comma 130 3 2 4" xfId="1445"/>
    <cellStyle name="Normal 152 2 2 2 4 2 3 2 4" xfId="1446"/>
    <cellStyle name="Normal 169" xfId="1447"/>
    <cellStyle name="Comma 139" xfId="1448"/>
    <cellStyle name="Emart 9" xfId="1449"/>
    <cellStyle name="Normal 152 2 2 2 6 2 2 2 2 2" xfId="1450"/>
    <cellStyle name="Comma 134 2 2 2" xfId="1451"/>
    <cellStyle name="Normal 161 3 2 2 2 2 2" xfId="1452"/>
    <cellStyle name="Normal 162 2 2 2 2 2" xfId="1453"/>
    <cellStyle name="Normal 152 2 2 2 4 2 3 2 2 2 2 2" xfId="1454"/>
    <cellStyle name="Comma 130 3 2 2 2 2 2" xfId="1455"/>
    <cellStyle name="Normal 161 2 2 2 2 2 2" xfId="1456"/>
    <cellStyle name="Normal 153 2 2 2 2 2 2 2 2 2" xfId="1457"/>
    <cellStyle name="Comma 120 2 2 2 2 2 2 2 2 2 2" xfId="1458"/>
    <cellStyle name="Comma 138 2" xfId="1459"/>
    <cellStyle name="Normal 163 2 2 2" xfId="1460"/>
    <cellStyle name="Normal 164 2 2" xfId="1461"/>
    <cellStyle name="Comma 138 3" xfId="1462"/>
    <cellStyle name="Normal 170" xfId="1463"/>
    <cellStyle name="Normal 163 2 2 3" xfId="1464"/>
    <cellStyle name="Normal 164 2 3" xfId="1465"/>
    <cellStyle name="Normal 152 2 2 2 6 2 2 2 3" xfId="1466"/>
    <cellStyle name="Normal 152 2 2 2 6 2 2 2 2 3" xfId="1467"/>
    <cellStyle name="Comma 134 2 2 3" xfId="1468"/>
    <cellStyle name="Normal 161 3 2 2 2 2 3" xfId="1469"/>
    <cellStyle name="Normal 162 2 2 2 2 3" xfId="1470"/>
    <cellStyle name="Normal 152 2 2 2 4 2 3 2 2 2 2 3" xfId="1471"/>
    <cellStyle name="Comma 130 3 2 2 2 2 3" xfId="1472"/>
    <cellStyle name="Normal 161 2 2 2 2 2 3" xfId="1473"/>
    <cellStyle name="Normal 153 2 2 2 2 2 2 2 2 3" xfId="1474"/>
    <cellStyle name="Comma 120 2 2 2 2 2 2 2 2 2 3" xfId="1475"/>
    <cellStyle name="Comma 138 3 2" xfId="1476"/>
    <cellStyle name="Normal 171" xfId="1477"/>
    <cellStyle name="Normal 152 2 2 2 7" xfId="1478"/>
    <cellStyle name="Percent 2" xfId="1479"/>
    <cellStyle name="Normal 152 2 2 2 6 2 2 2 2 4" xfId="1480"/>
    <cellStyle name="Comma 134 2 2 4" xfId="1481"/>
    <cellStyle name="Normal 161 3 2 2 2 2 4" xfId="1482"/>
    <cellStyle name="Normal 162 2 2 2 2 4" xfId="1483"/>
    <cellStyle name="Normal 152 2 2 2 4 2 3 2 2 2 2 4" xfId="1484"/>
    <cellStyle name="Comma 130 3 2 2 2 2 4" xfId="1485"/>
    <cellStyle name="Normal 152 2 2 2 4 2 3 2 2 2 2 3 2" xfId="1486"/>
    <cellStyle name="Normal 161 2 2 2 2 2 4" xfId="1487"/>
    <cellStyle name="Normal 153 2 2 2 2 2 2 2 2 4" xfId="1488"/>
    <cellStyle name="Comma 120 2 2 2 2 2 2 2 2 2 4" xfId="1489"/>
    <cellStyle name="Normal 80 2 2 2 3" xfId="1490"/>
    <cellStyle name="Comma 58 2 2 2 3" xfId="1491"/>
    <cellStyle name="Normal 148 3" xfId="1492"/>
    <cellStyle name="Emart 3 2 2 2 2" xfId="1493"/>
    <cellStyle name="Normal 157 3" xfId="1494"/>
    <cellStyle name="Comma 138 3 2 2" xfId="1495"/>
    <cellStyle name="Normal 171 2" xfId="1496"/>
    <cellStyle name="Normal 152 2 2 2 7 2" xfId="1497"/>
    <cellStyle name="Normal 152 2 2 2 6 2 2 2 2 4 2" xfId="1498"/>
    <cellStyle name="Comma 134 2 2 4 2" xfId="1499"/>
    <cellStyle name="Normal 152 2 2 2 6 2 2 2 2 3 2" xfId="1500"/>
    <cellStyle name="Normal 161 3 2 2 2 2 4 2" xfId="1501"/>
    <cellStyle name="Normal 162 2 2 2 2 4 2" xfId="1502"/>
    <cellStyle name="Comma 134 2 2 3 2" xfId="1503"/>
    <cellStyle name="Normal 152 2 2 2 4 2 3 2 2 2 2 4 2" xfId="1504"/>
    <cellStyle name="Comma 130 3 2 2 2 2 4 2" xfId="1505"/>
    <cellStyle name="Normal 152 2 2 2 4 2 3 2 2 2 2 3 2 2" xfId="1506"/>
    <cellStyle name="Normal 161 2 2 2 2 2 4 2" xfId="1507"/>
    <cellStyle name="Normal 153 2 2 2 2 2 2 2 2 4 2" xfId="1508"/>
    <cellStyle name="Comma 120 2 2 2 2 2 2 2 2 2 4 2" xfId="1509"/>
    <cellStyle name="Normal 172" xfId="1510"/>
    <cellStyle name="Comma 140" xfId="1511"/>
    <cellStyle name="Normal 152 2 2 2 6 2 2 2 2 5" xfId="1512"/>
    <cellStyle name="Comma 134 2 2 5" xfId="1513"/>
    <cellStyle name="Normal 161 3 2 2 2 2 5" xfId="1514"/>
    <cellStyle name="Normal 162 2 2 2 2 5" xfId="1515"/>
    <cellStyle name="Normal 152 2 2 2 4 2 3 2 2 2 2 5" xfId="1516"/>
    <cellStyle name="Comma 130 3 2 2 2 2 5" xfId="1517"/>
    <cellStyle name="Normal 161 2 2 2 2 2 5" xfId="1518"/>
    <cellStyle name="Normal 153 2 2 2 2 2 2 2 2 5" xfId="1519"/>
    <cellStyle name="Comma 120 2 2 2 2 2 2 2 2 2 5" xfId="1520"/>
    <cellStyle name="Comma 138 4" xfId="1521"/>
    <cellStyle name="Normal 163 2 2 4" xfId="1522"/>
    <cellStyle name="Normal 164 2 4" xfId="1523"/>
    <cellStyle name="Normal 173" xfId="1524"/>
    <cellStyle name="Comma 141" xfId="1525"/>
    <cellStyle name="Normal 172 2" xfId="1526"/>
    <cellStyle name="Comma 140 2" xfId="1527"/>
    <cellStyle name="Normal 152 2 2 2 6 2 2 2 2 4 2 2" xfId="1528"/>
    <cellStyle name="Comma 134 2 2 4 2 2" xfId="1529"/>
    <cellStyle name="Normal 152 2 2 2 6 2 2 2 2 3 2 2" xfId="1530"/>
    <cellStyle name="Normal 161 3 2 2 2 2 4 2 2" xfId="1531"/>
    <cellStyle name="Normal 162 2 2 2 2 4 2 2" xfId="1532"/>
    <cellStyle name="Comma 134 2 2 3 2 2" xfId="1533"/>
    <cellStyle name="Normal 152 2 2 2 4 2 3 2 2 2 2 4 2 2" xfId="1534"/>
    <cellStyle name="Comma 130 3 2 2 2 2 4 2 2" xfId="1535"/>
    <cellStyle name="Normal 152 2 2 2 4 2 3 2 2 2 2 3 2 2 2" xfId="1536"/>
    <cellStyle name="Normal 161 2 2 2 2 2 4 2 2" xfId="1537"/>
    <cellStyle name="Normal 153 2 2 2 2 2 2 2 2 4 2 2" xfId="1538"/>
    <cellStyle name="Comma 120 2 2 2 2 2 2 2 2 2 4 2 2" xfId="1539"/>
    <cellStyle name="Comma 138 5" xfId="1540"/>
    <cellStyle name="Normal 163 2 2 5" xfId="1541"/>
    <cellStyle name="Normal 164 2 5" xfId="1542"/>
    <cellStyle name="Comma 138 6" xfId="1543"/>
    <cellStyle name="Normal 174" xfId="1544"/>
    <cellStyle name="Normal 163 2 2 6" xfId="1545"/>
    <cellStyle name="Normal 164 2 6" xfId="1546"/>
    <cellStyle name="Normal 152 2 2 2 6 2 2 2 4" xfId="1547"/>
    <cellStyle name="Normal 152 2 2 2 6 2 2 2 2 6" xfId="1548"/>
    <cellStyle name="Comma 134 2 2 6" xfId="1549"/>
    <cellStyle name="Normal 161 3 2 2 2 2 6" xfId="1550"/>
    <cellStyle name="Normal 162 2 2 2 2 6" xfId="1551"/>
    <cellStyle name="Normal 152 2 2 2 4 2 3 2 2 2 2 6" xfId="1552"/>
    <cellStyle name="Comma 130 3 2 2 2 2 6" xfId="1553"/>
    <cellStyle name="Normal 161 2 2 2 2 2 6" xfId="1554"/>
    <cellStyle name="Normal 153 2 2 2 2 2 2 2 2 6" xfId="1555"/>
    <cellStyle name="Comma 120 2 2 2 2 2 2 2 2 2 6" xfId="1556"/>
    <cellStyle name="Comma 138 7" xfId="1557"/>
    <cellStyle name="Normal 175" xfId="1558"/>
    <cellStyle name="Normal 163 2 2 7" xfId="1559"/>
    <cellStyle name="Normal 164 2 7" xfId="1560"/>
    <cellStyle name="Normal 152 2 2 2 6 2 2 2 5" xfId="1561"/>
    <cellStyle name="Normal 176" xfId="1562"/>
    <cellStyle name="Comma 142" xfId="1563"/>
    <cellStyle name="Normal 152 2 2 2 6 2 2 2 2 7" xfId="1564"/>
    <cellStyle name="Comma 134 2 2 7" xfId="1565"/>
    <cellStyle name="Normal 161 3 2 2 2 2 7" xfId="1566"/>
    <cellStyle name="Normal 162 2 2 2 2 7" xfId="1567"/>
    <cellStyle name="Normal 152 2 2 2 4 2 3 2 2 2 2 7" xfId="1568"/>
    <cellStyle name="Comma 130 3 2 2 2 2 7" xfId="1569"/>
    <cellStyle name="Normal 161 2 2 2 2 2 7" xfId="1570"/>
    <cellStyle name="Normal 153 2 2 2 2 2 2 2 2 7" xfId="1571"/>
    <cellStyle name="Comma 120 2 2 2 2 2 2 2 2 2 7" xfId="1572"/>
    <cellStyle name="Emart 10" xfId="1573"/>
    <cellStyle name="40% - Accent3 4" xfId="1574"/>
    <cellStyle name="Normal 8 3" xfId="1575"/>
    <cellStyle name="Comma 4 4" xfId="1576"/>
    <cellStyle name="Normal 10 5" xfId="1577"/>
    <cellStyle name="40% - Accent3 2 3" xfId="1578"/>
    <cellStyle name="Normal 3 3 2 31" xfId="1579"/>
    <cellStyle name="Normal 3 2 2 2 90" xfId="1580"/>
    <cellStyle name="Normal 3 4 5" xfId="1581"/>
    <cellStyle name="Comma 2 4 6" xfId="1582"/>
    <cellStyle name="Comma 2 2 2 5" xfId="1583"/>
    <cellStyle name="Comma 5 3" xfId="1584"/>
    <cellStyle name="Normal 13 4" xfId="1585"/>
    <cellStyle name="Comma 6 4" xfId="1586"/>
    <cellStyle name="Normal 14 3" xfId="1587"/>
    <cellStyle name="Comma 7 3" xfId="1588"/>
    <cellStyle name="Normal 15 3" xfId="1589"/>
    <cellStyle name="Comma 9 3" xfId="1590"/>
    <cellStyle name="Normal 18 3" xfId="1591"/>
    <cellStyle name="Normal 13 2 4" xfId="1592"/>
    <cellStyle name="Comma 6 2 3" xfId="1593"/>
    <cellStyle name="Comma 10 3" xfId="1594"/>
    <cellStyle name="Normal 3 5 3" xfId="1595"/>
    <cellStyle name="Comma 2 5 3" xfId="1596"/>
    <cellStyle name="Comma 2 2 3 3" xfId="1597"/>
    <cellStyle name="Normal 3 3 3 3" xfId="1598"/>
    <cellStyle name="Normal 19 3" xfId="1599"/>
    <cellStyle name="Normal 20 3" xfId="1600"/>
    <cellStyle name="Emart 3 2 2 2 2 3" xfId="1601"/>
    <cellStyle name="Normal 22 3" xfId="1602"/>
    <cellStyle name="Comma 12 3" xfId="1603"/>
    <cellStyle name="Normal 23 3" xfId="1604"/>
    <cellStyle name="Normal 24 3" xfId="1605"/>
    <cellStyle name="Comma 13 3" xfId="1606"/>
    <cellStyle name="Normal 3 6 3" xfId="1607"/>
    <cellStyle name="Comma 2 6 3" xfId="1608"/>
    <cellStyle name="Comma 2 2 4 3" xfId="1609"/>
    <cellStyle name="Normal 3 3 4 3" xfId="1610"/>
    <cellStyle name="Normal 3 7 3" xfId="1611"/>
    <cellStyle name="Comma 2 7 3" xfId="1612"/>
    <cellStyle name="Comma 2 2 5 3" xfId="1613"/>
    <cellStyle name="Normal 3 3 5 3" xfId="1614"/>
    <cellStyle name="Normal 25 3" xfId="1615"/>
    <cellStyle name="Comma 14 3" xfId="1616"/>
    <cellStyle name="Normal 26 3" xfId="1617"/>
    <cellStyle name="Comma 15 3" xfId="1618"/>
    <cellStyle name="Comma 16 3" xfId="1619"/>
    <cellStyle name="Normal 28 3" xfId="1620"/>
    <cellStyle name="Normal 29 3" xfId="1621"/>
    <cellStyle name="Comma 17 3" xfId="1622"/>
    <cellStyle name="Normal 30 3" xfId="1623"/>
    <cellStyle name="Comma 18 3" xfId="1624"/>
    <cellStyle name="Normal 3 8 3" xfId="1625"/>
    <cellStyle name="Comma 2 8 3" xfId="1626"/>
    <cellStyle name="Comma 2 2 6 3" xfId="1627"/>
    <cellStyle name="Normal 3 3 6 3" xfId="1628"/>
    <cellStyle name="Comma 19 3" xfId="1629"/>
    <cellStyle name="Normal 32 3" xfId="1630"/>
    <cellStyle name="Normal 33 3" xfId="1631"/>
    <cellStyle name="Comma 20 3" xfId="1632"/>
    <cellStyle name="Normal 3 9 3" xfId="1633"/>
    <cellStyle name="Comma 2 9 3" xfId="1634"/>
    <cellStyle name="Comma 2 2 7 3" xfId="1635"/>
    <cellStyle name="Normal 3 3 7 3" xfId="1636"/>
    <cellStyle name="Normal 34 3" xfId="1637"/>
    <cellStyle name="Normal 35 3" xfId="1638"/>
    <cellStyle name="Normal 3 10 3" xfId="1639"/>
    <cellStyle name="Comma 2 10 3" xfId="1640"/>
    <cellStyle name="Comma 2 2 8 3" xfId="1641"/>
    <cellStyle name="Normal 3 3 8 3" xfId="1642"/>
    <cellStyle name="Normal 3 11 3" xfId="1643"/>
    <cellStyle name="Comma 2 11 3" xfId="1644"/>
    <cellStyle name="Comma 2 2 9 3" xfId="1645"/>
    <cellStyle name="Normal 3 3 9 3" xfId="1646"/>
    <cellStyle name="Normal 36 3" xfId="1647"/>
    <cellStyle name="Comma 21 3" xfId="1648"/>
    <cellStyle name="Normal 3 12 3" xfId="1649"/>
    <cellStyle name="Comma 2 12 3" xfId="1650"/>
    <cellStyle name="Comma 2 2 10 3" xfId="1651"/>
    <cellStyle name="Normal 3 3 10 3" xfId="1652"/>
    <cellStyle name="Normal 38 3" xfId="1653"/>
    <cellStyle name="Normal 39 3" xfId="1654"/>
    <cellStyle name="Comma 22 3" xfId="1655"/>
    <cellStyle name="Normal 3 13 3" xfId="1656"/>
    <cellStyle name="Comma 2 13 3" xfId="1657"/>
    <cellStyle name="Comma 2 2 11 3" xfId="1658"/>
    <cellStyle name="Normal 3 3 11 3" xfId="1659"/>
    <cellStyle name="Normal 40 3" xfId="1660"/>
    <cellStyle name="Comma 23 3" xfId="1661"/>
    <cellStyle name="Comma 24 3" xfId="1662"/>
    <cellStyle name="Normal 41 3" xfId="1663"/>
    <cellStyle name="Normal 42 3" xfId="1664"/>
    <cellStyle name="Comma 25 3" xfId="1665"/>
    <cellStyle name="Normal 3 14 3" xfId="1666"/>
    <cellStyle name="Comma 2 14 3" xfId="1667"/>
    <cellStyle name="Comma 2 2 12 3" xfId="1668"/>
    <cellStyle name="Normal 3 3 12 3" xfId="1669"/>
    <cellStyle name="Normal 43 3" xfId="1670"/>
    <cellStyle name="Comma 26 3" xfId="1671"/>
    <cellStyle name="Normal 3 15 3" xfId="1672"/>
    <cellStyle name="Comma 2 15 3" xfId="1673"/>
    <cellStyle name="Comma 2 2 13 3" xfId="1674"/>
    <cellStyle name="Normal 3 3 13 3" xfId="1675"/>
    <cellStyle name="Normal 44 3" xfId="1676"/>
    <cellStyle name="Comma 28 3" xfId="1677"/>
    <cellStyle name="Normal 45 3" xfId="1678"/>
    <cellStyle name="Normal 3 16 3" xfId="1679"/>
    <cellStyle name="Comma 2 16 3" xfId="1680"/>
    <cellStyle name="Comma 2 2 14 3" xfId="1681"/>
    <cellStyle name="Normal 3 3 14 3" xfId="1682"/>
    <cellStyle name="Normal 46 3" xfId="1683"/>
    <cellStyle name="Comma 29 3" xfId="1684"/>
    <cellStyle name="Normal 47 3" xfId="1685"/>
    <cellStyle name="Normal 3 17 3" xfId="1686"/>
    <cellStyle name="Comma 2 17 3" xfId="1687"/>
    <cellStyle name="Comma 2 2 15 3" xfId="1688"/>
    <cellStyle name="Normal 3 3 15 3" xfId="1689"/>
    <cellStyle name="Normal 3 2 2 2 2 3" xfId="1690"/>
    <cellStyle name="Normal 48 3" xfId="1691"/>
    <cellStyle name="Normal 3 2 2 2 3 3" xfId="1692"/>
    <cellStyle name="Comma 30 3" xfId="1693"/>
    <cellStyle name="Normal 49 3" xfId="1694"/>
    <cellStyle name="Comma 31 3" xfId="1695"/>
    <cellStyle name="Normal 50 3" xfId="1696"/>
    <cellStyle name="Normal 3 2 2 2 4 3" xfId="1697"/>
    <cellStyle name="Comma 32 3" xfId="1698"/>
    <cellStyle name="Normal 3 18 3" xfId="1699"/>
    <cellStyle name="Comma 2 18 3" xfId="1700"/>
    <cellStyle name="Comma 2 2 16 3" xfId="1701"/>
    <cellStyle name="Normal 3 3 16 3" xfId="1702"/>
    <cellStyle name="Normal 3 2 2 2 5 3" xfId="1703"/>
    <cellStyle name="Normal 51 3" xfId="1704"/>
    <cellStyle name="Emart 2 4" xfId="1705"/>
    <cellStyle name="Normal 13 2 2 3" xfId="1706"/>
    <cellStyle name="Normal 3 4 2 3" xfId="1707"/>
    <cellStyle name="Normal 3 2 2 2 6 3" xfId="1708"/>
    <cellStyle name="Comma 33 3" xfId="1709"/>
    <cellStyle name="Normal 52 3" xfId="1710"/>
    <cellStyle name="Normal 53 3" xfId="1711"/>
    <cellStyle name="Normal 3 19 3" xfId="1712"/>
    <cellStyle name="Comma 2 19 3" xfId="1713"/>
    <cellStyle name="Comma 2 2 17 3" xfId="1714"/>
    <cellStyle name="Normal 3 3 17 3" xfId="1715"/>
    <cellStyle name="Normal 3 2 2 2 7 3" xfId="1716"/>
    <cellStyle name="Normal 54 3" xfId="1717"/>
    <cellStyle name="Normal 55 3" xfId="1718"/>
    <cellStyle name="Normal 3 2 2 2 8 3" xfId="1719"/>
    <cellStyle name="Comma 34 3" xfId="1720"/>
    <cellStyle name="Normal 56 3" xfId="1721"/>
    <cellStyle name="Comma 35 3" xfId="1722"/>
    <cellStyle name="Normal 57 3" xfId="1723"/>
    <cellStyle name="Normal 3 2 2 2 9 3" xfId="1724"/>
    <cellStyle name="Comma 36 3" xfId="1725"/>
    <cellStyle name="Normal 3 20 3" xfId="1726"/>
    <cellStyle name="Comma 2 20 3" xfId="1727"/>
    <cellStyle name="Comma 2 2 18 3" xfId="1728"/>
    <cellStyle name="Normal 3 3 18 3" xfId="1729"/>
    <cellStyle name="Normal 3 2 2 2 10 3" xfId="1730"/>
    <cellStyle name="Normal 58 3" xfId="1731"/>
    <cellStyle name="Normal 59 3" xfId="1732"/>
    <cellStyle name="Normal 3 2 2 2 11 3" xfId="1733"/>
    <cellStyle name="Comma 37 3" xfId="1734"/>
    <cellStyle name="Normal 60 3" xfId="1735"/>
    <cellStyle name="Comma 38 3" xfId="1736"/>
    <cellStyle name="Normal 61 3" xfId="1737"/>
    <cellStyle name="Normal 3 2 2 2 12 3" xfId="1738"/>
    <cellStyle name="Comma 39 3" xfId="1739"/>
    <cellStyle name="Normal 3 21 3" xfId="1740"/>
    <cellStyle name="Comma 2 21 3" xfId="1741"/>
    <cellStyle name="Comma 2 2 19 3" xfId="1742"/>
    <cellStyle name="Normal 3 3 19 3" xfId="1743"/>
    <cellStyle name="Normal 3 2 2 2 13 3" xfId="1744"/>
    <cellStyle name="Normal 62 3" xfId="1745"/>
    <cellStyle name="Comma 40 3" xfId="1746"/>
    <cellStyle name="Normal 63 3" xfId="1747"/>
    <cellStyle name="Normal 3 2 2 2 14 3" xfId="1748"/>
    <cellStyle name="Comma 41 3" xfId="1749"/>
    <cellStyle name="Normal 64 3" xfId="1750"/>
    <cellStyle name="Normal 3 22 3" xfId="1751"/>
    <cellStyle name="Comma 2 22 3" xfId="1752"/>
    <cellStyle name="Comma 2 2 20 3" xfId="1753"/>
    <cellStyle name="Normal 3 3 20 3" xfId="1754"/>
    <cellStyle name="Normal 3 2 2 2 15 3" xfId="1755"/>
    <cellStyle name="Normal 65 3" xfId="1756"/>
    <cellStyle name="Comma 42 3" xfId="1757"/>
    <cellStyle name="Normal 66 3" xfId="1758"/>
    <cellStyle name="Normal 3 2 2 2 16 3" xfId="1759"/>
    <cellStyle name="Comma 43 3" xfId="1760"/>
    <cellStyle name="Normal 67 3" xfId="1761"/>
    <cellStyle name="Normal 3 2 2 2 17 3" xfId="1762"/>
    <cellStyle name="Comma 44 3" xfId="1763"/>
    <cellStyle name="Normal 3 23 3" xfId="1764"/>
    <cellStyle name="Comma 2 23 3" xfId="1765"/>
    <cellStyle name="Comma 2 2 21 3" xfId="1766"/>
    <cellStyle name="Normal 3 3 21 3" xfId="1767"/>
    <cellStyle name="Normal 3 2 2 2 18 3" xfId="1768"/>
    <cellStyle name="Comma 45 3" xfId="1769"/>
    <cellStyle name="Normal 68 3" xfId="1770"/>
    <cellStyle name="Normal 69 3" xfId="1771"/>
    <cellStyle name="Normal 3 2 2 2 19 3" xfId="1772"/>
    <cellStyle name="Comma 46 3" xfId="1773"/>
    <cellStyle name="Normal 70 3" xfId="1774"/>
    <cellStyle name="Comma 47 3" xfId="1775"/>
    <cellStyle name="Normal 3 24 3" xfId="1776"/>
    <cellStyle name="Comma 2 24 3" xfId="1777"/>
    <cellStyle name="Comma 2 2 22 3" xfId="1778"/>
    <cellStyle name="Normal 3 3 22 3" xfId="1779"/>
    <cellStyle name="Normal 3 2 2 2 20 3" xfId="1780"/>
    <cellStyle name="Normal 71 3" xfId="1781"/>
    <cellStyle name="Comma 48 3" xfId="1782"/>
    <cellStyle name="Normal 72 3" xfId="1783"/>
    <cellStyle name="Normal 3 2 2 2 21 3" xfId="1784"/>
    <cellStyle name="Comma 49 3" xfId="1785"/>
    <cellStyle name="Normal 3 25 3" xfId="1786"/>
    <cellStyle name="Comma 2 25 3" xfId="1787"/>
    <cellStyle name="Comma 2 2 23 3" xfId="1788"/>
    <cellStyle name="Normal 3 3 23 3" xfId="1789"/>
    <cellStyle name="Normal 3 2 2 2 22 3" xfId="1790"/>
    <cellStyle name="Comma 50 3" xfId="1791"/>
    <cellStyle name="Normal 73 3" xfId="1792"/>
    <cellStyle name="Comma 51 3" xfId="1793"/>
    <cellStyle name="Normal 74 3" xfId="1794"/>
    <cellStyle name="Normal 3 2 2 2 23 3" xfId="1795"/>
    <cellStyle name="Comma 52 3" xfId="1796"/>
    <cellStyle name="Normal 75 3" xfId="1797"/>
    <cellStyle name="Normal 3 2 2 2 24 3" xfId="1798"/>
    <cellStyle name="Comma 53 3" xfId="1799"/>
    <cellStyle name="Normal 76 3" xfId="1800"/>
    <cellStyle name="Comma 54 3" xfId="1801"/>
    <cellStyle name="Normal 3 26 3" xfId="1802"/>
    <cellStyle name="Comma 2 26 3" xfId="1803"/>
    <cellStyle name="Comma 2 2 24 3" xfId="1804"/>
    <cellStyle name="Normal 3 3 24 3" xfId="1805"/>
    <cellStyle name="Normal 3 2 2 2 25 5" xfId="1806"/>
    <cellStyle name="Normal 77 3" xfId="1807"/>
    <cellStyle name="Normal 3 2 2 2 26 3" xfId="1808"/>
    <cellStyle name="Comma 55 3" xfId="1809"/>
    <cellStyle name="Normal 78 3" xfId="1810"/>
    <cellStyle name="Comma 56 3" xfId="1811"/>
    <cellStyle name="Normal 79 3" xfId="1812"/>
    <cellStyle name="Normal 3 2 2 2 27 3" xfId="1813"/>
    <cellStyle name="Comma 57 3" xfId="1814"/>
    <cellStyle name="Normal 80 4" xfId="1815"/>
    <cellStyle name="Comma 58 4" xfId="1816"/>
    <cellStyle name="Emart 3 3" xfId="1817"/>
    <cellStyle name="Normal 3 27 3" xfId="1818"/>
    <cellStyle name="Comma 2 27 3" xfId="1819"/>
    <cellStyle name="Comma 2 2 25 3" xfId="1820"/>
    <cellStyle name="Normal 3 3 25 3" xfId="1821"/>
    <cellStyle name="Normal 3 2 2 2 28 3" xfId="1822"/>
    <cellStyle name="Comma 59 3" xfId="1823"/>
    <cellStyle name="Normal 81 3" xfId="1824"/>
    <cellStyle name="Normal 3 2 2 2 29 3" xfId="1825"/>
    <cellStyle name="Normal 3 3 2 2 3" xfId="1826"/>
    <cellStyle name="Comma 60 3" xfId="1827"/>
    <cellStyle name="Normal 3 28 3" xfId="1828"/>
    <cellStyle name="Comma 2 28 3" xfId="1829"/>
    <cellStyle name="Comma 2 2 26 3" xfId="1830"/>
    <cellStyle name="Normal 3 3 26 3" xfId="1831"/>
    <cellStyle name="Normal 3 2 2 2 30 3" xfId="1832"/>
    <cellStyle name="Normal 82 3" xfId="1833"/>
    <cellStyle name="Comma 61 3" xfId="1834"/>
    <cellStyle name="Normal 83 3" xfId="1835"/>
    <cellStyle name="Comma 62 3" xfId="1836"/>
    <cellStyle name="Normal 84 3" xfId="1837"/>
    <cellStyle name="Normal 3 2 2 2 31 3" xfId="1838"/>
    <cellStyle name="Normal 3 3 2 3 3" xfId="1839"/>
    <cellStyle name="Comma 63 3" xfId="1840"/>
    <cellStyle name="Normal 85 3" xfId="1841"/>
    <cellStyle name="Comma 2 29 3" xfId="1842"/>
    <cellStyle name="Normal 3 29 3" xfId="1843"/>
    <cellStyle name="Comma 2 30 3" xfId="1844"/>
    <cellStyle name="Comma 2 2 27 3" xfId="1845"/>
    <cellStyle name="Normal 3 3 27 3" xfId="1846"/>
    <cellStyle name="Normal 3 2 2 2 32 3" xfId="1847"/>
    <cellStyle name="Normal 86 3" xfId="1848"/>
    <cellStyle name="Normal 3 2 2 2 33 3" xfId="1849"/>
    <cellStyle name="Comma 64 3" xfId="1850"/>
    <cellStyle name="Normal 87 3" xfId="1851"/>
    <cellStyle name="Normal 3 2 2 2 34 3" xfId="1852"/>
    <cellStyle name="Normal 3 3 2 4 3" xfId="1853"/>
    <cellStyle name="Comma 65 3" xfId="1854"/>
    <cellStyle name="Normal 88 3" xfId="1855"/>
    <cellStyle name="Normal 3 2 2 2 35 3" xfId="1856"/>
    <cellStyle name="Comma 66 3" xfId="1857"/>
    <cellStyle name="Normal 89 3" xfId="1858"/>
    <cellStyle name="Comma 2 31 3" xfId="1859"/>
    <cellStyle name="Normal 3 30 3" xfId="1860"/>
    <cellStyle name="Comma 2 32 3" xfId="1861"/>
    <cellStyle name="Comma 2 2 28 3" xfId="1862"/>
    <cellStyle name="Normal 3 3 28 3" xfId="1863"/>
    <cellStyle name="Normal 3 2 2 2 36 3" xfId="1864"/>
    <cellStyle name="Normal 90 3" xfId="1865"/>
    <cellStyle name="Comma 67 3" xfId="1866"/>
    <cellStyle name="Normal 91 3" xfId="1867"/>
    <cellStyle name="Normal 3 2 2 2 37 3" xfId="1868"/>
    <cellStyle name="Comma 68 3" xfId="1869"/>
    <cellStyle name="Normal 3 3 2 5 3" xfId="1870"/>
    <cellStyle name="Normal 3 31 3" xfId="1871"/>
    <cellStyle name="Comma 2 33 3" xfId="1872"/>
    <cellStyle name="Comma 2 2 29 3" xfId="1873"/>
    <cellStyle name="Normal 3 3 29 3" xfId="1874"/>
    <cellStyle name="Normal 3 2 2 2 38 3" xfId="1875"/>
    <cellStyle name="Comma 2 34 3" xfId="1876"/>
    <cellStyle name="Normal 92 3" xfId="1877"/>
    <cellStyle name="Comma 69 3" xfId="1878"/>
    <cellStyle name="Normal 93 3" xfId="1879"/>
    <cellStyle name="Normal 3 2 2 2 39 3" xfId="1880"/>
    <cellStyle name="Normal 3 3 2 6 3" xfId="1881"/>
    <cellStyle name="Comma 70 3" xfId="1882"/>
    <cellStyle name="Normal 94 3" xfId="1883"/>
    <cellStyle name="Comma 2 35 3" xfId="1884"/>
    <cellStyle name="Normal 95 3" xfId="1885"/>
    <cellStyle name="Comma 71 3" xfId="1886"/>
    <cellStyle name="Normal 3 32 3" xfId="1887"/>
    <cellStyle name="Comma 2 36 3" xfId="1888"/>
    <cellStyle name="Comma 2 2 30 3" xfId="1889"/>
    <cellStyle name="Normal 3 3 30 3" xfId="1890"/>
    <cellStyle name="Normal 3 2 2 2 40 3" xfId="1891"/>
    <cellStyle name="Normal 96 3" xfId="1892"/>
    <cellStyle name="Normal 3 2 2 2 41 3" xfId="1893"/>
    <cellStyle name="Comma 72 3" xfId="1894"/>
    <cellStyle name="Normal 3 3 2 7 3" xfId="1895"/>
    <cellStyle name="Normal 97 3" xfId="1896"/>
    <cellStyle name="Comma 2 37 3" xfId="1897"/>
    <cellStyle name="Comma 73 3" xfId="1898"/>
    <cellStyle name="Normal 3 33 3" xfId="1899"/>
    <cellStyle name="Comma 2 38 3" xfId="1900"/>
    <cellStyle name="Comma 2 2 31 3" xfId="1901"/>
    <cellStyle name="Normal 3 3 31 3" xfId="1902"/>
    <cellStyle name="Normal 3 2 2 2 42 3" xfId="1903"/>
    <cellStyle name="Normal 98 3" xfId="1904"/>
    <cellStyle name="Normal 3 2 2 2 43 3" xfId="1905"/>
    <cellStyle name="Comma 74 3" xfId="1906"/>
    <cellStyle name="Normal 3 3 2 8 3" xfId="1907"/>
    <cellStyle name="Normal 3 34 3" xfId="1908"/>
    <cellStyle name="Comma 2 39 3" xfId="1909"/>
    <cellStyle name="Comma 2 2 32 3" xfId="1910"/>
    <cellStyle name="Normal 3 3 32 3" xfId="1911"/>
    <cellStyle name="Normal 3 2 2 2 44 3" xfId="1912"/>
    <cellStyle name="Normal 99 3" xfId="1913"/>
    <cellStyle name="Comma 75 3" xfId="1914"/>
    <cellStyle name="Normal 100 3" xfId="1915"/>
    <cellStyle name="Normal 3 2 2 2 45 3" xfId="1916"/>
    <cellStyle name="Comma 76 3" xfId="1917"/>
    <cellStyle name="Normal 3 3 2 9 3" xfId="1918"/>
    <cellStyle name="Comma 2 40 3" xfId="1919"/>
    <cellStyle name="Normal 101 3" xfId="1920"/>
    <cellStyle name="Normal 3 2 2 2 46 3" xfId="1921"/>
    <cellStyle name="Comma 77 3" xfId="1922"/>
    <cellStyle name="Normal 102 3" xfId="1923"/>
    <cellStyle name="Comma 78 3" xfId="1924"/>
    <cellStyle name="Comma 2 41 3" xfId="1925"/>
    <cellStyle name="Normal 3 35 3" xfId="1926"/>
    <cellStyle name="Comma 2 42 3" xfId="1927"/>
    <cellStyle name="Comma 2 2 33 3" xfId="1928"/>
    <cellStyle name="Normal 3 3 33 3" xfId="1929"/>
    <cellStyle name="Normal 3 2 2 2 47 3" xfId="1930"/>
    <cellStyle name="Normal 103 3" xfId="1931"/>
    <cellStyle name="Normal 3 2 2 2 48 3" xfId="1932"/>
    <cellStyle name="Comma 79 3" xfId="1933"/>
    <cellStyle name="Normal 3 3 2 10 3" xfId="1934"/>
    <cellStyle name="Normal 3 36 3" xfId="1935"/>
    <cellStyle name="Comma 2 43 3" xfId="1936"/>
    <cellStyle name="Comma 2 2 34 3" xfId="1937"/>
    <cellStyle name="Normal 3 3 34 3" xfId="1938"/>
    <cellStyle name="Normal 3 2 2 2 49 3" xfId="1939"/>
    <cellStyle name="Comma 2 44 3" xfId="1940"/>
    <cellStyle name="Normal 104 3" xfId="1941"/>
    <cellStyle name="Comma 80 3" xfId="1942"/>
    <cellStyle name="Normal 105 3" xfId="1943"/>
    <cellStyle name="Normal 3 2 2 2 50 3" xfId="1944"/>
    <cellStyle name="Comma 81 3" xfId="1945"/>
    <cellStyle name="Normal 3 3 2 11 3" xfId="1946"/>
    <cellStyle name="Normal 106 3" xfId="1947"/>
    <cellStyle name="Comma 82 3" xfId="1948"/>
    <cellStyle name="Normal 3 37 3" xfId="1949"/>
    <cellStyle name="Comma 2 45 3" xfId="1950"/>
    <cellStyle name="Comma 2 2 35 3" xfId="1951"/>
    <cellStyle name="Normal 3 3 35 3" xfId="1952"/>
    <cellStyle name="Normal 3 2 2 2 51 3" xfId="1953"/>
    <cellStyle name="Comma 2 46 3" xfId="1954"/>
    <cellStyle name="Normal 3 3 2 12 3" xfId="1955"/>
    <cellStyle name="Normal 3 38 3" xfId="1956"/>
    <cellStyle name="Comma 2 47 3" xfId="1957"/>
    <cellStyle name="Comma 2 2 36 3" xfId="1958"/>
    <cellStyle name="Normal 3 3 36 3" xfId="1959"/>
    <cellStyle name="Normal 3 2 2 2 52 3" xfId="1960"/>
    <cellStyle name="Comma 2 48 3" xfId="1961"/>
    <cellStyle name="Normal 107 3" xfId="1962"/>
    <cellStyle name="Comma 2 49 3" xfId="1963"/>
    <cellStyle name="Comma 83 3" xfId="1964"/>
    <cellStyle name="Normal 108 3" xfId="1965"/>
    <cellStyle name="Normal 3 2 2 2 53 3" xfId="1966"/>
    <cellStyle name="Comma 84 3" xfId="1967"/>
    <cellStyle name="Normal 109 3" xfId="1968"/>
    <cellStyle name="Normal 3 2 2 2 54 3" xfId="1969"/>
    <cellStyle name="Comma 85 3" xfId="1970"/>
    <cellStyle name="Normal 3 3 2 13 3" xfId="1971"/>
    <cellStyle name="Normal 80 2 4" xfId="1972"/>
    <cellStyle name="Comma 58 2 4" xfId="1973"/>
    <cellStyle name="Emart 3 2 3" xfId="1974"/>
    <cellStyle name="Normal 3 39 3" xfId="1975"/>
    <cellStyle name="Comma 2 50 3" xfId="1976"/>
    <cellStyle name="Comma 2 2 37 3" xfId="1977"/>
    <cellStyle name="Normal 3 3 37 3" xfId="1978"/>
    <cellStyle name="Normal 3 2 2 2 55 3" xfId="1979"/>
    <cellStyle name="Normal 110 3" xfId="1980"/>
    <cellStyle name="Comma 2 51 3" xfId="1981"/>
    <cellStyle name="Normal 111 3" xfId="1982"/>
    <cellStyle name="Normal 3 2 2 2 56 3" xfId="1983"/>
    <cellStyle name="Comma 86 3" xfId="1984"/>
    <cellStyle name="Comma 87 3" xfId="1985"/>
    <cellStyle name="Normal 112 3" xfId="1986"/>
    <cellStyle name="Normal 3 2 2 2 57 3" xfId="1987"/>
    <cellStyle name="Comma 88 3" xfId="1988"/>
    <cellStyle name="Normal 3 3 2 14 3" xfId="1989"/>
    <cellStyle name="Normal 3 40 3" xfId="1990"/>
    <cellStyle name="Comma 2 52 3" xfId="1991"/>
    <cellStyle name="Comma 2 2 38 3" xfId="1992"/>
    <cellStyle name="Normal 3 3 38 3" xfId="1993"/>
    <cellStyle name="Normal 3 2 2 2 58 3" xfId="1994"/>
    <cellStyle name="Normal 113 3" xfId="1995"/>
    <cellStyle name="Normal 3 2 2 2 59 3" xfId="1996"/>
    <cellStyle name="Comma 89 3" xfId="1997"/>
    <cellStyle name="Normal 114 3" xfId="1998"/>
    <cellStyle name="Comma 2 53 3" xfId="1999"/>
    <cellStyle name="Comma 90 3" xfId="2000"/>
    <cellStyle name="Normal 115 3" xfId="2001"/>
    <cellStyle name="Normal 3 2 2 2 60 3" xfId="2002"/>
    <cellStyle name="Comma 91 3" xfId="2003"/>
    <cellStyle name="Normal 3 3 2 15 3" xfId="2004"/>
    <cellStyle name="Normal 116 3" xfId="2005"/>
    <cellStyle name="Comma 2 54 3" xfId="2006"/>
    <cellStyle name="Normal 3 41 3" xfId="2007"/>
    <cellStyle name="Comma 2 55 3" xfId="2008"/>
    <cellStyle name="Comma 2 2 39 3" xfId="2009"/>
    <cellStyle name="Normal 3 3 39 3" xfId="2010"/>
    <cellStyle name="Normal 3 2 2 2 61 3" xfId="2011"/>
    <cellStyle name="Normal 117 3" xfId="2012"/>
    <cellStyle name="Comma 92 3" xfId="2013"/>
    <cellStyle name="Normal 118 3" xfId="2014"/>
    <cellStyle name="Normal 3 2 2 2 62 3" xfId="2015"/>
    <cellStyle name="Comma 93 3" xfId="2016"/>
    <cellStyle name="Normal 3 3 2 16 3" xfId="2017"/>
    <cellStyle name="Normal 3 42 3" xfId="2018"/>
    <cellStyle name="Comma 2 56 3" xfId="2019"/>
    <cellStyle name="Comma 2 2 40 3" xfId="2020"/>
    <cellStyle name="Normal 3 3 40 3" xfId="2021"/>
    <cellStyle name="Normal 3 2 2 2 63 3" xfId="2022"/>
    <cellStyle name="Normal 119 3" xfId="2023"/>
    <cellStyle name="Comma 2 57 3" xfId="2024"/>
    <cellStyle name="Normal 120 3" xfId="2025"/>
    <cellStyle name="Normal 3 2 2 2 64 3" xfId="2026"/>
    <cellStyle name="Comma 94 3" xfId="2027"/>
    <cellStyle name="Normal 3 3 2 17 3" xfId="2028"/>
    <cellStyle name="Normal 3 43 3" xfId="2029"/>
    <cellStyle name="Comma 2 58 3" xfId="2030"/>
    <cellStyle name="Comma 2 2 41 3" xfId="2031"/>
    <cellStyle name="Normal 3 3 41 3" xfId="2032"/>
    <cellStyle name="Normal 3 2 2 2 65 3" xfId="2033"/>
    <cellStyle name="Comma 2 59 3" xfId="2034"/>
    <cellStyle name="Normal 121 3" xfId="2035"/>
    <cellStyle name="Comma 95 3" xfId="2036"/>
    <cellStyle name="Normal 122 3" xfId="2037"/>
    <cellStyle name="Normal 3 2 2 2 66 3" xfId="2038"/>
    <cellStyle name="Comma 96 3" xfId="2039"/>
    <cellStyle name="Normal 3 3 2 18 3" xfId="2040"/>
    <cellStyle name="Normal 3 44 3" xfId="2041"/>
    <cellStyle name="Comma 2 60 3" xfId="2042"/>
    <cellStyle name="Comma 2 2 42 3" xfId="2043"/>
    <cellStyle name="Normal 3 3 42 3" xfId="2044"/>
    <cellStyle name="Normal 3 2 2 2 67 3" xfId="2045"/>
    <cellStyle name="Normal 123 3" xfId="2046"/>
    <cellStyle name="Comma 2 61 3" xfId="2047"/>
    <cellStyle name="Normal 124 4" xfId="2048"/>
    <cellStyle name="Normal 3 2 2 2 68 3" xfId="2049"/>
    <cellStyle name="Comma 97 4" xfId="2050"/>
    <cellStyle name="Normal 3 3 2 19 4" xfId="2051"/>
    <cellStyle name="Normal 3 45 3" xfId="2052"/>
    <cellStyle name="Comma 2 62 3" xfId="2053"/>
    <cellStyle name="Comma 2 2 43 3" xfId="2054"/>
    <cellStyle name="Normal 3 3 43 3" xfId="2055"/>
    <cellStyle name="Normal 3 2 2 2 69 3" xfId="2056"/>
    <cellStyle name="Comma 2 63 3" xfId="2057"/>
    <cellStyle name="Normal 124 2 3" xfId="2058"/>
    <cellStyle name="Normal 3 3 2 19 2 3" xfId="2059"/>
    <cellStyle name="Comma 97 2 3" xfId="2060"/>
    <cellStyle name="Comma 2 64 3" xfId="2061"/>
    <cellStyle name="Comma 2 2 44 3" xfId="2062"/>
    <cellStyle name="Normal 3 2 2 2 70 3" xfId="2063"/>
    <cellStyle name="Normal 125 3" xfId="2064"/>
    <cellStyle name="Normal 3 2 2 2 71 3" xfId="2065"/>
    <cellStyle name="Comma 98 3" xfId="2066"/>
    <cellStyle name="Normal 3 3 2 20 3" xfId="2067"/>
    <cellStyle name="Normal 126 3" xfId="2068"/>
    <cellStyle name="Comma 2 65 3" xfId="2069"/>
    <cellStyle name="Normal 3 46 3" xfId="2070"/>
    <cellStyle name="Comma 2 66 3" xfId="2071"/>
    <cellStyle name="Comma 2 2 45 3" xfId="2072"/>
    <cellStyle name="Normal 3 3 44 3" xfId="2073"/>
    <cellStyle name="Normal 3 2 2 2 72 3" xfId="2074"/>
    <cellStyle name="Normal 127 3" xfId="2075"/>
    <cellStyle name="Normal 3 2 2 2 73 3" xfId="2076"/>
    <cellStyle name="Comma 99 3" xfId="2077"/>
    <cellStyle name="Normal 128 3" xfId="2078"/>
    <cellStyle name="Comma 100 3" xfId="2079"/>
    <cellStyle name="Normal 129 3" xfId="2080"/>
    <cellStyle name="Normal 3 2 2 2 74 3" xfId="2081"/>
    <cellStyle name="Comma 101 3" xfId="2082"/>
    <cellStyle name="Normal 3 3 2 21 3" xfId="2083"/>
    <cellStyle name="Normal 130 3" xfId="2084"/>
    <cellStyle name="Comma 102 3" xfId="2085"/>
    <cellStyle name="Normal 3 47 3" xfId="2086"/>
    <cellStyle name="Comma 2 67 3" xfId="2087"/>
    <cellStyle name="Comma 2 2 46 3" xfId="2088"/>
    <cellStyle name="Normal 3 3 45 3" xfId="2089"/>
    <cellStyle name="Normal 3 2 2 2 75 3" xfId="2090"/>
    <cellStyle name="Normal 131 3" xfId="2091"/>
    <cellStyle name="Comma 2 68 3" xfId="2092"/>
    <cellStyle name="Normal 132 4" xfId="2093"/>
    <cellStyle name="Normal 3 2 2 2 76 3" xfId="2094"/>
    <cellStyle name="Comma 103 4" xfId="2095"/>
    <cellStyle name="Normal 3 3 2 22 4" xfId="2096"/>
    <cellStyle name="Normal 133 3" xfId="2097"/>
    <cellStyle name="Normal 3 2 2 2 77 3" xfId="2098"/>
    <cellStyle name="Comma 104 3" xfId="2099"/>
    <cellStyle name="Normal 3 3 2 23 3" xfId="2100"/>
    <cellStyle name="Comma 2 69 3" xfId="2101"/>
    <cellStyle name="Comma 2 2 47 3" xfId="2102"/>
    <cellStyle name="Normal 134 4" xfId="2103"/>
    <cellStyle name="Comma 2 70 3" xfId="2104"/>
    <cellStyle name="Normal 3 48 4" xfId="2105"/>
    <cellStyle name="Comma 2 71 3" xfId="2106"/>
    <cellStyle name="Comma 2 2 48 3" xfId="2107"/>
    <cellStyle name="Normal 3 3 46 3" xfId="2108"/>
    <cellStyle name="Normal 3 2 2 2 78 3" xfId="2109"/>
    <cellStyle name="Normal 3 2 2 2 79 3" xfId="2110"/>
    <cellStyle name="Comma 2 4 2 3" xfId="2111"/>
    <cellStyle name="Comma 2 2 2 2 3" xfId="2112"/>
    <cellStyle name="Normal 3 3 2 24 3" xfId="2113"/>
    <cellStyle name="Normal 135 3" xfId="2114"/>
    <cellStyle name="Normal 3 2 2 2 80 3" xfId="2115"/>
    <cellStyle name="Comma 106 3" xfId="2116"/>
    <cellStyle name="Normal 136 3" xfId="2117"/>
    <cellStyle name="Normal 132 2 3" xfId="2118"/>
    <cellStyle name="Normal 3 3 2 25 3" xfId="2119"/>
    <cellStyle name="Comma 107 3" xfId="2120"/>
    <cellStyle name="Normal 3 3 2 22 2 3" xfId="2121"/>
    <cellStyle name="Comma 103 2 3" xfId="2122"/>
    <cellStyle name="Normal 137 3" xfId="2123"/>
    <cellStyle name="Comma 2 72 3" xfId="2124"/>
    <cellStyle name="Normal 138 3" xfId="2125"/>
    <cellStyle name="Normal 3 2 2 2 81 3" xfId="2126"/>
    <cellStyle name="Comma 108 3" xfId="2127"/>
    <cellStyle name="Normal 3 3 2 26 3" xfId="2128"/>
    <cellStyle name="Normal 139 4" xfId="2129"/>
    <cellStyle name="Comma 2 73 3" xfId="2130"/>
    <cellStyle name="Normal 140 3" xfId="2131"/>
    <cellStyle name="Comma 109 3" xfId="2132"/>
    <cellStyle name="Normal 141 3" xfId="2133"/>
    <cellStyle name="Normal 3 2 2 2 82 3" xfId="2134"/>
    <cellStyle name="Comma 110 3" xfId="2135"/>
    <cellStyle name="Normal 3 3 2 27 3" xfId="2136"/>
    <cellStyle name="Normal 80 2 2 4" xfId="2137"/>
    <cellStyle name="Comma 58 2 2 4" xfId="2138"/>
    <cellStyle name="Emart 3 2 2 3" xfId="2139"/>
    <cellStyle name="Normal 3 2 2 2 83 4" xfId="2140"/>
    <cellStyle name="Comma 2 4 3 4" xfId="2141"/>
    <cellStyle name="Comma 2 2 2 3 4" xfId="2142"/>
    <cellStyle name="Normal 3 3 2 28 4" xfId="2143"/>
    <cellStyle name="Normal 3 2 2 2 83 2 3" xfId="2144"/>
    <cellStyle name="Comma 2 4 3 2 3" xfId="2145"/>
    <cellStyle name="Comma 2 2 2 3 2 3" xfId="2146"/>
    <cellStyle name="Normal 3 3 2 28 2 4" xfId="2147"/>
    <cellStyle name="Normal 139 2 3" xfId="2148"/>
    <cellStyle name="Normal 142 3" xfId="2149"/>
    <cellStyle name="Normal 3 3 2 29 3" xfId="2150"/>
    <cellStyle name="Normal 3 2 2 2 25 2 3" xfId="2151"/>
    <cellStyle name="Normal 7 2 3" xfId="2152"/>
    <cellStyle name="Normal 143 3" xfId="2153"/>
    <cellStyle name="Normal 3 2 2 2 84 3" xfId="2154"/>
    <cellStyle name="Comma 111 3" xfId="2155"/>
    <cellStyle name="Normal 3 3 2 28 2 2 3" xfId="2156"/>
    <cellStyle name="Normal 144 3" xfId="2157"/>
    <cellStyle name="Comma 112 3" xfId="2158"/>
    <cellStyle name="Normal 145 3" xfId="2159"/>
    <cellStyle name="Normal 3 2 2 2 85 3" xfId="2160"/>
    <cellStyle name="Comma 113 3" xfId="2161"/>
    <cellStyle name="Normal 146 3" xfId="2162"/>
    <cellStyle name="Comma 114 3" xfId="2163"/>
    <cellStyle name="Normal 148 4" xfId="2164"/>
    <cellStyle name="Comma 116 3" xfId="2165"/>
    <cellStyle name="Normal 3 2 2 2 87 3" xfId="2166"/>
    <cellStyle name="Emart 2 2 3" xfId="2167"/>
    <cellStyle name="Normal 149 3" xfId="2168"/>
    <cellStyle name="Comma 117 3" xfId="2169"/>
    <cellStyle name="Emart 4 3" xfId="2170"/>
    <cellStyle name="Normal 2 4 2 4" xfId="2171"/>
    <cellStyle name="Normal 150 3" xfId="2172"/>
    <cellStyle name="Comma 118 3" xfId="2173"/>
    <cellStyle name="Comma 2 74 3" xfId="2174"/>
    <cellStyle name="Emart 5 3" xfId="2175"/>
    <cellStyle name="Normal 2 4 2 2 4" xfId="2176"/>
    <cellStyle name="Comma 121 3" xfId="2177"/>
    <cellStyle name="Normal 2 4 2 2 2 4" xfId="2178"/>
    <cellStyle name="Comma 122 3" xfId="2179"/>
    <cellStyle name="Normal 154 3" xfId="2180"/>
    <cellStyle name="Normal 155 3" xfId="2181"/>
    <cellStyle name="Comma 123 3" xfId="2182"/>
    <cellStyle name="Normal 152 2 3 3" xfId="2183"/>
    <cellStyle name="Normal 3 2 2 2 25 3 3" xfId="2184"/>
    <cellStyle name="Normal 2 4 2 2 2 2 3" xfId="2185"/>
    <cellStyle name="Comma 124 3" xfId="2186"/>
    <cellStyle name="Normal 156 3" xfId="2187"/>
    <cellStyle name="Comma 125 3" xfId="2188"/>
    <cellStyle name="Emart 6 2" xfId="2189"/>
    <cellStyle name="Normal 152 2 2 2 2 3" xfId="2190"/>
    <cellStyle name="Normal 80 2 2 2 4" xfId="2191"/>
    <cellStyle name="Comma 58 2 2 2 4" xfId="2192"/>
    <cellStyle name="Emart 3 2 2 2 3" xfId="2193"/>
    <cellStyle name="Normal 157 4" xfId="2194"/>
    <cellStyle name="Comma 126 3" xfId="2195"/>
    <cellStyle name="Normal 152 2 2 2 3 3" xfId="2196"/>
    <cellStyle name="Normal 3 48 2 3" xfId="2197"/>
    <cellStyle name="Normal 134 2 3" xfId="2198"/>
    <cellStyle name="Comma 127 3" xfId="2199"/>
    <cellStyle name="Comma 128 3" xfId="2200"/>
    <cellStyle name="Normal 158 3" xfId="2201"/>
    <cellStyle name="Emart 5 2 2" xfId="2202"/>
    <cellStyle name="Normal 159 3" xfId="2203"/>
    <cellStyle name="Comma 129 3" xfId="2204"/>
    <cellStyle name="Normal 152 2 2 2 5 3" xfId="2205"/>
    <cellStyle name="Normal 160 3" xfId="2206"/>
    <cellStyle name="Normal 3 50 3" xfId="2207"/>
    <cellStyle name="Comma 2 75 3" xfId="2208"/>
    <cellStyle name="Comma 2 2 49 3" xfId="2209"/>
    <cellStyle name="Normal 3 3 47 3" xfId="2210"/>
    <cellStyle name="Normal 3 2 2 2 88 3" xfId="2211"/>
    <cellStyle name="Comma 131 3" xfId="2212"/>
    <cellStyle name="Comma 130 2 3" xfId="2213"/>
    <cellStyle name="Normal 152 2 2 2 4 2 2 3" xfId="2214"/>
    <cellStyle name="Normal 2 6 3" xfId="2215"/>
    <cellStyle name="Comma 132 4" xfId="2216"/>
    <cellStyle name="Normal 163 3" xfId="2217"/>
    <cellStyle name="Comma 133 3" xfId="2218"/>
    <cellStyle name="Comma 132 2 3" xfId="2219"/>
    <cellStyle name="Normal 164 3" xfId="2220"/>
    <cellStyle name="Normal 163 2 3" xfId="2221"/>
    <cellStyle name="Emart 7 2" xfId="2222"/>
    <cellStyle name="Normal 8 2 2" xfId="2223"/>
    <cellStyle name="Comma 4 3 2" xfId="2224"/>
    <cellStyle name="Normal 10 4 2" xfId="2225"/>
    <cellStyle name="40% - Accent3 2 2 2" xfId="2226"/>
    <cellStyle name="Normal 3 3 2 30 2" xfId="2227"/>
    <cellStyle name="Normal 3 2 2 2 89 2" xfId="2228"/>
    <cellStyle name="Normal 3 4 4 2" xfId="2229"/>
    <cellStyle name="Comma 2 4 5 2" xfId="2230"/>
    <cellStyle name="Comma 2 2 2 4 2" xfId="2231"/>
    <cellStyle name="Comma 5 2 2" xfId="2232"/>
    <cellStyle name="Normal 13 3 2" xfId="2233"/>
    <cellStyle name="Comma 6 3 2" xfId="2234"/>
    <cellStyle name="Normal 14 2 2" xfId="2235"/>
    <cellStyle name="Comma 7 2 2" xfId="2236"/>
    <cellStyle name="Normal 15 2 2" xfId="2237"/>
    <cellStyle name="Comma 9 2 2" xfId="2238"/>
    <cellStyle name="Normal 18 2 2" xfId="2239"/>
    <cellStyle name="Normal 13 2 3 2" xfId="2240"/>
    <cellStyle name="Comma 6 2 2 2" xfId="2241"/>
    <cellStyle name="Comma 10 2 2" xfId="2242"/>
    <cellStyle name="Normal 3 5 2 2" xfId="2243"/>
    <cellStyle name="Comma 2 5 2 2" xfId="2244"/>
    <cellStyle name="Comma 2 2 3 2 2" xfId="2245"/>
    <cellStyle name="Normal 3 3 3 2 2" xfId="2246"/>
    <cellStyle name="Normal 19 2 2" xfId="2247"/>
    <cellStyle name="Normal 20 2 2" xfId="2248"/>
    <cellStyle name="Normal 22 2 2" xfId="2249"/>
    <cellStyle name="Comma 12 2 2" xfId="2250"/>
    <cellStyle name="Normal 23 2 2" xfId="2251"/>
    <cellStyle name="Normal 24 2 2" xfId="2252"/>
    <cellStyle name="Comma 13 2 2" xfId="2253"/>
    <cellStyle name="Normal 3 6 2 2" xfId="2254"/>
    <cellStyle name="Comma 2 6 2 2" xfId="2255"/>
    <cellStyle name="Comma 2 2 4 2 2" xfId="2256"/>
    <cellStyle name="Normal 3 3 4 2 2" xfId="2257"/>
    <cellStyle name="Normal 3 7 2 2" xfId="2258"/>
    <cellStyle name="Comma 2 7 2 2" xfId="2259"/>
    <cellStyle name="Comma 2 2 5 2 2" xfId="2260"/>
    <cellStyle name="Normal 3 3 5 2 2" xfId="2261"/>
    <cellStyle name="Normal 25 2 2" xfId="2262"/>
    <cellStyle name="Comma 14 2 2" xfId="2263"/>
    <cellStyle name="Normal 26 2 2" xfId="2264"/>
    <cellStyle name="Comma 15 2 2" xfId="2265"/>
    <cellStyle name="Comma 16 2 2" xfId="2266"/>
    <cellStyle name="Normal 28 2 2" xfId="2267"/>
    <cellStyle name="Normal 29 2 2" xfId="2268"/>
    <cellStyle name="Comma 17 2 2" xfId="2269"/>
    <cellStyle name="Normal 30 2 2" xfId="2270"/>
    <cellStyle name="Comma 18 2 2" xfId="2271"/>
    <cellStyle name="Normal 3 8 2 2" xfId="2272"/>
    <cellStyle name="Comma 2 8 2 2" xfId="2273"/>
    <cellStyle name="Comma 2 2 6 2 2" xfId="2274"/>
    <cellStyle name="Normal 3 3 6 2 2" xfId="2275"/>
    <cellStyle name="Comma 19 2 2" xfId="2276"/>
    <cellStyle name="Normal 32 2 2" xfId="2277"/>
    <cellStyle name="Normal 33 2 2" xfId="2278"/>
    <cellStyle name="Comma 20 2 2" xfId="2279"/>
    <cellStyle name="Normal 3 9 2 2" xfId="2280"/>
    <cellStyle name="Comma 2 9 2 2" xfId="2281"/>
    <cellStyle name="Comma 2 2 7 2 2" xfId="2282"/>
    <cellStyle name="Normal 3 3 7 2 2" xfId="2283"/>
    <cellStyle name="Normal 34 2 2" xfId="2284"/>
    <cellStyle name="Normal 35 2 2" xfId="2285"/>
    <cellStyle name="Normal 3 10 2 2" xfId="2286"/>
    <cellStyle name="Comma 2 10 2 2" xfId="2287"/>
    <cellStyle name="Comma 2 2 8 2 2" xfId="2288"/>
    <cellStyle name="Normal 3 3 8 2 2" xfId="2289"/>
    <cellStyle name="Normal 3 11 2 2" xfId="2290"/>
    <cellStyle name="Comma 2 11 2 2" xfId="2291"/>
    <cellStyle name="Comma 2 2 9 2 2" xfId="2292"/>
    <cellStyle name="Normal 3 3 9 2 2" xfId="2293"/>
    <cellStyle name="Normal 36 2 2" xfId="2294"/>
    <cellStyle name="Comma 21 2 2" xfId="2295"/>
    <cellStyle name="Normal 3 12 2 2" xfId="2296"/>
    <cellStyle name="Comma 2 12 2 2" xfId="2297"/>
    <cellStyle name="Comma 2 2 10 2 2" xfId="2298"/>
    <cellStyle name="Normal 3 3 10 2 2" xfId="2299"/>
    <cellStyle name="Normal 38 2 2" xfId="2300"/>
    <cellStyle name="Normal 39 2 2" xfId="2301"/>
    <cellStyle name="Comma 22 2 2" xfId="2302"/>
    <cellStyle name="Normal 3 13 2 2" xfId="2303"/>
    <cellStyle name="Comma 2 13 2 2" xfId="2304"/>
    <cellStyle name="Comma 2 2 11 2 2" xfId="2305"/>
    <cellStyle name="Normal 3 3 11 2 2" xfId="2306"/>
    <cellStyle name="Normal 40 2 2" xfId="2307"/>
    <cellStyle name="Comma 23 2 2" xfId="2308"/>
    <cellStyle name="Comma 24 2 2" xfId="2309"/>
    <cellStyle name="Normal 41 2 2" xfId="2310"/>
    <cellStyle name="Normal 42 2 2" xfId="2311"/>
    <cellStyle name="Comma 25 2 2" xfId="2312"/>
    <cellStyle name="Normal 3 14 2 2" xfId="2313"/>
    <cellStyle name="Comma 2 14 2 2" xfId="2314"/>
    <cellStyle name="Comma 2 2 12 2 2" xfId="2315"/>
    <cellStyle name="Normal 3 3 12 2 2" xfId="2316"/>
    <cellStyle name="Normal 43 2 2" xfId="2317"/>
    <cellStyle name="Comma 26 2 2" xfId="2318"/>
    <cellStyle name="Normal 3 15 2 2" xfId="2319"/>
    <cellStyle name="Comma 2 15 2 2" xfId="2320"/>
    <cellStyle name="Comma 2 2 13 2 2" xfId="2321"/>
    <cellStyle name="Normal 3 3 13 2 2" xfId="2322"/>
    <cellStyle name="Normal 44 2 2" xfId="2323"/>
    <cellStyle name="Comma 28 2 2" xfId="2324"/>
    <cellStyle name="Normal 45 2 2" xfId="2325"/>
    <cellStyle name="Normal 3 16 2 2" xfId="2326"/>
    <cellStyle name="Comma 2 16 2 2" xfId="2327"/>
    <cellStyle name="Comma 2 2 14 2 2" xfId="2328"/>
    <cellStyle name="Normal 3 3 14 2 2" xfId="2329"/>
    <cellStyle name="Normal 46 2 2" xfId="2330"/>
    <cellStyle name="Comma 29 2 2" xfId="2331"/>
    <cellStyle name="Normal 47 2 2" xfId="2332"/>
    <cellStyle name="Normal 3 17 2 2" xfId="2333"/>
    <cellStyle name="Comma 2 17 2 2" xfId="2334"/>
    <cellStyle name="Comma 2 2 15 2 2" xfId="2335"/>
    <cellStyle name="Normal 3 3 15 2 2" xfId="2336"/>
    <cellStyle name="Normal 3 2 2 2 2 2 2" xfId="2337"/>
    <cellStyle name="Normal 48 2 2" xfId="2338"/>
    <cellStyle name="Normal 3 2 2 2 3 2 2" xfId="2339"/>
    <cellStyle name="Comma 30 2 2" xfId="2340"/>
    <cellStyle name="Normal 49 2 2" xfId="2341"/>
    <cellStyle name="Comma 31 2 2" xfId="2342"/>
    <cellStyle name="Normal 50 2 2" xfId="2343"/>
    <cellStyle name="Normal 3 2 2 2 4 2 2" xfId="2344"/>
    <cellStyle name="Comma 32 2 2" xfId="2345"/>
    <cellStyle name="Normal 3 18 2 2" xfId="2346"/>
    <cellStyle name="Comma 2 18 2 2" xfId="2347"/>
    <cellStyle name="Comma 2 2 16 2 2" xfId="2348"/>
    <cellStyle name="Normal 3 3 16 2 2" xfId="2349"/>
    <cellStyle name="Normal 3 2 2 2 5 2 2" xfId="2350"/>
    <cellStyle name="Normal 51 2 2" xfId="2351"/>
    <cellStyle name="Emart 2 3 2" xfId="2352"/>
    <cellStyle name="Normal 13 2 2 2 2" xfId="2353"/>
    <cellStyle name="Normal 3 4 2 2 2" xfId="2354"/>
    <cellStyle name="Normal 3 2 2 2 6 2 2" xfId="2355"/>
    <cellStyle name="Comma 33 2 2" xfId="2356"/>
    <cellStyle name="Normal 52 2 2" xfId="2357"/>
    <cellStyle name="Normal 53 2 2" xfId="2358"/>
    <cellStyle name="Normal 3 19 2 2" xfId="2359"/>
    <cellStyle name="Comma 2 19 2 2" xfId="2360"/>
    <cellStyle name="Comma 2 2 17 2 2" xfId="2361"/>
    <cellStyle name="Normal 3 3 17 2 2" xfId="2362"/>
    <cellStyle name="Normal 3 2 2 2 7 2 2" xfId="2363"/>
    <cellStyle name="Normal 54 2 2" xfId="2364"/>
    <cellStyle name="Normal 55 2 2" xfId="2365"/>
    <cellStyle name="Normal 3 2 2 2 8 2 2" xfId="2366"/>
    <cellStyle name="Comma 34 2 2" xfId="2367"/>
    <cellStyle name="Normal 56 2 2" xfId="2368"/>
    <cellStyle name="Comma 35 2 2" xfId="2369"/>
    <cellStyle name="Normal 57 2 2" xfId="2370"/>
    <cellStyle name="Normal 3 2 2 2 9 2 2" xfId="2371"/>
    <cellStyle name="Comma 36 2 2" xfId="2372"/>
    <cellStyle name="Normal 3 20 2 2" xfId="2373"/>
    <cellStyle name="Comma 2 20 2 2" xfId="2374"/>
    <cellStyle name="Comma 2 2 18 2 2" xfId="2375"/>
    <cellStyle name="Normal 3 3 18 2 2" xfId="2376"/>
    <cellStyle name="Normal 3 2 2 2 10 2 2" xfId="2377"/>
    <cellStyle name="Normal 58 2 2" xfId="2378"/>
    <cellStyle name="Normal 59 2 2" xfId="2379"/>
    <cellStyle name="Normal 3 2 2 2 11 2 2" xfId="2380"/>
    <cellStyle name="Comma 37 2 2" xfId="2381"/>
    <cellStyle name="Normal 60 2 2" xfId="2382"/>
    <cellStyle name="Comma 38 2 2" xfId="2383"/>
    <cellStyle name="Normal 61 2 2" xfId="2384"/>
    <cellStyle name="Normal 3 2 2 2 12 2 2" xfId="2385"/>
    <cellStyle name="Comma 39 2 2" xfId="2386"/>
    <cellStyle name="Normal 3 21 2 2" xfId="2387"/>
    <cellStyle name="Comma 2 21 2 2" xfId="2388"/>
    <cellStyle name="Comma 2 2 19 2 2" xfId="2389"/>
    <cellStyle name="Normal 3 3 19 2 2" xfId="2390"/>
    <cellStyle name="Normal 3 2 2 2 13 2 2" xfId="2391"/>
    <cellStyle name="Normal 62 2 2" xfId="2392"/>
    <cellStyle name="Comma 40 2 2" xfId="2393"/>
    <cellStyle name="Normal 63 2 2" xfId="2394"/>
    <cellStyle name="Normal 3 2 2 2 14 2 2" xfId="2395"/>
    <cellStyle name="Comma 41 2 2" xfId="2396"/>
    <cellStyle name="Normal 64 2 2" xfId="2397"/>
    <cellStyle name="Normal 3 22 2 2" xfId="2398"/>
    <cellStyle name="Comma 2 22 2 2" xfId="2399"/>
    <cellStyle name="Comma 2 2 20 2 2" xfId="2400"/>
    <cellStyle name="Normal 3 3 20 2 2" xfId="2401"/>
    <cellStyle name="Normal 3 2 2 2 15 2 2" xfId="2402"/>
    <cellStyle name="Normal 65 2 2" xfId="2403"/>
    <cellStyle name="Comma 42 2 2" xfId="2404"/>
    <cellStyle name="Normal 66 2 2" xfId="2405"/>
    <cellStyle name="Normal 3 2 2 2 16 2 2" xfId="2406"/>
    <cellStyle name="Comma 43 2 2" xfId="2407"/>
    <cellStyle name="Normal 67 2 2" xfId="2408"/>
    <cellStyle name="Normal 3 2 2 2 17 2 2" xfId="2409"/>
    <cellStyle name="Comma 44 2 2" xfId="2410"/>
    <cellStyle name="Normal 3 23 2 2" xfId="2411"/>
    <cellStyle name="Comma 2 23 2 2" xfId="2412"/>
    <cellStyle name="Comma 2 2 21 2 2" xfId="2413"/>
    <cellStyle name="Normal 3 3 21 2 2" xfId="2414"/>
    <cellStyle name="Normal 3 2 2 2 18 2 2" xfId="2415"/>
    <cellStyle name="Comma 45 2 2" xfId="2416"/>
    <cellStyle name="Normal 68 2 2" xfId="2417"/>
    <cellStyle name="Normal 69 2 2" xfId="2418"/>
    <cellStyle name="Normal 3 2 2 2 19 2 2" xfId="2419"/>
    <cellStyle name="Comma 46 2 2" xfId="2420"/>
    <cellStyle name="Normal 70 2 2" xfId="2421"/>
    <cellStyle name="Comma 47 2 2" xfId="2422"/>
    <cellStyle name="Normal 3 24 2 2" xfId="2423"/>
    <cellStyle name="Comma 2 24 2 2" xfId="2424"/>
    <cellStyle name="Comma 2 2 22 2 2" xfId="2425"/>
    <cellStyle name="Normal 3 3 22 2 2" xfId="2426"/>
    <cellStyle name="Normal 3 2 2 2 20 2 2" xfId="2427"/>
    <cellStyle name="Normal 71 2 2" xfId="2428"/>
    <cellStyle name="Comma 48 2 2" xfId="2429"/>
    <cellStyle name="Normal 72 2 2" xfId="2430"/>
    <cellStyle name="Normal 3 2 2 2 21 2 2" xfId="2431"/>
    <cellStyle name="Comma 49 2 2" xfId="2432"/>
    <cellStyle name="Normal 3 25 2 2" xfId="2433"/>
    <cellStyle name="Comma 2 25 2 2" xfId="2434"/>
    <cellStyle name="Comma 2 2 23 2 2" xfId="2435"/>
    <cellStyle name="Normal 3 3 23 2 2" xfId="2436"/>
    <cellStyle name="Normal 3 2 2 2 22 2 2" xfId="2437"/>
    <cellStyle name="Comma 50 2 2" xfId="2438"/>
    <cellStyle name="Normal 73 2 2" xfId="2439"/>
    <cellStyle name="Comma 51 2 2" xfId="2440"/>
    <cellStyle name="Normal 74 2 2" xfId="2441"/>
    <cellStyle name="Normal 3 2 2 2 23 2 2" xfId="2442"/>
    <cellStyle name="Comma 52 2 2" xfId="2443"/>
    <cellStyle name="Normal 75 2 2" xfId="2444"/>
    <cellStyle name="Normal 3 2 2 2 24 2 2" xfId="2445"/>
    <cellStyle name="Comma 53 2 2" xfId="2446"/>
    <cellStyle name="Normal 76 2 2" xfId="2447"/>
    <cellStyle name="Comma 54 2 2" xfId="2448"/>
    <cellStyle name="Normal 3 26 2 2" xfId="2449"/>
    <cellStyle name="Comma 2 26 2 2" xfId="2450"/>
    <cellStyle name="Comma 2 2 24 2 2" xfId="2451"/>
    <cellStyle name="Normal 3 3 24 2 2" xfId="2452"/>
    <cellStyle name="Normal 3 2 2 2 25 4 2" xfId="2453"/>
    <cellStyle name="Normal 77 2 2" xfId="2454"/>
    <cellStyle name="Normal 3 2 2 2 26 2 2" xfId="2455"/>
    <cellStyle name="Comma 55 2 2" xfId="2456"/>
    <cellStyle name="Normal 78 2 2" xfId="2457"/>
    <cellStyle name="Comma 56 2 2" xfId="2458"/>
    <cellStyle name="Normal 79 2 2" xfId="2459"/>
    <cellStyle name="Normal 3 2 2 2 27 2 2" xfId="2460"/>
    <cellStyle name="Comma 57 2 2" xfId="2461"/>
    <cellStyle name="Normal 80 3 2" xfId="2462"/>
    <cellStyle name="Comma 58 3 2" xfId="2463"/>
    <cellStyle name="Normal 3 27 2 2" xfId="2464"/>
    <cellStyle name="Comma 2 27 2 2" xfId="2465"/>
    <cellStyle name="Comma 2 2 25 2 2" xfId="2466"/>
    <cellStyle name="Normal 3 3 25 2 2" xfId="2467"/>
    <cellStyle name="Normal 3 2 2 2 28 2 2" xfId="2468"/>
    <cellStyle name="Comma 59 2 2" xfId="2469"/>
    <cellStyle name="Normal 81 2 2" xfId="2470"/>
    <cellStyle name="Normal 3 2 2 2 29 2 2" xfId="2471"/>
    <cellStyle name="Normal 3 3 2 2 2 2" xfId="2472"/>
    <cellStyle name="Comma 60 2 2" xfId="2473"/>
    <cellStyle name="Normal 3 28 2 2" xfId="2474"/>
    <cellStyle name="Comma 2 28 2 2" xfId="2475"/>
    <cellStyle name="Comma 2 2 26 2 2" xfId="2476"/>
    <cellStyle name="Normal 3 3 26 2 2" xfId="2477"/>
    <cellStyle name="Normal 3 2 2 2 30 2 2" xfId="2478"/>
    <cellStyle name="Normal 82 2 2" xfId="2479"/>
    <cellStyle name="Comma 61 2 2" xfId="2480"/>
    <cellStyle name="Normal 83 2 2" xfId="2481"/>
    <cellStyle name="Comma 62 2 2" xfId="2482"/>
    <cellStyle name="Normal 84 2 2" xfId="2483"/>
    <cellStyle name="Normal 3 2 2 2 31 2 2" xfId="2484"/>
    <cellStyle name="Normal 3 3 2 3 2 2" xfId="2485"/>
    <cellStyle name="Comma 63 2 2" xfId="2486"/>
    <cellStyle name="Normal 85 2 2" xfId="2487"/>
    <cellStyle name="Comma 2 29 2 2" xfId="2488"/>
    <cellStyle name="Normal 3 29 2 2" xfId="2489"/>
    <cellStyle name="Comma 2 30 2 2" xfId="2490"/>
    <cellStyle name="Comma 2 2 27 2 2" xfId="2491"/>
    <cellStyle name="Normal 3 3 27 2 2" xfId="2492"/>
    <cellStyle name="Normal 3 2 2 2 32 2 2" xfId="2493"/>
    <cellStyle name="Normal 86 2 2" xfId="2494"/>
    <cellStyle name="Normal 3 2 2 2 33 2 2" xfId="2495"/>
    <cellStyle name="Comma 64 2 2" xfId="2496"/>
    <cellStyle name="Normal 87 2 2" xfId="2497"/>
    <cellStyle name="Normal 3 2 2 2 34 2 2" xfId="2498"/>
    <cellStyle name="Normal 3 3 2 4 2 2" xfId="2499"/>
    <cellStyle name="Comma 65 2 2" xfId="2500"/>
    <cellStyle name="Normal 88 2 2" xfId="2501"/>
    <cellStyle name="Normal 3 2 2 2 35 2 2" xfId="2502"/>
    <cellStyle name="Comma 66 2 2" xfId="2503"/>
    <cellStyle name="Normal 89 2 2" xfId="2504"/>
    <cellStyle name="Comma 2 31 2 2" xfId="2505"/>
    <cellStyle name="Normal 3 30 2 2" xfId="2506"/>
    <cellStyle name="Comma 2 32 2 2" xfId="2507"/>
    <cellStyle name="Comma 2 2 28 2 2" xfId="2508"/>
    <cellStyle name="Normal 3 3 28 2 2" xfId="2509"/>
    <cellStyle name="Normal 3 2 2 2 36 2 2" xfId="2510"/>
    <cellStyle name="Normal 90 2 2" xfId="2511"/>
    <cellStyle name="Comma 67 2 2" xfId="2512"/>
    <cellStyle name="Normal 91 2 2" xfId="2513"/>
    <cellStyle name="Normal 3 2 2 2 37 2 2" xfId="2514"/>
    <cellStyle name="Comma 68 2 2" xfId="2515"/>
    <cellStyle name="Normal 3 3 2 5 2 2" xfId="2516"/>
    <cellStyle name="Normal 3 31 2 2" xfId="2517"/>
    <cellStyle name="Comma 2 33 2 2" xfId="2518"/>
    <cellStyle name="Comma 2 2 29 2 2" xfId="2519"/>
    <cellStyle name="Normal 3 3 29 2 2" xfId="2520"/>
    <cellStyle name="Normal 3 2 2 2 38 2 2" xfId="2521"/>
    <cellStyle name="Comma 2 34 2 2" xfId="2522"/>
    <cellStyle name="Normal 92 2 2" xfId="2523"/>
    <cellStyle name="Comma 69 2 2" xfId="2524"/>
    <cellStyle name="Normal 93 2 2" xfId="2525"/>
    <cellStyle name="Normal 3 2 2 2 39 2 2" xfId="2526"/>
    <cellStyle name="Normal 3 3 2 6 2 2" xfId="2527"/>
    <cellStyle name="Comma 70 2 2" xfId="2528"/>
    <cellStyle name="Normal 94 2 2" xfId="2529"/>
    <cellStyle name="Comma 2 35 2 2" xfId="2530"/>
    <cellStyle name="Normal 95 2 2" xfId="2531"/>
    <cellStyle name="Comma 71 2 2" xfId="2532"/>
    <cellStyle name="Normal 3 32 2 2" xfId="2533"/>
    <cellStyle name="Comma 2 36 2 2" xfId="2534"/>
    <cellStyle name="Comma 2 2 30 2 2" xfId="2535"/>
    <cellStyle name="Normal 3 3 30 2 2" xfId="2536"/>
    <cellStyle name="Normal 3 2 2 2 40 2 2" xfId="2537"/>
    <cellStyle name="Normal 96 2 2" xfId="2538"/>
    <cellStyle name="Normal 3 2 2 2 41 2 2" xfId="2539"/>
    <cellStyle name="Comma 72 2 2" xfId="2540"/>
    <cellStyle name="Normal 3 3 2 7 2 2" xfId="2541"/>
    <cellStyle name="Normal 97 2 2" xfId="2542"/>
    <cellStyle name="Comma 2 37 2 2" xfId="2543"/>
    <cellStyle name="Comma 73 2 2" xfId="2544"/>
    <cellStyle name="Normal 3 33 2 2" xfId="2545"/>
    <cellStyle name="Comma 2 38 2 2" xfId="2546"/>
    <cellStyle name="Comma 2 2 31 2 2" xfId="2547"/>
    <cellStyle name="Normal 3 3 31 2 2" xfId="2548"/>
    <cellStyle name="Normal 3 2 2 2 42 2 2" xfId="2549"/>
    <cellStyle name="Normal 98 2 2" xfId="2550"/>
    <cellStyle name="Normal 3 2 2 2 43 2 2" xfId="2551"/>
    <cellStyle name="Comma 74 2 2" xfId="2552"/>
    <cellStyle name="Normal 3 3 2 8 2 2" xfId="2553"/>
    <cellStyle name="Normal 3 34 2 2" xfId="2554"/>
    <cellStyle name="Comma 2 39 2 2" xfId="2555"/>
    <cellStyle name="Comma 2 2 32 2 2" xfId="2556"/>
    <cellStyle name="Normal 3 3 32 2 2" xfId="2557"/>
    <cellStyle name="Normal 3 2 2 2 44 2 2" xfId="2558"/>
    <cellStyle name="Normal 99 2 2" xfId="2559"/>
    <cellStyle name="Comma 75 2 2" xfId="2560"/>
    <cellStyle name="Normal 100 2 2" xfId="2561"/>
    <cellStyle name="Normal 3 2 2 2 45 2 2" xfId="2562"/>
    <cellStyle name="Comma 76 2 2" xfId="2563"/>
    <cellStyle name="Normal 3 3 2 9 2 2" xfId="2564"/>
    <cellStyle name="Comma 2 40 2 2" xfId="2565"/>
    <cellStyle name="Normal 101 2 2" xfId="2566"/>
    <cellStyle name="Normal 3 2 2 2 46 2 2" xfId="2567"/>
    <cellStyle name="Comma 77 2 2" xfId="2568"/>
    <cellStyle name="Normal 102 2 2" xfId="2569"/>
    <cellStyle name="Comma 78 2 2" xfId="2570"/>
    <cellStyle name="Comma 2 41 2 2" xfId="2571"/>
    <cellStyle name="Normal 3 35 2 2" xfId="2572"/>
    <cellStyle name="Comma 2 42 2 2" xfId="2573"/>
    <cellStyle name="Comma 2 2 33 2 2" xfId="2574"/>
    <cellStyle name="Normal 3 3 33 2 2" xfId="2575"/>
    <cellStyle name="Normal 3 2 2 2 47 2 2" xfId="2576"/>
    <cellStyle name="Normal 103 2 2" xfId="2577"/>
    <cellStyle name="Normal 3 2 2 2 48 2 2" xfId="2578"/>
    <cellStyle name="Comma 79 2 2" xfId="2579"/>
    <cellStyle name="Normal 3 3 2 10 2 2" xfId="2580"/>
    <cellStyle name="Normal 3 36 2 2" xfId="2581"/>
    <cellStyle name="Comma 2 43 2 2" xfId="2582"/>
    <cellStyle name="Comma 2 2 34 2 2" xfId="2583"/>
    <cellStyle name="Normal 3 3 34 2 2" xfId="2584"/>
    <cellStyle name="Normal 3 2 2 2 49 2 2" xfId="2585"/>
    <cellStyle name="Comma 2 44 2 2" xfId="2586"/>
    <cellStyle name="Normal 104 2 2" xfId="2587"/>
    <cellStyle name="Comma 80 2 2" xfId="2588"/>
    <cellStyle name="Normal 105 2 2" xfId="2589"/>
    <cellStyle name="Normal 3 2 2 2 50 2 2" xfId="2590"/>
    <cellStyle name="Comma 81 2 2" xfId="2591"/>
    <cellStyle name="Normal 3 3 2 11 2 2" xfId="2592"/>
    <cellStyle name="Normal 106 2 2" xfId="2593"/>
    <cellStyle name="Comma 82 2 2" xfId="2594"/>
    <cellStyle name="Normal 3 37 2 2" xfId="2595"/>
    <cellStyle name="Comma 2 45 2 2" xfId="2596"/>
    <cellStyle name="Comma 2 2 35 2 2" xfId="2597"/>
    <cellStyle name="Normal 3 3 35 2 2" xfId="2598"/>
    <cellStyle name="Normal 3 2 2 2 51 2 2" xfId="2599"/>
    <cellStyle name="Comma 2 46 2 2" xfId="2600"/>
    <cellStyle name="Normal 3 3 2 12 2 2" xfId="2601"/>
    <cellStyle name="Normal 3 38 2 2" xfId="2602"/>
    <cellStyle name="Comma 2 47 2 2" xfId="2603"/>
    <cellStyle name="Comma 2 2 36 2 2" xfId="2604"/>
    <cellStyle name="Normal 3 3 36 2 2" xfId="2605"/>
    <cellStyle name="Normal 3 2 2 2 52 2 2" xfId="2606"/>
    <cellStyle name="Comma 2 48 2 2" xfId="2607"/>
    <cellStyle name="Normal 107 2 2" xfId="2608"/>
    <cellStyle name="Comma 2 49 2 2" xfId="2609"/>
    <cellStyle name="Comma 83 2 2" xfId="2610"/>
    <cellStyle name="Normal 108 2 2" xfId="2611"/>
    <cellStyle name="Normal 3 2 2 2 53 2 2" xfId="2612"/>
    <cellStyle name="Comma 84 2 2" xfId="2613"/>
    <cellStyle name="Normal 109 2 2" xfId="2614"/>
    <cellStyle name="Normal 3 2 2 2 54 2 2" xfId="2615"/>
    <cellStyle name="Comma 85 2 2" xfId="2616"/>
    <cellStyle name="Normal 3 3 2 13 2 2" xfId="2617"/>
    <cellStyle name="Normal 80 2 3 2" xfId="2618"/>
    <cellStyle name="Comma 58 2 3 2" xfId="2619"/>
    <cellStyle name="Normal 3 39 2 2" xfId="2620"/>
    <cellStyle name="Comma 2 50 2 2" xfId="2621"/>
    <cellStyle name="Comma 2 2 37 2 2" xfId="2622"/>
    <cellStyle name="Normal 3 3 37 2 2" xfId="2623"/>
    <cellStyle name="Normal 3 2 2 2 55 2 2" xfId="2624"/>
    <cellStyle name="Normal 110 2 2" xfId="2625"/>
    <cellStyle name="Comma 2 51 2 2" xfId="2626"/>
    <cellStyle name="Normal 111 2 2" xfId="2627"/>
    <cellStyle name="Normal 3 2 2 2 56 2 2" xfId="2628"/>
    <cellStyle name="Comma 86 2 2" xfId="2629"/>
    <cellStyle name="Comma 87 2 2" xfId="2630"/>
    <cellStyle name="Normal 112 2 2" xfId="2631"/>
    <cellStyle name="Normal 3 2 2 2 57 2 2" xfId="2632"/>
    <cellStyle name="Comma 88 2 2" xfId="2633"/>
    <cellStyle name="Normal 3 3 2 14 2 2" xfId="2634"/>
    <cellStyle name="Normal 3 40 2 2" xfId="2635"/>
    <cellStyle name="Comma 2 52 2 2" xfId="2636"/>
    <cellStyle name="Comma 2 2 38 2 2" xfId="2637"/>
    <cellStyle name="Normal 3 3 38 2 2" xfId="2638"/>
    <cellStyle name="Normal 3 2 2 2 58 2 2" xfId="2639"/>
    <cellStyle name="Normal 113 2 2" xfId="2640"/>
    <cellStyle name="Normal 3 2 2 2 59 2 2" xfId="2641"/>
    <cellStyle name="Comma 89 2 2" xfId="2642"/>
    <cellStyle name="Normal 114 2 2" xfId="2643"/>
    <cellStyle name="Comma 2 53 2 2" xfId="2644"/>
    <cellStyle name="Comma 90 2 2" xfId="2645"/>
    <cellStyle name="Normal 115 2 2" xfId="2646"/>
    <cellStyle name="Normal 3 2 2 2 60 2 2" xfId="2647"/>
    <cellStyle name="Comma 91 2 2" xfId="2648"/>
    <cellStyle name="Normal 3 3 2 15 2 2" xfId="2649"/>
    <cellStyle name="Normal 116 2 2" xfId="2650"/>
    <cellStyle name="Comma 2 54 2 2" xfId="2651"/>
    <cellStyle name="Normal 3 41 2 2" xfId="2652"/>
    <cellStyle name="Comma 2 55 2 2" xfId="2653"/>
    <cellStyle name="Comma 2 2 39 2 2" xfId="2654"/>
    <cellStyle name="Normal 3 3 39 2 2" xfId="2655"/>
    <cellStyle name="Normal 3 2 2 2 61 2 2" xfId="2656"/>
    <cellStyle name="Normal 117 2 2" xfId="2657"/>
    <cellStyle name="Comma 92 2 2" xfId="2658"/>
    <cellStyle name="Normal 118 2 2" xfId="2659"/>
    <cellStyle name="Normal 3 2 2 2 62 2 2" xfId="2660"/>
    <cellStyle name="Comma 93 2 2" xfId="2661"/>
    <cellStyle name="Normal 3 3 2 16 2 2" xfId="2662"/>
    <cellStyle name="Normal 3 42 2 2" xfId="2663"/>
    <cellStyle name="Comma 2 56 2 2" xfId="2664"/>
    <cellStyle name="Comma 2 2 40 2 2" xfId="2665"/>
    <cellStyle name="Normal 3 3 40 2 2" xfId="2666"/>
    <cellStyle name="Normal 3 2 2 2 63 2 2" xfId="2667"/>
    <cellStyle name="Normal 119 2 2" xfId="2668"/>
    <cellStyle name="Comma 2 57 2 2" xfId="2669"/>
    <cellStyle name="Normal 120 2 2" xfId="2670"/>
    <cellStyle name="Normal 3 2 2 2 64 2 2" xfId="2671"/>
    <cellStyle name="Comma 94 2 2" xfId="2672"/>
    <cellStyle name="Normal 3 3 2 17 2 2" xfId="2673"/>
    <cellStyle name="Normal 3 43 2 2" xfId="2674"/>
    <cellStyle name="Comma 2 58 2 2" xfId="2675"/>
    <cellStyle name="Comma 2 2 41 2 2" xfId="2676"/>
    <cellStyle name="Normal 3 3 41 2 2" xfId="2677"/>
    <cellStyle name="Normal 3 2 2 2 65 2 2" xfId="2678"/>
    <cellStyle name="Comma 2 59 2 2" xfId="2679"/>
    <cellStyle name="Normal 121 2 2" xfId="2680"/>
    <cellStyle name="Comma 95 2 2" xfId="2681"/>
    <cellStyle name="Normal 122 2 2" xfId="2682"/>
    <cellStyle name="Normal 3 2 2 2 66 2 2" xfId="2683"/>
    <cellStyle name="Comma 96 2 2" xfId="2684"/>
    <cellStyle name="Normal 3 3 2 18 2 2" xfId="2685"/>
    <cellStyle name="Normal 3 44 2 2" xfId="2686"/>
    <cellStyle name="Comma 2 60 2 2" xfId="2687"/>
    <cellStyle name="Comma 2 2 42 2 2" xfId="2688"/>
    <cellStyle name="Normal 3 3 42 2 2" xfId="2689"/>
    <cellStyle name="Normal 3 2 2 2 67 2 2" xfId="2690"/>
    <cellStyle name="Normal 123 2 2" xfId="2691"/>
    <cellStyle name="Comma 2 61 2 2" xfId="2692"/>
    <cellStyle name="Normal 124 3 2" xfId="2693"/>
    <cellStyle name="Normal 3 2 2 2 68 2 2" xfId="2694"/>
    <cellStyle name="Comma 97 3 2" xfId="2695"/>
    <cellStyle name="Normal 3 3 2 19 3 2" xfId="2696"/>
    <cellStyle name="Normal 3 45 2 2" xfId="2697"/>
    <cellStyle name="Comma 2 62 2 2" xfId="2698"/>
    <cellStyle name="Comma 2 2 43 2 2" xfId="2699"/>
    <cellStyle name="Normal 3 3 43 2 2" xfId="2700"/>
    <cellStyle name="Normal 3 2 2 2 69 2 2" xfId="2701"/>
    <cellStyle name="Comma 2 63 2 2" xfId="2702"/>
    <cellStyle name="Normal 124 2 2 2" xfId="2703"/>
    <cellStyle name="Normal 3 3 2 19 2 2 2" xfId="2704"/>
    <cellStyle name="Comma 97 2 2 2" xfId="2705"/>
    <cellStyle name="Comma 2 64 2 2" xfId="2706"/>
    <cellStyle name="Comma 2 2 44 2 2" xfId="2707"/>
    <cellStyle name="Normal 3 2 2 2 70 2 2" xfId="2708"/>
    <cellStyle name="Normal 125 2 2" xfId="2709"/>
    <cellStyle name="Normal 3 2 2 2 71 2 2" xfId="2710"/>
    <cellStyle name="Comma 98 2 2" xfId="2711"/>
    <cellStyle name="Normal 3 3 2 20 2 2" xfId="2712"/>
    <cellStyle name="Normal 126 2 2" xfId="2713"/>
    <cellStyle name="Comma 2 65 2 2" xfId="2714"/>
    <cellStyle name="Normal 3 46 2 2" xfId="2715"/>
    <cellStyle name="Comma 2 66 2 2" xfId="2716"/>
    <cellStyle name="Comma 2 2 45 2 2" xfId="2717"/>
    <cellStyle name="Normal 3 3 44 2 2" xfId="2718"/>
    <cellStyle name="Normal 3 2 2 2 72 2 2" xfId="2719"/>
    <cellStyle name="Normal 127 2 2" xfId="2720"/>
    <cellStyle name="Normal 3 2 2 2 73 2 2" xfId="2721"/>
    <cellStyle name="Comma 99 2 2" xfId="2722"/>
    <cellStyle name="Normal 128 2 2" xfId="2723"/>
    <cellStyle name="Comma 100 2 2" xfId="2724"/>
    <cellStyle name="Normal 129 2 2" xfId="2725"/>
    <cellStyle name="Normal 3 2 2 2 74 2 2" xfId="2726"/>
    <cellStyle name="Comma 101 2 2" xfId="2727"/>
    <cellStyle name="Normal 3 3 2 21 2 2" xfId="2728"/>
    <cellStyle name="Normal 130 2 2" xfId="2729"/>
    <cellStyle name="Comma 102 2 2" xfId="2730"/>
    <cellStyle name="Normal 3 47 2 2" xfId="2731"/>
    <cellStyle name="Comma 2 67 2 2" xfId="2732"/>
    <cellStyle name="Comma 2 2 46 2 2" xfId="2733"/>
    <cellStyle name="Normal 3 3 45 2 2" xfId="2734"/>
    <cellStyle name="Normal 3 2 2 2 75 2 2" xfId="2735"/>
    <cellStyle name="Normal 131 2 2" xfId="2736"/>
    <cellStyle name="Comma 2 68 2 2" xfId="2737"/>
    <cellStyle name="Normal 132 3 2" xfId="2738"/>
    <cellStyle name="Normal 3 2 2 2 76 2 2" xfId="2739"/>
    <cellStyle name="Comma 103 3 2" xfId="2740"/>
    <cellStyle name="Normal 3 3 2 22 3 2" xfId="2741"/>
    <cellStyle name="Normal 133 2 2" xfId="2742"/>
    <cellStyle name="Normal 3 2 2 2 77 2 2" xfId="2743"/>
    <cellStyle name="Comma 104 2 2" xfId="2744"/>
    <cellStyle name="Normal 3 3 2 23 2 2" xfId="2745"/>
    <cellStyle name="Comma 2 69 2 2" xfId="2746"/>
    <cellStyle name="Comma 2 2 47 2 2" xfId="2747"/>
    <cellStyle name="Normal 134 3 2" xfId="2748"/>
    <cellStyle name="Comma 2 70 2 2" xfId="2749"/>
    <cellStyle name="Normal 3 48 3 2" xfId="2750"/>
    <cellStyle name="Comma 2 71 2 2" xfId="2751"/>
    <cellStyle name="Comma 2 2 48 2 2" xfId="2752"/>
    <cellStyle name="Normal 3 3 46 2 2" xfId="2753"/>
    <cellStyle name="Normal 3 2 2 2 78 2 2" xfId="2754"/>
    <cellStyle name="Normal 3 2 2 2 79 2 2" xfId="2755"/>
    <cellStyle name="Comma 2 4 2 2 2" xfId="2756"/>
    <cellStyle name="Comma 2 2 2 2 2 2" xfId="2757"/>
    <cellStyle name="Normal 3 3 2 24 2 2" xfId="2758"/>
    <cellStyle name="Normal 135 2 2" xfId="2759"/>
    <cellStyle name="Normal 3 2 2 2 80 2 2" xfId="2760"/>
    <cellStyle name="Comma 106 2 2" xfId="2761"/>
    <cellStyle name="Normal 136 2 2" xfId="2762"/>
    <cellStyle name="Normal 132 2 2 2" xfId="2763"/>
    <cellStyle name="Normal 3 3 2 25 2 2" xfId="2764"/>
    <cellStyle name="Comma 107 2 2" xfId="2765"/>
    <cellStyle name="Normal 3 3 2 22 2 2 2" xfId="2766"/>
    <cellStyle name="Comma 103 2 2 2" xfId="2767"/>
    <cellStyle name="Normal 137 2 2" xfId="2768"/>
    <cellStyle name="Comma 2 72 2 2" xfId="2769"/>
    <cellStyle name="Normal 138 2 2" xfId="2770"/>
    <cellStyle name="Normal 3 2 2 2 81 2 2" xfId="2771"/>
    <cellStyle name="Comma 108 2 2" xfId="2772"/>
    <cellStyle name="Normal 3 3 2 26 2 2" xfId="2773"/>
    <cellStyle name="Normal 139 3 2" xfId="2774"/>
    <cellStyle name="Comma 2 73 2 2" xfId="2775"/>
    <cellStyle name="Normal 140 2 2" xfId="2776"/>
    <cellStyle name="Comma 109 2 2" xfId="2777"/>
    <cellStyle name="Normal 141 2 2" xfId="2778"/>
    <cellStyle name="Normal 3 2 2 2 82 2 2" xfId="2779"/>
    <cellStyle name="Comma 110 2 2" xfId="2780"/>
    <cellStyle name="Normal 3 3 2 27 2 2" xfId="2781"/>
    <cellStyle name="Normal 80 2 2 3 2" xfId="2782"/>
    <cellStyle name="Comma 58 2 2 3 2" xfId="2783"/>
    <cellStyle name="Normal 3 2 2 2 83 3 2" xfId="2784"/>
    <cellStyle name="Comma 2 4 3 3 2" xfId="2785"/>
    <cellStyle name="Comma 2 2 2 3 3 2" xfId="2786"/>
    <cellStyle name="Normal 3 3 2 28 3 2" xfId="2787"/>
    <cellStyle name="Normal 3 2 2 2 83 2 2 2" xfId="2788"/>
    <cellStyle name="Comma 2 4 3 2 2 2" xfId="2789"/>
    <cellStyle name="Comma 2 2 2 3 2 2 2" xfId="2790"/>
    <cellStyle name="Normal 3 3 2 28 2 3 2" xfId="2791"/>
    <cellStyle name="Normal 139 2 2 2" xfId="2792"/>
    <cellStyle name="Normal 142 2 2" xfId="2793"/>
    <cellStyle name="Normal 3 3 2 29 2 2" xfId="2794"/>
    <cellStyle name="Normal 3 2 2 2 25 2 2 2" xfId="2795"/>
    <cellStyle name="Normal 7 2 2 2" xfId="2796"/>
    <cellStyle name="Normal 143 2 2" xfId="2797"/>
    <cellStyle name="Normal 3 2 2 2 84 2 2" xfId="2798"/>
    <cellStyle name="Comma 111 2 2" xfId="2799"/>
    <cellStyle name="Normal 3 3 2 28 2 2 2 2" xfId="2800"/>
    <cellStyle name="Normal 144 2 2" xfId="2801"/>
    <cellStyle name="Comma 112 2 2" xfId="2802"/>
    <cellStyle name="Normal 145 2 2" xfId="2803"/>
    <cellStyle name="Normal 3 2 2 2 85 2 2" xfId="2804"/>
    <cellStyle name="Comma 113 2 2" xfId="2805"/>
    <cellStyle name="Normal 146 2 2" xfId="2806"/>
    <cellStyle name="Comma 114 2 2" xfId="2807"/>
    <cellStyle name="Normal 148 2 2" xfId="2808"/>
    <cellStyle name="Comma 116 2 2" xfId="2809"/>
    <cellStyle name="Normal 3 2 2 2 87 2 2" xfId="2810"/>
    <cellStyle name="Emart 2 2 2 2" xfId="2811"/>
    <cellStyle name="Normal 149 2 2" xfId="2812"/>
    <cellStyle name="Comma 117 2 2" xfId="2813"/>
    <cellStyle name="Emart 4 2 2" xfId="2814"/>
    <cellStyle name="Normal 2 4 2 3 2" xfId="2815"/>
    <cellStyle name="Normal 150 2 2" xfId="2816"/>
    <cellStyle name="Comma 118 2 2" xfId="2817"/>
    <cellStyle name="Comma 2 74 2 2" xfId="2818"/>
    <cellStyle name="Normal 2 4 2 2 3 2" xfId="2819"/>
    <cellStyle name="Comma 121 2 2" xfId="2820"/>
    <cellStyle name="Normal 2 4 2 2 2 3 2" xfId="2821"/>
    <cellStyle name="Comma 122 2 2" xfId="2822"/>
    <cellStyle name="Normal 154 2 2" xfId="2823"/>
    <cellStyle name="Normal 155 2 2" xfId="2824"/>
    <cellStyle name="Comma 123 2 2" xfId="2825"/>
    <cellStyle name="Normal 152 2 3 2 2" xfId="2826"/>
    <cellStyle name="Normal 3 2 2 2 25 3 2 2" xfId="2827"/>
    <cellStyle name="Normal 2 4 2 2 2 2 2 2" xfId="2828"/>
    <cellStyle name="Comma 124 2 2" xfId="2829"/>
    <cellStyle name="Normal 156 2 2" xfId="2830"/>
    <cellStyle name="Comma 125 2 2" xfId="2831"/>
    <cellStyle name="Normal 152 2 2 2 2 2 2" xfId="2832"/>
    <cellStyle name="Normal 80 2 2 2 2 2" xfId="2833"/>
    <cellStyle name="Comma 58 2 2 2 2 2" xfId="2834"/>
    <cellStyle name="Normal 157 2 2" xfId="2835"/>
    <cellStyle name="Comma 126 2 2" xfId="2836"/>
    <cellStyle name="Normal 152 2 2 2 3 2 2" xfId="2837"/>
    <cellStyle name="Normal 3 48 2 2 2" xfId="2838"/>
    <cellStyle name="Normal 134 2 2 2" xfId="2839"/>
    <cellStyle name="Comma 127 2 2" xfId="2840"/>
    <cellStyle name="Comma 128 2 2" xfId="2841"/>
    <cellStyle name="Normal 158 2 2" xfId="2842"/>
    <cellStyle name="Normal 159 2 2" xfId="2843"/>
    <cellStyle name="Comma 129 2 2" xfId="2844"/>
    <cellStyle name="Normal 152 2 2 2 5 2 2" xfId="2845"/>
    <cellStyle name="Normal 160 2 2" xfId="2846"/>
    <cellStyle name="Normal 3 50 2 2" xfId="2847"/>
    <cellStyle name="Comma 2 75 2 2" xfId="2848"/>
    <cellStyle name="Comma 2 2 49 2 2" xfId="2849"/>
    <cellStyle name="Normal 3 3 47 2 2" xfId="2850"/>
    <cellStyle name="Normal 3 2 2 2 88 2 2" xfId="2851"/>
    <cellStyle name="Comma 131 2 2" xfId="2852"/>
    <cellStyle name="Comma 130 2 2 2" xfId="2853"/>
    <cellStyle name="Normal 152 2 2 2 4 2 2 2 2" xfId="2854"/>
    <cellStyle name="Normal 2 6 2 2" xfId="2855"/>
    <cellStyle name="Comma 132 3 2" xfId="2856"/>
    <cellStyle name="Comma 133 2 2" xfId="2857"/>
    <cellStyle name="Comma 132 2 2 2" xfId="2858"/>
    <cellStyle name="Normal 164 2 8" xfId="2859"/>
    <cellStyle name="Normal 163 2 2 8" xfId="2860"/>
    <cellStyle name="Comma 136 2" xfId="2861"/>
    <cellStyle name="Normal 166 2" xfId="2862"/>
    <cellStyle name="Normal 167 2" xfId="2863"/>
    <cellStyle name="Comma 137 2" xfId="2864"/>
    <cellStyle name="Normal 161 3 2 3 2" xfId="2865"/>
    <cellStyle name="Normal 152 2 2 2 6 2 3 2" xfId="2866"/>
    <cellStyle name="Comma 130 3 2 3 2" xfId="2867"/>
    <cellStyle name="Normal 152 2 2 2 4 2 3 2 3 2" xfId="2868"/>
    <cellStyle name="Comma 138 8" xfId="2869"/>
    <cellStyle name="Normal 168 2" xfId="2870"/>
    <cellStyle name="Emart 8 2" xfId="2871"/>
    <cellStyle name="Normal 161 3 2 4 2" xfId="2872"/>
    <cellStyle name="Normal 152 2 2 2 6 2 4 2" xfId="2873"/>
    <cellStyle name="Comma 130 3 2 4 2" xfId="2874"/>
    <cellStyle name="Normal 152 2 2 2 4 2 3 2 4 2" xfId="2875"/>
    <cellStyle name="Normal 169 2" xfId="2876"/>
    <cellStyle name="Comma 139 2" xfId="2877"/>
    <cellStyle name="Normal 152 2 2 2 6 2 2 2 2 2 2" xfId="2878"/>
    <cellStyle name="Comma 134 2 2 2 2" xfId="2879"/>
    <cellStyle name="Normal 161 3 2 2 2 2 2 2" xfId="2880"/>
    <cellStyle name="Normal 162 2 2 2 2 2 2" xfId="2881"/>
    <cellStyle name="Normal 152 2 2 2 4 2 3 2 2 2 2 2 2" xfId="2882"/>
    <cellStyle name="Comma 130 3 2 2 2 2 2 2" xfId="2883"/>
    <cellStyle name="Normal 161 2 2 2 2 2 2 2" xfId="2884"/>
    <cellStyle name="Normal 153 2 2 2 2 2 2 2 2 2 2" xfId="2885"/>
    <cellStyle name="Comma 120 2 2 2 2 2 2 2 2 2 2 2" xfId="2886"/>
    <cellStyle name="Comma 138 2 2" xfId="2887"/>
    <cellStyle name="Normal 163 2 2 2 2" xfId="2888"/>
    <cellStyle name="Normal 164 2 2 2" xfId="2889"/>
    <cellStyle name="Comma 138 3 3" xfId="2890"/>
    <cellStyle name="Normal 170 2" xfId="2891"/>
    <cellStyle name="Normal 163 2 2 3 2" xfId="2892"/>
    <cellStyle name="Normal 164 2 3 2" xfId="2893"/>
    <cellStyle name="Normal 152 2 2 2 6 2 2 2 3 2" xfId="2894"/>
    <cellStyle name="Normal 152 2 2 2 6 2 2 2 2 3 3" xfId="2895"/>
    <cellStyle name="Comma 134 2 2 3 3" xfId="2896"/>
    <cellStyle name="Normal 161 3 2 2 2 2 3 2" xfId="2897"/>
    <cellStyle name="Normal 162 2 2 2 2 3 2" xfId="2898"/>
    <cellStyle name="Normal 152 2 2 2 4 2 3 2 2 2 2 3 3" xfId="2899"/>
    <cellStyle name="Comma 130 3 2 2 2 2 3 2" xfId="2900"/>
    <cellStyle name="Normal 161 2 2 2 2 2 3 2" xfId="2901"/>
    <cellStyle name="Normal 153 2 2 2 2 2 2 2 2 3 2" xfId="2902"/>
    <cellStyle name="Comma 120 2 2 2 2 2 2 2 2 2 3 2" xfId="2903"/>
    <cellStyle name="Comma 138 3 2 3" xfId="2904"/>
    <cellStyle name="Normal 171 3" xfId="2905"/>
    <cellStyle name="Normal 152 2 2 2 7 3" xfId="2906"/>
    <cellStyle name="Percent 2 2" xfId="2907"/>
    <cellStyle name="Normal 152 2 2 2 6 2 2 2 2 4 3" xfId="2908"/>
    <cellStyle name="Comma 134 2 2 4 3" xfId="2909"/>
    <cellStyle name="Normal 161 3 2 2 2 2 4 3" xfId="2910"/>
    <cellStyle name="Normal 162 2 2 2 2 4 3" xfId="2911"/>
    <cellStyle name="Normal 152 2 2 2 4 2 3 2 2 2 2 4 3" xfId="2912"/>
    <cellStyle name="Comma 130 3 2 2 2 2 4 3" xfId="2913"/>
    <cellStyle name="Normal 152 2 2 2 4 2 3 2 2 2 2 3 2 3" xfId="2914"/>
    <cellStyle name="Normal 161 2 2 2 2 2 4 3" xfId="2915"/>
    <cellStyle name="Normal 153 2 2 2 2 2 2 2 2 4 3" xfId="2916"/>
    <cellStyle name="Comma 120 2 2 2 2 2 2 2 2 2 4 3" xfId="2917"/>
    <cellStyle name="Normal 80 2 2 2 3 2" xfId="2918"/>
    <cellStyle name="Comma 58 2 2 2 3 2" xfId="2919"/>
    <cellStyle name="Normal 148 3 2" xfId="2920"/>
    <cellStyle name="Emart 3 2 2 2 2 2" xfId="2921"/>
    <cellStyle name="Normal 157 3 2" xfId="2922"/>
    <cellStyle name="Comma 138 3 2 2 2" xfId="2923"/>
    <cellStyle name="Normal 171 2 2" xfId="2924"/>
    <cellStyle name="Normal 152 2 2 2 7 2 2" xfId="2925"/>
    <cellStyle name="Normal 152 2 2 2 6 2 2 2 2 4 2 3" xfId="2926"/>
    <cellStyle name="Comma 134 2 2 4 2 3" xfId="2927"/>
    <cellStyle name="Normal 152 2 2 2 6 2 2 2 2 3 2 3" xfId="2928"/>
    <cellStyle name="Normal 161 3 2 2 2 2 4 2 3" xfId="2929"/>
    <cellStyle name="Normal 162 2 2 2 2 4 2 3" xfId="2930"/>
    <cellStyle name="Comma 134 2 2 3 2 3" xfId="2931"/>
    <cellStyle name="Normal 152 2 2 2 4 2 3 2 2 2 2 4 2 3" xfId="2932"/>
    <cellStyle name="Comma 130 3 2 2 2 2 4 2 3" xfId="2933"/>
    <cellStyle name="Normal 152 2 2 2 4 2 3 2 2 2 2 3 2 2 3" xfId="2934"/>
    <cellStyle name="Normal 161 2 2 2 2 2 4 2 3" xfId="2935"/>
    <cellStyle name="Normal 153 2 2 2 2 2 2 2 2 4 2 3" xfId="2936"/>
    <cellStyle name="Comma 120 2 2 2 2 2 2 2 2 2 4 2 3" xfId="2937"/>
    <cellStyle name="Normal 172 3" xfId="2938"/>
    <cellStyle name="Comma 140 3" xfId="2939"/>
    <cellStyle name="Normal 152 2 2 2 6 2 2 2 2 5 2" xfId="2940"/>
    <cellStyle name="Comma 134 2 2 5 2" xfId="2941"/>
    <cellStyle name="Normal 161 3 2 2 2 2 5 2" xfId="2942"/>
    <cellStyle name="Normal 162 2 2 2 2 5 2" xfId="2943"/>
    <cellStyle name="Normal 152 2 2 2 4 2 3 2 2 2 2 5 2" xfId="2944"/>
    <cellStyle name="Comma 130 3 2 2 2 2 5 2" xfId="2945"/>
    <cellStyle name="Normal 161 2 2 2 2 2 5 2" xfId="2946"/>
    <cellStyle name="Normal 153 2 2 2 2 2 2 2 2 5 2" xfId="2947"/>
    <cellStyle name="Comma 120 2 2 2 2 2 2 2 2 2 5 2" xfId="2948"/>
    <cellStyle name="Comma 138 4 2" xfId="2949"/>
    <cellStyle name="Normal 163 2 2 4 2" xfId="2950"/>
    <cellStyle name="Normal 164 2 4 2" xfId="2951"/>
    <cellStyle name="Normal 173 2" xfId="2952"/>
    <cellStyle name="Comma 141 2" xfId="2953"/>
    <cellStyle name="Normal 172 2 2" xfId="2954"/>
    <cellStyle name="Comma 140 2 2" xfId="2955"/>
    <cellStyle name="Normal 152 2 2 2 6 2 2 2 2 4 2 2 2" xfId="2956"/>
    <cellStyle name="Comma 134 2 2 4 2 2 2" xfId="2957"/>
    <cellStyle name="Normal 152 2 2 2 6 2 2 2 2 3 2 2 2" xfId="2958"/>
    <cellStyle name="Normal 161 3 2 2 2 2 4 2 2 2" xfId="2959"/>
    <cellStyle name="Normal 162 2 2 2 2 4 2 2 2" xfId="2960"/>
    <cellStyle name="Comma 134 2 2 3 2 2 2" xfId="2961"/>
    <cellStyle name="Normal 152 2 2 2 4 2 3 2 2 2 2 4 2 2 2" xfId="2962"/>
    <cellStyle name="Comma 130 3 2 2 2 2 4 2 2 2" xfId="2963"/>
    <cellStyle name="Normal 152 2 2 2 4 2 3 2 2 2 2 3 2 2 2 2" xfId="2964"/>
    <cellStyle name="Normal 161 2 2 2 2 2 4 2 2 2" xfId="2965"/>
    <cellStyle name="Normal 153 2 2 2 2 2 2 2 2 4 2 2 2" xfId="2966"/>
    <cellStyle name="Comma 120 2 2 2 2 2 2 2 2 2 4 2 2 2" xfId="2967"/>
    <cellStyle name="Comma 138 5 2" xfId="2968"/>
    <cellStyle name="Normal 163 2 2 5 2" xfId="2969"/>
    <cellStyle name="Normal 164 2 5 2" xfId="2970"/>
    <cellStyle name="Comma 138 6 2" xfId="2971"/>
    <cellStyle name="Normal 174 2" xfId="2972"/>
    <cellStyle name="Normal 163 2 2 6 2" xfId="2973"/>
    <cellStyle name="Normal 164 2 6 2" xfId="2974"/>
    <cellStyle name="Normal 152 2 2 2 6 2 2 2 4 2" xfId="2975"/>
    <cellStyle name="Normal 152 2 2 2 6 2 2 2 2 6 2" xfId="2976"/>
    <cellStyle name="Comma 134 2 2 6 2" xfId="2977"/>
    <cellStyle name="Normal 161 3 2 2 2 2 6 2" xfId="2978"/>
    <cellStyle name="Normal 162 2 2 2 2 6 2" xfId="2979"/>
    <cellStyle name="Normal 152 2 2 2 4 2 3 2 2 2 2 6 2" xfId="2980"/>
    <cellStyle name="Comma 130 3 2 2 2 2 6 2" xfId="2981"/>
    <cellStyle name="Normal 161 2 2 2 2 2 6 2" xfId="2982"/>
    <cellStyle name="Normal 153 2 2 2 2 2 2 2 2 6 2" xfId="2983"/>
    <cellStyle name="Comma 120 2 2 2 2 2 2 2 2 2 6 2" xfId="2984"/>
    <cellStyle name="Emart 3 4" xfId="2985"/>
    <cellStyle name="Emart 3 2 5" xfId="2986"/>
    <cellStyle name="Emart 3 2 4" xfId="2987"/>
    <cellStyle name="Emart 3 5" xfId="2988"/>
    <cellStyle name="Emart 3 2 2 4" xfId="2989"/>
    <cellStyle name="Emart 4 4" xfId="2990"/>
    <cellStyle name="Emart 5 4" xfId="2991"/>
    <cellStyle name="Emart 5 5" xfId="2992"/>
    <cellStyle name="Emart 4 5" xfId="2993"/>
    <cellStyle name="Emart 8 3" xfId="2994"/>
    <cellStyle name="Emart 7 3" xfId="2995"/>
    <cellStyle name="Emart 9 2" xfId="2996"/>
    <cellStyle name="Emart 2 3 3" xfId="2997"/>
    <cellStyle name="Emart 2 2 2 3" xfId="2998"/>
    <cellStyle name="Emart 3 2 2 5" xfId="2999"/>
    <cellStyle name="Emart 5 2 3" xfId="3000"/>
    <cellStyle name="Emart 6 3" xfId="3001"/>
    <cellStyle name="Emart 4 2 3" xfId="3002"/>
    <cellStyle name="Emart 3 2 2 2 4" xfId="3003"/>
    <cellStyle name="Normal 177" xfId="3004"/>
    <cellStyle name="Comma 143" xfId="3005"/>
    <cellStyle name="Normal 152 2 2 2 6 2 2 2 2 8" xfId="3006"/>
    <cellStyle name="Comma 134 2 2 8" xfId="3007"/>
    <cellStyle name="Normal 161 3 2 2 2 2 8" xfId="3008"/>
    <cellStyle name="Normal 162 2 2 2 2 8" xfId="3009"/>
    <cellStyle name="Normal 152 2 2 2 4 2 3 2 2 2 2 8" xfId="3010"/>
    <cellStyle name="Comma 130 3 2 2 2 2 8" xfId="3011"/>
    <cellStyle name="Normal 161 2 2 2 2 2 8" xfId="3012"/>
    <cellStyle name="Normal 153 2 2 2 2 2 2 2 2 8" xfId="3013"/>
    <cellStyle name="Comma 120 2 2 2 2 2 2 2 2 2 8" xfId="3014"/>
    <cellStyle name="Comma 138 9" xfId="3015"/>
    <cellStyle name="Normal 163 2 2 9" xfId="3016"/>
    <cellStyle name="Normal 164 2 9" xfId="3017"/>
    <cellStyle name="Emart 11" xfId="3018"/>
    <cellStyle name="40% - Accent3 5" xfId="3019"/>
    <cellStyle name="Normal 8 4" xfId="3020"/>
    <cellStyle name="Comma 4 5" xfId="3021"/>
    <cellStyle name="Normal 10 6" xfId="3022"/>
    <cellStyle name="40% - Accent3 2 4" xfId="3023"/>
    <cellStyle name="Normal 3 3 2 32" xfId="3024"/>
    <cellStyle name="Normal 3 2 2 2 91" xfId="3025"/>
    <cellStyle name="Normal 3 4 6" xfId="3026"/>
    <cellStyle name="Comma 2 4 7" xfId="3027"/>
    <cellStyle name="Comma 2 2 2 6" xfId="3028"/>
    <cellStyle name="Comma 5 4" xfId="3029"/>
    <cellStyle name="Normal 13 5" xfId="3030"/>
    <cellStyle name="Comma 6 5" xfId="3031"/>
    <cellStyle name="Normal 14 4" xfId="3032"/>
    <cellStyle name="Comma 7 4" xfId="3033"/>
    <cellStyle name="Normal 15 4" xfId="3034"/>
    <cellStyle name="Comma 9 4" xfId="3035"/>
    <cellStyle name="Normal 18 4" xfId="3036"/>
    <cellStyle name="Normal 13 2 5" xfId="3037"/>
    <cellStyle name="Comma 6 2 4" xfId="3038"/>
    <cellStyle name="Comma 10 4" xfId="3039"/>
    <cellStyle name="Normal 3 5 4" xfId="3040"/>
    <cellStyle name="Comma 2 5 4" xfId="3041"/>
    <cellStyle name="Comma 2 2 3 4" xfId="3042"/>
    <cellStyle name="Normal 3 3 3 4" xfId="3043"/>
    <cellStyle name="Normal 19 4" xfId="3044"/>
    <cellStyle name="Normal 20 4" xfId="3045"/>
    <cellStyle name="Normal 22 4" xfId="3046"/>
    <cellStyle name="Comma 12 4" xfId="3047"/>
    <cellStyle name="Normal 23 4" xfId="3048"/>
    <cellStyle name="Normal 24 4" xfId="3049"/>
    <cellStyle name="Comma 13 4" xfId="3050"/>
    <cellStyle name="Normal 3 6 4" xfId="3051"/>
    <cellStyle name="Comma 2 6 4" xfId="3052"/>
    <cellStyle name="Comma 2 2 4 4" xfId="3053"/>
    <cellStyle name="Normal 3 3 4 4" xfId="3054"/>
    <cellStyle name="Normal 3 7 4" xfId="3055"/>
    <cellStyle name="Comma 2 7 4" xfId="3056"/>
    <cellStyle name="Comma 2 2 5 4" xfId="3057"/>
    <cellStyle name="Normal 3 3 5 4" xfId="3058"/>
    <cellStyle name="Normal 25 4" xfId="3059"/>
    <cellStyle name="Comma 14 4" xfId="3060"/>
    <cellStyle name="Normal 26 4" xfId="3061"/>
    <cellStyle name="Comma 15 4" xfId="3062"/>
    <cellStyle name="Comma 16 4" xfId="3063"/>
    <cellStyle name="Normal 28 4" xfId="3064"/>
    <cellStyle name="Normal 29 4" xfId="3065"/>
    <cellStyle name="Comma 17 4" xfId="3066"/>
    <cellStyle name="Normal 30 4" xfId="3067"/>
    <cellStyle name="Comma 18 4" xfId="3068"/>
    <cellStyle name="Normal 3 8 4" xfId="3069"/>
    <cellStyle name="Comma 2 8 4" xfId="3070"/>
    <cellStyle name="Comma 2 2 6 4" xfId="3071"/>
    <cellStyle name="Normal 3 3 6 4" xfId="3072"/>
    <cellStyle name="Comma 19 4" xfId="3073"/>
    <cellStyle name="Normal 32 4" xfId="3074"/>
    <cellStyle name="Normal 33 4" xfId="3075"/>
    <cellStyle name="Comma 20 4" xfId="3076"/>
    <cellStyle name="Normal 3 9 4" xfId="3077"/>
    <cellStyle name="Comma 2 9 4" xfId="3078"/>
    <cellStyle name="Comma 2 2 7 4" xfId="3079"/>
    <cellStyle name="Normal 3 3 7 4" xfId="3080"/>
    <cellStyle name="Normal 34 4" xfId="3081"/>
    <cellStyle name="Normal 35 4" xfId="3082"/>
    <cellStyle name="Normal 3 10 4" xfId="3083"/>
    <cellStyle name="Comma 2 10 4" xfId="3084"/>
    <cellStyle name="Comma 2 2 8 4" xfId="3085"/>
    <cellStyle name="Normal 3 3 8 4" xfId="3086"/>
    <cellStyle name="Normal 3 11 4" xfId="3087"/>
    <cellStyle name="Comma 2 11 4" xfId="3088"/>
    <cellStyle name="Comma 2 2 9 4" xfId="3089"/>
    <cellStyle name="Normal 3 3 9 4" xfId="3090"/>
    <cellStyle name="Normal 36 4" xfId="3091"/>
    <cellStyle name="Comma 21 4" xfId="3092"/>
    <cellStyle name="Normal 3 12 4" xfId="3093"/>
    <cellStyle name="Comma 2 12 4" xfId="3094"/>
    <cellStyle name="Comma 2 2 10 4" xfId="3095"/>
    <cellStyle name="Normal 3 3 10 4" xfId="3096"/>
    <cellStyle name="Normal 38 4" xfId="3097"/>
    <cellStyle name="Normal 39 4" xfId="3098"/>
    <cellStyle name="Comma 22 4" xfId="3099"/>
    <cellStyle name="Normal 3 13 4" xfId="3100"/>
    <cellStyle name="Comma 2 13 4" xfId="3101"/>
    <cellStyle name="Comma 2 2 11 4" xfId="3102"/>
    <cellStyle name="Normal 3 3 11 4" xfId="3103"/>
    <cellStyle name="Normal 40 4" xfId="3104"/>
    <cellStyle name="Comma 23 4" xfId="3105"/>
    <cellStyle name="Comma 24 4" xfId="3106"/>
    <cellStyle name="Normal 41 4" xfId="3107"/>
    <cellStyle name="Normal 42 4" xfId="3108"/>
    <cellStyle name="Comma 25 4" xfId="3109"/>
    <cellStyle name="Normal 3 14 4" xfId="3110"/>
    <cellStyle name="Comma 2 14 4" xfId="3111"/>
    <cellStyle name="Comma 2 2 12 4" xfId="3112"/>
    <cellStyle name="Normal 3 3 12 4" xfId="3113"/>
    <cellStyle name="Normal 43 4" xfId="3114"/>
    <cellStyle name="Comma 26 4" xfId="3115"/>
    <cellStyle name="Normal 3 15 4" xfId="3116"/>
    <cellStyle name="Comma 2 15 4" xfId="3117"/>
    <cellStyle name="Comma 2 2 13 4" xfId="3118"/>
    <cellStyle name="Normal 3 3 13 4" xfId="3119"/>
    <cellStyle name="Normal 44 4" xfId="3120"/>
    <cellStyle name="Comma 28 4" xfId="3121"/>
    <cellStyle name="Normal 45 4" xfId="3122"/>
    <cellStyle name="Normal 3 16 4" xfId="3123"/>
    <cellStyle name="Comma 2 16 4" xfId="3124"/>
    <cellStyle name="Comma 2 2 14 4" xfId="3125"/>
    <cellStyle name="Normal 3 3 14 4" xfId="3126"/>
    <cellStyle name="Normal 46 4" xfId="3127"/>
    <cellStyle name="Comma 29 4" xfId="3128"/>
    <cellStyle name="Normal 47 4" xfId="3129"/>
    <cellStyle name="Normal 3 17 4" xfId="3130"/>
    <cellStyle name="Comma 2 17 4" xfId="3131"/>
    <cellStyle name="Comma 2 2 15 4" xfId="3132"/>
    <cellStyle name="Normal 3 3 15 4" xfId="3133"/>
    <cellStyle name="Normal 3 2 2 2 2 4" xfId="3134"/>
    <cellStyle name="Normal 48 4" xfId="3135"/>
    <cellStyle name="Normal 3 2 2 2 3 4" xfId="3136"/>
    <cellStyle name="Comma 30 4" xfId="3137"/>
    <cellStyle name="Normal 49 4" xfId="3138"/>
    <cellStyle name="Comma 31 4" xfId="3139"/>
    <cellStyle name="Normal 50 4" xfId="3140"/>
    <cellStyle name="Normal 3 2 2 2 4 4" xfId="3141"/>
    <cellStyle name="Comma 32 4" xfId="3142"/>
    <cellStyle name="Normal 3 18 4" xfId="3143"/>
    <cellStyle name="Comma 2 18 4" xfId="3144"/>
    <cellStyle name="Comma 2 2 16 4" xfId="3145"/>
    <cellStyle name="Normal 3 3 16 4" xfId="3146"/>
    <cellStyle name="Normal 3 2 2 2 5 4" xfId="3147"/>
    <cellStyle name="Normal 51 4" xfId="3148"/>
    <cellStyle name="Emart 2 5" xfId="3149"/>
    <cellStyle name="Normal 13 2 2 4" xfId="3150"/>
    <cellStyle name="Normal 3 4 2 4" xfId="3151"/>
    <cellStyle name="Normal 3 2 2 2 6 4" xfId="3152"/>
    <cellStyle name="Comma 33 4" xfId="3153"/>
    <cellStyle name="Normal 52 4" xfId="3154"/>
    <cellStyle name="Normal 53 4" xfId="3155"/>
    <cellStyle name="Normal 3 19 4" xfId="3156"/>
    <cellStyle name="Comma 2 19 4" xfId="3157"/>
    <cellStyle name="Comma 2 2 17 4" xfId="3158"/>
    <cellStyle name="Normal 3 3 17 4" xfId="3159"/>
    <cellStyle name="Normal 3 2 2 2 7 4" xfId="3160"/>
    <cellStyle name="Normal 54 4" xfId="3161"/>
    <cellStyle name="Normal 55 4" xfId="3162"/>
    <cellStyle name="Normal 3 2 2 2 8 4" xfId="3163"/>
    <cellStyle name="Comma 34 4" xfId="3164"/>
    <cellStyle name="Normal 56 4" xfId="3165"/>
    <cellStyle name="Comma 35 4" xfId="3166"/>
    <cellStyle name="Normal 57 4" xfId="3167"/>
    <cellStyle name="Normal 3 2 2 2 9 4" xfId="3168"/>
    <cellStyle name="Comma 36 4" xfId="3169"/>
    <cellStyle name="Normal 3 20 4" xfId="3170"/>
    <cellStyle name="Comma 2 20 4" xfId="3171"/>
    <cellStyle name="Comma 2 2 18 4" xfId="3172"/>
    <cellStyle name="Normal 3 3 18 4" xfId="3173"/>
    <cellStyle name="Normal 3 2 2 2 10 4" xfId="3174"/>
    <cellStyle name="Normal 58 4" xfId="3175"/>
    <cellStyle name="Normal 59 4" xfId="3176"/>
    <cellStyle name="Normal 3 2 2 2 11 4" xfId="3177"/>
    <cellStyle name="Comma 37 4" xfId="3178"/>
    <cellStyle name="Normal 60 4" xfId="3179"/>
    <cellStyle name="Comma 38 4" xfId="3180"/>
    <cellStyle name="Normal 61 4" xfId="3181"/>
    <cellStyle name="Normal 3 2 2 2 12 4" xfId="3182"/>
    <cellStyle name="Comma 39 4" xfId="3183"/>
    <cellStyle name="Normal 3 21 4" xfId="3184"/>
    <cellStyle name="Comma 2 21 4" xfId="3185"/>
    <cellStyle name="Comma 2 2 19 4" xfId="3186"/>
    <cellStyle name="Normal 3 3 19 4" xfId="3187"/>
    <cellStyle name="Normal 3 2 2 2 13 4" xfId="3188"/>
    <cellStyle name="Normal 62 4" xfId="3189"/>
    <cellStyle name="Comma 40 4" xfId="3190"/>
    <cellStyle name="Normal 63 4" xfId="3191"/>
    <cellStyle name="Normal 3 2 2 2 14 4" xfId="3192"/>
    <cellStyle name="Comma 41 4" xfId="3193"/>
    <cellStyle name="Normal 64 4" xfId="3194"/>
    <cellStyle name="Normal 3 22 4" xfId="3195"/>
    <cellStyle name="Comma 2 22 4" xfId="3196"/>
    <cellStyle name="Comma 2 2 20 4" xfId="3197"/>
    <cellStyle name="Normal 3 3 20 4" xfId="3198"/>
    <cellStyle name="Normal 3 2 2 2 15 4" xfId="3199"/>
    <cellStyle name="Normal 65 4" xfId="3200"/>
    <cellStyle name="Comma 42 4" xfId="3201"/>
    <cellStyle name="Normal 66 4" xfId="3202"/>
    <cellStyle name="Normal 3 2 2 2 16 4" xfId="3203"/>
    <cellStyle name="Comma 43 4" xfId="3204"/>
    <cellStyle name="Normal 67 4" xfId="3205"/>
    <cellStyle name="Normal 3 2 2 2 17 4" xfId="3206"/>
    <cellStyle name="Comma 44 4" xfId="3207"/>
    <cellStyle name="Normal 3 23 4" xfId="3208"/>
    <cellStyle name="Comma 2 23 4" xfId="3209"/>
    <cellStyle name="Comma 2 2 21 4" xfId="3210"/>
    <cellStyle name="Normal 3 3 21 4" xfId="3211"/>
    <cellStyle name="Normal 3 2 2 2 18 4" xfId="3212"/>
    <cellStyle name="Comma 45 4" xfId="3213"/>
    <cellStyle name="Normal 68 4" xfId="3214"/>
    <cellStyle name="Normal 69 4" xfId="3215"/>
    <cellStyle name="Normal 3 2 2 2 19 4" xfId="3216"/>
    <cellStyle name="Comma 46 4" xfId="3217"/>
    <cellStyle name="Normal 70 4" xfId="3218"/>
    <cellStyle name="Comma 47 4" xfId="3219"/>
    <cellStyle name="Normal 3 24 4" xfId="3220"/>
    <cellStyle name="Comma 2 24 4" xfId="3221"/>
    <cellStyle name="Comma 2 2 22 4" xfId="3222"/>
    <cellStyle name="Normal 3 3 22 4" xfId="3223"/>
    <cellStyle name="Normal 3 2 2 2 20 4" xfId="3224"/>
    <cellStyle name="Normal 71 4" xfId="3225"/>
    <cellStyle name="Comma 48 4" xfId="3226"/>
    <cellStyle name="Normal 72 4" xfId="3227"/>
    <cellStyle name="Normal 3 2 2 2 21 4" xfId="3228"/>
    <cellStyle name="Comma 49 4" xfId="3229"/>
    <cellStyle name="Normal 3 25 4" xfId="3230"/>
    <cellStyle name="Comma 2 25 4" xfId="3231"/>
    <cellStyle name="Comma 2 2 23 4" xfId="3232"/>
    <cellStyle name="Normal 3 3 23 4" xfId="3233"/>
    <cellStyle name="Normal 3 2 2 2 22 4" xfId="3234"/>
    <cellStyle name="Comma 50 4" xfId="3235"/>
    <cellStyle name="Normal 73 4" xfId="3236"/>
    <cellStyle name="Comma 51 4" xfId="3237"/>
    <cellStyle name="Normal 74 4" xfId="3238"/>
    <cellStyle name="Normal 3 2 2 2 23 4" xfId="3239"/>
    <cellStyle name="Comma 52 4" xfId="3240"/>
    <cellStyle name="Normal 75 4" xfId="3241"/>
    <cellStyle name="Normal 3 2 2 2 24 4" xfId="3242"/>
    <cellStyle name="Comma 53 4" xfId="3243"/>
    <cellStyle name="Normal 76 4" xfId="3244"/>
    <cellStyle name="Comma 54 4" xfId="3245"/>
    <cellStyle name="Normal 3 26 4" xfId="3246"/>
    <cellStyle name="Comma 2 26 4" xfId="3247"/>
    <cellStyle name="Comma 2 2 24 4" xfId="3248"/>
    <cellStyle name="Normal 3 3 24 4" xfId="3249"/>
    <cellStyle name="Normal 3 2 2 2 25 6" xfId="3250"/>
    <cellStyle name="Normal 77 4" xfId="3251"/>
    <cellStyle name="Normal 3 2 2 2 26 4" xfId="3252"/>
    <cellStyle name="Comma 55 4" xfId="3253"/>
    <cellStyle name="Normal 78 4" xfId="3254"/>
    <cellStyle name="Comma 56 4" xfId="3255"/>
    <cellStyle name="Normal 79 4" xfId="3256"/>
    <cellStyle name="Normal 3 2 2 2 27 4" xfId="3257"/>
    <cellStyle name="Comma 57 4" xfId="3258"/>
    <cellStyle name="Normal 80 5" xfId="3259"/>
    <cellStyle name="Comma 58 5" xfId="3260"/>
    <cellStyle name="Emart 3 6" xfId="3261"/>
    <cellStyle name="Normal 3 27 4" xfId="3262"/>
    <cellStyle name="Comma 2 27 4" xfId="3263"/>
    <cellStyle name="Comma 2 2 25 4" xfId="3264"/>
    <cellStyle name="Normal 3 3 25 4" xfId="3265"/>
    <cellStyle name="Normal 3 2 2 2 28 4" xfId="3266"/>
    <cellStyle name="Comma 59 4" xfId="3267"/>
    <cellStyle name="Normal 81 4" xfId="3268"/>
    <cellStyle name="Normal 3 2 2 2 29 4" xfId="3269"/>
    <cellStyle name="Normal 3 3 2 2 4" xfId="3270"/>
    <cellStyle name="Comma 60 4" xfId="3271"/>
    <cellStyle name="Normal 3 28 4" xfId="3272"/>
    <cellStyle name="Comma 2 28 4" xfId="3273"/>
    <cellStyle name="Comma 2 2 26 4" xfId="3274"/>
    <cellStyle name="Normal 3 3 26 4" xfId="3275"/>
    <cellStyle name="Normal 3 2 2 2 30 4" xfId="3276"/>
    <cellStyle name="Normal 82 4" xfId="3277"/>
    <cellStyle name="Comma 61 4" xfId="3278"/>
    <cellStyle name="Normal 83 4" xfId="3279"/>
    <cellStyle name="Comma 62 4" xfId="3280"/>
    <cellStyle name="Normal 84 4" xfId="3281"/>
    <cellStyle name="Normal 3 2 2 2 31 4" xfId="3282"/>
    <cellStyle name="Normal 3 3 2 3 4" xfId="3283"/>
    <cellStyle name="Comma 63 4" xfId="3284"/>
    <cellStyle name="Normal 85 4" xfId="3285"/>
    <cellStyle name="Comma 2 29 4" xfId="3286"/>
    <cellStyle name="Normal 3 29 4" xfId="3287"/>
    <cellStyle name="Comma 2 30 4" xfId="3288"/>
    <cellStyle name="Comma 2 2 27 4" xfId="3289"/>
    <cellStyle name="Normal 3 3 27 4" xfId="3290"/>
    <cellStyle name="Normal 3 2 2 2 32 4" xfId="3291"/>
    <cellStyle name="Normal 86 4" xfId="3292"/>
    <cellStyle name="Normal 3 2 2 2 33 4" xfId="3293"/>
    <cellStyle name="Comma 64 4" xfId="3294"/>
    <cellStyle name="Normal 87 4" xfId="3295"/>
    <cellStyle name="Normal 3 2 2 2 34 4" xfId="3296"/>
    <cellStyle name="Normal 3 3 2 4 4" xfId="3297"/>
    <cellStyle name="Comma 65 4" xfId="3298"/>
    <cellStyle name="Normal 88 4" xfId="3299"/>
    <cellStyle name="Normal 3 2 2 2 35 4" xfId="3300"/>
    <cellStyle name="Comma 66 4" xfId="3301"/>
    <cellStyle name="Normal 89 4" xfId="3302"/>
    <cellStyle name="Comma 2 31 4" xfId="3303"/>
    <cellStyle name="Normal 3 30 4" xfId="3304"/>
    <cellStyle name="Comma 2 32 4" xfId="3305"/>
    <cellStyle name="Comma 2 2 28 4" xfId="3306"/>
    <cellStyle name="Normal 3 3 28 4" xfId="3307"/>
    <cellStyle name="Normal 3 2 2 2 36 4" xfId="3308"/>
    <cellStyle name="Normal 90 4" xfId="3309"/>
    <cellStyle name="Comma 67 4" xfId="3310"/>
    <cellStyle name="Normal 91 4" xfId="3311"/>
    <cellStyle name="Normal 3 2 2 2 37 4" xfId="3312"/>
    <cellStyle name="Comma 68 4" xfId="3313"/>
    <cellStyle name="Normal 3 3 2 5 4" xfId="3314"/>
    <cellStyle name="Normal 3 31 4" xfId="3315"/>
    <cellStyle name="Comma 2 33 4" xfId="3316"/>
    <cellStyle name="Comma 2 2 29 4" xfId="3317"/>
    <cellStyle name="Normal 3 3 29 4" xfId="3318"/>
    <cellStyle name="Normal 3 2 2 2 38 4" xfId="3319"/>
    <cellStyle name="Comma 2 34 4" xfId="3320"/>
    <cellStyle name="Normal 92 4" xfId="3321"/>
    <cellStyle name="Comma 69 4" xfId="3322"/>
    <cellStyle name="Normal 93 4" xfId="3323"/>
    <cellStyle name="Normal 3 2 2 2 39 4" xfId="3324"/>
    <cellStyle name="Normal 3 3 2 6 4" xfId="3325"/>
    <cellStyle name="Comma 70 4" xfId="3326"/>
    <cellStyle name="Normal 94 4" xfId="3327"/>
    <cellStyle name="Comma 2 35 4" xfId="3328"/>
    <cellStyle name="Normal 95 4" xfId="3329"/>
    <cellStyle name="Comma 71 4" xfId="3330"/>
    <cellStyle name="Normal 3 32 4" xfId="3331"/>
    <cellStyle name="Comma 2 36 4" xfId="3332"/>
    <cellStyle name="Comma 2 2 30 4" xfId="3333"/>
    <cellStyle name="Normal 3 3 30 4" xfId="3334"/>
    <cellStyle name="Normal 3 2 2 2 40 4" xfId="3335"/>
    <cellStyle name="Normal 96 4" xfId="3336"/>
    <cellStyle name="Normal 3 2 2 2 41 4" xfId="3337"/>
    <cellStyle name="Comma 72 4" xfId="3338"/>
    <cellStyle name="Normal 3 3 2 7 4" xfId="3339"/>
    <cellStyle name="Normal 97 4" xfId="3340"/>
    <cellStyle name="Comma 2 37 4" xfId="3341"/>
    <cellStyle name="Comma 73 4" xfId="3342"/>
    <cellStyle name="Normal 3 33 4" xfId="3343"/>
    <cellStyle name="Comma 2 38 4" xfId="3344"/>
    <cellStyle name="Comma 2 2 31 4" xfId="3345"/>
    <cellStyle name="Normal 3 3 31 4" xfId="3346"/>
    <cellStyle name="Normal 3 2 2 2 42 4" xfId="3347"/>
    <cellStyle name="Normal 98 4" xfId="3348"/>
    <cellStyle name="Normal 3 2 2 2 43 4" xfId="3349"/>
    <cellStyle name="Comma 74 4" xfId="3350"/>
    <cellStyle name="Normal 3 3 2 8 4" xfId="3351"/>
    <cellStyle name="Normal 3 34 4" xfId="3352"/>
    <cellStyle name="Comma 2 39 4" xfId="3353"/>
    <cellStyle name="Comma 2 2 32 4" xfId="3354"/>
    <cellStyle name="Normal 3 3 32 4" xfId="3355"/>
    <cellStyle name="Normal 3 2 2 2 44 4" xfId="3356"/>
    <cellStyle name="Normal 99 4" xfId="3357"/>
    <cellStyle name="Comma 75 4" xfId="3358"/>
    <cellStyle name="Normal 100 4" xfId="3359"/>
    <cellStyle name="Normal 3 2 2 2 45 4" xfId="3360"/>
    <cellStyle name="Comma 76 4" xfId="3361"/>
    <cellStyle name="Normal 3 3 2 9 4" xfId="3362"/>
    <cellStyle name="Comma 2 40 4" xfId="3363"/>
    <cellStyle name="Normal 101 4" xfId="3364"/>
    <cellStyle name="Normal 3 2 2 2 46 4" xfId="3365"/>
    <cellStyle name="Comma 77 4" xfId="3366"/>
    <cellStyle name="Normal 102 4" xfId="3367"/>
    <cellStyle name="Comma 78 4" xfId="3368"/>
    <cellStyle name="Comma 2 41 4" xfId="3369"/>
    <cellStyle name="Normal 3 35 4" xfId="3370"/>
    <cellStyle name="Comma 2 42 4" xfId="3371"/>
    <cellStyle name="Comma 2 2 33 4" xfId="3372"/>
    <cellStyle name="Normal 3 3 33 4" xfId="3373"/>
    <cellStyle name="Normal 3 2 2 2 47 4" xfId="3374"/>
    <cellStyle name="Normal 103 4" xfId="3375"/>
    <cellStyle name="Normal 3 2 2 2 48 4" xfId="3376"/>
    <cellStyle name="Comma 79 4" xfId="3377"/>
    <cellStyle name="Normal 3 3 2 10 4" xfId="3378"/>
    <cellStyle name="Normal 3 36 4" xfId="3379"/>
    <cellStyle name="Comma 2 43 4" xfId="3380"/>
    <cellStyle name="Comma 2 2 34 4" xfId="3381"/>
    <cellStyle name="Normal 3 3 34 4" xfId="3382"/>
    <cellStyle name="Normal 3 2 2 2 49 4" xfId="3383"/>
    <cellStyle name="Comma 2 44 4" xfId="3384"/>
    <cellStyle name="Normal 104 4" xfId="3385"/>
    <cellStyle name="Comma 80 4" xfId="3386"/>
    <cellStyle name="Normal 105 4" xfId="3387"/>
    <cellStyle name="Normal 3 2 2 2 50 4" xfId="3388"/>
    <cellStyle name="Comma 81 4" xfId="3389"/>
    <cellStyle name="Normal 3 3 2 11 4" xfId="3390"/>
    <cellStyle name="Normal 106 4" xfId="3391"/>
    <cellStyle name="Comma 82 4" xfId="3392"/>
    <cellStyle name="Normal 3 37 4" xfId="3393"/>
    <cellStyle name="Comma 2 45 4" xfId="3394"/>
    <cellStyle name="Comma 2 2 35 4" xfId="3395"/>
    <cellStyle name="Normal 3 3 35 4" xfId="3396"/>
    <cellStyle name="Normal 3 2 2 2 51 4" xfId="3397"/>
    <cellStyle name="Comma 2 46 4" xfId="3398"/>
    <cellStyle name="Normal 3 3 2 12 4" xfId="3399"/>
    <cellStyle name="Normal 3 38 4" xfId="3400"/>
    <cellStyle name="Comma 2 47 4" xfId="3401"/>
    <cellStyle name="Comma 2 2 36 4" xfId="3402"/>
    <cellStyle name="Normal 3 3 36 4" xfId="3403"/>
    <cellStyle name="Normal 3 2 2 2 52 4" xfId="3404"/>
    <cellStyle name="Comma 2 48 4" xfId="3405"/>
    <cellStyle name="Normal 107 4" xfId="3406"/>
    <cellStyle name="Comma 2 49 4" xfId="3407"/>
    <cellStyle name="Comma 83 4" xfId="3408"/>
    <cellStyle name="Normal 108 4" xfId="3409"/>
    <cellStyle name="Normal 3 2 2 2 53 4" xfId="3410"/>
    <cellStyle name="Comma 84 4" xfId="3411"/>
    <cellStyle name="Normal 109 4" xfId="3412"/>
    <cellStyle name="Normal 3 2 2 2 54 4" xfId="3413"/>
    <cellStyle name="Comma 85 4" xfId="3414"/>
    <cellStyle name="Normal 3 3 2 13 4" xfId="3415"/>
    <cellStyle name="Normal 80 2 5" xfId="3416"/>
    <cellStyle name="Comma 58 2 5" xfId="3417"/>
    <cellStyle name="Emart 3 2 6" xfId="3418"/>
    <cellStyle name="Normal 3 39 4" xfId="3419"/>
    <cellStyle name="Comma 2 50 4" xfId="3420"/>
    <cellStyle name="Comma 2 2 37 4" xfId="3421"/>
    <cellStyle name="Normal 3 3 37 4" xfId="3422"/>
    <cellStyle name="Normal 3 2 2 2 55 4" xfId="3423"/>
    <cellStyle name="Normal 110 4" xfId="3424"/>
    <cellStyle name="Comma 2 51 4" xfId="3425"/>
    <cellStyle name="Normal 111 4" xfId="3426"/>
    <cellStyle name="Normal 3 2 2 2 56 4" xfId="3427"/>
    <cellStyle name="Comma 86 4" xfId="3428"/>
    <cellStyle name="Comma 87 4" xfId="3429"/>
    <cellStyle name="Normal 112 4" xfId="3430"/>
    <cellStyle name="Normal 3 2 2 2 57 4" xfId="3431"/>
    <cellStyle name="Comma 88 4" xfId="3432"/>
    <cellStyle name="Normal 3 3 2 14 4" xfId="3433"/>
    <cellStyle name="Normal 3 40 4" xfId="3434"/>
    <cellStyle name="Comma 2 52 4" xfId="3435"/>
    <cellStyle name="Comma 2 2 38 4" xfId="3436"/>
    <cellStyle name="Normal 3 3 38 4" xfId="3437"/>
    <cellStyle name="Normal 3 2 2 2 58 4" xfId="3438"/>
    <cellStyle name="Normal 113 4" xfId="3439"/>
    <cellStyle name="Normal 3 2 2 2 59 4" xfId="3440"/>
    <cellStyle name="Comma 89 4" xfId="3441"/>
    <cellStyle name="Normal 114 4" xfId="3442"/>
    <cellStyle name="Comma 2 53 4" xfId="3443"/>
    <cellStyle name="Comma 90 4" xfId="3444"/>
    <cellStyle name="Normal 115 4" xfId="3445"/>
    <cellStyle name="Normal 3 2 2 2 60 4" xfId="3446"/>
    <cellStyle name="Comma 91 4" xfId="3447"/>
    <cellStyle name="Normal 3 3 2 15 4" xfId="3448"/>
    <cellStyle name="Normal 116 4" xfId="3449"/>
    <cellStyle name="Comma 2 54 4" xfId="3450"/>
    <cellStyle name="Normal 3 41 4" xfId="3451"/>
    <cellStyle name="Comma 2 55 4" xfId="3452"/>
    <cellStyle name="Comma 2 2 39 4" xfId="3453"/>
    <cellStyle name="Normal 3 3 39 4" xfId="3454"/>
    <cellStyle name="Normal 3 2 2 2 61 4" xfId="3455"/>
    <cellStyle name="Normal 117 4" xfId="3456"/>
    <cellStyle name="Comma 92 4" xfId="3457"/>
    <cellStyle name="Normal 118 4" xfId="3458"/>
    <cellStyle name="Normal 3 2 2 2 62 4" xfId="3459"/>
    <cellStyle name="Comma 93 4" xfId="3460"/>
    <cellStyle name="Normal 3 3 2 16 4" xfId="3461"/>
    <cellStyle name="Normal 3 42 4" xfId="3462"/>
    <cellStyle name="Comma 2 56 4" xfId="3463"/>
    <cellStyle name="Comma 2 2 40 4" xfId="3464"/>
    <cellStyle name="Normal 3 3 40 4" xfId="3465"/>
    <cellStyle name="Normal 3 2 2 2 63 4" xfId="3466"/>
    <cellStyle name="Normal 119 4" xfId="3467"/>
    <cellStyle name="Comma 2 57 4" xfId="3468"/>
    <cellStyle name="Normal 120 4" xfId="3469"/>
    <cellStyle name="Normal 3 2 2 2 64 4" xfId="3470"/>
    <cellStyle name="Comma 94 4" xfId="3471"/>
    <cellStyle name="Normal 3 3 2 17 4" xfId="3472"/>
    <cellStyle name="Normal 3 43 4" xfId="3473"/>
    <cellStyle name="Comma 2 58 4" xfId="3474"/>
    <cellStyle name="Comma 2 2 41 4" xfId="3475"/>
    <cellStyle name="Normal 3 3 41 4" xfId="3476"/>
    <cellStyle name="Normal 3 2 2 2 65 4" xfId="3477"/>
    <cellStyle name="Comma 2 59 4" xfId="3478"/>
    <cellStyle name="Normal 121 4" xfId="3479"/>
    <cellStyle name="Comma 95 4" xfId="3480"/>
    <cellStyle name="Normal 122 4" xfId="3481"/>
    <cellStyle name="Normal 3 2 2 2 66 4" xfId="3482"/>
    <cellStyle name="Comma 96 4" xfId="3483"/>
    <cellStyle name="Normal 3 3 2 18 4" xfId="3484"/>
    <cellStyle name="Normal 3 44 4" xfId="3485"/>
    <cellStyle name="Comma 2 60 4" xfId="3486"/>
    <cellStyle name="Comma 2 2 42 4" xfId="3487"/>
    <cellStyle name="Normal 3 3 42 4" xfId="3488"/>
    <cellStyle name="Normal 3 2 2 2 67 4" xfId="3489"/>
    <cellStyle name="Normal 123 4" xfId="3490"/>
    <cellStyle name="Comma 2 61 4" xfId="3491"/>
    <cellStyle name="Normal 124 5" xfId="3492"/>
    <cellStyle name="Normal 3 2 2 2 68 4" xfId="3493"/>
    <cellStyle name="Comma 97 5" xfId="3494"/>
    <cellStyle name="Normal 3 3 2 19 5" xfId="3495"/>
    <cellStyle name="Normal 3 45 4" xfId="3496"/>
    <cellStyle name="Comma 2 62 4" xfId="3497"/>
    <cellStyle name="Comma 2 2 43 4" xfId="3498"/>
    <cellStyle name="Normal 3 3 43 4" xfId="3499"/>
    <cellStyle name="Normal 3 2 2 2 69 4" xfId="3500"/>
    <cellStyle name="Comma 2 63 4" xfId="3501"/>
    <cellStyle name="Normal 124 2 4" xfId="3502"/>
    <cellStyle name="Normal 3 3 2 19 2 4" xfId="3503"/>
    <cellStyle name="Comma 97 2 4" xfId="3504"/>
    <cellStyle name="Comma 2 64 4" xfId="3505"/>
    <cellStyle name="Comma 2 2 44 4" xfId="3506"/>
    <cellStyle name="Normal 3 2 2 2 70 4" xfId="3507"/>
    <cellStyle name="Normal 125 4" xfId="3508"/>
    <cellStyle name="Normal 3 2 2 2 71 4" xfId="3509"/>
    <cellStyle name="Comma 98 4" xfId="3510"/>
    <cellStyle name="Normal 3 3 2 20 4" xfId="3511"/>
    <cellStyle name="Normal 126 4" xfId="3512"/>
    <cellStyle name="Comma 2 65 4" xfId="3513"/>
    <cellStyle name="Normal 3 46 4" xfId="3514"/>
    <cellStyle name="Comma 2 66 4" xfId="3515"/>
    <cellStyle name="Comma 2 2 45 4" xfId="3516"/>
    <cellStyle name="Normal 3 3 44 4" xfId="3517"/>
    <cellStyle name="Normal 3 2 2 2 72 4" xfId="3518"/>
    <cellStyle name="Normal 127 4" xfId="3519"/>
    <cellStyle name="Normal 3 2 2 2 73 4" xfId="3520"/>
    <cellStyle name="Comma 99 4" xfId="3521"/>
    <cellStyle name="Normal 128 4" xfId="3522"/>
    <cellStyle name="Comma 100 4" xfId="3523"/>
    <cellStyle name="Normal 129 4" xfId="3524"/>
    <cellStyle name="Normal 3 2 2 2 74 4" xfId="3525"/>
    <cellStyle name="Comma 101 4" xfId="3526"/>
    <cellStyle name="Normal 3 3 2 21 4" xfId="3527"/>
    <cellStyle name="Normal 130 4" xfId="3528"/>
    <cellStyle name="Comma 102 4" xfId="3529"/>
    <cellStyle name="Normal 3 47 4" xfId="3530"/>
    <cellStyle name="Comma 2 67 4" xfId="3531"/>
    <cellStyle name="Comma 2 2 46 4" xfId="3532"/>
    <cellStyle name="Normal 3 3 45 4" xfId="3533"/>
    <cellStyle name="Normal 3 2 2 2 75 4" xfId="3534"/>
    <cellStyle name="Normal 131 4" xfId="3535"/>
    <cellStyle name="Comma 2 68 4" xfId="3536"/>
    <cellStyle name="Normal 132 5" xfId="3537"/>
    <cellStyle name="Normal 3 2 2 2 76 4" xfId="3538"/>
    <cellStyle name="Comma 103 5" xfId="3539"/>
    <cellStyle name="Normal 3 3 2 22 5" xfId="3540"/>
    <cellStyle name="Normal 133 4" xfId="3541"/>
    <cellStyle name="Normal 3 2 2 2 77 4" xfId="3542"/>
    <cellStyle name="Comma 104 4" xfId="3543"/>
    <cellStyle name="Normal 3 3 2 23 4" xfId="3544"/>
    <cellStyle name="Comma 2 69 4" xfId="3545"/>
    <cellStyle name="Comma 2 2 47 4" xfId="3546"/>
    <cellStyle name="Normal 134 5" xfId="3547"/>
    <cellStyle name="Comma 2 70 4" xfId="3548"/>
    <cellStyle name="Normal 3 48 5" xfId="3549"/>
    <cellStyle name="Comma 2 71 4" xfId="3550"/>
    <cellStyle name="Comma 2 2 48 4" xfId="3551"/>
    <cellStyle name="Normal 3 3 46 4" xfId="3552"/>
    <cellStyle name="Normal 3 2 2 2 78 4" xfId="3553"/>
    <cellStyle name="Normal 3 2 2 2 79 4" xfId="3554"/>
    <cellStyle name="Comma 2 4 2 4" xfId="3555"/>
    <cellStyle name="Comma 2 2 2 2 4" xfId="3556"/>
    <cellStyle name="Normal 3 3 2 24 4" xfId="3557"/>
    <cellStyle name="Normal 135 4" xfId="3558"/>
    <cellStyle name="Normal 3 2 2 2 80 4" xfId="3559"/>
    <cellStyle name="Comma 106 4" xfId="3560"/>
    <cellStyle name="Normal 136 4" xfId="3561"/>
    <cellStyle name="Normal 132 2 4" xfId="3562"/>
    <cellStyle name="Normal 3 3 2 25 4" xfId="3563"/>
    <cellStyle name="Comma 107 4" xfId="3564"/>
    <cellStyle name="Normal 3 3 2 22 2 4" xfId="3565"/>
    <cellStyle name="Comma 103 2 4" xfId="3566"/>
    <cellStyle name="Normal 137 4" xfId="3567"/>
    <cellStyle name="Comma 2 72 4" xfId="3568"/>
    <cellStyle name="Normal 138 4" xfId="3569"/>
    <cellStyle name="Normal 3 2 2 2 81 4" xfId="3570"/>
    <cellStyle name="Comma 108 4" xfId="3571"/>
    <cellStyle name="Normal 3 3 2 26 4" xfId="3572"/>
    <cellStyle name="Normal 139 5" xfId="3573"/>
    <cellStyle name="Comma 2 73 4" xfId="3574"/>
    <cellStyle name="Normal 140 4" xfId="3575"/>
    <cellStyle name="Comma 109 4" xfId="3576"/>
    <cellStyle name="Normal 141 4" xfId="3577"/>
    <cellStyle name="Normal 3 2 2 2 82 4" xfId="3578"/>
    <cellStyle name="Comma 110 4" xfId="3579"/>
    <cellStyle name="Normal 3 3 2 27 4" xfId="3580"/>
    <cellStyle name="Normal 80 2 2 5" xfId="3581"/>
    <cellStyle name="Comma 58 2 2 5" xfId="3582"/>
    <cellStyle name="Emart 3 2 2 6" xfId="3583"/>
    <cellStyle name="Normal 3 2 2 2 83 5" xfId="3584"/>
    <cellStyle name="Comma 2 4 3 5" xfId="3585"/>
    <cellStyle name="Comma 2 2 2 3 5" xfId="3586"/>
    <cellStyle name="Normal 3 3 2 28 5" xfId="3587"/>
    <cellStyle name="Normal 3 2 2 2 83 2 4" xfId="3588"/>
    <cellStyle name="Comma 2 4 3 2 4" xfId="3589"/>
    <cellStyle name="Comma 2 2 2 3 2 4" xfId="3590"/>
    <cellStyle name="Normal 3 3 2 28 2 5" xfId="3591"/>
    <cellStyle name="Normal 139 2 4" xfId="3592"/>
    <cellStyle name="Normal 142 4" xfId="3593"/>
    <cellStyle name="Normal 3 3 2 29 4" xfId="3594"/>
    <cellStyle name="Normal 3 2 2 2 25 2 4" xfId="3595"/>
    <cellStyle name="Normal 7 2 4" xfId="3596"/>
    <cellStyle name="Normal 143 4" xfId="3597"/>
    <cellStyle name="Normal 3 2 2 2 84 4" xfId="3598"/>
    <cellStyle name="Comma 111 4" xfId="3599"/>
    <cellStyle name="Normal 3 3 2 28 2 2 4" xfId="3600"/>
    <cellStyle name="Normal 144 4" xfId="3601"/>
    <cellStyle name="Comma 112 4" xfId="3602"/>
    <cellStyle name="Normal 145 4" xfId="3603"/>
    <cellStyle name="Normal 3 2 2 2 85 4" xfId="3604"/>
    <cellStyle name="Comma 113 4" xfId="3605"/>
    <cellStyle name="Normal 146 4" xfId="3606"/>
    <cellStyle name="Comma 114 4" xfId="3607"/>
    <cellStyle name="Normal 148 5" xfId="3608"/>
    <cellStyle name="Comma 116 4" xfId="3609"/>
    <cellStyle name="Normal 3 2 2 2 87 4" xfId="3610"/>
    <cellStyle name="Emart 2 2 4" xfId="3611"/>
    <cellStyle name="Normal 149 4" xfId="3612"/>
    <cellStyle name="Comma 117 4" xfId="3613"/>
    <cellStyle name="Emart 4 6" xfId="3614"/>
    <cellStyle name="Normal 2 4 2 5" xfId="3615"/>
    <cellStyle name="Normal 150 4" xfId="3616"/>
    <cellStyle name="Comma 118 4" xfId="3617"/>
    <cellStyle name="Comma 2 74 4" xfId="3618"/>
    <cellStyle name="Normal 2 4 2 2 5" xfId="3619"/>
    <cellStyle name="Comma 121 4" xfId="3620"/>
    <cellStyle name="Normal 2 4 2 2 2 5" xfId="3621"/>
    <cellStyle name="Comma 122 4" xfId="3622"/>
    <cellStyle name="Normal 154 4" xfId="3623"/>
    <cellStyle name="Normal 155 4" xfId="3624"/>
    <cellStyle name="Comma 123 4" xfId="3625"/>
    <cellStyle name="Normal 152 2 3 4" xfId="3626"/>
    <cellStyle name="Normal 3 2 2 2 25 3 4" xfId="3627"/>
    <cellStyle name="Normal 2 4 2 2 2 2 4" xfId="3628"/>
    <cellStyle name="Comma 124 4" xfId="3629"/>
    <cellStyle name="Normal 156 4" xfId="3630"/>
    <cellStyle name="Comma 125 4" xfId="3631"/>
    <cellStyle name="Normal 152 2 2 2 2 4" xfId="3632"/>
    <cellStyle name="Normal 80 2 2 2 5" xfId="3633"/>
    <cellStyle name="Comma 58 2 2 2 5" xfId="3634"/>
    <cellStyle name="Normal 157 5" xfId="3635"/>
    <cellStyle name="Comma 126 4" xfId="3636"/>
    <cellStyle name="Normal 152 2 2 2 3 4" xfId="3637"/>
    <cellStyle name="Normal 3 48 2 4" xfId="3638"/>
    <cellStyle name="Normal 134 2 4" xfId="3639"/>
    <cellStyle name="Comma 127 4" xfId="3640"/>
    <cellStyle name="Comma 128 4" xfId="3641"/>
    <cellStyle name="Normal 158 4" xfId="3642"/>
    <cellStyle name="Normal 159 4" xfId="3643"/>
    <cellStyle name="Comma 129 4" xfId="3644"/>
    <cellStyle name="Normal 152 2 2 2 5 4" xfId="3645"/>
    <cellStyle name="Normal 160 4" xfId="3646"/>
    <cellStyle name="Normal 3 50 4" xfId="3647"/>
    <cellStyle name="Comma 2 75 4" xfId="3648"/>
    <cellStyle name="Comma 2 2 49 4" xfId="3649"/>
    <cellStyle name="Normal 3 3 47 4" xfId="3650"/>
    <cellStyle name="Normal 3 2 2 2 88 4" xfId="3651"/>
    <cellStyle name="Comma 131 4" xfId="3652"/>
    <cellStyle name="Comma 130 2 4" xfId="3653"/>
    <cellStyle name="Normal 152 2 2 2 4 2 2 4" xfId="3654"/>
    <cellStyle name="Normal 2 6 4" xfId="3655"/>
    <cellStyle name="Comma 132 5" xfId="3656"/>
    <cellStyle name="Comma 133 4" xfId="3657"/>
    <cellStyle name="Comma 132 2 4" xfId="3658"/>
    <cellStyle name="Emart 7 4" xfId="3659"/>
    <cellStyle name="Normal 8 2 3" xfId="3660"/>
    <cellStyle name="Comma 4 3 3" xfId="3661"/>
    <cellStyle name="Emart 12" xfId="3662"/>
    <cellStyle name="Normal 10 4 3" xfId="3663"/>
    <cellStyle name="40% - Accent3 2 2 3" xfId="3664"/>
    <cellStyle name="Normal 3 3 2 30 3" xfId="3665"/>
    <cellStyle name="Normal 3 2 2 2 89 3" xfId="3666"/>
    <cellStyle name="Normal 3 4 4 3" xfId="3667"/>
    <cellStyle name="Comma 2 4 5 3" xfId="3668"/>
    <cellStyle name="Comma 2 2 2 4 3" xfId="3669"/>
    <cellStyle name="Comma 5 2 3" xfId="3670"/>
    <cellStyle name="Normal 13 3 3" xfId="3671"/>
    <cellStyle name="Comma 6 3 3" xfId="3672"/>
    <cellStyle name="Normal 14 2 3" xfId="3673"/>
    <cellStyle name="Comma 7 2 3" xfId="3674"/>
    <cellStyle name="Normal 15 2 3" xfId="3675"/>
    <cellStyle name="Comma 9 2 3" xfId="3676"/>
    <cellStyle name="Normal 18 2 3" xfId="3677"/>
    <cellStyle name="Normal 13 2 3 3" xfId="3678"/>
    <cellStyle name="Comma 6 2 2 3" xfId="3679"/>
    <cellStyle name="Comma 10 2 3" xfId="3680"/>
    <cellStyle name="Normal 3 5 2 3" xfId="3681"/>
    <cellStyle name="Comma 2 5 2 3" xfId="3682"/>
    <cellStyle name="Comma 2 2 3 2 3" xfId="3683"/>
    <cellStyle name="Normal 3 3 3 2 3" xfId="3684"/>
    <cellStyle name="Normal 19 2 3" xfId="3685"/>
    <cellStyle name="Normal 20 2 3" xfId="3686"/>
    <cellStyle name="Normal 22 2 3" xfId="3687"/>
    <cellStyle name="Comma 12 2 3" xfId="3688"/>
    <cellStyle name="Normal 23 2 3" xfId="3689"/>
    <cellStyle name="Normal 24 2 3" xfId="3690"/>
    <cellStyle name="Comma 13 2 3" xfId="3691"/>
    <cellStyle name="Normal 3 6 2 3" xfId="3692"/>
    <cellStyle name="Comma 2 6 2 3" xfId="3693"/>
    <cellStyle name="Comma 2 2 4 2 3" xfId="3694"/>
    <cellStyle name="Normal 3 3 4 2 3" xfId="3695"/>
    <cellStyle name="Normal 3 7 2 3" xfId="3696"/>
    <cellStyle name="Comma 2 7 2 3" xfId="3697"/>
    <cellStyle name="Comma 2 2 5 2 3" xfId="3698"/>
    <cellStyle name="Normal 3 3 5 2 3" xfId="3699"/>
    <cellStyle name="Normal 25 2 3" xfId="3700"/>
    <cellStyle name="Comma 14 2 3" xfId="3701"/>
    <cellStyle name="Normal 26 2 3" xfId="3702"/>
    <cellStyle name="Comma 15 2 3" xfId="3703"/>
    <cellStyle name="Comma 16 2 3" xfId="3704"/>
    <cellStyle name="Normal 28 2 3" xfId="3705"/>
    <cellStyle name="Normal 29 2 3" xfId="3706"/>
    <cellStyle name="Comma 17 2 3" xfId="3707"/>
    <cellStyle name="Normal 30 2 3" xfId="3708"/>
    <cellStyle name="Comma 18 2 3" xfId="3709"/>
    <cellStyle name="Normal 3 8 2 3" xfId="3710"/>
    <cellStyle name="Comma 2 8 2 3" xfId="3711"/>
    <cellStyle name="Comma 2 2 6 2 3" xfId="3712"/>
    <cellStyle name="Normal 3 3 6 2 3" xfId="3713"/>
    <cellStyle name="Comma 19 2 3" xfId="3714"/>
    <cellStyle name="Normal 32 2 3" xfId="3715"/>
    <cellStyle name="Normal 33 2 3" xfId="3716"/>
    <cellStyle name="Comma 20 2 3" xfId="3717"/>
    <cellStyle name="Normal 3 9 2 3" xfId="3718"/>
    <cellStyle name="Comma 2 9 2 3" xfId="3719"/>
    <cellStyle name="Comma 2 2 7 2 3" xfId="3720"/>
    <cellStyle name="Normal 3 3 7 2 3" xfId="3721"/>
    <cellStyle name="Normal 34 2 3" xfId="3722"/>
    <cellStyle name="Normal 35 2 3" xfId="3723"/>
    <cellStyle name="Normal 3 10 2 3" xfId="3724"/>
    <cellStyle name="Comma 2 10 2 3" xfId="3725"/>
    <cellStyle name="Comma 2 2 8 2 3" xfId="3726"/>
    <cellStyle name="Normal 3 3 8 2 3" xfId="3727"/>
    <cellStyle name="Normal 3 11 2 3" xfId="3728"/>
    <cellStyle name="Comma 2 11 2 3" xfId="3729"/>
    <cellStyle name="Comma 2 2 9 2 3" xfId="3730"/>
    <cellStyle name="Normal 3 3 9 2 3" xfId="3731"/>
    <cellStyle name="Normal 36 2 3" xfId="3732"/>
    <cellStyle name="Comma 21 2 3" xfId="3733"/>
    <cellStyle name="Normal 3 12 2 3" xfId="3734"/>
    <cellStyle name="Comma 2 12 2 3" xfId="3735"/>
    <cellStyle name="Comma 2 2 10 2 3" xfId="3736"/>
    <cellStyle name="Normal 3 3 10 2 3" xfId="3737"/>
    <cellStyle name="Normal 38 2 3" xfId="3738"/>
    <cellStyle name="Normal 39 2 3" xfId="3739"/>
    <cellStyle name="Comma 22 2 3" xfId="3740"/>
    <cellStyle name="Normal 3 13 2 3" xfId="3741"/>
    <cellStyle name="Comma 2 13 2 3" xfId="3742"/>
    <cellStyle name="Comma 2 2 11 2 3" xfId="3743"/>
    <cellStyle name="Normal 3 3 11 2 3" xfId="3744"/>
    <cellStyle name="Normal 40 2 3" xfId="3745"/>
    <cellStyle name="Comma 23 2 3" xfId="3746"/>
    <cellStyle name="Comma 24 2 3" xfId="3747"/>
    <cellStyle name="Normal 41 2 3" xfId="3748"/>
    <cellStyle name="Normal 42 2 3" xfId="3749"/>
    <cellStyle name="Comma 25 2 3" xfId="3750"/>
    <cellStyle name="Normal 3 14 2 3" xfId="3751"/>
    <cellStyle name="Comma 2 14 2 3" xfId="3752"/>
    <cellStyle name="Comma 2 2 12 2 3" xfId="3753"/>
    <cellStyle name="Normal 3 3 12 2 3" xfId="3754"/>
    <cellStyle name="Normal 43 2 3" xfId="3755"/>
    <cellStyle name="Comma 26 2 3" xfId="3756"/>
    <cellStyle name="Normal 3 15 2 3" xfId="3757"/>
    <cellStyle name="Comma 2 15 2 3" xfId="3758"/>
    <cellStyle name="Comma 2 2 13 2 3" xfId="3759"/>
    <cellStyle name="Normal 3 3 13 2 3" xfId="3760"/>
    <cellStyle name="Normal 44 2 3" xfId="3761"/>
    <cellStyle name="Comma 28 2 3" xfId="3762"/>
    <cellStyle name="Normal 45 2 3" xfId="3763"/>
    <cellStyle name="Normal 3 16 2 3" xfId="3764"/>
    <cellStyle name="Comma 2 16 2 3" xfId="3765"/>
    <cellStyle name="Comma 2 2 14 2 3" xfId="3766"/>
    <cellStyle name="Normal 3 3 14 2 3" xfId="3767"/>
    <cellStyle name="Normal 46 2 3" xfId="3768"/>
    <cellStyle name="Comma 29 2 3" xfId="3769"/>
    <cellStyle name="Normal 47 2 3" xfId="3770"/>
    <cellStyle name="Normal 3 17 2 3" xfId="3771"/>
    <cellStyle name="Comma 2 17 2 3" xfId="3772"/>
    <cellStyle name="Comma 2 2 15 2 3" xfId="3773"/>
    <cellStyle name="Normal 3 3 15 2 3" xfId="3774"/>
    <cellStyle name="Normal 3 2 2 2 2 2 3" xfId="3775"/>
    <cellStyle name="Normal 48 2 3" xfId="3776"/>
    <cellStyle name="Normal 3 2 2 2 3 2 3" xfId="3777"/>
    <cellStyle name="Comma 30 2 3" xfId="3778"/>
    <cellStyle name="Normal 49 2 3" xfId="3779"/>
    <cellStyle name="Comma 31 2 3" xfId="3780"/>
    <cellStyle name="Normal 50 2 3" xfId="3781"/>
    <cellStyle name="Normal 3 2 2 2 4 2 3" xfId="3782"/>
    <cellStyle name="Comma 32 2 3" xfId="3783"/>
    <cellStyle name="Normal 3 18 2 3" xfId="3784"/>
    <cellStyle name="Comma 2 18 2 3" xfId="3785"/>
    <cellStyle name="Comma 2 2 16 2 3" xfId="3786"/>
    <cellStyle name="Normal 3 3 16 2 3" xfId="3787"/>
    <cellStyle name="Normal 3 2 2 2 5 2 3" xfId="3788"/>
    <cellStyle name="Normal 51 2 3" xfId="3789"/>
    <cellStyle name="Emart 2 3 4" xfId="3790"/>
    <cellStyle name="Normal 13 2 2 2 3" xfId="3791"/>
    <cellStyle name="Normal 3 4 2 2 3" xfId="3792"/>
    <cellStyle name="Normal 3 2 2 2 6 2 3" xfId="3793"/>
    <cellStyle name="Comma 33 2 3" xfId="3794"/>
    <cellStyle name="Normal 52 2 3" xfId="3795"/>
    <cellStyle name="Normal 53 2 3" xfId="3796"/>
    <cellStyle name="Normal 3 19 2 3" xfId="3797"/>
    <cellStyle name="Comma 2 19 2 3" xfId="3798"/>
    <cellStyle name="Comma 2 2 17 2 3" xfId="3799"/>
    <cellStyle name="Normal 3 3 17 2 3" xfId="3800"/>
    <cellStyle name="Normal 3 2 2 2 7 2 3" xfId="3801"/>
    <cellStyle name="Normal 54 2 3" xfId="3802"/>
    <cellStyle name="Normal 55 2 3" xfId="3803"/>
    <cellStyle name="Normal 3 2 2 2 8 2 3" xfId="3804"/>
    <cellStyle name="Comma 34 2 3" xfId="3805"/>
    <cellStyle name="Normal 56 2 3" xfId="3806"/>
    <cellStyle name="Comma 35 2 3" xfId="3807"/>
    <cellStyle name="Normal 57 2 3" xfId="3808"/>
    <cellStyle name="Normal 3 2 2 2 9 2 3" xfId="3809"/>
    <cellStyle name="Comma 36 2 3" xfId="3810"/>
    <cellStyle name="Normal 3 20 2 3" xfId="3811"/>
    <cellStyle name="Comma 2 20 2 3" xfId="3812"/>
    <cellStyle name="Comma 2 2 18 2 3" xfId="3813"/>
    <cellStyle name="Normal 3 3 18 2 3" xfId="3814"/>
    <cellStyle name="Normal 3 2 2 2 10 2 3" xfId="3815"/>
    <cellStyle name="Normal 58 2 3" xfId="3816"/>
    <cellStyle name="Normal 59 2 3" xfId="3817"/>
    <cellStyle name="Normal 3 2 2 2 11 2 3" xfId="3818"/>
    <cellStyle name="Comma 37 2 3" xfId="3819"/>
    <cellStyle name="Normal 60 2 3" xfId="3820"/>
    <cellStyle name="Comma 38 2 3" xfId="3821"/>
    <cellStyle name="Normal 61 2 3" xfId="3822"/>
    <cellStyle name="Normal 3 2 2 2 12 2 3" xfId="3823"/>
    <cellStyle name="Comma 39 2 3" xfId="3824"/>
    <cellStyle name="Normal 3 21 2 3" xfId="3825"/>
    <cellStyle name="Comma 2 21 2 3" xfId="3826"/>
    <cellStyle name="Comma 2 2 19 2 3" xfId="3827"/>
    <cellStyle name="Normal 3 3 19 2 3" xfId="3828"/>
    <cellStyle name="Normal 3 2 2 2 13 2 3" xfId="3829"/>
    <cellStyle name="Normal 62 2 3" xfId="3830"/>
    <cellStyle name="Comma 40 2 3" xfId="3831"/>
    <cellStyle name="Normal 63 2 3" xfId="3832"/>
    <cellStyle name="Normal 3 2 2 2 14 2 3" xfId="3833"/>
    <cellStyle name="Comma 41 2 3" xfId="3834"/>
    <cellStyle name="Normal 64 2 3" xfId="3835"/>
    <cellStyle name="Normal 3 22 2 3" xfId="3836"/>
    <cellStyle name="Comma 2 22 2 3" xfId="3837"/>
    <cellStyle name="Comma 2 2 20 2 3" xfId="3838"/>
    <cellStyle name="Normal 3 3 20 2 3" xfId="3839"/>
    <cellStyle name="Normal 3 2 2 2 15 2 3" xfId="3840"/>
    <cellStyle name="Normal 65 2 3" xfId="3841"/>
    <cellStyle name="Comma 42 2 3" xfId="3842"/>
    <cellStyle name="Normal 66 2 3" xfId="3843"/>
    <cellStyle name="Normal 3 2 2 2 16 2 3" xfId="3844"/>
    <cellStyle name="Comma 43 2 3" xfId="3845"/>
    <cellStyle name="Normal 67 2 3" xfId="3846"/>
    <cellStyle name="Normal 3 2 2 2 17 2 3" xfId="3847"/>
    <cellStyle name="Comma 44 2 3" xfId="3848"/>
    <cellStyle name="Normal 3 23 2 3" xfId="3849"/>
    <cellStyle name="Comma 2 23 2 3" xfId="3850"/>
    <cellStyle name="Comma 2 2 21 2 3" xfId="3851"/>
    <cellStyle name="Normal 3 3 21 2 3" xfId="3852"/>
    <cellStyle name="Normal 3 2 2 2 18 2 3" xfId="3853"/>
    <cellStyle name="Comma 45 2 3" xfId="3854"/>
    <cellStyle name="Normal 68 2 3" xfId="3855"/>
    <cellStyle name="Normal 69 2 3" xfId="3856"/>
    <cellStyle name="Normal 3 2 2 2 19 2 3" xfId="3857"/>
    <cellStyle name="Comma 46 2 3" xfId="3858"/>
    <cellStyle name="Normal 70 2 3" xfId="3859"/>
    <cellStyle name="Comma 47 2 3" xfId="3860"/>
    <cellStyle name="Normal 3 24 2 3" xfId="3861"/>
    <cellStyle name="Comma 2 24 2 3" xfId="3862"/>
    <cellStyle name="Comma 2 2 22 2 3" xfId="3863"/>
    <cellStyle name="Normal 3 3 22 2 3" xfId="3864"/>
    <cellStyle name="Normal 3 2 2 2 20 2 3" xfId="3865"/>
    <cellStyle name="Normal 71 2 3" xfId="3866"/>
    <cellStyle name="Comma 48 2 3" xfId="3867"/>
    <cellStyle name="Normal 72 2 3" xfId="3868"/>
    <cellStyle name="Normal 3 2 2 2 21 2 3" xfId="3869"/>
    <cellStyle name="Comma 49 2 3" xfId="3870"/>
    <cellStyle name="Normal 3 25 2 3" xfId="3871"/>
    <cellStyle name="Comma 2 25 2 3" xfId="3872"/>
    <cellStyle name="Comma 2 2 23 2 3" xfId="3873"/>
    <cellStyle name="Normal 3 3 23 2 3" xfId="3874"/>
    <cellStyle name="Normal 3 2 2 2 22 2 3" xfId="3875"/>
    <cellStyle name="Comma 50 2 3" xfId="3876"/>
    <cellStyle name="Normal 73 2 3" xfId="3877"/>
    <cellStyle name="Comma 51 2 3" xfId="3878"/>
    <cellStyle name="Normal 74 2 3" xfId="3879"/>
    <cellStyle name="Normal 3 2 2 2 23 2 3" xfId="3880"/>
    <cellStyle name="Comma 52 2 3" xfId="3881"/>
    <cellStyle name="Normal 75 2 3" xfId="3882"/>
    <cellStyle name="Normal 3 2 2 2 24 2 3" xfId="3883"/>
    <cellStyle name="Comma 53 2 3" xfId="3884"/>
    <cellStyle name="Normal 76 2 3" xfId="3885"/>
    <cellStyle name="Comma 54 2 3" xfId="3886"/>
    <cellStyle name="Normal 3 26 2 3" xfId="3887"/>
    <cellStyle name="Comma 2 26 2 3" xfId="3888"/>
    <cellStyle name="Comma 2 2 24 2 3" xfId="3889"/>
    <cellStyle name="Normal 3 3 24 2 3" xfId="3890"/>
    <cellStyle name="Normal 3 2 2 2 25 4 3" xfId="3891"/>
    <cellStyle name="Normal 77 2 3" xfId="3892"/>
    <cellStyle name="Normal 3 2 2 2 26 2 3" xfId="3893"/>
    <cellStyle name="Comma 55 2 3" xfId="3894"/>
    <cellStyle name="Normal 78 2 3" xfId="3895"/>
    <cellStyle name="Comma 56 2 3" xfId="3896"/>
    <cellStyle name="Normal 79 2 3" xfId="3897"/>
    <cellStyle name="Normal 3 2 2 2 27 2 3" xfId="3898"/>
    <cellStyle name="Comma 57 2 3" xfId="3899"/>
    <cellStyle name="Normal 80 3 3" xfId="3900"/>
    <cellStyle name="Comma 58 3 3" xfId="3901"/>
    <cellStyle name="Normal 3 27 2 3" xfId="3902"/>
    <cellStyle name="Comma 2 27 2 3" xfId="3903"/>
    <cellStyle name="Comma 2 2 25 2 3" xfId="3904"/>
    <cellStyle name="Normal 3 3 25 2 3" xfId="3905"/>
    <cellStyle name="Normal 3 2 2 2 28 2 3" xfId="3906"/>
    <cellStyle name="Comma 59 2 3" xfId="3907"/>
    <cellStyle name="Normal 81 2 3" xfId="3908"/>
    <cellStyle name="Normal 3 2 2 2 29 2 3" xfId="3909"/>
    <cellStyle name="Normal 3 3 2 2 2 3" xfId="3910"/>
    <cellStyle name="Comma 60 2 3" xfId="3911"/>
    <cellStyle name="Normal 3 28 2 3" xfId="3912"/>
    <cellStyle name="Comma 2 28 2 3" xfId="3913"/>
    <cellStyle name="Comma 2 2 26 2 3" xfId="3914"/>
    <cellStyle name="Normal 3 3 26 2 3" xfId="3915"/>
    <cellStyle name="Normal 3 2 2 2 30 2 3" xfId="3916"/>
    <cellStyle name="Normal 82 2 3" xfId="3917"/>
    <cellStyle name="Comma 61 2 3" xfId="3918"/>
    <cellStyle name="Normal 83 2 3" xfId="3919"/>
    <cellStyle name="Comma 62 2 3" xfId="3920"/>
    <cellStyle name="Normal 84 2 3" xfId="3921"/>
    <cellStyle name="Normal 3 2 2 2 31 2 3" xfId="3922"/>
    <cellStyle name="Normal 3 3 2 3 2 3" xfId="3923"/>
    <cellStyle name="Comma 63 2 3" xfId="3924"/>
    <cellStyle name="Normal 85 2 3" xfId="3925"/>
    <cellStyle name="Comma 2 29 2 3" xfId="3926"/>
    <cellStyle name="Normal 3 29 2 3" xfId="3927"/>
    <cellStyle name="Comma 2 30 2 3" xfId="3928"/>
    <cellStyle name="Comma 2 2 27 2 3" xfId="3929"/>
    <cellStyle name="Normal 3 3 27 2 3" xfId="3930"/>
    <cellStyle name="Normal 3 2 2 2 32 2 3" xfId="3931"/>
    <cellStyle name="Normal 86 2 3" xfId="3932"/>
    <cellStyle name="Normal 3 2 2 2 33 2 3" xfId="3933"/>
    <cellStyle name="Comma 64 2 3" xfId="3934"/>
    <cellStyle name="Normal 87 2 3" xfId="3935"/>
    <cellStyle name="Normal 3 2 2 2 34 2 3" xfId="3936"/>
    <cellStyle name="Normal 3 3 2 4 2 3" xfId="3937"/>
    <cellStyle name="Comma 65 2 3" xfId="3938"/>
    <cellStyle name="Normal 88 2 3" xfId="3939"/>
    <cellStyle name="Normal 3 2 2 2 35 2 3" xfId="3940"/>
    <cellStyle name="Comma 66 2 3" xfId="3941"/>
    <cellStyle name="Normal 89 2 3" xfId="3942"/>
    <cellStyle name="Comma 2 31 2 3" xfId="3943"/>
    <cellStyle name="Normal 3 30 2 3" xfId="3944"/>
    <cellStyle name="Comma 2 32 2 3" xfId="3945"/>
    <cellStyle name="Comma 2 2 28 2 3" xfId="3946"/>
    <cellStyle name="Normal 3 3 28 2 3" xfId="3947"/>
    <cellStyle name="Normal 3 2 2 2 36 2 3" xfId="3948"/>
    <cellStyle name="Normal 90 2 3" xfId="3949"/>
    <cellStyle name="Comma 67 2 3" xfId="3950"/>
    <cellStyle name="Normal 91 2 3" xfId="3951"/>
    <cellStyle name="Normal 3 2 2 2 37 2 3" xfId="3952"/>
    <cellStyle name="Comma 68 2 3" xfId="3953"/>
    <cellStyle name="Normal 3 3 2 5 2 3" xfId="3954"/>
    <cellStyle name="Normal 3 31 2 3" xfId="3955"/>
    <cellStyle name="Comma 2 33 2 3" xfId="3956"/>
    <cellStyle name="Comma 2 2 29 2 3" xfId="3957"/>
    <cellStyle name="Normal 3 3 29 2 3" xfId="3958"/>
    <cellStyle name="Normal 3 2 2 2 38 2 3" xfId="3959"/>
    <cellStyle name="Comma 2 34 2 3" xfId="3960"/>
    <cellStyle name="Normal 92 2 3" xfId="3961"/>
    <cellStyle name="Comma 69 2 3" xfId="3962"/>
    <cellStyle name="Normal 93 2 3" xfId="3963"/>
    <cellStyle name="Normal 3 2 2 2 39 2 3" xfId="3964"/>
    <cellStyle name="Normal 3 3 2 6 2 3" xfId="3965"/>
    <cellStyle name="Comma 70 2 3" xfId="3966"/>
    <cellStyle name="Normal 94 2 3" xfId="3967"/>
    <cellStyle name="Comma 2 35 2 3" xfId="3968"/>
    <cellStyle name="Normal 95 2 3" xfId="3969"/>
    <cellStyle name="Comma 71 2 3" xfId="3970"/>
    <cellStyle name="Normal 3 32 2 3" xfId="3971"/>
    <cellStyle name="Comma 2 36 2 3" xfId="3972"/>
    <cellStyle name="Comma 2 2 30 2 3" xfId="3973"/>
    <cellStyle name="Normal 3 3 30 2 3" xfId="3974"/>
    <cellStyle name="Normal 3 2 2 2 40 2 3" xfId="3975"/>
    <cellStyle name="Normal 96 2 3" xfId="3976"/>
    <cellStyle name="Normal 3 2 2 2 41 2 3" xfId="3977"/>
    <cellStyle name="Comma 72 2 3" xfId="3978"/>
    <cellStyle name="Normal 3 3 2 7 2 3" xfId="3979"/>
    <cellStyle name="Normal 97 2 3" xfId="3980"/>
    <cellStyle name="Comma 2 37 2 3" xfId="3981"/>
    <cellStyle name="Comma 73 2 3" xfId="3982"/>
    <cellStyle name="Normal 3 33 2 3" xfId="3983"/>
    <cellStyle name="Comma 2 38 2 3" xfId="3984"/>
    <cellStyle name="Comma 2 2 31 2 3" xfId="3985"/>
    <cellStyle name="Normal 3 3 31 2 3" xfId="3986"/>
    <cellStyle name="Normal 3 2 2 2 42 2 3" xfId="3987"/>
    <cellStyle name="Normal 98 2 3" xfId="3988"/>
    <cellStyle name="Normal 3 2 2 2 43 2 3" xfId="3989"/>
    <cellStyle name="Comma 74 2 3" xfId="3990"/>
    <cellStyle name="Normal 3 3 2 8 2 3" xfId="3991"/>
    <cellStyle name="Normal 3 34 2 3" xfId="3992"/>
    <cellStyle name="Comma 2 39 2 3" xfId="3993"/>
    <cellStyle name="Comma 2 2 32 2 3" xfId="3994"/>
    <cellStyle name="Normal 3 3 32 2 3" xfId="3995"/>
    <cellStyle name="Normal 3 2 2 2 44 2 3" xfId="3996"/>
    <cellStyle name="Normal 99 2 3" xfId="3997"/>
    <cellStyle name="Comma 75 2 3" xfId="3998"/>
    <cellStyle name="Normal 100 2 3" xfId="3999"/>
    <cellStyle name="Normal 3 2 2 2 45 2 3" xfId="4000"/>
    <cellStyle name="Comma 76 2 3" xfId="4001"/>
    <cellStyle name="Normal 3 3 2 9 2 3" xfId="4002"/>
    <cellStyle name="Comma 2 40 2 3" xfId="4003"/>
    <cellStyle name="Normal 101 2 3" xfId="4004"/>
    <cellStyle name="Normal 3 2 2 2 46 2 3" xfId="4005"/>
    <cellStyle name="Comma 77 2 3" xfId="4006"/>
    <cellStyle name="Normal 102 2 3" xfId="4007"/>
    <cellStyle name="Comma 78 2 3" xfId="4008"/>
    <cellStyle name="Comma 2 41 2 3" xfId="4009"/>
    <cellStyle name="Normal 3 35 2 3" xfId="4010"/>
    <cellStyle name="Comma 2 42 2 3" xfId="4011"/>
    <cellStyle name="Comma 2 2 33 2 3" xfId="4012"/>
    <cellStyle name="Normal 3 3 33 2 3" xfId="4013"/>
    <cellStyle name="Normal 3 2 2 2 47 2 3" xfId="4014"/>
    <cellStyle name="Normal 103 2 3" xfId="4015"/>
    <cellStyle name="Normal 3 2 2 2 48 2 3" xfId="4016"/>
    <cellStyle name="Comma 79 2 3" xfId="4017"/>
    <cellStyle name="Normal 3 3 2 10 2 3" xfId="4018"/>
    <cellStyle name="Normal 3 36 2 3" xfId="4019"/>
    <cellStyle name="Comma 2 43 2 3" xfId="4020"/>
    <cellStyle name="Comma 2 2 34 2 3" xfId="4021"/>
    <cellStyle name="Normal 3 3 34 2 3" xfId="4022"/>
    <cellStyle name="Normal 3 2 2 2 49 2 3" xfId="4023"/>
    <cellStyle name="Comma 2 44 2 3" xfId="4024"/>
    <cellStyle name="Normal 104 2 3" xfId="4025"/>
    <cellStyle name="Comma 80 2 3" xfId="4026"/>
    <cellStyle name="Normal 105 2 3" xfId="4027"/>
    <cellStyle name="Normal 3 2 2 2 50 2 3" xfId="4028"/>
    <cellStyle name="Comma 81 2 3" xfId="4029"/>
    <cellStyle name="Normal 3 3 2 11 2 3" xfId="4030"/>
    <cellStyle name="Normal 106 2 3" xfId="4031"/>
    <cellStyle name="Comma 82 2 3" xfId="4032"/>
    <cellStyle name="Normal 3 37 2 3" xfId="4033"/>
    <cellStyle name="Comma 2 45 2 3" xfId="4034"/>
    <cellStyle name="Comma 2 2 35 2 3" xfId="4035"/>
    <cellStyle name="Normal 3 3 35 2 3" xfId="4036"/>
    <cellStyle name="Normal 3 2 2 2 51 2 3" xfId="4037"/>
    <cellStyle name="Comma 2 46 2 3" xfId="4038"/>
    <cellStyle name="Normal 3 3 2 12 2 3" xfId="4039"/>
    <cellStyle name="Normal 3 38 2 3" xfId="4040"/>
    <cellStyle name="Comma 2 47 2 3" xfId="4041"/>
    <cellStyle name="Comma 2 2 36 2 3" xfId="4042"/>
    <cellStyle name="Normal 3 3 36 2 3" xfId="4043"/>
    <cellStyle name="Normal 3 2 2 2 52 2 3" xfId="4044"/>
    <cellStyle name="Comma 2 48 2 3" xfId="4045"/>
    <cellStyle name="Normal 107 2 3" xfId="4046"/>
    <cellStyle name="Comma 2 49 2 3" xfId="4047"/>
    <cellStyle name="Comma 83 2 3" xfId="4048"/>
    <cellStyle name="Normal 108 2 3" xfId="4049"/>
    <cellStyle name="Normal 3 2 2 2 53 2 3" xfId="4050"/>
    <cellStyle name="Comma 84 2 3" xfId="4051"/>
    <cellStyle name="Normal 109 2 3" xfId="4052"/>
    <cellStyle name="Normal 3 2 2 2 54 2 3" xfId="4053"/>
    <cellStyle name="Comma 85 2 3" xfId="4054"/>
    <cellStyle name="Normal 3 3 2 13 2 3" xfId="4055"/>
    <cellStyle name="Normal 80 2 3 3" xfId="4056"/>
    <cellStyle name="Comma 58 2 3 3" xfId="4057"/>
    <cellStyle name="Normal 3 39 2 3" xfId="4058"/>
    <cellStyle name="Comma 2 50 2 3" xfId="4059"/>
    <cellStyle name="Comma 2 2 37 2 3" xfId="4060"/>
    <cellStyle name="Normal 3 3 37 2 3" xfId="4061"/>
    <cellStyle name="Normal 3 2 2 2 55 2 3" xfId="4062"/>
    <cellStyle name="Normal 110 2 3" xfId="4063"/>
    <cellStyle name="Comma 2 51 2 3" xfId="4064"/>
    <cellStyle name="Normal 111 2 3" xfId="4065"/>
    <cellStyle name="Normal 3 2 2 2 56 2 3" xfId="4066"/>
    <cellStyle name="Comma 86 2 3" xfId="4067"/>
    <cellStyle name="Comma 87 2 3" xfId="4068"/>
    <cellStyle name="Normal 112 2 3" xfId="4069"/>
    <cellStyle name="Normal 3 2 2 2 57 2 3" xfId="4070"/>
    <cellStyle name="Comma 88 2 3" xfId="4071"/>
    <cellStyle name="Normal 3 3 2 14 2 3" xfId="4072"/>
    <cellStyle name="Normal 3 40 2 3" xfId="4073"/>
    <cellStyle name="Comma 2 52 2 3" xfId="4074"/>
    <cellStyle name="Comma 2 2 38 2 3" xfId="4075"/>
    <cellStyle name="Normal 3 3 38 2 3" xfId="4076"/>
    <cellStyle name="Normal 3 2 2 2 58 2 3" xfId="4077"/>
    <cellStyle name="Normal 113 2 3" xfId="4078"/>
    <cellStyle name="Normal 3 2 2 2 59 2 3" xfId="4079"/>
    <cellStyle name="Comma 89 2 3" xfId="4080"/>
    <cellStyle name="Normal 114 2 3" xfId="4081"/>
    <cellStyle name="Comma 2 53 2 3" xfId="4082"/>
    <cellStyle name="Comma 90 2 3" xfId="4083"/>
    <cellStyle name="Normal 115 2 3" xfId="4084"/>
    <cellStyle name="Normal 3 2 2 2 60 2 3" xfId="4085"/>
    <cellStyle name="Comma 91 2 3" xfId="4086"/>
    <cellStyle name="Normal 3 3 2 15 2 3" xfId="4087"/>
    <cellStyle name="Normal 116 2 3" xfId="4088"/>
    <cellStyle name="Comma 2 54 2 3" xfId="4089"/>
    <cellStyle name="Normal 3 41 2 3" xfId="4090"/>
    <cellStyle name="Comma 2 55 2 3" xfId="4091"/>
    <cellStyle name="Comma 2 2 39 2 3" xfId="4092"/>
    <cellStyle name="Normal 3 3 39 2 3" xfId="4093"/>
    <cellStyle name="Normal 3 2 2 2 61 2 3" xfId="4094"/>
    <cellStyle name="Normal 117 2 3" xfId="4095"/>
    <cellStyle name="Comma 92 2 3" xfId="4096"/>
    <cellStyle name="Normal 118 2 3" xfId="4097"/>
    <cellStyle name="Normal 3 2 2 2 62 2 3" xfId="4098"/>
    <cellStyle name="Comma 93 2 3" xfId="4099"/>
    <cellStyle name="Normal 3 3 2 16 2 3" xfId="4100"/>
    <cellStyle name="Normal 3 42 2 3" xfId="4101"/>
    <cellStyle name="Comma 2 56 2 3" xfId="4102"/>
    <cellStyle name="Comma 2 2 40 2 3" xfId="4103"/>
    <cellStyle name="Normal 3 3 40 2 3" xfId="4104"/>
    <cellStyle name="Normal 3 2 2 2 63 2 3" xfId="4105"/>
    <cellStyle name="Normal 119 2 3" xfId="4106"/>
    <cellStyle name="Comma 2 57 2 3" xfId="4107"/>
    <cellStyle name="Normal 120 2 3" xfId="4108"/>
    <cellStyle name="Normal 3 2 2 2 64 2 3" xfId="4109"/>
    <cellStyle name="Comma 94 2 3" xfId="4110"/>
    <cellStyle name="Normal 3 3 2 17 2 3" xfId="4111"/>
    <cellStyle name="Normal 3 43 2 3" xfId="4112"/>
    <cellStyle name="Comma 2 58 2 3" xfId="4113"/>
    <cellStyle name="Comma 2 2 41 2 3" xfId="4114"/>
    <cellStyle name="Normal 3 3 41 2 3" xfId="4115"/>
    <cellStyle name="Normal 3 2 2 2 65 2 3" xfId="4116"/>
    <cellStyle name="Comma 2 59 2 3" xfId="4117"/>
    <cellStyle name="Normal 121 2 3" xfId="4118"/>
    <cellStyle name="Comma 95 2 3" xfId="4119"/>
    <cellStyle name="Normal 122 2 3" xfId="4120"/>
    <cellStyle name="Normal 3 2 2 2 66 2 3" xfId="4121"/>
    <cellStyle name="Comma 96 2 3" xfId="4122"/>
    <cellStyle name="Normal 3 3 2 18 2 3" xfId="4123"/>
    <cellStyle name="Normal 3 44 2 3" xfId="4124"/>
    <cellStyle name="Comma 2 60 2 3" xfId="4125"/>
    <cellStyle name="Comma 2 2 42 2 3" xfId="4126"/>
    <cellStyle name="Normal 3 3 42 2 3" xfId="4127"/>
    <cellStyle name="Normal 3 2 2 2 67 2 3" xfId="4128"/>
    <cellStyle name="Normal 123 2 3" xfId="4129"/>
    <cellStyle name="Comma 2 61 2 3" xfId="4130"/>
    <cellStyle name="Normal 124 3 3" xfId="4131"/>
    <cellStyle name="Normal 3 2 2 2 68 2 3" xfId="4132"/>
    <cellStyle name="Comma 97 3 3" xfId="4133"/>
    <cellStyle name="Normal 3 3 2 19 3 3" xfId="4134"/>
    <cellStyle name="Normal 3 45 2 3" xfId="4135"/>
    <cellStyle name="Comma 2 62 2 3" xfId="4136"/>
    <cellStyle name="Comma 2 2 43 2 3" xfId="4137"/>
    <cellStyle name="Normal 3 3 43 2 3" xfId="4138"/>
    <cellStyle name="Normal 3 2 2 2 69 2 3" xfId="4139"/>
    <cellStyle name="Comma 2 63 2 3" xfId="4140"/>
    <cellStyle name="Normal 124 2 2 3" xfId="4141"/>
    <cellStyle name="Normal 3 3 2 19 2 2 3" xfId="4142"/>
    <cellStyle name="Comma 97 2 2 3" xfId="4143"/>
    <cellStyle name="Comma 2 64 2 3" xfId="4144"/>
    <cellStyle name="Comma 2 2 44 2 3" xfId="4145"/>
    <cellStyle name="Normal 3 2 2 2 70 2 3" xfId="4146"/>
    <cellStyle name="Normal 125 2 3" xfId="4147"/>
    <cellStyle name="Normal 3 2 2 2 71 2 3" xfId="4148"/>
    <cellStyle name="Comma 98 2 3" xfId="4149"/>
    <cellStyle name="Normal 3 3 2 20 2 3" xfId="4150"/>
    <cellStyle name="Normal 126 2 3" xfId="4151"/>
    <cellStyle name="Comma 2 65 2 3" xfId="4152"/>
    <cellStyle name="Normal 3 46 2 3" xfId="4153"/>
    <cellStyle name="Comma 2 66 2 3" xfId="4154"/>
    <cellStyle name="Comma 2 2 45 2 3" xfId="4155"/>
    <cellStyle name="Normal 3 3 44 2 3" xfId="4156"/>
    <cellStyle name="Normal 3 2 2 2 72 2 3" xfId="4157"/>
    <cellStyle name="Normal 127 2 3" xfId="4158"/>
    <cellStyle name="Normal 3 2 2 2 73 2 3" xfId="4159"/>
    <cellStyle name="Comma 99 2 3" xfId="4160"/>
    <cellStyle name="Normal 128 2 3" xfId="4161"/>
    <cellStyle name="Comma 100 2 3" xfId="4162"/>
    <cellStyle name="Normal 129 2 3" xfId="4163"/>
    <cellStyle name="Normal 3 2 2 2 74 2 3" xfId="4164"/>
    <cellStyle name="Comma 101 2 3" xfId="4165"/>
    <cellStyle name="Normal 3 3 2 21 2 3" xfId="4166"/>
    <cellStyle name="Normal 130 2 3" xfId="4167"/>
    <cellStyle name="Comma 102 2 3" xfId="4168"/>
    <cellStyle name="Normal 3 47 2 3" xfId="4169"/>
    <cellStyle name="Comma 2 67 2 3" xfId="4170"/>
    <cellStyle name="Comma 2 2 46 2 3" xfId="4171"/>
    <cellStyle name="Normal 3 3 45 2 3" xfId="4172"/>
    <cellStyle name="Normal 3 2 2 2 75 2 3" xfId="4173"/>
    <cellStyle name="Normal 131 2 3" xfId="4174"/>
    <cellStyle name="Comma 2 68 2 3" xfId="4175"/>
    <cellStyle name="Normal 132 3 3" xfId="4176"/>
    <cellStyle name="Normal 3 2 2 2 76 2 3" xfId="4177"/>
    <cellStyle name="Comma 103 3 3" xfId="4178"/>
    <cellStyle name="Normal 3 3 2 22 3 3" xfId="4179"/>
    <cellStyle name="Normal 133 2 3" xfId="4180"/>
    <cellStyle name="Normal 3 2 2 2 77 2 3" xfId="4181"/>
    <cellStyle name="Comma 104 2 3" xfId="4182"/>
    <cellStyle name="Normal 3 3 2 23 2 3" xfId="4183"/>
    <cellStyle name="Comma 2 69 2 3" xfId="4184"/>
    <cellStyle name="Comma 2 2 47 2 3" xfId="4185"/>
    <cellStyle name="Normal 134 3 3" xfId="4186"/>
    <cellStyle name="Comma 2 70 2 3" xfId="4187"/>
    <cellStyle name="Normal 3 48 3 3" xfId="4188"/>
    <cellStyle name="Comma 2 71 2 3" xfId="4189"/>
    <cellStyle name="Comma 2 2 48 2 3" xfId="4190"/>
    <cellStyle name="Normal 3 3 46 2 3" xfId="4191"/>
    <cellStyle name="Normal 3 2 2 2 78 2 3" xfId="4192"/>
    <cellStyle name="Normal 3 2 2 2 79 2 3" xfId="4193"/>
    <cellStyle name="Comma 2 4 2 2 3" xfId="4194"/>
    <cellStyle name="Comma 2 2 2 2 2 3" xfId="4195"/>
    <cellStyle name="Normal 3 3 2 24 2 3" xfId="4196"/>
    <cellStyle name="Normal 135 2 3" xfId="4197"/>
    <cellStyle name="Normal 3 2 2 2 80 2 3" xfId="4198"/>
    <cellStyle name="Comma 106 2 3" xfId="4199"/>
    <cellStyle name="Normal 136 2 3" xfId="4200"/>
    <cellStyle name="Normal 132 2 2 3" xfId="4201"/>
    <cellStyle name="Normal 3 3 2 25 2 3" xfId="4202"/>
    <cellStyle name="Comma 107 2 3" xfId="4203"/>
    <cellStyle name="Normal 3 3 2 22 2 2 3" xfId="4204"/>
    <cellStyle name="Comma 103 2 2 3" xfId="4205"/>
    <cellStyle name="Normal 137 2 3" xfId="4206"/>
    <cellStyle name="Comma 2 72 2 3" xfId="4207"/>
    <cellStyle name="Normal 138 2 3" xfId="4208"/>
    <cellStyle name="Normal 3 2 2 2 81 2 3" xfId="4209"/>
    <cellStyle name="Comma 108 2 3" xfId="4210"/>
    <cellStyle name="Normal 3 3 2 26 2 3" xfId="4211"/>
    <cellStyle name="Normal 139 3 3" xfId="4212"/>
    <cellStyle name="Comma 2 73 2 3" xfId="4213"/>
    <cellStyle name="Normal 140 2 3" xfId="4214"/>
    <cellStyle name="Comma 109 2 3" xfId="4215"/>
    <cellStyle name="Normal 141 2 3" xfId="4216"/>
    <cellStyle name="Normal 3 2 2 2 82 2 3" xfId="4217"/>
    <cellStyle name="Comma 110 2 3" xfId="4218"/>
    <cellStyle name="Normal 3 3 2 27 2 3" xfId="4219"/>
    <cellStyle name="Normal 80 2 2 3 3" xfId="4220"/>
    <cellStyle name="Comma 58 2 2 3 3" xfId="4221"/>
    <cellStyle name="Normal 3 2 2 2 83 3 3" xfId="4222"/>
    <cellStyle name="Comma 2 4 3 3 3" xfId="4223"/>
    <cellStyle name="Comma 2 2 2 3 3 3" xfId="4224"/>
    <cellStyle name="Normal 3 3 2 28 3 3" xfId="4225"/>
    <cellStyle name="Normal 3 2 2 2 83 2 2 3" xfId="4226"/>
    <cellStyle name="Comma 2 4 3 2 2 3" xfId="4227"/>
    <cellStyle name="Comma 2 2 2 3 2 2 3" xfId="4228"/>
    <cellStyle name="Normal 3 3 2 28 2 3 3" xfId="4229"/>
    <cellStyle name="Normal 139 2 2 3" xfId="4230"/>
    <cellStyle name="Normal 142 2 3" xfId="4231"/>
    <cellStyle name="Normal 3 3 2 29 2 3" xfId="4232"/>
    <cellStyle name="Normal 3 2 2 2 25 2 2 3" xfId="4233"/>
    <cellStyle name="Normal 7 2 2 3" xfId="4234"/>
    <cellStyle name="Normal 143 2 3" xfId="4235"/>
    <cellStyle name="Normal 3 2 2 2 84 2 3" xfId="4236"/>
    <cellStyle name="Comma 111 2 3" xfId="4237"/>
    <cellStyle name="Normal 3 3 2 28 2 2 2 3" xfId="4238"/>
    <cellStyle name="Normal 144 2 3" xfId="4239"/>
    <cellStyle name="Comma 112 2 3" xfId="4240"/>
    <cellStyle name="Normal 145 2 3" xfId="4241"/>
    <cellStyle name="Normal 3 2 2 2 85 2 3" xfId="4242"/>
    <cellStyle name="Comma 113 2 3" xfId="4243"/>
    <cellStyle name="Normal 146 2 3" xfId="4244"/>
    <cellStyle name="Comma 114 2 3" xfId="4245"/>
    <cellStyle name="Normal 148 2 3" xfId="4246"/>
    <cellStyle name="Comma 116 2 3" xfId="4247"/>
    <cellStyle name="Normal 3 2 2 2 87 2 3" xfId="4248"/>
    <cellStyle name="Emart 2 2 2 4" xfId="4249"/>
    <cellStyle name="Normal 149 2 3" xfId="4250"/>
    <cellStyle name="Comma 117 2 3" xfId="4251"/>
    <cellStyle name="Normal 2 4 2 3 3" xfId="4252"/>
    <cellStyle name="Normal 150 2 3" xfId="4253"/>
    <cellStyle name="Comma 118 2 3" xfId="4254"/>
    <cellStyle name="Comma 2 74 2 3" xfId="4255"/>
    <cellStyle name="Normal 2 4 2 2 3 3" xfId="4256"/>
    <cellStyle name="Comma 121 2 3" xfId="4257"/>
    <cellStyle name="Normal 2 4 2 2 2 3 3" xfId="4258"/>
    <cellStyle name="Comma 122 2 3" xfId="4259"/>
    <cellStyle name="Normal 154 2 3" xfId="4260"/>
    <cellStyle name="Normal 155 2 3" xfId="4261"/>
    <cellStyle name="Comma 123 2 3" xfId="4262"/>
    <cellStyle name="Normal 152 2 3 2 3" xfId="4263"/>
    <cellStyle name="Normal 3 2 2 2 25 3 2 3" xfId="4264"/>
    <cellStyle name="Normal 2 4 2 2 2 2 2 3" xfId="4265"/>
    <cellStyle name="Comma 124 2 3" xfId="4266"/>
    <cellStyle name="Normal 156 2 3" xfId="4267"/>
    <cellStyle name="Comma 125 2 3" xfId="4268"/>
    <cellStyle name="Normal 152 2 2 2 2 2 3" xfId="4269"/>
    <cellStyle name="Normal 80 2 2 2 2 3" xfId="4270"/>
    <cellStyle name="Comma 58 2 2 2 2 3" xfId="4271"/>
    <cellStyle name="Normal 157 2 3" xfId="4272"/>
    <cellStyle name="Comma 126 2 3" xfId="4273"/>
    <cellStyle name="Normal 152 2 2 2 3 2 3" xfId="4274"/>
    <cellStyle name="Normal 3 48 2 2 3" xfId="4275"/>
    <cellStyle name="Normal 134 2 2 3" xfId="4276"/>
    <cellStyle name="Comma 127 2 3" xfId="4277"/>
    <cellStyle name="Comma 128 2 3" xfId="4278"/>
    <cellStyle name="Normal 158 2 3" xfId="4279"/>
    <cellStyle name="Normal 159 2 3" xfId="4280"/>
    <cellStyle name="Comma 129 2 3" xfId="4281"/>
    <cellStyle name="Normal 152 2 2 2 5 2 3" xfId="4282"/>
    <cellStyle name="Normal 160 2 3" xfId="4283"/>
    <cellStyle name="Normal 3 50 2 3" xfId="4284"/>
    <cellStyle name="Comma 2 75 2 3" xfId="4285"/>
    <cellStyle name="Comma 2 2 49 2 3" xfId="4286"/>
    <cellStyle name="Normal 3 3 47 2 3" xfId="4287"/>
    <cellStyle name="Normal 3 2 2 2 88 2 3" xfId="4288"/>
    <cellStyle name="Comma 131 2 3" xfId="4289"/>
    <cellStyle name="Comma 130 2 2 3" xfId="4290"/>
    <cellStyle name="Normal 152 2 2 2 4 2 2 2 3" xfId="4291"/>
    <cellStyle name="Normal 2 6 2 3" xfId="4292"/>
    <cellStyle name="Comma 132 3 3" xfId="4293"/>
    <cellStyle name="Comma 133 2 3" xfId="4294"/>
    <cellStyle name="Comma 132 2 2 3" xfId="4295"/>
    <cellStyle name="Comma 136 3" xfId="4296"/>
    <cellStyle name="Normal 166 3" xfId="4297"/>
    <cellStyle name="Normal 167 3" xfId="4298"/>
    <cellStyle name="Comma 137 3" xfId="4299"/>
    <cellStyle name="Normal 161 3 2 3 3" xfId="4300"/>
    <cellStyle name="Normal 152 2 2 2 6 2 3 3" xfId="4301"/>
    <cellStyle name="Comma 130 3 2 3 3" xfId="4302"/>
    <cellStyle name="Normal 152 2 2 2 4 2 3 2 3 3" xfId="4303"/>
    <cellStyle name="Normal 168 3" xfId="4304"/>
    <cellStyle name="Normal 161 3 2 4 3" xfId="4305"/>
    <cellStyle name="Normal 152 2 2 2 6 2 4 3" xfId="4306"/>
    <cellStyle name="Comma 130 3 2 4 3" xfId="4307"/>
    <cellStyle name="Normal 152 2 2 2 4 2 3 2 4 3" xfId="4308"/>
    <cellStyle name="Normal 169 3" xfId="4309"/>
    <cellStyle name="Comma 139 3" xfId="4310"/>
    <cellStyle name="Normal 152 2 2 2 6 2 2 2 2 2 3" xfId="4311"/>
    <cellStyle name="Comma 134 2 2 2 3" xfId="4312"/>
    <cellStyle name="Normal 161 3 2 2 2 2 2 3" xfId="4313"/>
    <cellStyle name="Normal 162 2 2 2 2 2 3" xfId="4314"/>
    <cellStyle name="Normal 152 2 2 2 4 2 3 2 2 2 2 2 3" xfId="4315"/>
    <cellStyle name="Comma 130 3 2 2 2 2 2 3" xfId="4316"/>
    <cellStyle name="Normal 161 2 2 2 2 2 2 3" xfId="4317"/>
    <cellStyle name="Normal 153 2 2 2 2 2 2 2 2 2 3" xfId="4318"/>
    <cellStyle name="Comma 120 2 2 2 2 2 2 2 2 2 2 3" xfId="4319"/>
    <cellStyle name="Comma 138 2 3" xfId="4320"/>
    <cellStyle name="Normal 163 2 2 2 3" xfId="4321"/>
    <cellStyle name="Normal 164 2 2 3" xfId="4322"/>
    <cellStyle name="Comma 138 3 4" xfId="4323"/>
    <cellStyle name="Normal 170 3" xfId="4324"/>
    <cellStyle name="Normal 163 2 2 3 3" xfId="4325"/>
    <cellStyle name="Normal 164 2 3 3" xfId="4326"/>
    <cellStyle name="Normal 152 2 2 2 6 2 2 2 3 3" xfId="4327"/>
    <cellStyle name="Normal 152 2 2 2 6 2 2 2 2 3 4" xfId="4328"/>
    <cellStyle name="Comma 134 2 2 3 4" xfId="4329"/>
    <cellStyle name="Normal 161 3 2 2 2 2 3 3" xfId="4330"/>
    <cellStyle name="Normal 162 2 2 2 2 3 3" xfId="4331"/>
    <cellStyle name="Normal 152 2 2 2 4 2 3 2 2 2 2 3 4" xfId="4332"/>
    <cellStyle name="Comma 130 3 2 2 2 2 3 3" xfId="4333"/>
    <cellStyle name="Normal 161 2 2 2 2 2 3 3" xfId="4334"/>
    <cellStyle name="Normal 153 2 2 2 2 2 2 2 2 3 3" xfId="4335"/>
    <cellStyle name="Comma 120 2 2 2 2 2 2 2 2 2 3 3" xfId="4336"/>
    <cellStyle name="Comma 138 3 2 4" xfId="4337"/>
    <cellStyle name="Normal 171 4" xfId="4338"/>
    <cellStyle name="Normal 152 2 2 2 7 4" xfId="4339"/>
    <cellStyle name="Percent 2 3" xfId="4340"/>
    <cellStyle name="Normal 152 2 2 2 6 2 2 2 2 4 4" xfId="4341"/>
    <cellStyle name="Comma 134 2 2 4 4" xfId="4342"/>
    <cellStyle name="Normal 161 3 2 2 2 2 4 4" xfId="4343"/>
    <cellStyle name="Normal 162 2 2 2 2 4 4" xfId="4344"/>
    <cellStyle name="Normal 152 2 2 2 4 2 3 2 2 2 2 4 4" xfId="4345"/>
    <cellStyle name="Comma 130 3 2 2 2 2 4 4" xfId="4346"/>
    <cellStyle name="Normal 152 2 2 2 4 2 3 2 2 2 2 3 2 4" xfId="4347"/>
    <cellStyle name="Normal 161 2 2 2 2 2 4 4" xfId="4348"/>
    <cellStyle name="Normal 153 2 2 2 2 2 2 2 2 4 4" xfId="4349"/>
    <cellStyle name="Comma 120 2 2 2 2 2 2 2 2 2 4 4" xfId="4350"/>
    <cellStyle name="Normal 80 2 2 2 3 3" xfId="4351"/>
    <cellStyle name="Comma 58 2 2 2 3 3" xfId="4352"/>
    <cellStyle name="Normal 148 3 3" xfId="4353"/>
    <cellStyle name="Normal 157 3 3" xfId="4354"/>
    <cellStyle name="Comma 138 3 2 2 3" xfId="4355"/>
    <cellStyle name="Normal 171 2 3" xfId="4356"/>
    <cellStyle name="Normal 152 2 2 2 7 2 3" xfId="4357"/>
    <cellStyle name="Normal 152 2 2 2 6 2 2 2 2 4 2 4" xfId="4358"/>
    <cellStyle name="Comma 134 2 2 4 2 4" xfId="4359"/>
    <cellStyle name="Normal 152 2 2 2 6 2 2 2 2 3 2 4" xfId="4360"/>
    <cellStyle name="Normal 161 3 2 2 2 2 4 2 4" xfId="4361"/>
    <cellStyle name="Normal 162 2 2 2 2 4 2 4" xfId="4362"/>
    <cellStyle name="Comma 134 2 2 3 2 4" xfId="4363"/>
    <cellStyle name="Normal 152 2 2 2 4 2 3 2 2 2 2 4 2 4" xfId="4364"/>
    <cellStyle name="Comma 130 3 2 2 2 2 4 2 4" xfId="4365"/>
    <cellStyle name="Normal 152 2 2 2 4 2 3 2 2 2 2 3 2 2 4" xfId="4366"/>
    <cellStyle name="Normal 161 2 2 2 2 2 4 2 4" xfId="4367"/>
    <cellStyle name="Normal 153 2 2 2 2 2 2 2 2 4 2 4" xfId="4368"/>
    <cellStyle name="Comma 120 2 2 2 2 2 2 2 2 2 4 2 4" xfId="4369"/>
    <cellStyle name="Normal 172 4" xfId="4370"/>
    <cellStyle name="Comma 140 4" xfId="4371"/>
    <cellStyle name="Normal 152 2 2 2 6 2 2 2 2 5 3" xfId="4372"/>
    <cellStyle name="Comma 134 2 2 5 3" xfId="4373"/>
    <cellStyle name="Normal 161 3 2 2 2 2 5 3" xfId="4374"/>
    <cellStyle name="Normal 162 2 2 2 2 5 3" xfId="4375"/>
    <cellStyle name="Normal 152 2 2 2 4 2 3 2 2 2 2 5 3" xfId="4376"/>
    <cellStyle name="Comma 130 3 2 2 2 2 5 3" xfId="4377"/>
    <cellStyle name="Normal 161 2 2 2 2 2 5 3" xfId="4378"/>
    <cellStyle name="Normal 153 2 2 2 2 2 2 2 2 5 3" xfId="4379"/>
    <cellStyle name="Comma 120 2 2 2 2 2 2 2 2 2 5 3" xfId="4380"/>
    <cellStyle name="Comma 138 4 3" xfId="4381"/>
    <cellStyle name="Normal 163 2 2 4 3" xfId="4382"/>
    <cellStyle name="Normal 164 2 4 3" xfId="4383"/>
    <cellStyle name="Normal 173 3" xfId="4384"/>
    <cellStyle name="Comma 141 3" xfId="4385"/>
    <cellStyle name="Normal 172 2 3" xfId="4386"/>
    <cellStyle name="Comma 140 2 3" xfId="4387"/>
    <cellStyle name="Normal 152 2 2 2 6 2 2 2 2 4 2 2 3" xfId="4388"/>
    <cellStyle name="Comma 134 2 2 4 2 2 3" xfId="4389"/>
    <cellStyle name="Normal 152 2 2 2 6 2 2 2 2 3 2 2 3" xfId="4390"/>
    <cellStyle name="Normal 161 3 2 2 2 2 4 2 2 3" xfId="4391"/>
    <cellStyle name="Normal 162 2 2 2 2 4 2 2 3" xfId="4392"/>
    <cellStyle name="Comma 134 2 2 3 2 2 3" xfId="4393"/>
    <cellStyle name="Normal 152 2 2 2 4 2 3 2 2 2 2 4 2 2 3" xfId="4394"/>
    <cellStyle name="Comma 130 3 2 2 2 2 4 2 2 3" xfId="4395"/>
    <cellStyle name="Normal 152 2 2 2 4 2 3 2 2 2 2 3 2 2 2 3" xfId="4396"/>
    <cellStyle name="Normal 161 2 2 2 2 2 4 2 2 3" xfId="4397"/>
    <cellStyle name="Normal 153 2 2 2 2 2 2 2 2 4 2 2 3" xfId="4398"/>
    <cellStyle name="Comma 120 2 2 2 2 2 2 2 2 2 4 2 2 3" xfId="4399"/>
    <cellStyle name="Comma 138 5 3" xfId="4400"/>
    <cellStyle name="Normal 163 2 2 5 3" xfId="4401"/>
    <cellStyle name="Normal 164 2 5 3" xfId="4402"/>
    <cellStyle name="Comma 138 6 3" xfId="4403"/>
    <cellStyle name="Normal 174 3" xfId="4404"/>
    <cellStyle name="Normal 163 2 2 6 3" xfId="4405"/>
    <cellStyle name="Normal 164 2 6 3" xfId="4406"/>
    <cellStyle name="Normal 152 2 2 2 6 2 2 2 4 3" xfId="4407"/>
    <cellStyle name="Normal 152 2 2 2 6 2 2 2 2 6 3" xfId="4408"/>
    <cellStyle name="Comma 134 2 2 6 3" xfId="4409"/>
    <cellStyle name="Normal 161 3 2 2 2 2 6 3" xfId="4410"/>
    <cellStyle name="Normal 162 2 2 2 2 6 3" xfId="4411"/>
    <cellStyle name="Normal 152 2 2 2 4 2 3 2 2 2 2 6 3" xfId="4412"/>
    <cellStyle name="Comma 130 3 2 2 2 2 6 3" xfId="4413"/>
    <cellStyle name="Normal 161 2 2 2 2 2 6 3" xfId="4414"/>
    <cellStyle name="Normal 153 2 2 2 2 2 2 2 2 6 3" xfId="4415"/>
    <cellStyle name="Comma 120 2 2 2 2 2 2 2 2 2 6 3" xfId="4416"/>
    <cellStyle name="Comma 138 7 2" xfId="4417"/>
    <cellStyle name="Normal 175 2" xfId="4418"/>
    <cellStyle name="Normal 163 2 2 7 2" xfId="4419"/>
    <cellStyle name="Normal 164 2 7 2" xfId="4420"/>
    <cellStyle name="Normal 152 2 2 2 6 2 2 2 5 2" xfId="4421"/>
    <cellStyle name="Normal 176 2" xfId="4422"/>
    <cellStyle name="Comma 142 2" xfId="4423"/>
    <cellStyle name="Normal 152 2 2 2 6 2 2 2 2 7 2" xfId="4424"/>
    <cellStyle name="Comma 134 2 2 7 2" xfId="4425"/>
    <cellStyle name="Normal 161 3 2 2 2 2 7 2" xfId="4426"/>
    <cellStyle name="Normal 162 2 2 2 2 7 2" xfId="4427"/>
    <cellStyle name="Normal 152 2 2 2 4 2 3 2 2 2 2 7 2" xfId="4428"/>
    <cellStyle name="Comma 130 3 2 2 2 2 7 2" xfId="4429"/>
    <cellStyle name="Normal 161 2 2 2 2 2 7 2" xfId="4430"/>
    <cellStyle name="Normal 153 2 2 2 2 2 2 2 2 7 2" xfId="4431"/>
    <cellStyle name="Comma 120 2 2 2 2 2 2 2 2 2 7 2" xfId="4432"/>
    <cellStyle name="Emart 10 2" xfId="4433"/>
    <cellStyle name="40% - Accent3 4 2" xfId="4434"/>
    <cellStyle name="Normal 8 3 2" xfId="4435"/>
    <cellStyle name="Comma 4 4 2" xfId="4436"/>
    <cellStyle name="Normal 10 5 2" xfId="4437"/>
    <cellStyle name="40% - Accent3 2 3 2" xfId="4438"/>
    <cellStyle name="Normal 3 3 2 31 2" xfId="4439"/>
    <cellStyle name="Normal 3 2 2 2 90 2" xfId="4440"/>
    <cellStyle name="Normal 3 4 5 2" xfId="4441"/>
    <cellStyle name="Comma 2 4 6 2" xfId="4442"/>
    <cellStyle name="Comma 2 2 2 5 2" xfId="4443"/>
    <cellStyle name="Comma 5 3 2" xfId="4444"/>
    <cellStyle name="Normal 13 4 2" xfId="4445"/>
    <cellStyle name="Comma 6 4 2" xfId="4446"/>
    <cellStyle name="Normal 14 3 2" xfId="4447"/>
    <cellStyle name="Comma 7 3 2" xfId="4448"/>
    <cellStyle name="Normal 15 3 2" xfId="4449"/>
    <cellStyle name="Comma 9 3 2" xfId="4450"/>
    <cellStyle name="Normal 18 3 2" xfId="4451"/>
    <cellStyle name="Normal 13 2 4 2" xfId="4452"/>
    <cellStyle name="Comma 6 2 3 2" xfId="4453"/>
    <cellStyle name="Comma 10 3 2" xfId="4454"/>
    <cellStyle name="Normal 3 5 3 2" xfId="4455"/>
    <cellStyle name="Comma 2 5 3 2" xfId="4456"/>
    <cellStyle name="Comma 2 2 3 3 2" xfId="4457"/>
    <cellStyle name="Normal 3 3 3 3 2" xfId="4458"/>
    <cellStyle name="Normal 19 3 2" xfId="4459"/>
    <cellStyle name="Normal 20 3 2" xfId="4460"/>
    <cellStyle name="Emart 3 2 2 2 2 3 2" xfId="4461"/>
    <cellStyle name="Normal 22 3 2" xfId="4462"/>
    <cellStyle name="Comma 12 3 2" xfId="4463"/>
    <cellStyle name="Normal 23 3 2" xfId="4464"/>
    <cellStyle name="Normal 24 3 2" xfId="4465"/>
    <cellStyle name="Comma 13 3 2" xfId="4466"/>
    <cellStyle name="Normal 3 6 3 2" xfId="4467"/>
    <cellStyle name="Comma 2 6 3 2" xfId="4468"/>
    <cellStyle name="Comma 2 2 4 3 2" xfId="4469"/>
    <cellStyle name="Normal 3 3 4 3 2" xfId="4470"/>
    <cellStyle name="Normal 3 7 3 2" xfId="4471"/>
    <cellStyle name="Comma 2 7 3 2" xfId="4472"/>
    <cellStyle name="Comma 2 2 5 3 2" xfId="4473"/>
    <cellStyle name="Normal 3 3 5 3 2" xfId="4474"/>
    <cellStyle name="Normal 25 3 2" xfId="4475"/>
    <cellStyle name="Comma 14 3 2" xfId="4476"/>
    <cellStyle name="Normal 26 3 2" xfId="4477"/>
    <cellStyle name="Comma 15 3 2" xfId="4478"/>
    <cellStyle name="Comma 16 3 2" xfId="4479"/>
    <cellStyle name="Normal 28 3 2" xfId="4480"/>
    <cellStyle name="Normal 29 3 2" xfId="4481"/>
    <cellStyle name="Comma 17 3 2" xfId="4482"/>
    <cellStyle name="Normal 30 3 2" xfId="4483"/>
    <cellStyle name="Comma 18 3 2" xfId="4484"/>
    <cellStyle name="Normal 3 8 3 2" xfId="4485"/>
    <cellStyle name="Comma 2 8 3 2" xfId="4486"/>
    <cellStyle name="Comma 2 2 6 3 2" xfId="4487"/>
    <cellStyle name="Normal 3 3 6 3 2" xfId="4488"/>
    <cellStyle name="Comma 19 3 2" xfId="4489"/>
    <cellStyle name="Normal 32 3 2" xfId="4490"/>
    <cellStyle name="Normal 33 3 2" xfId="4491"/>
    <cellStyle name="Comma 20 3 2" xfId="4492"/>
    <cellStyle name="Normal 3 9 3 2" xfId="4493"/>
    <cellStyle name="Comma 2 9 3 2" xfId="4494"/>
    <cellStyle name="Comma 2 2 7 3 2" xfId="4495"/>
    <cellStyle name="Normal 3 3 7 3 2" xfId="4496"/>
    <cellStyle name="Normal 34 3 2" xfId="4497"/>
    <cellStyle name="Normal 35 3 2" xfId="4498"/>
    <cellStyle name="Normal 3 10 3 2" xfId="4499"/>
    <cellStyle name="Comma 2 10 3 2" xfId="4500"/>
    <cellStyle name="Comma 2 2 8 3 2" xfId="4501"/>
    <cellStyle name="Normal 3 3 8 3 2" xfId="4502"/>
    <cellStyle name="Normal 3 11 3 2" xfId="4503"/>
    <cellStyle name="Comma 2 11 3 2" xfId="4504"/>
    <cellStyle name="Comma 2 2 9 3 2" xfId="4505"/>
    <cellStyle name="Normal 3 3 9 3 2" xfId="4506"/>
    <cellStyle name="Normal 36 3 2" xfId="4507"/>
    <cellStyle name="Comma 21 3 2" xfId="4508"/>
    <cellStyle name="Normal 3 12 3 2" xfId="4509"/>
    <cellStyle name="Comma 2 12 3 2" xfId="4510"/>
    <cellStyle name="Comma 2 2 10 3 2" xfId="4511"/>
    <cellStyle name="Normal 3 3 10 3 2" xfId="4512"/>
    <cellStyle name="Normal 38 3 2" xfId="4513"/>
    <cellStyle name="Normal 39 3 2" xfId="4514"/>
    <cellStyle name="Comma 22 3 2" xfId="4515"/>
    <cellStyle name="Normal 3 13 3 2" xfId="4516"/>
    <cellStyle name="Comma 2 13 3 2" xfId="4517"/>
    <cellStyle name="Comma 2 2 11 3 2" xfId="4518"/>
    <cellStyle name="Normal 3 3 11 3 2" xfId="4519"/>
    <cellStyle name="Normal 40 3 2" xfId="4520"/>
    <cellStyle name="Comma 23 3 2" xfId="4521"/>
    <cellStyle name="Comma 24 3 2" xfId="4522"/>
    <cellStyle name="Normal 41 3 2" xfId="4523"/>
    <cellStyle name="Normal 42 3 2" xfId="4524"/>
    <cellStyle name="Comma 25 3 2" xfId="4525"/>
    <cellStyle name="Normal 3 14 3 2" xfId="4526"/>
    <cellStyle name="Comma 2 14 3 2" xfId="4527"/>
    <cellStyle name="Comma 2 2 12 3 2" xfId="4528"/>
    <cellStyle name="Normal 3 3 12 3 2" xfId="4529"/>
    <cellStyle name="Normal 43 3 2" xfId="4530"/>
    <cellStyle name="Comma 26 3 2" xfId="4531"/>
    <cellStyle name="Normal 3 15 3 2" xfId="4532"/>
    <cellStyle name="Comma 2 15 3 2" xfId="4533"/>
    <cellStyle name="Comma 2 2 13 3 2" xfId="4534"/>
    <cellStyle name="Normal 3 3 13 3 2" xfId="4535"/>
    <cellStyle name="Normal 44 3 2" xfId="4536"/>
    <cellStyle name="Comma 28 3 2" xfId="4537"/>
    <cellStyle name="Normal 45 3 2" xfId="4538"/>
    <cellStyle name="Normal 3 16 3 2" xfId="4539"/>
    <cellStyle name="Comma 2 16 3 2" xfId="4540"/>
    <cellStyle name="Comma 2 2 14 3 2" xfId="4541"/>
    <cellStyle name="Normal 3 3 14 3 2" xfId="4542"/>
    <cellStyle name="Normal 46 3 2" xfId="4543"/>
    <cellStyle name="Comma 29 3 2" xfId="4544"/>
    <cellStyle name="Normal 47 3 2" xfId="4545"/>
    <cellStyle name="Normal 3 17 3 2" xfId="4546"/>
    <cellStyle name="Comma 2 17 3 2" xfId="4547"/>
    <cellStyle name="Comma 2 2 15 3 2" xfId="4548"/>
    <cellStyle name="Normal 3 3 15 3 2" xfId="4549"/>
    <cellStyle name="Normal 3 2 2 2 2 3 2" xfId="4550"/>
    <cellStyle name="Normal 48 3 2" xfId="4551"/>
    <cellStyle name="Normal 3 2 2 2 3 3 2" xfId="4552"/>
    <cellStyle name="Comma 30 3 2" xfId="4553"/>
    <cellStyle name="Normal 49 3 2" xfId="4554"/>
    <cellStyle name="Comma 31 3 2" xfId="4555"/>
    <cellStyle name="Normal 50 3 2" xfId="4556"/>
    <cellStyle name="Normal 3 2 2 2 4 3 2" xfId="4557"/>
    <cellStyle name="Comma 32 3 2" xfId="4558"/>
    <cellStyle name="Normal 3 18 3 2" xfId="4559"/>
    <cellStyle name="Comma 2 18 3 2" xfId="4560"/>
    <cellStyle name="Comma 2 2 16 3 2" xfId="4561"/>
    <cellStyle name="Normal 3 3 16 3 2" xfId="4562"/>
    <cellStyle name="Normal 3 2 2 2 5 3 2" xfId="4563"/>
    <cellStyle name="Normal 51 3 2" xfId="4564"/>
    <cellStyle name="Emart 2 4 2" xfId="4565"/>
    <cellStyle name="Normal 13 2 2 3 2" xfId="4566"/>
    <cellStyle name="Normal 3 4 2 3 2" xfId="4567"/>
    <cellStyle name="Normal 3 2 2 2 6 3 2" xfId="4568"/>
    <cellStyle name="Comma 33 3 2" xfId="4569"/>
    <cellStyle name="Normal 52 3 2" xfId="4570"/>
    <cellStyle name="Normal 53 3 2" xfId="4571"/>
    <cellStyle name="Normal 3 19 3 2" xfId="4572"/>
    <cellStyle name="Comma 2 19 3 2" xfId="4573"/>
    <cellStyle name="Comma 2 2 17 3 2" xfId="4574"/>
    <cellStyle name="Normal 3 3 17 3 2" xfId="4575"/>
    <cellStyle name="Normal 3 2 2 2 7 3 2" xfId="4576"/>
    <cellStyle name="Normal 54 3 2" xfId="4577"/>
    <cellStyle name="Normal 55 3 2" xfId="4578"/>
    <cellStyle name="Normal 3 2 2 2 8 3 2" xfId="4579"/>
    <cellStyle name="Comma 34 3 2" xfId="4580"/>
    <cellStyle name="Normal 56 3 2" xfId="4581"/>
    <cellStyle name="Comma 35 3 2" xfId="4582"/>
    <cellStyle name="Normal 57 3 2" xfId="4583"/>
    <cellStyle name="Normal 3 2 2 2 9 3 2" xfId="4584"/>
    <cellStyle name="Comma 36 3 2" xfId="4585"/>
    <cellStyle name="Normal 3 20 3 2" xfId="4586"/>
    <cellStyle name="Comma 2 20 3 2" xfId="4587"/>
    <cellStyle name="Comma 2 2 18 3 2" xfId="4588"/>
    <cellStyle name="Normal 3 3 18 3 2" xfId="4589"/>
    <cellStyle name="Normal 3 2 2 2 10 3 2" xfId="4590"/>
    <cellStyle name="Normal 58 3 2" xfId="4591"/>
    <cellStyle name="Normal 59 3 2" xfId="4592"/>
    <cellStyle name="Normal 3 2 2 2 11 3 2" xfId="4593"/>
    <cellStyle name="Comma 37 3 2" xfId="4594"/>
    <cellStyle name="Normal 60 3 2" xfId="4595"/>
    <cellStyle name="Comma 38 3 2" xfId="4596"/>
    <cellStyle name="Normal 61 3 2" xfId="4597"/>
    <cellStyle name="Normal 3 2 2 2 12 3 2" xfId="4598"/>
    <cellStyle name="Comma 39 3 2" xfId="4599"/>
    <cellStyle name="Normal 3 21 3 2" xfId="4600"/>
    <cellStyle name="Comma 2 21 3 2" xfId="4601"/>
    <cellStyle name="Comma 2 2 19 3 2" xfId="4602"/>
    <cellStyle name="Normal 3 3 19 3 2" xfId="4603"/>
    <cellStyle name="Normal 3 2 2 2 13 3 2" xfId="4604"/>
    <cellStyle name="Normal 62 3 2" xfId="4605"/>
    <cellStyle name="Comma 40 3 2" xfId="4606"/>
    <cellStyle name="Normal 63 3 2" xfId="4607"/>
    <cellStyle name="Normal 3 2 2 2 14 3 2" xfId="4608"/>
    <cellStyle name="Comma 41 3 2" xfId="4609"/>
    <cellStyle name="Normal 64 3 2" xfId="4610"/>
    <cellStyle name="Normal 3 22 3 2" xfId="4611"/>
    <cellStyle name="Comma 2 22 3 2" xfId="4612"/>
    <cellStyle name="Comma 2 2 20 3 2" xfId="4613"/>
    <cellStyle name="Normal 3 3 20 3 2" xfId="4614"/>
    <cellStyle name="Normal 3 2 2 2 15 3 2" xfId="4615"/>
    <cellStyle name="Normal 65 3 2" xfId="4616"/>
    <cellStyle name="Comma 42 3 2" xfId="4617"/>
    <cellStyle name="Normal 66 3 2" xfId="4618"/>
    <cellStyle name="Normal 3 2 2 2 16 3 2" xfId="4619"/>
    <cellStyle name="Comma 43 3 2" xfId="4620"/>
    <cellStyle name="Normal 67 3 2" xfId="4621"/>
    <cellStyle name="Normal 3 2 2 2 17 3 2" xfId="4622"/>
    <cellStyle name="Comma 44 3 2" xfId="4623"/>
    <cellStyle name="Normal 3 23 3 2" xfId="4624"/>
    <cellStyle name="Comma 2 23 3 2" xfId="4625"/>
    <cellStyle name="Comma 2 2 21 3 2" xfId="4626"/>
    <cellStyle name="Normal 3 3 21 3 2" xfId="4627"/>
    <cellStyle name="Normal 3 2 2 2 18 3 2" xfId="4628"/>
    <cellStyle name="Comma 45 3 2" xfId="4629"/>
    <cellStyle name="Normal 68 3 2" xfId="4630"/>
    <cellStyle name="Normal 69 3 2" xfId="4631"/>
    <cellStyle name="Normal 3 2 2 2 19 3 2" xfId="4632"/>
    <cellStyle name="Comma 46 3 2" xfId="4633"/>
    <cellStyle name="Normal 70 3 2" xfId="4634"/>
    <cellStyle name="Comma 47 3 2" xfId="4635"/>
    <cellStyle name="Normal 3 24 3 2" xfId="4636"/>
    <cellStyle name="Comma 2 24 3 2" xfId="4637"/>
    <cellStyle name="Comma 2 2 22 3 2" xfId="4638"/>
    <cellStyle name="Normal 3 3 22 3 2" xfId="4639"/>
    <cellStyle name="Normal 3 2 2 2 20 3 2" xfId="4640"/>
    <cellStyle name="Normal 71 3 2" xfId="4641"/>
    <cellStyle name="Comma 48 3 2" xfId="4642"/>
    <cellStyle name="Normal 72 3 2" xfId="4643"/>
    <cellStyle name="Normal 3 2 2 2 21 3 2" xfId="4644"/>
    <cellStyle name="Comma 49 3 2" xfId="4645"/>
    <cellStyle name="Normal 3 25 3 2" xfId="4646"/>
    <cellStyle name="Comma 2 25 3 2" xfId="4647"/>
    <cellStyle name="Comma 2 2 23 3 2" xfId="4648"/>
    <cellStyle name="Normal 3 3 23 3 2" xfId="4649"/>
    <cellStyle name="Normal 3 2 2 2 22 3 2" xfId="4650"/>
    <cellStyle name="Comma 50 3 2" xfId="4651"/>
    <cellStyle name="Normal 73 3 2" xfId="4652"/>
    <cellStyle name="Comma 51 3 2" xfId="4653"/>
    <cellStyle name="Normal 74 3 2" xfId="4654"/>
    <cellStyle name="Normal 3 2 2 2 23 3 2" xfId="4655"/>
    <cellStyle name="Comma 52 3 2" xfId="4656"/>
    <cellStyle name="Normal 75 3 2" xfId="4657"/>
    <cellStyle name="Normal 3 2 2 2 24 3 2" xfId="4658"/>
    <cellStyle name="Comma 53 3 2" xfId="4659"/>
    <cellStyle name="Normal 76 3 2" xfId="4660"/>
    <cellStyle name="Comma 54 3 2" xfId="4661"/>
    <cellStyle name="Normal 3 26 3 2" xfId="4662"/>
    <cellStyle name="Comma 2 26 3 2" xfId="4663"/>
    <cellStyle name="Comma 2 2 24 3 2" xfId="4664"/>
    <cellStyle name="Normal 3 3 24 3 2" xfId="4665"/>
    <cellStyle name="Normal 3 2 2 2 25 5 2" xfId="4666"/>
    <cellStyle name="Normal 77 3 2" xfId="4667"/>
    <cellStyle name="Normal 3 2 2 2 26 3 2" xfId="4668"/>
    <cellStyle name="Comma 55 3 2" xfId="4669"/>
    <cellStyle name="Normal 78 3 2" xfId="4670"/>
    <cellStyle name="Comma 56 3 2" xfId="4671"/>
    <cellStyle name="Normal 79 3 2" xfId="4672"/>
    <cellStyle name="Normal 3 2 2 2 27 3 2" xfId="4673"/>
    <cellStyle name="Comma 57 3 2" xfId="4674"/>
    <cellStyle name="Normal 80 4 2" xfId="4675"/>
    <cellStyle name="Comma 58 4 2" xfId="4676"/>
    <cellStyle name="Emart 3 3 2" xfId="4677"/>
    <cellStyle name="Normal 3 27 3 2" xfId="4678"/>
    <cellStyle name="Comma 2 27 3 2" xfId="4679"/>
    <cellStyle name="Comma 2 2 25 3 2" xfId="4680"/>
    <cellStyle name="Normal 3 3 25 3 2" xfId="4681"/>
    <cellStyle name="Normal 3 2 2 2 28 3 2" xfId="4682"/>
    <cellStyle name="Comma 59 3 2" xfId="4683"/>
    <cellStyle name="Normal 81 3 2" xfId="4684"/>
    <cellStyle name="Normal 3 2 2 2 29 3 2" xfId="4685"/>
    <cellStyle name="Normal 3 3 2 2 3 2" xfId="4686"/>
    <cellStyle name="Comma 60 3 2" xfId="4687"/>
    <cellStyle name="Normal 3 28 3 2" xfId="4688"/>
    <cellStyle name="Comma 2 28 3 2" xfId="4689"/>
    <cellStyle name="Comma 2 2 26 3 2" xfId="4690"/>
    <cellStyle name="Normal 3 3 26 3 2" xfId="4691"/>
    <cellStyle name="Normal 3 2 2 2 30 3 2" xfId="4692"/>
    <cellStyle name="Normal 82 3 2" xfId="4693"/>
    <cellStyle name="Comma 61 3 2" xfId="4694"/>
    <cellStyle name="Normal 83 3 2" xfId="4695"/>
    <cellStyle name="Comma 62 3 2" xfId="4696"/>
    <cellStyle name="Normal 84 3 2" xfId="4697"/>
    <cellStyle name="Normal 3 2 2 2 31 3 2" xfId="4698"/>
    <cellStyle name="Normal 3 3 2 3 3 2" xfId="4699"/>
    <cellStyle name="Comma 63 3 2" xfId="4700"/>
    <cellStyle name="Normal 85 3 2" xfId="4701"/>
    <cellStyle name="Comma 2 29 3 2" xfId="4702"/>
    <cellStyle name="Normal 3 29 3 2" xfId="4703"/>
    <cellStyle name="Comma 2 30 3 2" xfId="4704"/>
    <cellStyle name="Comma 2 2 27 3 2" xfId="4705"/>
    <cellStyle name="Normal 3 3 27 3 2" xfId="4706"/>
    <cellStyle name="Normal 3 2 2 2 32 3 2" xfId="4707"/>
    <cellStyle name="Normal 86 3 2" xfId="4708"/>
    <cellStyle name="Normal 3 2 2 2 33 3 2" xfId="4709"/>
    <cellStyle name="Comma 64 3 2" xfId="4710"/>
    <cellStyle name="Normal 87 3 2" xfId="4711"/>
    <cellStyle name="Normal 3 2 2 2 34 3 2" xfId="4712"/>
    <cellStyle name="Normal 3 3 2 4 3 2" xfId="4713"/>
    <cellStyle name="Comma 65 3 2" xfId="4714"/>
    <cellStyle name="Normal 88 3 2" xfId="4715"/>
    <cellStyle name="Normal 3 2 2 2 35 3 2" xfId="4716"/>
    <cellStyle name="Comma 66 3 2" xfId="4717"/>
    <cellStyle name="Normal 89 3 2" xfId="4718"/>
    <cellStyle name="Comma 2 31 3 2" xfId="4719"/>
    <cellStyle name="Normal 3 30 3 2" xfId="4720"/>
    <cellStyle name="Comma 2 32 3 2" xfId="4721"/>
    <cellStyle name="Comma 2 2 28 3 2" xfId="4722"/>
    <cellStyle name="Normal 3 3 28 3 2" xfId="4723"/>
    <cellStyle name="Normal 3 2 2 2 36 3 2" xfId="4724"/>
    <cellStyle name="Normal 90 3 2" xfId="4725"/>
    <cellStyle name="Comma 67 3 2" xfId="4726"/>
    <cellStyle name="Normal 91 3 2" xfId="4727"/>
    <cellStyle name="Normal 3 2 2 2 37 3 2" xfId="4728"/>
    <cellStyle name="Comma 68 3 2" xfId="4729"/>
    <cellStyle name="Normal 3 3 2 5 3 2" xfId="4730"/>
    <cellStyle name="Normal 3 31 3 2" xfId="4731"/>
    <cellStyle name="Comma 2 33 3 2" xfId="4732"/>
    <cellStyle name="Comma 2 2 29 3 2" xfId="4733"/>
    <cellStyle name="Normal 3 3 29 3 2" xfId="4734"/>
    <cellStyle name="Normal 3 2 2 2 38 3 2" xfId="4735"/>
    <cellStyle name="Comma 2 34 3 2" xfId="4736"/>
    <cellStyle name="Normal 92 3 2" xfId="4737"/>
    <cellStyle name="Comma 69 3 2" xfId="4738"/>
    <cellStyle name="Normal 93 3 2" xfId="4739"/>
    <cellStyle name="Normal 3 2 2 2 39 3 2" xfId="4740"/>
    <cellStyle name="Normal 3 3 2 6 3 2" xfId="4741"/>
    <cellStyle name="Comma 70 3 2" xfId="4742"/>
    <cellStyle name="Normal 94 3 2" xfId="4743"/>
    <cellStyle name="Comma 2 35 3 2" xfId="4744"/>
    <cellStyle name="Normal 95 3 2" xfId="4745"/>
    <cellStyle name="Comma 71 3 2" xfId="4746"/>
    <cellStyle name="Normal 3 32 3 2" xfId="4747"/>
    <cellStyle name="Comma 2 36 3 2" xfId="4748"/>
    <cellStyle name="Comma 2 2 30 3 2" xfId="4749"/>
    <cellStyle name="Normal 3 3 30 3 2" xfId="4750"/>
    <cellStyle name="Normal 3 2 2 2 40 3 2" xfId="4751"/>
    <cellStyle name="Normal 96 3 2" xfId="4752"/>
    <cellStyle name="Normal 3 2 2 2 41 3 2" xfId="4753"/>
    <cellStyle name="Comma 72 3 2" xfId="4754"/>
    <cellStyle name="Normal 3 3 2 7 3 2" xfId="4755"/>
    <cellStyle name="Normal 97 3 2" xfId="4756"/>
    <cellStyle name="Comma 2 37 3 2" xfId="4757"/>
    <cellStyle name="Comma 73 3 2" xfId="4758"/>
    <cellStyle name="Normal 3 33 3 2" xfId="4759"/>
    <cellStyle name="Comma 2 38 3 2" xfId="4760"/>
    <cellStyle name="Comma 2 2 31 3 2" xfId="4761"/>
    <cellStyle name="Normal 3 3 31 3 2" xfId="4762"/>
    <cellStyle name="Normal 3 2 2 2 42 3 2" xfId="4763"/>
    <cellStyle name="Normal 98 3 2" xfId="4764"/>
    <cellStyle name="Normal 3 2 2 2 43 3 2" xfId="4765"/>
    <cellStyle name="Comma 74 3 2" xfId="4766"/>
    <cellStyle name="Normal 3 3 2 8 3 2" xfId="4767"/>
    <cellStyle name="Normal 3 34 3 2" xfId="4768"/>
    <cellStyle name="Comma 2 39 3 2" xfId="4769"/>
    <cellStyle name="Comma 2 2 32 3 2" xfId="4770"/>
    <cellStyle name="Normal 3 3 32 3 2" xfId="4771"/>
    <cellStyle name="Normal 3 2 2 2 44 3 2" xfId="4772"/>
    <cellStyle name="Normal 99 3 2" xfId="4773"/>
    <cellStyle name="Comma 75 3 2" xfId="4774"/>
    <cellStyle name="Normal 100 3 2" xfId="4775"/>
    <cellStyle name="Normal 3 2 2 2 45 3 2" xfId="4776"/>
    <cellStyle name="Comma 76 3 2" xfId="4777"/>
    <cellStyle name="Normal 3 3 2 9 3 2" xfId="4778"/>
    <cellStyle name="Comma 2 40 3 2" xfId="4779"/>
    <cellStyle name="Normal 101 3 2" xfId="4780"/>
    <cellStyle name="Normal 3 2 2 2 46 3 2" xfId="4781"/>
    <cellStyle name="Comma 77 3 2" xfId="4782"/>
    <cellStyle name="Normal 102 3 2" xfId="4783"/>
    <cellStyle name="Comma 78 3 2" xfId="4784"/>
    <cellStyle name="Comma 2 41 3 2" xfId="4785"/>
    <cellStyle name="Normal 3 35 3 2" xfId="4786"/>
    <cellStyle name="Comma 2 42 3 2" xfId="4787"/>
    <cellStyle name="Comma 2 2 33 3 2" xfId="4788"/>
    <cellStyle name="Normal 3 3 33 3 2" xfId="4789"/>
    <cellStyle name="Normal 3 2 2 2 47 3 2" xfId="4790"/>
    <cellStyle name="Normal 103 3 2" xfId="4791"/>
    <cellStyle name="Normal 3 2 2 2 48 3 2" xfId="4792"/>
    <cellStyle name="Comma 79 3 2" xfId="4793"/>
    <cellStyle name="Normal 3 3 2 10 3 2" xfId="4794"/>
    <cellStyle name="Normal 3 36 3 2" xfId="4795"/>
    <cellStyle name="Comma 2 43 3 2" xfId="4796"/>
    <cellStyle name="Comma 2 2 34 3 2" xfId="4797"/>
    <cellStyle name="Normal 3 3 34 3 2" xfId="4798"/>
    <cellStyle name="Normal 3 2 2 2 49 3 2" xfId="4799"/>
    <cellStyle name="Comma 2 44 3 2" xfId="4800"/>
    <cellStyle name="Normal 104 3 2" xfId="4801"/>
    <cellStyle name="Comma 80 3 2" xfId="4802"/>
    <cellStyle name="Normal 105 3 2" xfId="4803"/>
    <cellStyle name="Normal 3 2 2 2 50 3 2" xfId="4804"/>
    <cellStyle name="Comma 81 3 2" xfId="4805"/>
    <cellStyle name="Normal 3 3 2 11 3 2" xfId="4806"/>
    <cellStyle name="Normal 106 3 2" xfId="4807"/>
    <cellStyle name="Comma 82 3 2" xfId="4808"/>
    <cellStyle name="Normal 3 37 3 2" xfId="4809"/>
    <cellStyle name="Comma 2 45 3 2" xfId="4810"/>
    <cellStyle name="Comma 2 2 35 3 2" xfId="4811"/>
    <cellStyle name="Normal 3 3 35 3 2" xfId="4812"/>
    <cellStyle name="Normal 3 2 2 2 51 3 2" xfId="4813"/>
    <cellStyle name="Comma 2 46 3 2" xfId="4814"/>
    <cellStyle name="Normal 3 3 2 12 3 2" xfId="4815"/>
    <cellStyle name="Normal 3 38 3 2" xfId="4816"/>
    <cellStyle name="Comma 2 47 3 2" xfId="4817"/>
    <cellStyle name="Comma 2 2 36 3 2" xfId="4818"/>
    <cellStyle name="Normal 3 3 36 3 2" xfId="4819"/>
    <cellStyle name="Normal 3 2 2 2 52 3 2" xfId="4820"/>
    <cellStyle name="Comma 2 48 3 2" xfId="4821"/>
    <cellStyle name="Normal 107 3 2" xfId="4822"/>
    <cellStyle name="Comma 2 49 3 2" xfId="4823"/>
    <cellStyle name="Comma 83 3 2" xfId="4824"/>
    <cellStyle name="Normal 108 3 2" xfId="4825"/>
    <cellStyle name="Normal 3 2 2 2 53 3 2" xfId="4826"/>
    <cellStyle name="Comma 84 3 2" xfId="4827"/>
    <cellStyle name="Normal 109 3 2" xfId="4828"/>
    <cellStyle name="Normal 3 2 2 2 54 3 2" xfId="4829"/>
    <cellStyle name="Comma 85 3 2" xfId="4830"/>
    <cellStyle name="Normal 3 3 2 13 3 2" xfId="4831"/>
    <cellStyle name="Normal 80 2 4 2" xfId="4832"/>
    <cellStyle name="Comma 58 2 4 2" xfId="4833"/>
    <cellStyle name="Emart 3 2 3 2" xfId="4834"/>
    <cellStyle name="Normal 3 39 3 2" xfId="4835"/>
    <cellStyle name="Comma 2 50 3 2" xfId="4836"/>
    <cellStyle name="Comma 2 2 37 3 2" xfId="4837"/>
    <cellStyle name="Normal 3 3 37 3 2" xfId="4838"/>
    <cellStyle name="Normal 3 2 2 2 55 3 2" xfId="4839"/>
    <cellStyle name="Normal 110 3 2" xfId="4840"/>
    <cellStyle name="Comma 2 51 3 2" xfId="4841"/>
    <cellStyle name="Normal 111 3 2" xfId="4842"/>
    <cellStyle name="Normal 3 2 2 2 56 3 2" xfId="4843"/>
    <cellStyle name="Comma 86 3 2" xfId="4844"/>
    <cellStyle name="Comma 87 3 2" xfId="4845"/>
    <cellStyle name="Normal 112 3 2" xfId="4846"/>
    <cellStyle name="Normal 3 2 2 2 57 3 2" xfId="4847"/>
    <cellStyle name="Comma 88 3 2" xfId="4848"/>
    <cellStyle name="Normal 3 3 2 14 3 2" xfId="4849"/>
    <cellStyle name="Normal 3 40 3 2" xfId="4850"/>
    <cellStyle name="Comma 2 52 3 2" xfId="4851"/>
    <cellStyle name="Comma 2 2 38 3 2" xfId="4852"/>
    <cellStyle name="Normal 3 3 38 3 2" xfId="4853"/>
    <cellStyle name="Normal 3 2 2 2 58 3 2" xfId="4854"/>
    <cellStyle name="Normal 113 3 2" xfId="4855"/>
    <cellStyle name="Normal 3 2 2 2 59 3 2" xfId="4856"/>
    <cellStyle name="Comma 89 3 2" xfId="4857"/>
    <cellStyle name="Normal 114 3 2" xfId="4858"/>
    <cellStyle name="Comma 2 53 3 2" xfId="4859"/>
    <cellStyle name="Comma 90 3 2" xfId="4860"/>
    <cellStyle name="Normal 115 3 2" xfId="4861"/>
    <cellStyle name="Normal 3 2 2 2 60 3 2" xfId="4862"/>
    <cellStyle name="Comma 91 3 2" xfId="4863"/>
    <cellStyle name="Normal 3 3 2 15 3 2" xfId="4864"/>
    <cellStyle name="Normal 116 3 2" xfId="4865"/>
    <cellStyle name="Comma 2 54 3 2" xfId="4866"/>
    <cellStyle name="Normal 3 41 3 2" xfId="4867"/>
    <cellStyle name="Comma 2 55 3 2" xfId="4868"/>
    <cellStyle name="Comma 2 2 39 3 2" xfId="4869"/>
    <cellStyle name="Normal 3 3 39 3 2" xfId="4870"/>
    <cellStyle name="Normal 3 2 2 2 61 3 2" xfId="4871"/>
    <cellStyle name="Normal 117 3 2" xfId="4872"/>
    <cellStyle name="Comma 92 3 2" xfId="4873"/>
    <cellStyle name="Normal 118 3 2" xfId="4874"/>
    <cellStyle name="Normal 3 2 2 2 62 3 2" xfId="4875"/>
    <cellStyle name="Comma 93 3 2" xfId="4876"/>
    <cellStyle name="Normal 3 3 2 16 3 2" xfId="4877"/>
    <cellStyle name="Normal 3 42 3 2" xfId="4878"/>
    <cellStyle name="Comma 2 56 3 2" xfId="4879"/>
    <cellStyle name="Comma 2 2 40 3 2" xfId="4880"/>
    <cellStyle name="Normal 3 3 40 3 2" xfId="4881"/>
    <cellStyle name="Normal 3 2 2 2 63 3 2" xfId="4882"/>
    <cellStyle name="Normal 119 3 2" xfId="4883"/>
    <cellStyle name="Comma 2 57 3 2" xfId="4884"/>
    <cellStyle name="Normal 120 3 2" xfId="4885"/>
    <cellStyle name="Normal 3 2 2 2 64 3 2" xfId="4886"/>
    <cellStyle name="Comma 94 3 2" xfId="4887"/>
    <cellStyle name="Normal 3 3 2 17 3 2" xfId="4888"/>
    <cellStyle name="Normal 3 43 3 2" xfId="4889"/>
    <cellStyle name="Comma 2 58 3 2" xfId="4890"/>
    <cellStyle name="Comma 2 2 41 3 2" xfId="4891"/>
    <cellStyle name="Normal 3 3 41 3 2" xfId="4892"/>
    <cellStyle name="Normal 3 2 2 2 65 3 2" xfId="4893"/>
    <cellStyle name="Comma 2 59 3 2" xfId="4894"/>
    <cellStyle name="Normal 121 3 2" xfId="4895"/>
    <cellStyle name="Comma 95 3 2" xfId="4896"/>
    <cellStyle name="Normal 122 3 2" xfId="4897"/>
    <cellStyle name="Normal 3 2 2 2 66 3 2" xfId="4898"/>
    <cellStyle name="Comma 96 3 2" xfId="4899"/>
    <cellStyle name="Normal 3 3 2 18 3 2" xfId="4900"/>
    <cellStyle name="Normal 3 44 3 2" xfId="4901"/>
    <cellStyle name="Comma 2 60 3 2" xfId="4902"/>
    <cellStyle name="Comma 2 2 42 3 2" xfId="4903"/>
    <cellStyle name="Normal 3 3 42 3 2" xfId="4904"/>
    <cellStyle name="Normal 3 2 2 2 67 3 2" xfId="4905"/>
    <cellStyle name="Normal 123 3 2" xfId="4906"/>
    <cellStyle name="Comma 2 61 3 2" xfId="4907"/>
    <cellStyle name="Normal 124 4 2" xfId="4908"/>
    <cellStyle name="Normal 3 2 2 2 68 3 2" xfId="4909"/>
    <cellStyle name="Comma 97 4 2" xfId="4910"/>
    <cellStyle name="Normal 3 3 2 19 4 2" xfId="4911"/>
    <cellStyle name="Normal 3 45 3 2" xfId="4912"/>
    <cellStyle name="Comma 2 62 3 2" xfId="4913"/>
    <cellStyle name="Comma 2 2 43 3 2" xfId="4914"/>
    <cellStyle name="Normal 3 3 43 3 2" xfId="4915"/>
    <cellStyle name="Normal 3 2 2 2 69 3 2" xfId="4916"/>
    <cellStyle name="Comma 2 63 3 2" xfId="4917"/>
    <cellStyle name="Normal 124 2 3 2" xfId="4918"/>
    <cellStyle name="Normal 3 3 2 19 2 3 2" xfId="4919"/>
    <cellStyle name="Comma 97 2 3 2" xfId="4920"/>
    <cellStyle name="Comma 2 64 3 2" xfId="4921"/>
    <cellStyle name="Comma 2 2 44 3 2" xfId="4922"/>
    <cellStyle name="Normal 3 2 2 2 70 3 2" xfId="4923"/>
    <cellStyle name="Normal 125 3 2" xfId="4924"/>
    <cellStyle name="Normal 3 2 2 2 71 3 2" xfId="4925"/>
    <cellStyle name="Comma 98 3 2" xfId="4926"/>
    <cellStyle name="Normal 3 3 2 20 3 2" xfId="4927"/>
    <cellStyle name="Normal 126 3 2" xfId="4928"/>
    <cellStyle name="Comma 2 65 3 2" xfId="4929"/>
    <cellStyle name="Normal 3 46 3 2" xfId="4930"/>
    <cellStyle name="Comma 2 66 3 2" xfId="4931"/>
    <cellStyle name="Comma 2 2 45 3 2" xfId="4932"/>
    <cellStyle name="Normal 3 3 44 3 2" xfId="4933"/>
    <cellStyle name="Normal 3 2 2 2 72 3 2" xfId="4934"/>
    <cellStyle name="Normal 127 3 2" xfId="4935"/>
    <cellStyle name="Normal 3 2 2 2 73 3 2" xfId="4936"/>
    <cellStyle name="Comma 99 3 2" xfId="4937"/>
    <cellStyle name="Normal 128 3 2" xfId="4938"/>
    <cellStyle name="Comma 100 3 2" xfId="4939"/>
    <cellStyle name="Normal 129 3 2" xfId="4940"/>
    <cellStyle name="Normal 3 2 2 2 74 3 2" xfId="4941"/>
    <cellStyle name="Comma 101 3 2" xfId="4942"/>
    <cellStyle name="Normal 3 3 2 21 3 2" xfId="4943"/>
    <cellStyle name="Normal 130 3 2" xfId="4944"/>
    <cellStyle name="Comma 102 3 2" xfId="4945"/>
    <cellStyle name="Normal 3 47 3 2" xfId="4946"/>
    <cellStyle name="Comma 2 67 3 2" xfId="4947"/>
    <cellStyle name="Comma 2 2 46 3 2" xfId="4948"/>
    <cellStyle name="Normal 3 3 45 3 2" xfId="4949"/>
    <cellStyle name="Normal 3 2 2 2 75 3 2" xfId="4950"/>
    <cellStyle name="Normal 131 3 2" xfId="4951"/>
    <cellStyle name="Comma 2 68 3 2" xfId="4952"/>
    <cellStyle name="Normal 132 4 2" xfId="4953"/>
    <cellStyle name="Normal 3 2 2 2 76 3 2" xfId="4954"/>
    <cellStyle name="Comma 103 4 2" xfId="4955"/>
    <cellStyle name="Normal 3 3 2 22 4 2" xfId="4956"/>
    <cellStyle name="Normal 133 3 2" xfId="4957"/>
    <cellStyle name="Normal 3 2 2 2 77 3 2" xfId="4958"/>
    <cellStyle name="Comma 104 3 2" xfId="4959"/>
    <cellStyle name="Normal 3 3 2 23 3 2" xfId="4960"/>
    <cellStyle name="Comma 2 69 3 2" xfId="4961"/>
    <cellStyle name="Comma 2 2 47 3 2" xfId="4962"/>
    <cellStyle name="Normal 134 4 2" xfId="4963"/>
    <cellStyle name="Comma 2 70 3 2" xfId="4964"/>
    <cellStyle name="Normal 3 48 4 2" xfId="4965"/>
    <cellStyle name="Comma 2 71 3 2" xfId="4966"/>
    <cellStyle name="Comma 2 2 48 3 2" xfId="4967"/>
    <cellStyle name="Normal 3 3 46 3 2" xfId="4968"/>
    <cellStyle name="Normal 3 2 2 2 78 3 2" xfId="4969"/>
    <cellStyle name="Normal 3 2 2 2 79 3 2" xfId="4970"/>
    <cellStyle name="Comma 2 4 2 3 2" xfId="4971"/>
    <cellStyle name="Comma 2 2 2 2 3 2" xfId="4972"/>
    <cellStyle name="Normal 3 3 2 24 3 2" xfId="4973"/>
    <cellStyle name="Normal 135 3 2" xfId="4974"/>
    <cellStyle name="Normal 3 2 2 2 80 3 2" xfId="4975"/>
    <cellStyle name="Comma 106 3 2" xfId="4976"/>
    <cellStyle name="Normal 136 3 2" xfId="4977"/>
    <cellStyle name="Normal 132 2 3 2" xfId="4978"/>
    <cellStyle name="Normal 3 3 2 25 3 2" xfId="4979"/>
    <cellStyle name="Comma 107 3 2" xfId="4980"/>
    <cellStyle name="Normal 3 3 2 22 2 3 2" xfId="4981"/>
    <cellStyle name="Comma 103 2 3 2" xfId="4982"/>
    <cellStyle name="Normal 137 3 2" xfId="4983"/>
    <cellStyle name="Comma 2 72 3 2" xfId="4984"/>
    <cellStyle name="Normal 138 3 2" xfId="4985"/>
    <cellStyle name="Normal 3 2 2 2 81 3 2" xfId="4986"/>
    <cellStyle name="Comma 108 3 2" xfId="4987"/>
    <cellStyle name="Normal 3 3 2 26 3 2" xfId="4988"/>
    <cellStyle name="Normal 139 4 2" xfId="4989"/>
    <cellStyle name="Comma 2 73 3 2" xfId="4990"/>
    <cellStyle name="Normal 140 3 2" xfId="4991"/>
    <cellStyle name="Comma 109 3 2" xfId="4992"/>
    <cellStyle name="Normal 141 3 2" xfId="4993"/>
    <cellStyle name="Normal 3 2 2 2 82 3 2" xfId="4994"/>
    <cellStyle name="Comma 110 3 2" xfId="4995"/>
    <cellStyle name="Normal 3 3 2 27 3 2" xfId="4996"/>
    <cellStyle name="Normal 80 2 2 4 2" xfId="4997"/>
    <cellStyle name="Comma 58 2 2 4 2" xfId="4998"/>
    <cellStyle name="Emart 3 2 2 3 2" xfId="4999"/>
    <cellStyle name="Normal 3 2 2 2 83 4 2" xfId="5000"/>
    <cellStyle name="Comma 2 4 3 4 2" xfId="5001"/>
    <cellStyle name="Comma 2 2 2 3 4 2" xfId="5002"/>
    <cellStyle name="Normal 3 3 2 28 4 2" xfId="5003"/>
    <cellStyle name="Normal 3 2 2 2 83 2 3 2" xfId="5004"/>
    <cellStyle name="Comma 2 4 3 2 3 2" xfId="5005"/>
    <cellStyle name="Comma 2 2 2 3 2 3 2" xfId="5006"/>
    <cellStyle name="Normal 3 3 2 28 2 4 2" xfId="5007"/>
    <cellStyle name="Normal 139 2 3 2" xfId="5008"/>
    <cellStyle name="Normal 142 3 2" xfId="5009"/>
    <cellStyle name="Normal 3 3 2 29 3 2" xfId="5010"/>
    <cellStyle name="Normal 3 2 2 2 25 2 3 2" xfId="5011"/>
    <cellStyle name="Normal 7 2 3 2" xfId="5012"/>
    <cellStyle name="Normal 143 3 2" xfId="5013"/>
    <cellStyle name="Normal 3 2 2 2 84 3 2" xfId="5014"/>
    <cellStyle name="Comma 111 3 2" xfId="5015"/>
    <cellStyle name="Normal 3 3 2 28 2 2 3 2" xfId="5016"/>
    <cellStyle name="Normal 144 3 2" xfId="5017"/>
    <cellStyle name="Comma 112 3 2" xfId="5018"/>
    <cellStyle name="Normal 145 3 2" xfId="5019"/>
    <cellStyle name="Normal 3 2 2 2 85 3 2" xfId="5020"/>
    <cellStyle name="Comma 113 3 2" xfId="5021"/>
    <cellStyle name="Normal 146 3 2" xfId="5022"/>
    <cellStyle name="Comma 114 3 2" xfId="5023"/>
    <cellStyle name="Normal 148 4 2" xfId="5024"/>
    <cellStyle name="Comma 116 3 2" xfId="5025"/>
    <cellStyle name="Normal 3 2 2 2 87 3 2" xfId="5026"/>
    <cellStyle name="Emart 2 2 3 2" xfId="5027"/>
    <cellStyle name="Normal 149 3 2" xfId="5028"/>
    <cellStyle name="Comma 117 3 2" xfId="5029"/>
    <cellStyle name="Emart 4 3 2" xfId="5030"/>
    <cellStyle name="Normal 2 4 2 4 2" xfId="5031"/>
    <cellStyle name="Normal 150 3 2" xfId="5032"/>
    <cellStyle name="Comma 118 3 2" xfId="5033"/>
    <cellStyle name="Comma 2 74 3 2" xfId="5034"/>
    <cellStyle name="Normal 2 4 2 2 4 2" xfId="5035"/>
    <cellStyle name="Comma 121 3 2" xfId="5036"/>
    <cellStyle name="Normal 2 4 2 2 2 4 2" xfId="5037"/>
    <cellStyle name="Comma 122 3 2" xfId="5038"/>
    <cellStyle name="Normal 154 3 2" xfId="5039"/>
    <cellStyle name="Normal 155 3 2" xfId="5040"/>
    <cellStyle name="Comma 123 3 2" xfId="5041"/>
    <cellStyle name="Normal 152 2 3 3 2" xfId="5042"/>
    <cellStyle name="Normal 3 2 2 2 25 3 3 2" xfId="5043"/>
    <cellStyle name="Normal 2 4 2 2 2 2 3 2" xfId="5044"/>
    <cellStyle name="Comma 124 3 2" xfId="5045"/>
    <cellStyle name="Normal 156 3 2" xfId="5046"/>
    <cellStyle name="Comma 125 3 2" xfId="5047"/>
    <cellStyle name="Normal 152 2 2 2 2 3 2" xfId="5048"/>
    <cellStyle name="Normal 80 2 2 2 4 2" xfId="5049"/>
    <cellStyle name="Comma 58 2 2 2 4 2" xfId="5050"/>
    <cellStyle name="Normal 157 4 2" xfId="5051"/>
    <cellStyle name="Comma 126 3 2" xfId="5052"/>
    <cellStyle name="Normal 152 2 2 2 3 3 2" xfId="5053"/>
    <cellStyle name="Normal 3 48 2 3 2" xfId="5054"/>
    <cellStyle name="Normal 134 2 3 2" xfId="5055"/>
    <cellStyle name="Comma 127 3 2" xfId="5056"/>
    <cellStyle name="Comma 128 3 2" xfId="5057"/>
    <cellStyle name="Normal 158 3 2" xfId="5058"/>
    <cellStyle name="Normal 159 3 2" xfId="5059"/>
    <cellStyle name="Comma 129 3 2" xfId="5060"/>
    <cellStyle name="Normal 152 2 2 2 5 3 2" xfId="5061"/>
    <cellStyle name="Normal 160 3 2" xfId="5062"/>
    <cellStyle name="Normal 3 50 3 2" xfId="5063"/>
    <cellStyle name="Comma 2 75 3 2" xfId="5064"/>
    <cellStyle name="Comma 2 2 49 3 2" xfId="5065"/>
    <cellStyle name="Normal 3 3 47 3 2" xfId="5066"/>
    <cellStyle name="Normal 3 2 2 2 88 3 2" xfId="5067"/>
    <cellStyle name="Comma 131 3 2" xfId="5068"/>
    <cellStyle name="Comma 130 2 3 2" xfId="5069"/>
    <cellStyle name="Normal 152 2 2 2 4 2 2 3 2" xfId="5070"/>
    <cellStyle name="Normal 2 6 3 2" xfId="5071"/>
    <cellStyle name="Comma 132 4 2" xfId="5072"/>
    <cellStyle name="Normal 163 3 2" xfId="5073"/>
    <cellStyle name="Comma 133 3 2" xfId="5074"/>
    <cellStyle name="Comma 132 2 3 2" xfId="5075"/>
    <cellStyle name="Normal 164 3 2" xfId="5076"/>
    <cellStyle name="Normal 163 2 3 2" xfId="5077"/>
    <cellStyle name="Emart 7 2 2" xfId="5078"/>
    <cellStyle name="Normal 8 2 2 2" xfId="5079"/>
    <cellStyle name="Comma 4 3 2 2" xfId="5080"/>
    <cellStyle name="Normal 10 4 2 2" xfId="5081"/>
    <cellStyle name="40% - Accent3 2 2 2 2" xfId="5082"/>
    <cellStyle name="Normal 3 3 2 30 2 2" xfId="5083"/>
    <cellStyle name="Normal 3 2 2 2 89 2 2" xfId="5084"/>
    <cellStyle name="Normal 3 4 4 2 2" xfId="5085"/>
    <cellStyle name="Comma 2 4 5 2 2" xfId="5086"/>
    <cellStyle name="Comma 2 2 2 4 2 2" xfId="5087"/>
    <cellStyle name="Comma 5 2 2 2" xfId="5088"/>
    <cellStyle name="Normal 13 3 2 2" xfId="5089"/>
    <cellStyle name="Comma 6 3 2 2" xfId="5090"/>
    <cellStyle name="Normal 14 2 2 2" xfId="5091"/>
    <cellStyle name="Comma 7 2 2 2" xfId="5092"/>
    <cellStyle name="Normal 15 2 2 2" xfId="5093"/>
    <cellStyle name="Comma 9 2 2 2" xfId="5094"/>
    <cellStyle name="Normal 18 2 2 2" xfId="5095"/>
    <cellStyle name="Normal 13 2 3 2 2" xfId="5096"/>
    <cellStyle name="Comma 6 2 2 2 2" xfId="5097"/>
    <cellStyle name="Comma 10 2 2 2" xfId="5098"/>
    <cellStyle name="Normal 3 5 2 2 2" xfId="5099"/>
    <cellStyle name="Comma 2 5 2 2 2" xfId="5100"/>
    <cellStyle name="Comma 2 2 3 2 2 2" xfId="5101"/>
    <cellStyle name="Normal 3 3 3 2 2 2" xfId="5102"/>
    <cellStyle name="Normal 19 2 2 2" xfId="5103"/>
    <cellStyle name="Normal 20 2 2 2" xfId="5104"/>
    <cellStyle name="Normal 22 2 2 2" xfId="5105"/>
    <cellStyle name="Comma 12 2 2 2" xfId="5106"/>
    <cellStyle name="Normal 23 2 2 2" xfId="5107"/>
    <cellStyle name="Normal 24 2 2 2" xfId="5108"/>
    <cellStyle name="Comma 13 2 2 2" xfId="5109"/>
    <cellStyle name="Normal 3 6 2 2 2" xfId="5110"/>
    <cellStyle name="Comma 2 6 2 2 2" xfId="5111"/>
    <cellStyle name="Comma 2 2 4 2 2 2" xfId="5112"/>
    <cellStyle name="Normal 3 3 4 2 2 2" xfId="5113"/>
    <cellStyle name="Normal 3 7 2 2 2" xfId="5114"/>
    <cellStyle name="Comma 2 7 2 2 2" xfId="5115"/>
    <cellStyle name="Comma 2 2 5 2 2 2" xfId="5116"/>
    <cellStyle name="Normal 3 3 5 2 2 2" xfId="5117"/>
    <cellStyle name="Normal 25 2 2 2" xfId="5118"/>
    <cellStyle name="Comma 14 2 2 2" xfId="5119"/>
    <cellStyle name="Normal 26 2 2 2" xfId="5120"/>
    <cellStyle name="Comma 15 2 2 2" xfId="5121"/>
    <cellStyle name="Comma 16 2 2 2" xfId="5122"/>
    <cellStyle name="Normal 28 2 2 2" xfId="5123"/>
    <cellStyle name="Normal 29 2 2 2" xfId="5124"/>
    <cellStyle name="Comma 17 2 2 2" xfId="5125"/>
    <cellStyle name="Normal 30 2 2 2" xfId="5126"/>
    <cellStyle name="Comma 18 2 2 2" xfId="5127"/>
    <cellStyle name="Normal 3 8 2 2 2" xfId="5128"/>
    <cellStyle name="Comma 2 8 2 2 2" xfId="5129"/>
    <cellStyle name="Comma 2 2 6 2 2 2" xfId="5130"/>
    <cellStyle name="Normal 3 3 6 2 2 2" xfId="5131"/>
    <cellStyle name="Comma 19 2 2 2" xfId="5132"/>
    <cellStyle name="Normal 32 2 2 2" xfId="5133"/>
    <cellStyle name="Normal 33 2 2 2" xfId="5134"/>
    <cellStyle name="Comma 20 2 2 2" xfId="5135"/>
    <cellStyle name="Normal 3 9 2 2 2" xfId="5136"/>
    <cellStyle name="Comma 2 9 2 2 2" xfId="5137"/>
    <cellStyle name="Comma 2 2 7 2 2 2" xfId="5138"/>
    <cellStyle name="Normal 3 3 7 2 2 2" xfId="5139"/>
    <cellStyle name="Normal 34 2 2 2" xfId="5140"/>
    <cellStyle name="Normal 35 2 2 2" xfId="5141"/>
    <cellStyle name="Normal 3 10 2 2 2" xfId="5142"/>
    <cellStyle name="Comma 2 10 2 2 2" xfId="5143"/>
    <cellStyle name="Comma 2 2 8 2 2 2" xfId="5144"/>
    <cellStyle name="Normal 3 3 8 2 2 2" xfId="5145"/>
    <cellStyle name="Normal 3 11 2 2 2" xfId="5146"/>
    <cellStyle name="Comma 2 11 2 2 2" xfId="5147"/>
    <cellStyle name="Comma 2 2 9 2 2 2" xfId="5148"/>
    <cellStyle name="Normal 3 3 9 2 2 2" xfId="5149"/>
    <cellStyle name="Normal 36 2 2 2" xfId="5150"/>
    <cellStyle name="Comma 21 2 2 2" xfId="5151"/>
    <cellStyle name="Normal 3 12 2 2 2" xfId="5152"/>
    <cellStyle name="Comma 2 12 2 2 2" xfId="5153"/>
    <cellStyle name="Comma 2 2 10 2 2 2" xfId="5154"/>
    <cellStyle name="Normal 3 3 10 2 2 2" xfId="5155"/>
    <cellStyle name="Normal 38 2 2 2" xfId="5156"/>
    <cellStyle name="Normal 39 2 2 2" xfId="5157"/>
    <cellStyle name="Comma 22 2 2 2" xfId="5158"/>
    <cellStyle name="Normal 3 13 2 2 2" xfId="5159"/>
    <cellStyle name="Comma 2 13 2 2 2" xfId="5160"/>
    <cellStyle name="Comma 2 2 11 2 2 2" xfId="5161"/>
    <cellStyle name="Normal 3 3 11 2 2 2" xfId="5162"/>
    <cellStyle name="Normal 40 2 2 2" xfId="5163"/>
    <cellStyle name="Comma 23 2 2 2" xfId="5164"/>
    <cellStyle name="Comma 24 2 2 2" xfId="5165"/>
    <cellStyle name="Normal 41 2 2 2" xfId="5166"/>
    <cellStyle name="Normal 42 2 2 2" xfId="5167"/>
    <cellStyle name="Comma 25 2 2 2" xfId="5168"/>
    <cellStyle name="Normal 3 14 2 2 2" xfId="5169"/>
    <cellStyle name="Comma 2 14 2 2 2" xfId="5170"/>
    <cellStyle name="Comma 2 2 12 2 2 2" xfId="5171"/>
    <cellStyle name="Normal 3 3 12 2 2 2" xfId="5172"/>
    <cellStyle name="Normal 43 2 2 2" xfId="5173"/>
    <cellStyle name="Comma 26 2 2 2" xfId="5174"/>
    <cellStyle name="Normal 3 15 2 2 2" xfId="5175"/>
    <cellStyle name="Comma 2 15 2 2 2" xfId="5176"/>
    <cellStyle name="Comma 2 2 13 2 2 2" xfId="5177"/>
    <cellStyle name="Normal 3 3 13 2 2 2" xfId="5178"/>
    <cellStyle name="Normal 44 2 2 2" xfId="5179"/>
    <cellStyle name="Comma 28 2 2 2" xfId="5180"/>
    <cellStyle name="Normal 45 2 2 2" xfId="5181"/>
    <cellStyle name="Normal 3 16 2 2 2" xfId="5182"/>
    <cellStyle name="Comma 2 16 2 2 2" xfId="5183"/>
    <cellStyle name="Comma 2 2 14 2 2 2" xfId="5184"/>
    <cellStyle name="Normal 3 3 14 2 2 2" xfId="5185"/>
    <cellStyle name="Normal 46 2 2 2" xfId="5186"/>
    <cellStyle name="Comma 29 2 2 2" xfId="5187"/>
    <cellStyle name="Normal 47 2 2 2" xfId="5188"/>
    <cellStyle name="Normal 3 17 2 2 2" xfId="5189"/>
    <cellStyle name="Comma 2 17 2 2 2" xfId="5190"/>
    <cellStyle name="Comma 2 2 15 2 2 2" xfId="5191"/>
    <cellStyle name="Normal 3 3 15 2 2 2" xfId="5192"/>
    <cellStyle name="Normal 3 2 2 2 2 2 2 2" xfId="5193"/>
    <cellStyle name="Normal 48 2 2 2" xfId="5194"/>
    <cellStyle name="Normal 3 2 2 2 3 2 2 2" xfId="5195"/>
    <cellStyle name="Comma 30 2 2 2" xfId="5196"/>
    <cellStyle name="Normal 49 2 2 2" xfId="5197"/>
    <cellStyle name="Comma 31 2 2 2" xfId="5198"/>
    <cellStyle name="Normal 50 2 2 2" xfId="5199"/>
    <cellStyle name="Normal 3 2 2 2 4 2 2 2" xfId="5200"/>
    <cellStyle name="Comma 32 2 2 2" xfId="5201"/>
    <cellStyle name="Normal 3 18 2 2 2" xfId="5202"/>
    <cellStyle name="Comma 2 18 2 2 2" xfId="5203"/>
    <cellStyle name="Comma 2 2 16 2 2 2" xfId="5204"/>
    <cellStyle name="Normal 3 3 16 2 2 2" xfId="5205"/>
    <cellStyle name="Normal 3 2 2 2 5 2 2 2" xfId="5206"/>
    <cellStyle name="Normal 51 2 2 2" xfId="5207"/>
    <cellStyle name="Emart 2 3 2 2" xfId="5208"/>
    <cellStyle name="Normal 13 2 2 2 2 2" xfId="5209"/>
    <cellStyle name="Normal 3 4 2 2 2 2" xfId="5210"/>
    <cellStyle name="Normal 3 2 2 2 6 2 2 2" xfId="5211"/>
    <cellStyle name="Comma 33 2 2 2" xfId="5212"/>
    <cellStyle name="Normal 52 2 2 2" xfId="5213"/>
    <cellStyle name="Normal 53 2 2 2" xfId="5214"/>
    <cellStyle name="Normal 3 19 2 2 2" xfId="5215"/>
    <cellStyle name="Comma 2 19 2 2 2" xfId="5216"/>
    <cellStyle name="Comma 2 2 17 2 2 2" xfId="5217"/>
    <cellStyle name="Normal 3 3 17 2 2 2" xfId="5218"/>
    <cellStyle name="Normal 3 2 2 2 7 2 2 2" xfId="5219"/>
    <cellStyle name="Normal 54 2 2 2" xfId="5220"/>
    <cellStyle name="Normal 55 2 2 2" xfId="5221"/>
    <cellStyle name="Normal 3 2 2 2 8 2 2 2" xfId="5222"/>
    <cellStyle name="Comma 34 2 2 2" xfId="5223"/>
    <cellStyle name="Normal 56 2 2 2" xfId="5224"/>
    <cellStyle name="Comma 35 2 2 2" xfId="5225"/>
    <cellStyle name="Normal 57 2 2 2" xfId="5226"/>
    <cellStyle name="Normal 3 2 2 2 9 2 2 2" xfId="5227"/>
    <cellStyle name="Comma 36 2 2 2" xfId="5228"/>
    <cellStyle name="Normal 3 20 2 2 2" xfId="5229"/>
    <cellStyle name="Comma 2 20 2 2 2" xfId="5230"/>
    <cellStyle name="Comma 2 2 18 2 2 2" xfId="5231"/>
    <cellStyle name="Normal 3 3 18 2 2 2" xfId="5232"/>
    <cellStyle name="Normal 3 2 2 2 10 2 2 2" xfId="5233"/>
    <cellStyle name="Normal 58 2 2 2" xfId="5234"/>
    <cellStyle name="Normal 59 2 2 2" xfId="5235"/>
    <cellStyle name="Normal 3 2 2 2 11 2 2 2" xfId="5236"/>
    <cellStyle name="Comma 37 2 2 2" xfId="5237"/>
    <cellStyle name="Normal 60 2 2 2" xfId="5238"/>
    <cellStyle name="Comma 38 2 2 2" xfId="5239"/>
    <cellStyle name="Normal 61 2 2 2" xfId="5240"/>
    <cellStyle name="Normal 3 2 2 2 12 2 2 2" xfId="5241"/>
    <cellStyle name="Comma 39 2 2 2" xfId="5242"/>
    <cellStyle name="Normal 3 21 2 2 2" xfId="5243"/>
    <cellStyle name="Comma 2 21 2 2 2" xfId="5244"/>
    <cellStyle name="Comma 2 2 19 2 2 2" xfId="5245"/>
    <cellStyle name="Normal 3 3 19 2 2 2" xfId="5246"/>
    <cellStyle name="Normal 3 2 2 2 13 2 2 2" xfId="5247"/>
    <cellStyle name="Normal 62 2 2 2" xfId="5248"/>
    <cellStyle name="Comma 40 2 2 2" xfId="5249"/>
    <cellStyle name="Normal 63 2 2 2" xfId="5250"/>
    <cellStyle name="Normal 3 2 2 2 14 2 2 2" xfId="5251"/>
    <cellStyle name="Comma 41 2 2 2" xfId="5252"/>
    <cellStyle name="Normal 64 2 2 2" xfId="5253"/>
    <cellStyle name="Normal 3 22 2 2 2" xfId="5254"/>
    <cellStyle name="Comma 2 22 2 2 2" xfId="5255"/>
    <cellStyle name="Comma 2 2 20 2 2 2" xfId="5256"/>
    <cellStyle name="Normal 3 3 20 2 2 2" xfId="5257"/>
    <cellStyle name="Normal 3 2 2 2 15 2 2 2" xfId="5258"/>
    <cellStyle name="Normal 65 2 2 2" xfId="5259"/>
    <cellStyle name="Comma 42 2 2 2" xfId="5260"/>
    <cellStyle name="Normal 66 2 2 2" xfId="5261"/>
    <cellStyle name="Normal 3 2 2 2 16 2 2 2" xfId="5262"/>
    <cellStyle name="Comma 43 2 2 2" xfId="5263"/>
    <cellStyle name="Normal 67 2 2 2" xfId="5264"/>
    <cellStyle name="Normal 3 2 2 2 17 2 2 2" xfId="5265"/>
    <cellStyle name="Comma 44 2 2 2" xfId="5266"/>
    <cellStyle name="Normal 3 23 2 2 2" xfId="5267"/>
    <cellStyle name="Comma 2 23 2 2 2" xfId="5268"/>
    <cellStyle name="Comma 2 2 21 2 2 2" xfId="5269"/>
    <cellStyle name="Normal 3 3 21 2 2 2" xfId="5270"/>
    <cellStyle name="Normal 3 2 2 2 18 2 2 2" xfId="5271"/>
    <cellStyle name="Comma 45 2 2 2" xfId="5272"/>
    <cellStyle name="Normal 68 2 2 2" xfId="5273"/>
    <cellStyle name="Normal 69 2 2 2" xfId="5274"/>
    <cellStyle name="Normal 3 2 2 2 19 2 2 2" xfId="5275"/>
    <cellStyle name="Comma 46 2 2 2" xfId="5276"/>
    <cellStyle name="Normal 70 2 2 2" xfId="5277"/>
    <cellStyle name="Comma 47 2 2 2" xfId="5278"/>
    <cellStyle name="Normal 3 24 2 2 2" xfId="5279"/>
    <cellStyle name="Comma 2 24 2 2 2" xfId="5280"/>
    <cellStyle name="Comma 2 2 22 2 2 2" xfId="5281"/>
    <cellStyle name="Normal 3 3 22 2 2 2" xfId="5282"/>
    <cellStyle name="Normal 3 2 2 2 20 2 2 2" xfId="5283"/>
    <cellStyle name="Normal 71 2 2 2" xfId="5284"/>
    <cellStyle name="Comma 48 2 2 2" xfId="5285"/>
    <cellStyle name="Normal 72 2 2 2" xfId="5286"/>
    <cellStyle name="Normal 3 2 2 2 21 2 2 2" xfId="5287"/>
    <cellStyle name="Comma 49 2 2 2" xfId="5288"/>
    <cellStyle name="Normal 3 25 2 2 2" xfId="5289"/>
    <cellStyle name="Comma 2 25 2 2 2" xfId="5290"/>
    <cellStyle name="Comma 2 2 23 2 2 2" xfId="5291"/>
    <cellStyle name="Normal 3 3 23 2 2 2" xfId="5292"/>
    <cellStyle name="Normal 3 2 2 2 22 2 2 2" xfId="5293"/>
    <cellStyle name="Comma 50 2 2 2" xfId="5294"/>
    <cellStyle name="Normal 73 2 2 2" xfId="5295"/>
    <cellStyle name="Comma 51 2 2 2" xfId="5296"/>
    <cellStyle name="Normal 74 2 2 2" xfId="5297"/>
    <cellStyle name="Normal 3 2 2 2 23 2 2 2" xfId="5298"/>
    <cellStyle name="Comma 52 2 2 2" xfId="5299"/>
    <cellStyle name="Normal 75 2 2 2" xfId="5300"/>
    <cellStyle name="Normal 3 2 2 2 24 2 2 2" xfId="5301"/>
    <cellStyle name="Comma 53 2 2 2" xfId="5302"/>
    <cellStyle name="Normal 76 2 2 2" xfId="5303"/>
    <cellStyle name="Comma 54 2 2 2" xfId="5304"/>
    <cellStyle name="Normal 3 26 2 2 2" xfId="5305"/>
    <cellStyle name="Comma 2 26 2 2 2" xfId="5306"/>
    <cellStyle name="Comma 2 2 24 2 2 2" xfId="5307"/>
    <cellStyle name="Normal 3 3 24 2 2 2" xfId="5308"/>
    <cellStyle name="Normal 3 2 2 2 25 4 2 2" xfId="5309"/>
    <cellStyle name="Normal 77 2 2 2" xfId="5310"/>
    <cellStyle name="Normal 3 2 2 2 26 2 2 2" xfId="5311"/>
    <cellStyle name="Comma 55 2 2 2" xfId="5312"/>
    <cellStyle name="Normal 78 2 2 2" xfId="5313"/>
    <cellStyle name="Comma 56 2 2 2" xfId="5314"/>
    <cellStyle name="Normal 79 2 2 2" xfId="5315"/>
    <cellStyle name="Normal 3 2 2 2 27 2 2 2" xfId="5316"/>
    <cellStyle name="Comma 57 2 2 2" xfId="5317"/>
    <cellStyle name="Normal 80 3 2 2" xfId="5318"/>
    <cellStyle name="Comma 58 3 2 2" xfId="5319"/>
    <cellStyle name="Normal 3 27 2 2 2" xfId="5320"/>
    <cellStyle name="Comma 2 27 2 2 2" xfId="5321"/>
    <cellStyle name="Comma 2 2 25 2 2 2" xfId="5322"/>
    <cellStyle name="Normal 3 3 25 2 2 2" xfId="5323"/>
    <cellStyle name="Normal 3 2 2 2 28 2 2 2" xfId="5324"/>
    <cellStyle name="Comma 59 2 2 2" xfId="5325"/>
    <cellStyle name="Normal 81 2 2 2" xfId="5326"/>
    <cellStyle name="Normal 3 2 2 2 29 2 2 2" xfId="5327"/>
    <cellStyle name="Normal 3 3 2 2 2 2 2" xfId="5328"/>
    <cellStyle name="Comma 60 2 2 2" xfId="5329"/>
    <cellStyle name="Normal 3 28 2 2 2" xfId="5330"/>
    <cellStyle name="Comma 2 28 2 2 2" xfId="5331"/>
    <cellStyle name="Comma 2 2 26 2 2 2" xfId="5332"/>
    <cellStyle name="Normal 3 3 26 2 2 2" xfId="5333"/>
    <cellStyle name="Normal 3 2 2 2 30 2 2 2" xfId="5334"/>
    <cellStyle name="Normal 82 2 2 2" xfId="5335"/>
    <cellStyle name="Comma 61 2 2 2" xfId="5336"/>
    <cellStyle name="Normal 83 2 2 2" xfId="5337"/>
    <cellStyle name="Comma 62 2 2 2" xfId="5338"/>
    <cellStyle name="Normal 84 2 2 2" xfId="5339"/>
    <cellStyle name="Normal 3 2 2 2 31 2 2 2" xfId="5340"/>
    <cellStyle name="Normal 3 3 2 3 2 2 2" xfId="5341"/>
    <cellStyle name="Comma 63 2 2 2" xfId="5342"/>
    <cellStyle name="Normal 85 2 2 2" xfId="5343"/>
    <cellStyle name="Comma 2 29 2 2 2" xfId="5344"/>
    <cellStyle name="Normal 3 29 2 2 2" xfId="5345"/>
    <cellStyle name="Comma 2 30 2 2 2" xfId="5346"/>
    <cellStyle name="Comma 2 2 27 2 2 2" xfId="5347"/>
    <cellStyle name="Normal 3 3 27 2 2 2" xfId="5348"/>
    <cellStyle name="Normal 3 2 2 2 32 2 2 2" xfId="5349"/>
    <cellStyle name="Normal 86 2 2 2" xfId="5350"/>
    <cellStyle name="Normal 3 2 2 2 33 2 2 2" xfId="5351"/>
    <cellStyle name="Comma 64 2 2 2" xfId="5352"/>
    <cellStyle name="Normal 87 2 2 2" xfId="5353"/>
    <cellStyle name="Normal 3 2 2 2 34 2 2 2" xfId="5354"/>
    <cellStyle name="Normal 3 3 2 4 2 2 2" xfId="5355"/>
    <cellStyle name="Comma 65 2 2 2" xfId="5356"/>
    <cellStyle name="Normal 88 2 2 2" xfId="5357"/>
    <cellStyle name="Normal 3 2 2 2 35 2 2 2" xfId="5358"/>
    <cellStyle name="Comma 66 2 2 2" xfId="5359"/>
    <cellStyle name="Normal 89 2 2 2" xfId="5360"/>
    <cellStyle name="Comma 2 31 2 2 2" xfId="5361"/>
    <cellStyle name="Normal 3 30 2 2 2" xfId="5362"/>
    <cellStyle name="Comma 2 32 2 2 2" xfId="5363"/>
    <cellStyle name="Comma 2 2 28 2 2 2" xfId="5364"/>
    <cellStyle name="Normal 3 3 28 2 2 2" xfId="5365"/>
    <cellStyle name="Normal 3 2 2 2 36 2 2 2" xfId="5366"/>
    <cellStyle name="Normal 90 2 2 2" xfId="5367"/>
    <cellStyle name="Comma 67 2 2 2" xfId="5368"/>
    <cellStyle name="Normal 91 2 2 2" xfId="5369"/>
    <cellStyle name="Normal 3 2 2 2 37 2 2 2" xfId="5370"/>
    <cellStyle name="Comma 68 2 2 2" xfId="5371"/>
    <cellStyle name="Normal 3 3 2 5 2 2 2" xfId="5372"/>
    <cellStyle name="Normal 3 31 2 2 2" xfId="5373"/>
    <cellStyle name="Comma 2 33 2 2 2" xfId="5374"/>
    <cellStyle name="Comma 2 2 29 2 2 2" xfId="5375"/>
    <cellStyle name="Normal 3 3 29 2 2 2" xfId="5376"/>
    <cellStyle name="Normal 3 2 2 2 38 2 2 2" xfId="5377"/>
    <cellStyle name="Comma 2 34 2 2 2" xfId="5378"/>
    <cellStyle name="Normal 92 2 2 2" xfId="5379"/>
    <cellStyle name="Comma 69 2 2 2" xfId="5380"/>
    <cellStyle name="Normal 93 2 2 2" xfId="5381"/>
    <cellStyle name="Normal 3 2 2 2 39 2 2 2" xfId="5382"/>
    <cellStyle name="Normal 3 3 2 6 2 2 2" xfId="5383"/>
    <cellStyle name="Comma 70 2 2 2" xfId="5384"/>
    <cellStyle name="Normal 94 2 2 2" xfId="5385"/>
    <cellStyle name="Comma 2 35 2 2 2" xfId="5386"/>
    <cellStyle name="Normal 95 2 2 2" xfId="5387"/>
    <cellStyle name="Comma 71 2 2 2" xfId="5388"/>
    <cellStyle name="Normal 3 32 2 2 2" xfId="5389"/>
    <cellStyle name="Comma 2 36 2 2 2" xfId="5390"/>
    <cellStyle name="Comma 2 2 30 2 2 2" xfId="5391"/>
    <cellStyle name="Normal 3 3 30 2 2 2" xfId="5392"/>
    <cellStyle name="Normal 3 2 2 2 40 2 2 2" xfId="5393"/>
    <cellStyle name="Normal 96 2 2 2" xfId="5394"/>
    <cellStyle name="Normal 3 2 2 2 41 2 2 2" xfId="5395"/>
    <cellStyle name="Comma 72 2 2 2" xfId="5396"/>
    <cellStyle name="Normal 3 3 2 7 2 2 2" xfId="5397"/>
    <cellStyle name="Normal 97 2 2 2" xfId="5398"/>
    <cellStyle name="Comma 2 37 2 2 2" xfId="5399"/>
    <cellStyle name="Comma 73 2 2 2" xfId="5400"/>
    <cellStyle name="Normal 3 33 2 2 2" xfId="5401"/>
    <cellStyle name="Comma 2 38 2 2 2" xfId="5402"/>
    <cellStyle name="Comma 2 2 31 2 2 2" xfId="5403"/>
    <cellStyle name="Normal 3 3 31 2 2 2" xfId="5404"/>
    <cellStyle name="Normal 3 2 2 2 42 2 2 2" xfId="5405"/>
    <cellStyle name="Normal 98 2 2 2" xfId="5406"/>
    <cellStyle name="Normal 3 2 2 2 43 2 2 2" xfId="5407"/>
    <cellStyle name="Comma 74 2 2 2" xfId="5408"/>
    <cellStyle name="Normal 3 3 2 8 2 2 2" xfId="5409"/>
    <cellStyle name="Normal 3 34 2 2 2" xfId="5410"/>
    <cellStyle name="Comma 2 39 2 2 2" xfId="5411"/>
    <cellStyle name="Comma 2 2 32 2 2 2" xfId="5412"/>
    <cellStyle name="Normal 3 3 32 2 2 2" xfId="5413"/>
    <cellStyle name="Normal 3 2 2 2 44 2 2 2" xfId="5414"/>
    <cellStyle name="Normal 99 2 2 2" xfId="5415"/>
    <cellStyle name="Comma 75 2 2 2" xfId="5416"/>
    <cellStyle name="Normal 100 2 2 2" xfId="5417"/>
    <cellStyle name="Normal 3 2 2 2 45 2 2 2" xfId="5418"/>
    <cellStyle name="Comma 76 2 2 2" xfId="5419"/>
    <cellStyle name="Normal 3 3 2 9 2 2 2" xfId="5420"/>
    <cellStyle name="Comma 2 40 2 2 2" xfId="5421"/>
    <cellStyle name="Normal 101 2 2 2" xfId="5422"/>
    <cellStyle name="Normal 3 2 2 2 46 2 2 2" xfId="5423"/>
    <cellStyle name="Comma 77 2 2 2" xfId="5424"/>
    <cellStyle name="Normal 102 2 2 2" xfId="5425"/>
    <cellStyle name="Comma 78 2 2 2" xfId="5426"/>
    <cellStyle name="Comma 2 41 2 2 2" xfId="5427"/>
    <cellStyle name="Normal 3 35 2 2 2" xfId="5428"/>
    <cellStyle name="Comma 2 42 2 2 2" xfId="5429"/>
    <cellStyle name="Comma 2 2 33 2 2 2" xfId="5430"/>
    <cellStyle name="Normal 3 3 33 2 2 2" xfId="5431"/>
    <cellStyle name="Normal 3 2 2 2 47 2 2 2" xfId="5432"/>
    <cellStyle name="Normal 103 2 2 2" xfId="5433"/>
    <cellStyle name="Normal 3 2 2 2 48 2 2 2" xfId="5434"/>
    <cellStyle name="Comma 79 2 2 2" xfId="5435"/>
    <cellStyle name="Normal 3 3 2 10 2 2 2" xfId="5436"/>
    <cellStyle name="Normal 3 36 2 2 2" xfId="5437"/>
    <cellStyle name="Comma 2 43 2 2 2" xfId="5438"/>
    <cellStyle name="Comma 2 2 34 2 2 2" xfId="5439"/>
    <cellStyle name="Normal 3 3 34 2 2 2" xfId="5440"/>
    <cellStyle name="Normal 3 2 2 2 49 2 2 2" xfId="5441"/>
    <cellStyle name="Comma 2 44 2 2 2" xfId="5442"/>
    <cellStyle name="Normal 104 2 2 2" xfId="5443"/>
    <cellStyle name="Comma 80 2 2 2" xfId="5444"/>
    <cellStyle name="Normal 105 2 2 2" xfId="5445"/>
    <cellStyle name="Normal 3 2 2 2 50 2 2 2" xfId="5446"/>
    <cellStyle name="Comma 81 2 2 2" xfId="5447"/>
    <cellStyle name="Normal 3 3 2 11 2 2 2" xfId="5448"/>
    <cellStyle name="Normal 106 2 2 2" xfId="5449"/>
    <cellStyle name="Comma 82 2 2 2" xfId="5450"/>
    <cellStyle name="Normal 3 37 2 2 2" xfId="5451"/>
    <cellStyle name="Comma 2 45 2 2 2" xfId="5452"/>
    <cellStyle name="Comma 2 2 35 2 2 2" xfId="5453"/>
    <cellStyle name="Normal 3 3 35 2 2 2" xfId="5454"/>
    <cellStyle name="Normal 3 2 2 2 51 2 2 2" xfId="5455"/>
    <cellStyle name="Comma 2 46 2 2 2" xfId="5456"/>
    <cellStyle name="Normal 3 3 2 12 2 2 2" xfId="5457"/>
    <cellStyle name="Normal 3 38 2 2 2" xfId="5458"/>
    <cellStyle name="Comma 2 47 2 2 2" xfId="5459"/>
    <cellStyle name="Comma 2 2 36 2 2 2" xfId="5460"/>
    <cellStyle name="Normal 3 3 36 2 2 2" xfId="5461"/>
    <cellStyle name="Normal 3 2 2 2 52 2 2 2" xfId="5462"/>
    <cellStyle name="Comma 2 48 2 2 2" xfId="5463"/>
    <cellStyle name="Normal 107 2 2 2" xfId="5464"/>
    <cellStyle name="Comma 2 49 2 2 2" xfId="5465"/>
    <cellStyle name="Comma 83 2 2 2" xfId="5466"/>
    <cellStyle name="Normal 108 2 2 2" xfId="5467"/>
    <cellStyle name="Normal 3 2 2 2 53 2 2 2" xfId="5468"/>
    <cellStyle name="Comma 84 2 2 2" xfId="5469"/>
    <cellStyle name="Normal 109 2 2 2" xfId="5470"/>
    <cellStyle name="Normal 3 2 2 2 54 2 2 2" xfId="5471"/>
    <cellStyle name="Comma 85 2 2 2" xfId="5472"/>
    <cellStyle name="Normal 3 3 2 13 2 2 2" xfId="5473"/>
    <cellStyle name="Normal 80 2 3 2 2" xfId="5474"/>
    <cellStyle name="Comma 58 2 3 2 2" xfId="5475"/>
    <cellStyle name="Normal 3 39 2 2 2" xfId="5476"/>
    <cellStyle name="Comma 2 50 2 2 2" xfId="5477"/>
    <cellStyle name="Comma 2 2 37 2 2 2" xfId="5478"/>
    <cellStyle name="Normal 3 3 37 2 2 2" xfId="5479"/>
    <cellStyle name="Normal 3 2 2 2 55 2 2 2" xfId="5480"/>
    <cellStyle name="Normal 110 2 2 2" xfId="5481"/>
    <cellStyle name="Comma 2 51 2 2 2" xfId="5482"/>
    <cellStyle name="Normal 111 2 2 2" xfId="5483"/>
    <cellStyle name="Normal 3 2 2 2 56 2 2 2" xfId="5484"/>
    <cellStyle name="Comma 86 2 2 2" xfId="5485"/>
    <cellStyle name="Comma 87 2 2 2" xfId="5486"/>
    <cellStyle name="Normal 112 2 2 2" xfId="5487"/>
    <cellStyle name="Normal 3 2 2 2 57 2 2 2" xfId="5488"/>
    <cellStyle name="Comma 88 2 2 2" xfId="5489"/>
    <cellStyle name="Normal 3 3 2 14 2 2 2" xfId="5490"/>
    <cellStyle name="Normal 3 40 2 2 2" xfId="5491"/>
    <cellStyle name="Comma 2 52 2 2 2" xfId="5492"/>
    <cellStyle name="Comma 2 2 38 2 2 2" xfId="5493"/>
    <cellStyle name="Normal 3 3 38 2 2 2" xfId="5494"/>
    <cellStyle name="Normal 3 2 2 2 58 2 2 2" xfId="5495"/>
    <cellStyle name="Normal 113 2 2 2" xfId="5496"/>
    <cellStyle name="Normal 3 2 2 2 59 2 2 2" xfId="5497"/>
    <cellStyle name="Comma 89 2 2 2" xfId="5498"/>
    <cellStyle name="Normal 114 2 2 2" xfId="5499"/>
    <cellStyle name="Comma 2 53 2 2 2" xfId="5500"/>
    <cellStyle name="Comma 90 2 2 2" xfId="5501"/>
    <cellStyle name="Normal 115 2 2 2" xfId="5502"/>
    <cellStyle name="Normal 3 2 2 2 60 2 2 2" xfId="5503"/>
    <cellStyle name="Comma 91 2 2 2" xfId="5504"/>
    <cellStyle name="Normal 3 3 2 15 2 2 2" xfId="5505"/>
    <cellStyle name="Normal 116 2 2 2" xfId="5506"/>
    <cellStyle name="Comma 2 54 2 2 2" xfId="5507"/>
    <cellStyle name="Normal 3 41 2 2 2" xfId="5508"/>
    <cellStyle name="Comma 2 55 2 2 2" xfId="5509"/>
    <cellStyle name="Comma 2 2 39 2 2 2" xfId="5510"/>
    <cellStyle name="Normal 3 3 39 2 2 2" xfId="5511"/>
    <cellStyle name="Normal 3 2 2 2 61 2 2 2" xfId="5512"/>
    <cellStyle name="Normal 117 2 2 2" xfId="5513"/>
    <cellStyle name="Comma 92 2 2 2" xfId="5514"/>
    <cellStyle name="Normal 118 2 2 2" xfId="5515"/>
    <cellStyle name="Normal 3 2 2 2 62 2 2 2" xfId="5516"/>
    <cellStyle name="Comma 93 2 2 2" xfId="5517"/>
    <cellStyle name="Normal 3 3 2 16 2 2 2" xfId="5518"/>
    <cellStyle name="Normal 3 42 2 2 2" xfId="5519"/>
    <cellStyle name="Comma 2 56 2 2 2" xfId="5520"/>
    <cellStyle name="Comma 2 2 40 2 2 2" xfId="5521"/>
    <cellStyle name="Normal 3 3 40 2 2 2" xfId="5522"/>
    <cellStyle name="Normal 3 2 2 2 63 2 2 2" xfId="5523"/>
    <cellStyle name="Normal 119 2 2 2" xfId="5524"/>
    <cellStyle name="Comma 2 57 2 2 2" xfId="5525"/>
    <cellStyle name="Normal 120 2 2 2" xfId="5526"/>
    <cellStyle name="Normal 3 2 2 2 64 2 2 2" xfId="5527"/>
    <cellStyle name="Comma 94 2 2 2" xfId="5528"/>
    <cellStyle name="Normal 3 3 2 17 2 2 2" xfId="5529"/>
    <cellStyle name="Normal 3 43 2 2 2" xfId="5530"/>
    <cellStyle name="Comma 2 58 2 2 2" xfId="5531"/>
    <cellStyle name="Comma 2 2 41 2 2 2" xfId="5532"/>
    <cellStyle name="Normal 3 3 41 2 2 2" xfId="5533"/>
    <cellStyle name="Normal 3 2 2 2 65 2 2 2" xfId="5534"/>
    <cellStyle name="Comma 2 59 2 2 2" xfId="5535"/>
    <cellStyle name="Normal 121 2 2 2" xfId="5536"/>
    <cellStyle name="Comma 95 2 2 2" xfId="5537"/>
    <cellStyle name="Normal 122 2 2 2" xfId="5538"/>
    <cellStyle name="Normal 3 2 2 2 66 2 2 2" xfId="5539"/>
    <cellStyle name="Comma 96 2 2 2" xfId="5540"/>
    <cellStyle name="Normal 3 3 2 18 2 2 2" xfId="5541"/>
    <cellStyle name="Normal 3 44 2 2 2" xfId="5542"/>
    <cellStyle name="Comma 2 60 2 2 2" xfId="5543"/>
    <cellStyle name="Comma 2 2 42 2 2 2" xfId="5544"/>
    <cellStyle name="Normal 3 3 42 2 2 2" xfId="5545"/>
    <cellStyle name="Normal 3 2 2 2 67 2 2 2" xfId="5546"/>
    <cellStyle name="Normal 123 2 2 2" xfId="5547"/>
    <cellStyle name="Comma 2 61 2 2 2" xfId="5548"/>
    <cellStyle name="Normal 124 3 2 2" xfId="5549"/>
    <cellStyle name="Normal 3 2 2 2 68 2 2 2" xfId="5550"/>
    <cellStyle name="Comma 97 3 2 2" xfId="5551"/>
    <cellStyle name="Normal 3 3 2 19 3 2 2" xfId="5552"/>
    <cellStyle name="Normal 3 45 2 2 2" xfId="5553"/>
    <cellStyle name="Comma 2 62 2 2 2" xfId="5554"/>
    <cellStyle name="Comma 2 2 43 2 2 2" xfId="5555"/>
    <cellStyle name="Normal 3 3 43 2 2 2" xfId="5556"/>
    <cellStyle name="Normal 3 2 2 2 69 2 2 2" xfId="5557"/>
    <cellStyle name="Comma 2 63 2 2 2" xfId="5558"/>
    <cellStyle name="Normal 124 2 2 2 2" xfId="5559"/>
    <cellStyle name="Normal 3 3 2 19 2 2 2 2" xfId="5560"/>
    <cellStyle name="Comma 97 2 2 2 2" xfId="5561"/>
    <cellStyle name="Comma 2 64 2 2 2" xfId="5562"/>
    <cellStyle name="Comma 2 2 44 2 2 2" xfId="5563"/>
    <cellStyle name="Normal 3 2 2 2 70 2 2 2" xfId="5564"/>
    <cellStyle name="Normal 125 2 2 2" xfId="5565"/>
    <cellStyle name="Normal 3 2 2 2 71 2 2 2" xfId="5566"/>
    <cellStyle name="Comma 98 2 2 2" xfId="5567"/>
    <cellStyle name="Normal 3 3 2 20 2 2 2" xfId="5568"/>
    <cellStyle name="Normal 126 2 2 2" xfId="5569"/>
    <cellStyle name="Comma 2 65 2 2 2" xfId="5570"/>
    <cellStyle name="Normal 3 46 2 2 2" xfId="5571"/>
    <cellStyle name="Comma 2 66 2 2 2" xfId="5572"/>
    <cellStyle name="Comma 2 2 45 2 2 2" xfId="5573"/>
    <cellStyle name="Normal 3 3 44 2 2 2" xfId="5574"/>
    <cellStyle name="Normal 3 2 2 2 72 2 2 2" xfId="5575"/>
    <cellStyle name="Normal 127 2 2 2" xfId="5576"/>
    <cellStyle name="Normal 3 2 2 2 73 2 2 2" xfId="5577"/>
    <cellStyle name="Comma 99 2 2 2" xfId="5578"/>
    <cellStyle name="Normal 128 2 2 2" xfId="5579"/>
    <cellStyle name="Comma 100 2 2 2" xfId="5580"/>
    <cellStyle name="Normal 129 2 2 2" xfId="5581"/>
    <cellStyle name="Normal 3 2 2 2 74 2 2 2" xfId="5582"/>
    <cellStyle name="Comma 101 2 2 2" xfId="5583"/>
    <cellStyle name="Normal 3 3 2 21 2 2 2" xfId="5584"/>
    <cellStyle name="Normal 130 2 2 2" xfId="5585"/>
    <cellStyle name="Comma 102 2 2 2" xfId="5586"/>
    <cellStyle name="Normal 3 47 2 2 2" xfId="5587"/>
    <cellStyle name="Comma 2 67 2 2 2" xfId="5588"/>
    <cellStyle name="Comma 2 2 46 2 2 2" xfId="5589"/>
    <cellStyle name="Normal 3 3 45 2 2 2" xfId="5590"/>
    <cellStyle name="Normal 3 2 2 2 75 2 2 2" xfId="5591"/>
    <cellStyle name="Normal 131 2 2 2" xfId="5592"/>
    <cellStyle name="Comma 2 68 2 2 2" xfId="5593"/>
    <cellStyle name="Normal 132 3 2 2" xfId="5594"/>
    <cellStyle name="Normal 3 2 2 2 76 2 2 2" xfId="5595"/>
    <cellStyle name="Comma 103 3 2 2" xfId="5596"/>
    <cellStyle name="Normal 3 3 2 22 3 2 2" xfId="5597"/>
    <cellStyle name="Normal 133 2 2 2" xfId="5598"/>
    <cellStyle name="Normal 3 2 2 2 77 2 2 2" xfId="5599"/>
    <cellStyle name="Comma 104 2 2 2" xfId="5600"/>
    <cellStyle name="Normal 3 3 2 23 2 2 2" xfId="5601"/>
    <cellStyle name="Comma 2 69 2 2 2" xfId="5602"/>
    <cellStyle name="Comma 2 2 47 2 2 2" xfId="5603"/>
    <cellStyle name="Normal 134 3 2 2" xfId="5604"/>
    <cellStyle name="Comma 2 70 2 2 2" xfId="5605"/>
    <cellStyle name="Normal 3 48 3 2 2" xfId="5606"/>
    <cellStyle name="Comma 2 71 2 2 2" xfId="5607"/>
    <cellStyle name="Comma 2 2 48 2 2 2" xfId="5608"/>
    <cellStyle name="Normal 3 3 46 2 2 2" xfId="5609"/>
    <cellStyle name="Normal 3 2 2 2 78 2 2 2" xfId="5610"/>
    <cellStyle name="Normal 3 2 2 2 79 2 2 2" xfId="5611"/>
    <cellStyle name="Comma 2 4 2 2 2 2" xfId="5612"/>
    <cellStyle name="Comma 2 2 2 2 2 2 2" xfId="5613"/>
    <cellStyle name="Normal 3 3 2 24 2 2 2" xfId="5614"/>
    <cellStyle name="Normal 135 2 2 2" xfId="5615"/>
    <cellStyle name="Normal 3 2 2 2 80 2 2 2" xfId="5616"/>
    <cellStyle name="Comma 106 2 2 2" xfId="5617"/>
    <cellStyle name="Normal 136 2 2 2" xfId="5618"/>
    <cellStyle name="Normal 132 2 2 2 2" xfId="5619"/>
    <cellStyle name="Normal 3 3 2 25 2 2 2" xfId="5620"/>
    <cellStyle name="Comma 107 2 2 2" xfId="5621"/>
    <cellStyle name="Normal 3 3 2 22 2 2 2 2" xfId="5622"/>
    <cellStyle name="Comma 103 2 2 2 2" xfId="5623"/>
    <cellStyle name="Normal 137 2 2 2" xfId="5624"/>
    <cellStyle name="Comma 2 72 2 2 2" xfId="5625"/>
    <cellStyle name="Normal 138 2 2 2" xfId="5626"/>
    <cellStyle name="Normal 3 2 2 2 81 2 2 2" xfId="5627"/>
    <cellStyle name="Comma 108 2 2 2" xfId="5628"/>
    <cellStyle name="Normal 3 3 2 26 2 2 2" xfId="5629"/>
    <cellStyle name="Normal 139 3 2 2" xfId="5630"/>
    <cellStyle name="Comma 2 73 2 2 2" xfId="5631"/>
    <cellStyle name="Normal 140 2 2 2" xfId="5632"/>
    <cellStyle name="Comma 109 2 2 2" xfId="5633"/>
    <cellStyle name="Normal 141 2 2 2" xfId="5634"/>
    <cellStyle name="Normal 3 2 2 2 82 2 2 2" xfId="5635"/>
    <cellStyle name="Comma 110 2 2 2" xfId="5636"/>
    <cellStyle name="Normal 3 3 2 27 2 2 2" xfId="5637"/>
    <cellStyle name="Normal 80 2 2 3 2 2" xfId="5638"/>
    <cellStyle name="Comma 58 2 2 3 2 2" xfId="5639"/>
    <cellStyle name="Normal 3 2 2 2 83 3 2 2" xfId="5640"/>
    <cellStyle name="Comma 2 4 3 3 2 2" xfId="5641"/>
    <cellStyle name="Comma 2 2 2 3 3 2 2" xfId="5642"/>
    <cellStyle name="Normal 3 3 2 28 3 2 2" xfId="5643"/>
    <cellStyle name="Normal 3 2 2 2 83 2 2 2 2" xfId="5644"/>
    <cellStyle name="Comma 2 4 3 2 2 2 2" xfId="5645"/>
    <cellStyle name="Comma 2 2 2 3 2 2 2 2" xfId="5646"/>
    <cellStyle name="Normal 3 3 2 28 2 3 2 2" xfId="5647"/>
    <cellStyle name="Normal 139 2 2 2 2" xfId="5648"/>
    <cellStyle name="Normal 142 2 2 2" xfId="5649"/>
    <cellStyle name="Normal 3 3 2 29 2 2 2" xfId="5650"/>
    <cellStyle name="Normal 3 2 2 2 25 2 2 2 2" xfId="5651"/>
    <cellStyle name="Normal 7 2 2 2 2" xfId="5652"/>
    <cellStyle name="Normal 143 2 2 2" xfId="5653"/>
    <cellStyle name="Normal 3 2 2 2 84 2 2 2" xfId="5654"/>
    <cellStyle name="Comma 111 2 2 2" xfId="5655"/>
    <cellStyle name="Normal 3 3 2 28 2 2 2 2 2" xfId="5656"/>
    <cellStyle name="Normal 144 2 2 2" xfId="5657"/>
    <cellStyle name="Comma 112 2 2 2" xfId="5658"/>
    <cellStyle name="Normal 145 2 2 2" xfId="5659"/>
    <cellStyle name="Normal 3 2 2 2 85 2 2 2" xfId="5660"/>
    <cellStyle name="Comma 113 2 2 2" xfId="5661"/>
    <cellStyle name="Normal 146 2 2 2" xfId="5662"/>
    <cellStyle name="Comma 114 2 2 2" xfId="5663"/>
    <cellStyle name="Normal 148 2 2 2" xfId="5664"/>
    <cellStyle name="Comma 116 2 2 2" xfId="5665"/>
    <cellStyle name="Normal 3 2 2 2 87 2 2 2" xfId="5666"/>
    <cellStyle name="Emart 2 2 2 2 2" xfId="5667"/>
    <cellStyle name="Normal 149 2 2 2" xfId="5668"/>
    <cellStyle name="Comma 117 2 2 2" xfId="5669"/>
    <cellStyle name="Normal 2 4 2 3 2 2" xfId="5670"/>
    <cellStyle name="Normal 150 2 2 2" xfId="5671"/>
    <cellStyle name="Comma 118 2 2 2" xfId="5672"/>
    <cellStyle name="Comma 2 74 2 2 2" xfId="5673"/>
    <cellStyle name="Normal 2 4 2 2 3 2 2" xfId="5674"/>
    <cellStyle name="Comma 121 2 2 2" xfId="5675"/>
    <cellStyle name="Normal 2 4 2 2 2 3 2 2" xfId="5676"/>
    <cellStyle name="Comma 122 2 2 2" xfId="5677"/>
    <cellStyle name="Normal 154 2 2 2" xfId="5678"/>
    <cellStyle name="Normal 155 2 2 2" xfId="5679"/>
    <cellStyle name="Comma 123 2 2 2" xfId="5680"/>
    <cellStyle name="Normal 152 2 3 2 2 2" xfId="5681"/>
    <cellStyle name="Normal 3 2 2 2 25 3 2 2 2" xfId="5682"/>
    <cellStyle name="Normal 2 4 2 2 2 2 2 2 2" xfId="5683"/>
    <cellStyle name="Comma 124 2 2 2" xfId="5684"/>
    <cellStyle name="Normal 156 2 2 2" xfId="5685"/>
    <cellStyle name="Comma 125 2 2 2" xfId="5686"/>
    <cellStyle name="Normal 152 2 2 2 2 2 2 2" xfId="5687"/>
    <cellStyle name="Normal 80 2 2 2 2 2 2" xfId="5688"/>
    <cellStyle name="Comma 58 2 2 2 2 2 2" xfId="5689"/>
    <cellStyle name="Normal 157 2 2 2" xfId="5690"/>
    <cellStyle name="Comma 126 2 2 2" xfId="5691"/>
    <cellStyle name="Normal 152 2 2 2 3 2 2 2" xfId="5692"/>
    <cellStyle name="Normal 3 48 2 2 2 2" xfId="5693"/>
    <cellStyle name="Normal 134 2 2 2 2" xfId="5694"/>
    <cellStyle name="Comma 127 2 2 2" xfId="5695"/>
    <cellStyle name="Comma 128 2 2 2" xfId="5696"/>
    <cellStyle name="Normal 158 2 2 2" xfId="5697"/>
    <cellStyle name="Normal 159 2 2 2" xfId="5698"/>
    <cellStyle name="Comma 129 2 2 2" xfId="5699"/>
    <cellStyle name="Normal 152 2 2 2 5 2 2 2" xfId="5700"/>
    <cellStyle name="Normal 160 2 2 2" xfId="5701"/>
    <cellStyle name="Normal 3 50 2 2 2" xfId="5702"/>
    <cellStyle name="Comma 2 75 2 2 2" xfId="5703"/>
    <cellStyle name="Comma 2 2 49 2 2 2" xfId="5704"/>
    <cellStyle name="Normal 3 3 47 2 2 2" xfId="5705"/>
    <cellStyle name="Normal 3 2 2 2 88 2 2 2" xfId="5706"/>
    <cellStyle name="Comma 131 2 2 2" xfId="5707"/>
    <cellStyle name="Comma 130 2 2 2 2" xfId="5708"/>
    <cellStyle name="Normal 152 2 2 2 4 2 2 2 2 2" xfId="5709"/>
    <cellStyle name="Normal 2 6 2 2 2" xfId="5710"/>
    <cellStyle name="Comma 132 3 2 2" xfId="5711"/>
    <cellStyle name="Comma 133 2 2 2" xfId="5712"/>
    <cellStyle name="Comma 132 2 2 2 2" xfId="5713"/>
    <cellStyle name="Normal 164 2 8 2" xfId="5714"/>
    <cellStyle name="Normal 163 2 2 8 2" xfId="5715"/>
    <cellStyle name="Comma 136 2 2" xfId="5716"/>
    <cellStyle name="Normal 166 2 2" xfId="5717"/>
    <cellStyle name="Normal 167 2 2" xfId="5718"/>
    <cellStyle name="Comma 137 2 2" xfId="5719"/>
    <cellStyle name="Normal 161 3 2 3 2 2" xfId="5720"/>
    <cellStyle name="Normal 152 2 2 2 6 2 3 2 2" xfId="5721"/>
    <cellStyle name="Comma 130 3 2 3 2 2" xfId="5722"/>
    <cellStyle name="Normal 152 2 2 2 4 2 3 2 3 2 2" xfId="5723"/>
    <cellStyle name="Comma 138 8 2" xfId="5724"/>
    <cellStyle name="Normal 168 2 2" xfId="5725"/>
    <cellStyle name="Normal 161 3 2 4 2 2" xfId="5726"/>
    <cellStyle name="Normal 152 2 2 2 6 2 4 2 2" xfId="5727"/>
    <cellStyle name="Comma 130 3 2 4 2 2" xfId="5728"/>
    <cellStyle name="Normal 152 2 2 2 4 2 3 2 4 2 2" xfId="5729"/>
    <cellStyle name="Normal 169 2 2" xfId="5730"/>
    <cellStyle name="Comma 139 2 2" xfId="5731"/>
    <cellStyle name="Normal 152 2 2 2 6 2 2 2 2 2 2 2" xfId="5732"/>
    <cellStyle name="Comma 134 2 2 2 2 2" xfId="5733"/>
    <cellStyle name="Normal 161 3 2 2 2 2 2 2 2" xfId="5734"/>
    <cellStyle name="Normal 162 2 2 2 2 2 2 2" xfId="5735"/>
    <cellStyle name="Normal 152 2 2 2 4 2 3 2 2 2 2 2 2 2" xfId="5736"/>
    <cellStyle name="Comma 130 3 2 2 2 2 2 2 2" xfId="5737"/>
    <cellStyle name="Normal 161 2 2 2 2 2 2 2 2" xfId="5738"/>
    <cellStyle name="Normal 153 2 2 2 2 2 2 2 2 2 2 2" xfId="5739"/>
    <cellStyle name="Comma 120 2 2 2 2 2 2 2 2 2 2 2 2" xfId="5740"/>
    <cellStyle name="Comma 138 2 2 2" xfId="5741"/>
    <cellStyle name="Normal 163 2 2 2 2 2" xfId="5742"/>
    <cellStyle name="Normal 164 2 2 2 2" xfId="5743"/>
    <cellStyle name="Comma 138 3 3 2" xfId="5744"/>
    <cellStyle name="Normal 170 2 2" xfId="5745"/>
    <cellStyle name="Normal 163 2 2 3 2 2" xfId="5746"/>
    <cellStyle name="Normal 164 2 3 2 2" xfId="5747"/>
    <cellStyle name="Normal 152 2 2 2 6 2 2 2 3 2 2" xfId="5748"/>
    <cellStyle name="Normal 152 2 2 2 6 2 2 2 2 3 3 2" xfId="5749"/>
    <cellStyle name="Comma 134 2 2 3 3 2" xfId="5750"/>
    <cellStyle name="Normal 161 3 2 2 2 2 3 2 2" xfId="5751"/>
    <cellStyle name="Normal 162 2 2 2 2 3 2 2" xfId="5752"/>
    <cellStyle name="Normal 152 2 2 2 4 2 3 2 2 2 2 3 3 2" xfId="5753"/>
    <cellStyle name="Comma 130 3 2 2 2 2 3 2 2" xfId="5754"/>
    <cellStyle name="Normal 161 2 2 2 2 2 3 2 2" xfId="5755"/>
    <cellStyle name="Normal 153 2 2 2 2 2 2 2 2 3 2 2" xfId="5756"/>
    <cellStyle name="Comma 120 2 2 2 2 2 2 2 2 2 3 2 2" xfId="5757"/>
    <cellStyle name="Comma 138 3 2 3 2" xfId="5758"/>
    <cellStyle name="Normal 171 3 2" xfId="5759"/>
    <cellStyle name="Normal 152 2 2 2 7 3 2" xfId="5760"/>
    <cellStyle name="Percent 2 2 2" xfId="5761"/>
    <cellStyle name="Normal 152 2 2 2 6 2 2 2 2 4 3 2" xfId="5762"/>
    <cellStyle name="Comma 134 2 2 4 3 2" xfId="5763"/>
    <cellStyle name="Normal 161 3 2 2 2 2 4 3 2" xfId="5764"/>
    <cellStyle name="Normal 162 2 2 2 2 4 3 2" xfId="5765"/>
    <cellStyle name="Normal 152 2 2 2 4 2 3 2 2 2 2 4 3 2" xfId="5766"/>
    <cellStyle name="Comma 130 3 2 2 2 2 4 3 2" xfId="5767"/>
    <cellStyle name="Normal 152 2 2 2 4 2 3 2 2 2 2 3 2 3 2" xfId="5768"/>
    <cellStyle name="Normal 161 2 2 2 2 2 4 3 2" xfId="5769"/>
    <cellStyle name="Normal 153 2 2 2 2 2 2 2 2 4 3 2" xfId="5770"/>
    <cellStyle name="Comma 120 2 2 2 2 2 2 2 2 2 4 3 2" xfId="5771"/>
    <cellStyle name="Normal 80 2 2 2 3 2 2" xfId="5772"/>
    <cellStyle name="Comma 58 2 2 2 3 2 2" xfId="5773"/>
    <cellStyle name="Normal 148 3 2 2" xfId="5774"/>
    <cellStyle name="Normal 157 3 2 2" xfId="5775"/>
    <cellStyle name="Comma 138 3 2 2 2 2" xfId="5776"/>
    <cellStyle name="Normal 171 2 2 2" xfId="5777"/>
    <cellStyle name="Normal 152 2 2 2 7 2 2 2" xfId="5778"/>
    <cellStyle name="Normal 152 2 2 2 6 2 2 2 2 4 2 3 2" xfId="5779"/>
    <cellStyle name="Comma 134 2 2 4 2 3 2" xfId="5780"/>
    <cellStyle name="Normal 152 2 2 2 6 2 2 2 2 3 2 3 2" xfId="5781"/>
    <cellStyle name="Normal 161 3 2 2 2 2 4 2 3 2" xfId="5782"/>
    <cellStyle name="Normal 162 2 2 2 2 4 2 3 2" xfId="5783"/>
    <cellStyle name="Comma 134 2 2 3 2 3 2" xfId="5784"/>
    <cellStyle name="Normal 152 2 2 2 4 2 3 2 2 2 2 4 2 3 2" xfId="5785"/>
    <cellStyle name="Comma 130 3 2 2 2 2 4 2 3 2" xfId="5786"/>
    <cellStyle name="Normal 152 2 2 2 4 2 3 2 2 2 2 3 2 2 3 2" xfId="5787"/>
    <cellStyle name="Normal 161 2 2 2 2 2 4 2 3 2" xfId="5788"/>
    <cellStyle name="Normal 153 2 2 2 2 2 2 2 2 4 2 3 2" xfId="5789"/>
    <cellStyle name="Comma 120 2 2 2 2 2 2 2 2 2 4 2 3 2" xfId="5790"/>
    <cellStyle name="Normal 172 3 2" xfId="5791"/>
    <cellStyle name="Comma 140 3 2" xfId="5792"/>
    <cellStyle name="Normal 152 2 2 2 6 2 2 2 2 5 2 2" xfId="5793"/>
    <cellStyle name="Comma 134 2 2 5 2 2" xfId="5794"/>
    <cellStyle name="Normal 161 3 2 2 2 2 5 2 2" xfId="5795"/>
    <cellStyle name="Normal 162 2 2 2 2 5 2 2" xfId="5796"/>
    <cellStyle name="Normal 152 2 2 2 4 2 3 2 2 2 2 5 2 2" xfId="5797"/>
    <cellStyle name="Comma 130 3 2 2 2 2 5 2 2" xfId="5798"/>
    <cellStyle name="Normal 161 2 2 2 2 2 5 2 2" xfId="5799"/>
    <cellStyle name="Normal 153 2 2 2 2 2 2 2 2 5 2 2" xfId="5800"/>
    <cellStyle name="Comma 120 2 2 2 2 2 2 2 2 2 5 2 2" xfId="5801"/>
    <cellStyle name="Comma 138 4 2 2" xfId="5802"/>
    <cellStyle name="Normal 163 2 2 4 2 2" xfId="5803"/>
    <cellStyle name="Normal 164 2 4 2 2" xfId="5804"/>
    <cellStyle name="Normal 173 2 2" xfId="5805"/>
    <cellStyle name="Comma 141 2 2" xfId="5806"/>
    <cellStyle name="Normal 172 2 2 2" xfId="5807"/>
    <cellStyle name="Comma 140 2 2 2" xfId="5808"/>
    <cellStyle name="Normal 152 2 2 2 6 2 2 2 2 4 2 2 2 2" xfId="5809"/>
    <cellStyle name="Comma 134 2 2 4 2 2 2 2" xfId="5810"/>
    <cellStyle name="Normal 152 2 2 2 6 2 2 2 2 3 2 2 2 2" xfId="5811"/>
    <cellStyle name="Normal 161 3 2 2 2 2 4 2 2 2 2" xfId="5812"/>
    <cellStyle name="Normal 162 2 2 2 2 4 2 2 2 2" xfId="5813"/>
    <cellStyle name="Comma 134 2 2 3 2 2 2 2" xfId="5814"/>
    <cellStyle name="Normal 152 2 2 2 4 2 3 2 2 2 2 4 2 2 2 2" xfId="5815"/>
    <cellStyle name="Comma 130 3 2 2 2 2 4 2 2 2 2" xfId="5816"/>
    <cellStyle name="Normal 152 2 2 2 4 2 3 2 2 2 2 3 2 2 2 2 2" xfId="5817"/>
    <cellStyle name="Normal 161 2 2 2 2 2 4 2 2 2 2" xfId="5818"/>
    <cellStyle name="Normal 153 2 2 2 2 2 2 2 2 4 2 2 2 2" xfId="5819"/>
    <cellStyle name="Comma 120 2 2 2 2 2 2 2 2 2 4 2 2 2 2" xfId="5820"/>
    <cellStyle name="Comma 138 5 2 2" xfId="5821"/>
    <cellStyle name="Normal 163 2 2 5 2 2" xfId="5822"/>
    <cellStyle name="Normal 164 2 5 2 2" xfId="5823"/>
    <cellStyle name="Comma 138 6 2 2" xfId="5824"/>
    <cellStyle name="Normal 174 2 2" xfId="5825"/>
    <cellStyle name="Normal 163 2 2 6 2 2" xfId="5826"/>
    <cellStyle name="Normal 164 2 6 2 2" xfId="5827"/>
    <cellStyle name="Normal 152 2 2 2 6 2 2 2 4 2 2" xfId="5828"/>
    <cellStyle name="Normal 152 2 2 2 6 2 2 2 2 6 2 2" xfId="5829"/>
    <cellStyle name="Comma 134 2 2 6 2 2" xfId="5830"/>
    <cellStyle name="Normal 161 3 2 2 2 2 6 2 2" xfId="5831"/>
    <cellStyle name="Normal 162 2 2 2 2 6 2 2" xfId="5832"/>
    <cellStyle name="Normal 152 2 2 2 4 2 3 2 2 2 2 6 2 2" xfId="5833"/>
    <cellStyle name="Comma 130 3 2 2 2 2 6 2 2" xfId="5834"/>
    <cellStyle name="Normal 161 2 2 2 2 2 6 2 2" xfId="5835"/>
    <cellStyle name="Normal 153 2 2 2 2 2 2 2 2 6 2 2" xfId="5836"/>
    <cellStyle name="Comma 120 2 2 2 2 2 2 2 2 2 6 2 2" xfId="5837"/>
    <cellStyle name="Emart 3 4 2" xfId="5838"/>
    <cellStyle name="Emart 3 2 5 2" xfId="5839"/>
    <cellStyle name="Emart 3 2 4 2" xfId="5840"/>
    <cellStyle name="Emart 3 5 2" xfId="5841"/>
    <cellStyle name="Emart 3 2 2 4 2" xfId="5842"/>
    <cellStyle name="Emart 4 4 2" xfId="5843"/>
    <cellStyle name="Emart 5 4 2" xfId="5844"/>
    <cellStyle name="Emart 5 5 2" xfId="5845"/>
    <cellStyle name="Emart 4 5 2" xfId="5846"/>
    <cellStyle name="Emart 8 3 2" xfId="5847"/>
    <cellStyle name="Emart 7 3 2" xfId="5848"/>
    <cellStyle name="Emart 9 2 2" xfId="5849"/>
    <cellStyle name="Emart 2 3 3 2" xfId="5850"/>
    <cellStyle name="Emart 2 2 2 3 2" xfId="5851"/>
    <cellStyle name="Emart 3 2 2 5 2" xfId="5852"/>
    <cellStyle name="Emart 5 2 3 2" xfId="5853"/>
    <cellStyle name="Emart 6 3 2" xfId="5854"/>
    <cellStyle name="Emart 4 2 3 2" xfId="5855"/>
    <cellStyle name="Emart 3 2 2 2 4 2" xfId="5856"/>
    <cellStyle name="Emart 2 2 5" xfId="5857"/>
    <cellStyle name="Emart 6 4" xfId="5858"/>
    <cellStyle name="Emart 3 2 2 2 5" xfId="5859"/>
    <cellStyle name="Emart 5 2 4" xfId="5860"/>
    <cellStyle name="Emart 7 5" xfId="5861"/>
    <cellStyle name="Emart 2 3 5" xfId="5862"/>
    <cellStyle name="Emart 2 2 2 5" xfId="5863"/>
    <cellStyle name="Emart 4 2 4" xfId="5864"/>
    <cellStyle name="Emart 8 4" xfId="5865"/>
    <cellStyle name="Emart 9 3" xfId="5866"/>
    <cellStyle name="Emart 3 2 2 2 2 4" xfId="5867"/>
    <cellStyle name="Emart 10 3" xfId="5868"/>
    <cellStyle name="Emart 3 2 2 2 2 3 3" xfId="5869"/>
    <cellStyle name="Emart 2 4 3" xfId="5870"/>
    <cellStyle name="Emart 3 3 3" xfId="5871"/>
    <cellStyle name="Emart 3 2 3 3" xfId="5872"/>
    <cellStyle name="Emart 3 2 2 3 3" xfId="5873"/>
    <cellStyle name="Emart 2 2 3 3" xfId="5874"/>
    <cellStyle name="Emart 4 3 3" xfId="5875"/>
    <cellStyle name="Emart 5 3 2" xfId="5876"/>
    <cellStyle name="Emart 6 2 2" xfId="5877"/>
    <cellStyle name="Emart 3 2 2 2 3 2" xfId="5878"/>
    <cellStyle name="Emart 5 2 2 2" xfId="5879"/>
    <cellStyle name="Emart 7 2 3" xfId="5880"/>
    <cellStyle name="Emart 2 3 2 3" xfId="5881"/>
    <cellStyle name="Emart 2 2 2 2 3" xfId="5882"/>
    <cellStyle name="Emart 4 2 2 2" xfId="5883"/>
    <cellStyle name="Emart 8 2 2" xfId="5884"/>
    <cellStyle name="Emart 3 2 2 2 2 2 2" xfId="5885"/>
    <cellStyle name="Emart 3 4 3" xfId="5886"/>
    <cellStyle name="Emart 3 2 5 3" xfId="5887"/>
    <cellStyle name="Emart 3 2 4 3" xfId="5888"/>
    <cellStyle name="Emart 3 5 3" xfId="5889"/>
    <cellStyle name="Emart 3 2 2 4 3" xfId="5890"/>
    <cellStyle name="Emart 4 4 3" xfId="5891"/>
    <cellStyle name="Emart 5 4 3" xfId="5892"/>
    <cellStyle name="Emart 5 5 3" xfId="5893"/>
    <cellStyle name="Emart 4 5 3" xfId="5894"/>
    <cellStyle name="Emart 8 3 3" xfId="5895"/>
    <cellStyle name="Emart 7 3 3" xfId="5896"/>
    <cellStyle name="Emart 9 2 3" xfId="5897"/>
    <cellStyle name="Emart 2 3 3 3" xfId="5898"/>
    <cellStyle name="Emart 2 2 2 3 3" xfId="5899"/>
    <cellStyle name="Emart 3 2 2 5 3" xfId="5900"/>
    <cellStyle name="Emart 5 2 3 3" xfId="5901"/>
    <cellStyle name="Emart 6 3 3" xfId="5902"/>
    <cellStyle name="Emart 4 2 3 3" xfId="5903"/>
    <cellStyle name="Emart 3 2 2 2 4 3" xfId="5904"/>
    <cellStyle name="Comma 138 10" xfId="5905"/>
    <cellStyle name="Normal 178" xfId="5906"/>
    <cellStyle name="Normal 163 2 2 9 2" xfId="5907"/>
    <cellStyle name="Normal 164 2 9 2" xfId="5908"/>
    <cellStyle name="Normal 152 2 2 2 6 2 2 2 2 8 2" xfId="5909"/>
    <cellStyle name="Normal 152 2 2 2 6 2 2 2 2 4 2 2 2 2 2" xfId="5910"/>
    <cellStyle name="Comma 134 2 2 4 2 2 2 2 2" xfId="5911"/>
    <cellStyle name="Normal 152 2 2 2 6 2 2 2 2 3 2 2 2 2 2" xfId="5912"/>
    <cellStyle name="Normal 161 3 2 2 2 2 4 2 2 2 2 2" xfId="5913"/>
    <cellStyle name="Normal 162 2 2 2 2 4 2 2 2 2 2" xfId="5914"/>
    <cellStyle name="Comma 134 2 2 8 2" xfId="5915"/>
    <cellStyle name="Normal 162 2 2 2 2 8 2" xfId="5916"/>
    <cellStyle name="Normal 152 2 2 2 4 2 3 2 2 2 2 4 2 3 2 2" xfId="5917"/>
    <cellStyle name="Normal 152 2 2 2 6 2 2 2 2 4 2 3 2 2" xfId="5918"/>
    <cellStyle name="Comma 134 2 2 4 2 3 2 2" xfId="5919"/>
    <cellStyle name="Normal 152 2 2 2 6 2 2 2 2 3 2 3 2 2" xfId="5920"/>
    <cellStyle name="Comma 130 3 2 2 2 2 4 2 3 2 2" xfId="5921"/>
    <cellStyle name="Normal 152 2 2 2 4 2 3 2 2 2 2 8 2" xfId="5922"/>
    <cellStyle name="Comma 130 3 2 2 2 2 8 2" xfId="5923"/>
    <cellStyle name="Normal 161 2 2 2 2 2 8 2" xfId="5924"/>
    <cellStyle name="Normal 153 2 2 2 2 2 2 2 2 8 2" xfId="5925"/>
    <cellStyle name="Comma 120 2 2 2 2 2 2 2 2 2 8 2" xfId="5926"/>
    <cellStyle name="Comma 4 6" xfId="5927"/>
    <cellStyle name="Normal 179" xfId="5928"/>
    <cellStyle name="Normal 3 2 2 2 4 2 4" xfId="5929"/>
    <cellStyle name="Comma 2 4 2 2 4" xfId="5930"/>
    <cellStyle name="Comma 138 11" xfId="5931"/>
    <cellStyle name="Normal 163 2 2 9 2 2" xfId="5932"/>
    <cellStyle name="Normal 164 2 9 2 2" xfId="5933"/>
    <cellStyle name="Normal 152 2 2 2 6 2 2 2 2 8 2 2" xfId="5934"/>
    <cellStyle name="Comma 134 2 2 9" xfId="5935"/>
    <cellStyle name="Normal 161 3 2 2 2 2 9" xfId="5936"/>
    <cellStyle name="Normal 162 2 2 2 2 9" xfId="5937"/>
    <cellStyle name="Normal 152 2 2 2 4 2 3 2 2 2 2 9" xfId="5938"/>
    <cellStyle name="Comma 130 3 2 2 2 2 9" xfId="5939"/>
    <cellStyle name="Normal 161 2 2 2 2 2 9" xfId="5940"/>
    <cellStyle name="Normal 153 2 2 2 2 2 2 2 2 9" xfId="5941"/>
    <cellStyle name="Comma 120 2 2 2 2 2 2 2 2 2 9" xfId="5942"/>
    <cellStyle name="Normal 180" xfId="5943"/>
    <cellStyle name="Comma 144" xfId="5944"/>
    <cellStyle name="Normal 152 2 2 2 6 2 2 2 2 9" xfId="5945"/>
    <cellStyle name="Comma 134 2 2 10" xfId="5946"/>
    <cellStyle name="Normal 161 3 2 2 2 2 10" xfId="5947"/>
    <cellStyle name="Normal 162 2 2 2 2 10" xfId="5948"/>
    <cellStyle name="Normal 152 2 2 2 4 2 3 2 2 2 2 10" xfId="5949"/>
    <cellStyle name="Comma 130 3 2 2 2 2 10" xfId="5950"/>
    <cellStyle name="Normal 161 2 2 2 2 2 10" xfId="5951"/>
    <cellStyle name="Normal 153 2 2 2 2 2 2 2 2 10" xfId="5952"/>
    <cellStyle name="Comma 120 2 2 2 2 2 2 2 2 2 10" xfId="5953"/>
    <cellStyle name="Comma 138 12" xfId="5954"/>
    <cellStyle name="Normal 163 2 2 10" xfId="5955"/>
    <cellStyle name="Normal 164 2 10" xfId="5956"/>
    <cellStyle name="Comma 145" xfId="5957"/>
    <cellStyle name="Normal 181" xfId="5958"/>
    <cellStyle name="Normal 163 2 2 9 2 2 2" xfId="5959"/>
    <cellStyle name="Normal 164 2 9 2 2 2" xfId="5960"/>
    <cellStyle name="Normal 152 2 2 2 6 2 2 2 2 8 2 2 2" xfId="5961"/>
    <cellStyle name="Comma 134 2 2 11" xfId="5962"/>
    <cellStyle name="Normal 161 3 2 2 2 2 11" xfId="5963"/>
    <cellStyle name="Normal 162 2 2 2 2 11" xfId="5964"/>
    <cellStyle name="Normal 152 2 2 2 4 2 3 2 2 2 2 11" xfId="5965"/>
    <cellStyle name="Comma 130 3 2 2 2 2 11" xfId="5966"/>
    <cellStyle name="Normal 161 2 2 2 2 2 11" xfId="5967"/>
    <cellStyle name="Normal 153 2 2 2 2 2 2 2 2 11" xfId="5968"/>
    <cellStyle name="Comma 120 2 2 2 2 2 2 2 2 2 11" xfId="5969"/>
    <cellStyle name="Normal 182" xfId="5970"/>
    <cellStyle name="Comma 146" xfId="5971"/>
    <cellStyle name="Normal 2 7" xfId="5972"/>
    <cellStyle name="Normal 2 4 3" xfId="5973"/>
    <cellStyle name="Percent 3" xfId="5974"/>
    <cellStyle name="Comma 147" xfId="5975"/>
    <cellStyle name="Normal 183" xfId="5976"/>
    <cellStyle name="Normal 163 2 2 9 2 2 2 2" xfId="5977"/>
    <cellStyle name="Normal 164 2 9 2 2 2 2" xfId="5978"/>
    <cellStyle name="Normal 152 2 2 2 6 2 2 2 2 8 2 2 2 2" xfId="5979"/>
    <cellStyle name="Comma 134 2 2 12" xfId="5980"/>
    <cellStyle name="Normal 161 3 2 2 2 2 12" xfId="5981"/>
    <cellStyle name="Normal 162 2 2 2 2 12" xfId="5982"/>
    <cellStyle name="Normal 152 2 2 2 4 2 3 2 2 2 2 12" xfId="5983"/>
    <cellStyle name="Comma 130 3 2 2 2 2 12" xfId="5984"/>
    <cellStyle name="Normal 161 2 2 2 2 2 12" xfId="5985"/>
    <cellStyle name="Normal 153 2 2 2 2 2 2 2 2 12" xfId="5986"/>
    <cellStyle name="Comma 120 2 2 2 2 2 2 2 2 2 12" xfId="5987"/>
    <cellStyle name="Normal 184" xfId="5988"/>
    <cellStyle name="Comma 148" xfId="5989"/>
    <cellStyle name="Emart 13" xfId="5990"/>
    <cellStyle name="Percent 4" xfId="5991"/>
    <cellStyle name="Normal 185" xfId="5992"/>
    <cellStyle name="Comma 149" xfId="5993"/>
    <cellStyle name="Percent 5" xfId="5994"/>
    <cellStyle name="Normal 134 2 5" xfId="5995"/>
    <cellStyle name="Normal 152 2 2 2 3 5" xfId="5996"/>
    <cellStyle name="Normal 186" xfId="5997"/>
    <cellStyle name="Comma 150" xfId="5998"/>
    <cellStyle name="Comma 2 76" xfId="5999"/>
    <cellStyle name="Normal 2 10" xfId="6000"/>
    <cellStyle name="Comma 151" xfId="6001"/>
    <cellStyle name="Normal 187" xfId="6002"/>
    <cellStyle name="Normal 163 2 2 9 2 2 2 2 2" xfId="6003"/>
    <cellStyle name="Normal 164 2 9 2 2 2 2 2" xfId="6004"/>
    <cellStyle name="Normal 152 2 2 2 6 2 2 2 2 8 2 2 2 2 2" xfId="6005"/>
    <cellStyle name="Emart 14" xfId="6006"/>
    <cellStyle name="Percent 6" xfId="6007"/>
    <cellStyle name="Emart 15" xfId="6008"/>
    <cellStyle name="Normal 184 2" xfId="6009"/>
    <cellStyle name="Comma 148 2" xfId="6010"/>
    <cellStyle name="Comma 4 2 2" xfId="6011"/>
    <cellStyle name="Normal 188" xfId="6012"/>
    <cellStyle name="Comma 4 3 4" xfId="6013"/>
    <cellStyle name="Comma 120 2 2 2 3" xfId="6014"/>
    <cellStyle name="Normal 2 4 4" xfId="6015"/>
    <cellStyle name="Normal 3 5 5" xfId="6016"/>
    <cellStyle name="Normal 189" xfId="6017"/>
    <cellStyle name="Comma 152" xfId="6018"/>
    <cellStyle name="Percent 7" xfId="6019"/>
    <cellStyle name="Normal 190" xfId="6020"/>
    <cellStyle name="Comma 153" xfId="6021"/>
    <cellStyle name="Normal 3 2 2 2 25 7" xfId="6022"/>
    <cellStyle name="Comma 154" xfId="6023"/>
    <cellStyle name="Normal 191" xfId="6024"/>
    <cellStyle name="Percent 8" xfId="6025"/>
    <cellStyle name="Normal 192" xfId="6026"/>
    <cellStyle name="Comma 4 3 5" xfId="6027"/>
    <cellStyle name="Normal 2 4 5" xfId="6028"/>
    <cellStyle name="Comma 120 2 2 2 4" xfId="6029"/>
    <cellStyle name="Comma 4 2 3" xfId="6030"/>
    <cellStyle name="Normal 193" xfId="6031"/>
    <cellStyle name="Comma 155" xfId="6032"/>
    <cellStyle name="Percent 9" xfId="6033"/>
  </cellStyles>
  <dxfs count="506">
    <dxf>
      <font>
        <family val="2"/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externalLink" Target="/xl/externalLinks/externalLink5.xml" Id="rId14" /><Relationship Type="http://schemas.openxmlformats.org/officeDocument/2006/relationships/externalLink" Target="/xl/externalLinks/externalLink6.xml" Id="rId15" /><Relationship Type="http://schemas.openxmlformats.org/officeDocument/2006/relationships/externalLink" Target="/xl/externalLinks/externalLink7.xml" Id="rId16" /><Relationship Type="http://schemas.openxmlformats.org/officeDocument/2006/relationships/externalLink" Target="/xl/externalLinks/externalLink8.xml" Id="rId17" /><Relationship Type="http://schemas.openxmlformats.org/officeDocument/2006/relationships/externalLink" Target="/xl/externalLinks/externalLink9.xml" Id="rId18" /><Relationship Type="http://schemas.openxmlformats.org/officeDocument/2006/relationships/externalLink" Target="/xl/externalLinks/externalLink10.xml" Id="rId19" /><Relationship Type="http://schemas.openxmlformats.org/officeDocument/2006/relationships/externalLink" Target="/xl/externalLinks/externalLink11.xml" Id="rId20" /><Relationship Type="http://schemas.openxmlformats.org/officeDocument/2006/relationships/externalLink" Target="/xl/externalLinks/externalLink12.xml" Id="rId21" /><Relationship Type="http://schemas.openxmlformats.org/officeDocument/2006/relationships/externalLink" Target="/xl/externalLinks/externalLink13.xml" Id="rId22" /><Relationship Type="http://schemas.openxmlformats.org/officeDocument/2006/relationships/externalLink" Target="/xl/externalLinks/externalLink14.xml" Id="rId23" /><Relationship Type="http://schemas.openxmlformats.org/officeDocument/2006/relationships/externalLink" Target="/xl/externalLinks/externalLink15.xml" Id="rId24" /><Relationship Type="http://schemas.openxmlformats.org/officeDocument/2006/relationships/externalLink" Target="/xl/externalLinks/externalLink16.xml" Id="rId25" /><Relationship Type="http://schemas.openxmlformats.org/officeDocument/2006/relationships/externalLink" Target="/xl/externalLinks/externalLink17.xml" Id="rId26" /><Relationship Type="http://schemas.openxmlformats.org/officeDocument/2006/relationships/externalLink" Target="/xl/externalLinks/externalLink18.xml" Id="rId27" /><Relationship Type="http://schemas.openxmlformats.org/officeDocument/2006/relationships/externalLink" Target="/xl/externalLinks/externalLink19.xml" Id="rId28" /><Relationship Type="http://schemas.openxmlformats.org/officeDocument/2006/relationships/externalLink" Target="/xl/externalLinks/externalLink20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omments/comment1.xml><?xml version="1.0" encoding="utf-8"?>
<comments xmlns="http://schemas.openxmlformats.org/spreadsheetml/2006/main">
  <authors>
    <author>Phuong Thuy HR</author>
    <author>duyen</author>
  </authors>
  <commentList>
    <comment ref="AV4" authorId="0" shapeId="0">
      <text>
        <t xml:space="preserve">Thu nhập chịu thuế
</t>
      </text>
    </comment>
    <comment ref="AW4" authorId="0" shapeId="0">
      <text>
        <t>Thu nhập tính thuế</t>
      </text>
    </comment>
    <comment ref="BT4" authorId="1" shapeId="0">
      <text>
        <t>duyen:
0: lũy tiến
1: toàn phần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LOGISTICS\4.%20CV\5.%20LUONG\LUONG%20HANG%20KY\THANG%204\KY%201\bcc%20thang%204\Users\DELL\Desktop\CONG%20KY%201.1.2014\NAM%202014\THANG%2001\LUONG%20DT%20KY%201.1\B&#7843;ng%20truy%20l&#297;nh%20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&#54980;&#45768;\&#51064;&#46020;&#45348;&#49884;&#50500;\&#50577;&#47749;&#54616;\b%20team\add\Book3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NHAN%20SU\CHE%20DO%20CHINH%20SACH\BANG%20LUONG\Luong%20VPKVNB\LUONG%202012\phieu%20luong%202012\Tr&#432;&#417;ng%20Hoang%20Chuong%20-%20Bang%20TT%20tien%20luong%20&amp;%20thuong%20%20(01.2011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VINH%20CHUYEN%20DUNG\VINH%20HOC%20HOI\mau%20hoc%20hoi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TRANG\Payroll\2018\Feb\data%20sale%20cashier%200102%20to%2015022018%20pv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THUY18032016/PHUONG%20THUY/19.%20Salary/2016/03.2016/Payroll%20-%20March%202016%20-Master%20-%20Store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Users\USER.DESKTOP-8TIL3QL\Downloads\INVOICE1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2016\4-DANH%20GIA%20NHAN%20SU\1-DANH%20GIA%20NHAN%20SU%20KY%20CUOI%20NAM%202015\CHUONG%20TRINH%20DANH%20GIA\DANH%20GIA\TONG%20HOP\TAI\1-%20NM%20XE%20TAI%20-%20TONG%20HOP%20DANH%20GIA%202015%20-%20V1-%2015012016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TRANG\Luong%2011\TH&#212;NG%20TIN%20CHUY&#7870;N%20&#272;I%20PPCENTER%20T11%20FINAL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PHUONG%20THUY/CHI%20CAO%20HANG/MasterList%20HR%20EMmart%20thuy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Program%20Files\HTKK320\InterfaceTemplates\excel\Bang_Ke_05_3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Vinh\Luong\2016\SALARY\NAM%202016\QUYET%20TOAN%20THUE%202016\Bang_Ke_05_3_QTT-GIACANH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MINA\LUONG\STORE\2022\THANG%201\HRSW%20Payroll%20Store%20Dec%2012.21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Users\emart12\AppData\Roaming\Skype\My%20Skype%20Received%20Files\Payroll-%20SEPTEMBER%20%202015-Master%20-%20Copy.xlsx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\QUYNH%20NHU_THACO\2.%20THUE\Dang%20ky%20NPT\Bang_Ke_16TH_DangKyCapMa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Documents%20and%20Settings\welcome\Desktop\Thue%20TNCN2009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Users\DUNG\AppData\Local\Microsoft\Windows\INetCache\Content.Outlook\7CKUP8AG\Documents%20and%20Settings\Administrator\Desktop\Copy%20of%20Th&#225;ng%201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C:\Users\User\Desktop\GUI%20NGAN%20HANG%20KY%202%20THANG%2006.xlsx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MINA\LUONG\STORE\2022\THANG%201\Payroll%20-%20Store%2012.%202021final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C:\Users\duyen\Downloads\PVT%20-%20DIEMDANH%20FT%20T04.od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onꖊTueꖨWedꗆThuꗤ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>
        <row r="38">
          <cell r="B38" t="str">
            <v xml:space="preserve"> ------------</v>
          </cell>
        </row>
      </sheetData>
      <sheetData sheetId="707"/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>
        <row r="38">
          <cell r="B38" t="str">
            <v xml:space="preserve"> ------------</v>
          </cell>
        </row>
      </sheetData>
      <sheetData sheetId="715"/>
      <sheetData sheetId="716">
        <row r="38">
          <cell r="B38" t="str">
            <v xml:space="preserve"> ------------</v>
          </cell>
        </row>
      </sheetData>
      <sheetData sheetId="717">
        <row r="38">
          <cell r="B38" t="str">
            <v xml:space="preserve"> ------------</v>
          </cell>
        </row>
      </sheetData>
      <sheetData sheetId="718"/>
      <sheetData sheetId="719">
        <row r="38">
          <cell r="B38" t="str">
            <v xml:space="preserve"> ------------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6">
          <cell r="A6">
            <v>0</v>
          </cell>
        </row>
      </sheetData>
      <sheetData sheetId="740"/>
      <sheetData sheetId="74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05-3BK-TNCN"/>
      <sheetName val="Data"/>
      <sheetName val="HDSD"/>
      <sheetName val="Ds"/>
      <sheetName val="Danh sach"/>
      <sheetName val="Danh_sach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/>
      <sheetData sheetId="19"/>
      <sheetData sheetId="20"/>
      <sheetData sheetId="21"/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/>
      <sheetData sheetId="29"/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BZ21"/>
  <sheetViews>
    <sheetView tabSelected="1" zoomScale="80" zoomScaleNormal="80" zoomScaleSheetLayoutView="80" workbookViewId="0">
      <pane xSplit="4" ySplit="4" topLeftCell="AB5" activePane="bottomRight" state="frozen"/>
      <selection pane="topRight" activeCell="E1" sqref="E1"/>
      <selection pane="bottomLeft" activeCell="A20" sqref="A20"/>
      <selection pane="bottomRight" activeCell="AW6" sqref="AW6"/>
    </sheetView>
  </sheetViews>
  <sheetFormatPr baseColWidth="8" defaultColWidth="9.28515625" defaultRowHeight="15"/>
  <cols>
    <col width="5.7109375" customWidth="1" style="421" min="1" max="1"/>
    <col width="14.140625" customWidth="1" style="421" min="2" max="2"/>
    <col outlineLevel="1" width="12.42578125" customWidth="1" style="421" min="3" max="3"/>
    <col width="19.42578125" customWidth="1" style="479" min="4" max="4"/>
    <col width="15.7109375" customWidth="1" style="421" min="5" max="5"/>
    <col hidden="1" outlineLevel="1" width="26.140625" customWidth="1" style="421" min="6" max="6"/>
    <col collapsed="1" width="17.42578125" customWidth="1" style="421" min="7" max="7"/>
    <col width="13" customWidth="1" style="421" min="8" max="8"/>
    <col outlineLevel="1" width="15.28515625" customWidth="1" style="421" min="9" max="9"/>
    <col width="15.85546875" customWidth="1" style="421" min="10" max="12"/>
    <col width="9.5703125" customWidth="1" style="421" min="13" max="14"/>
    <col outlineLevel="1" width="9.28515625" customWidth="1" style="421" min="15" max="15"/>
    <col outlineLevel="1" width="13.28515625" customWidth="1" style="421" min="16" max="16"/>
    <col outlineLevel="1" width="17.140625" customWidth="1" style="421" min="17" max="17"/>
    <col width="17.7109375" customWidth="1" style="421" min="18" max="18"/>
    <col outlineLevel="1" width="12.85546875" customWidth="1" style="421" min="19" max="19"/>
    <col outlineLevel="1" width="14.5703125" customWidth="1" style="421" min="20" max="20"/>
    <col width="16.42578125" customWidth="1" style="421" min="21" max="21"/>
    <col outlineLevel="1" width="15" customWidth="1" style="669" min="22" max="22"/>
    <col outlineLevel="1" width="14.85546875" customWidth="1" style="669" min="23" max="23"/>
    <col outlineLevel="1" width="12.42578125" customWidth="1" style="669" min="24" max="24"/>
    <col width="13.28515625" customWidth="1" style="421" min="25" max="25"/>
    <col outlineLevel="1" width="13.5703125" customWidth="1" style="421" min="26" max="26"/>
    <col width="12.7109375" customWidth="1" style="421" min="27" max="27"/>
    <col width="12.42578125" customWidth="1" style="421" min="28" max="28"/>
    <col outlineLevel="1" width="12" customWidth="1" style="421" min="29" max="29"/>
    <col width="12.28515625" customWidth="1" style="421" min="30" max="30"/>
    <col width="8.42578125" customWidth="1" style="421" min="31" max="31"/>
    <col width="13.42578125" customWidth="1" style="421" min="32" max="33"/>
    <col width="12.5703125" customWidth="1" style="421" min="34" max="34"/>
    <col width="11.85546875" customWidth="1" style="421" min="35" max="35"/>
    <col width="14.7109375" customWidth="1" style="421" min="36" max="37"/>
    <col width="13.42578125" customWidth="1" style="421" min="38" max="38"/>
    <col width="13" customWidth="1" style="421" min="39" max="39"/>
    <col width="15.140625" customWidth="1" style="421" min="40" max="40"/>
    <col width="6" customWidth="1" style="419" min="41" max="41"/>
    <col width="14.42578125" customWidth="1" style="421" min="42" max="42"/>
    <col outlineLevel="1" width="14.5703125" customWidth="1" style="421" min="43" max="43"/>
    <col outlineLevel="1" width="12.42578125" customWidth="1" style="421" min="44" max="44"/>
    <col outlineLevel="1" width="13.7109375" customWidth="1" style="421" min="45" max="45"/>
    <col width="15.5703125" customWidth="1" style="421" min="46" max="46"/>
    <col width="13" customWidth="1" style="421" min="47" max="49"/>
    <col width="9.140625" customWidth="1" style="421" min="50" max="50"/>
    <col width="11.5703125" customWidth="1" style="421" min="51" max="51"/>
    <col width="14" customWidth="1" style="421" min="52" max="52"/>
    <col outlineLevel="1" width="12.42578125" customWidth="1" style="421" min="53" max="53"/>
    <col outlineLevel="1" width="12.28515625" customWidth="1" style="421" min="54" max="54"/>
    <col outlineLevel="1" width="12.42578125" customWidth="1" style="421" min="55" max="55"/>
    <col outlineLevel="1" width="15.28515625" customWidth="1" style="421" min="56" max="56"/>
    <col width="15" customWidth="1" style="421" min="57" max="57"/>
    <col width="12.140625" customWidth="1" style="421" min="58" max="60"/>
    <col width="11" customWidth="1" style="421" min="61" max="61"/>
    <col width="13" customWidth="1" style="421" min="62" max="62"/>
    <col width="14" customWidth="1" style="421" min="63" max="63"/>
    <col width="12.140625" customWidth="1" style="421" min="64" max="64"/>
    <col width="18.7109375" customWidth="1" style="421" min="65" max="65"/>
    <col width="13.85546875" customWidth="1" style="421" min="66" max="66"/>
    <col hidden="1" outlineLevel="1" width="14.42578125" customWidth="1" style="421" min="67" max="67"/>
    <col hidden="1" outlineLevel="1" width="14.28515625" customWidth="1" style="421" min="68" max="68"/>
    <col hidden="1" outlineLevel="1" width="15.7109375" customWidth="1" style="421" min="69" max="69"/>
    <col hidden="1" outlineLevel="1" width="13.7109375" customWidth="1" style="421" min="70" max="75"/>
    <col hidden="1" outlineLevel="1" width="15.42578125" customWidth="1" style="421" min="76" max="76"/>
    <col collapsed="1" width="9.28515625" customWidth="1" style="421" min="77" max="77"/>
    <col width="9.28515625" customWidth="1" style="421" min="78" max="78"/>
    <col width="9.28515625" customWidth="1" style="421" min="79" max="16384"/>
  </cols>
  <sheetData>
    <row r="1" ht="34.5" customFormat="1" customHeight="1" s="419">
      <c r="A1" s="418" t="inlineStr">
        <is>
          <t xml:space="preserve">TEAMPLATE PAYROLL </t>
        </is>
      </c>
      <c r="B1" s="418" t="n"/>
      <c r="D1" s="476" t="n"/>
      <c r="V1" s="670" t="n"/>
      <c r="W1" s="670" t="n"/>
      <c r="X1" s="670" t="n"/>
      <c r="BI1" s="421" t="n"/>
      <c r="BJ1" s="421" t="n"/>
      <c r="BY1" s="421" t="n"/>
    </row>
    <row r="2" ht="22.5" customFormat="1" customHeight="1" s="419">
      <c r="A2" s="422" t="inlineStr">
        <is>
          <t>DATE:</t>
        </is>
      </c>
      <c r="C2" s="671" t="n"/>
      <c r="D2" s="672" t="n">
        <v>45773</v>
      </c>
      <c r="V2" s="670" t="n"/>
      <c r="W2" s="670" t="n"/>
      <c r="X2" s="670" t="n"/>
      <c r="Y2" s="371" t="n"/>
      <c r="Z2" s="598" t="n"/>
      <c r="AA2" s="598" t="n"/>
      <c r="AB2" s="598" t="n"/>
      <c r="AC2" s="598" t="n"/>
      <c r="AK2" s="598" t="n"/>
      <c r="AQ2" s="425" t="n"/>
      <c r="AR2" s="426" t="n"/>
      <c r="AS2" s="426" t="n"/>
      <c r="AT2" s="426" t="n"/>
      <c r="BI2" s="421" t="n"/>
      <c r="BJ2" s="421" t="n"/>
      <c r="BY2" s="421" t="n"/>
    </row>
    <row r="3" hidden="1" ht="48" customFormat="1" customHeight="1" s="422">
      <c r="A3" s="372" t="n"/>
      <c r="B3" s="372" t="n"/>
      <c r="C3" s="372" t="n"/>
      <c r="D3" s="387" t="n"/>
      <c r="E3" s="372" t="n"/>
      <c r="F3" s="372" t="n"/>
      <c r="G3" s="372" t="n"/>
      <c r="H3" s="372" t="n"/>
      <c r="I3" s="372" t="n"/>
      <c r="J3" s="371" t="n"/>
      <c r="K3" s="372" t="n"/>
      <c r="M3" s="372" t="n"/>
      <c r="N3" s="373" t="n"/>
      <c r="O3" s="371" t="n"/>
      <c r="P3" s="371" t="n"/>
      <c r="Q3" s="371" t="n"/>
      <c r="R3" s="371" t="n"/>
      <c r="V3" s="371" t="n"/>
      <c r="W3" s="371" t="n"/>
      <c r="X3" s="371" t="n"/>
      <c r="Y3" s="371" t="n"/>
      <c r="Z3" s="371" t="n"/>
      <c r="AA3" s="371" t="n"/>
      <c r="AB3" s="371" t="n"/>
      <c r="AC3" s="371" t="n"/>
      <c r="AD3" s="371" t="n"/>
      <c r="AE3" s="371" t="n"/>
      <c r="AF3" s="371" t="n"/>
      <c r="AG3" s="371" t="n"/>
      <c r="AH3" s="371" t="n"/>
      <c r="AJ3" s="372" t="n"/>
      <c r="AK3" s="382" t="n"/>
      <c r="AL3" s="382" t="n"/>
      <c r="AN3" s="382" t="n"/>
      <c r="AO3" s="382" t="n"/>
      <c r="AP3" s="673" t="n">
        <v>4400000</v>
      </c>
      <c r="AQ3" s="562" t="n">
        <v>0.08</v>
      </c>
      <c r="AR3" s="562" t="n">
        <v>0.015</v>
      </c>
      <c r="AS3" s="562" t="n">
        <v>0.01</v>
      </c>
      <c r="AT3" s="383" t="n"/>
      <c r="AU3" s="382" t="n"/>
      <c r="AV3" s="382" t="n"/>
      <c r="AW3" s="382" t="n"/>
      <c r="AX3" s="382" t="n"/>
      <c r="AY3" s="384" t="n"/>
      <c r="AZ3" s="382" t="n"/>
      <c r="BA3" s="562" t="n">
        <v>0.17</v>
      </c>
      <c r="BB3" s="562" t="n">
        <v>0.03</v>
      </c>
      <c r="BC3" s="562" t="n">
        <v>0.01</v>
      </c>
      <c r="BD3" s="562" t="n">
        <v>0.005</v>
      </c>
      <c r="BE3" s="383" t="n"/>
      <c r="BF3" s="382">
        <f>2340000*20</f>
        <v/>
      </c>
      <c r="BG3" s="382">
        <f>4960000*20</f>
        <v/>
      </c>
      <c r="BH3" s="382" t="inlineStr">
        <is>
          <t>Truy thu BHYT 3%</t>
        </is>
      </c>
      <c r="BI3" s="382" t="inlineStr">
        <is>
          <t>Truy thu BHYT 1.5%</t>
        </is>
      </c>
      <c r="BJ3" s="382" t="n"/>
      <c r="BK3" s="382" t="n"/>
      <c r="BM3" s="384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501" t="n"/>
    </row>
    <row r="4" ht="75.75" customFormat="1" customHeight="1" s="429">
      <c r="A4" s="379" t="inlineStr">
        <is>
          <t>No</t>
        </is>
      </c>
      <c r="B4" s="379" t="inlineStr">
        <is>
          <t>Emp. Code</t>
        </is>
      </c>
      <c r="C4" s="379" t="inlineStr">
        <is>
          <t>ID No</t>
        </is>
      </c>
      <c r="D4" s="477" t="inlineStr">
        <is>
          <t>Full name</t>
        </is>
      </c>
      <c r="E4" s="379" t="inlineStr">
        <is>
          <t>Joning Date</t>
        </is>
      </c>
      <c r="F4" s="379" t="inlineStr">
        <is>
          <t>Division</t>
        </is>
      </c>
      <c r="G4" s="379" t="inlineStr">
        <is>
          <t>Department</t>
        </is>
      </c>
      <c r="H4" s="379" t="inlineStr">
        <is>
          <t>Position</t>
        </is>
      </c>
      <c r="I4" s="379" t="inlineStr">
        <is>
          <t>Job title</t>
        </is>
      </c>
      <c r="J4" s="379" t="inlineStr">
        <is>
          <t>Income 
Salary</t>
        </is>
      </c>
      <c r="K4" s="379" t="inlineStr">
        <is>
          <t>Basic 
Salary</t>
        </is>
      </c>
      <c r="L4" s="379" t="inlineStr">
        <is>
          <t>Efficiency salary</t>
        </is>
      </c>
      <c r="M4" s="379" t="inlineStr">
        <is>
          <t>Standard working day</t>
        </is>
      </c>
      <c r="N4" s="514" t="inlineStr">
        <is>
          <t>Working day
last month
 (21-25)</t>
        </is>
      </c>
      <c r="O4" s="514" t="inlineStr">
        <is>
          <t xml:space="preserve">Working day current month
 </t>
        </is>
      </c>
      <c r="P4" s="379" t="inlineStr">
        <is>
          <t>Actual
 Basic Salary last month
 (21-25)</t>
        </is>
      </c>
      <c r="Q4" s="379" t="inlineStr">
        <is>
          <t>Actual 
Basic Salary current month</t>
        </is>
      </c>
      <c r="R4" s="513" t="inlineStr">
        <is>
          <t>Total 
Actual 
Basic Salary</t>
        </is>
      </c>
      <c r="S4" s="379" t="inlineStr">
        <is>
          <t>Efficiency salary Advance
last month
 (21-25)</t>
        </is>
      </c>
      <c r="T4" s="379" t="inlineStr">
        <is>
          <t xml:space="preserve">Efficiency salary Advance current month </t>
        </is>
      </c>
      <c r="U4" s="379" t="inlineStr">
        <is>
          <t>Total 
Efficiency salary Advance</t>
        </is>
      </c>
      <c r="V4" s="379" t="inlineStr">
        <is>
          <t>Responsibility Allows</t>
        </is>
      </c>
      <c r="W4" s="379" t="inlineStr">
        <is>
          <t>Transportation Allows</t>
        </is>
      </c>
      <c r="X4" s="379" t="inlineStr">
        <is>
          <t>Mob Allows</t>
        </is>
      </c>
      <c r="Y4" s="379" t="inlineStr">
        <is>
          <t>Meal Allows</t>
        </is>
      </c>
      <c r="Z4" s="379" t="inlineStr">
        <is>
          <t xml:space="preserve"> Total Actual All Allows</t>
        </is>
      </c>
      <c r="AA4" s="379" t="inlineStr">
        <is>
          <t>Overtime</t>
        </is>
      </c>
      <c r="AB4" s="379" t="inlineStr">
        <is>
          <t>Night shift</t>
        </is>
      </c>
      <c r="AC4" s="379" t="inlineStr">
        <is>
          <t>Bonus</t>
        </is>
      </c>
      <c r="AD4" s="379" t="inlineStr">
        <is>
          <t>Acting 
Allowance</t>
        </is>
      </c>
      <c r="AE4" s="379" t="inlineStr">
        <is>
          <t>AL Remain</t>
        </is>
      </c>
      <c r="AF4" s="379" t="inlineStr">
        <is>
          <t>Rest of annual leave</t>
        </is>
      </c>
      <c r="AG4" s="379" t="inlineStr">
        <is>
          <t>Incentives</t>
        </is>
      </c>
      <c r="AH4" s="379" t="inlineStr">
        <is>
          <t>Other 
Allowance</t>
        </is>
      </c>
      <c r="AI4" s="379" t="inlineStr">
        <is>
          <t>Severance pay</t>
        </is>
      </c>
      <c r="AJ4" s="374" t="inlineStr">
        <is>
          <t xml:space="preserve">Total 
Gross Salary </t>
        </is>
      </c>
      <c r="AK4" s="374" t="inlineStr">
        <is>
          <t>OT 
untaxable</t>
        </is>
      </c>
      <c r="AL4" s="374" t="inlineStr">
        <is>
          <t>Night shift
untaxable</t>
        </is>
      </c>
      <c r="AM4" s="374" t="inlineStr">
        <is>
          <t>Severance pay untaxable</t>
        </is>
      </c>
      <c r="AN4" s="374" t="inlineStr">
        <is>
          <t>Self-
deduction</t>
        </is>
      </c>
      <c r="AO4" s="374" t="inlineStr">
        <is>
          <t>Qty.</t>
        </is>
      </c>
      <c r="AP4" s="374" t="inlineStr">
        <is>
          <t>AMT</t>
        </is>
      </c>
      <c r="AQ4" s="674" t="inlineStr">
        <is>
          <t>Social Ins.
8%</t>
        </is>
      </c>
      <c r="AR4" s="674" t="inlineStr">
        <is>
          <t>Health Ins.
1.5%</t>
        </is>
      </c>
      <c r="AS4" s="674" t="inlineStr">
        <is>
          <t>Jobless Ins.
1%</t>
        </is>
      </c>
      <c r="AT4" s="674" t="inlineStr">
        <is>
          <t>Total Ins.
Employees paid 10.5%</t>
        </is>
      </c>
      <c r="AU4" s="374" t="inlineStr">
        <is>
          <t>Lunch
Max
(730,000đ)</t>
        </is>
      </c>
      <c r="AV4" s="374" t="inlineStr">
        <is>
          <t>Taxable income</t>
        </is>
      </c>
      <c r="AW4" s="374" t="inlineStr">
        <is>
          <t>Assessable income</t>
        </is>
      </c>
      <c r="AX4" s="374" t="inlineStr">
        <is>
          <t>Tax rate</t>
        </is>
      </c>
      <c r="AY4" s="374" t="inlineStr">
        <is>
          <t>Min Tax</t>
        </is>
      </c>
      <c r="AZ4" s="374" t="inlineStr">
        <is>
          <t>Monthly PIT
개인소득세</t>
        </is>
      </c>
      <c r="BA4" s="674" t="inlineStr">
        <is>
          <t>Social Ins.
17%</t>
        </is>
      </c>
      <c r="BB4" s="674" t="inlineStr">
        <is>
          <t>Health Ins.
3%</t>
        </is>
      </c>
      <c r="BC4" s="674" t="inlineStr">
        <is>
          <t>Jobless Ins.
1%</t>
        </is>
      </c>
      <c r="BD4" s="674" t="inlineStr">
        <is>
          <t>Accident &amp; occupational disease
0.5%</t>
        </is>
      </c>
      <c r="BE4" s="674" t="inlineStr">
        <is>
          <t>Total Ins. Employer paid
21.5%</t>
        </is>
      </c>
      <c r="BF4" s="485" t="inlineStr">
        <is>
          <t>Insurance salary 
(SI &amp; HI)</t>
        </is>
      </c>
      <c r="BG4" s="485" t="inlineStr">
        <is>
          <t>Insurance salary
(Jobless)</t>
        </is>
      </c>
      <c r="BH4" s="485" t="inlineStr">
        <is>
          <t>Obligation Health Insurance Employer</t>
        </is>
      </c>
      <c r="BI4" s="485" t="inlineStr">
        <is>
          <t>Obligation Health Insurance Employee</t>
        </is>
      </c>
      <c r="BJ4" s="374" t="inlineStr">
        <is>
          <t>Trade Union
(Company)</t>
        </is>
      </c>
      <c r="BK4" s="374" t="inlineStr">
        <is>
          <t>Trade Union
(Employee)</t>
        </is>
      </c>
      <c r="BL4" s="374" t="inlineStr">
        <is>
          <t>Support Funeral Fund</t>
        </is>
      </c>
      <c r="BM4" s="374" t="inlineStr">
        <is>
          <t>Net salary</t>
        </is>
      </c>
      <c r="BN4" s="374" t="inlineStr">
        <is>
          <t>Benefit TAX</t>
        </is>
      </c>
      <c r="BO4" s="374" t="inlineStr">
        <is>
          <t>PIT payable last year</t>
        </is>
      </c>
      <c r="BP4" s="374" t="inlineStr">
        <is>
          <t xml:space="preserve">Government funds </t>
        </is>
      </c>
      <c r="BQ4" s="374" t="inlineStr">
        <is>
          <t>Total Reduction</t>
        </is>
      </c>
      <c r="BR4" s="374" t="inlineStr">
        <is>
          <t>Total  obligation of employee</t>
        </is>
      </c>
      <c r="BS4" s="504" t="inlineStr">
        <is>
          <t>Tham gia BHXH</t>
        </is>
      </c>
      <c r="BT4" s="504" t="inlineStr">
        <is>
          <t>Personal income tax subjects</t>
        </is>
      </c>
      <c r="BU4" s="504" t="inlineStr">
        <is>
          <t>Participation in Trade Union</t>
        </is>
      </c>
      <c r="BV4" s="504" t="inlineStr">
        <is>
          <t>Participation in bereavement</t>
        </is>
      </c>
      <c r="BW4" s="504" t="inlineStr">
        <is>
          <t>Number of funerals occurring in the period</t>
        </is>
      </c>
      <c r="BX4" s="505" t="inlineStr">
        <is>
          <t>Email</t>
        </is>
      </c>
      <c r="BY4" s="502" t="n"/>
      <c r="BZ4" s="428" t="n"/>
    </row>
    <row r="5" ht="22.5" customFormat="1" customHeight="1" s="461">
      <c r="A5" s="593" t="inlineStr">
        <is>
          <t>Store Management</t>
        </is>
      </c>
      <c r="B5" s="675" t="n"/>
      <c r="C5" s="675" t="n"/>
      <c r="D5" s="676" t="n"/>
      <c r="E5" s="594" t="n"/>
      <c r="F5" s="676" t="n"/>
      <c r="G5" s="462" t="n">
        <v>1</v>
      </c>
      <c r="H5" s="463" t="n"/>
      <c r="I5" s="463" t="n"/>
      <c r="J5" s="677">
        <f>SUM(J6:J6)</f>
        <v/>
      </c>
      <c r="K5" s="677">
        <f>SUM(K6:K6)</f>
        <v/>
      </c>
      <c r="L5" s="677">
        <f>SUM(L6:L6)</f>
        <v/>
      </c>
      <c r="M5" s="677">
        <f>SUM(M6:M6)</f>
        <v/>
      </c>
      <c r="N5" s="678">
        <f>SUM(N6:N6)</f>
        <v/>
      </c>
      <c r="O5" s="678">
        <f>SUM(O6:O6)</f>
        <v/>
      </c>
      <c r="P5" s="679">
        <f>SUM(P6:P6)</f>
        <v/>
      </c>
      <c r="Q5" s="679">
        <f>SUM(Q6:Q6)</f>
        <v/>
      </c>
      <c r="R5" s="677">
        <f>SUM(R6:R6)</f>
        <v/>
      </c>
      <c r="S5" s="679">
        <f>SUM(S6:S6)</f>
        <v/>
      </c>
      <c r="T5" s="679">
        <f>SUM(T6:T6)</f>
        <v/>
      </c>
      <c r="U5" s="677">
        <f>SUM(U6:U6)</f>
        <v/>
      </c>
      <c r="V5" s="677">
        <f>SUM(V6:V6)</f>
        <v/>
      </c>
      <c r="W5" s="677">
        <f>SUM(W6:W6)</f>
        <v/>
      </c>
      <c r="X5" s="677">
        <f>SUM(X6:X6)</f>
        <v/>
      </c>
      <c r="Y5" s="677">
        <f>SUM(Y6:Y6)</f>
        <v/>
      </c>
      <c r="Z5" s="677">
        <f>SUM(Z6:Z6)</f>
        <v/>
      </c>
      <c r="AA5" s="677">
        <f>SUM(AA6:AA6)</f>
        <v/>
      </c>
      <c r="AB5" s="680">
        <f>SUM(AB6:AB6)</f>
        <v/>
      </c>
      <c r="AC5" s="680">
        <f>SUM(AC6:AC6)</f>
        <v/>
      </c>
      <c r="AD5" s="677">
        <f>SUM(AD6:AD6)</f>
        <v/>
      </c>
      <c r="AE5" s="678">
        <f>SUM(AE6:AE6)</f>
        <v/>
      </c>
      <c r="AF5" s="681">
        <f>SUM(AF6:AF6)</f>
        <v/>
      </c>
      <c r="AG5" s="681">
        <f>SUM(AG6:AG6)</f>
        <v/>
      </c>
      <c r="AH5" s="681">
        <f>SUM(AH6:AH6)</f>
        <v/>
      </c>
      <c r="AI5" s="681">
        <f>SUM(AI6:AI6)</f>
        <v/>
      </c>
      <c r="AJ5" s="677">
        <f>SUM(AJ6:AJ6)</f>
        <v/>
      </c>
      <c r="AK5" s="677">
        <f>SUM(AK6:AK6)</f>
        <v/>
      </c>
      <c r="AL5" s="680">
        <f>SUM(AL6:AL6)</f>
        <v/>
      </c>
      <c r="AM5" s="680">
        <f>SUM(AM6:AM6)</f>
        <v/>
      </c>
      <c r="AN5" s="677">
        <f>SUM(AN6:AN6)</f>
        <v/>
      </c>
      <c r="AO5" s="678">
        <f>SUM(AO6:AO6)</f>
        <v/>
      </c>
      <c r="AP5" s="682">
        <f>SUM(AP6:AP6)</f>
        <v/>
      </c>
      <c r="AQ5" s="682">
        <f>SUM(AQ6:AQ6)</f>
        <v/>
      </c>
      <c r="AR5" s="682">
        <f>SUM(AR6:AR6)</f>
        <v/>
      </c>
      <c r="AS5" s="682">
        <f>SUM(AS6:AS6)</f>
        <v/>
      </c>
      <c r="AT5" s="683">
        <f>SUM(AT6:AT6)</f>
        <v/>
      </c>
      <c r="AU5" s="684">
        <f>SUM(AU6:AU6)</f>
        <v/>
      </c>
      <c r="AV5" s="684">
        <f>SUM(AV6:AV6)</f>
        <v/>
      </c>
      <c r="AW5" s="684">
        <f>SUM(AW6:AW6)</f>
        <v/>
      </c>
      <c r="AX5" s="472">
        <f>SUM(AX6:AX6)</f>
        <v/>
      </c>
      <c r="AY5" s="677">
        <f>SUM(AY6:AY6)</f>
        <v/>
      </c>
      <c r="AZ5" s="685">
        <f>SUM(AZ6:AZ6)</f>
        <v/>
      </c>
      <c r="BA5" s="677">
        <f>SUM(BA6:BA6)</f>
        <v/>
      </c>
      <c r="BB5" s="677">
        <f>SUM(BB6:BB6)</f>
        <v/>
      </c>
      <c r="BC5" s="677">
        <f>SUM(BC6:BC6)</f>
        <v/>
      </c>
      <c r="BD5" s="677">
        <f>SUM(BD6:BD6)</f>
        <v/>
      </c>
      <c r="BE5" s="677">
        <f>SUM(BE6:BE6)</f>
        <v/>
      </c>
      <c r="BF5" s="682">
        <f>SUM(BF6:BF6)</f>
        <v/>
      </c>
      <c r="BG5" s="682">
        <f>SUM(BG6:BG6)</f>
        <v/>
      </c>
      <c r="BH5" s="682">
        <f>SUM(BH6:BH6)</f>
        <v/>
      </c>
      <c r="BI5" s="682">
        <f>SUM(BI6:BI6)</f>
        <v/>
      </c>
      <c r="BJ5" s="682">
        <f>SUM(BJ6:BJ6)</f>
        <v/>
      </c>
      <c r="BK5" s="682">
        <f>SUM(BK6:BK6)</f>
        <v/>
      </c>
      <c r="BL5" s="682">
        <f>SUM(BL6:BL6)</f>
        <v/>
      </c>
      <c r="BM5" s="686">
        <f>SUM(BM6:BM6)</f>
        <v/>
      </c>
      <c r="BN5" s="686">
        <f>SUM(BN6:BN6)</f>
        <v/>
      </c>
      <c r="BO5" s="686">
        <f>SUM(BO6:BO6)</f>
        <v/>
      </c>
      <c r="BP5" s="686">
        <f>SUM(BP6:BP6)</f>
        <v/>
      </c>
      <c r="BQ5" s="687">
        <f>SUM(BQ6:BQ6)</f>
        <v/>
      </c>
      <c r="BR5" s="687">
        <f>SUM(BR6:BR6)</f>
        <v/>
      </c>
      <c r="BS5" s="687">
        <f>SUM(BS6:BS6)</f>
        <v/>
      </c>
      <c r="BT5" s="687">
        <f>SUM(BT6:BT6)</f>
        <v/>
      </c>
      <c r="BU5" s="687">
        <f>SUM(BU6:BU6)</f>
        <v/>
      </c>
      <c r="BV5" s="687">
        <f>SUM(BV6:BV6)</f>
        <v/>
      </c>
      <c r="BW5" s="687" t="n"/>
      <c r="BX5" s="687">
        <f>SUM(BX6:BX6)</f>
        <v/>
      </c>
      <c r="BY5" s="421" t="n"/>
    </row>
    <row r="6" ht="22.5" customFormat="1" customHeight="1" s="448">
      <c r="A6" s="430" t="n">
        <v>1</v>
      </c>
      <c r="B6" s="430" t="inlineStr">
        <is>
          <t>SLA2500111</t>
        </is>
      </c>
      <c r="C6" s="430" t="n"/>
      <c r="D6" s="484" t="inlineStr">
        <is>
          <t>Nguyen Thi Ha</t>
        </is>
      </c>
      <c r="E6" s="431" t="inlineStr">
        <is>
          <t>27/07/2015</t>
        </is>
      </c>
      <c r="F6" s="431" t="inlineStr">
        <is>
          <t>PVT - Store Manager</t>
        </is>
      </c>
      <c r="G6" s="432" t="inlineStr">
        <is>
          <t>Store Management</t>
        </is>
      </c>
      <c r="H6" s="433" t="inlineStr">
        <is>
          <t>Manager</t>
        </is>
      </c>
      <c r="I6" s="433" t="inlineStr">
        <is>
          <t>Store Manager - Emart Phan Van Tri</t>
        </is>
      </c>
      <c r="J6" s="688" t="n">
        <v>47000000</v>
      </c>
      <c r="K6" s="689" t="n">
        <v>10870000</v>
      </c>
      <c r="L6" s="689">
        <f>J6-K6</f>
        <v/>
      </c>
      <c r="M6" s="689" t="n">
        <v>26</v>
      </c>
      <c r="N6" s="690">
        <f>IFERROR(VLOOKUP(B6,' TimeTB 1'!$C$22:$AU$23,45,0),0)</f>
        <v/>
      </c>
      <c r="O6" s="690">
        <f>VLOOKUP(B6,'TimeTB 2'!$C$11:$AU$18,45,0)</f>
        <v/>
      </c>
      <c r="P6" s="691">
        <f>ROUND(K6/M6*N6,0)</f>
        <v/>
      </c>
      <c r="Q6" s="691">
        <f>ROUND(K6/M6*O6,0)</f>
        <v/>
      </c>
      <c r="R6" s="692">
        <f>SUM(P6:Q6)</f>
        <v/>
      </c>
      <c r="S6" s="691">
        <f>ROUND(L6/26*N6,0)</f>
        <v/>
      </c>
      <c r="T6" s="691">
        <f>ROUND(L6/26*O6,0)</f>
        <v/>
      </c>
      <c r="U6" s="692">
        <f>SUM(S6:T6)</f>
        <v/>
      </c>
      <c r="V6" s="689" t="n">
        <v>0</v>
      </c>
      <c r="W6" s="689" t="n">
        <v>0</v>
      </c>
      <c r="X6" s="689" t="n">
        <v>0</v>
      </c>
      <c r="Y6" s="689">
        <f>VLOOKUP(B6,'PC cơm '!$B$7:$L$15,11,0)</f>
        <v/>
      </c>
      <c r="Z6" s="692">
        <f>SUM(V6:Y6)</f>
        <v/>
      </c>
      <c r="AA6" s="689">
        <f>VLOOKUP(B6,'OT '!$B$7:$R$14,17,0)</f>
        <v/>
      </c>
      <c r="AB6" s="693">
        <f>VLOOKUP(B6,NS!$B$9:$G$16,6,0)</f>
        <v/>
      </c>
      <c r="AC6" s="693" t="n">
        <v>0</v>
      </c>
      <c r="AD6" s="689" t="n">
        <v>0</v>
      </c>
      <c r="AE6" s="690" t="n">
        <v>0</v>
      </c>
      <c r="AF6" s="694">
        <f>ROUND(J6/26*AE6,0)</f>
        <v/>
      </c>
      <c r="AG6" s="694">
        <f>IFERROR(VLOOKUP(B6,Incentive!$B$9:$H$11,7,0),0)</f>
        <v/>
      </c>
      <c r="AH6" s="694">
        <f>SUMIF(Others!$B$8:$B$15,$B6,Others!$F$8:$F$15)</f>
        <v/>
      </c>
      <c r="AI6" s="694" t="n">
        <v>0</v>
      </c>
      <c r="AJ6" s="689">
        <f>AI6+AH6+AG6+AF6+AD6+AC6+AB6+AA6+Z6+U6+R6+BN6</f>
        <v/>
      </c>
      <c r="AK6" s="689">
        <f>VLOOKUP(B6,'OT '!$B$7:$T$14,19,0)</f>
        <v/>
      </c>
      <c r="AL6" s="693">
        <f>VLOOKUP(B6,NS!$B$9:$I$16,8,0)</f>
        <v/>
      </c>
      <c r="AM6" s="693">
        <f>AI6</f>
        <v/>
      </c>
      <c r="AN6" s="689">
        <f>IF(BT6=1,0,11000000)</f>
        <v/>
      </c>
      <c r="AO6" s="690" t="n">
        <v>4</v>
      </c>
      <c r="AP6" s="695">
        <f>AO6*$AP$3</f>
        <v/>
      </c>
      <c r="AQ6" s="695">
        <f>BF6*$AQ$3</f>
        <v/>
      </c>
      <c r="AR6" s="695">
        <f>BF6*$AR$3</f>
        <v/>
      </c>
      <c r="AS6" s="695">
        <f>BG6*$AS$3</f>
        <v/>
      </c>
      <c r="AT6" s="696">
        <f>+AS6+AR6+AQ6</f>
        <v/>
      </c>
      <c r="AU6" s="697">
        <f>IF(BT6=1,0,MIN(Y6,730000))</f>
        <v/>
      </c>
      <c r="AV6" s="698">
        <f>AJ6-AK6-AL6-AM6-AU6</f>
        <v/>
      </c>
      <c r="AW6" s="698">
        <f>MAX(AV6-AN6-AP6-AT6,0)</f>
        <v/>
      </c>
      <c r="AX6" s="444">
        <f>IF(BT6=1,10%,IF(AW6&gt;0,IF(AW6&gt;80000000,0.35,IF(AW6&gt;52000000,0.3,IF(AW6&gt;32000000,0.25,IF(AW6&gt;18000000,0.2,IF(AW6&gt;10000000,0.15,IF(AW6&gt;5000000,0.1,0.05)))))),0))</f>
        <v/>
      </c>
      <c r="AY6" s="699">
        <f>IF(BT6=1,0,IF(AW6&gt;80000000,9850000,IF(AW6&gt;52000000,5850000,IF(AW6&gt;32000000,3250000,IF(AW6&gt;18000000,1650000,IF(AW6&gt;10000000,750000,IF(AW6&gt;5000000,250000,0)))))))</f>
        <v/>
      </c>
      <c r="AZ6" s="700">
        <f>ROUND(AW6*AX6-AY6,0)</f>
        <v/>
      </c>
      <c r="BA6" s="689">
        <f>BF6*$BA$3</f>
        <v/>
      </c>
      <c r="BB6" s="689">
        <f>BF6*$BB$3</f>
        <v/>
      </c>
      <c r="BC6" s="689">
        <f>BG6*$BC$3</f>
        <v/>
      </c>
      <c r="BD6" s="689">
        <f>BG6*$BD$3</f>
        <v/>
      </c>
      <c r="BE6" s="689">
        <f>SUM(BA6:BD6)</f>
        <v/>
      </c>
      <c r="BF6" s="695">
        <f>MIN((IF(BS6=1,K6,0)),$BF$3)</f>
        <v/>
      </c>
      <c r="BG6" s="695">
        <f>MIN((IF(BS6=1,K6,0)),$BG$3)</f>
        <v/>
      </c>
      <c r="BH6" s="695" t="n">
        <v>0</v>
      </c>
      <c r="BI6" s="695" t="n">
        <v>0</v>
      </c>
      <c r="BJ6" s="695">
        <f>IF(BS6=1,BF6*2%,0)</f>
        <v/>
      </c>
      <c r="BK6" s="695">
        <f>IF(BU6=1,40000,0)</f>
        <v/>
      </c>
      <c r="BL6" s="695">
        <f>IF(BV6=0,0,IF(J6&lt;11000000,5000,IF(J6&lt;25000000,10000,IF(J6&lt;40000000,15000,20000)))*BW6)</f>
        <v/>
      </c>
      <c r="BM6" s="701">
        <f>AJ6-AT6-AZ6-BK6-BL6-BN6-BO6-BP6</f>
        <v/>
      </c>
      <c r="BN6" s="698">
        <f>IFERROR(VLOOKUP(B6,'Benefit tính thuế'!$B$2:$H$5,7,0),0)</f>
        <v/>
      </c>
      <c r="BO6" s="701" t="n">
        <v>0</v>
      </c>
      <c r="BP6" s="701" t="n">
        <v>0</v>
      </c>
      <c r="BQ6" s="702">
        <f>AN6+AP6+AU6</f>
        <v/>
      </c>
      <c r="BR6" s="702">
        <f>+AZ6+AT6</f>
        <v/>
      </c>
      <c r="BS6" s="702" t="n">
        <v>1</v>
      </c>
      <c r="BT6" s="560" t="n">
        <v>0</v>
      </c>
      <c r="BU6" s="702" t="n">
        <v>1</v>
      </c>
      <c r="BV6" s="702" t="n">
        <v>0</v>
      </c>
      <c r="BW6" s="702" t="n">
        <v>20</v>
      </c>
      <c r="BX6" s="375" t="n"/>
      <c r="BY6" s="450" t="n"/>
    </row>
    <row r="7" ht="22.5" customFormat="1" customHeight="1" s="461">
      <c r="A7" s="593" t="inlineStr">
        <is>
          <t>Cooperate Function</t>
        </is>
      </c>
      <c r="B7" s="675" t="n"/>
      <c r="C7" s="675" t="n"/>
      <c r="D7" s="676" t="n"/>
      <c r="E7" s="594" t="n"/>
      <c r="F7" s="676" t="n"/>
      <c r="G7" s="462" t="n">
        <v>1</v>
      </c>
      <c r="H7" s="463" t="n"/>
      <c r="I7" s="463" t="n"/>
      <c r="J7" s="677">
        <f>SUM(J8:J8)</f>
        <v/>
      </c>
      <c r="K7" s="677">
        <f>SUM(K8:K8)</f>
        <v/>
      </c>
      <c r="L7" s="677">
        <f>SUM(L8:L8)</f>
        <v/>
      </c>
      <c r="M7" s="677">
        <f>SUM(M8:M8)</f>
        <v/>
      </c>
      <c r="N7" s="678">
        <f>SUM(N8:N8)</f>
        <v/>
      </c>
      <c r="O7" s="678">
        <f>SUM(O8:O8)</f>
        <v/>
      </c>
      <c r="P7" s="679">
        <f>SUM(P8:P8)</f>
        <v/>
      </c>
      <c r="Q7" s="679">
        <f>SUM(Q8:Q8)</f>
        <v/>
      </c>
      <c r="R7" s="677">
        <f>SUM(R8:R8)</f>
        <v/>
      </c>
      <c r="S7" s="679">
        <f>SUM(S8:S8)</f>
        <v/>
      </c>
      <c r="T7" s="679">
        <f>SUM(T8:T8)</f>
        <v/>
      </c>
      <c r="U7" s="677">
        <f>SUM(U8:U8)</f>
        <v/>
      </c>
      <c r="V7" s="677">
        <f>SUM(V8:V8)</f>
        <v/>
      </c>
      <c r="W7" s="677">
        <f>SUM(W8:W8)</f>
        <v/>
      </c>
      <c r="X7" s="677">
        <f>SUM(X8:X8)</f>
        <v/>
      </c>
      <c r="Y7" s="677">
        <f>SUM(Y8:Y8)</f>
        <v/>
      </c>
      <c r="Z7" s="677">
        <f>SUM(Z8:Z8)</f>
        <v/>
      </c>
      <c r="AA7" s="677">
        <f>SUM(AA8:AA8)</f>
        <v/>
      </c>
      <c r="AB7" s="680">
        <f>SUM(AB8:AB8)</f>
        <v/>
      </c>
      <c r="AC7" s="680">
        <f>SUM(AC8:AC8)</f>
        <v/>
      </c>
      <c r="AD7" s="677">
        <f>SUM(AD8:AD8)</f>
        <v/>
      </c>
      <c r="AE7" s="678">
        <f>SUM(AE8:AE8)</f>
        <v/>
      </c>
      <c r="AF7" s="681">
        <f>SUM(AF8:AF8)</f>
        <v/>
      </c>
      <c r="AG7" s="681">
        <f>SUM(AG8:AG8)</f>
        <v/>
      </c>
      <c r="AH7" s="681">
        <f>SUM(AH8:AH8)</f>
        <v/>
      </c>
      <c r="AI7" s="681">
        <f>SUM(AI8:AI8)</f>
        <v/>
      </c>
      <c r="AJ7" s="677">
        <f>SUM(AJ8:AJ8)</f>
        <v/>
      </c>
      <c r="AK7" s="677">
        <f>SUM(AK8:AK8)</f>
        <v/>
      </c>
      <c r="AL7" s="680">
        <f>SUM(AL8:AL8)</f>
        <v/>
      </c>
      <c r="AM7" s="680">
        <f>SUM(AM8:AM8)</f>
        <v/>
      </c>
      <c r="AN7" s="677">
        <f>SUM(AN8:AN8)</f>
        <v/>
      </c>
      <c r="AO7" s="678">
        <f>SUM(AO8:AO8)</f>
        <v/>
      </c>
      <c r="AP7" s="682">
        <f>SUM(AP8:AP8)</f>
        <v/>
      </c>
      <c r="AQ7" s="682">
        <f>SUM(AQ8:AQ8)</f>
        <v/>
      </c>
      <c r="AR7" s="682">
        <f>SUM(AR8:AR8)</f>
        <v/>
      </c>
      <c r="AS7" s="682">
        <f>SUM(AS8:AS8)</f>
        <v/>
      </c>
      <c r="AT7" s="683">
        <f>SUM(AT8:AT8)</f>
        <v/>
      </c>
      <c r="AU7" s="684">
        <f>SUM(AU8:AU8)</f>
        <v/>
      </c>
      <c r="AV7" s="684">
        <f>SUM(AV8:AV8)</f>
        <v/>
      </c>
      <c r="AW7" s="684">
        <f>SUM(AW8:AW8)</f>
        <v/>
      </c>
      <c r="AX7" s="472">
        <f>SUM(AX8:AX8)</f>
        <v/>
      </c>
      <c r="AY7" s="677">
        <f>SUM(AY8:AY8)</f>
        <v/>
      </c>
      <c r="AZ7" s="685">
        <f>SUM(AZ8:AZ8)</f>
        <v/>
      </c>
      <c r="BA7" s="677">
        <f>SUM(BA8:BA8)</f>
        <v/>
      </c>
      <c r="BB7" s="677">
        <f>SUM(BB8:BB8)</f>
        <v/>
      </c>
      <c r="BC7" s="677">
        <f>SUM(BC8:BC8)</f>
        <v/>
      </c>
      <c r="BD7" s="677">
        <f>SUM(BD8:BD8)</f>
        <v/>
      </c>
      <c r="BE7" s="677">
        <f>SUM(BE8:BE8)</f>
        <v/>
      </c>
      <c r="BF7" s="682">
        <f>SUM(BF8:BF8)</f>
        <v/>
      </c>
      <c r="BG7" s="682">
        <f>SUM(BG8:BG8)</f>
        <v/>
      </c>
      <c r="BH7" s="682">
        <f>SUM(BH8:BH8)</f>
        <v/>
      </c>
      <c r="BI7" s="682">
        <f>SUM(BI8:BI8)</f>
        <v/>
      </c>
      <c r="BJ7" s="682">
        <f>SUM(BJ8:BJ8)</f>
        <v/>
      </c>
      <c r="BK7" s="682">
        <f>SUM(BK8:BK8)</f>
        <v/>
      </c>
      <c r="BL7" s="682">
        <f>SUM(BL8:BL8)</f>
        <v/>
      </c>
      <c r="BM7" s="686">
        <f>SUM(BM8:BM8)</f>
        <v/>
      </c>
      <c r="BN7" s="686">
        <f>SUM(BN8:BN8)</f>
        <v/>
      </c>
      <c r="BO7" s="686">
        <f>SUM(BO8:BO8)</f>
        <v/>
      </c>
      <c r="BP7" s="686">
        <f>SUM(BP8:BP8)</f>
        <v/>
      </c>
      <c r="BQ7" s="687">
        <f>SUM(BQ8:BQ8)</f>
        <v/>
      </c>
      <c r="BR7" s="687">
        <f>SUM(BR8:BR8)</f>
        <v/>
      </c>
      <c r="BS7" s="687">
        <f>SUM(BS8:BS8)</f>
        <v/>
      </c>
      <c r="BT7" s="687">
        <f>SUM(BT8:BT8)</f>
        <v/>
      </c>
      <c r="BU7" s="687">
        <f>SUM(BU8:BU8)</f>
        <v/>
      </c>
      <c r="BV7" s="687">
        <f>SUM(BV8:BV8)</f>
        <v/>
      </c>
      <c r="BW7" s="687" t="n"/>
      <c r="BX7" s="687">
        <f>SUM(BX8:BX8)</f>
        <v/>
      </c>
      <c r="BY7" s="421" t="n"/>
    </row>
    <row r="8" ht="22.5" customFormat="1" customHeight="1" s="448">
      <c r="A8" s="430" t="n">
        <v>1</v>
      </c>
      <c r="B8" s="430" t="inlineStr">
        <is>
          <t>PHI2500112</t>
        </is>
      </c>
      <c r="C8" s="430" t="n"/>
      <c r="D8" s="484" t="inlineStr">
        <is>
          <t>Phung Manh Ha</t>
        </is>
      </c>
      <c r="E8" s="431" t="inlineStr">
        <is>
          <t>19/12/2022</t>
        </is>
      </c>
      <c r="F8" s="431" t="inlineStr">
        <is>
          <t>PVT - Cooperate Function</t>
        </is>
      </c>
      <c r="G8" s="432" t="inlineStr">
        <is>
          <t>Cooperate Function</t>
        </is>
      </c>
      <c r="H8" s="433" t="inlineStr">
        <is>
          <t>Manager</t>
        </is>
      </c>
      <c r="I8" s="433" t="inlineStr">
        <is>
          <t>Corporate Function Manager</t>
        </is>
      </c>
      <c r="J8" s="689" t="n">
        <v>31000000</v>
      </c>
      <c r="K8" s="689" t="n">
        <v>8350000</v>
      </c>
      <c r="L8" s="689">
        <f>J8-K8</f>
        <v/>
      </c>
      <c r="M8" s="689" t="n">
        <v>26</v>
      </c>
      <c r="N8" s="690">
        <f>IFERROR(VLOOKUP(B8,' TimeTB 1'!$C$22:$AU$23,45,0),0)</f>
        <v/>
      </c>
      <c r="O8" s="690">
        <f>VLOOKUP(B8,'TimeTB 2'!$C$11:$AU$18,45,0)</f>
        <v/>
      </c>
      <c r="P8" s="691">
        <f>ROUND((K8/M8*N8),0)</f>
        <v/>
      </c>
      <c r="Q8" s="691">
        <f>ROUND(K8/M8*O8,0)</f>
        <v/>
      </c>
      <c r="R8" s="692">
        <f>SUM(P8:Q8)</f>
        <v/>
      </c>
      <c r="S8" s="691">
        <f>ROUND(L8/26*N8,0)</f>
        <v/>
      </c>
      <c r="T8" s="691">
        <f>ROUND(L8/26*O8,0)</f>
        <v/>
      </c>
      <c r="U8" s="692">
        <f>SUM(S8:T8)</f>
        <v/>
      </c>
      <c r="V8" s="689" t="n">
        <v>0</v>
      </c>
      <c r="W8" s="689" t="n">
        <v>0</v>
      </c>
      <c r="X8" s="689" t="n">
        <v>0</v>
      </c>
      <c r="Y8" s="689">
        <f>VLOOKUP(B8,'PC cơm '!$B$7:$L$15,11,0)</f>
        <v/>
      </c>
      <c r="Z8" s="692">
        <f>SUM(V8:Y8)</f>
        <v/>
      </c>
      <c r="AA8" s="689">
        <f>VLOOKUP(B8,'OT '!$B$7:$R$14,17,0)</f>
        <v/>
      </c>
      <c r="AB8" s="693">
        <f>VLOOKUP(B8,NS!$B$9:$G$16,6,0)</f>
        <v/>
      </c>
      <c r="AC8" s="693" t="n">
        <v>0</v>
      </c>
      <c r="AD8" s="689" t="n">
        <v>0</v>
      </c>
      <c r="AE8" s="690" t="n">
        <v>0</v>
      </c>
      <c r="AF8" s="694">
        <f>ROUND(J8/26*AE8,0)</f>
        <v/>
      </c>
      <c r="AG8" s="694">
        <f>IFERROR(VLOOKUP(B8,Incentive!$B$9:$H$11,7,0),0)</f>
        <v/>
      </c>
      <c r="AH8" s="694">
        <f>SUMIF(Others!$B$8:$B$15,$B8,Others!$F$8:$F$15)</f>
        <v/>
      </c>
      <c r="AI8" s="694" t="n">
        <v>0</v>
      </c>
      <c r="AJ8" s="689">
        <f>AI8+AH8+AG8+AF8+AD8+AC8+AB8+AA8+Z8+U8+R8+BN8</f>
        <v/>
      </c>
      <c r="AK8" s="689">
        <f>VLOOKUP(B8,'OT '!$B$7:$T$14,19,0)</f>
        <v/>
      </c>
      <c r="AL8" s="693">
        <f>VLOOKUP(B8,NS!$B$9:$I$16,8,0)</f>
        <v/>
      </c>
      <c r="AM8" s="693">
        <f>AI8</f>
        <v/>
      </c>
      <c r="AN8" s="689">
        <f>IF(BT8=1,0,11000000)</f>
        <v/>
      </c>
      <c r="AO8" s="690" t="n">
        <v>1</v>
      </c>
      <c r="AP8" s="695">
        <f>AO8*$AP$3</f>
        <v/>
      </c>
      <c r="AQ8" s="695">
        <f>BF8*$AQ$3</f>
        <v/>
      </c>
      <c r="AR8" s="695">
        <f>BF8*$AR$3</f>
        <v/>
      </c>
      <c r="AS8" s="695">
        <f>BG8*$AS$3</f>
        <v/>
      </c>
      <c r="AT8" s="696">
        <f>+AS8+AR8+AQ8</f>
        <v/>
      </c>
      <c r="AU8" s="697">
        <f>IF(BT8=1,0,MIN(Y8,730000))</f>
        <v/>
      </c>
      <c r="AV8" s="698">
        <f>AJ8-AK8-AL8-AM8-AU8</f>
        <v/>
      </c>
      <c r="AW8" s="698">
        <f>MAX(AV8-AN8-AP8-AT8,0)</f>
        <v/>
      </c>
      <c r="AX8" s="444">
        <f>IF(BT8=1,10%,IF(AW8&gt;0,IF(AW8&gt;80000000,0.35,IF(AW8&gt;52000000,0.3,IF(AW8&gt;32000000,0.25,IF(AW8&gt;18000000,0.2,IF(AW8&gt;10000000,0.15,IF(AW8&gt;5000000,0.1,0.05)))))),0))</f>
        <v/>
      </c>
      <c r="AY8" s="699">
        <f>IF(BT8=1,0,IF(AW8&gt;80000000,9850000,IF(AW8&gt;52000000,5850000,IF(AW8&gt;32000000,3250000,IF(AW8&gt;18000000,1650000,IF(AW8&gt;10000000,750000,IF(AW8&gt;5000000,250000,0)))))))</f>
        <v/>
      </c>
      <c r="AZ8" s="700">
        <f>ROUND(AW8*AX8-AY8,0)</f>
        <v/>
      </c>
      <c r="BA8" s="689">
        <f>BF8*$BA$3</f>
        <v/>
      </c>
      <c r="BB8" s="689">
        <f>BF8*$BB$3</f>
        <v/>
      </c>
      <c r="BC8" s="689">
        <f>BG8*$BC$3</f>
        <v/>
      </c>
      <c r="BD8" s="689">
        <f>BG8*$BD$3</f>
        <v/>
      </c>
      <c r="BE8" s="689">
        <f>SUM(BA8:BD8)</f>
        <v/>
      </c>
      <c r="BF8" s="695">
        <f>MIN((IF(BS8=1,K8,0)),$BF$3)</f>
        <v/>
      </c>
      <c r="BG8" s="695">
        <f>MIN((IF(BS8=1,K8,0)),$BG$3)</f>
        <v/>
      </c>
      <c r="BH8" s="695" t="n">
        <v>0</v>
      </c>
      <c r="BI8" s="695" t="n">
        <v>0</v>
      </c>
      <c r="BJ8" s="695">
        <f>IF(BS8=1,BF8*2%,0)</f>
        <v/>
      </c>
      <c r="BK8" s="695">
        <f>IF(BU8=1,40000,0)</f>
        <v/>
      </c>
      <c r="BL8" s="695">
        <f>IF(BV8=0,0,IF(J8&lt;11000000,5000,IF(J8&lt;25000000,10000,IF(J8&lt;40000000,15000,20000)))*BW8)</f>
        <v/>
      </c>
      <c r="BM8" s="701">
        <f>AJ8-AT8-AZ8-BK8-BL8-BN8-BO8-BP8</f>
        <v/>
      </c>
      <c r="BN8" s="698">
        <f>IFERROR(VLOOKUP(B8,'Benefit tính thuế'!$B$2:$H$5,7,0),0)</f>
        <v/>
      </c>
      <c r="BO8" s="701" t="n">
        <v>0</v>
      </c>
      <c r="BP8" s="701" t="n">
        <v>0</v>
      </c>
      <c r="BQ8" s="702">
        <f>AN8+AP8+AU8</f>
        <v/>
      </c>
      <c r="BR8" s="702">
        <f>+AZ8+AT8</f>
        <v/>
      </c>
      <c r="BS8" s="702" t="n">
        <v>1</v>
      </c>
      <c r="BT8" s="560" t="n">
        <v>0</v>
      </c>
      <c r="BU8" s="702" t="n">
        <v>1</v>
      </c>
      <c r="BV8" s="560" t="n">
        <v>1</v>
      </c>
      <c r="BW8" s="702" t="n">
        <v>20</v>
      </c>
      <c r="BX8" s="375" t="n"/>
      <c r="BY8" s="450" t="n"/>
    </row>
    <row r="9" ht="22.5" customFormat="1" customHeight="1" s="461">
      <c r="A9" s="593" t="inlineStr">
        <is>
          <t>Cashier</t>
        </is>
      </c>
      <c r="B9" s="675" t="n"/>
      <c r="C9" s="675" t="n"/>
      <c r="D9" s="676" t="n"/>
      <c r="E9" s="594" t="n"/>
      <c r="F9" s="676" t="n"/>
      <c r="G9" s="462" t="n">
        <v>2</v>
      </c>
      <c r="H9" s="463" t="n"/>
      <c r="I9" s="463" t="n"/>
      <c r="J9" s="677">
        <f>SUM(J10:J11)</f>
        <v/>
      </c>
      <c r="K9" s="677">
        <f>SUM(K10:K11)</f>
        <v/>
      </c>
      <c r="L9" s="677">
        <f>SUM(L10:L11)</f>
        <v/>
      </c>
      <c r="M9" s="677">
        <f>SUM(M10:M11)</f>
        <v/>
      </c>
      <c r="N9" s="678">
        <f>SUM(N10:N11)</f>
        <v/>
      </c>
      <c r="O9" s="678">
        <f>SUM(O10:O11)</f>
        <v/>
      </c>
      <c r="P9" s="679">
        <f>SUM(P10:P11)</f>
        <v/>
      </c>
      <c r="Q9" s="679">
        <f>SUM(Q10:Q11)</f>
        <v/>
      </c>
      <c r="R9" s="677">
        <f>SUM(R10:R11)</f>
        <v/>
      </c>
      <c r="S9" s="679">
        <f>SUM(S10:S11)</f>
        <v/>
      </c>
      <c r="T9" s="679">
        <f>SUM(T10:T11)</f>
        <v/>
      </c>
      <c r="U9" s="677">
        <f>SUM(U10:U11)</f>
        <v/>
      </c>
      <c r="V9" s="677">
        <f>SUM(V10:V11)</f>
        <v/>
      </c>
      <c r="W9" s="677">
        <f>SUM(W10:W11)</f>
        <v/>
      </c>
      <c r="X9" s="677">
        <f>SUM(X10:X11)</f>
        <v/>
      </c>
      <c r="Y9" s="677">
        <f>SUM(Y10:Y11)</f>
        <v/>
      </c>
      <c r="Z9" s="677">
        <f>SUM(Z10:Z11)</f>
        <v/>
      </c>
      <c r="AA9" s="677">
        <f>SUM(AA10:AA11)</f>
        <v/>
      </c>
      <c r="AB9" s="680">
        <f>SUM(AB10:AB11)</f>
        <v/>
      </c>
      <c r="AC9" s="680">
        <f>SUM(AC10:AC11)</f>
        <v/>
      </c>
      <c r="AD9" s="677">
        <f>SUM(AD10:AD11)</f>
        <v/>
      </c>
      <c r="AE9" s="678">
        <f>SUM(AE10:AE11)</f>
        <v/>
      </c>
      <c r="AF9" s="681">
        <f>SUM(AF10:AF11)</f>
        <v/>
      </c>
      <c r="AG9" s="681">
        <f>SUM(AG10:AG11)</f>
        <v/>
      </c>
      <c r="AH9" s="681">
        <f>SUM(AH10:AH11)</f>
        <v/>
      </c>
      <c r="AI9" s="681">
        <f>SUM(AI10:AI11)</f>
        <v/>
      </c>
      <c r="AJ9" s="677">
        <f>SUM(AJ10:AJ11)</f>
        <v/>
      </c>
      <c r="AK9" s="677">
        <f>SUM(AK10:AK11)</f>
        <v/>
      </c>
      <c r="AL9" s="680">
        <f>SUM(AL10:AL11)</f>
        <v/>
      </c>
      <c r="AM9" s="680">
        <f>SUM(AM10:AM11)</f>
        <v/>
      </c>
      <c r="AN9" s="677">
        <f>SUM(AN10:AN11)</f>
        <v/>
      </c>
      <c r="AO9" s="678">
        <f>SUM(AO10:AO11)</f>
        <v/>
      </c>
      <c r="AP9" s="682">
        <f>SUM(AP10:AP11)</f>
        <v/>
      </c>
      <c r="AQ9" s="682">
        <f>SUM(AQ10:AQ11)</f>
        <v/>
      </c>
      <c r="AR9" s="682">
        <f>SUM(AR10:AR11)</f>
        <v/>
      </c>
      <c r="AS9" s="682">
        <f>SUM(AS10:AS11)</f>
        <v/>
      </c>
      <c r="AT9" s="683">
        <f>SUM(AT10:AT11)</f>
        <v/>
      </c>
      <c r="AU9" s="684">
        <f>SUM(AU10:AU11)</f>
        <v/>
      </c>
      <c r="AV9" s="684">
        <f>SUM(AV10:AV11)</f>
        <v/>
      </c>
      <c r="AW9" s="684">
        <f>SUM(AW10:AW11)</f>
        <v/>
      </c>
      <c r="AX9" s="472">
        <f>SUM(AX10:AX11)</f>
        <v/>
      </c>
      <c r="AY9" s="677">
        <f>SUM(AY10:AY11)</f>
        <v/>
      </c>
      <c r="AZ9" s="685">
        <f>SUM(AZ10:AZ11)</f>
        <v/>
      </c>
      <c r="BA9" s="677">
        <f>SUM(BA10:BA11)</f>
        <v/>
      </c>
      <c r="BB9" s="677">
        <f>SUM(BB10:BB11)</f>
        <v/>
      </c>
      <c r="BC9" s="677">
        <f>SUM(BC10:BC11)</f>
        <v/>
      </c>
      <c r="BD9" s="677">
        <f>SUM(BD10:BD11)</f>
        <v/>
      </c>
      <c r="BE9" s="677">
        <f>SUM(BE10:BE11)</f>
        <v/>
      </c>
      <c r="BF9" s="682">
        <f>SUM(BF10:BF11)</f>
        <v/>
      </c>
      <c r="BG9" s="682">
        <f>SUM(BG10:BG11)</f>
        <v/>
      </c>
      <c r="BH9" s="682">
        <f>SUM(BH10:BH11)</f>
        <v/>
      </c>
      <c r="BI9" s="682">
        <f>SUM(BI10:BI11)</f>
        <v/>
      </c>
      <c r="BJ9" s="682">
        <f>SUM(BJ10:BJ11)</f>
        <v/>
      </c>
      <c r="BK9" s="682">
        <f>SUM(BK10:BK11)</f>
        <v/>
      </c>
      <c r="BL9" s="682">
        <f>SUM(BL10:BL11)</f>
        <v/>
      </c>
      <c r="BM9" s="686">
        <f>SUM(BM10:BM11)</f>
        <v/>
      </c>
      <c r="BN9" s="686">
        <f>SUM(BN10:BN11)</f>
        <v/>
      </c>
      <c r="BO9" s="686">
        <f>SUM(BO10:BO11)</f>
        <v/>
      </c>
      <c r="BP9" s="686">
        <f>SUM(BP10:BP11)</f>
        <v/>
      </c>
      <c r="BQ9" s="687">
        <f>SUM(BQ10:BQ11)</f>
        <v/>
      </c>
      <c r="BR9" s="687">
        <f>SUM(BR10:BR11)</f>
        <v/>
      </c>
      <c r="BS9" s="687">
        <f>SUM(BS10:BS11)</f>
        <v/>
      </c>
      <c r="BT9" s="687">
        <f>SUM(BT10:BT11)</f>
        <v/>
      </c>
      <c r="BU9" s="687">
        <f>SUM(BU10:BU11)</f>
        <v/>
      </c>
      <c r="BV9" s="687">
        <f>SUM(BV10:BV11)</f>
        <v/>
      </c>
      <c r="BW9" s="687" t="n"/>
      <c r="BX9" s="687">
        <f>SUM(BX10:BX11)</f>
        <v/>
      </c>
      <c r="BY9" s="421" t="n"/>
    </row>
    <row r="10" ht="22.5" customFormat="1" customHeight="1" s="448">
      <c r="A10" s="430" t="n">
        <v>2</v>
      </c>
      <c r="B10" s="430" t="inlineStr">
        <is>
          <t>PVT2500114</t>
        </is>
      </c>
      <c r="C10" s="430" t="n"/>
      <c r="D10" s="557" t="inlineStr">
        <is>
          <t>Nguyen Duc Khanh</t>
        </is>
      </c>
      <c r="E10" s="558" t="n">
        <v>44562</v>
      </c>
      <c r="F10" s="431" t="inlineStr">
        <is>
          <t xml:space="preserve">PVT - Cashier </t>
        </is>
      </c>
      <c r="G10" s="432" t="inlineStr">
        <is>
          <t>Cashier</t>
        </is>
      </c>
      <c r="H10" s="433" t="inlineStr">
        <is>
          <t>Staff</t>
        </is>
      </c>
      <c r="I10" s="433" t="inlineStr">
        <is>
          <t>Cashier Staff</t>
        </is>
      </c>
      <c r="J10" s="689" t="n">
        <v>8000000</v>
      </c>
      <c r="K10" s="689" t="n">
        <v>5310000</v>
      </c>
      <c r="L10" s="689">
        <f>J10-K10</f>
        <v/>
      </c>
      <c r="M10" s="689" t="n">
        <v>26</v>
      </c>
      <c r="N10" s="690">
        <f>IFERROR(VLOOKUP(B10,' TimeTB 1'!$C$22:$AU$23,45,0),0)</f>
        <v/>
      </c>
      <c r="O10" s="690">
        <f>VLOOKUP(B10,'TimeTB 2'!$C$11:$AU$18,45,0)</f>
        <v/>
      </c>
      <c r="P10" s="691">
        <f>ROUND((K10/M10*N10),0)</f>
        <v/>
      </c>
      <c r="Q10" s="691">
        <f>ROUND(K10/M10*O10,0)</f>
        <v/>
      </c>
      <c r="R10" s="692">
        <f>SUM(P10:Q10)</f>
        <v/>
      </c>
      <c r="S10" s="691">
        <f>ROUND(L10/26*N10,0)</f>
        <v/>
      </c>
      <c r="T10" s="691">
        <f>ROUND(L10/26*O10,0)</f>
        <v/>
      </c>
      <c r="U10" s="692">
        <f>SUM(S10:T10)</f>
        <v/>
      </c>
      <c r="V10" s="689" t="n">
        <v>0</v>
      </c>
      <c r="W10" s="689" t="n">
        <v>0</v>
      </c>
      <c r="X10" s="689" t="n">
        <v>0</v>
      </c>
      <c r="Y10" s="689">
        <f>VLOOKUP(B10,'PC cơm '!$B$7:$L$15,11,0)</f>
        <v/>
      </c>
      <c r="Z10" s="692">
        <f>SUM(V10:Y10)</f>
        <v/>
      </c>
      <c r="AA10" s="689">
        <f>VLOOKUP(B10,'OT '!$B$7:$R$14,17,0)</f>
        <v/>
      </c>
      <c r="AB10" s="693">
        <f>VLOOKUP(B10,NS!$B$9:$G$16,6,0)</f>
        <v/>
      </c>
      <c r="AC10" s="693" t="n">
        <v>0</v>
      </c>
      <c r="AD10" s="689" t="n">
        <v>0</v>
      </c>
      <c r="AE10" s="690" t="n">
        <v>4</v>
      </c>
      <c r="AF10" s="694">
        <f>ROUND(J10/26*AE10,0)</f>
        <v/>
      </c>
      <c r="AG10" s="694">
        <f>IFERROR(VLOOKUP(B10,Incentive!$B$9:$H$11,7,0),0)</f>
        <v/>
      </c>
      <c r="AH10" s="694">
        <f>SUMIF(Others!$B$8:$B$15,$B10,Others!$F$8:$F$15)</f>
        <v/>
      </c>
      <c r="AI10" s="694" t="n">
        <v>0</v>
      </c>
      <c r="AJ10" s="689">
        <f>AI10+AH10+AG10+AF10+AD10+AC10+AB10+AA10+Z10+U10+R10+BN10</f>
        <v/>
      </c>
      <c r="AK10" s="689">
        <f>VLOOKUP(B10,'OT '!$B$7:$T$14,19,0)</f>
        <v/>
      </c>
      <c r="AL10" s="693">
        <f>VLOOKUP(B10,NS!$B$9:$I$16,8,0)</f>
        <v/>
      </c>
      <c r="AM10" s="693">
        <f>AI10</f>
        <v/>
      </c>
      <c r="AN10" s="689">
        <f>IF(BT10=1,0,11000000)</f>
        <v/>
      </c>
      <c r="AO10" s="690" t="n">
        <v>0</v>
      </c>
      <c r="AP10" s="695">
        <f>AO10*$AP$3</f>
        <v/>
      </c>
      <c r="AQ10" s="695">
        <f>BF10*$AQ$3</f>
        <v/>
      </c>
      <c r="AR10" s="695">
        <f>BF10*$AR$3</f>
        <v/>
      </c>
      <c r="AS10" s="695">
        <f>BG10*$AS$3</f>
        <v/>
      </c>
      <c r="AT10" s="696">
        <f>+AS10+AR10+AQ10</f>
        <v/>
      </c>
      <c r="AU10" s="697">
        <f>IF(BT10=1,0,MIN(Y10,730000))</f>
        <v/>
      </c>
      <c r="AV10" s="698">
        <f>AJ10-AK10-AL10-AM10-AU10</f>
        <v/>
      </c>
      <c r="AW10" s="698">
        <f>MAX(AV10-AN10-AP10-AT10,0)</f>
        <v/>
      </c>
      <c r="AX10" s="444">
        <f>IF(BT10=1,10%,IF(AW10&gt;0,IF(AW10&gt;80000000,0.35,IF(AW10&gt;52000000,0.3,IF(AW10&gt;32000000,0.25,IF(AW10&gt;18000000,0.2,IF(AW10&gt;10000000,0.15,IF(AW10&gt;5000000,0.1,0.05)))))),0))</f>
        <v/>
      </c>
      <c r="AY10" s="699">
        <f>IF(BT10=1,0,IF(AW10&gt;80000000,9850000,IF(AW10&gt;52000000,5850000,IF(AW10&gt;32000000,3250000,IF(AW10&gt;18000000,1650000,IF(AW10&gt;10000000,750000,IF(AW10&gt;5000000,250000,0)))))))</f>
        <v/>
      </c>
      <c r="AZ10" s="700">
        <f>ROUND(AW10*AX10-AY10,0)</f>
        <v/>
      </c>
      <c r="BA10" s="689">
        <f>BF10*$BA$3</f>
        <v/>
      </c>
      <c r="BB10" s="689">
        <f>BF10*$BB$3</f>
        <v/>
      </c>
      <c r="BC10" s="689">
        <f>BG10*$BC$3</f>
        <v/>
      </c>
      <c r="BD10" s="689">
        <f>BG10*$BD$3</f>
        <v/>
      </c>
      <c r="BE10" s="689">
        <f>SUM(BA10:BD10)</f>
        <v/>
      </c>
      <c r="BF10" s="695">
        <f>MIN((IF(BS10=1,K10,0)),$BF$3)</f>
        <v/>
      </c>
      <c r="BG10" s="695">
        <f>MIN((IF(BS10=1,K10,0)),$BG$3)</f>
        <v/>
      </c>
      <c r="BH10" s="695" t="n">
        <v>0</v>
      </c>
      <c r="BI10" s="695" t="n">
        <v>0</v>
      </c>
      <c r="BJ10" s="695">
        <f>IF(BS10=1,BF10*2%,0)</f>
        <v/>
      </c>
      <c r="BK10" s="695">
        <f>IF(BU10=1,40000,0)</f>
        <v/>
      </c>
      <c r="BL10" s="695">
        <f>IF(BV10=0,0,IF(J10&lt;11000000,5000,IF(J10&lt;25000000,10000,IF(J10&lt;40000000,15000,20000)))*BW10)</f>
        <v/>
      </c>
      <c r="BM10" s="701">
        <f>AJ10-AT10-AZ10-BK10-BL10-BN10-BO10-BP10</f>
        <v/>
      </c>
      <c r="BN10" s="698">
        <f>IFERROR(VLOOKUP(B10,'Benefit tính thuế'!$B$2:$H$5,7,0),0)</f>
        <v/>
      </c>
      <c r="BO10" s="701" t="n">
        <v>0</v>
      </c>
      <c r="BP10" s="701" t="n">
        <v>0</v>
      </c>
      <c r="BQ10" s="702">
        <f>AN10+AP10+AU10</f>
        <v/>
      </c>
      <c r="BR10" s="702">
        <f>+AZ10+AT10</f>
        <v/>
      </c>
      <c r="BS10" s="560" t="n">
        <v>0</v>
      </c>
      <c r="BT10" s="560" t="n">
        <v>0</v>
      </c>
      <c r="BU10" s="560" t="n">
        <v>0</v>
      </c>
      <c r="BV10" s="560" t="n">
        <v>0</v>
      </c>
      <c r="BW10" s="702" t="n">
        <v>20</v>
      </c>
      <c r="BX10" s="375" t="n"/>
      <c r="BY10" s="450" t="n"/>
    </row>
    <row r="11" ht="22.5" customFormat="1" customHeight="1" s="448">
      <c r="A11" s="430" t="n">
        <v>3</v>
      </c>
      <c r="B11" s="430" t="inlineStr">
        <is>
          <t>PVT2500115</t>
        </is>
      </c>
      <c r="C11" s="430" t="n"/>
      <c r="D11" s="559" t="inlineStr">
        <is>
          <t>Nguyen Son Tung</t>
        </is>
      </c>
      <c r="E11" s="558" t="n">
        <v>45740</v>
      </c>
      <c r="F11" s="431" t="inlineStr">
        <is>
          <t xml:space="preserve">PVT - Cashier </t>
        </is>
      </c>
      <c r="G11" s="432" t="inlineStr">
        <is>
          <t>Cashier</t>
        </is>
      </c>
      <c r="H11" s="433" t="inlineStr">
        <is>
          <t>Staff</t>
        </is>
      </c>
      <c r="I11" s="433" t="inlineStr">
        <is>
          <t>Cashier Staff</t>
        </is>
      </c>
      <c r="J11" s="689" t="n">
        <v>8500000</v>
      </c>
      <c r="K11" s="689" t="n">
        <v>5310000</v>
      </c>
      <c r="L11" s="689">
        <f>J11-K11</f>
        <v/>
      </c>
      <c r="M11" s="689" t="n">
        <v>26</v>
      </c>
      <c r="N11" s="690">
        <f>IFERROR(VLOOKUP(B11,' TimeTB 1'!$C$22:$AU$23,45,0),0)</f>
        <v/>
      </c>
      <c r="O11" s="690">
        <f>VLOOKUP(B11,'TimeTB 2'!$C$11:$AU$18,45,0)</f>
        <v/>
      </c>
      <c r="P11" s="691">
        <f>ROUND((K11/M11*N11),0)</f>
        <v/>
      </c>
      <c r="Q11" s="691">
        <f>ROUND(K11/M11*O11,0)</f>
        <v/>
      </c>
      <c r="R11" s="692">
        <f>SUM(P11:Q11)</f>
        <v/>
      </c>
      <c r="S11" s="691">
        <f>ROUND(L11/26*N11,0)</f>
        <v/>
      </c>
      <c r="T11" s="691">
        <f>ROUND(L11/26*O11,0)</f>
        <v/>
      </c>
      <c r="U11" s="692">
        <f>SUM(S11:T11)</f>
        <v/>
      </c>
      <c r="V11" s="689" t="n">
        <v>0</v>
      </c>
      <c r="W11" s="689" t="n">
        <v>0</v>
      </c>
      <c r="X11" s="689" t="n">
        <v>0</v>
      </c>
      <c r="Y11" s="689">
        <f>VLOOKUP(B11,'PC cơm '!$B$7:$L$15,11,0)</f>
        <v/>
      </c>
      <c r="Z11" s="692">
        <f>SUM(V11:Y11)</f>
        <v/>
      </c>
      <c r="AA11" s="689">
        <f>VLOOKUP(B11,'OT '!$B$7:$R$14,17,0)</f>
        <v/>
      </c>
      <c r="AB11" s="693">
        <f>VLOOKUP(B11,NS!$B$9:$G$16,6,0)</f>
        <v/>
      </c>
      <c r="AC11" s="693" t="n">
        <v>0</v>
      </c>
      <c r="AD11" s="689" t="n">
        <v>0</v>
      </c>
      <c r="AE11" s="690" t="n">
        <v>0</v>
      </c>
      <c r="AF11" s="694">
        <f>ROUND(J11/26*AE11,0)</f>
        <v/>
      </c>
      <c r="AG11" s="694">
        <f>IFERROR(VLOOKUP(B11,Incentive!$B$9:$H$11,7,0),0)</f>
        <v/>
      </c>
      <c r="AH11" s="694">
        <f>SUMIF(Others!$B$8:$B$15,$B11,Others!$F$8:$F$15)</f>
        <v/>
      </c>
      <c r="AI11" s="694" t="n">
        <v>0</v>
      </c>
      <c r="AJ11" s="689">
        <f>AI11+AH11+AG11+AF11+AD11+AC11+AB11+AA11+Z11+U11+R11+BN11</f>
        <v/>
      </c>
      <c r="AK11" s="689">
        <f>VLOOKUP(B11,'OT '!$B$7:$T$14,19,0)</f>
        <v/>
      </c>
      <c r="AL11" s="693">
        <f>VLOOKUP(B11,NS!$B$9:$I$16,8,0)</f>
        <v/>
      </c>
      <c r="AM11" s="693">
        <f>AI11</f>
        <v/>
      </c>
      <c r="AN11" s="689">
        <f>IF(BT11=1,0,11000000)</f>
        <v/>
      </c>
      <c r="AO11" s="690" t="n">
        <v>0</v>
      </c>
      <c r="AP11" s="695">
        <f>AO11*$AP$3</f>
        <v/>
      </c>
      <c r="AQ11" s="695">
        <f>BF11*$AQ$3</f>
        <v/>
      </c>
      <c r="AR11" s="695">
        <f>BF11*$AR$3</f>
        <v/>
      </c>
      <c r="AS11" s="695">
        <f>BG11*$AS$3</f>
        <v/>
      </c>
      <c r="AT11" s="696">
        <f>+AS11+AR11+AQ11</f>
        <v/>
      </c>
      <c r="AU11" s="697">
        <f>IF(BT11=1,0,MIN(Y11,730000))</f>
        <v/>
      </c>
      <c r="AV11" s="698">
        <f>AJ11-AK11-AL11-AM11-AU11</f>
        <v/>
      </c>
      <c r="AW11" s="698">
        <f>MAX(AV11-AN11-AP11-AT11,0)</f>
        <v/>
      </c>
      <c r="AX11" s="444">
        <f>IF(BT11=1,10%,IF(AW11&gt;0,IF(AW11&gt;80000000,0.35,IF(AW11&gt;52000000,0.3,IF(AW11&gt;32000000,0.25,IF(AW11&gt;18000000,0.2,IF(AW11&gt;10000000,0.15,IF(AW11&gt;5000000,0.1,0.05)))))),0))</f>
        <v/>
      </c>
      <c r="AY11" s="699">
        <f>IF(BT11=1,0,IF(AW11&gt;80000000,9850000,IF(AW11&gt;52000000,5850000,IF(AW11&gt;32000000,3250000,IF(AW11&gt;18000000,1650000,IF(AW11&gt;10000000,750000,IF(AW11&gt;5000000,250000,0)))))))</f>
        <v/>
      </c>
      <c r="AZ11" s="700">
        <f>ROUND(AW11*AX11-AY11,0)</f>
        <v/>
      </c>
      <c r="BA11" s="689">
        <f>BF11*$BA$3</f>
        <v/>
      </c>
      <c r="BB11" s="689">
        <f>BF11*$BB$3</f>
        <v/>
      </c>
      <c r="BC11" s="689">
        <f>BG11*$BC$3</f>
        <v/>
      </c>
      <c r="BD11" s="689">
        <f>BG11*$BD$3</f>
        <v/>
      </c>
      <c r="BE11" s="689">
        <f>SUM(BA11:BD11)</f>
        <v/>
      </c>
      <c r="BF11" s="695">
        <f>MIN((IF(BS11=1,K11,0)),$BF$3)</f>
        <v/>
      </c>
      <c r="BG11" s="695">
        <f>MIN((IF(BS11=1,K11,0)),$BG$3)</f>
        <v/>
      </c>
      <c r="BH11" s="695" t="n">
        <v>0</v>
      </c>
      <c r="BI11" s="695" t="n">
        <v>0</v>
      </c>
      <c r="BJ11" s="695">
        <f>IF(BS11=1,BF11*2%,0)</f>
        <v/>
      </c>
      <c r="BK11" s="695">
        <f>IF(BU11=1,40000,0)</f>
        <v/>
      </c>
      <c r="BL11" s="695">
        <f>IF(BV11=0,0,IF(J11&lt;11000000,5000,IF(J11&lt;25000000,10000,IF(J11&lt;40000000,15000,20000)))*BW11)</f>
        <v/>
      </c>
      <c r="BM11" s="701">
        <f>AJ11-AT11-AZ11-BK11-BL11-BN11-BO11-BP11</f>
        <v/>
      </c>
      <c r="BN11" s="698">
        <f>IFERROR(VLOOKUP(B11,'Benefit tính thuế'!$B$2:$H$5,7,0),0)</f>
        <v/>
      </c>
      <c r="BO11" s="701" t="n">
        <v>0</v>
      </c>
      <c r="BP11" s="701" t="n">
        <v>0</v>
      </c>
      <c r="BQ11" s="702">
        <f>AN11+AP11+AU11</f>
        <v/>
      </c>
      <c r="BR11" s="702">
        <f>+AZ11+AT11</f>
        <v/>
      </c>
      <c r="BS11" s="560" t="n">
        <v>0</v>
      </c>
      <c r="BT11" s="702" t="n">
        <v>1</v>
      </c>
      <c r="BU11" s="560" t="n">
        <v>0</v>
      </c>
      <c r="BV11" s="560" t="n">
        <v>0</v>
      </c>
      <c r="BW11" s="702" t="n">
        <v>20</v>
      </c>
      <c r="BX11" s="375" t="n"/>
      <c r="BY11" s="450" t="n"/>
    </row>
    <row r="12" ht="22.5" customFormat="1" customHeight="1" s="461">
      <c r="A12" s="593" t="inlineStr">
        <is>
          <t xml:space="preserve">Quality Assurance </t>
        </is>
      </c>
      <c r="B12" s="675" t="n"/>
      <c r="C12" s="675" t="n"/>
      <c r="D12" s="676" t="n"/>
      <c r="E12" s="594" t="n"/>
      <c r="F12" s="676" t="n"/>
      <c r="G12" s="462" t="n">
        <v>1</v>
      </c>
      <c r="H12" s="463" t="n"/>
      <c r="I12" s="463" t="n"/>
      <c r="J12" s="677">
        <f>SUM(J13:J13)</f>
        <v/>
      </c>
      <c r="K12" s="677">
        <f>SUM(K13:K13)</f>
        <v/>
      </c>
      <c r="L12" s="677">
        <f>SUM(L13:L13)</f>
        <v/>
      </c>
      <c r="M12" s="677">
        <f>SUM(M13:M13)</f>
        <v/>
      </c>
      <c r="N12" s="678">
        <f>SUM(N13:N13)</f>
        <v/>
      </c>
      <c r="O12" s="678">
        <f>SUM(O13:O13)</f>
        <v/>
      </c>
      <c r="P12" s="679">
        <f>SUM(P13:P13)</f>
        <v/>
      </c>
      <c r="Q12" s="679">
        <f>SUM(Q13:Q13)</f>
        <v/>
      </c>
      <c r="R12" s="677">
        <f>SUM(R13:R13)</f>
        <v/>
      </c>
      <c r="S12" s="679">
        <f>SUM(S13:S13)</f>
        <v/>
      </c>
      <c r="T12" s="679">
        <f>SUM(T13:T13)</f>
        <v/>
      </c>
      <c r="U12" s="677">
        <f>SUM(U13:U13)</f>
        <v/>
      </c>
      <c r="V12" s="677">
        <f>SUM(V13:V13)</f>
        <v/>
      </c>
      <c r="W12" s="677">
        <f>SUM(W13:W13)</f>
        <v/>
      </c>
      <c r="X12" s="677">
        <f>SUM(X13:X13)</f>
        <v/>
      </c>
      <c r="Y12" s="677">
        <f>SUM(Y13:Y13)</f>
        <v/>
      </c>
      <c r="Z12" s="677">
        <f>SUM(Z13:Z13)</f>
        <v/>
      </c>
      <c r="AA12" s="677">
        <f>SUM(AA13:AA13)</f>
        <v/>
      </c>
      <c r="AB12" s="680">
        <f>SUM(AB13:AB13)</f>
        <v/>
      </c>
      <c r="AC12" s="680">
        <f>SUM(AC13:AC13)</f>
        <v/>
      </c>
      <c r="AD12" s="677">
        <f>SUM(AD13:AD13)</f>
        <v/>
      </c>
      <c r="AE12" s="678">
        <f>SUM(AE13:AE13)</f>
        <v/>
      </c>
      <c r="AF12" s="681">
        <f>SUM(AF13:AF13)</f>
        <v/>
      </c>
      <c r="AG12" s="681">
        <f>SUM(AG13:AG13)</f>
        <v/>
      </c>
      <c r="AH12" s="681">
        <f>SUM(AH13:AH13)</f>
        <v/>
      </c>
      <c r="AI12" s="681">
        <f>SUM(AI13:AI13)</f>
        <v/>
      </c>
      <c r="AJ12" s="677">
        <f>SUM(AJ13:AJ13)</f>
        <v/>
      </c>
      <c r="AK12" s="677">
        <f>SUM(AK13:AK13)</f>
        <v/>
      </c>
      <c r="AL12" s="680">
        <f>SUM(AL13:AL13)</f>
        <v/>
      </c>
      <c r="AM12" s="680">
        <f>SUM(AM13:AM13)</f>
        <v/>
      </c>
      <c r="AN12" s="677">
        <f>SUM(AN13:AN13)</f>
        <v/>
      </c>
      <c r="AO12" s="678">
        <f>SUM(AO13:AO13)</f>
        <v/>
      </c>
      <c r="AP12" s="682">
        <f>SUM(AP13:AP13)</f>
        <v/>
      </c>
      <c r="AQ12" s="682">
        <f>SUM(AQ13:AQ13)</f>
        <v/>
      </c>
      <c r="AR12" s="682">
        <f>SUM(AR13:AR13)</f>
        <v/>
      </c>
      <c r="AS12" s="682">
        <f>SUM(AS13:AS13)</f>
        <v/>
      </c>
      <c r="AT12" s="683">
        <f>SUM(AT13:AT13)</f>
        <v/>
      </c>
      <c r="AU12" s="684">
        <f>SUM(AU13:AU13)</f>
        <v/>
      </c>
      <c r="AV12" s="684">
        <f>SUM(AV13:AV13)</f>
        <v/>
      </c>
      <c r="AW12" s="684">
        <f>SUM(AW13:AW13)</f>
        <v/>
      </c>
      <c r="AX12" s="472">
        <f>SUM(AX13:AX13)</f>
        <v/>
      </c>
      <c r="AY12" s="677">
        <f>SUM(AY13:AY13)</f>
        <v/>
      </c>
      <c r="AZ12" s="685">
        <f>SUM(AZ13:AZ13)</f>
        <v/>
      </c>
      <c r="BA12" s="677">
        <f>SUM(BA13:BA13)</f>
        <v/>
      </c>
      <c r="BB12" s="677">
        <f>SUM(BB13:BB13)</f>
        <v/>
      </c>
      <c r="BC12" s="677">
        <f>SUM(BC13:BC13)</f>
        <v/>
      </c>
      <c r="BD12" s="677">
        <f>SUM(BD13:BD13)</f>
        <v/>
      </c>
      <c r="BE12" s="677">
        <f>SUM(BE13:BE13)</f>
        <v/>
      </c>
      <c r="BF12" s="682">
        <f>SUM(BF13:BF13)</f>
        <v/>
      </c>
      <c r="BG12" s="682">
        <f>SUM(BG13:BG13)</f>
        <v/>
      </c>
      <c r="BH12" s="682">
        <f>SUM(BH13:BH13)</f>
        <v/>
      </c>
      <c r="BI12" s="682">
        <f>SUM(BI13:BI13)</f>
        <v/>
      </c>
      <c r="BJ12" s="682">
        <f>SUM(BJ13:BJ13)</f>
        <v/>
      </c>
      <c r="BK12" s="682">
        <f>SUM(BK13:BK13)</f>
        <v/>
      </c>
      <c r="BL12" s="682">
        <f>SUM(BL13:BL13)</f>
        <v/>
      </c>
      <c r="BM12" s="686">
        <f>SUM(BM13:BM13)</f>
        <v/>
      </c>
      <c r="BN12" s="686">
        <f>SUM(BN13:BN13)</f>
        <v/>
      </c>
      <c r="BO12" s="686">
        <f>SUM(BO13:BO13)</f>
        <v/>
      </c>
      <c r="BP12" s="686">
        <f>SUM(BP13:BP13)</f>
        <v/>
      </c>
      <c r="BQ12" s="687">
        <f>SUM(BQ13:BQ13)</f>
        <v/>
      </c>
      <c r="BR12" s="687">
        <f>SUM(BR13:BR13)</f>
        <v/>
      </c>
      <c r="BS12" s="687">
        <f>SUM(BS13:BS13)</f>
        <v/>
      </c>
      <c r="BT12" s="687">
        <f>SUM(BT13:BT13)</f>
        <v/>
      </c>
      <c r="BU12" s="687">
        <f>SUM(BU13:BU13)</f>
        <v/>
      </c>
      <c r="BV12" s="687">
        <f>SUM(BV13:BV13)</f>
        <v/>
      </c>
      <c r="BW12" s="687" t="n"/>
      <c r="BX12" s="687">
        <f>SUM(BX13:BX13)</f>
        <v/>
      </c>
      <c r="BY12" s="421" t="n"/>
    </row>
    <row r="13" ht="22.5" customFormat="1" customHeight="1" s="448">
      <c r="A13" s="430" t="n">
        <v>1</v>
      </c>
      <c r="B13" s="430" t="inlineStr">
        <is>
          <t>PVT2500116</t>
        </is>
      </c>
      <c r="C13" s="430" t="n"/>
      <c r="D13" s="484" t="inlineStr">
        <is>
          <t>Nguyen Quang Cuong</t>
        </is>
      </c>
      <c r="E13" s="431" t="inlineStr">
        <is>
          <t>12/10/2016</t>
        </is>
      </c>
      <c r="F13" s="431" t="inlineStr">
        <is>
          <t xml:space="preserve">PVT - Quality Assurance </t>
        </is>
      </c>
      <c r="G13" s="432" t="inlineStr">
        <is>
          <t xml:space="preserve">Quality Assurance </t>
        </is>
      </c>
      <c r="H13" s="433" t="inlineStr">
        <is>
          <t>Assistant</t>
        </is>
      </c>
      <c r="I13" s="703" t="inlineStr">
        <is>
          <t>QA Assistant</t>
        </is>
      </c>
      <c r="J13" s="689" t="n">
        <v>7056000</v>
      </c>
      <c r="K13" s="689" t="n">
        <v>5310000</v>
      </c>
      <c r="L13" s="689">
        <f>J13-K13</f>
        <v/>
      </c>
      <c r="M13" s="689" t="n">
        <v>26</v>
      </c>
      <c r="N13" s="690">
        <f>IFERROR(VLOOKUP(B13,' TimeTB 1'!$C$22:$AU$23,45,0),0)</f>
        <v/>
      </c>
      <c r="O13" s="690">
        <f>VLOOKUP(B13,'TimeTB 2'!$C$11:$AU$18,45,0)</f>
        <v/>
      </c>
      <c r="P13" s="691">
        <f>ROUND((K13/M13*N13),0)</f>
        <v/>
      </c>
      <c r="Q13" s="691">
        <f>ROUND(K13/M13*O13,0)</f>
        <v/>
      </c>
      <c r="R13" s="692">
        <f>SUM(P13:Q13)</f>
        <v/>
      </c>
      <c r="S13" s="691">
        <f>ROUND(L13/26*N13,0)</f>
        <v/>
      </c>
      <c r="T13" s="691">
        <f>ROUND(L13/26*O13,0)</f>
        <v/>
      </c>
      <c r="U13" s="692">
        <f>SUM(S13:T13)</f>
        <v/>
      </c>
      <c r="V13" s="689" t="n">
        <v>0</v>
      </c>
      <c r="W13" s="689" t="n">
        <v>0</v>
      </c>
      <c r="X13" s="689" t="n">
        <v>0</v>
      </c>
      <c r="Y13" s="689">
        <f>VLOOKUP(B13,'PC cơm '!$B$7:$L$15,11,0)</f>
        <v/>
      </c>
      <c r="Z13" s="692">
        <f>SUM(V13:Y13)</f>
        <v/>
      </c>
      <c r="AA13" s="689">
        <f>VLOOKUP(B13,'OT '!$B$7:$R$14,17,0)</f>
        <v/>
      </c>
      <c r="AB13" s="693">
        <f>VLOOKUP(B13,NS!$B$9:$G$16,6,0)</f>
        <v/>
      </c>
      <c r="AC13" s="693" t="n">
        <v>0</v>
      </c>
      <c r="AD13" s="689" t="n">
        <v>0</v>
      </c>
      <c r="AE13" s="690" t="n">
        <v>0</v>
      </c>
      <c r="AF13" s="694">
        <f>ROUND(J13/26*AE13,0)</f>
        <v/>
      </c>
      <c r="AG13" s="694">
        <f>IFERROR(VLOOKUP(B13,Incentive!$B$9:$H$11,7,0),0)</f>
        <v/>
      </c>
      <c r="AH13" s="694">
        <f>SUMIF(Others!$B$8:$B$15,$B13,Others!$F$8:$F$15)</f>
        <v/>
      </c>
      <c r="AI13" s="694" t="n">
        <v>0</v>
      </c>
      <c r="AJ13" s="689">
        <f>AI13+AH13+AG13+AF13+AD13+AC13+AB13+AA13+Z13+U13+R13+BN13</f>
        <v/>
      </c>
      <c r="AK13" s="689">
        <f>VLOOKUP(B13,'OT '!$B$7:$T$14,19,0)</f>
        <v/>
      </c>
      <c r="AL13" s="693">
        <f>VLOOKUP(B13,NS!$B$9:$I$16,8,0)</f>
        <v/>
      </c>
      <c r="AM13" s="693">
        <f>AI13</f>
        <v/>
      </c>
      <c r="AN13" s="689">
        <f>IF(BT13=1,0,11000000)</f>
        <v/>
      </c>
      <c r="AO13" s="690" t="n">
        <v>0</v>
      </c>
      <c r="AP13" s="695">
        <f>AO13*$AP$3</f>
        <v/>
      </c>
      <c r="AQ13" s="695">
        <f>BF13*$AQ$3</f>
        <v/>
      </c>
      <c r="AR13" s="695">
        <f>BF13*$AR$3</f>
        <v/>
      </c>
      <c r="AS13" s="695">
        <f>BG13*$AS$3</f>
        <v/>
      </c>
      <c r="AT13" s="696">
        <f>+AS13+AR13+AQ13</f>
        <v/>
      </c>
      <c r="AU13" s="697">
        <f>IF(BT13=1,0,MIN(Y13,730000))</f>
        <v/>
      </c>
      <c r="AV13" s="698">
        <f>AJ13-AK13-AL13-AM13-AU13</f>
        <v/>
      </c>
      <c r="AW13" s="698">
        <f>MAX(AV13-AN13-AP13-AT13,0)</f>
        <v/>
      </c>
      <c r="AX13" s="444">
        <f>IF(BT13=1,10%,IF(AW13&gt;0,IF(AW13&gt;80000000,0.35,IF(AW13&gt;52000000,0.3,IF(AW13&gt;32000000,0.25,IF(AW13&gt;18000000,0.2,IF(AW13&gt;10000000,0.15,IF(AW13&gt;5000000,0.1,0.05)))))),0))</f>
        <v/>
      </c>
      <c r="AY13" s="699">
        <f>IF(BT13=1,0,IF(AW13&gt;80000000,9850000,IF(AW13&gt;52000000,5850000,IF(AW13&gt;32000000,3250000,IF(AW13&gt;18000000,1650000,IF(AW13&gt;10000000,750000,IF(AW13&gt;5000000,250000,0)))))))</f>
        <v/>
      </c>
      <c r="AZ13" s="700">
        <f>ROUND(AW13*AX13-AY13,0)</f>
        <v/>
      </c>
      <c r="BA13" s="689">
        <f>BF13*$BA$3</f>
        <v/>
      </c>
      <c r="BB13" s="689">
        <f>BF13*$BB$3</f>
        <v/>
      </c>
      <c r="BC13" s="689">
        <f>BG13*$BC$3</f>
        <v/>
      </c>
      <c r="BD13" s="689">
        <f>BG13*$BD$3</f>
        <v/>
      </c>
      <c r="BE13" s="689">
        <f>SUM(BA13:BD13)</f>
        <v/>
      </c>
      <c r="BF13" s="695">
        <f>MIN((IF(BS13=1,K13,0)),$BF$3)</f>
        <v/>
      </c>
      <c r="BG13" s="695">
        <f>MIN((IF(BS13=1,K13,0)),$BG$3)</f>
        <v/>
      </c>
      <c r="BH13" s="695" t="n">
        <v>0</v>
      </c>
      <c r="BI13" s="695" t="n">
        <v>0</v>
      </c>
      <c r="BJ13" s="695">
        <f>IF(BS13=1,BF13*2%,0)</f>
        <v/>
      </c>
      <c r="BK13" s="695">
        <f>IF(BU13=1,40000,0)</f>
        <v/>
      </c>
      <c r="BL13" s="695">
        <f>IF(BV13=0,0,IF(J13&lt;11000000,5000,IF(J13&lt;25000000,10000,IF(J13&lt;40000000,15000,20000)))*BW13)</f>
        <v/>
      </c>
      <c r="BM13" s="701">
        <f>AJ13-AT13-AZ13-BK13-BL13-BN13-BO13-BP13</f>
        <v/>
      </c>
      <c r="BN13" s="698">
        <f>IFERROR(VLOOKUP(B13,'Benefit tính thuế'!$B$2:$H$5,7,0),0)</f>
        <v/>
      </c>
      <c r="BO13" s="701" t="n">
        <v>0</v>
      </c>
      <c r="BP13" s="701" t="n">
        <v>0</v>
      </c>
      <c r="BQ13" s="702">
        <f>AN13+AP13+AU13</f>
        <v/>
      </c>
      <c r="BR13" s="702">
        <f>+AZ13+AT13</f>
        <v/>
      </c>
      <c r="BS13" s="702" t="n">
        <v>1</v>
      </c>
      <c r="BT13" s="560" t="n">
        <v>0</v>
      </c>
      <c r="BU13" s="702" t="n">
        <v>1</v>
      </c>
      <c r="BV13" s="702" t="n">
        <v>1</v>
      </c>
      <c r="BW13" s="702" t="n">
        <v>20</v>
      </c>
      <c r="BX13" s="375" t="n"/>
      <c r="BY13" s="450" t="n"/>
    </row>
    <row r="14" ht="22.5" customFormat="1" customHeight="1" s="461">
      <c r="A14" s="593" t="inlineStr">
        <is>
          <t xml:space="preserve"> Security</t>
        </is>
      </c>
      <c r="B14" s="675" t="n"/>
      <c r="C14" s="675" t="n"/>
      <c r="D14" s="676" t="n"/>
      <c r="E14" s="594" t="n"/>
      <c r="F14" s="676" t="n"/>
      <c r="G14" s="462" t="n">
        <v>1</v>
      </c>
      <c r="H14" s="463" t="n"/>
      <c r="I14" s="463" t="n"/>
      <c r="J14" s="677">
        <f>SUM(J15:J15)</f>
        <v/>
      </c>
      <c r="K14" s="677">
        <f>SUM(K15:K15)</f>
        <v/>
      </c>
      <c r="L14" s="677">
        <f>SUM(L15:L15)</f>
        <v/>
      </c>
      <c r="M14" s="677">
        <f>SUM(M15:M15)</f>
        <v/>
      </c>
      <c r="N14" s="678">
        <f>SUM(N15:N15)</f>
        <v/>
      </c>
      <c r="O14" s="678">
        <f>SUM(O15:O15)</f>
        <v/>
      </c>
      <c r="P14" s="679">
        <f>SUM(P15:P15)</f>
        <v/>
      </c>
      <c r="Q14" s="679">
        <f>SUM(Q15:Q15)</f>
        <v/>
      </c>
      <c r="R14" s="677">
        <f>SUM(R15:R15)</f>
        <v/>
      </c>
      <c r="S14" s="679">
        <f>SUM(S15:S15)</f>
        <v/>
      </c>
      <c r="T14" s="679">
        <f>SUM(T15:T15)</f>
        <v/>
      </c>
      <c r="U14" s="677">
        <f>SUM(U15:U15)</f>
        <v/>
      </c>
      <c r="V14" s="677">
        <f>SUM(V15:V15)</f>
        <v/>
      </c>
      <c r="W14" s="677">
        <f>SUM(W15:W15)</f>
        <v/>
      </c>
      <c r="X14" s="677">
        <f>SUM(X15:X15)</f>
        <v/>
      </c>
      <c r="Y14" s="677">
        <f>SUM(Y15:Y15)</f>
        <v/>
      </c>
      <c r="Z14" s="677">
        <f>SUM(Z15:Z15)</f>
        <v/>
      </c>
      <c r="AA14" s="677">
        <f>SUM(AA15:AA15)</f>
        <v/>
      </c>
      <c r="AB14" s="680">
        <f>SUM(AB15:AB15)</f>
        <v/>
      </c>
      <c r="AC14" s="680">
        <f>SUM(AC15:AC15)</f>
        <v/>
      </c>
      <c r="AD14" s="677">
        <f>SUM(AD15:AD15)</f>
        <v/>
      </c>
      <c r="AE14" s="678">
        <f>SUM(AE15:AE15)</f>
        <v/>
      </c>
      <c r="AF14" s="681">
        <f>SUM(AF15:AF15)</f>
        <v/>
      </c>
      <c r="AG14" s="681">
        <f>SUM(AG15:AG15)</f>
        <v/>
      </c>
      <c r="AH14" s="681">
        <f>SUM(AH15:AH15)</f>
        <v/>
      </c>
      <c r="AI14" s="681">
        <f>SUM(AI15:AI15)</f>
        <v/>
      </c>
      <c r="AJ14" s="677">
        <f>SUM(AJ15:AJ15)</f>
        <v/>
      </c>
      <c r="AK14" s="677">
        <f>SUM(AK15:AK15)</f>
        <v/>
      </c>
      <c r="AL14" s="680">
        <f>SUM(AL15:AL15)</f>
        <v/>
      </c>
      <c r="AM14" s="680">
        <f>SUM(AM15:AM15)</f>
        <v/>
      </c>
      <c r="AN14" s="677">
        <f>SUM(AN15:AN15)</f>
        <v/>
      </c>
      <c r="AO14" s="678">
        <f>SUM(AO15:AO15)</f>
        <v/>
      </c>
      <c r="AP14" s="682">
        <f>SUM(AP15:AP15)</f>
        <v/>
      </c>
      <c r="AQ14" s="682">
        <f>SUM(AQ15:AQ15)</f>
        <v/>
      </c>
      <c r="AR14" s="682">
        <f>SUM(AR15:AR15)</f>
        <v/>
      </c>
      <c r="AS14" s="682">
        <f>SUM(AS15:AS15)</f>
        <v/>
      </c>
      <c r="AT14" s="683">
        <f>SUM(AT15:AT15)</f>
        <v/>
      </c>
      <c r="AU14" s="684">
        <f>SUM(AU15:AU15)</f>
        <v/>
      </c>
      <c r="AV14" s="684">
        <f>SUM(AV15:AV15)</f>
        <v/>
      </c>
      <c r="AW14" s="684">
        <f>SUM(AW15:AW15)</f>
        <v/>
      </c>
      <c r="AX14" s="472">
        <f>SUM(AX15:AX15)</f>
        <v/>
      </c>
      <c r="AY14" s="677">
        <f>SUM(AY15:AY15)</f>
        <v/>
      </c>
      <c r="AZ14" s="685">
        <f>SUM(AZ15:AZ15)</f>
        <v/>
      </c>
      <c r="BA14" s="677">
        <f>SUM(BA15:BA15)</f>
        <v/>
      </c>
      <c r="BB14" s="677">
        <f>SUM(BB15:BB15)</f>
        <v/>
      </c>
      <c r="BC14" s="677">
        <f>SUM(BC15:BC15)</f>
        <v/>
      </c>
      <c r="BD14" s="677">
        <f>SUM(BD15:BD15)</f>
        <v/>
      </c>
      <c r="BE14" s="677">
        <f>SUM(BE15:BE15)</f>
        <v/>
      </c>
      <c r="BF14" s="682">
        <f>SUM(BF15:BF15)</f>
        <v/>
      </c>
      <c r="BG14" s="682">
        <f>SUM(BG15:BG15)</f>
        <v/>
      </c>
      <c r="BH14" s="682">
        <f>SUM(BH15:BH15)</f>
        <v/>
      </c>
      <c r="BI14" s="682">
        <f>SUM(BI15:BI15)</f>
        <v/>
      </c>
      <c r="BJ14" s="682">
        <f>SUM(BJ15:BJ15)</f>
        <v/>
      </c>
      <c r="BK14" s="682">
        <f>SUM(BK15:BK15)</f>
        <v/>
      </c>
      <c r="BL14" s="682">
        <f>SUM(BL15:BL15)</f>
        <v/>
      </c>
      <c r="BM14" s="686">
        <f>SUM(BM15:BM15)</f>
        <v/>
      </c>
      <c r="BN14" s="686">
        <f>SUM(BN15:BN15)</f>
        <v/>
      </c>
      <c r="BO14" s="686">
        <f>SUM(BO15:BO15)</f>
        <v/>
      </c>
      <c r="BP14" s="686">
        <f>SUM(BP15:BP15)</f>
        <v/>
      </c>
      <c r="BQ14" s="687">
        <f>SUM(BQ15:BQ15)</f>
        <v/>
      </c>
      <c r="BR14" s="687">
        <f>SUM(BR15:BR15)</f>
        <v/>
      </c>
      <c r="BS14" s="687">
        <f>SUM(BS15:BS15)</f>
        <v/>
      </c>
      <c r="BT14" s="687">
        <f>SUM(BT15:BT15)</f>
        <v/>
      </c>
      <c r="BU14" s="687">
        <f>SUM(BU15:BU15)</f>
        <v/>
      </c>
      <c r="BV14" s="687">
        <f>SUM(BV15:BV15)</f>
        <v/>
      </c>
      <c r="BW14" s="687" t="n"/>
      <c r="BX14" s="687">
        <f>SUM(BX15:BX15)</f>
        <v/>
      </c>
      <c r="BY14" s="421" t="n"/>
    </row>
    <row r="15" ht="22.5" customFormat="1" customHeight="1" s="448">
      <c r="A15" s="430" t="n">
        <v>1</v>
      </c>
      <c r="B15" s="430" t="inlineStr">
        <is>
          <t>PVT2500117</t>
        </is>
      </c>
      <c r="C15" s="430" t="n"/>
      <c r="D15" s="484" t="inlineStr">
        <is>
          <t>Pham Duc Kien</t>
        </is>
      </c>
      <c r="E15" s="431" t="inlineStr">
        <is>
          <t>22/06/2022</t>
        </is>
      </c>
      <c r="F15" s="431" t="inlineStr">
        <is>
          <t>PVT - Security</t>
        </is>
      </c>
      <c r="G15" s="432" t="inlineStr">
        <is>
          <t>Security</t>
        </is>
      </c>
      <c r="H15" s="433" t="inlineStr">
        <is>
          <t>Staff</t>
        </is>
      </c>
      <c r="I15" s="703" t="inlineStr">
        <is>
          <t>Security Staff</t>
        </is>
      </c>
      <c r="J15" s="689" t="n">
        <v>6841000</v>
      </c>
      <c r="K15" s="689" t="n">
        <v>5310000</v>
      </c>
      <c r="L15" s="689">
        <f>J15-K15</f>
        <v/>
      </c>
      <c r="M15" s="689" t="n">
        <v>26</v>
      </c>
      <c r="N15" s="690">
        <f>IFERROR(VLOOKUP(B15,' TimeTB 1'!$C$22:$AU$23,45,0),0)</f>
        <v/>
      </c>
      <c r="O15" s="690">
        <f>VLOOKUP(B15,'TimeTB 2'!$C$11:$AU$18,45,0)</f>
        <v/>
      </c>
      <c r="P15" s="691">
        <f>ROUND((K15/M15*N15),0)</f>
        <v/>
      </c>
      <c r="Q15" s="691">
        <f>ROUND(K15/M15*O15,0)</f>
        <v/>
      </c>
      <c r="R15" s="692">
        <f>SUM(P15:Q15)</f>
        <v/>
      </c>
      <c r="S15" s="691">
        <f>ROUND(L15/26*N15,0)</f>
        <v/>
      </c>
      <c r="T15" s="691">
        <f>ROUND(L15/26*O15,0)</f>
        <v/>
      </c>
      <c r="U15" s="692">
        <f>SUM(S15:T15)</f>
        <v/>
      </c>
      <c r="V15" s="689" t="n">
        <v>0</v>
      </c>
      <c r="W15" s="689" t="n">
        <v>0</v>
      </c>
      <c r="X15" s="689" t="n">
        <v>0</v>
      </c>
      <c r="Y15" s="689">
        <f>VLOOKUP(B15,'PC cơm '!$B$7:$L$15,11,0)</f>
        <v/>
      </c>
      <c r="Z15" s="692">
        <f>SUM(V15:Y15)</f>
        <v/>
      </c>
      <c r="AA15" s="689">
        <f>VLOOKUP(B15,'OT '!$B$7:$R$14,17,0)</f>
        <v/>
      </c>
      <c r="AB15" s="693">
        <f>VLOOKUP(B15,NS!$B$9:$G$16,6,0)</f>
        <v/>
      </c>
      <c r="AC15" s="693" t="n">
        <v>0</v>
      </c>
      <c r="AD15" s="689" t="n">
        <v>0</v>
      </c>
      <c r="AE15" s="690" t="n">
        <v>0</v>
      </c>
      <c r="AF15" s="694">
        <f>ROUND(J15/26*AE15,0)</f>
        <v/>
      </c>
      <c r="AG15" s="694">
        <f>IFERROR(VLOOKUP(B15,Incentive!$B$9:$H$11,7,0),0)</f>
        <v/>
      </c>
      <c r="AH15" s="694">
        <f>SUMIF(Others!$B$8:$B$15,$B15,Others!$F$8:$F$15)</f>
        <v/>
      </c>
      <c r="AI15" s="694" t="n">
        <v>0</v>
      </c>
      <c r="AJ15" s="689">
        <f>AI15+AH15+AG15+AF15+AD15+AC15+AB15+AA15+Z15+U15+R15+BN15</f>
        <v/>
      </c>
      <c r="AK15" s="689">
        <f>VLOOKUP(B15,'OT '!$B$7:$T$14,19,0)</f>
        <v/>
      </c>
      <c r="AL15" s="693">
        <f>VLOOKUP(B15,NS!$B$9:$I$16,8,0)</f>
        <v/>
      </c>
      <c r="AM15" s="693">
        <f>AI15</f>
        <v/>
      </c>
      <c r="AN15" s="689">
        <f>IF(BT15=1,0,11000000)</f>
        <v/>
      </c>
      <c r="AO15" s="690" t="n">
        <v>0</v>
      </c>
      <c r="AP15" s="695">
        <f>AO15*$AP$3</f>
        <v/>
      </c>
      <c r="AQ15" s="695">
        <f>BF15*$AQ$3</f>
        <v/>
      </c>
      <c r="AR15" s="695">
        <f>BF15*$AR$3</f>
        <v/>
      </c>
      <c r="AS15" s="695">
        <f>BG15*$AS$3</f>
        <v/>
      </c>
      <c r="AT15" s="696">
        <f>+AS15+AR15+AQ15</f>
        <v/>
      </c>
      <c r="AU15" s="697">
        <f>IF(BT15=1,0,MIN(Y15,730000))</f>
        <v/>
      </c>
      <c r="AV15" s="698">
        <f>AJ15-AK15-AL15-AM15-AU15</f>
        <v/>
      </c>
      <c r="AW15" s="698">
        <f>MAX(AV15-AN15-AP15-AT15,0)</f>
        <v/>
      </c>
      <c r="AX15" s="444">
        <f>IF(BT15=1,10%,IF(AW15&gt;0,IF(AW15&gt;80000000,0.35,IF(AW15&gt;52000000,0.3,IF(AW15&gt;32000000,0.25,IF(AW15&gt;18000000,0.2,IF(AW15&gt;10000000,0.15,IF(AW15&gt;5000000,0.1,0.05)))))),0))</f>
        <v/>
      </c>
      <c r="AY15" s="699">
        <f>IF(BT15=1,0,IF(AW15&gt;80000000,9850000,IF(AW15&gt;52000000,5850000,IF(AW15&gt;32000000,3250000,IF(AW15&gt;18000000,1650000,IF(AW15&gt;10000000,750000,IF(AW15&gt;5000000,250000,0)))))))</f>
        <v/>
      </c>
      <c r="AZ15" s="700">
        <f>ROUND(AW15*AX15-AY15,0)</f>
        <v/>
      </c>
      <c r="BA15" s="689">
        <f>BF15*$BA$3</f>
        <v/>
      </c>
      <c r="BB15" s="689">
        <f>BF15*$BB$3</f>
        <v/>
      </c>
      <c r="BC15" s="689">
        <f>BG15*$BC$3</f>
        <v/>
      </c>
      <c r="BD15" s="689">
        <f>BG15*$BD$3</f>
        <v/>
      </c>
      <c r="BE15" s="689">
        <f>SUM(BA15:BD15)</f>
        <v/>
      </c>
      <c r="BF15" s="695">
        <f>MIN((IF(BS15=1,K15,0)),$BF$3)</f>
        <v/>
      </c>
      <c r="BG15" s="695">
        <f>MIN((IF(BS15=1,K15,0)),$BG$3)</f>
        <v/>
      </c>
      <c r="BH15" s="695" t="n">
        <v>0</v>
      </c>
      <c r="BI15" s="695" t="n">
        <v>0</v>
      </c>
      <c r="BJ15" s="695">
        <f>IF(BS15=1,BF15*2%,0)</f>
        <v/>
      </c>
      <c r="BK15" s="695">
        <f>IF(BU15=1,40000,0)</f>
        <v/>
      </c>
      <c r="BL15" s="695">
        <f>IF(BV15=0,0,IF(J15&lt;11000000,5000,IF(J15&lt;25000000,10000,IF(J15&lt;40000000,15000,20000)))*BW15)</f>
        <v/>
      </c>
      <c r="BM15" s="701">
        <f>AJ15-AT15-AZ15-BK15-BL15-BN15-BO15-BP15</f>
        <v/>
      </c>
      <c r="BN15" s="698">
        <f>IFERROR(VLOOKUP(B15,'Benefit tính thuế'!$B$2:$H$5,7,0),0)</f>
        <v/>
      </c>
      <c r="BO15" s="701" t="n">
        <v>0</v>
      </c>
      <c r="BP15" s="701" t="n">
        <v>0</v>
      </c>
      <c r="BQ15" s="702">
        <f>AN15+AP15+AU15</f>
        <v/>
      </c>
      <c r="BR15" s="702">
        <f>+AZ15+AT15</f>
        <v/>
      </c>
      <c r="BS15" s="702" t="n">
        <v>1</v>
      </c>
      <c r="BT15" s="560" t="n">
        <v>0</v>
      </c>
      <c r="BU15" s="702" t="n">
        <v>1</v>
      </c>
      <c r="BV15" s="560" t="n">
        <v>0</v>
      </c>
      <c r="BW15" s="702" t="n">
        <v>20</v>
      </c>
      <c r="BX15" s="375" t="n"/>
      <c r="BY15" s="450" t="n"/>
    </row>
    <row r="16" ht="22.5" customFormat="1" customHeight="1" s="461">
      <c r="A16" s="593" t="inlineStr">
        <is>
          <t>PVT - PP center</t>
        </is>
      </c>
      <c r="B16" s="675" t="n"/>
      <c r="C16" s="675" t="n"/>
      <c r="D16" s="676" t="n"/>
      <c r="E16" s="594" t="n"/>
      <c r="F16" s="676" t="n"/>
      <c r="G16" s="462" t="n">
        <v>2</v>
      </c>
      <c r="H16" s="463" t="n"/>
      <c r="I16" s="463" t="n"/>
      <c r="J16" s="677">
        <f>SUM(J17:J18)</f>
        <v/>
      </c>
      <c r="K16" s="677">
        <f>SUM(K17:K18)</f>
        <v/>
      </c>
      <c r="L16" s="677">
        <f>SUM(L17:L18)</f>
        <v/>
      </c>
      <c r="M16" s="677">
        <f>SUM(M17:M18)</f>
        <v/>
      </c>
      <c r="N16" s="677">
        <f>SUM(N17:N18)</f>
        <v/>
      </c>
      <c r="O16" s="677">
        <f>SUM(O17:O18)</f>
        <v/>
      </c>
      <c r="P16" s="677">
        <f>SUM(P17:P18)</f>
        <v/>
      </c>
      <c r="Q16" s="677">
        <f>SUM(Q17:Q18)</f>
        <v/>
      </c>
      <c r="R16" s="677">
        <f>SUM(R17:R18)</f>
        <v/>
      </c>
      <c r="S16" s="677">
        <f>SUM(S17:S18)</f>
        <v/>
      </c>
      <c r="T16" s="677">
        <f>SUM(T17:T18)</f>
        <v/>
      </c>
      <c r="U16" s="677">
        <f>SUM(U17:U18)</f>
        <v/>
      </c>
      <c r="V16" s="677">
        <f>SUM(V17:V18)</f>
        <v/>
      </c>
      <c r="W16" s="677">
        <f>SUM(W17:W18)</f>
        <v/>
      </c>
      <c r="X16" s="677">
        <f>SUM(X17:X18)</f>
        <v/>
      </c>
      <c r="Y16" s="677">
        <f>SUM(Y17:Y18)</f>
        <v/>
      </c>
      <c r="Z16" s="677">
        <f>SUM(Z17:Z18)</f>
        <v/>
      </c>
      <c r="AA16" s="677">
        <f>SUM(AA17:AA18)</f>
        <v/>
      </c>
      <c r="AB16" s="677">
        <f>SUM(AB17:AB18)</f>
        <v/>
      </c>
      <c r="AC16" s="677">
        <f>SUM(AC17:AC18)</f>
        <v/>
      </c>
      <c r="AD16" s="677">
        <f>SUM(AD17:AD18)</f>
        <v/>
      </c>
      <c r="AE16" s="677">
        <f>SUM(AE17:AE18)</f>
        <v/>
      </c>
      <c r="AF16" s="677">
        <f>SUM(AF17:AF18)</f>
        <v/>
      </c>
      <c r="AG16" s="677">
        <f>SUM(AG17:AG18)</f>
        <v/>
      </c>
      <c r="AH16" s="677">
        <f>SUM(AH17:AH18)</f>
        <v/>
      </c>
      <c r="AI16" s="677">
        <f>SUM(AI17:AI18)</f>
        <v/>
      </c>
      <c r="AJ16" s="677">
        <f>SUM(AJ17:AJ18)</f>
        <v/>
      </c>
      <c r="AK16" s="677">
        <f>SUM(AK17:AK18)</f>
        <v/>
      </c>
      <c r="AL16" s="677">
        <f>SUM(AL17:AL18)</f>
        <v/>
      </c>
      <c r="AM16" s="677">
        <f>SUM(AM17:AM18)</f>
        <v/>
      </c>
      <c r="AN16" s="677">
        <f>SUM(AN17:AN18)</f>
        <v/>
      </c>
      <c r="AO16" s="677">
        <f>SUM(AO17:AO18)</f>
        <v/>
      </c>
      <c r="AP16" s="677">
        <f>SUM(AP17:AP18)</f>
        <v/>
      </c>
      <c r="AQ16" s="677">
        <f>SUM(AQ17:AQ18)</f>
        <v/>
      </c>
      <c r="AR16" s="677">
        <f>SUM(AR17:AR18)</f>
        <v/>
      </c>
      <c r="AS16" s="677">
        <f>SUM(AS17:AS18)</f>
        <v/>
      </c>
      <c r="AT16" s="677">
        <f>SUM(AT17:AT18)</f>
        <v/>
      </c>
      <c r="AU16" s="677">
        <f>SUM(AU17:AU18)</f>
        <v/>
      </c>
      <c r="AV16" s="677">
        <f>SUM(AV17:AV18)</f>
        <v/>
      </c>
      <c r="AW16" s="677">
        <f>SUM(AW17:AW18)</f>
        <v/>
      </c>
      <c r="AX16" s="677">
        <f>SUM(AX17:AX18)</f>
        <v/>
      </c>
      <c r="AY16" s="677">
        <f>SUM(AY17:AY18)</f>
        <v/>
      </c>
      <c r="AZ16" s="677">
        <f>SUM(AZ17:AZ18)</f>
        <v/>
      </c>
      <c r="BA16" s="677">
        <f>SUM(BA17:BA18)</f>
        <v/>
      </c>
      <c r="BB16" s="677">
        <f>SUM(BB17:BB18)</f>
        <v/>
      </c>
      <c r="BC16" s="677">
        <f>SUM(BC17:BC18)</f>
        <v/>
      </c>
      <c r="BD16" s="677">
        <f>SUM(BD17:BD18)</f>
        <v/>
      </c>
      <c r="BE16" s="677">
        <f>SUM(BE17:BE18)</f>
        <v/>
      </c>
      <c r="BF16" s="677">
        <f>SUM(BF17:BF18)</f>
        <v/>
      </c>
      <c r="BG16" s="677">
        <f>SUM(BG17:BG18)</f>
        <v/>
      </c>
      <c r="BH16" s="677">
        <f>SUM(BH17:BH18)</f>
        <v/>
      </c>
      <c r="BI16" s="677">
        <f>SUM(BI17:BI18)</f>
        <v/>
      </c>
      <c r="BJ16" s="677">
        <f>SUM(BJ17:BJ18)</f>
        <v/>
      </c>
      <c r="BK16" s="677">
        <f>SUM(BK17:BK18)</f>
        <v/>
      </c>
      <c r="BL16" s="677">
        <f>SUM(BL17:BL18)</f>
        <v/>
      </c>
      <c r="BM16" s="677">
        <f>SUM(BM17:BM18)</f>
        <v/>
      </c>
      <c r="BN16" s="677">
        <f>SUM(BN17:BN18)</f>
        <v/>
      </c>
      <c r="BO16" s="677">
        <f>SUM(BO17:BO18)</f>
        <v/>
      </c>
      <c r="BP16" s="677">
        <f>SUM(BP17:BP18)</f>
        <v/>
      </c>
      <c r="BQ16" s="677">
        <f>SUM(BQ17:BQ18)</f>
        <v/>
      </c>
      <c r="BR16" s="677">
        <f>SUM(BR17:BR18)</f>
        <v/>
      </c>
      <c r="BS16" s="677">
        <f>SUM(BS17:BS18)</f>
        <v/>
      </c>
      <c r="BT16" s="677">
        <f>SUM(BT17:BT18)</f>
        <v/>
      </c>
      <c r="BU16" s="677">
        <f>SUM(BU17:BU18)</f>
        <v/>
      </c>
      <c r="BV16" s="677">
        <f>SUM(BV17:BV18)</f>
        <v/>
      </c>
      <c r="BW16" s="677" t="n"/>
      <c r="BX16" s="677">
        <f>SUM(BX17:BX18)</f>
        <v/>
      </c>
      <c r="BY16" s="421" t="n"/>
    </row>
    <row r="17" ht="22.5" customFormat="1" customHeight="1" s="448">
      <c r="A17" s="430" t="n">
        <v>1</v>
      </c>
      <c r="B17" s="430" t="inlineStr">
        <is>
          <t>PVT2500113</t>
        </is>
      </c>
      <c r="C17" s="430" t="n"/>
      <c r="D17" s="484" t="inlineStr">
        <is>
          <t>Nguyen Van Quan</t>
        </is>
      </c>
      <c r="E17" s="431" t="inlineStr">
        <is>
          <t>24/10/2022</t>
        </is>
      </c>
      <c r="F17" s="431" t="inlineStr">
        <is>
          <t>PVT - Operation</t>
        </is>
      </c>
      <c r="G17" s="432" t="inlineStr">
        <is>
          <t>PP. Center</t>
        </is>
      </c>
      <c r="H17" s="433" t="inlineStr">
        <is>
          <t>Staff</t>
        </is>
      </c>
      <c r="I17" s="433" t="inlineStr">
        <is>
          <t>Shipper Staff</t>
        </is>
      </c>
      <c r="J17" s="689" t="n">
        <v>10448000</v>
      </c>
      <c r="K17" s="689" t="n">
        <v>7570000</v>
      </c>
      <c r="L17" s="689">
        <f>J17-K17</f>
        <v/>
      </c>
      <c r="M17" s="689" t="n">
        <v>26</v>
      </c>
      <c r="N17" s="690">
        <f>IFERROR(VLOOKUP(B17,' TimeTB 1'!$C$22:$AU$23,45,0),0)</f>
        <v/>
      </c>
      <c r="O17" s="690">
        <f>VLOOKUP(B17,'TimeTB 2'!$C$11:$AU$18,45,0)</f>
        <v/>
      </c>
      <c r="P17" s="691">
        <f>ROUND((K17/M17*N17),0)</f>
        <v/>
      </c>
      <c r="Q17" s="691">
        <f>ROUND(K17/M17*O17,0)</f>
        <v/>
      </c>
      <c r="R17" s="692">
        <f>SUM(P17:Q17)</f>
        <v/>
      </c>
      <c r="S17" s="691">
        <f>ROUND(L17/26*N17,0)</f>
        <v/>
      </c>
      <c r="T17" s="691">
        <f>ROUND(L17/26*O17,0)</f>
        <v/>
      </c>
      <c r="U17" s="692">
        <f>SUM(S17:T17)</f>
        <v/>
      </c>
      <c r="V17" s="689" t="n">
        <v>0</v>
      </c>
      <c r="W17" s="689" t="n">
        <v>0</v>
      </c>
      <c r="X17" s="689" t="n">
        <v>0</v>
      </c>
      <c r="Y17" s="689">
        <f>VLOOKUP(B17,'PC cơm '!$B$7:$L$15,11,0)</f>
        <v/>
      </c>
      <c r="Z17" s="692">
        <f>SUM(V17:Y17)</f>
        <v/>
      </c>
      <c r="AA17" s="689">
        <f>VLOOKUP(B17,'OT '!$B$7:$R$14,17,0)</f>
        <v/>
      </c>
      <c r="AB17" s="693">
        <f>VLOOKUP(B17,NS!$B$9:$G$16,6,0)</f>
        <v/>
      </c>
      <c r="AC17" s="693" t="n">
        <v>0</v>
      </c>
      <c r="AD17" s="689" t="n">
        <v>0</v>
      </c>
      <c r="AE17" s="690" t="n">
        <v>0</v>
      </c>
      <c r="AF17" s="694">
        <f>ROUND(J17/26*AE17,0)</f>
        <v/>
      </c>
      <c r="AG17" s="694">
        <f>IFERROR(VLOOKUP(B17,Incentive!$B$9:$H$11,7,0),0)</f>
        <v/>
      </c>
      <c r="AH17" s="694">
        <f>SUMIF(Others!$B$8:$B$15,$B17,Others!$F$8:$F$15)</f>
        <v/>
      </c>
      <c r="AI17" s="694" t="n">
        <v>0</v>
      </c>
      <c r="AJ17" s="689">
        <f>AI17+AH17+AG17+AF17+AD17+AC17+AB17+AA17+Z17+U17+R17+BN17</f>
        <v/>
      </c>
      <c r="AK17" s="689">
        <f>VLOOKUP(B17,'OT '!$B$7:$T$14,19,0)</f>
        <v/>
      </c>
      <c r="AL17" s="693">
        <f>VLOOKUP(B17,NS!$B$9:$I$16,8,0)</f>
        <v/>
      </c>
      <c r="AM17" s="693">
        <f>AI17</f>
        <v/>
      </c>
      <c r="AN17" s="689">
        <f>IF(BT17=1,0,11000000)</f>
        <v/>
      </c>
      <c r="AO17" s="690" t="n">
        <v>0</v>
      </c>
      <c r="AP17" s="695">
        <f>AO17*$AP$3</f>
        <v/>
      </c>
      <c r="AQ17" s="695">
        <f>BF17*$AQ$3</f>
        <v/>
      </c>
      <c r="AR17" s="695">
        <f>BF17*$AR$3</f>
        <v/>
      </c>
      <c r="AS17" s="695">
        <f>BG17*$AS$3</f>
        <v/>
      </c>
      <c r="AT17" s="696">
        <f>+AS17+AR17+AQ17</f>
        <v/>
      </c>
      <c r="AU17" s="697">
        <f>IF(BT17=1,0,MIN(Y17,730000))</f>
        <v/>
      </c>
      <c r="AV17" s="698">
        <f>AJ17-AK17-AL17-AM17-AU17</f>
        <v/>
      </c>
      <c r="AW17" s="698">
        <f>MAX(AV17-AN17-AP17-AT17,0)</f>
        <v/>
      </c>
      <c r="AX17" s="444">
        <f>IF(BT17=1,10%,IF(AW17&gt;0,IF(AW17&gt;80000000,0.35,IF(AW17&gt;52000000,0.3,IF(AW17&gt;32000000,0.25,IF(AW17&gt;18000000,0.2,IF(AW17&gt;10000000,0.15,IF(AW17&gt;5000000,0.1,0.05)))))),0))</f>
        <v/>
      </c>
      <c r="AY17" s="699">
        <f>IF(BT17=1,0,IF(AW17&gt;80000000,9850000,IF(AW17&gt;52000000,5850000,IF(AW17&gt;32000000,3250000,IF(AW17&gt;18000000,1650000,IF(AW17&gt;10000000,750000,IF(AW17&gt;5000000,250000,0)))))))</f>
        <v/>
      </c>
      <c r="AZ17" s="700">
        <f>ROUND(AW17*AX17-AY17,0)</f>
        <v/>
      </c>
      <c r="BA17" s="689">
        <f>BF17*$BA$3</f>
        <v/>
      </c>
      <c r="BB17" s="689">
        <f>BF17*$BB$3</f>
        <v/>
      </c>
      <c r="BC17" s="689">
        <f>BG17*$BC$3</f>
        <v/>
      </c>
      <c r="BD17" s="689">
        <f>BG17*$BD$3</f>
        <v/>
      </c>
      <c r="BE17" s="689">
        <f>SUM(BA17:BD17)</f>
        <v/>
      </c>
      <c r="BF17" s="695">
        <f>MIN((IF(BS17=1,K17,0)),$BF$3)</f>
        <v/>
      </c>
      <c r="BG17" s="695">
        <f>MIN((IF(BS17=1,K17,0)),$BG$3)</f>
        <v/>
      </c>
      <c r="BH17" s="695" t="n">
        <v>0</v>
      </c>
      <c r="BI17" s="695" t="n">
        <v>0</v>
      </c>
      <c r="BJ17" s="695">
        <f>IF(BS17=1,BF17*2%,0)</f>
        <v/>
      </c>
      <c r="BK17" s="695">
        <f>IF(BU17=1,40000,0)</f>
        <v/>
      </c>
      <c r="BL17" s="695">
        <f>IF(BV17=0,0,IF(J17&lt;11000000,5000,IF(J17&lt;25000000,10000,IF(J17&lt;40000000,15000,20000)))*BW17)</f>
        <v/>
      </c>
      <c r="BM17" s="701">
        <f>AJ17-AT17-AZ17-BK17-BL17-BN17-BO17-BP17</f>
        <v/>
      </c>
      <c r="BN17" s="698">
        <f>IFERROR(VLOOKUP(B17,'Benefit tính thuế'!$B$2:$H$5,7,0),0)</f>
        <v/>
      </c>
      <c r="BO17" s="701" t="n">
        <v>0</v>
      </c>
      <c r="BP17" s="701" t="n">
        <v>0</v>
      </c>
      <c r="BQ17" s="702">
        <f>AN17+AP17+AU17</f>
        <v/>
      </c>
      <c r="BR17" s="702">
        <f>+AZ17+AT17</f>
        <v/>
      </c>
      <c r="BS17" s="702" t="n">
        <v>1</v>
      </c>
      <c r="BT17" s="560" t="n">
        <v>0</v>
      </c>
      <c r="BU17" s="702" t="n">
        <v>1</v>
      </c>
      <c r="BV17" s="560" t="n">
        <v>0</v>
      </c>
      <c r="BW17" s="702" t="n">
        <v>20</v>
      </c>
      <c r="BX17" s="375" t="n"/>
      <c r="BY17" s="450" t="n"/>
    </row>
    <row r="18" ht="22.5" customFormat="1" customHeight="1" s="448">
      <c r="A18" s="430" t="n">
        <v>1</v>
      </c>
      <c r="B18" s="430" t="inlineStr">
        <is>
          <t>PVT2500118</t>
        </is>
      </c>
      <c r="C18" s="430" t="n"/>
      <c r="D18" s="557" t="inlineStr">
        <is>
          <t>Nggo Van Tuan</t>
        </is>
      </c>
      <c r="E18" s="558" t="n">
        <v>45738</v>
      </c>
      <c r="F18" s="431" t="inlineStr">
        <is>
          <t>PVT - Operation</t>
        </is>
      </c>
      <c r="G18" s="432" t="inlineStr">
        <is>
          <t>PP. Center</t>
        </is>
      </c>
      <c r="H18" s="433" t="inlineStr">
        <is>
          <t>Staff</t>
        </is>
      </c>
      <c r="I18" s="433" t="inlineStr">
        <is>
          <t>Shipper Staff</t>
        </is>
      </c>
      <c r="J18" s="689" t="n">
        <v>11000000</v>
      </c>
      <c r="K18" s="689" t="n">
        <v>5800000</v>
      </c>
      <c r="L18" s="689">
        <f>J18-K18</f>
        <v/>
      </c>
      <c r="M18" s="689" t="n">
        <v>26</v>
      </c>
      <c r="N18" s="690">
        <f>IFERROR(VLOOKUP(B18,' TimeTB 1'!$C$22:$AU$23,45,0),0)</f>
        <v/>
      </c>
      <c r="O18" s="690">
        <f>VLOOKUP(B18,'TimeTB 2'!$C$11:$AU$18,45,0)</f>
        <v/>
      </c>
      <c r="P18" s="691">
        <f>ROUND((K18/M18*N18),0)</f>
        <v/>
      </c>
      <c r="Q18" s="691">
        <f>ROUND(K18/M18*O18,0)</f>
        <v/>
      </c>
      <c r="R18" s="692">
        <f>SUM(P18:Q18)</f>
        <v/>
      </c>
      <c r="S18" s="691">
        <f>ROUND(L18/26*N18,0)</f>
        <v/>
      </c>
      <c r="T18" s="691">
        <f>ROUND(L18/26*O18,0)</f>
        <v/>
      </c>
      <c r="U18" s="692">
        <f>SUM(S18:T18)</f>
        <v/>
      </c>
      <c r="V18" s="689" t="n">
        <v>0</v>
      </c>
      <c r="W18" s="689" t="n">
        <v>0</v>
      </c>
      <c r="X18" s="689" t="n">
        <v>0</v>
      </c>
      <c r="Y18" s="689">
        <f>VLOOKUP(B18,'PC cơm '!$B$7:$L$15,11,0)</f>
        <v/>
      </c>
      <c r="Z18" s="692">
        <f>SUM(V18:Y18)</f>
        <v/>
      </c>
      <c r="AA18" s="689">
        <f>VLOOKUP(B18,'OT '!$B$7:$R$14,17,0)</f>
        <v/>
      </c>
      <c r="AB18" s="693">
        <f>VLOOKUP(B18,NS!$B$9:$G$16,6,0)</f>
        <v/>
      </c>
      <c r="AC18" s="693" t="n">
        <v>0</v>
      </c>
      <c r="AD18" s="689" t="n">
        <v>0</v>
      </c>
      <c r="AE18" s="690" t="n">
        <v>0</v>
      </c>
      <c r="AF18" s="694">
        <f>ROUND(J18/26*AE18,0)</f>
        <v/>
      </c>
      <c r="AG18" s="694">
        <f>IFERROR(VLOOKUP(B18,Incentive!$B$9:$H$11,7,0),0)</f>
        <v/>
      </c>
      <c r="AH18" s="694">
        <f>SUMIF(Others!$B$8:$B$15,$B18,Others!$F$8:$F$15)</f>
        <v/>
      </c>
      <c r="AI18" s="694" t="n">
        <v>0</v>
      </c>
      <c r="AJ18" s="689">
        <f>AI18+AH18+AG18+AF18+AD18+AC18+AB18+AA18+Z18+U18+R18+BN18</f>
        <v/>
      </c>
      <c r="AK18" s="689">
        <f>VLOOKUP(B18,'OT '!$B$7:$T$14,19,0)</f>
        <v/>
      </c>
      <c r="AL18" s="693">
        <f>VLOOKUP(B18,NS!$B$9:$I$16,8,0)</f>
        <v/>
      </c>
      <c r="AM18" s="693">
        <f>AI18</f>
        <v/>
      </c>
      <c r="AN18" s="689">
        <f>IF(BT18=1,0,11000000)</f>
        <v/>
      </c>
      <c r="AO18" s="690" t="n">
        <v>0</v>
      </c>
      <c r="AP18" s="695">
        <f>AO18*$AP$3</f>
        <v/>
      </c>
      <c r="AQ18" s="695">
        <f>BF18*$AQ$3</f>
        <v/>
      </c>
      <c r="AR18" s="695">
        <f>BF18*$AR$3</f>
        <v/>
      </c>
      <c r="AS18" s="695">
        <f>BG18*$AS$3</f>
        <v/>
      </c>
      <c r="AT18" s="696">
        <f>+AS18+AR18+AQ18</f>
        <v/>
      </c>
      <c r="AU18" s="697">
        <f>IF(BT18=1,0,MIN(Y18,730000))</f>
        <v/>
      </c>
      <c r="AV18" s="698">
        <f>AJ18-AK18-AL18-AM18-AU18</f>
        <v/>
      </c>
      <c r="AW18" s="698">
        <f>MAX(AV18-AN18-AP18-AT18,0)</f>
        <v/>
      </c>
      <c r="AX18" s="444">
        <f>IF(BT18=1,10%,IF(AW18&gt;0,IF(AW18&gt;80000000,0.35,IF(AW18&gt;52000000,0.3,IF(AW18&gt;32000000,0.25,IF(AW18&gt;18000000,0.2,IF(AW18&gt;10000000,0.15,IF(AW18&gt;5000000,0.1,0.05)))))),0))</f>
        <v/>
      </c>
      <c r="AY18" s="699">
        <f>IF(BT18=1,0,IF(AW18&gt;80000000,9850000,IF(AW18&gt;52000000,5850000,IF(AW18&gt;32000000,3250000,IF(AW18&gt;18000000,1650000,IF(AW18&gt;10000000,750000,IF(AW18&gt;5000000,250000,0)))))))</f>
        <v/>
      </c>
      <c r="AZ18" s="700">
        <f>ROUND(AW18*AX18-AY18,0)</f>
        <v/>
      </c>
      <c r="BA18" s="689">
        <f>BF18*$BA$3</f>
        <v/>
      </c>
      <c r="BB18" s="689">
        <f>BF18*$BB$3</f>
        <v/>
      </c>
      <c r="BC18" s="689">
        <f>BG18*$BC$3</f>
        <v/>
      </c>
      <c r="BD18" s="689">
        <f>BG18*$BD$3</f>
        <v/>
      </c>
      <c r="BE18" s="689">
        <f>SUM(BA18:BD18)</f>
        <v/>
      </c>
      <c r="BF18" s="695">
        <f>MIN((IF(BS18=1,K18,0)),$BF$3)</f>
        <v/>
      </c>
      <c r="BG18" s="695">
        <f>MIN((IF(BS18=1,K18,0)),$BG$3)</f>
        <v/>
      </c>
      <c r="BH18" s="695" t="n">
        <v>0</v>
      </c>
      <c r="BI18" s="695" t="n">
        <v>0</v>
      </c>
      <c r="BJ18" s="695">
        <f>IF(BS18=1,BF18*2%,0)</f>
        <v/>
      </c>
      <c r="BK18" s="695">
        <f>IF(BU18=1,40000,0)</f>
        <v/>
      </c>
      <c r="BL18" s="695">
        <f>IF(BV18=0,0,IF(J18&lt;11000000,5000,IF(J18&lt;25000000,10000,IF(J18&lt;40000000,15000,20000)))*BW18)</f>
        <v/>
      </c>
      <c r="BM18" s="701">
        <f>AJ18-AT18-AZ18-BK18-BL18-BN18-BO18-BP18</f>
        <v/>
      </c>
      <c r="BN18" s="698">
        <f>IFERROR(VLOOKUP(B18,'Benefit tính thuế'!$B$2:$H$5,7,0),0)</f>
        <v/>
      </c>
      <c r="BO18" s="701" t="n">
        <v>0</v>
      </c>
      <c r="BP18" s="701" t="n">
        <v>0</v>
      </c>
      <c r="BQ18" s="702">
        <f>AN18+AP18+AU18</f>
        <v/>
      </c>
      <c r="BR18" s="702">
        <f>+AZ18+AT18</f>
        <v/>
      </c>
      <c r="BS18" s="560" t="n">
        <v>0</v>
      </c>
      <c r="BT18" s="702" t="n">
        <v>1</v>
      </c>
      <c r="BU18" s="560" t="n">
        <v>0</v>
      </c>
      <c r="BV18" s="560" t="n">
        <v>0</v>
      </c>
      <c r="BW18" s="702" t="n">
        <v>20</v>
      </c>
      <c r="BX18" s="375" t="n"/>
      <c r="BY18" s="450" t="n"/>
    </row>
    <row r="19" ht="22.5" customFormat="1" customHeight="1" s="450">
      <c r="A19" s="704" t="inlineStr">
        <is>
          <t>TOTAL</t>
        </is>
      </c>
      <c r="B19" s="675" t="n"/>
      <c r="C19" s="675" t="n"/>
      <c r="D19" s="675" t="n"/>
      <c r="E19" s="676" t="n"/>
      <c r="F19" s="460" t="n"/>
      <c r="G19" s="460" t="inlineStr">
        <is>
          <t>427</t>
        </is>
      </c>
      <c r="H19" s="705" t="n"/>
      <c r="I19" s="705" t="n"/>
      <c r="J19" s="706">
        <f>SUM(J5:J18)/2</f>
        <v/>
      </c>
      <c r="K19" s="706">
        <f>SUM(K5:K18)/2</f>
        <v/>
      </c>
      <c r="L19" s="706">
        <f>SUM(L5:L18)/2</f>
        <v/>
      </c>
      <c r="M19" s="706">
        <f>SUM(M5:M18)/2</f>
        <v/>
      </c>
      <c r="N19" s="706">
        <f>SUM(N5:N18)/2</f>
        <v/>
      </c>
      <c r="O19" s="706">
        <f>SUM(O5:O18)/2</f>
        <v/>
      </c>
      <c r="P19" s="706">
        <f>SUM(P5:P18)/2</f>
        <v/>
      </c>
      <c r="Q19" s="706">
        <f>SUM(Q5:Q18)/2</f>
        <v/>
      </c>
      <c r="R19" s="706">
        <f>SUM(R5:R18)/2</f>
        <v/>
      </c>
      <c r="S19" s="706">
        <f>SUM(S5:S18)/2</f>
        <v/>
      </c>
      <c r="T19" s="706">
        <f>SUM(T5:T18)/2</f>
        <v/>
      </c>
      <c r="U19" s="706">
        <f>SUM(U5:U18)/2</f>
        <v/>
      </c>
      <c r="V19" s="706">
        <f>SUM(V5:V18)/2</f>
        <v/>
      </c>
      <c r="W19" s="706">
        <f>SUM(W5:W18)/2</f>
        <v/>
      </c>
      <c r="X19" s="706">
        <f>SUM(X5:X18)/2</f>
        <v/>
      </c>
      <c r="Y19" s="706">
        <f>SUM(Y5:Y18)/2</f>
        <v/>
      </c>
      <c r="Z19" s="706">
        <f>SUM(Z5:Z18)/2</f>
        <v/>
      </c>
      <c r="AA19" s="706">
        <f>SUM(AA5:AA18)/2</f>
        <v/>
      </c>
      <c r="AB19" s="706">
        <f>SUM(AB5:AB18)/2</f>
        <v/>
      </c>
      <c r="AC19" s="706">
        <f>SUM(AC5:AC18)/2</f>
        <v/>
      </c>
      <c r="AD19" s="706">
        <f>SUM(AD5:AD18)/2</f>
        <v/>
      </c>
      <c r="AE19" s="706">
        <f>SUM(AE5:AE18)/2</f>
        <v/>
      </c>
      <c r="AF19" s="706">
        <f>SUM(AF5:AF18)/2</f>
        <v/>
      </c>
      <c r="AG19" s="706">
        <f>SUM(AG5:AG18)/2</f>
        <v/>
      </c>
      <c r="AH19" s="706">
        <f>SUM(AH5:AH18)/2</f>
        <v/>
      </c>
      <c r="AI19" s="706">
        <f>SUM(AI5:AI18)/2</f>
        <v/>
      </c>
      <c r="AJ19" s="706">
        <f>SUM(AJ5:AJ18)/2</f>
        <v/>
      </c>
      <c r="AK19" s="706">
        <f>SUM(AK5:AK18)/2</f>
        <v/>
      </c>
      <c r="AL19" s="706">
        <f>SUM(AL5:AL18)/2</f>
        <v/>
      </c>
      <c r="AM19" s="706">
        <f>SUM(AM5:AM18)/2</f>
        <v/>
      </c>
      <c r="AN19" s="706">
        <f>SUM(AN5:AN18)/2</f>
        <v/>
      </c>
      <c r="AO19" s="706">
        <f>SUM(AO5:AO18)/2</f>
        <v/>
      </c>
      <c r="AP19" s="706">
        <f>SUM(AP5:AP18)/2</f>
        <v/>
      </c>
      <c r="AQ19" s="706">
        <f>SUM(AQ5:AQ18)/2</f>
        <v/>
      </c>
      <c r="AR19" s="706">
        <f>SUM(AR5:AR18)/2</f>
        <v/>
      </c>
      <c r="AS19" s="706">
        <f>SUM(AS5:AS18)/2</f>
        <v/>
      </c>
      <c r="AT19" s="706">
        <f>SUM(AT5:AT18)/2</f>
        <v/>
      </c>
      <c r="AU19" s="706">
        <f>SUM(AU5:AU18)/2</f>
        <v/>
      </c>
      <c r="AV19" s="706">
        <f>SUM(AV5:AV18)/2</f>
        <v/>
      </c>
      <c r="AW19" s="706">
        <f>SUM(AW5:AW18)/2</f>
        <v/>
      </c>
      <c r="AX19" s="706">
        <f>SUM(AX5:AX18)/2</f>
        <v/>
      </c>
      <c r="AY19" s="706">
        <f>SUM(AY5:AY18)/2</f>
        <v/>
      </c>
      <c r="AZ19" s="706">
        <f>SUM(AZ5:AZ18)/2</f>
        <v/>
      </c>
      <c r="BA19" s="706">
        <f>SUM(BA5:BA18)/2</f>
        <v/>
      </c>
      <c r="BB19" s="706">
        <f>SUM(BB5:BB18)/2</f>
        <v/>
      </c>
      <c r="BC19" s="706">
        <f>SUM(BC5:BC18)/2</f>
        <v/>
      </c>
      <c r="BD19" s="706">
        <f>SUM(BD5:BD18)/2</f>
        <v/>
      </c>
      <c r="BE19" s="706">
        <f>SUM(BE5:BE18)/2</f>
        <v/>
      </c>
      <c r="BF19" s="706">
        <f>SUM(BF5:BF18)/2</f>
        <v/>
      </c>
      <c r="BG19" s="706">
        <f>SUM(BG5:BG18)/2</f>
        <v/>
      </c>
      <c r="BH19" s="706">
        <f>SUM(BH5:BH18)/2</f>
        <v/>
      </c>
      <c r="BI19" s="707">
        <f>SUM(BI5:BI18)/2</f>
        <v/>
      </c>
      <c r="BJ19" s="707">
        <f>SUM(BJ5:BJ18)/2</f>
        <v/>
      </c>
      <c r="BK19" s="706">
        <f>SUM(BK5:BK18)/2</f>
        <v/>
      </c>
      <c r="BL19" s="706">
        <f>SUM(BL5:BL18)/2</f>
        <v/>
      </c>
      <c r="BM19" s="708">
        <f>SUM(BM5:BM18)/2</f>
        <v/>
      </c>
      <c r="BN19" s="706">
        <f>SUM(BN5:BN18)/2</f>
        <v/>
      </c>
      <c r="BO19" s="705">
        <f>SUM(BO5:BO18)/2</f>
        <v/>
      </c>
      <c r="BP19" s="705">
        <f>SUM(BP5:BP18)/2</f>
        <v/>
      </c>
      <c r="BQ19" s="705">
        <f>SUM(BQ5:BQ18)/2</f>
        <v/>
      </c>
      <c r="BR19" s="705">
        <f>SUM(BR5:BR18)/2</f>
        <v/>
      </c>
      <c r="BS19" s="705">
        <f>SUM(BS5:BS18)/2</f>
        <v/>
      </c>
      <c r="BT19" s="705">
        <f>SUM(BT5:BT18)/2</f>
        <v/>
      </c>
      <c r="BU19" s="705">
        <f>SUM(BU5:BU18)/2</f>
        <v/>
      </c>
      <c r="BV19" s="705">
        <f>SUM(BV5:BV18)/2</f>
        <v/>
      </c>
      <c r="BW19" s="705" t="n"/>
      <c r="BX19" s="705" t="n"/>
    </row>
    <row r="20" ht="18.75" customFormat="1" customHeight="1" s="451">
      <c r="D20" s="478" t="n"/>
      <c r="H20" s="709" t="n"/>
      <c r="I20" s="709" t="n"/>
      <c r="J20" s="709" t="n"/>
      <c r="K20" s="709" t="n"/>
      <c r="L20" s="710" t="n"/>
      <c r="M20" s="709" t="n"/>
      <c r="N20" s="709" t="n"/>
      <c r="O20" s="709" t="n"/>
      <c r="P20" s="709" t="n"/>
      <c r="Q20" s="709" t="n"/>
      <c r="R20" s="709" t="n"/>
      <c r="S20" s="454" t="n"/>
      <c r="T20" s="454" t="n"/>
      <c r="U20" s="709" t="n"/>
      <c r="V20" s="709" t="n"/>
      <c r="W20" s="709" t="n"/>
      <c r="X20" s="709" t="n"/>
      <c r="Y20" s="711" t="n"/>
      <c r="Z20" s="712" t="n"/>
      <c r="AA20" s="709" t="n"/>
      <c r="AB20" s="709" t="n"/>
      <c r="AC20" s="709" t="n"/>
      <c r="AD20" s="709" t="n"/>
      <c r="AE20" s="709" t="n"/>
      <c r="AF20" s="709" t="n"/>
      <c r="AG20" s="709" t="n"/>
      <c r="AH20" s="709" t="n"/>
      <c r="AI20" s="710" t="n"/>
      <c r="AJ20" s="713" t="n"/>
      <c r="AK20" s="709" t="n"/>
      <c r="AL20" s="709" t="n"/>
      <c r="AM20" s="714" t="n"/>
      <c r="AN20" s="709" t="n"/>
      <c r="AO20" s="709" t="n"/>
      <c r="AP20" s="709" t="n"/>
      <c r="AQ20" s="709" t="n"/>
      <c r="AR20" s="709" t="n"/>
      <c r="AS20" s="709" t="n"/>
      <c r="AT20" s="709" t="n"/>
      <c r="AU20" s="715" t="n"/>
      <c r="AV20" s="710" t="n"/>
      <c r="AW20" s="710" t="n"/>
      <c r="AX20" s="709" t="n"/>
      <c r="AY20" s="709" t="n"/>
      <c r="AZ20" s="709" t="n"/>
      <c r="BA20" s="709" t="n"/>
      <c r="BB20" s="709" t="n"/>
      <c r="BC20" s="709" t="n"/>
      <c r="BD20" s="709" t="n"/>
      <c r="BE20" s="709" t="n"/>
      <c r="BF20" s="709" t="n"/>
      <c r="BG20" s="709" t="n"/>
      <c r="BH20" s="709" t="n"/>
      <c r="BI20" s="709" t="n"/>
      <c r="BJ20" s="709" t="n"/>
      <c r="BK20" s="709" t="n"/>
      <c r="BL20" s="714" t="n"/>
      <c r="BM20" s="714" t="n"/>
      <c r="BN20" s="709" t="n"/>
      <c r="BO20" s="709" t="n"/>
      <c r="BP20" s="709" t="n"/>
      <c r="BQ20" s="709" t="n"/>
      <c r="BR20" s="709" t="n"/>
      <c r="BS20" s="709" t="n"/>
      <c r="BT20" s="709" t="n"/>
      <c r="BU20" s="709" t="n"/>
      <c r="BV20" s="709" t="n"/>
      <c r="BW20" s="709" t="n"/>
      <c r="BX20" s="709" t="n"/>
      <c r="BY20" s="503" t="n"/>
    </row>
    <row r="21" ht="42.75" customFormat="1" customHeight="1" s="574">
      <c r="A21" s="565" t="n"/>
      <c r="B21" s="566" t="inlineStr">
        <is>
          <t>Prepared by</t>
        </is>
      </c>
      <c r="C21" s="567" t="n"/>
      <c r="D21" s="568" t="n"/>
      <c r="E21" s="567" t="n"/>
      <c r="F21" s="569" t="n"/>
      <c r="G21" s="569" t="n"/>
      <c r="H21" s="568" t="n"/>
      <c r="I21" s="567" t="n"/>
      <c r="J21" s="570" t="n"/>
      <c r="K21" s="567" t="n"/>
      <c r="L21" s="567" t="n"/>
      <c r="M21" s="570" t="inlineStr">
        <is>
          <t xml:space="preserve">Checked By </t>
        </is>
      </c>
      <c r="N21" s="566" t="n"/>
      <c r="O21" s="567" t="n"/>
      <c r="P21" s="567" t="n"/>
      <c r="Q21" s="566" t="n"/>
      <c r="R21" s="566" t="n"/>
      <c r="S21" s="567" t="n"/>
      <c r="T21" s="566" t="n"/>
      <c r="U21" s="567" t="n"/>
      <c r="V21" s="716" t="n"/>
      <c r="W21" s="717" t="n"/>
      <c r="X21" s="716" t="n"/>
      <c r="Y21" s="566" t="n"/>
      <c r="Z21" s="570" t="n"/>
      <c r="AA21" s="566" t="n"/>
      <c r="AB21" s="570" t="n"/>
      <c r="AC21" s="566" t="n"/>
      <c r="AD21" s="566" t="n"/>
      <c r="AE21" s="570" t="inlineStr">
        <is>
          <t xml:space="preserve">Checked By </t>
        </is>
      </c>
      <c r="AF21" s="566" t="n"/>
      <c r="AG21" s="566" t="n"/>
      <c r="AH21" s="566" t="n"/>
      <c r="AI21" s="566" t="n"/>
      <c r="AJ21" s="567" t="n"/>
      <c r="AK21" s="566" t="n"/>
      <c r="AL21" s="566" t="n"/>
      <c r="AM21" s="566" t="n"/>
      <c r="AN21" s="566" t="n"/>
      <c r="AO21" s="573" t="n"/>
      <c r="AP21" s="566" t="n"/>
      <c r="AQ21" s="566" t="n"/>
      <c r="AR21" s="567" t="n"/>
      <c r="AS21" s="567" t="n"/>
      <c r="AT21" s="570" t="n"/>
      <c r="AU21" s="567" t="n"/>
      <c r="AV21" s="567" t="n"/>
      <c r="AW21" s="566" t="n"/>
      <c r="AX21" s="567" t="n"/>
      <c r="AY21" s="567" t="n"/>
      <c r="AZ21" s="570" t="inlineStr">
        <is>
          <t>Approved By</t>
        </is>
      </c>
      <c r="BA21" s="567" t="n"/>
      <c r="BB21" s="567" t="n"/>
      <c r="BC21" s="567" t="n"/>
      <c r="BD21" s="567" t="n"/>
      <c r="BE21" s="567" t="n"/>
      <c r="BF21" s="567" t="n"/>
      <c r="BG21" s="567" t="n"/>
      <c r="BH21" s="567" t="n"/>
      <c r="BN21" s="718" t="n"/>
    </row>
  </sheetData>
  <autoFilter ref="A4:CG19"/>
  <mergeCells count="14">
    <mergeCell ref="A5:D5"/>
    <mergeCell ref="E12:F12"/>
    <mergeCell ref="A9:D9"/>
    <mergeCell ref="E16:F16"/>
    <mergeCell ref="AK2:AP2"/>
    <mergeCell ref="E7:F7"/>
    <mergeCell ref="A12:D12"/>
    <mergeCell ref="A19:E19"/>
    <mergeCell ref="E5:F5"/>
    <mergeCell ref="A7:D7"/>
    <mergeCell ref="E14:F14"/>
    <mergeCell ref="A16:D16"/>
    <mergeCell ref="E9:F9"/>
    <mergeCell ref="A14:D14"/>
  </mergeCells>
  <dataValidations count="1">
    <dataValidation sqref="A1:XFD2 A3:K3 A4:XFD4 A5:C9 A10:A16 A17:BP17 A18:A1048576 B10:F10 B11:E18 B20:E20 B21:U1048576 D5 D7:D9 E5:I9 F11 F12:G12 F13:F20 G10:I11 G13:G14 G15:H20 I16:I20 J5 J7:J10 J15:M20 K5:Y9 K11:K14 L10:L11 L12:M12 L13 M3:R3 N10:N16 N18:N20 O10:Q11 O13:Q13 O15:U15 O16:BX16 O17:U20 R10:T10 S11:U14 V3:AH3 V10:BX15 V18:AI1048576 Z5:Z6 Z8:Z9 AA5:XFD9 AJ3:AL3 AJ18:BP20 AJ22:BP1048576 AK21:BP21 AN3:BK3 BM3 BQ3:XFD3 BQ17:BX1048576 BY10:XFD1048576" showDropDown="0" showInputMessage="0" showErrorMessage="1" allowBlank="1"/>
  </dataValidations>
  <pageMargins left="0.2" right="0.1" top="0.45" bottom="0.45" header="0.1" footer="0.1"/>
  <pageSetup orientation="landscape" paperSize="8" scale="4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topLeftCell="A6" workbookViewId="0">
      <selection activeCell="C9" sqref="C9:C14"/>
    </sheetView>
  </sheetViews>
  <sheetFormatPr baseColWidth="8" defaultRowHeight="15"/>
  <cols>
    <col width="9.140625" customWidth="1" style="389" min="1" max="1"/>
    <col width="14.140625" customWidth="1" style="389" min="2" max="2"/>
    <col width="27.42578125" customWidth="1" style="389" min="3" max="3"/>
    <col width="14.28515625" customWidth="1" style="389" min="4" max="4"/>
    <col width="21" customWidth="1" style="389" min="5" max="5"/>
    <col width="9.7109375" customWidth="1" style="389" min="6" max="6"/>
    <col width="10.140625" customWidth="1" style="389" min="7" max="7"/>
    <col width="9.140625" customWidth="1" style="389" min="8" max="8"/>
    <col width="15.7109375" customWidth="1" style="389" min="9" max="9"/>
    <col width="11.7109375" customWidth="1" style="389" min="10" max="10"/>
    <col width="15" customWidth="1" style="389" min="11" max="11"/>
    <col width="15.140625" customWidth="1" style="389" min="12" max="12"/>
    <col width="17.85546875" customWidth="1" style="389" min="13" max="13"/>
    <col width="9.140625" customWidth="1" style="389" min="14" max="16384"/>
  </cols>
  <sheetData>
    <row r="1" ht="15.75" customHeight="1">
      <c r="A1" s="388" t="inlineStr">
        <is>
          <t xml:space="preserve">CÔNG TY TNHH THISO RETAIL </t>
        </is>
      </c>
    </row>
    <row r="2" ht="15.75" customHeight="1">
      <c r="A2" s="388" t="inlineStr">
        <is>
          <t>Siêu thị EMART PVT</t>
        </is>
      </c>
    </row>
    <row r="3" ht="22.5" customHeight="1">
      <c r="A3" s="603" t="inlineStr">
        <is>
          <t>PHỤ CẤP TIỀN CƠM THÁNG 4/2025</t>
        </is>
      </c>
    </row>
    <row r="5" ht="63.75" customHeight="1">
      <c r="A5" s="599" t="inlineStr">
        <is>
          <t>STT</t>
        </is>
      </c>
      <c r="B5" s="599" t="inlineStr">
        <is>
          <t>MNV</t>
        </is>
      </c>
      <c r="C5" s="599" t="inlineStr">
        <is>
          <t>Họ tên</t>
        </is>
      </c>
      <c r="D5" s="599" t="inlineStr">
        <is>
          <t>Ngày vào làm</t>
        </is>
      </c>
      <c r="E5" s="599" t="inlineStr">
        <is>
          <t>Phòng/Ban</t>
        </is>
      </c>
      <c r="F5" s="604" t="inlineStr">
        <is>
          <t>Số ngày làm việc thực tế (trừ Lễ/Tết)</t>
        </is>
      </c>
      <c r="G5" s="604" t="inlineStr">
        <is>
          <t>Số ngày làm thêm giờ từ đủ 4 tiếng</t>
        </is>
      </c>
      <c r="H5" s="604" t="inlineStr">
        <is>
          <t xml:space="preserve">Số ngày làm Lễ/Tết </t>
        </is>
      </c>
      <c r="I5" s="604" t="inlineStr">
        <is>
          <t>Số tiền theo ngày làm việc thực tế (trừ Lễ/Tết)</t>
        </is>
      </c>
      <c r="J5" s="604" t="inlineStr">
        <is>
          <t>Số tiền  làm thêm giờ từ đủ 4 tiếng</t>
        </is>
      </c>
      <c r="K5" s="604" t="inlineStr">
        <is>
          <t xml:space="preserve">Số tiền làm ngày Lễ/Tết </t>
        </is>
      </c>
      <c r="L5" s="604" t="inlineStr">
        <is>
          <t>Tổng số tiền</t>
        </is>
      </c>
      <c r="M5" s="599" t="inlineStr">
        <is>
          <t>Ghi chú</t>
        </is>
      </c>
    </row>
    <row r="6" ht="15.75" customHeight="1">
      <c r="A6" s="719" t="n"/>
      <c r="B6" s="719" t="n"/>
      <c r="C6" s="719" t="n"/>
      <c r="D6" s="719" t="n"/>
      <c r="E6" s="719" t="n"/>
      <c r="F6" s="719" t="n"/>
      <c r="G6" s="719" t="n"/>
      <c r="H6" s="719" t="n"/>
      <c r="I6" s="720" t="n">
        <v>40000</v>
      </c>
      <c r="J6" s="720" t="n">
        <v>40000</v>
      </c>
      <c r="K6" s="720" t="n">
        <v>80000</v>
      </c>
      <c r="L6" s="719" t="n"/>
      <c r="M6" s="719" t="n"/>
    </row>
    <row r="7" ht="15.75" customHeight="1">
      <c r="A7" s="392">
        <f>ROW()-6</f>
        <v/>
      </c>
      <c r="B7" s="393" t="inlineStr">
        <is>
          <t>SLA2500111</t>
        </is>
      </c>
      <c r="C7" s="393" t="inlineStr">
        <is>
          <t>Nguyễn Thị Hà</t>
        </is>
      </c>
      <c r="D7" s="536" t="n">
        <v>43466</v>
      </c>
      <c r="E7" s="413" t="inlineStr">
        <is>
          <t>Store Management</t>
        </is>
      </c>
      <c r="F7" s="721">
        <f>VLOOKUP($B7,'TimeTB 2'!$C$11:$AX$18,46,0)</f>
        <v/>
      </c>
      <c r="G7" s="721">
        <f>VLOOKUP($B7,'TimeTB 2'!$C$11:$AX$18,48,0)</f>
        <v/>
      </c>
      <c r="H7" s="721">
        <f>VLOOKUP($B7,'TimeTB 2'!$C$11:$AX$18,47,0)</f>
        <v/>
      </c>
      <c r="I7" s="722">
        <f>F7*$I$6</f>
        <v/>
      </c>
      <c r="J7" s="722">
        <f>G7*$J$6</f>
        <v/>
      </c>
      <c r="K7" s="722">
        <f>H7*$K$6</f>
        <v/>
      </c>
      <c r="L7" s="723">
        <f>SUM(I7:K7)</f>
        <v/>
      </c>
      <c r="M7" s="393" t="n"/>
    </row>
    <row r="8" ht="15.75" customHeight="1">
      <c r="A8" s="392">
        <f>ROW()-6</f>
        <v/>
      </c>
      <c r="B8" s="393" t="inlineStr">
        <is>
          <t>PHI2500112</t>
        </is>
      </c>
      <c r="C8" s="393" t="inlineStr">
        <is>
          <t>Phùng Mạnh Hà</t>
        </is>
      </c>
      <c r="D8" s="536" t="n">
        <v>43831</v>
      </c>
      <c r="E8" s="413" t="inlineStr">
        <is>
          <t>Cooperate Function</t>
        </is>
      </c>
      <c r="F8" s="721">
        <f>VLOOKUP(B8,'TimeTB 2'!$C$11:$AX$18,46,0)</f>
        <v/>
      </c>
      <c r="G8" s="721">
        <f>VLOOKUP($B8,'TimeTB 2'!$C$11:$AX$18,48,0)</f>
        <v/>
      </c>
      <c r="H8" s="721">
        <f>VLOOKUP($B8,'TimeTB 2'!$C$11:$AX$18,47,0)</f>
        <v/>
      </c>
      <c r="I8" s="722">
        <f>F8*$I$6</f>
        <v/>
      </c>
      <c r="J8" s="722">
        <f>G8*$J$6</f>
        <v/>
      </c>
      <c r="K8" s="722">
        <f>H8*$K$6</f>
        <v/>
      </c>
      <c r="L8" s="723">
        <f>SUM(I8:K8)</f>
        <v/>
      </c>
      <c r="M8" s="393" t="n"/>
    </row>
    <row r="9" ht="15.75" customHeight="1">
      <c r="A9" s="392">
        <f>ROW()-6</f>
        <v/>
      </c>
      <c r="B9" s="393" t="inlineStr">
        <is>
          <t>PVT2500113</t>
        </is>
      </c>
      <c r="C9" s="393" t="inlineStr">
        <is>
          <t>Nguyễn Đức Khánh</t>
        </is>
      </c>
      <c r="D9" s="536" t="n">
        <v>44197</v>
      </c>
      <c r="E9" s="413" t="inlineStr">
        <is>
          <t>PP. Center</t>
        </is>
      </c>
      <c r="F9" s="721">
        <f>VLOOKUP(B9,'TimeTB 2'!$C$11:$AX$18,46,0)</f>
        <v/>
      </c>
      <c r="G9" s="721">
        <f>VLOOKUP($B9,'TimeTB 2'!$C$11:$AX$18,48,0)</f>
        <v/>
      </c>
      <c r="H9" s="721">
        <f>VLOOKUP($B9,'TimeTB 2'!$C$11:$AX$18,47,0)</f>
        <v/>
      </c>
      <c r="I9" s="722">
        <f>F9*$I$6</f>
        <v/>
      </c>
      <c r="J9" s="722">
        <f>G9*$J$6</f>
        <v/>
      </c>
      <c r="K9" s="722">
        <f>H9*$K$6</f>
        <v/>
      </c>
      <c r="L9" s="723">
        <f>SUM(I9:K9)</f>
        <v/>
      </c>
      <c r="M9" s="393" t="n"/>
    </row>
    <row r="10" ht="15.75" customHeight="1">
      <c r="A10" s="392">
        <f>ROW()-6</f>
        <v/>
      </c>
      <c r="B10" s="393" t="inlineStr">
        <is>
          <t>PVT2500114</t>
        </is>
      </c>
      <c r="C10" s="393" t="inlineStr">
        <is>
          <t>Nguyễn Sơn Tùng</t>
        </is>
      </c>
      <c r="D10" s="536" t="n">
        <v>44562</v>
      </c>
      <c r="E10" s="413" t="inlineStr">
        <is>
          <t xml:space="preserve">Hr/Admin </t>
        </is>
      </c>
      <c r="F10" s="721">
        <f>VLOOKUP(B10,'TimeTB 2'!$C$11:$AX$18,46,0)</f>
        <v/>
      </c>
      <c r="G10" s="721">
        <f>VLOOKUP($B10,'TimeTB 2'!$C$11:$AX$18,48,0)</f>
        <v/>
      </c>
      <c r="H10" s="721">
        <f>VLOOKUP($B10,'TimeTB 2'!$C$11:$AX$18,47,0)</f>
        <v/>
      </c>
      <c r="I10" s="722">
        <f>F10*$I$6</f>
        <v/>
      </c>
      <c r="J10" s="722">
        <f>G10*$J$6</f>
        <v/>
      </c>
      <c r="K10" s="722">
        <f>H10*$K$6</f>
        <v/>
      </c>
      <c r="L10" s="723">
        <f>SUM(I10:K10)</f>
        <v/>
      </c>
      <c r="M10" s="393" t="n"/>
    </row>
    <row r="11" ht="15.75" customHeight="1">
      <c r="A11" s="392">
        <f>ROW()-6</f>
        <v/>
      </c>
      <c r="B11" s="393" t="inlineStr">
        <is>
          <t>PVT2500115</t>
        </is>
      </c>
      <c r="C11" s="393" t="inlineStr">
        <is>
          <t>Nguyễn Quang Cường</t>
        </is>
      </c>
      <c r="D11" s="536" t="n">
        <v>45740</v>
      </c>
      <c r="E11" s="413" t="inlineStr">
        <is>
          <t xml:space="preserve">Hr/Admin </t>
        </is>
      </c>
      <c r="F11" s="721">
        <f>VLOOKUP(B11,'TimeTB 2'!$C$11:$AX$18,46,0)</f>
        <v/>
      </c>
      <c r="G11" s="721">
        <f>VLOOKUP($B11,'TimeTB 2'!$C$11:$AX$18,48,0)</f>
        <v/>
      </c>
      <c r="H11" s="721">
        <f>VLOOKUP($B11,'TimeTB 2'!$C$11:$AX$18,47,0)</f>
        <v/>
      </c>
      <c r="I11" s="722">
        <f>F11*$I$6</f>
        <v/>
      </c>
      <c r="J11" s="722">
        <f>G11*$J$6</f>
        <v/>
      </c>
      <c r="K11" s="722">
        <f>H11*$K$6</f>
        <v/>
      </c>
      <c r="L11" s="723">
        <f>SUM(I11:K11)</f>
        <v/>
      </c>
      <c r="M11" s="393" t="n"/>
    </row>
    <row r="12" ht="15.75" customHeight="1">
      <c r="A12" s="392">
        <f>ROW()-6</f>
        <v/>
      </c>
      <c r="B12" s="393" t="inlineStr">
        <is>
          <t>PVT2500116</t>
        </is>
      </c>
      <c r="C12" s="393" t="inlineStr">
        <is>
          <t>Phạm Đức Kiên</t>
        </is>
      </c>
      <c r="D12" s="536" t="n">
        <v>44927</v>
      </c>
      <c r="E12" s="413" t="inlineStr">
        <is>
          <t>Cashier</t>
        </is>
      </c>
      <c r="F12" s="721">
        <f>VLOOKUP(B12,'TimeTB 2'!$C$11:$AX$18,46,0)</f>
        <v/>
      </c>
      <c r="G12" s="721">
        <f>VLOOKUP($B12,'TimeTB 2'!$C$11:$AX$18,48,0)</f>
        <v/>
      </c>
      <c r="H12" s="721">
        <f>VLOOKUP($B12,'TimeTB 2'!$C$11:$AX$18,47,0)</f>
        <v/>
      </c>
      <c r="I12" s="722">
        <f>F12*$I$6</f>
        <v/>
      </c>
      <c r="J12" s="722">
        <f>G12*$J$6</f>
        <v/>
      </c>
      <c r="K12" s="722">
        <f>H12*$K$6</f>
        <v/>
      </c>
      <c r="L12" s="723">
        <f>SUM(I12:K12)</f>
        <v/>
      </c>
      <c r="M12" s="393" t="n"/>
    </row>
    <row r="13" ht="15.75" customHeight="1">
      <c r="A13" s="392">
        <f>ROW()-6</f>
        <v/>
      </c>
      <c r="B13" s="393" t="inlineStr">
        <is>
          <t>PVT2500117</t>
        </is>
      </c>
      <c r="C13" s="393" t="inlineStr">
        <is>
          <t>Nguyễn Văn Quân</t>
        </is>
      </c>
      <c r="D13" s="536" t="n">
        <v>45292</v>
      </c>
      <c r="E13" s="413" t="inlineStr">
        <is>
          <t>Cashier</t>
        </is>
      </c>
      <c r="F13" s="721">
        <f>VLOOKUP(B13,'TimeTB 2'!$C$11:$AX$18,46,0)</f>
        <v/>
      </c>
      <c r="G13" s="721">
        <f>VLOOKUP($B13,'TimeTB 2'!$C$11:$AX$18,48,0)</f>
        <v/>
      </c>
      <c r="H13" s="721">
        <f>VLOOKUP($B13,'TimeTB 2'!$C$11:$AX$18,47,0)</f>
        <v/>
      </c>
      <c r="I13" s="722">
        <f>F13*$I$6</f>
        <v/>
      </c>
      <c r="J13" s="722">
        <f>G13*$J$6</f>
        <v/>
      </c>
      <c r="K13" s="722">
        <f>H13*$K$6</f>
        <v/>
      </c>
      <c r="L13" s="723">
        <f>SUM(I13:K13)</f>
        <v/>
      </c>
      <c r="M13" s="393" t="n"/>
    </row>
    <row r="14" ht="15.75" customHeight="1">
      <c r="A14" s="392">
        <f>ROW()-6</f>
        <v/>
      </c>
      <c r="B14" s="393" t="inlineStr">
        <is>
          <t>PVT2500118</t>
        </is>
      </c>
      <c r="C14" s="393" t="inlineStr">
        <is>
          <t>Ngô Văn Tuấn</t>
        </is>
      </c>
      <c r="D14" s="536" t="n">
        <v>45738</v>
      </c>
      <c r="E14" s="413" t="inlineStr">
        <is>
          <t>PP. Center</t>
        </is>
      </c>
      <c r="F14" s="721">
        <f>VLOOKUP(B14,'TimeTB 2'!$C$11:$AX$18,46,0)</f>
        <v/>
      </c>
      <c r="G14" s="721">
        <f>VLOOKUP($B14,'TimeTB 2'!$C$11:$AX$18,48,0)</f>
        <v/>
      </c>
      <c r="H14" s="721">
        <f>VLOOKUP($B14,'TimeTB 2'!$C$11:$AX$18,47,0)</f>
        <v/>
      </c>
      <c r="I14" s="722">
        <f>F14*$I$6</f>
        <v/>
      </c>
      <c r="J14" s="722">
        <f>G14*$J$6</f>
        <v/>
      </c>
      <c r="K14" s="722">
        <f>H14*$K$6</f>
        <v/>
      </c>
      <c r="L14" s="723">
        <f>SUM(I14:K14)</f>
        <v/>
      </c>
      <c r="M14" s="393" t="n"/>
    </row>
    <row r="15" ht="15.75" customHeight="1">
      <c r="A15" s="724" t="inlineStr">
        <is>
          <t>TỔNG</t>
        </is>
      </c>
      <c r="B15" s="725" t="n"/>
      <c r="C15" s="393" t="n"/>
      <c r="D15" s="393" t="n"/>
      <c r="E15" s="393" t="n"/>
      <c r="F15" s="726">
        <f>SUM(F7:F14)</f>
        <v/>
      </c>
      <c r="G15" s="726">
        <f>SUM(G7:G14)</f>
        <v/>
      </c>
      <c r="H15" s="726">
        <f>SUM(H7:H14)</f>
        <v/>
      </c>
      <c r="I15" s="726">
        <f>SUM(I7:I14)</f>
        <v/>
      </c>
      <c r="J15" s="726">
        <f>SUM(J7:J14)</f>
        <v/>
      </c>
      <c r="K15" s="726">
        <f>SUM(K7:K14)</f>
        <v/>
      </c>
      <c r="L15" s="727">
        <f>SUM(L7:L14)</f>
        <v/>
      </c>
      <c r="M15" s="393" t="n"/>
    </row>
    <row r="16">
      <c r="I16" s="728" t="n"/>
      <c r="J16" s="728" t="n"/>
      <c r="K16" s="728" t="n"/>
      <c r="L16" s="728" t="n"/>
    </row>
    <row r="17">
      <c r="I17" s="486" t="n"/>
      <c r="J17" s="486" t="n"/>
      <c r="K17" s="486" t="n"/>
      <c r="L17" s="486" t="n"/>
    </row>
    <row r="18" ht="15.75" customFormat="1" customHeight="1" s="397">
      <c r="A18" s="388" t="n"/>
      <c r="B18" s="388" t="inlineStr">
        <is>
          <t>Lập bảng</t>
        </is>
      </c>
      <c r="C18" s="388" t="n"/>
      <c r="D18" s="388" t="n"/>
      <c r="E18" s="398" t="inlineStr">
        <is>
          <t>Kiểm tra</t>
        </is>
      </c>
      <c r="F18" s="388" t="n"/>
      <c r="G18" s="388" t="n"/>
      <c r="H18" s="388" t="n"/>
      <c r="I18" s="388" t="n"/>
      <c r="J18" s="388" t="n"/>
      <c r="K18" s="388" t="n"/>
      <c r="L18" s="388" t="inlineStr">
        <is>
          <t>Phê duyệt</t>
        </is>
      </c>
    </row>
    <row r="19">
      <c r="E19" s="415" t="n"/>
    </row>
    <row r="20" ht="18.75" customHeight="1">
      <c r="E20" s="415" t="n"/>
    </row>
    <row r="21">
      <c r="E21" s="415" t="n"/>
    </row>
  </sheetData>
  <autoFilter ref="A6:M18"/>
  <mergeCells count="12">
    <mergeCell ref="A5:A6"/>
    <mergeCell ref="G5:G6"/>
    <mergeCell ref="E5:E6"/>
    <mergeCell ref="H5:H6"/>
    <mergeCell ref="A15:B15"/>
    <mergeCell ref="A3:M3"/>
    <mergeCell ref="C5:C6"/>
    <mergeCell ref="M5:M6"/>
    <mergeCell ref="F5:F6"/>
    <mergeCell ref="D5:D6"/>
    <mergeCell ref="B5:B6"/>
    <mergeCell ref="L5:L6"/>
  </mergeCells>
  <conditionalFormatting sqref="B5">
    <cfRule type="expression" priority="1327699" dxfId="0" stopIfTrue="1">
      <formula>AND(COUNTIF($B$22:$B$65500, B5)+COUNTIF($B$1:$B$1, B5)+COUNTIF($B$4:$B$5, B5)+COUNTIF($B$7:$B$14, B5)&gt;1,NOT(ISBLANK(B5)))</formula>
    </cfRule>
  </conditionalFormatting>
  <pageMargins left="0.2" right="0.2" top="0.5" bottom="0.5" header="0.3" footer="0.3"/>
  <pageSetup orientation="landscape" paperSize="9" scale="8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1"/>
  <sheetViews>
    <sheetView view="pageBreakPreview" topLeftCell="B1" zoomScale="70" zoomScaleNormal="85" zoomScaleSheetLayoutView="70" workbookViewId="0">
      <pane xSplit="3" ySplit="10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12" sqref="D12:D18"/>
    </sheetView>
  </sheetViews>
  <sheetFormatPr baseColWidth="8" defaultRowHeight="21"/>
  <cols>
    <col hidden="1" width="4.28515625" customWidth="1" min="1" max="1"/>
    <col width="5.85546875" customWidth="1" min="2" max="2"/>
    <col width="17.140625" customWidth="1" min="3" max="3"/>
    <col width="29.140625" customWidth="1" min="4" max="4"/>
    <col outlineLevel="1" width="15" customWidth="1" min="5" max="5"/>
    <col hidden="1" outlineLevel="1" width="15.42578125" customWidth="1" min="6" max="6"/>
    <col hidden="1" outlineLevel="1" width="22.85546875" customWidth="1" style="305" min="7" max="7"/>
    <col outlineLevel="1" width="21.42578125" customWidth="1" min="8" max="8"/>
    <col outlineLevel="1" width="12.42578125" customWidth="1" style="380" min="9" max="9"/>
    <col width="4.85546875" customWidth="1" style="106" min="10" max="10"/>
    <col width="3.5703125" customWidth="1" style="106" min="11" max="11"/>
    <col width="5.140625" customWidth="1" style="106" min="12" max="12"/>
    <col width="3.7109375" customWidth="1" style="106" min="13" max="13"/>
    <col width="3.5703125" customWidth="1" style="116" min="14" max="15"/>
    <col width="3.7109375" customWidth="1" style="116" min="16" max="16"/>
    <col width="3.7109375" customWidth="1" style="106" min="17" max="17"/>
    <col width="4.140625" customWidth="1" style="106" min="18" max="18"/>
    <col width="3.7109375" customWidth="1" style="106" min="19" max="19"/>
    <col width="4.42578125" customWidth="1" style="106" min="20" max="20"/>
    <col width="3.7109375" customWidth="1" style="106" min="21" max="21"/>
    <col width="4.28515625" customWidth="1" style="106" min="22" max="22"/>
    <col width="3.7109375" customWidth="1" style="106" min="23" max="23"/>
    <col width="4.5703125" customWidth="1" style="112" min="24" max="24"/>
    <col width="5.140625" customWidth="1" style="106" min="25" max="25"/>
    <col width="4.28515625" customWidth="1" style="106" min="26" max="26"/>
    <col width="3.7109375" customWidth="1" style="106" min="27" max="27"/>
    <col width="5" customWidth="1" style="106" min="28" max="28"/>
    <col width="3.7109375" customWidth="1" style="106" min="29" max="31"/>
    <col width="4.28515625" customWidth="1" style="106" min="32" max="32"/>
    <col width="5.28515625" customWidth="1" style="106" min="33" max="33"/>
    <col width="3.7109375" customWidth="1" style="106" min="34" max="34"/>
    <col width="5" customWidth="1" style="106" min="35" max="35"/>
    <col width="3.7109375" customWidth="1" style="106" min="36" max="36"/>
    <col width="4.42578125" customWidth="1" style="106" min="37" max="37"/>
    <col width="4.7109375" customWidth="1" style="106" min="38" max="40"/>
    <col width="8.5703125" customWidth="1" min="41" max="42"/>
    <col width="10.85546875" customWidth="1" min="43" max="43"/>
    <col width="11.42578125" customWidth="1" style="729" min="44" max="44"/>
    <col width="12.7109375" customWidth="1" min="45" max="45"/>
    <col width="7.140625" customWidth="1" min="46" max="46"/>
    <col width="12.85546875" customWidth="1" style="113" min="47" max="50"/>
    <col width="12.7109375" customWidth="1" style="41" min="51" max="51"/>
    <col width="9.140625" customWidth="1" min="52" max="52"/>
    <col width="22" customWidth="1" min="53" max="53"/>
  </cols>
  <sheetData>
    <row r="1" ht="27" customHeight="1">
      <c r="B1" s="730" t="inlineStr">
        <is>
          <t>THIO RETAIL COMPANY LIMITED</t>
        </is>
      </c>
      <c r="C1" s="59" t="n"/>
      <c r="D1" s="272" t="n"/>
      <c r="E1" s="42" t="n"/>
      <c r="F1" s="96" t="n"/>
      <c r="G1" s="298" t="n"/>
      <c r="H1" s="96" t="n"/>
      <c r="I1" s="487" t="n"/>
      <c r="J1" s="101" t="n"/>
      <c r="K1" s="101" t="n"/>
      <c r="L1" s="101" t="n"/>
      <c r="M1" s="386" t="n"/>
      <c r="N1" s="114" t="n"/>
      <c r="O1" s="114" t="n"/>
      <c r="P1" s="115" t="n"/>
      <c r="Q1" s="102" t="n"/>
      <c r="R1" s="102" t="n"/>
      <c r="S1" s="102" t="n"/>
      <c r="T1" s="101" t="n"/>
      <c r="U1" s="101" t="n"/>
      <c r="V1" s="101" t="n"/>
      <c r="W1" s="101" t="n"/>
      <c r="X1" s="731" t="n"/>
      <c r="Y1" s="732" t="n"/>
      <c r="Z1" s="732" t="n"/>
      <c r="AA1" s="732" t="n"/>
      <c r="AB1" s="732" t="n"/>
      <c r="AC1" s="732" t="n"/>
      <c r="AD1" s="733" t="n"/>
      <c r="AE1" s="733" t="n"/>
      <c r="AF1" s="733" t="n"/>
      <c r="AG1" s="733" t="n"/>
      <c r="AH1" s="733" t="n"/>
      <c r="AI1" s="733" t="n"/>
      <c r="AJ1" s="733" t="n"/>
      <c r="AK1" s="101" t="n"/>
      <c r="AL1" s="101" t="n"/>
      <c r="AM1" s="101" t="n"/>
      <c r="AN1" s="108" t="n"/>
      <c r="AO1" s="734" t="n"/>
      <c r="AP1" s="734" t="n"/>
      <c r="AQ1" s="734" t="n"/>
      <c r="AR1" s="734" t="n"/>
      <c r="AS1" s="734" t="n"/>
      <c r="AT1" s="109" t="n"/>
      <c r="AU1" s="345">
        <f>SUBTOTAL(9,AU11:AU18)</f>
        <v/>
      </c>
      <c r="AV1" s="345" t="n"/>
      <c r="AW1" s="345" t="n"/>
      <c r="AX1" s="345" t="n"/>
    </row>
    <row r="2" ht="11.25" customHeight="1">
      <c r="B2" s="735" t="n"/>
      <c r="C2" s="59" t="n"/>
      <c r="D2" s="272" t="n"/>
      <c r="E2" s="42" t="n"/>
      <c r="F2" s="96" t="n"/>
      <c r="G2" s="298" t="n"/>
      <c r="H2" s="96" t="n"/>
      <c r="I2" s="487" t="n"/>
      <c r="J2" s="101" t="n"/>
      <c r="K2" s="101" t="n"/>
      <c r="L2" s="101" t="n"/>
      <c r="M2" s="101" t="n"/>
      <c r="N2" s="114" t="n"/>
      <c r="O2" s="114" t="n"/>
      <c r="P2" s="115" t="n"/>
      <c r="Q2" s="102" t="n"/>
      <c r="R2" s="102" t="n"/>
      <c r="S2" s="102" t="n"/>
      <c r="T2" s="101" t="n"/>
      <c r="U2" s="101" t="n"/>
      <c r="V2" s="101" t="n"/>
      <c r="W2" s="101" t="n"/>
      <c r="X2" s="736" t="n"/>
      <c r="Y2" s="732" t="n"/>
      <c r="Z2" s="732" t="n"/>
      <c r="AA2" s="732" t="n"/>
      <c r="AB2" s="732" t="n"/>
      <c r="AC2" s="732" t="n"/>
      <c r="AD2" s="733" t="n"/>
      <c r="AE2" s="733" t="n"/>
      <c r="AF2" s="733" t="n"/>
      <c r="AG2" s="733" t="n"/>
      <c r="AH2" s="733" t="n"/>
      <c r="AI2" s="733" t="n"/>
      <c r="AJ2" s="733" t="n"/>
      <c r="AK2" s="101" t="n"/>
      <c r="AL2" s="101" t="n"/>
      <c r="AM2" s="101" t="n"/>
      <c r="AN2" s="108" t="n"/>
      <c r="AO2" s="734" t="n"/>
      <c r="AP2" s="734" t="n"/>
      <c r="AQ2" s="734" t="n"/>
      <c r="AR2" s="734" t="n"/>
      <c r="AS2" s="734" t="n"/>
      <c r="AT2" s="109" t="n"/>
    </row>
    <row r="3" ht="27" customHeight="1">
      <c r="B3" s="737" t="inlineStr">
        <is>
          <t>PHAN VAN TRI STORE</t>
        </is>
      </c>
      <c r="C3" s="59" t="n"/>
      <c r="D3" s="272" t="n"/>
      <c r="E3" s="42" t="n"/>
      <c r="F3" s="96" t="n"/>
      <c r="G3" s="298" t="n"/>
      <c r="H3" s="96" t="n"/>
      <c r="I3" s="487" t="n"/>
      <c r="J3" s="101" t="n"/>
      <c r="K3" s="101" t="n"/>
      <c r="L3" s="101" t="n"/>
      <c r="M3" s="101" t="n"/>
      <c r="N3" s="114" t="n"/>
      <c r="O3" s="114" t="n"/>
      <c r="P3" s="115" t="n"/>
      <c r="Q3" s="102" t="n"/>
      <c r="R3" s="102" t="n"/>
      <c r="S3" s="102" t="n"/>
      <c r="T3" s="101" t="n"/>
      <c r="U3" s="101" t="n"/>
      <c r="V3" s="101" t="n"/>
      <c r="W3" s="101" t="n"/>
      <c r="X3" s="736" t="n"/>
      <c r="Y3" s="732" t="n"/>
      <c r="Z3" s="732" t="n"/>
      <c r="AA3" s="732" t="n"/>
      <c r="AB3" s="732" t="n"/>
      <c r="AC3" s="732" t="n"/>
      <c r="AD3" s="733" t="n"/>
      <c r="AE3" s="733" t="n"/>
      <c r="AF3" s="733" t="n"/>
      <c r="AG3" s="733" t="n"/>
      <c r="AH3" s="733" t="n"/>
      <c r="AI3" s="733" t="n"/>
      <c r="AJ3" s="733" t="n"/>
      <c r="AK3" s="101" t="n"/>
      <c r="AL3" s="101" t="n"/>
      <c r="AM3" s="101" t="n"/>
      <c r="AN3" s="108" t="n"/>
      <c r="AO3" s="734" t="n"/>
      <c r="AP3" s="734" t="n"/>
      <c r="AQ3" s="734" t="n"/>
      <c r="AR3" s="734" t="n"/>
      <c r="AS3" s="734" t="n"/>
      <c r="AT3" s="109" t="n"/>
    </row>
    <row r="4" ht="20.25" customHeight="1">
      <c r="B4" s="44" t="n"/>
      <c r="C4" s="60" t="n"/>
      <c r="D4" s="273" t="n"/>
      <c r="E4" s="43" t="n"/>
      <c r="F4" s="43" t="n"/>
      <c r="G4" s="299" t="n"/>
      <c r="H4" s="43" t="n"/>
      <c r="I4" s="488" t="n"/>
      <c r="J4" s="101" t="n"/>
      <c r="K4" s="101" t="n"/>
      <c r="L4" s="101" t="n"/>
      <c r="M4" s="101" t="n"/>
      <c r="N4" s="118" t="inlineStr">
        <is>
          <t>X</t>
        </is>
      </c>
      <c r="O4" s="118" t="inlineStr">
        <is>
          <t>X</t>
        </is>
      </c>
      <c r="P4" s="114" t="n"/>
      <c r="Q4" s="101" t="n"/>
      <c r="R4" s="105" t="n"/>
      <c r="S4" s="101" t="n"/>
      <c r="T4" s="235" t="inlineStr">
        <is>
          <t>TIME TABLE APRIL, 2025</t>
        </is>
      </c>
      <c r="U4" s="101" t="n"/>
      <c r="V4" s="101" t="n"/>
      <c r="W4" s="101" t="n"/>
      <c r="X4" s="736" t="n"/>
      <c r="Y4" s="732" t="n"/>
      <c r="Z4" s="732" t="n"/>
      <c r="AA4" s="732" t="n"/>
      <c r="AB4" s="732" t="n"/>
      <c r="AC4" s="732" t="n"/>
      <c r="AD4" s="733" t="n"/>
      <c r="AE4" s="733" t="n"/>
      <c r="AF4" s="733" t="n"/>
      <c r="AG4" s="733" t="n"/>
      <c r="AH4" s="733" t="inlineStr">
        <is>
          <t> </t>
        </is>
      </c>
      <c r="AI4" s="733" t="n"/>
      <c r="AJ4" s="733" t="n"/>
      <c r="AK4" s="101" t="n"/>
      <c r="AL4" s="101" t="n"/>
      <c r="AM4" s="101" t="n"/>
      <c r="AN4" s="108" t="n"/>
      <c r="AO4" s="738" t="n"/>
      <c r="AP4" s="738" t="n"/>
      <c r="AQ4" s="738" t="n"/>
      <c r="AR4" s="738" t="n"/>
      <c r="AS4" s="738" t="n"/>
      <c r="AT4" s="109" t="n"/>
    </row>
    <row r="5" ht="27" customHeight="1">
      <c r="B5" s="45" t="n"/>
      <c r="C5" s="61" t="n"/>
      <c r="D5" s="274" t="n"/>
      <c r="E5" s="46" t="n"/>
      <c r="F5" s="97" t="n"/>
      <c r="G5" s="300" t="n"/>
      <c r="H5" s="97" t="n"/>
      <c r="I5" s="489" t="n"/>
      <c r="J5" s="163" t="n"/>
      <c r="K5" s="163" t="n"/>
      <c r="L5" s="163" t="n"/>
      <c r="M5" s="163" t="n"/>
      <c r="N5" s="118" t="n"/>
      <c r="O5" s="118" t="n"/>
      <c r="P5" s="164" t="n"/>
      <c r="Q5" s="165" t="n"/>
      <c r="R5" s="165" t="n"/>
      <c r="S5" s="165" t="n"/>
      <c r="T5" s="163" t="n"/>
      <c r="U5" s="163" t="n"/>
      <c r="V5" s="163" t="n"/>
      <c r="W5" s="163" t="n"/>
      <c r="X5" s="166" t="n"/>
      <c r="Y5" s="739" t="n"/>
      <c r="Z5" s="739" t="n"/>
      <c r="AA5" s="739" t="n"/>
      <c r="AB5" s="739" t="n"/>
      <c r="AC5" s="739" t="n"/>
      <c r="AD5" s="740" t="n"/>
      <c r="AE5" s="740" t="n"/>
      <c r="AF5" s="740" t="n"/>
      <c r="AG5" s="740" t="n"/>
      <c r="AH5" s="740" t="n"/>
      <c r="AI5" s="740" t="n"/>
      <c r="AJ5" s="740" t="n">
        <v>30</v>
      </c>
      <c r="AK5" s="108" t="n">
        <v>1</v>
      </c>
      <c r="AL5" s="108" t="n">
        <v>2</v>
      </c>
      <c r="AM5" s="108" t="n">
        <v>3</v>
      </c>
      <c r="AN5" s="108" t="n">
        <v>4</v>
      </c>
      <c r="AO5" s="741" t="n"/>
      <c r="AP5" s="741" t="n"/>
      <c r="AQ5" s="741" t="n"/>
      <c r="AR5" s="741" t="n"/>
      <c r="AS5" s="741" t="n"/>
      <c r="AT5" s="109" t="n"/>
      <c r="AU5" s="169">
        <f>+#REF!-6-3+1</f>
        <v/>
      </c>
      <c r="AV5" s="169" t="n"/>
      <c r="AW5" s="169" t="n"/>
      <c r="AX5" s="169" t="n"/>
    </row>
    <row r="6" ht="15" customFormat="1" customHeight="1" s="109">
      <c r="C6" s="312" t="n"/>
      <c r="D6" s="313" t="n"/>
      <c r="E6" s="313" t="n"/>
      <c r="F6" s="314" t="n"/>
      <c r="G6" s="315" t="n"/>
      <c r="H6" s="314" t="n"/>
      <c r="I6" s="490" t="n"/>
      <c r="J6" s="317">
        <f>WEEKDAY(J9)</f>
        <v/>
      </c>
      <c r="K6" s="317">
        <f>WEEKDAY(K9)</f>
        <v/>
      </c>
      <c r="L6" s="317">
        <f>WEEKDAY(L9)</f>
        <v/>
      </c>
      <c r="M6" s="317">
        <f>WEEKDAY(M9)</f>
        <v/>
      </c>
      <c r="N6" s="317">
        <f>WEEKDAY(N9)</f>
        <v/>
      </c>
      <c r="O6" s="317">
        <f>WEEKDAY(O9)</f>
        <v/>
      </c>
      <c r="P6" s="317">
        <f>WEEKDAY(P9)</f>
        <v/>
      </c>
      <c r="Q6" s="317">
        <f>WEEKDAY(Q9)</f>
        <v/>
      </c>
      <c r="R6" s="317">
        <f>WEEKDAY(R9)</f>
        <v/>
      </c>
      <c r="S6" s="317">
        <f>WEEKDAY(S9)</f>
        <v/>
      </c>
      <c r="T6" s="317">
        <f>WEEKDAY(T9)</f>
        <v/>
      </c>
      <c r="U6" s="317">
        <f>WEEKDAY(U9)</f>
        <v/>
      </c>
      <c r="V6" s="317">
        <f>WEEKDAY(V9)</f>
        <v/>
      </c>
      <c r="W6" s="317">
        <f>WEEKDAY(W9)</f>
        <v/>
      </c>
      <c r="X6" s="317">
        <f>WEEKDAY(X9)</f>
        <v/>
      </c>
      <c r="Y6" s="317">
        <f>WEEKDAY(Y9)</f>
        <v/>
      </c>
      <c r="Z6" s="317">
        <f>WEEKDAY(Z9)</f>
        <v/>
      </c>
      <c r="AA6" s="317">
        <f>WEEKDAY(AA9)</f>
        <v/>
      </c>
      <c r="AB6" s="317">
        <f>WEEKDAY(AB9)</f>
        <v/>
      </c>
      <c r="AC6" s="317">
        <f>WEEKDAY(AC9)</f>
        <v/>
      </c>
      <c r="AD6" s="317">
        <f>WEEKDAY(AD9)</f>
        <v/>
      </c>
      <c r="AE6" s="317">
        <f>WEEKDAY(AE9)</f>
        <v/>
      </c>
      <c r="AF6" s="317">
        <f>WEEKDAY(AF9)</f>
        <v/>
      </c>
      <c r="AG6" s="317">
        <f>WEEKDAY(AG9)</f>
        <v/>
      </c>
      <c r="AH6" s="317">
        <f>WEEKDAY(AH9)</f>
        <v/>
      </c>
      <c r="AI6" s="317">
        <f>WEEKDAY(AI9)</f>
        <v/>
      </c>
      <c r="AJ6" s="317">
        <f>WEEKDAY(AJ9)</f>
        <v/>
      </c>
      <c r="AK6" s="317">
        <f>WEEKDAY(AK9)</f>
        <v/>
      </c>
      <c r="AL6" s="317">
        <f>WEEKDAY(AL9)</f>
        <v/>
      </c>
      <c r="AM6" s="317">
        <f>WEEKDAY(AM9)</f>
        <v/>
      </c>
      <c r="AN6" s="317">
        <f>WEEKDAY(AN9)</f>
        <v/>
      </c>
      <c r="AO6" s="742" t="n"/>
      <c r="AP6" s="742" t="n"/>
      <c r="AQ6" s="742" t="n"/>
      <c r="AR6" s="742" t="n"/>
      <c r="AS6" s="742" t="n"/>
      <c r="AT6" s="118" t="inlineStr">
        <is>
          <t>CL</t>
        </is>
      </c>
      <c r="AU6" s="318" t="inlineStr">
        <is>
          <t>1/2 CL</t>
        </is>
      </c>
      <c r="AV6" s="318" t="n"/>
      <c r="AW6" s="318" t="n"/>
      <c r="AX6" s="318" t="n"/>
    </row>
    <row r="7" ht="20.25" customHeight="1">
      <c r="B7" s="47" t="n"/>
      <c r="C7" s="62" t="n"/>
      <c r="D7" s="275" t="n"/>
      <c r="E7" s="48" t="n"/>
      <c r="F7" s="47" t="n"/>
      <c r="G7" s="301" t="n"/>
      <c r="H7" s="47" t="n"/>
      <c r="I7" s="491" t="n"/>
      <c r="J7" s="118">
        <f>WEEKDAY(J9)</f>
        <v/>
      </c>
      <c r="K7" s="118">
        <f>WEEKDAY(K9)</f>
        <v/>
      </c>
      <c r="L7" s="118">
        <f>WEEKDAY(L9)</f>
        <v/>
      </c>
      <c r="M7" s="118">
        <f>WEEKDAY(M9)</f>
        <v/>
      </c>
      <c r="N7" s="118">
        <f>WEEKDAY(N9)</f>
        <v/>
      </c>
      <c r="O7" s="118">
        <f>WEEKDAY(O9)</f>
        <v/>
      </c>
      <c r="P7" s="118">
        <f>WEEKDAY(P9)</f>
        <v/>
      </c>
      <c r="Q7" s="118">
        <f>WEEKDAY(Q9)</f>
        <v/>
      </c>
      <c r="R7" s="118">
        <f>WEEKDAY(R9)</f>
        <v/>
      </c>
      <c r="S7" s="118">
        <f>WEEKDAY(S9)</f>
        <v/>
      </c>
      <c r="T7" s="118">
        <f>WEEKDAY(T9)</f>
        <v/>
      </c>
      <c r="U7" s="118">
        <f>WEEKDAY(U9)</f>
        <v/>
      </c>
      <c r="V7" s="118">
        <f>WEEKDAY(V9)</f>
        <v/>
      </c>
      <c r="W7" s="118">
        <f>WEEKDAY(W9)</f>
        <v/>
      </c>
      <c r="X7" s="118">
        <f>WEEKDAY(X9)</f>
        <v/>
      </c>
      <c r="Y7" s="118">
        <f>WEEKDAY(Y9)</f>
        <v/>
      </c>
      <c r="Z7" s="118">
        <f>WEEKDAY(Z9)</f>
        <v/>
      </c>
      <c r="AA7" s="118">
        <f>WEEKDAY(AA9)</f>
        <v/>
      </c>
      <c r="AB7" s="118">
        <f>WEEKDAY(AB9)</f>
        <v/>
      </c>
      <c r="AC7" s="118">
        <f>WEEKDAY(AC9)</f>
        <v/>
      </c>
      <c r="AD7" s="118">
        <f>WEEKDAY(AD9)</f>
        <v/>
      </c>
      <c r="AE7" s="118">
        <f>WEEKDAY(AE9)</f>
        <v/>
      </c>
      <c r="AF7" s="118">
        <f>WEEKDAY(AF9)</f>
        <v/>
      </c>
      <c r="AG7" s="118">
        <f>WEEKDAY(AG9)</f>
        <v/>
      </c>
      <c r="AH7" s="118">
        <f>WEEKDAY(AH9)</f>
        <v/>
      </c>
      <c r="AI7" s="118">
        <f>WEEKDAY(AI9)</f>
        <v/>
      </c>
      <c r="AJ7" s="118">
        <f>WEEKDAY(AJ9)</f>
        <v/>
      </c>
      <c r="AK7" s="118">
        <f>WEEKDAY(AK9)</f>
        <v/>
      </c>
      <c r="AL7" s="118">
        <f>WEEKDAY(AL9)</f>
        <v/>
      </c>
      <c r="AM7" s="118">
        <f>WEEKDAY(AM9)</f>
        <v/>
      </c>
      <c r="AN7" s="118">
        <f>WEEKDAY(AN9)</f>
        <v/>
      </c>
      <c r="AO7" s="210" t="n"/>
      <c r="AP7" s="210" t="n"/>
      <c r="AQ7" s="210" t="n"/>
      <c r="AR7" s="743" t="n"/>
      <c r="AS7" s="210" t="n"/>
      <c r="AT7" s="113">
        <f>SUBTOTAL(9,AT$11:AT$19)</f>
        <v/>
      </c>
      <c r="AU7" s="113">
        <f>SUBTOTAL(9,AU$11:AU$18)</f>
        <v/>
      </c>
      <c r="AY7" s="212" t="n"/>
    </row>
    <row r="8" ht="18.75" customHeight="1">
      <c r="B8" s="621" t="inlineStr">
        <is>
          <t>TT</t>
        </is>
      </c>
      <c r="C8" s="619" t="inlineStr">
        <is>
          <t>CODE VN</t>
        </is>
      </c>
      <c r="D8" s="619" t="inlineStr">
        <is>
          <t>Full Name</t>
        </is>
      </c>
      <c r="E8" s="744" t="inlineStr">
        <is>
          <t>Joinging date</t>
        </is>
      </c>
      <c r="F8" s="628" t="inlineStr">
        <is>
          <t>Dept</t>
        </is>
      </c>
      <c r="G8" s="744" t="inlineStr">
        <is>
          <t>Sub. Dept</t>
        </is>
      </c>
      <c r="H8" s="628" t="inlineStr">
        <is>
          <t>Job Title</t>
        </is>
      </c>
      <c r="I8" s="745" t="inlineStr">
        <is>
          <t>REMARK</t>
        </is>
      </c>
      <c r="J8" s="611" t="n">
        <v>45742</v>
      </c>
      <c r="K8" s="746" t="n"/>
      <c r="L8" s="746" t="n"/>
      <c r="M8" s="613">
        <f>EOMONTH(J8,0)+1</f>
        <v/>
      </c>
      <c r="N8" s="746" t="n"/>
      <c r="O8" s="746" t="n"/>
      <c r="P8" s="746" t="n"/>
      <c r="Q8" s="746" t="n"/>
      <c r="R8" s="746" t="n"/>
      <c r="S8" s="746" t="n"/>
      <c r="T8" s="746" t="n"/>
      <c r="U8" s="746" t="n"/>
      <c r="V8" s="746" t="n"/>
      <c r="W8" s="746" t="n"/>
      <c r="X8" s="746" t="n"/>
      <c r="Y8" s="746" t="n"/>
      <c r="Z8" s="746" t="n"/>
      <c r="AA8" s="746" t="n"/>
      <c r="AB8" s="746" t="n"/>
      <c r="AC8" s="746" t="n"/>
      <c r="AD8" s="746" t="n"/>
      <c r="AE8" s="746" t="n"/>
      <c r="AF8" s="746" t="n"/>
      <c r="AG8" s="746" t="n"/>
      <c r="AH8" s="746" t="n"/>
      <c r="AI8" s="746" t="n"/>
      <c r="AJ8" s="746" t="n"/>
      <c r="AK8" s="746" t="n"/>
      <c r="AL8" s="746" t="n"/>
      <c r="AM8" s="746" t="n"/>
      <c r="AN8" s="747" t="n"/>
      <c r="AO8" s="748" t="inlineStr">
        <is>
          <t>Total OFF days</t>
        </is>
      </c>
      <c r="AP8" s="748" t="inlineStr">
        <is>
          <t>Unpaid leave</t>
        </is>
      </c>
      <c r="AQ8" s="748" t="inlineStr">
        <is>
          <t>Nghỉ hưởng lương
 (Nghỉ Phép/ Nghỉ Bù/ Nghỉ chế độ/ Nghỉ Lễ)</t>
        </is>
      </c>
      <c r="AR8" s="748" t="inlineStr">
        <is>
          <t>Actual working days</t>
        </is>
      </c>
      <c r="AS8" s="748" t="inlineStr">
        <is>
          <t>Total</t>
        </is>
      </c>
      <c r="AT8" s="610" t="inlineStr">
        <is>
          <t>Work adjustment</t>
        </is>
      </c>
      <c r="AU8" s="748" t="inlineStr">
        <is>
          <t>Total paid workdays</t>
        </is>
      </c>
      <c r="AV8" s="749" t="inlineStr">
        <is>
          <t>Total working days paid regular meals</t>
        </is>
      </c>
      <c r="AW8" s="749" t="inlineStr">
        <is>
          <t>Total working days pay for meals during Tet holidays</t>
        </is>
      </c>
      <c r="AX8" s="749" t="inlineStr">
        <is>
          <t>Total workdays pay for overtime meals</t>
        </is>
      </c>
      <c r="AY8" s="750" t="inlineStr">
        <is>
          <t>Note</t>
        </is>
      </c>
    </row>
    <row r="9" ht="45.75" customHeight="1">
      <c r="B9" s="751" t="n"/>
      <c r="C9" s="751" t="n"/>
      <c r="D9" s="751" t="n"/>
      <c r="E9" s="751" t="n"/>
      <c r="F9" s="752" t="n"/>
      <c r="G9" s="751" t="n"/>
      <c r="H9" s="752" t="n"/>
      <c r="I9" s="751" t="n"/>
      <c r="J9" s="753">
        <f>J8</f>
        <v/>
      </c>
      <c r="K9" s="753">
        <f>+J9+1</f>
        <v/>
      </c>
      <c r="L9" s="753">
        <f>+K9+1</f>
        <v/>
      </c>
      <c r="M9" s="753">
        <f>+L9+1</f>
        <v/>
      </c>
      <c r="N9" s="753">
        <f>+M9+1</f>
        <v/>
      </c>
      <c r="O9" s="753">
        <f>+N9+1</f>
        <v/>
      </c>
      <c r="P9" s="754">
        <f>+O9+1</f>
        <v/>
      </c>
      <c r="Q9" s="754">
        <f>+P9+1</f>
        <v/>
      </c>
      <c r="R9" s="754">
        <f>+Q9+1</f>
        <v/>
      </c>
      <c r="S9" s="754">
        <f>+R9+1</f>
        <v/>
      </c>
      <c r="T9" s="754">
        <f>+S9+1</f>
        <v/>
      </c>
      <c r="U9" s="754">
        <f>+T9+1</f>
        <v/>
      </c>
      <c r="V9" s="754">
        <f>+U9+1</f>
        <v/>
      </c>
      <c r="W9" s="754">
        <f>+V9+1</f>
        <v/>
      </c>
      <c r="X9" s="754">
        <f>+W9+1</f>
        <v/>
      </c>
      <c r="Y9" s="754">
        <f>+X9+1</f>
        <v/>
      </c>
      <c r="Z9" s="754">
        <f>+Y9+1</f>
        <v/>
      </c>
      <c r="AA9" s="754">
        <f>+Z9+1</f>
        <v/>
      </c>
      <c r="AB9" s="754">
        <f>+AA9+1</f>
        <v/>
      </c>
      <c r="AC9" s="754">
        <f>+AB9+1</f>
        <v/>
      </c>
      <c r="AD9" s="754">
        <f>+AC9+1</f>
        <v/>
      </c>
      <c r="AE9" s="754">
        <f>+AD9+1</f>
        <v/>
      </c>
      <c r="AF9" s="754">
        <f>+AE9+1</f>
        <v/>
      </c>
      <c r="AG9" s="754">
        <f>+AF9+1</f>
        <v/>
      </c>
      <c r="AH9" s="754">
        <f>+AG9+1</f>
        <v/>
      </c>
      <c r="AI9" s="754">
        <f>+AH9+1</f>
        <v/>
      </c>
      <c r="AJ9" s="754">
        <f>+AI9+1</f>
        <v/>
      </c>
      <c r="AK9" s="754">
        <f>+AJ9+1</f>
        <v/>
      </c>
      <c r="AL9" s="754">
        <f>+AK9+1</f>
        <v/>
      </c>
      <c r="AM9" s="754">
        <f>+AL9+1</f>
        <v/>
      </c>
      <c r="AN9" s="754">
        <f>+AM9+1</f>
        <v/>
      </c>
      <c r="AO9" s="755" t="n"/>
      <c r="AP9" s="755" t="n"/>
      <c r="AQ9" s="755" t="n"/>
      <c r="AR9" s="755" t="n"/>
      <c r="AS9" s="755" t="n"/>
      <c r="AT9" s="751" t="n"/>
      <c r="AU9" s="755" t="n"/>
      <c r="AV9" s="755" t="n"/>
      <c r="AW9" s="755" t="n"/>
      <c r="AX9" s="755" t="n"/>
      <c r="AY9" s="756" t="n"/>
    </row>
    <row r="10" ht="46.5" customHeight="1">
      <c r="B10" s="259" t="n"/>
      <c r="C10" s="260" t="n"/>
      <c r="D10" s="260" t="n"/>
      <c r="E10" s="198" t="n"/>
      <c r="F10" s="239" t="n"/>
      <c r="G10" s="302" t="n"/>
      <c r="H10" s="240" t="n"/>
      <c r="I10" s="756" t="n"/>
      <c r="J10" s="346">
        <f>TEXT(J9,"ddd")</f>
        <v/>
      </c>
      <c r="K10" s="346">
        <f>TEXT(K9,"ddd")</f>
        <v/>
      </c>
      <c r="L10" s="346">
        <f>TEXT(L9,"ddd")</f>
        <v/>
      </c>
      <c r="M10" s="346">
        <f>TEXT(M9,"ddd")</f>
        <v/>
      </c>
      <c r="N10" s="416">
        <f>TEXT(N9,"ddd")</f>
        <v/>
      </c>
      <c r="O10" s="346">
        <f>TEXT(O9,"ddd")</f>
        <v/>
      </c>
      <c r="P10" s="346">
        <f>TEXT(P9,"ddd")</f>
        <v/>
      </c>
      <c r="Q10" s="346">
        <f>TEXT(Q9,"ddd")</f>
        <v/>
      </c>
      <c r="R10" s="346">
        <f>TEXT(R9,"ddd")</f>
        <v/>
      </c>
      <c r="S10" s="346">
        <f>TEXT(S9,"ddd")</f>
        <v/>
      </c>
      <c r="T10" s="346">
        <f>TEXT(T9,"ddd")</f>
        <v/>
      </c>
      <c r="U10" s="416">
        <f>TEXT(U9,"ddd")</f>
        <v/>
      </c>
      <c r="V10" s="346">
        <f>TEXT(V9,"ddd")</f>
        <v/>
      </c>
      <c r="W10" s="346">
        <f>TEXT(W9,"ddd")</f>
        <v/>
      </c>
      <c r="X10" s="346">
        <f>TEXT(X9,"ddd")</f>
        <v/>
      </c>
      <c r="Y10" s="346">
        <f>TEXT(Y9,"ddd")</f>
        <v/>
      </c>
      <c r="Z10" s="346">
        <f>TEXT(Z9,"ddd")</f>
        <v/>
      </c>
      <c r="AA10" s="346">
        <f>TEXT(AA9,"ddd")</f>
        <v/>
      </c>
      <c r="AB10" s="416">
        <f>TEXT(AB9,"ddd")</f>
        <v/>
      </c>
      <c r="AC10" s="346">
        <f>TEXT(AC9,"ddd")</f>
        <v/>
      </c>
      <c r="AD10" s="346">
        <f>TEXT(AD9,"ddd")</f>
        <v/>
      </c>
      <c r="AE10" s="346">
        <f>TEXT(AE9,"ddd")</f>
        <v/>
      </c>
      <c r="AF10" s="346">
        <f>TEXT(AF9,"ddd")</f>
        <v/>
      </c>
      <c r="AG10" s="346">
        <f>TEXT(AG9,"ddd")</f>
        <v/>
      </c>
      <c r="AH10" s="346">
        <f>TEXT(AH9,"ddd")</f>
        <v/>
      </c>
      <c r="AI10" s="416">
        <f>TEXT(AI9,"ddd")</f>
        <v/>
      </c>
      <c r="AJ10" s="346">
        <f>TEXT(AJ9,"ddd")</f>
        <v/>
      </c>
      <c r="AK10" s="346">
        <f>TEXT(AK9,"ddd")</f>
        <v/>
      </c>
      <c r="AL10" s="346">
        <f>TEXT(AL9,"ddd")</f>
        <v/>
      </c>
      <c r="AM10" s="346">
        <f>TEXT(AM9,"ddd")</f>
        <v/>
      </c>
      <c r="AN10" s="346">
        <f>TEXT(AN9,"ddd")</f>
        <v/>
      </c>
      <c r="AO10" s="757" t="n"/>
      <c r="AP10" s="757" t="n"/>
      <c r="AQ10" s="757" t="n"/>
      <c r="AR10" s="757" t="n"/>
      <c r="AS10" s="757" t="n"/>
      <c r="AT10" s="756" t="n"/>
      <c r="AU10" s="757" t="n"/>
      <c r="AV10" s="757" t="n"/>
      <c r="AW10" s="757" t="n"/>
      <c r="AX10" s="757" t="n"/>
    </row>
    <row r="11" ht="29.25" customHeight="1">
      <c r="A11" t="n">
        <v>1</v>
      </c>
      <c r="B11" s="170">
        <f>ROW()-10</f>
        <v/>
      </c>
      <c r="C11" s="340" t="inlineStr">
        <is>
          <t>SLA2500111</t>
        </is>
      </c>
      <c r="D11" s="393" t="inlineStr">
        <is>
          <t>Nguyen Thi Ha</t>
        </is>
      </c>
      <c r="E11" s="703" t="n">
        <v>43466</v>
      </c>
      <c r="F11" s="758" t="n"/>
      <c r="G11" s="759" t="n"/>
      <c r="H11" s="703" t="inlineStr">
        <is>
          <t>Store Manager - Emart Phan Van Tri</t>
        </is>
      </c>
      <c r="I11" s="492" t="n"/>
      <c r="J11" s="406" t="inlineStr">
        <is>
          <t>X</t>
        </is>
      </c>
      <c r="K11" s="406" t="inlineStr">
        <is>
          <t>X</t>
        </is>
      </c>
      <c r="L11" s="406" t="inlineStr">
        <is>
          <t>OFF</t>
        </is>
      </c>
      <c r="M11" s="406" t="inlineStr">
        <is>
          <t>X</t>
        </is>
      </c>
      <c r="N11" s="408" t="inlineStr">
        <is>
          <t>X</t>
        </is>
      </c>
      <c r="O11" s="408" t="inlineStr">
        <is>
          <t>X</t>
        </is>
      </c>
      <c r="P11" s="408" t="inlineStr">
        <is>
          <t>X</t>
        </is>
      </c>
      <c r="Q11" s="408" t="inlineStr">
        <is>
          <t>X</t>
        </is>
      </c>
      <c r="R11" s="406" t="inlineStr">
        <is>
          <t>X</t>
        </is>
      </c>
      <c r="S11" s="406" t="inlineStr"/>
      <c r="T11" s="406" t="inlineStr">
        <is>
          <t>OFF</t>
        </is>
      </c>
      <c r="U11" s="406" t="inlineStr">
        <is>
          <t>X</t>
        </is>
      </c>
      <c r="V11" s="517" t="inlineStr">
        <is>
          <t>HL</t>
        </is>
      </c>
      <c r="W11" s="406" t="inlineStr">
        <is>
          <t>X</t>
        </is>
      </c>
      <c r="X11" s="406" t="inlineStr">
        <is>
          <t>X</t>
        </is>
      </c>
      <c r="Y11" s="406" t="inlineStr">
        <is>
          <t>X</t>
        </is>
      </c>
      <c r="Z11" s="406" t="inlineStr">
        <is>
          <t>OFF</t>
        </is>
      </c>
      <c r="AA11" s="407" t="inlineStr">
        <is>
          <t>X</t>
        </is>
      </c>
      <c r="AB11" s="406" t="inlineStr">
        <is>
          <t>X</t>
        </is>
      </c>
      <c r="AC11" s="408" t="inlineStr">
        <is>
          <t>X</t>
        </is>
      </c>
      <c r="AD11" s="406" t="inlineStr">
        <is>
          <t>X</t>
        </is>
      </c>
      <c r="AE11" s="406" t="inlineStr">
        <is>
          <t>X</t>
        </is>
      </c>
      <c r="AF11" s="409" t="inlineStr">
        <is>
          <t>X</t>
        </is>
      </c>
      <c r="AG11" s="406" t="inlineStr">
        <is>
          <t>X</t>
        </is>
      </c>
      <c r="AH11" s="406" t="inlineStr">
        <is>
          <t>X</t>
        </is>
      </c>
      <c r="AI11" s="406" t="inlineStr">
        <is>
          <t>OFF</t>
        </is>
      </c>
      <c r="AJ11" s="406" t="inlineStr">
        <is>
          <t>X</t>
        </is>
      </c>
      <c r="AK11" s="406" t="inlineStr">
        <is>
          <t>X</t>
        </is>
      </c>
      <c r="AL11" s="409" t="inlineStr">
        <is>
          <t>X</t>
        </is>
      </c>
      <c r="AM11" s="406" t="inlineStr">
        <is>
          <t>X</t>
        </is>
      </c>
      <c r="AN11" s="406" t="inlineStr">
        <is>
          <t>X</t>
        </is>
      </c>
      <c r="AO11" s="238">
        <f>COUNTIFS($J11:$AN11,"OFF ")+COUNTIFS($J11:$AN11,"OFF")</f>
        <v/>
      </c>
      <c r="AP11" s="157">
        <f>+COUNTIF(J11:AN11,"UP")+0.5*COUNTIF(J11:AN11,"1/2UP")+COUNTIFS(J11:AN11,"SL1")+COUNTIFS(J11:AN11,"ML")+COUNTIFS(J11:AN11,"CC")</f>
        <v/>
      </c>
      <c r="AQ11" s="157">
        <f>COUNTIF($J11:$AN11,"AL")+0.5*(COUNTIF($J11:$AN11,"1/2AL"))+COUNTIF($J11:$AN11,"CL")+0.5*(COUNTIF($J11:$AN11,"1/2CL"))+COUNTIF($J11:$AN11,"LS")+COUNTIF($J11:$AN11,"HL")</f>
        <v/>
      </c>
      <c r="AR11" s="760">
        <f>COUNTIF(J11:AN11,"X")+(COUNTIF(J11:AN11,"FP"))+COUNTIF(J11:AN11,"SL2")+(COUNTIF(J11:AN11,"LL"))+0.5*COUNTIF(J11:AN11,"1/2AL")+0.5*COUNTIF(J11:AN11,"1/2CL")+0.5*COUNTIF(J11:AN11,"1/2UP")</f>
        <v/>
      </c>
      <c r="AS11" s="157">
        <f>+AQ11+AR11</f>
        <v/>
      </c>
      <c r="AT11" s="172" t="n"/>
      <c r="AU11" s="761">
        <f>MIN((AS11+AT11),26)</f>
        <v/>
      </c>
      <c r="AV11" s="760">
        <f>COUNTIF(J11:AN11,"X")</f>
        <v/>
      </c>
      <c r="AW11" s="760">
        <f>COUNTIF(V11:V11,"X")</f>
        <v/>
      </c>
      <c r="AX11" s="762" t="n">
        <v>0</v>
      </c>
      <c r="AY11" s="763" t="n"/>
    </row>
    <row r="12" ht="29.25" customHeight="1">
      <c r="A12">
        <f>+A10+1</f>
        <v/>
      </c>
      <c r="B12" s="170">
        <f>ROW()-10</f>
        <v/>
      </c>
      <c r="C12" s="340" t="inlineStr">
        <is>
          <t>PHI2500112</t>
        </is>
      </c>
      <c r="D12" s="393" t="inlineStr">
        <is>
          <t>Phung Manh Ha</t>
        </is>
      </c>
      <c r="E12" s="703" t="n">
        <v>43831</v>
      </c>
      <c r="F12" s="758" t="n"/>
      <c r="G12" s="759" t="n"/>
      <c r="H12" s="703" t="inlineStr">
        <is>
          <t>Corporate Function Manager</t>
        </is>
      </c>
      <c r="I12" s="492" t="n"/>
      <c r="J12" s="406" t="inlineStr">
        <is>
          <t>X</t>
        </is>
      </c>
      <c r="K12" s="406" t="inlineStr">
        <is>
          <t>X</t>
        </is>
      </c>
      <c r="L12" s="406" t="inlineStr">
        <is>
          <t>X</t>
        </is>
      </c>
      <c r="M12" s="406" t="inlineStr">
        <is>
          <t>OFF</t>
        </is>
      </c>
      <c r="N12" s="407" t="inlineStr">
        <is>
          <t>X</t>
        </is>
      </c>
      <c r="O12" s="408" t="inlineStr">
        <is>
          <t>X</t>
        </is>
      </c>
      <c r="P12" s="408" t="inlineStr">
        <is>
          <t>X</t>
        </is>
      </c>
      <c r="Q12" s="408" t="inlineStr">
        <is>
          <t>X</t>
        </is>
      </c>
      <c r="R12" s="408" t="inlineStr">
        <is>
          <t>X</t>
        </is>
      </c>
      <c r="S12" s="406" t="inlineStr">
        <is>
          <t>X</t>
        </is>
      </c>
      <c r="T12" s="406" t="inlineStr">
        <is>
          <t>X</t>
        </is>
      </c>
      <c r="U12" s="406" t="inlineStr">
        <is>
          <t>OFF</t>
        </is>
      </c>
      <c r="V12" s="406" t="inlineStr">
        <is>
          <t>X</t>
        </is>
      </c>
      <c r="W12" s="406" t="inlineStr">
        <is>
          <t>X</t>
        </is>
      </c>
      <c r="X12" s="406" t="inlineStr">
        <is>
          <t>X</t>
        </is>
      </c>
      <c r="Y12" s="406" t="inlineStr">
        <is>
          <t>X</t>
        </is>
      </c>
      <c r="Z12" s="406" t="inlineStr">
        <is>
          <t>X</t>
        </is>
      </c>
      <c r="AA12" s="407" t="inlineStr">
        <is>
          <t>OFF</t>
        </is>
      </c>
      <c r="AB12" s="406" t="inlineStr">
        <is>
          <t>X</t>
        </is>
      </c>
      <c r="AC12" s="406" t="inlineStr">
        <is>
          <t>X</t>
        </is>
      </c>
      <c r="AD12" s="408" t="inlineStr">
        <is>
          <t>X</t>
        </is>
      </c>
      <c r="AE12" s="406" t="inlineStr">
        <is>
          <t>X</t>
        </is>
      </c>
      <c r="AF12" s="409" t="inlineStr">
        <is>
          <t>X</t>
        </is>
      </c>
      <c r="AG12" s="406" t="inlineStr">
        <is>
          <t>X</t>
        </is>
      </c>
      <c r="AH12" s="406" t="inlineStr">
        <is>
          <t>OFF</t>
        </is>
      </c>
      <c r="AI12" s="406" t="inlineStr">
        <is>
          <t>X</t>
        </is>
      </c>
      <c r="AJ12" s="406" t="inlineStr">
        <is>
          <t>X</t>
        </is>
      </c>
      <c r="AK12" s="406" t="inlineStr">
        <is>
          <t>X</t>
        </is>
      </c>
      <c r="AL12" s="409" t="inlineStr">
        <is>
          <t>X</t>
        </is>
      </c>
      <c r="AM12" s="406" t="inlineStr">
        <is>
          <t>X</t>
        </is>
      </c>
      <c r="AN12" s="406" t="inlineStr">
        <is>
          <t>OFF</t>
        </is>
      </c>
      <c r="AO12" s="238">
        <f>COUNTIFS($J12:$AN12,"OFF ")+COUNTIFS($J12:$AN12,"OFF")</f>
        <v/>
      </c>
      <c r="AP12" s="157">
        <f>+COUNTIF(J12:AN12,"UP")+0.5*COUNTIF(J12:AN12,"1/2UP")+COUNTIFS(J12:AN12,"SL1")+COUNTIFS(J12:AN12,"ML")+COUNTIFS(J12:AN12,"CC")</f>
        <v/>
      </c>
      <c r="AQ12" s="157">
        <f>COUNTIF($J12:$AN12,"AL")+0.5*(COUNTIF($J12:$AN12,"1/2AL"))+COUNTIF($J12:$AN12,"CL")+0.5*(COUNTIF($J12:$AN12,"1/2CL"))+COUNTIF($J12:$AN12,"LS")+COUNTIF($J12:$AN12,"HL")</f>
        <v/>
      </c>
      <c r="AR12" s="764">
        <f>COUNTIF(J12:AN12,"X")+(COUNTIF(J12:AN12,"FP"))+COUNTIF(J12:AN12,"SL2")+(COUNTIF(J12:AN12,"LL"))+0.5*COUNTIF(J12:AN12,"1/2AL")+0.5*COUNTIF(J12:AN12,"1/2CL")+0.5*COUNTIF(J12:AN12,"1/2UP")</f>
        <v/>
      </c>
      <c r="AS12" s="157">
        <f>+AQ12+AR12</f>
        <v/>
      </c>
      <c r="AT12" s="172" t="n"/>
      <c r="AU12" s="761">
        <f>MIN((AS12+AT12),26)</f>
        <v/>
      </c>
      <c r="AV12" s="760">
        <f>COUNTIF(J12:AN12,"X")</f>
        <v/>
      </c>
      <c r="AW12" s="760">
        <f>COUNTIF(V12:V12,"X")</f>
        <v/>
      </c>
      <c r="AX12" s="762" t="n">
        <v>0</v>
      </c>
      <c r="AY12" s="763" t="n"/>
    </row>
    <row r="13" ht="29.25" customHeight="1">
      <c r="A13">
        <f>+A11+1</f>
        <v/>
      </c>
      <c r="B13" s="170">
        <f>ROW()-10</f>
        <v/>
      </c>
      <c r="C13" s="340" t="inlineStr">
        <is>
          <t>PVT2500113</t>
        </is>
      </c>
      <c r="D13" s="393" t="inlineStr">
        <is>
          <t>Nguyen Duc Khanh</t>
        </is>
      </c>
      <c r="E13" s="703" t="n">
        <v>44197</v>
      </c>
      <c r="F13" s="758" t="n"/>
      <c r="G13" s="759" t="n"/>
      <c r="H13" s="703" t="inlineStr">
        <is>
          <t>Admin Supervisor - Store Division</t>
        </is>
      </c>
      <c r="I13" s="492" t="n"/>
      <c r="J13" s="406" t="inlineStr">
        <is>
          <t>X</t>
        </is>
      </c>
      <c r="K13" s="406" t="inlineStr"/>
      <c r="L13" s="406" t="inlineStr">
        <is>
          <t>X</t>
        </is>
      </c>
      <c r="M13" s="406" t="inlineStr">
        <is>
          <t>X</t>
        </is>
      </c>
      <c r="N13" s="407" t="inlineStr">
        <is>
          <t>OFF</t>
        </is>
      </c>
      <c r="O13" s="408" t="inlineStr">
        <is>
          <t>X</t>
        </is>
      </c>
      <c r="P13" s="408" t="inlineStr">
        <is>
          <t>X</t>
        </is>
      </c>
      <c r="Q13" s="408" t="inlineStr">
        <is>
          <t>X</t>
        </is>
      </c>
      <c r="R13" s="406" t="inlineStr">
        <is>
          <t>X</t>
        </is>
      </c>
      <c r="S13" s="406" t="inlineStr">
        <is>
          <t>X</t>
        </is>
      </c>
      <c r="T13" s="406" t="inlineStr">
        <is>
          <t>OFF</t>
        </is>
      </c>
      <c r="U13" s="406" t="inlineStr">
        <is>
          <t>X</t>
        </is>
      </c>
      <c r="V13" s="517" t="inlineStr">
        <is>
          <t>HL</t>
        </is>
      </c>
      <c r="W13" s="406" t="inlineStr">
        <is>
          <t>X</t>
        </is>
      </c>
      <c r="X13" s="406" t="inlineStr">
        <is>
          <t>OFF</t>
        </is>
      </c>
      <c r="Y13" s="406" t="inlineStr">
        <is>
          <t>X</t>
        </is>
      </c>
      <c r="Z13" s="406" t="inlineStr">
        <is>
          <t>X</t>
        </is>
      </c>
      <c r="AA13" s="407" t="inlineStr">
        <is>
          <t>X</t>
        </is>
      </c>
      <c r="AB13" s="406" t="inlineStr">
        <is>
          <t>X</t>
        </is>
      </c>
      <c r="AC13" s="406" t="inlineStr">
        <is>
          <t>X</t>
        </is>
      </c>
      <c r="AD13" s="406" t="inlineStr">
        <is>
          <t>X</t>
        </is>
      </c>
      <c r="AE13" s="406" t="inlineStr">
        <is>
          <t>UP</t>
        </is>
      </c>
      <c r="AF13" s="409" t="inlineStr">
        <is>
          <t>X</t>
        </is>
      </c>
      <c r="AG13" s="406" t="inlineStr">
        <is>
          <t>X</t>
        </is>
      </c>
      <c r="AH13" s="406" t="inlineStr">
        <is>
          <t>X</t>
        </is>
      </c>
      <c r="AI13" s="406" t="inlineStr">
        <is>
          <t>OFF</t>
        </is>
      </c>
      <c r="AJ13" s="406" t="inlineStr">
        <is>
          <t>X</t>
        </is>
      </c>
      <c r="AK13" s="406" t="inlineStr">
        <is>
          <t>X</t>
        </is>
      </c>
      <c r="AL13" s="409" t="inlineStr">
        <is>
          <t>X</t>
        </is>
      </c>
      <c r="AM13" s="406" t="inlineStr">
        <is>
          <t>X</t>
        </is>
      </c>
      <c r="AN13" s="406" t="inlineStr">
        <is>
          <t>X</t>
        </is>
      </c>
      <c r="AO13" s="238">
        <f>COUNTIFS($J13:$AN13,"OFF ")+COUNTIFS($J13:$AN13,"OFF")</f>
        <v/>
      </c>
      <c r="AP13" s="157">
        <f>+COUNTIF(J13:AN13,"UP")+0.5*COUNTIF(J13:AN13,"1/2UP")+COUNTIFS(J13:AN13,"SL1")+COUNTIFS(J13:AN13,"ML")+COUNTIFS(J13:AN13,"CC")</f>
        <v/>
      </c>
      <c r="AQ13" s="157">
        <f>COUNTIF($J13:$AN13,"AL")+0.5*(COUNTIF($J13:$AN13,"1/2AL"))+COUNTIF($J13:$AN13,"CL")+0.5*(COUNTIF($J13:$AN13,"1/2CL"))+COUNTIF($J13:$AN13,"LS")+COUNTIF($J13:$AN13,"HL")</f>
        <v/>
      </c>
      <c r="AR13" s="764">
        <f>COUNTIF(J13:AN13,"X")+(COUNTIF(J13:AN13,"FP"))+COUNTIF(J13:AN13,"SL2")+(COUNTIF(J13:AN13,"LL"))+0.5*COUNTIF(J13:AN13,"1/2AL")+0.5*COUNTIF(J13:AN13,"1/2CL")+0.5*COUNTIF(J13:AN13,"1/2UP")</f>
        <v/>
      </c>
      <c r="AS13" s="157">
        <f>+AQ13+AR13</f>
        <v/>
      </c>
      <c r="AT13" s="172" t="n"/>
      <c r="AU13" s="761">
        <f>MIN((AS13+AT13),26)</f>
        <v/>
      </c>
      <c r="AV13" s="760">
        <f>COUNTIF(J13:AN13,"X")</f>
        <v/>
      </c>
      <c r="AW13" s="760">
        <f>COUNTIF(V13:V13,"X")</f>
        <v/>
      </c>
      <c r="AX13" s="762" t="n">
        <v>0</v>
      </c>
      <c r="AY13" s="763" t="n"/>
    </row>
    <row r="14" ht="29.25" customHeight="1">
      <c r="A14">
        <f>+A13+1</f>
        <v/>
      </c>
      <c r="B14" s="170">
        <f>ROW()-10</f>
        <v/>
      </c>
      <c r="C14" s="340" t="inlineStr">
        <is>
          <t>PVT2500114</t>
        </is>
      </c>
      <c r="D14" s="393" t="inlineStr">
        <is>
          <t>Nguyen Son Tung</t>
        </is>
      </c>
      <c r="E14" s="703" t="n">
        <v>44562</v>
      </c>
      <c r="F14" s="758" t="n"/>
      <c r="G14" s="759" t="n"/>
      <c r="H14" s="703" t="inlineStr">
        <is>
          <t>HR Supervisor - Store Division</t>
        </is>
      </c>
      <c r="I14" s="492" t="n"/>
      <c r="J14" s="406" t="inlineStr">
        <is>
          <t>X</t>
        </is>
      </c>
      <c r="K14" s="406" t="inlineStr">
        <is>
          <t>X</t>
        </is>
      </c>
      <c r="L14" s="406" t="inlineStr">
        <is>
          <t>X</t>
        </is>
      </c>
      <c r="M14" s="406" t="inlineStr">
        <is>
          <t>X</t>
        </is>
      </c>
      <c r="N14" s="407" t="inlineStr">
        <is>
          <t>OFF</t>
        </is>
      </c>
      <c r="O14" s="408" t="inlineStr">
        <is>
          <t>X</t>
        </is>
      </c>
      <c r="P14" s="408" t="inlineStr">
        <is>
          <t>X</t>
        </is>
      </c>
      <c r="Q14" s="408" t="inlineStr">
        <is>
          <t>X</t>
        </is>
      </c>
      <c r="R14" s="406" t="inlineStr">
        <is>
          <t>X</t>
        </is>
      </c>
      <c r="S14" s="406" t="inlineStr">
        <is>
          <t>X</t>
        </is>
      </c>
      <c r="T14" s="406" t="inlineStr">
        <is>
          <t>X</t>
        </is>
      </c>
      <c r="U14" s="406" t="inlineStr">
        <is>
          <t>OFF</t>
        </is>
      </c>
      <c r="V14" s="406" t="inlineStr">
        <is>
          <t>X</t>
        </is>
      </c>
      <c r="W14" s="406" t="inlineStr">
        <is>
          <t>X</t>
        </is>
      </c>
      <c r="X14" s="406" t="inlineStr">
        <is>
          <t>X</t>
        </is>
      </c>
      <c r="Y14" s="406" t="inlineStr">
        <is>
          <t>X</t>
        </is>
      </c>
      <c r="Z14" s="406" t="inlineStr">
        <is>
          <t>X</t>
        </is>
      </c>
      <c r="AA14" s="407" t="inlineStr">
        <is>
          <t>X</t>
        </is>
      </c>
      <c r="AB14" s="515" t="n"/>
      <c r="AC14" s="515" t="n"/>
      <c r="AD14" s="515" t="n"/>
      <c r="AE14" s="515" t="n"/>
      <c r="AF14" s="516" t="n"/>
      <c r="AG14" s="515" t="n"/>
      <c r="AH14" s="515" t="n"/>
      <c r="AI14" s="515" t="n"/>
      <c r="AJ14" s="515" t="n"/>
      <c r="AK14" s="515" t="n"/>
      <c r="AL14" s="516" t="n"/>
      <c r="AM14" s="515" t="n"/>
      <c r="AN14" s="515" t="n"/>
      <c r="AO14" s="238">
        <f>COUNTIFS($J14:$AN14,"OFF ")+COUNTIFS($J14:$AN14,"OFF")</f>
        <v/>
      </c>
      <c r="AP14" s="157">
        <f>+COUNTIF(J14:AN14,"UP")+0.5*COUNTIF(J14:AN14,"1/2UP")+COUNTIFS(J14:AN14,"SL1")+COUNTIFS(J14:AN14,"ML")+COUNTIFS(J14:AN14,"CC")</f>
        <v/>
      </c>
      <c r="AQ14" s="157">
        <f>COUNTIF($J14:$AN14,"AL")+0.5*(COUNTIF($J14:$AN14,"1/2AL"))+COUNTIF($J14:$AN14,"CL")+0.5*(COUNTIF($J14:$AN14,"1/2CL"))+COUNTIF($J14:$AN14,"LS")+COUNTIF($J14:$AN14,"HL")</f>
        <v/>
      </c>
      <c r="AR14" s="764">
        <f>COUNTIF(J14:AN14,"X")+(COUNTIF(J14:AN14,"FP"))+COUNTIF(J14:AN14,"SL2")+(COUNTIF(J14:AN14,"LL"))+0.5*COUNTIF(J14:AN14,"1/2AL")+0.5*COUNTIF(J14:AN14,"1/2CL")+0.5*COUNTIF(J14:AN14,"1/2UP")</f>
        <v/>
      </c>
      <c r="AS14" s="157">
        <f>+AQ14+AR14</f>
        <v/>
      </c>
      <c r="AT14" s="765" t="n"/>
      <c r="AU14" s="761">
        <f>MIN((AS14+AT14),26)</f>
        <v/>
      </c>
      <c r="AV14" s="760">
        <f>COUNTIF(J14:AN14,"X")</f>
        <v/>
      </c>
      <c r="AW14" s="760">
        <f>COUNTIF(V14:V14,"X")</f>
        <v/>
      </c>
      <c r="AX14" s="762" t="n">
        <v>0</v>
      </c>
      <c r="AY14" s="763" t="n"/>
    </row>
    <row r="15" ht="29.25" customHeight="1">
      <c r="A15">
        <f>+A14+1</f>
        <v/>
      </c>
      <c r="B15" s="170">
        <f>ROW()-10</f>
        <v/>
      </c>
      <c r="C15" s="340" t="inlineStr">
        <is>
          <t>PVT2500115</t>
        </is>
      </c>
      <c r="D15" s="393" t="inlineStr">
        <is>
          <t>Nguyen Quang Cuong</t>
        </is>
      </c>
      <c r="E15" s="703" t="n">
        <v>45740</v>
      </c>
      <c r="F15" s="758" t="n"/>
      <c r="G15" s="759" t="n"/>
      <c r="H15" s="703" t="inlineStr">
        <is>
          <t>HR Staff - Store Divison</t>
        </is>
      </c>
      <c r="I15" s="492" t="n"/>
      <c r="J15" s="406" t="inlineStr">
        <is>
          <t>X</t>
        </is>
      </c>
      <c r="K15" s="406" t="inlineStr">
        <is>
          <t>OFF</t>
        </is>
      </c>
      <c r="L15" s="406" t="inlineStr">
        <is>
          <t>X</t>
        </is>
      </c>
      <c r="M15" s="406" t="inlineStr">
        <is>
          <t>X</t>
        </is>
      </c>
      <c r="N15" s="407" t="inlineStr">
        <is>
          <t>X</t>
        </is>
      </c>
      <c r="O15" s="408" t="inlineStr">
        <is>
          <t>X</t>
        </is>
      </c>
      <c r="P15" s="408" t="inlineStr">
        <is>
          <t>X</t>
        </is>
      </c>
      <c r="Q15" s="408" t="inlineStr">
        <is>
          <t>OFF</t>
        </is>
      </c>
      <c r="R15" s="406" t="inlineStr">
        <is>
          <t>X</t>
        </is>
      </c>
      <c r="S15" s="406" t="inlineStr">
        <is>
          <t>X</t>
        </is>
      </c>
      <c r="T15" s="406" t="inlineStr">
        <is>
          <t>X</t>
        </is>
      </c>
      <c r="U15" s="406" t="inlineStr">
        <is>
          <t>X</t>
        </is>
      </c>
      <c r="V15" s="406" t="inlineStr">
        <is>
          <t>X</t>
        </is>
      </c>
      <c r="W15" s="406" t="inlineStr">
        <is>
          <t>X</t>
        </is>
      </c>
      <c r="X15" s="406" t="inlineStr">
        <is>
          <t>X</t>
        </is>
      </c>
      <c r="Y15" s="406" t="inlineStr">
        <is>
          <t>OFF</t>
        </is>
      </c>
      <c r="Z15" s="406" t="inlineStr">
        <is>
          <t>X</t>
        </is>
      </c>
      <c r="AA15" s="407" t="inlineStr">
        <is>
          <t>X</t>
        </is>
      </c>
      <c r="AB15" s="406" t="inlineStr">
        <is>
          <t>X</t>
        </is>
      </c>
      <c r="AC15" s="406" t="inlineStr">
        <is>
          <t>X</t>
        </is>
      </c>
      <c r="AD15" s="406" t="inlineStr">
        <is>
          <t>X</t>
        </is>
      </c>
      <c r="AE15" s="406" t="inlineStr">
        <is>
          <t>1/2AL</t>
        </is>
      </c>
      <c r="AF15" s="409" t="inlineStr">
        <is>
          <t>X</t>
        </is>
      </c>
      <c r="AG15" s="406" t="inlineStr">
        <is>
          <t>X</t>
        </is>
      </c>
      <c r="AH15" s="406" t="inlineStr">
        <is>
          <t>X</t>
        </is>
      </c>
      <c r="AI15" s="406" t="inlineStr">
        <is>
          <t>OFF</t>
        </is>
      </c>
      <c r="AJ15" s="406" t="inlineStr">
        <is>
          <t>X</t>
        </is>
      </c>
      <c r="AK15" s="406" t="inlineStr">
        <is>
          <t>X</t>
        </is>
      </c>
      <c r="AL15" s="409" t="inlineStr">
        <is>
          <t>X</t>
        </is>
      </c>
      <c r="AM15" s="406" t="inlineStr">
        <is>
          <t>X</t>
        </is>
      </c>
      <c r="AN15" s="406" t="inlineStr">
        <is>
          <t>X</t>
        </is>
      </c>
      <c r="AO15" s="238">
        <f>COUNTIFS($J15:$AN15,"OFF ")+COUNTIFS($J15:$AN15,"OFF")</f>
        <v/>
      </c>
      <c r="AP15" s="157">
        <f>+COUNTIF(J15:AN15,"UP")+0.5*COUNTIF(J15:AN15,"1/2UP")+COUNTIFS(J15:AN15,"SL1")+COUNTIFS(J15:AN15,"ML")+COUNTIFS(J15:AN15,"CC")</f>
        <v/>
      </c>
      <c r="AQ15" s="157">
        <f>COUNTIF($J15:$AN15,"AL")+0.5*(COUNTIF($J15:$AN15,"1/2AL"))+COUNTIF($J15:$AN15,"CL")+0.5*(COUNTIF($J15:$AN15,"1/2CL"))+COUNTIF($J15:$AN15,"LS")+COUNTIF($J15:$AN15,"HL")</f>
        <v/>
      </c>
      <c r="AR15" s="764">
        <f>COUNTIF(J15:AN15,"X")+(COUNTIF(J15:AN15,"FP"))+COUNTIF(J15:AN15,"SL2")+(COUNTIF(J15:AN15,"LL"))+0.5*COUNTIF(J15:AN15,"1/2AL")+0.5*COUNTIF(J15:AN15,"1/2CL")+0.5*COUNTIF(J15:AN15,"1/2UP")</f>
        <v/>
      </c>
      <c r="AS15" s="157">
        <f>+AQ15+AR15</f>
        <v/>
      </c>
      <c r="AT15" s="172" t="n"/>
      <c r="AU15" s="761">
        <f>MIN((AS15+AT15),26)</f>
        <v/>
      </c>
      <c r="AV15" s="760">
        <f>COUNTIF(J15:AN15,"X")</f>
        <v/>
      </c>
      <c r="AW15" s="760">
        <f>COUNTIF(V15:V15,"X")</f>
        <v/>
      </c>
      <c r="AX15" s="762" t="n">
        <v>0</v>
      </c>
      <c r="AY15" s="763" t="n"/>
    </row>
    <row r="16" ht="29.25" customHeight="1">
      <c r="A16">
        <f>+A15+1</f>
        <v/>
      </c>
      <c r="B16" s="170">
        <f>ROW()-10</f>
        <v/>
      </c>
      <c r="C16" s="340" t="inlineStr">
        <is>
          <t>PVT2500116</t>
        </is>
      </c>
      <c r="D16" s="393" t="inlineStr">
        <is>
          <t>Pham Duc Kien</t>
        </is>
      </c>
      <c r="E16" s="703" t="n">
        <v>44927</v>
      </c>
      <c r="F16" s="758" t="n"/>
      <c r="G16" s="759" t="n"/>
      <c r="H16" s="703" t="inlineStr">
        <is>
          <t>QA Assistant</t>
        </is>
      </c>
      <c r="I16" s="492" t="n"/>
      <c r="J16" s="406" t="inlineStr">
        <is>
          <t>X</t>
        </is>
      </c>
      <c r="K16" s="406" t="inlineStr">
        <is>
          <t>X</t>
        </is>
      </c>
      <c r="L16" s="406" t="inlineStr">
        <is>
          <t>X</t>
        </is>
      </c>
      <c r="M16" s="406" t="inlineStr">
        <is>
          <t>X</t>
        </is>
      </c>
      <c r="N16" s="407" t="inlineStr">
        <is>
          <t>OFF</t>
        </is>
      </c>
      <c r="O16" s="408" t="inlineStr">
        <is>
          <t>X</t>
        </is>
      </c>
      <c r="P16" s="408" t="inlineStr">
        <is>
          <t>OFF</t>
        </is>
      </c>
      <c r="Q16" s="408" t="inlineStr">
        <is>
          <t>X</t>
        </is>
      </c>
      <c r="R16" s="406" t="inlineStr">
        <is>
          <t>X</t>
        </is>
      </c>
      <c r="S16" s="406" t="inlineStr">
        <is>
          <t>X</t>
        </is>
      </c>
      <c r="T16" s="406" t="inlineStr">
        <is>
          <t>X</t>
        </is>
      </c>
      <c r="U16" s="406" t="inlineStr">
        <is>
          <t>X</t>
        </is>
      </c>
      <c r="V16" s="406" t="inlineStr">
        <is>
          <t>X</t>
        </is>
      </c>
      <c r="W16" s="406" t="inlineStr">
        <is>
          <t>X</t>
        </is>
      </c>
      <c r="X16" s="406" t="inlineStr">
        <is>
          <t>X</t>
        </is>
      </c>
      <c r="Y16" s="406" t="inlineStr">
        <is>
          <t>X</t>
        </is>
      </c>
      <c r="Z16" s="406" t="inlineStr">
        <is>
          <t>OFF</t>
        </is>
      </c>
      <c r="AA16" s="407" t="inlineStr">
        <is>
          <t>X</t>
        </is>
      </c>
      <c r="AB16" s="407" t="inlineStr">
        <is>
          <t>X</t>
        </is>
      </c>
      <c r="AC16" s="406" t="inlineStr">
        <is>
          <t>OFF</t>
        </is>
      </c>
      <c r="AD16" s="406" t="inlineStr">
        <is>
          <t>X</t>
        </is>
      </c>
      <c r="AE16" s="406" t="inlineStr">
        <is>
          <t>X</t>
        </is>
      </c>
      <c r="AF16" s="409" t="inlineStr">
        <is>
          <t>X</t>
        </is>
      </c>
      <c r="AG16" s="406" t="inlineStr">
        <is>
          <t>X</t>
        </is>
      </c>
      <c r="AH16" s="406" t="inlineStr">
        <is>
          <t>X</t>
        </is>
      </c>
      <c r="AI16" s="406" t="inlineStr">
        <is>
          <t>OFF</t>
        </is>
      </c>
      <c r="AJ16" s="406" t="inlineStr">
        <is>
          <t>X</t>
        </is>
      </c>
      <c r="AK16" s="406" t="inlineStr">
        <is>
          <t>X</t>
        </is>
      </c>
      <c r="AL16" s="409" t="inlineStr">
        <is>
          <t>X</t>
        </is>
      </c>
      <c r="AM16" s="406" t="inlineStr">
        <is>
          <t>X</t>
        </is>
      </c>
      <c r="AN16" s="406" t="inlineStr">
        <is>
          <t>X</t>
        </is>
      </c>
      <c r="AO16" s="238">
        <f>COUNTIFS($J16:$AN16,"OFF ")+COUNTIFS($J16:$AN16,"OFF")</f>
        <v/>
      </c>
      <c r="AP16" s="157">
        <f>+COUNTIF(J16:AN16,"UP")+0.5*COUNTIF(J16:AN16,"1/2UP")+COUNTIFS(J16:AN16,"SL1")+COUNTIFS(J16:AN16,"ML")+COUNTIFS(J16:AN16,"CC")</f>
        <v/>
      </c>
      <c r="AQ16" s="157">
        <f>COUNTIF($J16:$AN16,"AL")+0.5*(COUNTIF($J16:$AN16,"1/2AL"))+COUNTIF($J16:$AN16,"CL")+0.5*(COUNTIF($J16:$AN16,"1/2CL"))+COUNTIF($J16:$AN16,"LS")+COUNTIF($J16:$AN16,"HL")</f>
        <v/>
      </c>
      <c r="AR16" s="764">
        <f>COUNTIF(J16:AN16,"X")+(COUNTIF(J16:AN16,"FP"))+COUNTIF(J16:AN16,"SL2")+(COUNTIF(J16:AN16,"LL"))+0.5*COUNTIF(J16:AN16,"1/2AL")+0.5*COUNTIF(J16:AN16,"1/2CL")+0.5*COUNTIF(J16:AN16,"1/2UP")</f>
        <v/>
      </c>
      <c r="AS16" s="157">
        <f>+AQ16+AR16</f>
        <v/>
      </c>
      <c r="AT16" s="172" t="n"/>
      <c r="AU16" s="761">
        <f>MIN((AS16+AT16),26)</f>
        <v/>
      </c>
      <c r="AV16" s="760">
        <f>COUNTIF(J16:AN16,"X")</f>
        <v/>
      </c>
      <c r="AW16" s="760">
        <f>COUNTIF(V16:V16,"X")</f>
        <v/>
      </c>
      <c r="AX16" s="762" t="n">
        <v>0</v>
      </c>
      <c r="AY16" s="763" t="n"/>
    </row>
    <row r="17" ht="29.25" customHeight="1">
      <c r="A17">
        <f>+A16+1</f>
        <v/>
      </c>
      <c r="B17" s="170">
        <f>ROW()-10</f>
        <v/>
      </c>
      <c r="C17" s="340" t="inlineStr">
        <is>
          <t>PVT2500117</t>
        </is>
      </c>
      <c r="D17" s="393" t="inlineStr">
        <is>
          <t>Nguyen Van Quan</t>
        </is>
      </c>
      <c r="E17" s="703" t="n">
        <v>45292</v>
      </c>
      <c r="F17" s="758" t="n"/>
      <c r="G17" s="759" t="n"/>
      <c r="H17" s="703" t="inlineStr">
        <is>
          <t>Security Staff</t>
        </is>
      </c>
      <c r="I17" s="411" t="n"/>
      <c r="J17" s="406" t="inlineStr">
        <is>
          <t>X</t>
        </is>
      </c>
      <c r="K17" s="406" t="inlineStr">
        <is>
          <t>X</t>
        </is>
      </c>
      <c r="L17" s="406" t="inlineStr">
        <is>
          <t>X</t>
        </is>
      </c>
      <c r="M17" s="406" t="inlineStr">
        <is>
          <t>X</t>
        </is>
      </c>
      <c r="N17" s="407" t="inlineStr">
        <is>
          <t>X</t>
        </is>
      </c>
      <c r="O17" s="408" t="inlineStr">
        <is>
          <t>X</t>
        </is>
      </c>
      <c r="P17" s="408" t="inlineStr">
        <is>
          <t>X</t>
        </is>
      </c>
      <c r="Q17" s="408" t="inlineStr">
        <is>
          <t>X</t>
        </is>
      </c>
      <c r="R17" s="406" t="inlineStr">
        <is>
          <t>OFF</t>
        </is>
      </c>
      <c r="S17" s="406" t="inlineStr">
        <is>
          <t>X</t>
        </is>
      </c>
      <c r="T17" s="406" t="inlineStr">
        <is>
          <t>X</t>
        </is>
      </c>
      <c r="U17" s="406" t="inlineStr">
        <is>
          <t>X</t>
        </is>
      </c>
      <c r="V17" s="517" t="inlineStr">
        <is>
          <t>HL</t>
        </is>
      </c>
      <c r="W17" s="406" t="inlineStr">
        <is>
          <t>X</t>
        </is>
      </c>
      <c r="X17" s="406" t="inlineStr">
        <is>
          <t>X</t>
        </is>
      </c>
      <c r="Y17" s="406" t="inlineStr">
        <is>
          <t>X</t>
        </is>
      </c>
      <c r="Z17" s="406" t="inlineStr">
        <is>
          <t>X</t>
        </is>
      </c>
      <c r="AA17" s="407" t="inlineStr">
        <is>
          <t>OFF</t>
        </is>
      </c>
      <c r="AB17" s="406" t="inlineStr">
        <is>
          <t>X</t>
        </is>
      </c>
      <c r="AC17" s="406" t="inlineStr">
        <is>
          <t>X</t>
        </is>
      </c>
      <c r="AD17" s="406" t="inlineStr">
        <is>
          <t>X</t>
        </is>
      </c>
      <c r="AE17" s="406" t="inlineStr">
        <is>
          <t>CL</t>
        </is>
      </c>
      <c r="AF17" s="409" t="inlineStr">
        <is>
          <t>X</t>
        </is>
      </c>
      <c r="AG17" s="406" t="inlineStr">
        <is>
          <t>OFF</t>
        </is>
      </c>
      <c r="AH17" s="406" t="inlineStr">
        <is>
          <t>X</t>
        </is>
      </c>
      <c r="AI17" s="406" t="inlineStr">
        <is>
          <t>X</t>
        </is>
      </c>
      <c r="AJ17" s="406" t="inlineStr">
        <is>
          <t>X</t>
        </is>
      </c>
      <c r="AK17" s="406" t="inlineStr">
        <is>
          <t>X</t>
        </is>
      </c>
      <c r="AL17" s="409" t="inlineStr">
        <is>
          <t>SL1</t>
        </is>
      </c>
      <c r="AM17" s="406" t="inlineStr">
        <is>
          <t>X</t>
        </is>
      </c>
      <c r="AN17" s="406" t="inlineStr">
        <is>
          <t>OFF</t>
        </is>
      </c>
      <c r="AO17" s="238">
        <f>COUNTIFS($J17:$AN17,"OFF ")+COUNTIFS($J17:$AN17,"OFF")</f>
        <v/>
      </c>
      <c r="AP17" s="157">
        <f>+COUNTIF(J17:AN17,"UP")+0.5*COUNTIF(J17:AN17,"1/2UP")+COUNTIFS(J17:AN17,"SL1")+COUNTIFS(J17:AN17,"ML")+COUNTIFS(J17:AN17,"CC")</f>
        <v/>
      </c>
      <c r="AQ17" s="157">
        <f>COUNTIF($J17:$AN17,"AL")+0.5*(COUNTIF($J17:$AN17,"1/2AL"))+COUNTIF($J17:$AN17,"CL")+0.5*(COUNTIF($J17:$AN17,"1/2CL"))+COUNTIF($J17:$AN17,"LS")+COUNTIF($J17:$AN17,"HL")</f>
        <v/>
      </c>
      <c r="AR17" s="764">
        <f>COUNTIF(J17:AN17,"X")+(COUNTIF(J17:AN17,"FP"))+COUNTIF(J17:AN17,"SL2")+(COUNTIF(J17:AN17,"LL"))+0.5*COUNTIF(J17:AN17,"1/2AL")+0.5*COUNTIF(J17:AN17,"1/2CL")+0.5*COUNTIF(J17:AN17,"1/2UP")</f>
        <v/>
      </c>
      <c r="AS17" s="157">
        <f>+AQ17+AR17</f>
        <v/>
      </c>
      <c r="AT17" s="172" t="n"/>
      <c r="AU17" s="761">
        <f>MIN((AS17+AT17),26)</f>
        <v/>
      </c>
      <c r="AV17" s="760">
        <f>COUNTIF(J17:AN17,"X")</f>
        <v/>
      </c>
      <c r="AW17" s="760">
        <f>COUNTIF(V17:V17,"X")</f>
        <v/>
      </c>
      <c r="AX17" s="762" t="n">
        <v>0</v>
      </c>
      <c r="AY17" s="763" t="n"/>
    </row>
    <row r="18" ht="29.25" customHeight="1">
      <c r="A18">
        <f>+A17+1</f>
        <v/>
      </c>
      <c r="B18" s="170">
        <f>ROW()-10</f>
        <v/>
      </c>
      <c r="C18" s="340" t="inlineStr">
        <is>
          <t>PVT2500118</t>
        </is>
      </c>
      <c r="D18" s="393" t="inlineStr">
        <is>
          <t>Nggo Van Tuan</t>
        </is>
      </c>
      <c r="E18" s="703" t="n">
        <v>45738</v>
      </c>
      <c r="F18" s="758" t="n"/>
      <c r="G18" s="759" t="n"/>
      <c r="H18" s="703" t="inlineStr">
        <is>
          <t>Treasury Staff</t>
        </is>
      </c>
      <c r="I18" s="492" t="n"/>
      <c r="J18" s="406" t="inlineStr">
        <is>
          <t>X</t>
        </is>
      </c>
      <c r="K18" s="406" t="inlineStr">
        <is>
          <t>X</t>
        </is>
      </c>
      <c r="L18" s="406" t="inlineStr">
        <is>
          <t>X</t>
        </is>
      </c>
      <c r="M18" s="406" t="inlineStr">
        <is>
          <t>X</t>
        </is>
      </c>
      <c r="N18" s="407" t="inlineStr">
        <is>
          <t>OFF</t>
        </is>
      </c>
      <c r="O18" s="408" t="inlineStr">
        <is>
          <t>X</t>
        </is>
      </c>
      <c r="P18" s="408" t="inlineStr">
        <is>
          <t>X</t>
        </is>
      </c>
      <c r="Q18" s="408" t="inlineStr">
        <is>
          <t>X</t>
        </is>
      </c>
      <c r="R18" s="406" t="inlineStr">
        <is>
          <t>X</t>
        </is>
      </c>
      <c r="S18" s="406" t="inlineStr">
        <is>
          <t>X</t>
        </is>
      </c>
      <c r="T18" s="406" t="inlineStr">
        <is>
          <t>X</t>
        </is>
      </c>
      <c r="U18" s="406" t="inlineStr">
        <is>
          <t>OFF</t>
        </is>
      </c>
      <c r="V18" s="406" t="inlineStr">
        <is>
          <t>X</t>
        </is>
      </c>
      <c r="W18" s="406" t="inlineStr">
        <is>
          <t>X</t>
        </is>
      </c>
      <c r="X18" s="406" t="inlineStr">
        <is>
          <t>X</t>
        </is>
      </c>
      <c r="Y18" s="406" t="inlineStr">
        <is>
          <t>FP</t>
        </is>
      </c>
      <c r="Z18" s="406" t="inlineStr">
        <is>
          <t>X</t>
        </is>
      </c>
      <c r="AA18" s="407" t="inlineStr">
        <is>
          <t>X</t>
        </is>
      </c>
      <c r="AB18" s="406" t="inlineStr">
        <is>
          <t>OFF</t>
        </is>
      </c>
      <c r="AC18" s="406" t="inlineStr">
        <is>
          <t>X</t>
        </is>
      </c>
      <c r="AD18" s="406" t="inlineStr">
        <is>
          <t>X</t>
        </is>
      </c>
      <c r="AE18" s="406" t="inlineStr">
        <is>
          <t>X</t>
        </is>
      </c>
      <c r="AF18" s="409" t="inlineStr">
        <is>
          <t>X</t>
        </is>
      </c>
      <c r="AG18" s="406" t="inlineStr">
        <is>
          <t>X</t>
        </is>
      </c>
      <c r="AH18" s="406" t="inlineStr">
        <is>
          <t>X</t>
        </is>
      </c>
      <c r="AI18" s="406" t="inlineStr">
        <is>
          <t>OFF</t>
        </is>
      </c>
      <c r="AJ18" s="406" t="inlineStr">
        <is>
          <t>X</t>
        </is>
      </c>
      <c r="AK18" s="406" t="inlineStr">
        <is>
          <t>X</t>
        </is>
      </c>
      <c r="AL18" s="409" t="inlineStr">
        <is>
          <t>X</t>
        </is>
      </c>
      <c r="AM18" s="406" t="inlineStr">
        <is>
          <t>X</t>
        </is>
      </c>
      <c r="AN18" s="406" t="inlineStr">
        <is>
          <t>X</t>
        </is>
      </c>
      <c r="AO18" s="238">
        <f>COUNTIFS($J18:$AN18,"OFF ")+COUNTIFS($J18:$AN18,"OFF")</f>
        <v/>
      </c>
      <c r="AP18" s="157">
        <f>+COUNTIF(J18:AN18,"UP")+0.5*COUNTIF(J18:AN18,"1/2UP")+COUNTIFS(J18:AN18,"SL1")+COUNTIFS(J18:AN18,"ML")+COUNTIFS(J18:AN18,"CC")</f>
        <v/>
      </c>
      <c r="AQ18" s="157">
        <f>COUNTIF($J18:$AN18,"AL")+0.5*(COUNTIF($J18:$AN18,"1/2AL"))+COUNTIF($J18:$AN18,"CL")+0.5*(COUNTIF($J18:$AN18,"1/2CL"))+COUNTIF($J18:$AN18,"LS")+COUNTIF($J18:$AN18,"HL")</f>
        <v/>
      </c>
      <c r="AR18" s="764">
        <f>COUNTIF(J18:AN18,"X")+(COUNTIF(J18:AN18,"FP"))+COUNTIF(J18:AN18,"SL2")+(COUNTIF(J18:AN18,"LL"))+0.5*COUNTIF(J18:AN18,"1/2AL")+0.5*COUNTIF(J18:AN18,"1/2CL")+0.5*COUNTIF(J18:AN18,"1/2UP")</f>
        <v/>
      </c>
      <c r="AS18" s="157">
        <f>+AQ18+AR18</f>
        <v/>
      </c>
      <c r="AT18" s="172" t="n"/>
      <c r="AU18" s="761">
        <f>MIN((AS18+AT18),26)</f>
        <v/>
      </c>
      <c r="AV18" s="760">
        <f>COUNTIF(J18:AN18,"X")</f>
        <v/>
      </c>
      <c r="AW18" s="760">
        <f>COUNTIF(V18:V18,"X")</f>
        <v/>
      </c>
      <c r="AX18" s="762" t="n">
        <v>0</v>
      </c>
      <c r="AY18" s="763" t="n"/>
    </row>
    <row r="19" ht="25.5" customHeight="1">
      <c r="B19" s="766" t="inlineStr">
        <is>
          <t>Total</t>
        </is>
      </c>
      <c r="C19" s="767" t="n"/>
      <c r="D19" s="768" t="n"/>
      <c r="E19" s="200" t="n"/>
      <c r="F19" s="200" t="n"/>
      <c r="G19" s="303" t="n"/>
      <c r="H19" s="200" t="n"/>
      <c r="I19" s="493" t="n"/>
      <c r="J19" s="319" t="n"/>
      <c r="K19" s="319" t="n"/>
      <c r="L19" s="319" t="n"/>
      <c r="M19" s="319" t="n"/>
      <c r="N19" s="319" t="n"/>
      <c r="O19" s="319" t="n"/>
      <c r="P19" s="319" t="n"/>
      <c r="Q19" s="319" t="n"/>
      <c r="R19" s="320" t="n"/>
      <c r="S19" s="319" t="n"/>
      <c r="T19" s="319" t="n"/>
      <c r="U19" s="319" t="n"/>
      <c r="V19" s="320" t="n"/>
      <c r="W19" s="321" t="n"/>
      <c r="X19" s="321" t="n"/>
      <c r="Y19" s="319" t="n"/>
      <c r="Z19" s="319" t="n"/>
      <c r="AA19" s="319" t="n"/>
      <c r="AB19" s="319" t="n"/>
      <c r="AC19" s="320" t="n"/>
      <c r="AD19" s="319" t="n"/>
      <c r="AE19" s="319" t="n"/>
      <c r="AF19" s="319" t="n"/>
      <c r="AG19" s="322" t="n"/>
      <c r="AH19" s="319" t="n"/>
      <c r="AI19" s="319" t="n"/>
      <c r="AJ19" s="319" t="n"/>
      <c r="AK19" s="319" t="n"/>
      <c r="AL19" s="319" t="n"/>
      <c r="AM19" s="319" t="n"/>
      <c r="AN19" s="341" t="n"/>
      <c r="AO19" s="769">
        <f>SUM(AO11:AO18)</f>
        <v/>
      </c>
      <c r="AP19" s="205">
        <f>SUM(AP11:AP18)</f>
        <v/>
      </c>
      <c r="AQ19" s="205">
        <f>SUM(AQ11:AQ18)</f>
        <v/>
      </c>
      <c r="AR19" s="205">
        <f>SUM(AR11:AR18)</f>
        <v/>
      </c>
      <c r="AS19" s="205">
        <f>SUM(AS11:AS18)</f>
        <v/>
      </c>
      <c r="AT19" s="769" t="n"/>
      <c r="AU19" s="205">
        <f>SUM(AU11:AU18)</f>
        <v/>
      </c>
      <c r="AV19" s="205">
        <f>SUM(AV11:AV18)</f>
        <v/>
      </c>
      <c r="AW19" s="205">
        <f>SUM(AW11:AW18)</f>
        <v/>
      </c>
      <c r="AX19" s="205">
        <f>SUM(AX11:AX18)</f>
        <v/>
      </c>
      <c r="AY19" s="763" t="n"/>
    </row>
    <row r="20">
      <c r="G20" s="304" t="n"/>
      <c r="AN20" s="329" t="n"/>
      <c r="AR20" s="770" t="n"/>
      <c r="AY20" s="763" t="n"/>
    </row>
    <row r="21">
      <c r="AN21" s="330" t="n"/>
    </row>
    <row r="22" ht="28.5" customHeight="1">
      <c r="C22" s="367" t="inlineStr">
        <is>
          <t>Regulations on timekeeping symbols</t>
        </is>
      </c>
      <c r="D22" s="364" t="n"/>
      <c r="E22" s="364" t="n"/>
      <c r="F22" s="364" t="n"/>
      <c r="G22" s="365" t="n"/>
      <c r="H22" s="364" t="n"/>
      <c r="I22" s="494" t="n"/>
      <c r="J22" s="364" t="n"/>
      <c r="K22" s="364" t="n"/>
      <c r="T22" s="247" t="n"/>
      <c r="AN22" s="329" t="n"/>
    </row>
    <row r="23">
      <c r="C23" s="366" t="inlineStr">
        <is>
          <t>X</t>
        </is>
      </c>
      <c r="D23" s="368" t="inlineStr">
        <is>
          <t>Go to work 01 day</t>
        </is>
      </c>
      <c r="E23" s="369" t="n"/>
      <c r="F23" s="369" t="n"/>
      <c r="G23" s="369" t="n"/>
      <c r="H23" s="369" t="n"/>
      <c r="I23" s="495" t="n"/>
      <c r="J23" s="369" t="n"/>
      <c r="K23" s="370" t="n"/>
      <c r="T23" s="247" t="n"/>
      <c r="AN23" s="329" t="n"/>
    </row>
    <row r="24">
      <c r="C24" s="366" t="inlineStr">
        <is>
          <t>HL</t>
        </is>
      </c>
      <c r="D24" s="368" t="inlineStr">
        <is>
          <t>Holidays, Tet</t>
        </is>
      </c>
      <c r="E24" s="369" t="n"/>
      <c r="F24" s="369" t="n"/>
      <c r="G24" s="369" t="n"/>
      <c r="H24" s="369" t="n"/>
      <c r="I24" s="495" t="n"/>
      <c r="J24" s="369" t="n"/>
      <c r="K24" s="370" t="n"/>
      <c r="AN24" s="329" t="n"/>
    </row>
    <row r="25">
      <c r="C25" s="366" t="inlineStr">
        <is>
          <t>OFF</t>
        </is>
      </c>
      <c r="D25" s="368" t="inlineStr">
        <is>
          <t>1 day off OFF weekly shifts</t>
        </is>
      </c>
      <c r="E25" s="369" t="n"/>
      <c r="F25" s="369" t="n"/>
      <c r="G25" s="369" t="n"/>
      <c r="H25" s="369" t="n"/>
      <c r="I25" s="495" t="n"/>
      <c r="J25" s="369" t="n"/>
      <c r="K25" s="370" t="n"/>
      <c r="AN25" s="330" t="n"/>
    </row>
    <row r="26">
      <c r="C26" s="366" t="inlineStr">
        <is>
          <t>AL</t>
        </is>
      </c>
      <c r="D26" s="368" t="inlineStr">
        <is>
          <t>Annual Leave/ Annual leave 01 day</t>
        </is>
      </c>
      <c r="E26" s="369" t="n"/>
      <c r="F26" s="369" t="n"/>
      <c r="G26" s="369" t="n"/>
      <c r="H26" s="369" t="n"/>
      <c r="I26" s="495" t="n"/>
      <c r="J26" s="369" t="n"/>
      <c r="K26" s="370" t="n"/>
      <c r="AN26" s="329" t="n"/>
    </row>
    <row r="27">
      <c r="C27" s="366" t="inlineStr">
        <is>
          <t>1/2AL</t>
        </is>
      </c>
      <c r="D27" s="368" t="inlineStr">
        <is>
          <t>1/2 Annual Leave/Annual leave 1/2 day + Work 1/2 day</t>
        </is>
      </c>
      <c r="E27" s="369" t="n"/>
      <c r="F27" s="369" t="n"/>
      <c r="G27" s="369" t="n"/>
      <c r="H27" s="369" t="n"/>
      <c r="I27" s="495" t="n"/>
      <c r="J27" s="369" t="n"/>
      <c r="K27" s="370" t="n"/>
      <c r="AN27" s="329" t="n"/>
    </row>
    <row r="28">
      <c r="C28" s="366" t="inlineStr">
        <is>
          <t>FP</t>
        </is>
      </c>
      <c r="D28" s="368" t="inlineStr">
        <is>
          <t>Full paid leave for personal affairs/Personal leave with pay for 01 day (marriage, bereavement...)</t>
        </is>
      </c>
      <c r="E28" s="369" t="n"/>
      <c r="F28" s="369" t="n"/>
      <c r="G28" s="369" t="n"/>
      <c r="H28" s="369" t="n"/>
      <c r="I28" s="495" t="n"/>
      <c r="J28" s="369" t="n"/>
      <c r="K28" s="370" t="n"/>
      <c r="AN28" s="329" t="n"/>
    </row>
    <row r="29">
      <c r="C29" s="366" t="inlineStr">
        <is>
          <t>UP</t>
        </is>
      </c>
      <c r="D29" s="368" t="inlineStr">
        <is>
          <t>Unpaid leave/Personal leave without pay for 01 day</t>
        </is>
      </c>
      <c r="E29" s="369" t="n"/>
      <c r="F29" s="369" t="n"/>
      <c r="G29" s="369" t="n"/>
      <c r="H29" s="369" t="n"/>
      <c r="I29" s="495" t="n"/>
      <c r="J29" s="369" t="n"/>
      <c r="K29" s="370" t="n"/>
      <c r="AN29" s="330" t="n"/>
    </row>
    <row r="30">
      <c r="C30" s="366" t="inlineStr">
        <is>
          <t>1/2UP</t>
        </is>
      </c>
      <c r="D30" s="368" t="inlineStr">
        <is>
          <t>1/2 Unpaid leave/Leave without pay for 1/2 day + Work 1/2 day</t>
        </is>
      </c>
      <c r="E30" s="369" t="n"/>
      <c r="F30" s="369" t="n"/>
      <c r="G30" s="369" t="n"/>
      <c r="H30" s="369" t="n"/>
      <c r="I30" s="495" t="n"/>
      <c r="J30" s="369" t="n"/>
      <c r="K30" s="370" t="n"/>
      <c r="AN30" s="329" t="n"/>
    </row>
    <row r="31">
      <c r="C31" s="366" t="inlineStr">
        <is>
          <t>SL1</t>
        </is>
      </c>
      <c r="D31" s="368" t="inlineStr">
        <is>
          <t>Sick leave / Sick leave (entitled to social insurance)</t>
        </is>
      </c>
      <c r="E31" s="369" t="n"/>
      <c r="F31" s="369" t="n"/>
      <c r="G31" s="369" t="n"/>
      <c r="H31" s="369" t="n"/>
      <c r="I31" s="495" t="n"/>
      <c r="J31" s="369" t="n"/>
      <c r="K31" s="370" t="n"/>
      <c r="AN31" s="329" t="n"/>
    </row>
    <row r="32">
      <c r="C32" s="366" t="inlineStr">
        <is>
          <t>ML</t>
        </is>
      </c>
      <c r="D32" s="368" t="inlineStr">
        <is>
          <t>Maternity leave / Maternity leave</t>
        </is>
      </c>
      <c r="E32" s="369" t="n"/>
      <c r="F32" s="369" t="n"/>
      <c r="G32" s="369" t="n"/>
      <c r="H32" s="369" t="n"/>
      <c r="I32" s="495" t="n"/>
      <c r="J32" s="369" t="n"/>
      <c r="K32" s="370" t="n"/>
      <c r="AN32" s="330" t="n"/>
    </row>
    <row r="33">
      <c r="C33" s="366" t="inlineStr">
        <is>
          <t>CC</t>
        </is>
      </c>
      <c r="D33" s="368" t="inlineStr">
        <is>
          <t>Children care leave / Sick child leave / wife's birth leave (social insurance benefits)</t>
        </is>
      </c>
      <c r="E33" s="369" t="n"/>
      <c r="F33" s="369" t="n"/>
      <c r="G33" s="369" t="n"/>
      <c r="H33" s="369" t="n"/>
      <c r="I33" s="495" t="n"/>
      <c r="J33" s="369" t="n"/>
      <c r="K33" s="370" t="n"/>
      <c r="AN33" s="329" t="n"/>
    </row>
    <row r="34" ht="22.5" customHeight="1">
      <c r="C34" s="366" t="inlineStr">
        <is>
          <t>LL</t>
        </is>
      </c>
      <c r="D34" s="368" t="inlineStr">
        <is>
          <t>Lactation leave/ Leave early/ stay 1 hour late/ take 1 day off after 7 working days</t>
        </is>
      </c>
      <c r="E34" s="369" t="n"/>
      <c r="F34" s="369" t="n"/>
      <c r="G34" s="369" t="n"/>
      <c r="H34" s="369" t="n"/>
      <c r="I34" s="495" t="n"/>
      <c r="J34" s="369" t="n"/>
      <c r="K34" s="370" t="n"/>
      <c r="AN34" s="329" t="n"/>
    </row>
    <row r="35" ht="22.5" customHeight="1">
      <c r="C35" s="366" t="inlineStr">
        <is>
          <t>SL2</t>
        </is>
      </c>
      <c r="D35" s="368" t="inlineStr">
        <is>
          <t>Sabbatical leave / Leave to study / improve knowledge, go on business trips</t>
        </is>
      </c>
      <c r="E35" s="369" t="n"/>
      <c r="F35" s="369" t="n"/>
      <c r="G35" s="369" t="n"/>
      <c r="H35" s="369" t="n"/>
      <c r="I35" s="495" t="n"/>
      <c r="J35" s="369" t="n"/>
      <c r="K35" s="370" t="n"/>
      <c r="AN35" s="329" t="n"/>
    </row>
    <row r="36" ht="22.5" customHeight="1">
      <c r="C36" s="366" t="inlineStr">
        <is>
          <t>CL</t>
        </is>
      </c>
      <c r="D36" s="368" t="inlineStr">
        <is>
          <t>Compensation leave (in-lieu day-off)/ Compensation leave 1 day</t>
        </is>
      </c>
      <c r="E36" s="369" t="n"/>
      <c r="F36" s="369" t="n"/>
      <c r="G36" s="369" t="n"/>
      <c r="H36" s="369" t="n"/>
      <c r="I36" s="495" t="n"/>
      <c r="J36" s="369" t="n"/>
      <c r="K36" s="370" t="n"/>
      <c r="AN36" s="330" t="n"/>
    </row>
    <row r="37" ht="22.5" customHeight="1">
      <c r="C37" s="366" t="inlineStr">
        <is>
          <t>1/2CL</t>
        </is>
      </c>
      <c r="D37" s="368" t="inlineStr">
        <is>
          <t>1/2 Compensation leave (in-lieu day-off)/ Compensation leave 1/2 day + Work 1/2 days</t>
        </is>
      </c>
      <c r="E37" s="369" t="n"/>
      <c r="F37" s="369" t="n"/>
      <c r="G37" s="369" t="n"/>
      <c r="H37" s="369" t="n"/>
      <c r="I37" s="495" t="n"/>
      <c r="J37" s="369" t="n"/>
      <c r="K37" s="370" t="n"/>
      <c r="AN37" s="329" t="n"/>
    </row>
    <row r="38">
      <c r="AN38" s="329" t="n"/>
    </row>
    <row r="39">
      <c r="C39" s="231" t="n"/>
      <c r="H39" s="771" t="n"/>
      <c r="I39" s="496" t="n"/>
      <c r="AN39" s="329" t="n"/>
    </row>
    <row r="40" ht="18" customHeight="1">
      <c r="H40" s="771" t="n"/>
      <c r="I40" s="496" t="n"/>
      <c r="AN40" s="329" t="n"/>
    </row>
    <row r="41" ht="17.25" customHeight="1">
      <c r="H41" s="771" t="n"/>
      <c r="I41" s="496" t="n"/>
      <c r="AN41" s="329" t="n"/>
    </row>
    <row r="42" ht="38.25" customHeight="1">
      <c r="H42" s="771" t="n"/>
      <c r="I42" s="496" t="n"/>
      <c r="AN42" s="329" t="n"/>
    </row>
    <row r="43">
      <c r="H43" s="771" t="n"/>
      <c r="I43" s="496" t="n"/>
      <c r="AN43" s="330" t="n"/>
    </row>
    <row r="44">
      <c r="H44" s="771" t="n"/>
      <c r="I44" s="496" t="n"/>
      <c r="AN44" s="329" t="n"/>
    </row>
    <row r="45">
      <c r="H45" s="772" t="n"/>
      <c r="I45" s="496" t="n"/>
      <c r="AN45" s="329" t="n"/>
    </row>
    <row r="46">
      <c r="H46" s="773" t="n"/>
      <c r="I46" s="496" t="n"/>
      <c r="AN46" s="329" t="n"/>
    </row>
    <row r="47">
      <c r="H47" s="773" t="n"/>
      <c r="I47" s="496" t="n"/>
      <c r="AN47" s="330" t="n"/>
    </row>
    <row r="48">
      <c r="AN48" s="329" t="n"/>
    </row>
    <row r="49">
      <c r="AN49" s="329" t="n"/>
    </row>
    <row r="50">
      <c r="AN50" s="329" t="n"/>
    </row>
    <row r="51">
      <c r="AN51" s="329" t="n"/>
    </row>
  </sheetData>
  <autoFilter ref="A10:AY20"/>
  <mergeCells count="22">
    <mergeCell ref="AQ8:AQ10"/>
    <mergeCell ref="E8:E9"/>
    <mergeCell ref="G8:G9"/>
    <mergeCell ref="B8:B9"/>
    <mergeCell ref="M8:AN8"/>
    <mergeCell ref="B19:D19"/>
    <mergeCell ref="AX8:AX10"/>
    <mergeCell ref="F8:F9"/>
    <mergeCell ref="AW8:AW10"/>
    <mergeCell ref="AR8:AR10"/>
    <mergeCell ref="AO8:AO10"/>
    <mergeCell ref="AU8:AU10"/>
    <mergeCell ref="C8:C9"/>
    <mergeCell ref="AP8:AP10"/>
    <mergeCell ref="D8:D9"/>
    <mergeCell ref="J8:L8"/>
    <mergeCell ref="AT8:AT10"/>
    <mergeCell ref="AV8:AV10"/>
    <mergeCell ref="H8:H9"/>
    <mergeCell ref="I8:I10"/>
    <mergeCell ref="AS8:AS10"/>
    <mergeCell ref="AY8:AY9"/>
  </mergeCells>
  <conditionalFormatting sqref="C1:C8 C10:C1048576">
    <cfRule type="duplicateValues" priority="249574" dxfId="1"/>
    <cfRule type="duplicateValues" priority="1327266" dxfId="1"/>
    <cfRule type="duplicateValues" priority="1327267" dxfId="1"/>
  </conditionalFormatting>
  <conditionalFormatting sqref="C1:C1048576">
    <cfRule type="duplicateValues" priority="19655" dxfId="1"/>
    <cfRule type="duplicateValues" priority="1327274" dxfId="1"/>
  </conditionalFormatting>
  <conditionalFormatting sqref="C1:C8 C10:C21 C38:C1048576">
    <cfRule type="duplicateValues" priority="575555" dxfId="1"/>
    <cfRule type="duplicateValues" priority="575563" dxfId="1"/>
    <cfRule type="duplicateValues" priority="575577" dxfId="1"/>
    <cfRule type="duplicateValues" priority="575587" dxfId="1"/>
  </conditionalFormatting>
  <conditionalFormatting sqref="C1:C8 C10:C18 C20:C21 C38:C1048576">
    <cfRule type="duplicateValues" priority="575570" dxfId="1"/>
  </conditionalFormatting>
  <conditionalFormatting sqref="C39">
    <cfRule type="duplicateValues" priority="49106" dxfId="1"/>
    <cfRule type="duplicateValues" priority="49107" dxfId="1"/>
  </conditionalFormatting>
  <conditionalFormatting sqref="C1:C8 C10:C18 C20:C21 C38 C52:C1048576">
    <cfRule type="duplicateValues" priority="575597" dxfId="1"/>
  </conditionalFormatting>
  <conditionalFormatting sqref="C52:C1048576">
    <cfRule type="duplicateValues" priority="575595" dxfId="1"/>
  </conditionalFormatting>
  <conditionalFormatting sqref="D22:D37">
    <cfRule type="duplicateValues" priority="1327691" dxfId="1"/>
    <cfRule type="duplicateValues" priority="1327692" dxfId="1"/>
    <cfRule type="duplicateValues" priority="1327693" dxfId="1" stopIfTrue="1"/>
    <cfRule type="duplicateValues" priority="1327694" dxfId="1" stopIfTrue="1"/>
    <cfRule type="duplicateValues" priority="1327695" dxfId="1"/>
    <cfRule type="duplicateValues" priority="1327696" dxfId="1" stopIfTrue="1"/>
    <cfRule type="duplicateValues" priority="1327697" dxfId="1" stopIfTrue="1"/>
    <cfRule type="expression" priority="1327698" dxfId="56" stopIfTrue="1">
      <formula>AND(COUNTIF(#REF!, D22)+COUNTIF($B$1:$B$18, D22)&gt;1,NOT(ISBLANK(D22)))</formula>
    </cfRule>
  </conditionalFormatting>
  <conditionalFormatting sqref="E22">
    <cfRule type="duplicateValues" priority="44884" dxfId="1"/>
    <cfRule type="duplicateValues" priority="44891" dxfId="1"/>
    <cfRule type="duplicateValues" priority="44892" dxfId="1"/>
  </conditionalFormatting>
  <conditionalFormatting sqref="I17">
    <cfRule type="expression" priority="2913" dxfId="82">
      <formula>XDU1047227="LS"</formula>
    </cfRule>
    <cfRule type="expression" priority="2914" dxfId="82">
      <formula>XDU1047227="1/2CL"</formula>
    </cfRule>
    <cfRule type="expression" priority="1299387" dxfId="83">
      <formula>XDU1047227="1/2UP"</formula>
    </cfRule>
  </conditionalFormatting>
  <conditionalFormatting sqref="J11:K18 N11:O18">
    <cfRule type="expression" priority="1819" dxfId="101">
      <formula>J11="CC"</formula>
    </cfRule>
    <cfRule type="expression" priority="1820" dxfId="101">
      <formula>J11="ML"</formula>
    </cfRule>
    <cfRule type="expression" priority="1821" dxfId="101">
      <formula>J11="SL1"</formula>
    </cfRule>
    <cfRule type="expression" priority="1822" dxfId="83">
      <formula>J11="UP"</formula>
    </cfRule>
  </conditionalFormatting>
  <conditionalFormatting sqref="J11:K18 Q11:S11 Q12 Q13:S18 S12">
    <cfRule type="expression" priority="1815" dxfId="82">
      <formula>J11="1/2AL"</formula>
    </cfRule>
    <cfRule type="expression" priority="1817" dxfId="81">
      <formula>J11="OFF"</formula>
    </cfRule>
  </conditionalFormatting>
  <conditionalFormatting sqref="J11:K18">
    <cfRule type="expression" priority="1797" dxfId="83">
      <formula>XDV1047264="1/2UP"</formula>
    </cfRule>
    <cfRule type="expression" priority="1798" dxfId="83">
      <formula>J11="1/2UP"</formula>
    </cfRule>
    <cfRule type="expression" priority="1799" dxfId="82">
      <formula>J11="CL"</formula>
    </cfRule>
    <cfRule type="expression" priority="1801" dxfId="101">
      <formula>J11="CC"</formula>
    </cfRule>
    <cfRule type="expression" priority="1802" dxfId="101">
      <formula>J11="ML"</formula>
    </cfRule>
    <cfRule type="expression" priority="1803" dxfId="101">
      <formula>J11="SL1"</formula>
    </cfRule>
    <cfRule type="expression" priority="1804" dxfId="82">
      <formula>J11="FP"</formula>
    </cfRule>
    <cfRule type="expression" priority="1805" dxfId="83">
      <formula>J11="UP"</formula>
    </cfRule>
    <cfRule type="expression" priority="1806" dxfId="82">
      <formula>J11="1/2AL"</formula>
    </cfRule>
    <cfRule type="expression" priority="1807" dxfId="82">
      <formula>J11="AL"</formula>
    </cfRule>
    <cfRule type="expression" priority="1808" dxfId="81">
      <formula>J11="OFF"</formula>
    </cfRule>
    <cfRule type="expression" priority="1809" dxfId="82">
      <formula>XDV1047226="LS"</formula>
    </cfRule>
    <cfRule type="expression" priority="1810" dxfId="82">
      <formula>XDV1047226="1/2CL"</formula>
    </cfRule>
    <cfRule type="expression" priority="1811" dxfId="83">
      <formula>XDV1047226="1/2UP"</formula>
    </cfRule>
    <cfRule type="expression" priority="1812" dxfId="83">
      <formula>#REF!="1/2UP"</formula>
    </cfRule>
    <cfRule type="expression" priority="1813" dxfId="82">
      <formula>#REF!="LS"</formula>
    </cfRule>
    <cfRule type="expression" priority="1814" dxfId="82">
      <formula>#REF!="1/2CL"</formula>
    </cfRule>
  </conditionalFormatting>
  <conditionalFormatting sqref="J11:L18 N11:O18">
    <cfRule type="expression" priority="1818" dxfId="82">
      <formula>J11="FP"</formula>
    </cfRule>
  </conditionalFormatting>
  <conditionalFormatting sqref="J11:L18 Q11:S11 Q12 Q13:S18 S12">
    <cfRule type="expression" priority="1816" dxfId="82">
      <formula>J11="AL"</formula>
    </cfRule>
  </conditionalFormatting>
  <conditionalFormatting sqref="J11:L18">
    <cfRule type="expression" priority="1800" dxfId="81">
      <formula>J11="NOT"</formula>
    </cfRule>
  </conditionalFormatting>
  <conditionalFormatting sqref="K11:L18 N11:O18">
    <cfRule type="expression" priority="1327354" dxfId="82">
      <formula>$L$11:$P$18="HL"</formula>
    </cfRule>
  </conditionalFormatting>
  <conditionalFormatting sqref="L11:L18">
    <cfRule type="expression" priority="1796" dxfId="82">
      <formula>XDX1047232="LS"</formula>
    </cfRule>
    <cfRule type="expression" priority="1869" dxfId="82">
      <formula>L11="CL"</formula>
    </cfRule>
  </conditionalFormatting>
  <conditionalFormatting sqref="L11:M18">
    <cfRule type="expression" priority="1725" dxfId="82">
      <formula>XDX1047232="1/2CL"</formula>
    </cfRule>
    <cfRule type="expression" priority="1727" dxfId="83">
      <formula>XDX1047232="1/2UP"</formula>
    </cfRule>
  </conditionalFormatting>
  <conditionalFormatting sqref="M11:M18">
    <cfRule type="expression" priority="1714" dxfId="81">
      <formula>M11="NOT"</formula>
    </cfRule>
    <cfRule type="expression" priority="1715" dxfId="82">
      <formula>M11="CL"</formula>
    </cfRule>
    <cfRule type="expression" priority="1716" dxfId="82">
      <formula>M11="FP"</formula>
    </cfRule>
    <cfRule type="expression" priority="1717" dxfId="101">
      <formula>M11="CC"</formula>
    </cfRule>
    <cfRule type="expression" priority="1718" dxfId="101">
      <formula>M11="ML"</formula>
    </cfRule>
    <cfRule type="expression" priority="1719" dxfId="101">
      <formula>M11="SL1"</formula>
    </cfRule>
    <cfRule type="expression" priority="1720" dxfId="83">
      <formula>M11="UP"</formula>
    </cfRule>
    <cfRule type="expression" priority="1721" dxfId="82">
      <formula>M11="1/2AL"</formula>
    </cfRule>
    <cfRule type="expression" priority="1722" dxfId="82">
      <formula>M11="AL"</formula>
    </cfRule>
    <cfRule type="expression" priority="1723" dxfId="81">
      <formula>M11="OFF"</formula>
    </cfRule>
    <cfRule type="expression" priority="1724" dxfId="82">
      <formula>XDY1047232="LS"</formula>
    </cfRule>
    <cfRule type="expression" priority="1726" dxfId="83">
      <formula>M11="1/2UP"</formula>
    </cfRule>
  </conditionalFormatting>
  <conditionalFormatting sqref="N11">
    <cfRule type="expression" priority="126" dxfId="82">
      <formula>XDZ1047284="LS"</formula>
    </cfRule>
    <cfRule type="expression" priority="127" dxfId="82">
      <formula>XDZ1047284="1/2CL"</formula>
    </cfRule>
    <cfRule type="expression" priority="128" dxfId="83">
      <formula>XDZ1047284="1/2UP"</formula>
    </cfRule>
  </conditionalFormatting>
  <conditionalFormatting sqref="N11:N18">
    <cfRule type="expression" priority="1835" dxfId="83">
      <formula>#REF!="1/2UP"</formula>
    </cfRule>
    <cfRule type="expression" priority="1838" dxfId="82">
      <formula>XDZ1047226="LS"</formula>
    </cfRule>
    <cfRule type="expression" priority="1839" dxfId="82">
      <formula>XDZ1047226="1/2CL"</formula>
    </cfRule>
    <cfRule type="expression" priority="1840" dxfId="83">
      <formula>XDZ1047226="1/2UP"</formula>
    </cfRule>
    <cfRule type="expression" priority="1841" dxfId="82">
      <formula>#REF!="LS"</formula>
    </cfRule>
    <cfRule type="expression" priority="1842" dxfId="82">
      <formula>#REF!="1/2CL"</formula>
    </cfRule>
  </conditionalFormatting>
  <conditionalFormatting sqref="N11:O11">
    <cfRule type="expression" priority="110" dxfId="82">
      <formula>N11="FP"</formula>
    </cfRule>
    <cfRule type="expression" priority="111" dxfId="101">
      <formula>N11="CC"</formula>
    </cfRule>
    <cfRule type="expression" priority="112" dxfId="101">
      <formula>N11="ML"</formula>
    </cfRule>
    <cfRule type="expression" priority="113" dxfId="101">
      <formula>N11="SL1"</formula>
    </cfRule>
    <cfRule type="expression" priority="114" dxfId="83">
      <formula>N11="UP"</formula>
    </cfRule>
    <cfRule type="expression" priority="115" dxfId="81">
      <formula>N11="OFF"</formula>
    </cfRule>
    <cfRule type="expression" priority="116" dxfId="82">
      <formula>N11="1/2AL"</formula>
    </cfRule>
    <cfRule type="expression" priority="117" dxfId="82">
      <formula>N11="AL"</formula>
    </cfRule>
  </conditionalFormatting>
  <conditionalFormatting sqref="N11:O18">
    <cfRule type="expression" priority="1789" dxfId="82">
      <formula>N11="1/2AL"</formula>
    </cfRule>
    <cfRule type="expression" priority="1790" dxfId="82">
      <formula>N11="AL"</formula>
    </cfRule>
    <cfRule type="expression" priority="1791" dxfId="81">
      <formula>N11="OFF"</formula>
    </cfRule>
  </conditionalFormatting>
  <conditionalFormatting sqref="N11:Y11 N12:Q12 N13:Y18 S12:Y12">
    <cfRule type="expression" priority="1826" dxfId="81">
      <formula>N11="NOT"</formula>
    </cfRule>
    <cfRule type="expression" priority="2800" dxfId="83">
      <formula>XDZ1047264="1/2UP"</formula>
    </cfRule>
    <cfRule type="expression" priority="2801" dxfId="83">
      <formula>N11="1/2UP"</formula>
    </cfRule>
    <cfRule type="expression" priority="1830" dxfId="82">
      <formula>N11="FP"</formula>
    </cfRule>
    <cfRule type="expression" priority="2802" dxfId="82">
      <formula>N11="CL"</formula>
    </cfRule>
    <cfRule type="expression" priority="2804" dxfId="101">
      <formula>N11="CC"</formula>
    </cfRule>
    <cfRule type="expression" priority="2805" dxfId="101">
      <formula>N11="ML"</formula>
    </cfRule>
    <cfRule type="expression" priority="2806" dxfId="101">
      <formula>N11="SL1"</formula>
    </cfRule>
    <cfRule type="expression" priority="2808" dxfId="83">
      <formula>N11="UP"</formula>
    </cfRule>
    <cfRule type="expression" priority="2809" dxfId="82">
      <formula>N11="1/2AL"</formula>
    </cfRule>
    <cfRule type="expression" priority="2810" dxfId="82">
      <formula>N11="AL"</formula>
    </cfRule>
    <cfRule type="expression" priority="2811" dxfId="81">
      <formula>N11="OFF"</formula>
    </cfRule>
  </conditionalFormatting>
  <conditionalFormatting sqref="J11:K18 N11:Y11 N12:Q12 N13:Y18 S12:Y12">
    <cfRule type="expression" priority="9410" dxfId="82">
      <formula>XDV1047264="LS"</formula>
    </cfRule>
    <cfRule type="expression" priority="9411" dxfId="82">
      <formula>XDV1047264="1/2CL"</formula>
    </cfRule>
  </conditionalFormatting>
  <conditionalFormatting sqref="O11:O18">
    <cfRule type="expression" priority="1788" dxfId="83">
      <formula>O11="1/2UP"</formula>
    </cfRule>
    <cfRule type="expression" priority="1792" dxfId="82">
      <formula>O11="CL"</formula>
    </cfRule>
    <cfRule type="expression" priority="1793" dxfId="81">
      <formula>O11="NOT"</formula>
    </cfRule>
  </conditionalFormatting>
  <conditionalFormatting sqref="O11:P18">
    <cfRule type="expression" priority="9727" dxfId="82">
      <formula>XEA1047284="LS"</formula>
    </cfRule>
    <cfRule type="expression" priority="9728" dxfId="82">
      <formula>XEA1047284="1/2CL"</formula>
    </cfRule>
    <cfRule type="expression" priority="9729" dxfId="83">
      <formula>XEA1047284="1/2UP"</formula>
    </cfRule>
  </conditionalFormatting>
  <conditionalFormatting sqref="P11:P18">
    <cfRule type="expression" priority="1785" dxfId="81">
      <formula>P11="OFF"</formula>
    </cfRule>
    <cfRule type="expression" priority="1786" dxfId="82">
      <formula>P11="1/2AL"</formula>
    </cfRule>
    <cfRule type="expression" priority="1787" dxfId="82">
      <formula>P11="AL"</formula>
    </cfRule>
  </conditionalFormatting>
  <conditionalFormatting sqref="P11:S11 P12:Q12 P13:S18 S12">
    <cfRule type="expression" priority="1780" dxfId="82">
      <formula>P11="FP"</formula>
    </cfRule>
    <cfRule type="expression" priority="1781" dxfId="101">
      <formula>P11="CC"</formula>
    </cfRule>
    <cfRule type="expression" priority="1782" dxfId="101">
      <formula>P11="ML"</formula>
    </cfRule>
    <cfRule type="expression" priority="1783" dxfId="101">
      <formula>P11="SL1"</formula>
    </cfRule>
    <cfRule type="expression" priority="1784" dxfId="83">
      <formula>P11="UP"</formula>
    </cfRule>
  </conditionalFormatting>
  <conditionalFormatting sqref="Q11:S11 Q12 Q13:S18 S12">
    <cfRule type="expression" priority="1777" dxfId="82">
      <formula>#REF!="LS"</formula>
    </cfRule>
    <cfRule type="expression" priority="1778" dxfId="82">
      <formula>#REF!="1/2CL"</formula>
    </cfRule>
    <cfRule type="expression" priority="1779" dxfId="83">
      <formula>#REF!="1/2UP"</formula>
    </cfRule>
  </conditionalFormatting>
  <conditionalFormatting sqref="Q11:T11 Q12 Q13:T18 S12:T12">
    <cfRule type="expression" priority="1776" dxfId="83">
      <formula>XEC1047226="1/2UP"</formula>
    </cfRule>
    <cfRule type="expression" priority="1774" dxfId="82">
      <formula>XEC1047226="LS"</formula>
    </cfRule>
    <cfRule type="expression" priority="1775" dxfId="82">
      <formula>XEC1047226="1/2CL"</formula>
    </cfRule>
  </conditionalFormatting>
  <conditionalFormatting sqref="R12">
    <cfRule type="expression" priority="35" dxfId="82">
      <formula>R12="FP"</formula>
    </cfRule>
    <cfRule type="expression" priority="36" dxfId="101">
      <formula>R12="CC"</formula>
    </cfRule>
    <cfRule type="expression" priority="37" dxfId="101">
      <formula>R12="ML"</formula>
    </cfRule>
    <cfRule type="expression" priority="38" dxfId="101">
      <formula>R12="SL1"</formula>
    </cfRule>
    <cfRule type="expression" priority="39" dxfId="83">
      <formula>R12="UP"</formula>
    </cfRule>
    <cfRule type="expression" priority="40" dxfId="81">
      <formula>R12="OFF"</formula>
    </cfRule>
    <cfRule type="expression" priority="41" dxfId="82">
      <formula>R12="1/2AL"</formula>
    </cfRule>
    <cfRule type="expression" priority="42" dxfId="82">
      <formula>R12="AL"</formula>
    </cfRule>
    <cfRule type="expression" priority="43" dxfId="81">
      <formula>R12="NOT"</formula>
    </cfRule>
    <cfRule type="expression" priority="44" dxfId="82">
      <formula>R12="FP"</formula>
    </cfRule>
    <cfRule type="expression" priority="45" dxfId="83">
      <formula>XED1047265="1/2UP"</formula>
    </cfRule>
    <cfRule type="expression" priority="46" dxfId="83">
      <formula>R12="1/2UP"</formula>
    </cfRule>
    <cfRule type="expression" priority="47" dxfId="82">
      <formula>R12="CL"</formula>
    </cfRule>
    <cfRule type="expression" priority="48" dxfId="101">
      <formula>R12="CC"</formula>
    </cfRule>
    <cfRule type="expression" priority="49" dxfId="101">
      <formula>R12="ML"</formula>
    </cfRule>
    <cfRule type="expression" priority="50" dxfId="101">
      <formula>R12="SL1"</formula>
    </cfRule>
    <cfRule type="expression" priority="51" dxfId="83">
      <formula>R12="UP"</formula>
    </cfRule>
    <cfRule type="expression" priority="52" dxfId="82">
      <formula>R12="1/2AL"</formula>
    </cfRule>
    <cfRule type="expression" priority="53" dxfId="82">
      <formula>R12="AL"</formula>
    </cfRule>
    <cfRule type="expression" priority="54" dxfId="81">
      <formula>R12="OFF"</formula>
    </cfRule>
    <cfRule type="expression" priority="55" dxfId="82">
      <formula>XED1047265="LS"</formula>
    </cfRule>
    <cfRule type="expression" priority="56" dxfId="82">
      <formula>XED1047265="1/2CL"</formula>
    </cfRule>
    <cfRule type="expression" priority="57" dxfId="82">
      <formula>XED1047285="LS"</formula>
    </cfRule>
    <cfRule type="expression" priority="58" dxfId="82">
      <formula>XED1047285="1/2CL"</formula>
    </cfRule>
    <cfRule type="expression" priority="59" dxfId="83">
      <formula>XED1047285="1/2UP"</formula>
    </cfRule>
  </conditionalFormatting>
  <conditionalFormatting sqref="T11:T18">
    <cfRule type="expression" priority="1759" dxfId="83">
      <formula>XEF1047214="1/2UP"</formula>
    </cfRule>
    <cfRule type="expression" priority="1760" dxfId="82">
      <formula>XEF1047214="LS"</formula>
    </cfRule>
    <cfRule type="expression" priority="1761" dxfId="82">
      <formula>XEF1047214="1/2CL"</formula>
    </cfRule>
    <cfRule type="expression" priority="1762" dxfId="82">
      <formula>T11="FP"</formula>
    </cfRule>
    <cfRule type="expression" priority="1763" dxfId="101">
      <formula>T11="CC"</formula>
    </cfRule>
    <cfRule type="expression" priority="1764" dxfId="101">
      <formula>T11="ML"</formula>
    </cfRule>
    <cfRule type="expression" priority="1765" dxfId="101">
      <formula>T11="SL1"</formula>
    </cfRule>
    <cfRule type="expression" priority="1766" dxfId="83">
      <formula>T11="UP"</formula>
    </cfRule>
    <cfRule type="expression" priority="1767" dxfId="82">
      <formula>T11="1/2AL"</formula>
    </cfRule>
    <cfRule type="expression" priority="1768" dxfId="82">
      <formula>T11="AL"</formula>
    </cfRule>
    <cfRule type="expression" priority="1769" dxfId="81">
      <formula>T11="OFF"</formula>
    </cfRule>
  </conditionalFormatting>
  <conditionalFormatting sqref="V12">
    <cfRule type="expression" priority="5" dxfId="82">
      <formula>V12="CL"</formula>
    </cfRule>
  </conditionalFormatting>
  <conditionalFormatting sqref="V14:V16">
    <cfRule type="expression" priority="2" dxfId="82">
      <formula>V14="CL"</formula>
    </cfRule>
  </conditionalFormatting>
  <conditionalFormatting sqref="V18">
    <cfRule type="expression" priority="1" dxfId="82">
      <formula>V18="CL"</formula>
    </cfRule>
  </conditionalFormatting>
  <conditionalFormatting sqref="W11:X18">
    <cfRule type="expression" priority="1758" dxfId="82">
      <formula>W11="CL"</formula>
    </cfRule>
  </conditionalFormatting>
  <conditionalFormatting sqref="Z11:Z15 Z17:Z18 AA13:AE18">
    <cfRule type="expression" priority="1854" dxfId="82">
      <formula>Z11="CL"</formula>
    </cfRule>
  </conditionalFormatting>
  <conditionalFormatting sqref="Z11:Z15 Z17:Z18 AD11:AE11 AD13:AE18 AE12">
    <cfRule type="expression" priority="1850" dxfId="82">
      <formula>XEL1047274="LS"</formula>
    </cfRule>
    <cfRule type="expression" priority="1851" dxfId="82">
      <formula>XEL1047274="1/2CL"</formula>
    </cfRule>
    <cfRule type="expression" priority="1862" dxfId="83">
      <formula>Z11="1/2UP"</formula>
    </cfRule>
  </conditionalFormatting>
  <conditionalFormatting sqref="Z11:Z15 Z17:Z18">
    <cfRule type="expression" priority="1849" dxfId="83">
      <formula>XEL1047274="1/2UP"</formula>
    </cfRule>
    <cfRule type="expression" priority="1852" dxfId="81">
      <formula>Z11="NOT"</formula>
    </cfRule>
    <cfRule type="expression" priority="1853" dxfId="82">
      <formula>Z11="FP"</formula>
    </cfRule>
  </conditionalFormatting>
  <conditionalFormatting sqref="Z11:Z15 Z17:Z18 AA13:AE18 AD11:AE11 AE12">
    <cfRule type="expression" priority="1855" dxfId="101">
      <formula>Z11="CC"</formula>
    </cfRule>
    <cfRule type="expression" priority="1856" dxfId="101">
      <formula>Z11="ML"</formula>
    </cfRule>
    <cfRule type="expression" priority="1857" dxfId="101">
      <formula>Z11="SL1"</formula>
    </cfRule>
    <cfRule type="expression" priority="1858" dxfId="83">
      <formula>Z11="UP"</formula>
    </cfRule>
    <cfRule type="expression" priority="1859" dxfId="82">
      <formula>Z11="1/2AL"</formula>
    </cfRule>
    <cfRule type="expression" priority="1860" dxfId="82">
      <formula>Z11="AL"</formula>
    </cfRule>
    <cfRule type="expression" priority="1861" dxfId="81">
      <formula>Z11="OFF"</formula>
    </cfRule>
  </conditionalFormatting>
  <conditionalFormatting sqref="Z16">
    <cfRule type="expression" priority="129" dxfId="82">
      <formula>Z16="CL"</formula>
    </cfRule>
    <cfRule type="expression" priority="130" dxfId="101">
      <formula>Z16="CC"</formula>
    </cfRule>
    <cfRule type="expression" priority="131" dxfId="101">
      <formula>Z16="ML"</formula>
    </cfRule>
    <cfRule type="expression" priority="132" dxfId="101">
      <formula>Z16="SL1"</formula>
    </cfRule>
    <cfRule type="expression" priority="133" dxfId="83">
      <formula>Z16="UP"</formula>
    </cfRule>
    <cfRule type="expression" priority="134" dxfId="82">
      <formula>Z16="1/2AL"</formula>
    </cfRule>
    <cfRule type="expression" priority="135" dxfId="82">
      <formula>Z16="AL"</formula>
    </cfRule>
    <cfRule type="expression" priority="136" dxfId="81">
      <formula>Z16="OFF"</formula>
    </cfRule>
    <cfRule type="expression" priority="137" dxfId="82">
      <formula>XEL1047273="LS"</formula>
    </cfRule>
    <cfRule type="expression" priority="138" dxfId="82">
      <formula>XEL1047273="1/2CL"</formula>
    </cfRule>
    <cfRule type="expression" priority="139" dxfId="83">
      <formula>Z16="1/2UP"</formula>
    </cfRule>
    <cfRule type="expression" priority="140" dxfId="83">
      <formula>XEM1047277="1/2UP"</formula>
    </cfRule>
    <cfRule type="expression" priority="141" dxfId="82">
      <formula>XEM1047277="LS"</formula>
    </cfRule>
    <cfRule type="expression" priority="142" dxfId="82">
      <formula>XEM1047277="1/2CL"</formula>
    </cfRule>
    <cfRule type="expression" priority="143" dxfId="83">
      <formula>XEL1047273="1/2UP"</formula>
    </cfRule>
    <cfRule type="expression" priority="144" dxfId="81">
      <formula>Z16="NOT"</formula>
    </cfRule>
    <cfRule type="expression" priority="145" dxfId="82">
      <formula>Z16="FP"</formula>
    </cfRule>
  </conditionalFormatting>
  <conditionalFormatting sqref="AA11:AB12 AA13:AC18">
    <cfRule type="expression" priority="1327365" dxfId="82">
      <formula>XEM1047268="LS"</formula>
    </cfRule>
    <cfRule type="expression" priority="1327366" dxfId="82">
      <formula>XEM1047268="1/2CL"</formula>
    </cfRule>
    <cfRule type="expression" priority="1327367" dxfId="83">
      <formula>AA11="1/2UP"</formula>
    </cfRule>
    <cfRule type="expression" priority="1327368" dxfId="83">
      <formula>XEN1047272="1/2UP"</formula>
    </cfRule>
    <cfRule type="expression" priority="1327369" dxfId="82">
      <formula>XEN1047272="LS"</formula>
    </cfRule>
    <cfRule type="expression" priority="1327370" dxfId="82">
      <formula>XEN1047272="1/2CL"</formula>
    </cfRule>
    <cfRule type="expression" priority="1327371" dxfId="83">
      <formula>XEM1047268="1/2UP"</formula>
    </cfRule>
  </conditionalFormatting>
  <conditionalFormatting sqref="AA11:AB12 AA13:AE18">
    <cfRule type="expression" priority="1730" dxfId="81">
      <formula>AA11="NOT"</formula>
    </cfRule>
    <cfRule type="expression" priority="1731" dxfId="82">
      <formula>AA11="FP"</formula>
    </cfRule>
  </conditionalFormatting>
  <conditionalFormatting sqref="AA11:AB12">
    <cfRule type="expression" priority="1327357" dxfId="82">
      <formula>AA11="CL"</formula>
    </cfRule>
    <cfRule type="expression" priority="1327358" dxfId="101">
      <formula>AA11="CC"</formula>
    </cfRule>
    <cfRule type="expression" priority="1327359" dxfId="101">
      <formula>AA11="ML"</formula>
    </cfRule>
    <cfRule type="expression" priority="1327360" dxfId="101">
      <formula>AA11="SL1"</formula>
    </cfRule>
    <cfRule type="expression" priority="1327361" dxfId="83">
      <formula>AA11="UP"</formula>
    </cfRule>
    <cfRule type="expression" priority="1327362" dxfId="82">
      <formula>AA11="1/2AL"</formula>
    </cfRule>
    <cfRule type="expression" priority="1327363" dxfId="82">
      <formula>AA11="AL"</formula>
    </cfRule>
    <cfRule type="expression" priority="1327364" dxfId="81">
      <formula>AA11="OFF"</formula>
    </cfRule>
  </conditionalFormatting>
  <conditionalFormatting sqref="AC11">
    <cfRule type="expression" priority="91" dxfId="82">
      <formula>AC11="1/2AL"</formula>
    </cfRule>
    <cfRule type="expression" priority="92" dxfId="82">
      <formula>AC11="AL"</formula>
    </cfRule>
    <cfRule type="expression" priority="95" dxfId="83">
      <formula>XEO1047264="1/2UP"</formula>
    </cfRule>
    <cfRule type="expression" priority="96" dxfId="83">
      <formula>AC11="1/2UP"</formula>
    </cfRule>
    <cfRule type="expression" priority="98" dxfId="101">
      <formula>AC11="CC"</formula>
    </cfRule>
    <cfRule type="expression" priority="99" dxfId="101">
      <formula>AC11="ML"</formula>
    </cfRule>
    <cfRule type="expression" priority="100" dxfId="101">
      <formula>AC11="SL1"</formula>
    </cfRule>
    <cfRule type="expression" priority="101" dxfId="83">
      <formula>AC11="UP"</formula>
    </cfRule>
    <cfRule type="expression" priority="102" dxfId="82">
      <formula>AC11="1/2AL"</formula>
    </cfRule>
    <cfRule type="expression" priority="103" dxfId="82">
      <formula>AC11="AL"</formula>
    </cfRule>
    <cfRule type="expression" priority="104" dxfId="81">
      <formula>AC11="OFF"</formula>
    </cfRule>
    <cfRule type="expression" priority="105" dxfId="82">
      <formula>XEO1047264="LS"</formula>
    </cfRule>
    <cfRule type="expression" priority="106" dxfId="82">
      <formula>XEO1047264="1/2CL"</formula>
    </cfRule>
    <cfRule type="expression" priority="107" dxfId="82">
      <formula>XEO1047284="LS"</formula>
    </cfRule>
    <cfRule type="expression" priority="108" dxfId="82">
      <formula>XEO1047284="1/2CL"</formula>
    </cfRule>
    <cfRule type="expression" priority="109" dxfId="83">
      <formula>XEO1047284="1/2UP"</formula>
    </cfRule>
  </conditionalFormatting>
  <conditionalFormatting sqref="AC11:AC12">
    <cfRule type="expression" priority="22" dxfId="82">
      <formula>AC11="FP"</formula>
    </cfRule>
    <cfRule type="expression" priority="26" dxfId="101">
      <formula>AC11="CC"</formula>
    </cfRule>
    <cfRule type="expression" priority="27" dxfId="101">
      <formula>AC11="ML"</formula>
    </cfRule>
    <cfRule type="expression" priority="28" dxfId="101">
      <formula>AC11="SL1"</formula>
    </cfRule>
    <cfRule type="expression" priority="29" dxfId="83">
      <formula>AC11="UP"</formula>
    </cfRule>
    <cfRule type="expression" priority="32" dxfId="81">
      <formula>AC11="OFF"</formula>
    </cfRule>
  </conditionalFormatting>
  <conditionalFormatting sqref="AC12">
    <cfRule type="expression" priority="20" dxfId="82">
      <formula>AC12="CL"</formula>
    </cfRule>
    <cfRule type="expression" priority="21" dxfId="81">
      <formula>AC12="NOT"</formula>
    </cfRule>
    <cfRule type="expression" priority="23" dxfId="83">
      <formula>XEO1047265="1/2UP"</formula>
    </cfRule>
    <cfRule type="expression" priority="24" dxfId="83">
      <formula>AC12="1/2UP"</formula>
    </cfRule>
    <cfRule type="expression" priority="25" dxfId="82">
      <formula>AC12="CL"</formula>
    </cfRule>
    <cfRule type="expression" priority="30" dxfId="82">
      <formula>AC12="1/2AL"</formula>
    </cfRule>
    <cfRule type="expression" priority="31" dxfId="82">
      <formula>AC12="AL"</formula>
    </cfRule>
    <cfRule type="expression" priority="33" dxfId="82">
      <formula>XEO1047265="LS"</formula>
    </cfRule>
    <cfRule type="expression" priority="34" dxfId="82">
      <formula>XEO1047265="1/2CL"</formula>
    </cfRule>
  </conditionalFormatting>
  <conditionalFormatting sqref="AC11:AE11">
    <cfRule type="expression" priority="93" dxfId="81">
      <formula>AC11="NOT"</formula>
    </cfRule>
    <cfRule type="expression" priority="94" dxfId="82">
      <formula>AC11="FP"</formula>
    </cfRule>
    <cfRule type="expression" priority="97" dxfId="82">
      <formula>AC11="CL"</formula>
    </cfRule>
  </conditionalFormatting>
  <conditionalFormatting sqref="AD12">
    <cfRule type="expression" priority="60" dxfId="82">
      <formula>AD12="FP"</formula>
    </cfRule>
    <cfRule type="expression" priority="61" dxfId="101">
      <formula>AD12="CC"</formula>
    </cfRule>
    <cfRule type="expression" priority="62" dxfId="101">
      <formula>AD12="ML"</formula>
    </cfRule>
    <cfRule type="expression" priority="63" dxfId="101">
      <formula>AD12="SL1"</formula>
    </cfRule>
    <cfRule type="expression" priority="64" dxfId="83">
      <formula>AD12="UP"</formula>
    </cfRule>
    <cfRule type="expression" priority="65" dxfId="81">
      <formula>AD12="OFF"</formula>
    </cfRule>
    <cfRule type="expression" priority="66" dxfId="82">
      <formula>AD12="1/2AL"</formula>
    </cfRule>
    <cfRule type="expression" priority="67" dxfId="82">
      <formula>AD12="AL"</formula>
    </cfRule>
    <cfRule type="expression" priority="70" dxfId="83">
      <formula>XEP1047265="1/2UP"</formula>
    </cfRule>
    <cfRule type="expression" priority="71" dxfId="83">
      <formula>AD12="1/2UP"</formula>
    </cfRule>
    <cfRule type="expression" priority="73" dxfId="101">
      <formula>AD12="CC"</formula>
    </cfRule>
    <cfRule type="expression" priority="74" dxfId="101">
      <formula>AD12="ML"</formula>
    </cfRule>
    <cfRule type="expression" priority="75" dxfId="101">
      <formula>AD12="SL1"</formula>
    </cfRule>
    <cfRule type="expression" priority="76" dxfId="83">
      <formula>AD12="UP"</formula>
    </cfRule>
    <cfRule type="expression" priority="77" dxfId="82">
      <formula>AD12="1/2AL"</formula>
    </cfRule>
    <cfRule type="expression" priority="78" dxfId="82">
      <formula>AD12="AL"</formula>
    </cfRule>
    <cfRule type="expression" priority="79" dxfId="81">
      <formula>AD12="OFF"</formula>
    </cfRule>
    <cfRule type="expression" priority="80" dxfId="82">
      <formula>XEP1047265="LS"</formula>
    </cfRule>
    <cfRule type="expression" priority="81" dxfId="82">
      <formula>XEP1047265="1/2CL"</formula>
    </cfRule>
    <cfRule type="expression" priority="82" dxfId="82">
      <formula>XEP1047285="LS"</formula>
    </cfRule>
    <cfRule type="expression" priority="83" dxfId="82">
      <formula>XEP1047285="1/2CL"</formula>
    </cfRule>
    <cfRule type="expression" priority="84" dxfId="83">
      <formula>XEP1047285="1/2UP"</formula>
    </cfRule>
  </conditionalFormatting>
  <conditionalFormatting sqref="AD11:AE11 AD13:AE18 AE12">
    <cfRule type="expression" priority="1327386" dxfId="83">
      <formula>XEP1047274="1/2UP"</formula>
    </cfRule>
  </conditionalFormatting>
  <conditionalFormatting sqref="AD12:AE12">
    <cfRule type="expression" priority="68" dxfId="81">
      <formula>AD12="NOT"</formula>
    </cfRule>
    <cfRule type="expression" priority="69" dxfId="82">
      <formula>AD12="FP"</formula>
    </cfRule>
    <cfRule type="expression" priority="72" dxfId="82">
      <formula>AD12="CL"</formula>
    </cfRule>
  </conditionalFormatting>
  <conditionalFormatting sqref="AF11:AG18">
    <cfRule type="expression" priority="1865" dxfId="83">
      <formula>AF11="UP"</formula>
    </cfRule>
    <cfRule type="expression" priority="1866" dxfId="82">
      <formula>AF11="1/2AL"</formula>
    </cfRule>
    <cfRule type="expression" priority="1867" dxfId="81">
      <formula>AF11="OFF"</formula>
    </cfRule>
    <cfRule type="expression" priority="1868" dxfId="82">
      <formula>AF11="AL"</formula>
    </cfRule>
    <cfRule type="expression" priority="9773" dxfId="82">
      <formula>B1047281="LS"</formula>
    </cfRule>
    <cfRule type="expression" priority="9774" dxfId="82">
      <formula>B1047281="1/2CL"</formula>
    </cfRule>
    <cfRule type="expression" priority="9775" dxfId="83">
      <formula>B1047281="1/2UP"</formula>
    </cfRule>
  </conditionalFormatting>
  <conditionalFormatting sqref="I17 L11:L18 AF11:AI15 AF16:AH16 AF17:AI18 AL18:AN18">
    <cfRule type="expression" priority="10389" dxfId="83">
      <formula>I11="1/2UP"</formula>
    </cfRule>
    <cfRule type="expression" priority="10384" dxfId="101">
      <formula>I11="CC"</formula>
    </cfRule>
    <cfRule type="expression" priority="10385" dxfId="101">
      <formula>I11="ML"</formula>
    </cfRule>
    <cfRule type="expression" priority="10386" dxfId="101">
      <formula>I11="SL1"</formula>
    </cfRule>
  </conditionalFormatting>
  <conditionalFormatting sqref="I17 AF11:AI15 AF16:AH16 AF17:AI18 AL18:AN18">
    <cfRule type="expression" priority="9356" dxfId="81">
      <formula>I11="NOT"</formula>
    </cfRule>
    <cfRule type="expression" priority="10390" dxfId="82">
      <formula>I11="CL"</formula>
    </cfRule>
    <cfRule type="expression" priority="10411" dxfId="82">
      <formula>I11="FP"</formula>
    </cfRule>
  </conditionalFormatting>
  <conditionalFormatting sqref="I17 L11:L18 AH11:AI15 AH16 AH17:AI18">
    <cfRule type="expression" priority="10399" dxfId="82">
      <formula>I11="1/2AL"</formula>
    </cfRule>
    <cfRule type="expression" priority="10400" dxfId="81">
      <formula>I11="OFF"</formula>
    </cfRule>
    <cfRule type="expression" priority="10398" dxfId="83">
      <formula>I11="UP"</formula>
    </cfRule>
  </conditionalFormatting>
  <conditionalFormatting sqref="I17 AH11:AI15 AH16 AH17:AI18">
    <cfRule type="expression" priority="9355" dxfId="82">
      <formula>I11="AL"</formula>
    </cfRule>
  </conditionalFormatting>
  <conditionalFormatting sqref="AH11:AI15 AH16 AH17:AI18">
    <cfRule type="expression" priority="6607" dxfId="82">
      <formula>D1047232="LS"</formula>
    </cfRule>
    <cfRule type="expression" priority="6608" dxfId="82">
      <formula>D1047232="1/2CL"</formula>
    </cfRule>
    <cfRule type="expression" priority="6609" dxfId="83">
      <formula>D1047232="1/2UP"</formula>
    </cfRule>
  </conditionalFormatting>
  <conditionalFormatting sqref="AI16">
    <cfRule type="expression" priority="163" dxfId="82">
      <formula>AI16="CL"</formula>
    </cfRule>
    <cfRule type="expression" priority="164" dxfId="101">
      <formula>AI16="CC"</formula>
    </cfRule>
    <cfRule type="expression" priority="165" dxfId="101">
      <formula>AI16="ML"</formula>
    </cfRule>
    <cfRule type="expression" priority="166" dxfId="101">
      <formula>AI16="SL1"</formula>
    </cfRule>
    <cfRule type="expression" priority="167" dxfId="83">
      <formula>AI16="UP"</formula>
    </cfRule>
    <cfRule type="expression" priority="168" dxfId="82">
      <formula>AI16="1/2AL"</formula>
    </cfRule>
    <cfRule type="expression" priority="169" dxfId="82">
      <formula>AI16="AL"</formula>
    </cfRule>
    <cfRule type="expression" priority="170" dxfId="81">
      <formula>AI16="OFF"</formula>
    </cfRule>
    <cfRule type="expression" priority="171" dxfId="82">
      <formula>XEU1047273="LS"</formula>
    </cfRule>
    <cfRule type="expression" priority="172" dxfId="82">
      <formula>XEU1047273="1/2CL"</formula>
    </cfRule>
    <cfRule type="expression" priority="173" dxfId="83">
      <formula>AI16="1/2UP"</formula>
    </cfRule>
    <cfRule type="expression" priority="174" dxfId="83">
      <formula>XEV1047277="1/2UP"</formula>
    </cfRule>
    <cfRule type="expression" priority="175" dxfId="82">
      <formula>XEV1047277="LS"</formula>
    </cfRule>
    <cfRule type="expression" priority="176" dxfId="82">
      <formula>XEV1047277="1/2CL"</formula>
    </cfRule>
    <cfRule type="expression" priority="177" dxfId="83">
      <formula>XEU1047273="1/2UP"</formula>
    </cfRule>
    <cfRule type="expression" priority="178" dxfId="81">
      <formula>AI16="NOT"</formula>
    </cfRule>
    <cfRule type="expression" priority="179" dxfId="82">
      <formula>AI16="FP"</formula>
    </cfRule>
  </conditionalFormatting>
  <conditionalFormatting sqref="AJ11:AK16">
    <cfRule type="expression" priority="249" dxfId="82">
      <formula>AJ11="AL"</formula>
    </cfRule>
    <cfRule type="expression" priority="251" dxfId="83">
      <formula>AJ11="1/2UP"</formula>
    </cfRule>
    <cfRule type="expression" priority="252" dxfId="83">
      <formula>F1047274="1/2UP"</formula>
    </cfRule>
  </conditionalFormatting>
  <conditionalFormatting sqref="AJ11:AK18">
    <cfRule type="expression" priority="180" dxfId="82">
      <formula>F1047274="LS"</formula>
    </cfRule>
    <cfRule type="expression" priority="181" dxfId="82">
      <formula>F1047274="1/2CL"</formula>
    </cfRule>
    <cfRule type="expression" priority="182" dxfId="81">
      <formula>AJ11="NOT"</formula>
    </cfRule>
    <cfRule type="expression" priority="183" dxfId="82">
      <formula>AJ11="FP"</formula>
    </cfRule>
    <cfRule type="expression" priority="184" dxfId="82">
      <formula>AJ11="CL"</formula>
    </cfRule>
    <cfRule type="expression" priority="185" dxfId="101">
      <formula>AJ11="CC"</formula>
    </cfRule>
    <cfRule type="expression" priority="186" dxfId="101">
      <formula>AJ11="ML"</formula>
    </cfRule>
    <cfRule type="expression" priority="187" dxfId="101">
      <formula>AJ11="SL1"</formula>
    </cfRule>
  </conditionalFormatting>
  <conditionalFormatting sqref="AJ17:AK18">
    <cfRule type="expression" priority="188" dxfId="83">
      <formula>AJ17="UP"</formula>
    </cfRule>
    <cfRule type="expression" priority="189" dxfId="82">
      <formula>AJ17="1/2AL"</formula>
    </cfRule>
    <cfRule type="expression" priority="190" dxfId="82">
      <formula>AJ17="AL"</formula>
    </cfRule>
    <cfRule type="expression" priority="191" dxfId="81">
      <formula>AJ17="OFF"</formula>
    </cfRule>
    <cfRule type="expression" priority="192" dxfId="83">
      <formula>AJ17="1/2UP"</formula>
    </cfRule>
    <cfRule type="expression" priority="193" dxfId="83">
      <formula>F1047280="1/2UP"</formula>
    </cfRule>
  </conditionalFormatting>
  <conditionalFormatting sqref="AJ11:AM16">
    <cfRule type="expression" priority="247" dxfId="83">
      <formula>AJ11="UP"</formula>
    </cfRule>
    <cfRule type="expression" priority="248" dxfId="82">
      <formula>AJ11="1/2AL"</formula>
    </cfRule>
    <cfRule type="expression" priority="250" dxfId="81">
      <formula>AJ11="OFF"</formula>
    </cfRule>
  </conditionalFormatting>
  <conditionalFormatting sqref="AL11:AM11">
    <cfRule type="expression" priority="437" dxfId="82">
      <formula>H1047281="LS"</formula>
    </cfRule>
    <cfRule type="expression" priority="438" dxfId="82">
      <formula>H1047281="1/2CL"</formula>
    </cfRule>
    <cfRule type="expression" priority="439" dxfId="83">
      <formula>H1047281="1/2UP"</formula>
    </cfRule>
  </conditionalFormatting>
  <conditionalFormatting sqref="AL12:AM12">
    <cfRule type="expression" priority="396" dxfId="82">
      <formula>AL12="AL"</formula>
    </cfRule>
    <cfRule type="expression" priority="401" dxfId="81">
      <formula>AL12="NOT"</formula>
    </cfRule>
    <cfRule type="expression" priority="402" dxfId="82">
      <formula>H1047282="LS"</formula>
    </cfRule>
    <cfRule type="expression" priority="403" dxfId="82">
      <formula>H1047282="1/2CL"</formula>
    </cfRule>
    <cfRule type="expression" priority="404" dxfId="83">
      <formula>H1047282="1/2UP"</formula>
    </cfRule>
    <cfRule type="expression" priority="405" dxfId="101">
      <formula>AL12="CC"</formula>
    </cfRule>
    <cfRule type="expression" priority="406" dxfId="101">
      <formula>AL12="ML"</formula>
    </cfRule>
    <cfRule type="expression" priority="407" dxfId="101">
      <formula>AL12="SL1"</formula>
    </cfRule>
    <cfRule type="expression" priority="408" dxfId="83">
      <formula>AL12="1/2UP"</formula>
    </cfRule>
    <cfRule type="expression" priority="409" dxfId="82">
      <formula>AL12="CL"</formula>
    </cfRule>
    <cfRule type="expression" priority="413" dxfId="82">
      <formula>AL12="FP"</formula>
    </cfRule>
  </conditionalFormatting>
  <conditionalFormatting sqref="AL13:AM16">
    <cfRule type="expression" priority="262" dxfId="82">
      <formula>H1047283="LS"</formula>
    </cfRule>
    <cfRule type="expression" priority="263" dxfId="82">
      <formula>H1047283="1/2CL"</formula>
    </cfRule>
    <cfRule type="expression" priority="264" dxfId="83">
      <formula>H1047283="1/2UP"</formula>
    </cfRule>
  </conditionalFormatting>
  <conditionalFormatting sqref="AL17:AM17">
    <cfRule type="expression" priority="226" dxfId="81">
      <formula>AL17="NOT"</formula>
    </cfRule>
    <cfRule type="expression" priority="227" dxfId="82">
      <formula>H1047287="LS"</formula>
    </cfRule>
    <cfRule type="expression" priority="228" dxfId="82">
      <formula>H1047287="1/2CL"</formula>
    </cfRule>
    <cfRule type="expression" priority="229" dxfId="83">
      <formula>H1047287="1/2UP"</formula>
    </cfRule>
    <cfRule type="expression" priority="230" dxfId="101">
      <formula>AL17="CC"</formula>
    </cfRule>
    <cfRule type="expression" priority="231" dxfId="101">
      <formula>AL17="ML"</formula>
    </cfRule>
    <cfRule type="expression" priority="232" dxfId="101">
      <formula>AL17="SL1"</formula>
    </cfRule>
    <cfRule type="expression" priority="233" dxfId="83">
      <formula>AL17="1/2UP"</formula>
    </cfRule>
    <cfRule type="expression" priority="234" dxfId="82">
      <formula>AL17="CL"</formula>
    </cfRule>
    <cfRule type="expression" priority="238" dxfId="82">
      <formula>AL17="FP"</formula>
    </cfRule>
  </conditionalFormatting>
  <conditionalFormatting sqref="AL17:AM18">
    <cfRule type="expression" priority="218" dxfId="83">
      <formula>AL17="UP"</formula>
    </cfRule>
    <cfRule type="expression" priority="219" dxfId="82">
      <formula>AL17="1/2AL"</formula>
    </cfRule>
    <cfRule type="expression" priority="220" dxfId="81">
      <formula>AL17="OFF"</formula>
    </cfRule>
    <cfRule type="expression" priority="221" dxfId="82">
      <formula>AL17="AL"</formula>
    </cfRule>
  </conditionalFormatting>
  <conditionalFormatting sqref="AL18:AM18">
    <cfRule type="expression" priority="198" dxfId="82">
      <formula>H1047288="LS"</formula>
    </cfRule>
    <cfRule type="expression" priority="199" dxfId="82">
      <formula>H1047288="1/2CL"</formula>
    </cfRule>
    <cfRule type="expression" priority="200" dxfId="83">
      <formula>H1047288="1/2UP"</formula>
    </cfRule>
  </conditionalFormatting>
  <conditionalFormatting sqref="AL11:AN11">
    <cfRule type="expression" priority="431" dxfId="82">
      <formula>AL11="AL"</formula>
    </cfRule>
    <cfRule type="expression" priority="436" dxfId="81">
      <formula>AL11="NOT"</formula>
    </cfRule>
    <cfRule type="expression" priority="440" dxfId="101">
      <formula>AL11="CC"</formula>
    </cfRule>
    <cfRule type="expression" priority="441" dxfId="101">
      <formula>AL11="ML"</formula>
    </cfRule>
    <cfRule type="expression" priority="442" dxfId="101">
      <formula>AL11="SL1"</formula>
    </cfRule>
    <cfRule type="expression" priority="443" dxfId="83">
      <formula>AL11="1/2UP"</formula>
    </cfRule>
    <cfRule type="expression" priority="444" dxfId="82">
      <formula>AL11="CL"</formula>
    </cfRule>
    <cfRule type="expression" priority="448" dxfId="82">
      <formula>AL11="FP"</formula>
    </cfRule>
  </conditionalFormatting>
  <conditionalFormatting sqref="AL13:AN16">
    <cfRule type="expression" priority="256" dxfId="82">
      <formula>AL13="AL"</formula>
    </cfRule>
    <cfRule type="expression" priority="261" dxfId="81">
      <formula>AL13="NOT"</formula>
    </cfRule>
    <cfRule type="expression" priority="265" dxfId="101">
      <formula>AL13="CC"</formula>
    </cfRule>
    <cfRule type="expression" priority="266" dxfId="101">
      <formula>AL13="ML"</formula>
    </cfRule>
    <cfRule type="expression" priority="267" dxfId="101">
      <formula>AL13="SL1"</formula>
    </cfRule>
    <cfRule type="expression" priority="268" dxfId="83">
      <formula>AL13="1/2UP"</formula>
    </cfRule>
    <cfRule type="expression" priority="269" dxfId="82">
      <formula>AL13="CL"</formula>
    </cfRule>
    <cfRule type="expression" priority="273" dxfId="82">
      <formula>AL13="FP"</formula>
    </cfRule>
  </conditionalFormatting>
  <conditionalFormatting sqref="AN11">
    <cfRule type="expression" priority="445" dxfId="83">
      <formula>AN11="UP"</formula>
    </cfRule>
    <cfRule type="expression" priority="446" dxfId="82">
      <formula>AN11="1/2AL"</formula>
    </cfRule>
    <cfRule type="expression" priority="447" dxfId="81">
      <formula>AN11="OFF"</formula>
    </cfRule>
  </conditionalFormatting>
  <conditionalFormatting sqref="AN11:AN16">
    <cfRule type="expression" priority="6" dxfId="82">
      <formula>J1047232="LS"</formula>
    </cfRule>
    <cfRule type="expression" priority="7" dxfId="82">
      <formula>J1047232="1/2CL"</formula>
    </cfRule>
    <cfRule type="expression" priority="8" dxfId="83">
      <formula>J1047232="1/2UP"</formula>
    </cfRule>
  </conditionalFormatting>
  <conditionalFormatting sqref="AN12">
    <cfRule type="expression" priority="9" dxfId="82">
      <formula>AN12="AL"</formula>
    </cfRule>
    <cfRule type="expression" priority="10" dxfId="81">
      <formula>AN12="NOT"</formula>
    </cfRule>
    <cfRule type="expression" priority="11" dxfId="101">
      <formula>AN12="CC"</formula>
    </cfRule>
    <cfRule type="expression" priority="12" dxfId="101">
      <formula>AN12="ML"</formula>
    </cfRule>
    <cfRule type="expression" priority="13" dxfId="101">
      <formula>AN12="SL1"</formula>
    </cfRule>
    <cfRule type="expression" priority="14" dxfId="83">
      <formula>AN12="1/2UP"</formula>
    </cfRule>
    <cfRule type="expression" priority="15" dxfId="82">
      <formula>AN12="CL"</formula>
    </cfRule>
    <cfRule type="expression" priority="16" dxfId="83">
      <formula>AN12="UP"</formula>
    </cfRule>
    <cfRule type="expression" priority="17" dxfId="82">
      <formula>AN12="1/2AL"</formula>
    </cfRule>
    <cfRule type="expression" priority="18" dxfId="81">
      <formula>AN12="OFF"</formula>
    </cfRule>
    <cfRule type="expression" priority="19" dxfId="82">
      <formula>AN12="FP"</formula>
    </cfRule>
  </conditionalFormatting>
  <conditionalFormatting sqref="AN13:AN16">
    <cfRule type="expression" priority="270" dxfId="83">
      <formula>AN13="UP"</formula>
    </cfRule>
    <cfRule type="expression" priority="271" dxfId="82">
      <formula>AN13="1/2AL"</formula>
    </cfRule>
    <cfRule type="expression" priority="272" dxfId="81">
      <formula>AN13="OFF"</formula>
    </cfRule>
  </conditionalFormatting>
  <conditionalFormatting sqref="AN17">
    <cfRule type="expression" priority="146" dxfId="82">
      <formula>AN17="CL"</formula>
    </cfRule>
    <cfRule type="expression" priority="147" dxfId="101">
      <formula>AN17="CC"</formula>
    </cfRule>
    <cfRule type="expression" priority="148" dxfId="101">
      <formula>AN17="ML"</formula>
    </cfRule>
    <cfRule type="expression" priority="149" dxfId="101">
      <formula>AN17="SL1"</formula>
    </cfRule>
    <cfRule type="expression" priority="150" dxfId="83">
      <formula>AN17="UP"</formula>
    </cfRule>
    <cfRule type="expression" priority="151" dxfId="82">
      <formula>AN17="1/2AL"</formula>
    </cfRule>
    <cfRule type="expression" priority="152" dxfId="82">
      <formula>AN17="AL"</formula>
    </cfRule>
    <cfRule type="expression" priority="153" dxfId="81">
      <formula>AN17="OFF"</formula>
    </cfRule>
    <cfRule type="expression" priority="154" dxfId="82">
      <formula>XEZ1047274="LS"</formula>
    </cfRule>
    <cfRule type="expression" priority="155" dxfId="82">
      <formula>XEZ1047274="1/2CL"</formula>
    </cfRule>
    <cfRule type="expression" priority="156" dxfId="83">
      <formula>AN17="1/2UP"</formula>
    </cfRule>
    <cfRule type="expression" priority="157" dxfId="83">
      <formula>XFA1047278="1/2UP"</formula>
    </cfRule>
    <cfRule type="expression" priority="158" dxfId="82">
      <formula>XFA1047278="LS"</formula>
    </cfRule>
    <cfRule type="expression" priority="159" dxfId="82">
      <formula>XFA1047278="1/2CL"</formula>
    </cfRule>
    <cfRule type="expression" priority="160" dxfId="83">
      <formula>XEZ1047274="1/2UP"</formula>
    </cfRule>
    <cfRule type="expression" priority="161" dxfId="81">
      <formula>AN17="NOT"</formula>
    </cfRule>
    <cfRule type="expression" priority="162" dxfId="82">
      <formula>AN17="FP"</formula>
    </cfRule>
  </conditionalFormatting>
  <conditionalFormatting sqref="AN18">
    <cfRule type="expression" priority="194" dxfId="82">
      <formula>J1047239="LS"</formula>
    </cfRule>
    <cfRule type="expression" priority="195" dxfId="82">
      <formula>J1047239="1/2CL"</formula>
    </cfRule>
    <cfRule type="expression" priority="196" dxfId="83">
      <formula>J1047239="1/2UP"</formula>
    </cfRule>
    <cfRule type="expression" priority="197" dxfId="82">
      <formula>AN18="AL"</formula>
    </cfRule>
    <cfRule type="expression" priority="201" dxfId="83">
      <formula>AN18="UP"</formula>
    </cfRule>
    <cfRule type="expression" priority="202" dxfId="82">
      <formula>AN18="1/2AL"</formula>
    </cfRule>
    <cfRule type="expression" priority="203" dxfId="81">
      <formula>AN18="OFF"</formula>
    </cfRule>
  </conditionalFormatting>
  <dataValidations disablePrompts="1" count="1">
    <dataValidation sqref="T22:T23" showDropDown="0" showInputMessage="1" showErrorMessage="1" allowBlank="1" type="list">
      <formula1>#REF!</formula1>
    </dataValidation>
  </dataValidations>
  <pageMargins left="0.25" right="0" top="0.5" bottom="0.5" header="0.3" footer="0.2"/>
  <pageSetup orientation="landscape" paperSize="9" scale="41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0"/>
  <sheetViews>
    <sheetView view="pageBreakPreview" zoomScale="80" zoomScaleNormal="66" zoomScaleSheetLayoutView="80" workbookViewId="0">
      <pane xSplit="6" ySplit="21" topLeftCell="I22" activePane="bottomRight" state="frozen"/>
      <selection activeCell="C13" sqref="C13"/>
      <selection pane="topRight" activeCell="C13" sqref="C13"/>
      <selection pane="bottomLeft" activeCell="C13" sqref="C13"/>
      <selection pane="bottomRight" activeCell="T34" sqref="T34"/>
    </sheetView>
  </sheetViews>
  <sheetFormatPr baseColWidth="8" defaultColWidth="13.42578125" defaultRowHeight="15"/>
  <cols>
    <col width="6.42578125" customWidth="1" style="87" min="1" max="1"/>
    <col hidden="1" width="11.5703125" customWidth="1" style="87" min="2" max="2"/>
    <col width="17" customWidth="1" style="89" min="3" max="3"/>
    <col width="18.5703125" customWidth="1" style="90" min="4" max="4"/>
    <col hidden="1" width="17.28515625" customWidth="1" style="91" min="5" max="5"/>
    <col width="13.7109375" customWidth="1" style="91" min="6" max="6"/>
    <col hidden="1" width="5.28515625" customWidth="1" style="92" min="7" max="8"/>
    <col width="5.28515625" customWidth="1" style="92" min="9" max="29"/>
    <col width="6.5703125" customWidth="1" style="92" min="30" max="33"/>
    <col hidden="1" width="5.28515625" customWidth="1" style="92" min="34" max="35"/>
    <col hidden="1" width="2.7109375" customWidth="1" style="92" min="36" max="36"/>
    <col width="11.28515625" customWidth="1" style="93" min="37" max="37"/>
    <col hidden="1" width="8.7109375" customWidth="1" style="91" min="38" max="38"/>
    <col hidden="1" width="16.5703125" customWidth="1" style="91" min="39" max="39"/>
    <col hidden="1" outlineLevel="1" width="11.7109375" customWidth="1" style="91" min="40" max="42"/>
    <col hidden="1" outlineLevel="1" width="17.7109375" customWidth="1" style="91" min="43" max="43"/>
    <col hidden="1" outlineLevel="1" width="11.7109375" customWidth="1" style="91" min="44" max="44"/>
    <col hidden="1" outlineLevel="1" width="14.85546875" customWidth="1" style="91" min="45" max="45"/>
    <col collapsed="1" width="15.5703125" customWidth="1" style="91" min="46" max="46"/>
    <col width="18.7109375" customWidth="1" style="94" min="47" max="47"/>
    <col hidden="1" width="10.140625" customWidth="1" style="91" min="48" max="48"/>
    <col hidden="1" width="28.7109375" customWidth="1" style="91" min="49" max="49"/>
    <col hidden="1" style="91" min="50" max="50"/>
    <col width="13.42578125" customWidth="1" style="91" min="51" max="16384"/>
  </cols>
  <sheetData>
    <row r="1" ht="24.75" customFormat="1" customHeight="1" s="66">
      <c r="A1" s="774" t="inlineStr">
        <is>
          <t xml:space="preserve">CÔNG TY TNHH THISO RETAIL </t>
        </is>
      </c>
      <c r="B1" s="63" t="n"/>
      <c r="C1" s="64" t="n"/>
      <c r="D1" s="65" t="n"/>
      <c r="E1" s="65" t="n"/>
      <c r="F1" s="65" t="n"/>
      <c r="G1" s="183" t="n"/>
      <c r="H1" s="183" t="n"/>
      <c r="I1" s="183" t="n"/>
      <c r="J1" s="183" t="n"/>
      <c r="K1" s="183" t="n"/>
      <c r="L1" s="183" t="n"/>
      <c r="M1" s="183" t="n"/>
      <c r="N1" s="183" t="n"/>
      <c r="O1" s="183" t="n"/>
      <c r="P1" s="183" t="n"/>
      <c r="Q1" s="183" t="n"/>
      <c r="R1" s="183" t="n"/>
      <c r="S1" s="183" t="n"/>
      <c r="T1" s="183" t="n"/>
      <c r="U1" s="183" t="n"/>
      <c r="V1" s="775" t="n"/>
      <c r="W1" s="775" t="n"/>
      <c r="X1" s="775" t="n"/>
      <c r="Y1" s="775" t="n"/>
      <c r="Z1" s="775" t="n"/>
      <c r="AA1" s="775" t="n"/>
      <c r="AB1" s="776" t="n"/>
      <c r="AC1" s="776" t="n"/>
      <c r="AD1" s="776" t="n"/>
      <c r="AE1" s="776" t="n"/>
      <c r="AF1" s="776" t="n"/>
      <c r="AG1" s="776" t="n"/>
      <c r="AH1" s="186" t="n"/>
      <c r="AI1" s="186" t="n"/>
      <c r="AJ1" s="186" t="n"/>
      <c r="AK1" s="187" t="inlineStr">
        <is>
          <t>KEYS:</t>
        </is>
      </c>
      <c r="AL1" s="187" t="inlineStr">
        <is>
          <t>PN</t>
        </is>
      </c>
      <c r="AM1" s="777" t="inlineStr">
        <is>
          <t>ML</t>
        </is>
      </c>
      <c r="AN1" s="777" t="inlineStr">
        <is>
          <t>L</t>
        </is>
      </c>
      <c r="AO1" s="777" t="inlineStr">
        <is>
          <t>NB</t>
        </is>
      </c>
      <c r="AP1" s="777" t="inlineStr">
        <is>
          <t>TC</t>
        </is>
      </c>
      <c r="AQ1" s="777" t="inlineStr">
        <is>
          <t>TCL</t>
        </is>
      </c>
      <c r="AR1" s="777" t="inlineStr">
        <is>
          <t>CL</t>
        </is>
      </c>
      <c r="AS1" s="777" t="inlineStr">
        <is>
          <t>KL</t>
        </is>
      </c>
      <c r="AT1" s="186" t="n"/>
      <c r="AU1" s="189" t="n"/>
    </row>
    <row r="2" ht="9.75" customFormat="1" customHeight="1" s="66">
      <c r="A2" s="778" t="n"/>
      <c r="B2" s="67" t="n"/>
      <c r="C2" s="68" t="n"/>
      <c r="G2" s="186" t="n"/>
      <c r="H2" s="186" t="n"/>
      <c r="I2" s="186" t="inlineStr">
        <is>
          <t>1/2X</t>
        </is>
      </c>
      <c r="J2" s="186" t="n"/>
      <c r="K2" s="186" t="n"/>
      <c r="L2" s="186" t="n"/>
      <c r="M2" s="186" t="n"/>
      <c r="N2" s="186" t="n"/>
      <c r="O2" s="186" t="n"/>
      <c r="P2" s="190" t="inlineStr">
        <is>
          <t>TIME TABLE - JUNE 2022</t>
        </is>
      </c>
      <c r="Q2" s="186" t="n"/>
      <c r="R2" s="186" t="n"/>
      <c r="S2" s="186" t="n"/>
      <c r="T2" s="186" t="n"/>
      <c r="U2" s="186" t="n"/>
      <c r="V2" s="775" t="n"/>
      <c r="W2" s="775" t="n"/>
      <c r="Y2" s="775" t="n"/>
      <c r="Z2" s="775" t="n"/>
      <c r="AA2" s="775" t="n"/>
      <c r="AB2" s="776" t="n"/>
      <c r="AC2" s="776" t="n"/>
      <c r="AD2" s="776" t="n"/>
      <c r="AE2" s="776" t="n"/>
      <c r="AF2" s="776" t="inlineStr">
        <is>
          <t> </t>
        </is>
      </c>
      <c r="AG2" s="776" t="n"/>
      <c r="AH2" s="186" t="n"/>
      <c r="AI2" s="186" t="n"/>
      <c r="AJ2" s="186" t="n"/>
      <c r="AK2" s="187" t="n"/>
      <c r="AL2" s="187" t="inlineStr">
        <is>
          <t>1/2PN</t>
        </is>
      </c>
      <c r="AM2" s="777" t="inlineStr">
        <is>
          <t>NOT</t>
        </is>
      </c>
      <c r="AN2" s="777" t="inlineStr">
        <is>
          <t>RE</t>
        </is>
      </c>
      <c r="AO2" s="777" t="inlineStr">
        <is>
          <t>1/2NB</t>
        </is>
      </c>
      <c r="AP2" s="777" t="inlineStr">
        <is>
          <t>1/2TC</t>
        </is>
      </c>
      <c r="AQ2" s="777" t="inlineStr">
        <is>
          <t>1/2TCL</t>
        </is>
      </c>
      <c r="AR2" s="777" t="inlineStr">
        <is>
          <t>1/2CL</t>
        </is>
      </c>
      <c r="AS2" s="777" t="inlineStr">
        <is>
          <t>1/2KL</t>
        </is>
      </c>
      <c r="AT2" s="186" t="n"/>
      <c r="AU2" s="189" t="n"/>
    </row>
    <row r="3" ht="19.5" customFormat="1" customHeight="1" s="66">
      <c r="A3" s="778" t="inlineStr">
        <is>
          <t>PHAN VAN TRI STORE</t>
        </is>
      </c>
      <c r="B3" s="69" t="n"/>
      <c r="C3" s="70" t="n"/>
      <c r="D3" s="71" t="n"/>
      <c r="E3" s="71" t="n"/>
      <c r="F3" s="71" t="n"/>
      <c r="G3" s="241">
        <f>WEEKDAY(G20)</f>
        <v/>
      </c>
      <c r="H3" s="191" t="n"/>
      <c r="I3" s="191" t="n"/>
      <c r="J3" s="191" t="n"/>
      <c r="K3" s="191" t="n"/>
      <c r="L3" s="191" t="n"/>
      <c r="M3" s="19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775" t="n"/>
      <c r="X3" s="71" t="inlineStr">
        <is>
          <t>TIME TABLE MARCH, 2025</t>
        </is>
      </c>
      <c r="Y3" s="775" t="n"/>
      <c r="Z3" s="775" t="n"/>
      <c r="AA3" s="775" t="n"/>
      <c r="AB3" s="776" t="n"/>
      <c r="AC3" s="776" t="n"/>
      <c r="AD3" s="776" t="n"/>
      <c r="AE3" s="776" t="n"/>
      <c r="AF3" s="776" t="n"/>
      <c r="AG3" s="776" t="n"/>
      <c r="AH3" s="186" t="n"/>
      <c r="AI3" s="186" t="n"/>
      <c r="AJ3" s="186" t="n"/>
      <c r="AK3" s="186" t="n"/>
      <c r="AL3" s="194" t="n"/>
      <c r="AM3" s="194" t="n"/>
      <c r="AN3" s="194" t="n"/>
      <c r="AO3" s="194" t="n"/>
      <c r="AP3" s="194" t="n"/>
      <c r="AQ3" s="194" t="n"/>
      <c r="AR3" s="194" t="n"/>
      <c r="AS3" s="777" t="inlineStr">
        <is>
          <t>BHXH</t>
        </is>
      </c>
      <c r="AT3" s="194" t="n"/>
      <c r="AU3" s="189" t="n"/>
    </row>
    <row r="4" hidden="1" ht="46.5" customFormat="1" customHeight="1" s="66">
      <c r="A4" s="73" t="inlineStr">
        <is>
          <t>NOTE:</t>
        </is>
      </c>
      <c r="B4" s="74" t="n"/>
      <c r="C4" s="75" t="n"/>
      <c r="D4" s="76" t="n"/>
      <c r="E4" s="76" t="n"/>
      <c r="F4" s="76" t="n"/>
      <c r="G4" s="195" t="n"/>
      <c r="H4" s="195" t="n"/>
      <c r="I4" s="195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5" t="n"/>
      <c r="U4" s="195" t="n"/>
      <c r="V4" s="195" t="n"/>
      <c r="W4" s="775" t="n"/>
      <c r="X4" s="775" t="n"/>
      <c r="Y4" s="775" t="n"/>
      <c r="Z4" s="775" t="n"/>
      <c r="AA4" s="775" t="n"/>
      <c r="AB4" s="776" t="n"/>
      <c r="AC4" s="776" t="n"/>
      <c r="AD4" s="776" t="n"/>
      <c r="AE4" s="776" t="n"/>
      <c r="AF4" s="776" t="n"/>
      <c r="AG4" s="776" t="n"/>
      <c r="AH4" s="186" t="n"/>
      <c r="AI4" s="186" t="n"/>
      <c r="AJ4" s="186" t="n"/>
      <c r="AK4" s="186" t="n"/>
      <c r="AL4" s="194" t="n"/>
      <c r="AM4" s="194" t="n"/>
      <c r="AN4" s="194" t="n"/>
      <c r="AO4" s="194" t="n"/>
      <c r="AP4" s="194" t="n"/>
      <c r="AQ4" s="194" t="n"/>
      <c r="AR4" s="194" t="n"/>
      <c r="AS4" s="194" t="n"/>
      <c r="AT4" s="194" t="n"/>
      <c r="AU4" s="189" t="n"/>
    </row>
    <row r="5" hidden="1" ht="16.5" customFormat="1" customHeight="1" s="66">
      <c r="A5" s="77" t="n"/>
      <c r="B5" s="78" t="inlineStr">
        <is>
          <t>X</t>
        </is>
      </c>
      <c r="C5" s="79" t="inlineStr">
        <is>
          <t>Có đi làm</t>
        </is>
      </c>
      <c r="D5" s="80" t="n"/>
      <c r="E5" s="80" t="n"/>
      <c r="F5" s="80" t="n"/>
      <c r="G5" s="195" t="n"/>
      <c r="H5" s="195" t="n"/>
      <c r="I5" s="195" t="n"/>
      <c r="J5" s="195" t="n"/>
      <c r="K5" s="195" t="n"/>
      <c r="L5" s="195" t="n"/>
      <c r="M5" s="195" t="n"/>
      <c r="N5" s="195" t="n"/>
      <c r="O5" s="195" t="n"/>
      <c r="P5" s="195" t="n"/>
      <c r="Q5" s="195" t="n"/>
      <c r="R5" s="195" t="n"/>
      <c r="S5" s="195" t="n"/>
      <c r="T5" s="195" t="n"/>
      <c r="U5" s="195" t="n"/>
      <c r="V5" s="195" t="n"/>
      <c r="W5" s="775" t="n"/>
      <c r="X5" s="775" t="n"/>
      <c r="Y5" s="775" t="n"/>
      <c r="Z5" s="775" t="n"/>
      <c r="AA5" s="775" t="n"/>
      <c r="AB5" s="776" t="n"/>
      <c r="AC5" s="776" t="n"/>
      <c r="AD5" s="776" t="n"/>
      <c r="AE5" s="776" t="n"/>
      <c r="AF5" s="776" t="n"/>
      <c r="AG5" s="776" t="n"/>
      <c r="AH5" s="186" t="n"/>
      <c r="AI5" s="186" t="n"/>
      <c r="AJ5" s="186" t="n"/>
      <c r="AK5" s="186" t="n"/>
      <c r="AL5" s="194" t="n"/>
      <c r="AM5" s="194" t="n"/>
      <c r="AN5" s="194" t="n"/>
      <c r="AO5" s="194" t="n"/>
      <c r="AP5" s="194" t="n"/>
      <c r="AQ5" s="194" t="n"/>
      <c r="AR5" s="194" t="n"/>
      <c r="AS5" s="194" t="n"/>
      <c r="AT5" s="194" t="n"/>
      <c r="AU5" s="189" t="n"/>
    </row>
    <row r="6" hidden="1" ht="16.5" customFormat="1" customHeight="1" s="66">
      <c r="A6" s="81" t="n"/>
      <c r="B6" s="78" t="inlineStr">
        <is>
          <t>OFF</t>
        </is>
      </c>
      <c r="C6" s="79" t="inlineStr">
        <is>
          <t>Ngày nghỉ hàng tuần</t>
        </is>
      </c>
      <c r="D6" s="80" t="n"/>
      <c r="E6" s="80" t="n"/>
      <c r="F6" s="80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5" t="n"/>
      <c r="P6" s="195" t="n"/>
      <c r="Q6" s="195" t="n"/>
      <c r="R6" s="195" t="n"/>
      <c r="S6" s="195" t="n"/>
      <c r="T6" s="195" t="n"/>
      <c r="U6" s="195" t="n"/>
      <c r="V6" s="195" t="n"/>
      <c r="W6" s="775" t="n"/>
      <c r="X6" s="775" t="n"/>
      <c r="Y6" s="775" t="n"/>
      <c r="Z6" s="775" t="n"/>
      <c r="AA6" s="775" t="n"/>
      <c r="AB6" s="776" t="n"/>
      <c r="AC6" s="776" t="n"/>
      <c r="AD6" s="776" t="n"/>
      <c r="AE6" s="776" t="n"/>
      <c r="AF6" s="776" t="n"/>
      <c r="AG6" s="776" t="n"/>
      <c r="AH6" s="186" t="n"/>
      <c r="AI6" s="186" t="n"/>
      <c r="AJ6" s="186" t="n"/>
      <c r="AK6" s="186" t="n"/>
      <c r="AL6" s="194" t="n"/>
      <c r="AM6" s="194" t="n"/>
      <c r="AN6" s="194" t="n"/>
      <c r="AO6" s="194" t="n"/>
      <c r="AP6" s="194" t="n"/>
      <c r="AQ6" s="194" t="n"/>
      <c r="AR6" s="194" t="n"/>
      <c r="AS6" s="194" t="n"/>
      <c r="AT6" s="194" t="n"/>
      <c r="AU6" s="189" t="n"/>
    </row>
    <row r="7" hidden="1" ht="16.5" customFormat="1" customHeight="1" s="66">
      <c r="A7" s="81" t="n"/>
      <c r="B7" s="78" t="inlineStr">
        <is>
          <t>PN</t>
        </is>
      </c>
      <c r="C7" s="79" t="inlineStr">
        <is>
          <t>Nghỉ 01 ngày phép năm</t>
        </is>
      </c>
      <c r="D7" s="80" t="n"/>
      <c r="E7" s="80" t="n"/>
      <c r="F7" s="80" t="n"/>
      <c r="G7" s="195" t="n"/>
      <c r="H7" s="195" t="n"/>
      <c r="I7" s="195" t="n"/>
      <c r="J7" s="195" t="n"/>
      <c r="K7" s="195" t="n"/>
      <c r="L7" s="195" t="n"/>
      <c r="M7" s="195" t="n"/>
      <c r="N7" s="195" t="n"/>
      <c r="O7" s="195" t="n"/>
      <c r="P7" s="195" t="n"/>
      <c r="Q7" s="195" t="n"/>
      <c r="R7" s="195" t="n"/>
      <c r="S7" s="195" t="n"/>
      <c r="T7" s="195" t="n"/>
      <c r="U7" s="195" t="n"/>
      <c r="V7" s="195" t="n"/>
      <c r="W7" s="775" t="n"/>
      <c r="X7" s="775" t="n"/>
      <c r="Y7" s="775" t="n"/>
      <c r="Z7" s="775" t="n"/>
      <c r="AA7" s="775" t="n"/>
      <c r="AB7" s="776" t="n"/>
      <c r="AC7" s="776" t="n"/>
      <c r="AD7" s="776" t="n"/>
      <c r="AE7" s="776" t="n"/>
      <c r="AF7" s="776" t="n"/>
      <c r="AG7" s="776" t="n"/>
      <c r="AH7" s="186" t="n"/>
      <c r="AI7" s="186" t="n"/>
      <c r="AJ7" s="186" t="n"/>
      <c r="AK7" s="186" t="n"/>
      <c r="AL7" s="194" t="n"/>
      <c r="AM7" s="194" t="n"/>
      <c r="AN7" s="194" t="n"/>
      <c r="AO7" s="194" t="n"/>
      <c r="AP7" s="194" t="n"/>
      <c r="AQ7" s="194" t="n"/>
      <c r="AR7" s="194" t="n"/>
      <c r="AS7" s="194" t="n"/>
      <c r="AT7" s="194" t="n"/>
      <c r="AU7" s="189" t="n"/>
    </row>
    <row r="8" hidden="1" ht="16.5" customFormat="1" customHeight="1" s="66">
      <c r="A8" s="81" t="n"/>
      <c r="B8" s="78" t="inlineStr">
        <is>
          <t>1/2PN</t>
        </is>
      </c>
      <c r="C8" s="79" t="inlineStr">
        <is>
          <t>Nghỉ 0,5 ngày phép năm</t>
        </is>
      </c>
      <c r="D8" s="80" t="n"/>
      <c r="E8" s="80" t="n"/>
      <c r="F8" s="80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5" t="n"/>
      <c r="P8" s="195" t="n"/>
      <c r="Q8" s="195" t="n"/>
      <c r="R8" s="195" t="n"/>
      <c r="S8" s="195" t="n"/>
      <c r="T8" s="195" t="n"/>
      <c r="U8" s="195" t="n"/>
      <c r="V8" s="195" t="n"/>
      <c r="W8" s="775" t="n"/>
      <c r="X8" s="775" t="n"/>
      <c r="Y8" s="775" t="n"/>
      <c r="Z8" s="775" t="n"/>
      <c r="AA8" s="775" t="n"/>
      <c r="AB8" s="776" t="n"/>
      <c r="AC8" s="776" t="n"/>
      <c r="AD8" s="776" t="n"/>
      <c r="AE8" s="776" t="n"/>
      <c r="AF8" s="776" t="n"/>
      <c r="AG8" s="776" t="n"/>
      <c r="AH8" s="186" t="n"/>
      <c r="AI8" s="186" t="n"/>
      <c r="AJ8" s="186" t="n"/>
      <c r="AK8" s="186" t="n"/>
      <c r="AL8" s="194" t="n"/>
      <c r="AM8" s="194" t="n"/>
      <c r="AN8" s="194" t="n"/>
      <c r="AO8" s="194" t="n"/>
      <c r="AP8" s="194" t="n"/>
      <c r="AQ8" s="194" t="n"/>
      <c r="AR8" s="194" t="n"/>
      <c r="AS8" s="194" t="n"/>
      <c r="AT8" s="194" t="n"/>
      <c r="AU8" s="189" t="n"/>
    </row>
    <row r="9" hidden="1" ht="16.5" customFormat="1" customHeight="1" s="66">
      <c r="A9" s="81" t="n"/>
      <c r="B9" s="78" t="inlineStr">
        <is>
          <t>BHXH</t>
        </is>
      </c>
      <c r="C9" s="79" t="inlineStr">
        <is>
          <t>Nghỉ hưởng BHXH</t>
        </is>
      </c>
      <c r="D9" s="80" t="n"/>
      <c r="E9" s="80" t="n"/>
      <c r="F9" s="80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5" t="n"/>
      <c r="P9" s="195" t="n"/>
      <c r="Q9" s="195" t="n"/>
      <c r="R9" s="195" t="n"/>
      <c r="S9" s="195" t="n"/>
      <c r="T9" s="195" t="n"/>
      <c r="U9" s="195" t="n"/>
      <c r="V9" s="195" t="n"/>
      <c r="W9" s="775" t="n"/>
      <c r="X9" s="775" t="n"/>
      <c r="Y9" s="775" t="n"/>
      <c r="Z9" s="775" t="n"/>
      <c r="AA9" s="775" t="n"/>
      <c r="AB9" s="776" t="n"/>
      <c r="AC9" s="776" t="n"/>
      <c r="AD9" s="776" t="n"/>
      <c r="AE9" s="776" t="n"/>
      <c r="AF9" s="776" t="n"/>
      <c r="AG9" s="776" t="n"/>
      <c r="AH9" s="186" t="n"/>
      <c r="AI9" s="186" t="n"/>
      <c r="AJ9" s="186" t="n"/>
      <c r="AK9" s="186" t="n"/>
      <c r="AL9" s="194" t="n"/>
      <c r="AM9" s="194" t="n"/>
      <c r="AN9" s="194" t="n"/>
      <c r="AO9" s="194" t="n"/>
      <c r="AP9" s="194" t="n"/>
      <c r="AQ9" s="194" t="n"/>
      <c r="AR9" s="194" t="n"/>
      <c r="AS9" s="194" t="n"/>
      <c r="AT9" s="194" t="n"/>
      <c r="AU9" s="189" t="n"/>
    </row>
    <row r="10" hidden="1" ht="16.5" customFormat="1" customHeight="1" s="66">
      <c r="A10" s="81" t="n"/>
      <c r="B10" s="82" t="inlineStr">
        <is>
          <t>ML</t>
        </is>
      </c>
      <c r="C10" s="79" t="inlineStr">
        <is>
          <t>Nghỉ thai sản</t>
        </is>
      </c>
      <c r="D10" s="80" t="n"/>
      <c r="E10" s="80" t="n"/>
      <c r="F10" s="80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5" t="n"/>
      <c r="P10" s="195" t="n"/>
      <c r="Q10" s="195" t="n"/>
      <c r="R10" s="195" t="n"/>
      <c r="S10" s="195" t="n"/>
      <c r="T10" s="195" t="n"/>
      <c r="U10" s="195" t="n"/>
      <c r="V10" s="195" t="n"/>
      <c r="W10" s="775" t="n"/>
      <c r="X10" s="775" t="n"/>
      <c r="Y10" s="775" t="n"/>
      <c r="Z10" s="775" t="n"/>
      <c r="AA10" s="775" t="n"/>
      <c r="AB10" s="776" t="n"/>
      <c r="AC10" s="776" t="n"/>
      <c r="AD10" s="776" t="n"/>
      <c r="AE10" s="776" t="n"/>
      <c r="AF10" s="776" t="n"/>
      <c r="AG10" s="776" t="n"/>
      <c r="AH10" s="186" t="n"/>
      <c r="AI10" s="186" t="n"/>
      <c r="AJ10" s="186" t="n"/>
      <c r="AK10" s="186" t="n"/>
      <c r="AL10" s="194" t="n"/>
      <c r="AM10" s="194" t="n"/>
      <c r="AN10" s="194" t="n"/>
      <c r="AO10" s="194" t="n"/>
      <c r="AP10" s="194" t="n"/>
      <c r="AQ10" s="194" t="n"/>
      <c r="AR10" s="194" t="n"/>
      <c r="AS10" s="194" t="n"/>
      <c r="AT10" s="194" t="n"/>
      <c r="AU10" s="189" t="n"/>
    </row>
    <row r="11" hidden="1" ht="16.5" customFormat="1" customHeight="1" s="66">
      <c r="A11" s="81" t="n"/>
      <c r="B11" s="82" t="inlineStr">
        <is>
          <t>L</t>
        </is>
      </c>
      <c r="C11" s="79" t="inlineStr">
        <is>
          <t>Nghỉ lễ</t>
        </is>
      </c>
      <c r="D11" s="80" t="n"/>
      <c r="E11" s="80" t="n"/>
      <c r="F11" s="80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5" t="n"/>
      <c r="P11" s="195" t="n"/>
      <c r="Q11" s="195" t="n"/>
      <c r="R11" s="195" t="n"/>
      <c r="S11" s="195" t="n"/>
      <c r="T11" s="195" t="n"/>
      <c r="U11" s="195" t="n"/>
      <c r="V11" s="195" t="n"/>
      <c r="W11" s="775" t="n"/>
      <c r="X11" s="775" t="n"/>
      <c r="Y11" s="775" t="n"/>
      <c r="Z11" s="775" t="n"/>
      <c r="AA11" s="775" t="n"/>
      <c r="AB11" s="776" t="n"/>
      <c r="AC11" s="776" t="n"/>
      <c r="AD11" s="776" t="n"/>
      <c r="AE11" s="776" t="n"/>
      <c r="AF11" s="776" t="n"/>
      <c r="AG11" s="776" t="n"/>
      <c r="AH11" s="186" t="n"/>
      <c r="AI11" s="186" t="n"/>
      <c r="AJ11" s="186" t="n"/>
      <c r="AK11" s="186" t="n"/>
      <c r="AL11" s="194" t="n"/>
      <c r="AM11" s="194" t="n"/>
      <c r="AN11" s="194" t="n"/>
      <c r="AO11" s="194" t="n"/>
      <c r="AP11" s="194" t="n"/>
      <c r="AQ11" s="194" t="n"/>
      <c r="AR11" s="194" t="n"/>
      <c r="AS11" s="194" t="n"/>
      <c r="AT11" s="194" t="n"/>
      <c r="AU11" s="189" t="n"/>
    </row>
    <row r="12" hidden="1" ht="16.5" customFormat="1" customHeight="1" s="66">
      <c r="A12" s="81" t="n"/>
      <c r="B12" s="82" t="inlineStr">
        <is>
          <t>NB</t>
        </is>
      </c>
      <c r="C12" s="79" t="inlineStr">
        <is>
          <t>Nghỉ bù 01 ngày</t>
        </is>
      </c>
      <c r="D12" s="80" t="n"/>
      <c r="E12" s="80" t="n"/>
      <c r="F12" s="80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95" t="n"/>
      <c r="P12" s="195" t="n"/>
      <c r="Q12" s="195" t="n"/>
      <c r="R12" s="195" t="n"/>
      <c r="S12" s="195" t="n"/>
      <c r="T12" s="195" t="n"/>
      <c r="U12" s="195" t="n"/>
      <c r="V12" s="195" t="n"/>
      <c r="W12" s="775" t="n"/>
      <c r="X12" s="775" t="n"/>
      <c r="Y12" s="775" t="n"/>
      <c r="Z12" s="775" t="n"/>
      <c r="AA12" s="775" t="n"/>
      <c r="AB12" s="776" t="n"/>
      <c r="AC12" s="776" t="n"/>
      <c r="AD12" s="776" t="n"/>
      <c r="AE12" s="776" t="n"/>
      <c r="AF12" s="776" t="n"/>
      <c r="AG12" s="776" t="n"/>
      <c r="AH12" s="186" t="n"/>
      <c r="AI12" s="186" t="n"/>
      <c r="AJ12" s="186" t="n"/>
      <c r="AK12" s="186" t="n"/>
      <c r="AL12" s="194" t="n"/>
      <c r="AM12" s="194" t="n"/>
      <c r="AN12" s="194" t="n"/>
      <c r="AO12" s="194" t="n"/>
      <c r="AP12" s="194" t="n"/>
      <c r="AQ12" s="194" t="n"/>
      <c r="AR12" s="194" t="n"/>
      <c r="AS12" s="194" t="n"/>
      <c r="AT12" s="194" t="n"/>
      <c r="AU12" s="189" t="n"/>
    </row>
    <row r="13" hidden="1" ht="16.5" customFormat="1" customHeight="1" s="66">
      <c r="A13" s="81" t="n"/>
      <c r="B13" s="82" t="inlineStr">
        <is>
          <t>1/2NB</t>
        </is>
      </c>
      <c r="C13" s="79" t="inlineStr">
        <is>
          <t>Nghỉ bù 0,5 ngày</t>
        </is>
      </c>
      <c r="D13" s="80" t="n"/>
      <c r="E13" s="80" t="n"/>
      <c r="F13" s="80" t="n"/>
      <c r="G13" s="195" t="n"/>
      <c r="H13" s="195" t="n"/>
      <c r="I13" s="195" t="n"/>
      <c r="J13" s="195" t="n"/>
      <c r="K13" s="195" t="n"/>
      <c r="L13" s="195" t="n"/>
      <c r="M13" s="195" t="n"/>
      <c r="N13" s="195" t="n"/>
      <c r="O13" s="195" t="n"/>
      <c r="P13" s="195" t="n"/>
      <c r="Q13" s="195" t="n"/>
      <c r="R13" s="195" t="n"/>
      <c r="S13" s="195" t="n"/>
      <c r="T13" s="195" t="n"/>
      <c r="U13" s="195" t="n"/>
      <c r="V13" s="195" t="n"/>
      <c r="W13" s="775" t="n"/>
      <c r="X13" s="775" t="n"/>
      <c r="Y13" s="775" t="n"/>
      <c r="Z13" s="775" t="n"/>
      <c r="AA13" s="775" t="n"/>
      <c r="AB13" s="776" t="n"/>
      <c r="AC13" s="776" t="n"/>
      <c r="AD13" s="776" t="n"/>
      <c r="AE13" s="776" t="n"/>
      <c r="AF13" s="776" t="n"/>
      <c r="AG13" s="776" t="n"/>
      <c r="AH13" s="186" t="n"/>
      <c r="AI13" s="186" t="n"/>
      <c r="AJ13" s="186" t="n"/>
      <c r="AK13" s="186" t="n"/>
      <c r="AL13" s="194" t="n"/>
      <c r="AM13" s="194" t="n"/>
      <c r="AN13" s="194" t="n"/>
      <c r="AO13" s="194" t="n"/>
      <c r="AP13" s="194" t="n"/>
      <c r="AQ13" s="194" t="n"/>
      <c r="AR13" s="194" t="n"/>
      <c r="AS13" s="194" t="n"/>
      <c r="AT13" s="194" t="n"/>
      <c r="AU13" s="189" t="n"/>
    </row>
    <row r="14" hidden="1" ht="16.5" customFormat="1" customHeight="1" s="66">
      <c r="A14" s="81" t="n"/>
      <c r="B14" s="82" t="inlineStr">
        <is>
          <t>CL</t>
        </is>
      </c>
      <c r="C14" s="79" t="inlineStr">
        <is>
          <t>Nghỉ 01 ngày có lương (kết hôn, tang gia)</t>
        </is>
      </c>
      <c r="D14" s="80" t="n"/>
      <c r="E14" s="80" t="n"/>
      <c r="F14" s="80" t="n"/>
      <c r="G14" s="195" t="n"/>
      <c r="H14" s="195" t="n"/>
      <c r="I14" s="195" t="n"/>
      <c r="J14" s="195" t="n"/>
      <c r="K14" s="195" t="n"/>
      <c r="L14" s="195" t="n"/>
      <c r="M14" s="195" t="n"/>
      <c r="N14" s="195" t="n"/>
      <c r="O14" s="195" t="n"/>
      <c r="P14" s="195" t="n"/>
      <c r="Q14" s="195" t="n"/>
      <c r="R14" s="195" t="n"/>
      <c r="S14" s="195" t="n"/>
      <c r="T14" s="195" t="n"/>
      <c r="U14" s="195" t="n"/>
      <c r="V14" s="195" t="n"/>
      <c r="W14" s="775" t="n"/>
      <c r="X14" s="775" t="n"/>
      <c r="Y14" s="775" t="n"/>
      <c r="Z14" s="775" t="n"/>
      <c r="AA14" s="775" t="n"/>
      <c r="AB14" s="776" t="n"/>
      <c r="AC14" s="776" t="n"/>
      <c r="AD14" s="776" t="n"/>
      <c r="AE14" s="776" t="n"/>
      <c r="AF14" s="776" t="n"/>
      <c r="AG14" s="776" t="n"/>
      <c r="AH14" s="186" t="n"/>
      <c r="AI14" s="186" t="n"/>
      <c r="AJ14" s="186" t="n"/>
      <c r="AK14" s="186" t="n"/>
      <c r="AL14" s="194" t="n"/>
      <c r="AM14" s="194" t="n"/>
      <c r="AN14" s="194" t="n"/>
      <c r="AO14" s="194" t="n"/>
      <c r="AP14" s="194" t="n"/>
      <c r="AQ14" s="194" t="n"/>
      <c r="AR14" s="194" t="n"/>
      <c r="AS14" s="194" t="n"/>
      <c r="AT14" s="194" t="n"/>
      <c r="AU14" s="189" t="n"/>
    </row>
    <row r="15" hidden="1" ht="16.5" customFormat="1" customHeight="1" s="66">
      <c r="A15" s="81" t="n"/>
      <c r="B15" s="82" t="inlineStr">
        <is>
          <t>1/2CL</t>
        </is>
      </c>
      <c r="C15" s="79" t="inlineStr">
        <is>
          <t>Nghỉ 0,5 ngày có lương (kết hôn, tang gia)</t>
        </is>
      </c>
      <c r="D15" s="80" t="n"/>
      <c r="E15" s="80" t="n"/>
      <c r="F15" s="80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5" t="n"/>
      <c r="P15" s="195" t="n"/>
      <c r="Q15" s="195" t="n"/>
      <c r="R15" s="195" t="n"/>
      <c r="S15" s="195" t="n"/>
      <c r="T15" s="195" t="n"/>
      <c r="U15" s="195" t="n"/>
      <c r="V15" s="195" t="n"/>
      <c r="W15" s="775" t="n"/>
      <c r="X15" s="775" t="n"/>
      <c r="Y15" s="775" t="n"/>
      <c r="Z15" s="775" t="n"/>
      <c r="AA15" s="775" t="n"/>
      <c r="AB15" s="776" t="n"/>
      <c r="AC15" s="776" t="n"/>
      <c r="AD15" s="776" t="n"/>
      <c r="AE15" s="776" t="n"/>
      <c r="AF15" s="776" t="n"/>
      <c r="AG15" s="776" t="n"/>
      <c r="AH15" s="186" t="n"/>
      <c r="AI15" s="186" t="n"/>
      <c r="AJ15" s="186" t="n"/>
      <c r="AK15" s="186" t="n"/>
      <c r="AL15" s="194" t="n"/>
      <c r="AM15" s="194" t="n"/>
      <c r="AN15" s="194" t="n"/>
      <c r="AO15" s="194" t="n"/>
      <c r="AP15" s="194" t="n"/>
      <c r="AQ15" s="194" t="n"/>
      <c r="AR15" s="194" t="n"/>
      <c r="AS15" s="194" t="n"/>
      <c r="AT15" s="194" t="n"/>
      <c r="AU15" s="189" t="n"/>
    </row>
    <row r="16" hidden="1" ht="16.5" customFormat="1" customHeight="1" s="66">
      <c r="A16" s="81" t="n"/>
      <c r="B16" s="82" t="inlineStr">
        <is>
          <t>KL</t>
        </is>
      </c>
      <c r="C16" s="79" t="inlineStr">
        <is>
          <t>Nghỉ 01 ngày không lương</t>
        </is>
      </c>
      <c r="D16" s="80" t="n"/>
      <c r="E16" s="80" t="n"/>
      <c r="F16" s="80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5" t="n"/>
      <c r="P16" s="195" t="n"/>
      <c r="Q16" s="195" t="n"/>
      <c r="R16" s="195" t="n"/>
      <c r="S16" s="195" t="n"/>
      <c r="T16" s="195" t="n"/>
      <c r="U16" s="195" t="n"/>
      <c r="V16" s="195" t="n"/>
      <c r="W16" s="775" t="n"/>
      <c r="X16" s="775" t="n"/>
      <c r="Y16" s="775" t="n"/>
      <c r="Z16" s="775" t="n"/>
      <c r="AA16" s="775" t="n"/>
      <c r="AB16" s="776" t="n"/>
      <c r="AC16" s="776" t="n"/>
      <c r="AD16" s="776" t="n"/>
      <c r="AE16" s="776" t="n"/>
      <c r="AF16" s="776" t="n"/>
      <c r="AG16" s="776" t="n"/>
      <c r="AH16" s="186" t="n"/>
      <c r="AI16" s="186" t="n"/>
      <c r="AJ16" s="186" t="n"/>
      <c r="AK16" s="186" t="n"/>
      <c r="AL16" s="194" t="n"/>
      <c r="AM16" s="194" t="n"/>
      <c r="AN16" s="194" t="n"/>
      <c r="AO16" s="194" t="n"/>
      <c r="AP16" s="194" t="n"/>
      <c r="AQ16" s="194" t="n"/>
      <c r="AR16" s="194" t="n"/>
      <c r="AS16" s="194" t="n"/>
      <c r="AT16" s="194" t="n"/>
      <c r="AU16" s="189" t="n"/>
    </row>
    <row r="17" hidden="1" ht="8.25" customFormat="1" customHeight="1" s="66">
      <c r="A17" s="81" t="n"/>
      <c r="B17" s="82" t="inlineStr">
        <is>
          <t>1/2KL</t>
        </is>
      </c>
      <c r="C17" s="79" t="n"/>
      <c r="D17" s="80" t="n"/>
      <c r="E17" s="80" t="n"/>
      <c r="F17" s="80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775" t="n"/>
      <c r="X17" s="775" t="n"/>
      <c r="Y17" s="775" t="n"/>
      <c r="Z17" s="775" t="n"/>
      <c r="AA17" s="775" t="n"/>
      <c r="AB17" s="776" t="n"/>
      <c r="AC17" s="776" t="n"/>
      <c r="AD17" s="776" t="n"/>
      <c r="AE17" s="776" t="n"/>
      <c r="AF17" s="776" t="n"/>
      <c r="AG17" s="776" t="n"/>
      <c r="AH17" s="186" t="n"/>
      <c r="AI17" s="186" t="n"/>
      <c r="AJ17" s="186" t="n"/>
      <c r="AK17" s="186" t="n"/>
      <c r="AL17" s="194" t="n"/>
      <c r="AM17" s="194" t="n"/>
      <c r="AN17" s="194" t="n"/>
      <c r="AO17" s="194" t="n"/>
      <c r="AP17" s="194" t="n"/>
      <c r="AQ17" s="194" t="n"/>
      <c r="AR17" s="194" t="n"/>
      <c r="AS17" s="194" t="n"/>
      <c r="AT17" s="194" t="n"/>
      <c r="AU17" s="189" t="n"/>
    </row>
    <row r="18" ht="15.75" customFormat="1" customHeight="1" s="86" thickBot="1">
      <c r="A18" s="83" t="n"/>
      <c r="B18" s="83" t="n"/>
      <c r="C18" s="84">
        <f>B18+1</f>
        <v/>
      </c>
      <c r="D18" s="85" t="n"/>
      <c r="E18" s="83" t="n">
        <v>4</v>
      </c>
      <c r="F18" s="83">
        <f>E18+1</f>
        <v/>
      </c>
      <c r="G18" s="196" t="n">
        <v>6</v>
      </c>
      <c r="H18" s="196">
        <f>G18+1</f>
        <v/>
      </c>
      <c r="I18" s="196">
        <f>H18+1</f>
        <v/>
      </c>
      <c r="J18" s="196" t="n"/>
      <c r="K18" s="196" t="n"/>
      <c r="L18" s="196" t="n"/>
      <c r="M18" s="196" t="n"/>
      <c r="N18" s="196">
        <f>I18+1</f>
        <v/>
      </c>
      <c r="O18" s="196">
        <f>N18+1</f>
        <v/>
      </c>
      <c r="P18" s="196">
        <f>O18+1</f>
        <v/>
      </c>
      <c r="Q18" s="196">
        <f>P18+1</f>
        <v/>
      </c>
      <c r="R18" s="196">
        <f>Q18+1</f>
        <v/>
      </c>
      <c r="S18" s="196">
        <f>R18+1</f>
        <v/>
      </c>
      <c r="T18" s="196">
        <f>S18+1</f>
        <v/>
      </c>
      <c r="U18" s="196">
        <f>T18+1</f>
        <v/>
      </c>
      <c r="V18" s="196">
        <f>U18+1</f>
        <v/>
      </c>
      <c r="W18" s="196">
        <f>V18+1</f>
        <v/>
      </c>
      <c r="X18" s="196">
        <f>W18+1</f>
        <v/>
      </c>
      <c r="Y18" s="196">
        <f>X18+1</f>
        <v/>
      </c>
      <c r="Z18" s="196">
        <f>Y18+1</f>
        <v/>
      </c>
      <c r="AA18" s="196">
        <f>Z18+1</f>
        <v/>
      </c>
      <c r="AB18" s="196">
        <f>AA18+1</f>
        <v/>
      </c>
      <c r="AC18" s="196">
        <f>AB18+1</f>
        <v/>
      </c>
      <c r="AD18" s="196">
        <f>AC18+1</f>
        <v/>
      </c>
      <c r="AE18" s="196">
        <f>AD18+1</f>
        <v/>
      </c>
      <c r="AF18" s="196">
        <f>AE18+1</f>
        <v/>
      </c>
      <c r="AG18" s="196">
        <f>AF18+1</f>
        <v/>
      </c>
      <c r="AH18" s="196">
        <f>#REF!+1</f>
        <v/>
      </c>
      <c r="AI18" s="196">
        <f>AH18+1</f>
        <v/>
      </c>
      <c r="AJ18" s="196">
        <f>AI18+1</f>
        <v/>
      </c>
      <c r="AK18" s="197">
        <f>AJ18+1</f>
        <v/>
      </c>
      <c r="AL18" s="197">
        <f>AK18+1</f>
        <v/>
      </c>
      <c r="AM18" s="197">
        <f>AL18+1</f>
        <v/>
      </c>
      <c r="AN18" s="197">
        <f>AM18+1</f>
        <v/>
      </c>
      <c r="AO18" s="197">
        <f>AN18+1</f>
        <v/>
      </c>
      <c r="AP18" s="197">
        <f>AO18+1</f>
        <v/>
      </c>
      <c r="AQ18" s="197">
        <f>AP18+1</f>
        <v/>
      </c>
      <c r="AR18" s="197">
        <f>AQ18+1</f>
        <v/>
      </c>
      <c r="AS18" s="197">
        <f>AR18+1</f>
        <v/>
      </c>
      <c r="AT18" s="197">
        <f>AS18+1</f>
        <v/>
      </c>
      <c r="AU18" s="197" t="n"/>
    </row>
    <row r="19" ht="21.75" customFormat="1" customHeight="1" s="87">
      <c r="A19" s="646" t="inlineStr">
        <is>
          <t>TT</t>
        </is>
      </c>
      <c r="B19" s="644" t="inlineStr">
        <is>
          <t>Division</t>
        </is>
      </c>
      <c r="C19" s="779" t="inlineStr">
        <is>
          <t>CODE VN</t>
        </is>
      </c>
      <c r="D19" s="644" t="inlineStr">
        <is>
          <t>Full Name</t>
        </is>
      </c>
      <c r="E19" s="644" t="inlineStr">
        <is>
          <t>Bộ Phận</t>
        </is>
      </c>
      <c r="F19" s="644" t="inlineStr">
        <is>
          <t>Joinging date</t>
        </is>
      </c>
      <c r="G19" s="654" t="n">
        <v>45444</v>
      </c>
      <c r="H19" s="780" t="n"/>
      <c r="I19" s="781" t="n">
        <v>45689</v>
      </c>
      <c r="J19" s="746" t="n"/>
      <c r="K19" s="746" t="n"/>
      <c r="L19" s="746" t="n"/>
      <c r="M19" s="746" t="n"/>
      <c r="N19" s="746" t="n"/>
      <c r="O19" s="746" t="n"/>
      <c r="P19" s="746" t="n"/>
      <c r="Q19" s="746" t="n"/>
      <c r="R19" s="746" t="n"/>
      <c r="S19" s="746" t="n"/>
      <c r="T19" s="746" t="n"/>
      <c r="U19" s="746" t="n"/>
      <c r="V19" s="746" t="n"/>
      <c r="W19" s="746" t="n"/>
      <c r="X19" s="746" t="n"/>
      <c r="Y19" s="746" t="n"/>
      <c r="Z19" s="746" t="n"/>
      <c r="AA19" s="746" t="n"/>
      <c r="AB19" s="746" t="n"/>
      <c r="AC19" s="746" t="n"/>
      <c r="AD19" s="746" t="n"/>
      <c r="AE19" s="746" t="n"/>
      <c r="AF19" s="746" t="n"/>
      <c r="AG19" s="747" t="n"/>
      <c r="AH19" s="270" t="n"/>
      <c r="AI19" s="270" t="n"/>
      <c r="AJ19" s="271" t="n"/>
      <c r="AK19" s="634" t="inlineStr">
        <is>
          <t>Tổng ngày Off</t>
        </is>
      </c>
      <c r="AL19" s="634" t="inlineStr">
        <is>
          <t>Total days/month</t>
        </is>
      </c>
      <c r="AM19" s="634" t="inlineStr">
        <is>
          <t>Nghỉ hưởng lương
 (Nghỉ Phép/ Nghỉ Bù/ Nghỉ chế độ/ Nghỉ Lễ)</t>
        </is>
      </c>
      <c r="AN19" s="634" t="inlineStr">
        <is>
          <t>Tổng ngày nghỉ có lương</t>
        </is>
      </c>
      <c r="AO19" s="634" t="inlineStr">
        <is>
          <t>Tổng ngày nghỉ không lương</t>
        </is>
      </c>
      <c r="AP19" s="634" t="inlineStr">
        <is>
          <t>Holiday</t>
        </is>
      </c>
      <c r="AQ19" s="634" t="inlineStr">
        <is>
          <t>Compensation</t>
        </is>
      </c>
      <c r="AR19" s="634" t="inlineStr">
        <is>
          <t>OT
Sunday</t>
        </is>
      </c>
      <c r="AS19" s="634" t="inlineStr">
        <is>
          <t>OT
Holiday</t>
        </is>
      </c>
      <c r="AT19" s="634" t="inlineStr">
        <is>
          <t xml:space="preserve">Ngày đi làm thực tế </t>
        </is>
      </c>
      <c r="AU19" s="636" t="inlineStr">
        <is>
          <t xml:space="preserve">NGÀY CÔNG TÍNH LƯƠNG </t>
        </is>
      </c>
    </row>
    <row r="20" ht="33.75" customFormat="1" customHeight="1" s="88">
      <c r="A20" s="782" t="n"/>
      <c r="B20" s="756" t="n"/>
      <c r="C20" s="751" t="n"/>
      <c r="D20" s="751" t="n"/>
      <c r="E20" s="751" t="n"/>
      <c r="F20" s="751" t="n"/>
      <c r="G20" s="783" t="n">
        <v>45411</v>
      </c>
      <c r="H20" s="783" t="n">
        <v>45412</v>
      </c>
      <c r="I20" s="784" t="n">
        <v>45566</v>
      </c>
      <c r="J20" s="784" t="n">
        <v>45567</v>
      </c>
      <c r="K20" s="784" t="n">
        <v>45568</v>
      </c>
      <c r="L20" s="784" t="n">
        <v>45569</v>
      </c>
      <c r="M20" s="784" t="n">
        <v>45570</v>
      </c>
      <c r="N20" s="784" t="n">
        <v>45571</v>
      </c>
      <c r="O20" s="784" t="n">
        <v>45572</v>
      </c>
      <c r="P20" s="784" t="n">
        <v>45573</v>
      </c>
      <c r="Q20" s="784" t="n">
        <v>45574</v>
      </c>
      <c r="R20" s="784" t="n">
        <v>45575</v>
      </c>
      <c r="S20" s="784" t="n">
        <v>45576</v>
      </c>
      <c r="T20" s="784" t="n">
        <v>45577</v>
      </c>
      <c r="U20" s="784" t="n">
        <v>45578</v>
      </c>
      <c r="V20" s="784" t="n">
        <v>45579</v>
      </c>
      <c r="W20" s="784" t="n">
        <v>45580</v>
      </c>
      <c r="X20" s="784" t="n">
        <v>45581</v>
      </c>
      <c r="Y20" s="784" t="n">
        <v>45582</v>
      </c>
      <c r="Z20" s="784" t="n">
        <v>45583</v>
      </c>
      <c r="AA20" s="784" t="n">
        <v>45584</v>
      </c>
      <c r="AB20" s="784" t="n">
        <v>45585</v>
      </c>
      <c r="AC20" s="784" t="n">
        <v>45586</v>
      </c>
      <c r="AD20" s="784" t="n">
        <v>45587</v>
      </c>
      <c r="AE20" s="784" t="n">
        <v>45588</v>
      </c>
      <c r="AF20" s="784" t="n">
        <v>45589</v>
      </c>
      <c r="AG20" s="784" t="n">
        <v>45590</v>
      </c>
      <c r="AH20" s="784">
        <f>1+AG20</f>
        <v/>
      </c>
      <c r="AI20" s="784">
        <f>1+AH20</f>
        <v/>
      </c>
      <c r="AJ20" s="783" t="n"/>
      <c r="AK20" s="751" t="n"/>
      <c r="AL20" s="756" t="n"/>
      <c r="AM20" s="751" t="n"/>
      <c r="AN20" s="756" t="n"/>
      <c r="AO20" s="756" t="n"/>
      <c r="AP20" s="756" t="n"/>
      <c r="AQ20" s="756" t="n"/>
      <c r="AR20" s="756" t="n"/>
      <c r="AS20" s="756" t="n"/>
      <c r="AT20" s="751" t="n"/>
      <c r="AU20" s="785" t="n"/>
    </row>
    <row r="21" ht="27" customFormat="1" customHeight="1" s="88">
      <c r="A21" s="786" t="n"/>
      <c r="B21" s="176" t="n"/>
      <c r="C21" s="756" t="n"/>
      <c r="D21" s="756" t="n"/>
      <c r="E21" s="756" t="n"/>
      <c r="F21" s="756" t="n"/>
      <c r="G21" s="177" t="inlineStr">
        <is>
          <t>Sun</t>
        </is>
      </c>
      <c r="H21" s="177" t="inlineStr">
        <is>
          <t>Mon</t>
        </is>
      </c>
      <c r="I21" s="177" t="inlineStr">
        <is>
          <t>Tue</t>
        </is>
      </c>
      <c r="J21" s="177" t="inlineStr">
        <is>
          <t>Wed</t>
        </is>
      </c>
      <c r="K21" s="177" t="inlineStr">
        <is>
          <t>Thu</t>
        </is>
      </c>
      <c r="L21" s="177" t="inlineStr">
        <is>
          <t>Fri</t>
        </is>
      </c>
      <c r="M21" s="177" t="inlineStr">
        <is>
          <t>Sat</t>
        </is>
      </c>
      <c r="N21" s="177" t="inlineStr">
        <is>
          <t>Sun</t>
        </is>
      </c>
      <c r="O21" s="177" t="inlineStr">
        <is>
          <t>Mon</t>
        </is>
      </c>
      <c r="P21" s="177" t="inlineStr">
        <is>
          <t>Tue</t>
        </is>
      </c>
      <c r="Q21" s="177" t="inlineStr">
        <is>
          <t>Wed</t>
        </is>
      </c>
      <c r="R21" s="177" t="inlineStr">
        <is>
          <t>Thu</t>
        </is>
      </c>
      <c r="S21" s="177" t="inlineStr">
        <is>
          <t>Fri</t>
        </is>
      </c>
      <c r="T21" s="177" t="inlineStr">
        <is>
          <t>Sat</t>
        </is>
      </c>
      <c r="U21" s="177" t="inlineStr">
        <is>
          <t>Sun</t>
        </is>
      </c>
      <c r="V21" s="177" t="inlineStr">
        <is>
          <t>Mon</t>
        </is>
      </c>
      <c r="W21" s="177" t="inlineStr">
        <is>
          <t>Tue</t>
        </is>
      </c>
      <c r="X21" s="177" t="inlineStr">
        <is>
          <t>Wed</t>
        </is>
      </c>
      <c r="Y21" s="177" t="inlineStr">
        <is>
          <t>Thu</t>
        </is>
      </c>
      <c r="Z21" s="177" t="inlineStr">
        <is>
          <t>Fri</t>
        </is>
      </c>
      <c r="AA21" s="177" t="inlineStr">
        <is>
          <t>Sat</t>
        </is>
      </c>
      <c r="AB21" s="177" t="inlineStr">
        <is>
          <t>Sun</t>
        </is>
      </c>
      <c r="AC21" s="177" t="inlineStr">
        <is>
          <t>Mon</t>
        </is>
      </c>
      <c r="AD21" s="177" t="inlineStr">
        <is>
          <t>Tue</t>
        </is>
      </c>
      <c r="AE21" s="177" t="inlineStr">
        <is>
          <t>Wed</t>
        </is>
      </c>
      <c r="AF21" s="177" t="inlineStr">
        <is>
          <t>Thu</t>
        </is>
      </c>
      <c r="AG21" s="177" t="inlineStr">
        <is>
          <t>Fri</t>
        </is>
      </c>
      <c r="AH21" s="177" t="inlineStr">
        <is>
          <t>Mon</t>
        </is>
      </c>
      <c r="AI21" s="177" t="inlineStr">
        <is>
          <t>Mon</t>
        </is>
      </c>
      <c r="AJ21" s="177" t="inlineStr">
        <is>
          <t>Sat</t>
        </is>
      </c>
      <c r="AK21" s="756" t="n"/>
      <c r="AL21" s="645" t="n"/>
      <c r="AM21" s="756" t="n"/>
      <c r="AN21" s="178" t="n"/>
      <c r="AO21" s="178" t="n"/>
      <c r="AP21" s="645" t="n"/>
      <c r="AQ21" s="645" t="n"/>
      <c r="AR21" s="645" t="n"/>
      <c r="AS21" s="645" t="n"/>
      <c r="AT21" s="756" t="n"/>
      <c r="AU21" s="787" t="n"/>
    </row>
    <row r="22" ht="23.25" customFormat="1" customHeight="1" s="72">
      <c r="A22" s="179" t="n">
        <v>1</v>
      </c>
      <c r="B22" s="158" t="n"/>
      <c r="C22" s="430" t="inlineStr">
        <is>
          <t>PVT2500115</t>
        </is>
      </c>
      <c r="D22" s="484" t="inlineStr">
        <is>
          <t>Nguyễn Văn Quân</t>
        </is>
      </c>
      <c r="E22" s="324" t="n"/>
      <c r="F22" s="324" t="n">
        <v>45740</v>
      </c>
      <c r="G22" s="332" t="inlineStr">
        <is>
          <t>GV - PP. Center</t>
        </is>
      </c>
      <c r="H22" s="332" t="inlineStr">
        <is>
          <t>Staff</t>
        </is>
      </c>
      <c r="I22" s="519" t="n"/>
      <c r="J22" s="519" t="n"/>
      <c r="K22" s="519" t="n"/>
      <c r="L22" s="519" t="n"/>
      <c r="M22" s="519" t="n"/>
      <c r="N22" s="519" t="n"/>
      <c r="O22" s="519" t="n"/>
      <c r="P22" s="519" t="n"/>
      <c r="Q22" s="519" t="n"/>
      <c r="R22" s="519" t="n"/>
      <c r="S22" s="519" t="n"/>
      <c r="T22" s="519" t="n"/>
      <c r="U22" s="519" t="n"/>
      <c r="V22" s="519" t="n"/>
      <c r="W22" s="519" t="n"/>
      <c r="X22" s="519" t="n"/>
      <c r="Y22" s="519" t="n"/>
      <c r="Z22" s="519" t="n"/>
      <c r="AA22" s="519" t="n"/>
      <c r="AB22" s="519" t="n"/>
      <c r="AC22" s="518" t="n"/>
      <c r="AD22" s="520" t="n"/>
      <c r="AE22" s="520" t="n"/>
      <c r="AF22" s="319" t="inlineStr">
        <is>
          <t>X</t>
        </is>
      </c>
      <c r="AG22" s="319" t="inlineStr">
        <is>
          <t>X</t>
        </is>
      </c>
      <c r="AH22" s="206" t="n"/>
      <c r="AI22" s="206" t="n"/>
      <c r="AJ22" s="199" t="n"/>
      <c r="AK22" s="788">
        <f>COUNTIF(G22:AJ22,"OFF")</f>
        <v/>
      </c>
      <c r="AL22" s="789">
        <f>COUNTA(G22:AJ22)</f>
        <v/>
      </c>
      <c r="AM22" s="788">
        <f>COUNTIF(G22:AJ22,$AL$1)+(COUNTIF(G22:AJ22,$AL$2)/2)</f>
        <v/>
      </c>
      <c r="AN22" s="789">
        <f>COUNTIF(G22:AJ22,$AR$1)+(COUNTIF(G22:AJ22,$AR$2)/2)</f>
        <v/>
      </c>
      <c r="AO22" s="789">
        <f>COUNTIF(G22:AJ22,$AS$1)+(COUNTIF(G22:AJ22,$AS$2)/2)+COUNTIF(G22:AJ22,$AS$3)</f>
        <v/>
      </c>
      <c r="AP22" s="789">
        <f>COUNTIF(G22:AJ22,$AN$1)</f>
        <v/>
      </c>
      <c r="AQ22" s="789">
        <f>COUNTIF(G22:AJ22,$AO$1)+(COUNTIF(G22:AJ22,$AO$2)/2)</f>
        <v/>
      </c>
      <c r="AR22" s="789">
        <f>COUNTIF(G22:AJ22,$AP$1)+(COUNTIF(G22:AJ22,$AP$2)/2)</f>
        <v/>
      </c>
      <c r="AS22" s="789">
        <f>COUNTIF(G22:AJ22,$AQ$1)+(COUNTIF(G22:AJ22,$AQ$2)/2)</f>
        <v/>
      </c>
      <c r="AT22" s="788">
        <f>COUNTIF(G22:AG22,"X")</f>
        <v/>
      </c>
      <c r="AU22" s="790">
        <f>IF(OR(AT22=26,AT22=26),26,AT22)</f>
        <v/>
      </c>
    </row>
    <row r="23" ht="23.25" customFormat="1" customHeight="1" s="72">
      <c r="A23" s="278" t="n">
        <v>2</v>
      </c>
      <c r="B23" s="279" t="n"/>
      <c r="C23" s="430" t="inlineStr">
        <is>
          <t>PVT2500118</t>
        </is>
      </c>
      <c r="D23" s="484" t="inlineStr">
        <is>
          <t>Ngô Văn Tuấn</t>
        </is>
      </c>
      <c r="E23" s="413" t="n"/>
      <c r="F23" s="325" t="n">
        <v>45738</v>
      </c>
      <c r="G23" s="333" t="inlineStr">
        <is>
          <t>GV - PP. Center</t>
        </is>
      </c>
      <c r="H23" s="333" t="inlineStr">
        <is>
          <t>Staff</t>
        </is>
      </c>
      <c r="I23" s="518" t="n"/>
      <c r="J23" s="518" t="n"/>
      <c r="K23" s="518" t="n"/>
      <c r="L23" s="518" t="n"/>
      <c r="M23" s="518" t="n"/>
      <c r="N23" s="518" t="n"/>
      <c r="O23" s="518" t="n"/>
      <c r="P23" s="518" t="n"/>
      <c r="Q23" s="518" t="n"/>
      <c r="R23" s="518" t="n"/>
      <c r="S23" s="518" t="n"/>
      <c r="T23" s="518" t="n"/>
      <c r="U23" s="518" t="n"/>
      <c r="V23" s="518" t="n"/>
      <c r="W23" s="518" t="n"/>
      <c r="X23" s="518" t="n"/>
      <c r="Y23" s="518" t="n"/>
      <c r="Z23" s="518" t="n"/>
      <c r="AA23" s="518" t="n"/>
      <c r="AB23" s="518" t="n"/>
      <c r="AC23" s="518" t="n"/>
      <c r="AD23" s="319" t="inlineStr">
        <is>
          <t>X</t>
        </is>
      </c>
      <c r="AE23" s="319" t="inlineStr">
        <is>
          <t>X</t>
        </is>
      </c>
      <c r="AF23" s="319" t="inlineStr">
        <is>
          <t>X</t>
        </is>
      </c>
      <c r="AG23" s="319" t="inlineStr">
        <is>
          <t>X</t>
        </is>
      </c>
      <c r="AH23" s="281" t="n"/>
      <c r="AI23" s="281" t="n"/>
      <c r="AJ23" s="280" t="n"/>
      <c r="AK23" s="788">
        <f>COUNTIF(G23:AJ23,"OFF")</f>
        <v/>
      </c>
      <c r="AL23" s="789">
        <f>COUNTA(G23:AJ23)</f>
        <v/>
      </c>
      <c r="AM23" s="788">
        <f>COUNTIF(G23:AJ23,$AL$1)+(COUNTIF(G23:AJ23,$AL$2)/2)</f>
        <v/>
      </c>
      <c r="AN23" s="789">
        <f>COUNTIF(G23:AJ23,$AR$1)+(COUNTIF(G23:AJ23,$AR$2)/2)</f>
        <v/>
      </c>
      <c r="AO23" s="789">
        <f>COUNTIF(G23:AJ23,$AS$1)+(COUNTIF(G23:AJ23,$AS$2)/2)+COUNTIF(G23:AJ23,$AS$3)</f>
        <v/>
      </c>
      <c r="AP23" s="789">
        <f>COUNTIF(G23:AJ23,$AN$1)</f>
        <v/>
      </c>
      <c r="AQ23" s="789">
        <f>COUNTIF(G23:AJ23,$AO$1)+(COUNTIF(G23:AJ23,$AO$2)/2)</f>
        <v/>
      </c>
      <c r="AR23" s="789">
        <f>COUNTIF(G23:AJ23,$AP$1)+(COUNTIF(G23:AJ23,$AP$2)/2)</f>
        <v/>
      </c>
      <c r="AS23" s="789">
        <f>COUNTIF(G23:AJ23,$AQ$1)+(COUNTIF(G23:AJ23,$AQ$2)/2)</f>
        <v/>
      </c>
      <c r="AT23" s="788">
        <f>COUNTIF(G23:AG23,"X")</f>
        <v/>
      </c>
      <c r="AU23" s="790">
        <f>IF(OR(AT23=26,AT23=26),26,AT23)</f>
        <v/>
      </c>
      <c r="AX23" s="72">
        <f>VLOOKUP(C23,[20]Timetable_T03!$B$9:$AS$19,44,0)</f>
        <v/>
      </c>
    </row>
    <row r="24" ht="23.25" customFormat="1" customHeight="1" s="72">
      <c r="A24" s="179">
        <f>ROW()-21</f>
        <v/>
      </c>
      <c r="B24" s="264" t="n"/>
      <c r="C24" s="261" t="n"/>
      <c r="D24" s="159" t="n"/>
      <c r="E24" s="326" t="n"/>
      <c r="F24" s="326" t="n"/>
      <c r="G24" s="331" t="n"/>
      <c r="H24" s="331" t="n"/>
      <c r="I24" s="399" t="n"/>
      <c r="J24" s="400" t="n"/>
      <c r="K24" s="400" t="n"/>
      <c r="L24" s="400" t="n"/>
      <c r="M24" s="400" t="n"/>
      <c r="N24" s="400" t="n"/>
      <c r="O24" s="400" t="n"/>
      <c r="P24" s="400" t="n"/>
      <c r="Q24" s="400" t="n"/>
      <c r="R24" s="400" t="n"/>
      <c r="S24" s="400" t="n"/>
      <c r="T24" s="400" t="n"/>
      <c r="U24" s="400" t="n"/>
      <c r="V24" s="400" t="n"/>
      <c r="W24" s="400" t="n"/>
      <c r="X24" s="400" t="n"/>
      <c r="Y24" s="400" t="n"/>
      <c r="Z24" s="400" t="n"/>
      <c r="AA24" s="400" t="n"/>
      <c r="AB24" s="400" t="n"/>
      <c r="AC24" s="401" t="n"/>
      <c r="AD24" s="401" t="n"/>
      <c r="AE24" s="401" t="n"/>
      <c r="AF24" s="401" t="n"/>
      <c r="AG24" s="401" t="n"/>
      <c r="AH24" s="266" t="n"/>
      <c r="AI24" s="266" t="n"/>
      <c r="AJ24" s="265" t="n"/>
      <c r="AK24" s="788">
        <f>COUNTIF(G24:AJ24,"OFF")</f>
        <v/>
      </c>
      <c r="AL24" s="789">
        <f>COUNTA(G24:AJ24)</f>
        <v/>
      </c>
      <c r="AM24" s="788">
        <f>COUNTIF(G24:AJ24,$AL$1)+(COUNTIF(G24:AJ24,$AL$2)/2)</f>
        <v/>
      </c>
      <c r="AN24" s="789">
        <f>COUNTIF(G24:AJ24,$AR$1)+(COUNTIF(G24:AJ24,$AR$2)/2)</f>
        <v/>
      </c>
      <c r="AO24" s="789">
        <f>COUNTIF(G24:AJ24,$AS$1)+(COUNTIF(G24:AJ24,$AS$2)/2)+COUNTIF(G24:AJ24,$AS$3)</f>
        <v/>
      </c>
      <c r="AP24" s="789">
        <f>COUNTIF(G24:AJ24,$AN$1)</f>
        <v/>
      </c>
      <c r="AQ24" s="789">
        <f>COUNTIF(G24:AJ24,$AO$1)+(COUNTIF(G24:AJ24,$AO$2)/2)</f>
        <v/>
      </c>
      <c r="AR24" s="789">
        <f>COUNTIF(G24:AJ24,$AP$1)+(COUNTIF(G24:AJ24,$AP$2)/2)</f>
        <v/>
      </c>
      <c r="AS24" s="789">
        <f>COUNTIF(G24:AJ24,$AQ$1)+(COUNTIF(G24:AJ24,$AQ$2)/2)</f>
        <v/>
      </c>
      <c r="AT24" s="788">
        <f>COUNTIF(G24:AG24,"X")</f>
        <v/>
      </c>
      <c r="AU24" s="790">
        <f>IF(OR(AT24=26,AT24=26),26,AT24)</f>
        <v/>
      </c>
      <c r="AX24" s="72">
        <f>VLOOKUP(C24,[20]Timetable_T03!$B$9:$AS$19,44,0)</f>
        <v/>
      </c>
    </row>
    <row r="25" hidden="1" ht="23.25" customFormat="1" customHeight="1" s="72">
      <c r="A25" s="179">
        <f>ROW()-21</f>
        <v/>
      </c>
      <c r="B25" s="264" t="n"/>
      <c r="C25" s="261" t="n"/>
      <c r="D25" s="159" t="n"/>
      <c r="E25" s="326" t="n"/>
      <c r="F25" s="326" t="n"/>
      <c r="G25" s="331" t="n"/>
      <c r="H25" s="331" t="n"/>
      <c r="I25" s="399" t="n"/>
      <c r="J25" s="400" t="n"/>
      <c r="K25" s="402" t="n"/>
      <c r="L25" s="402" t="n"/>
      <c r="M25" s="400" t="n"/>
      <c r="N25" s="399" t="n"/>
      <c r="O25" s="399" t="n"/>
      <c r="P25" s="399" t="n"/>
      <c r="Q25" s="399" t="n"/>
      <c r="R25" s="399" t="n"/>
      <c r="S25" s="399" t="n"/>
      <c r="T25" s="399" t="n"/>
      <c r="U25" s="399" t="n"/>
      <c r="V25" s="399" t="n"/>
      <c r="W25" s="399" t="n"/>
      <c r="X25" s="399" t="n"/>
      <c r="Y25" s="399" t="n"/>
      <c r="Z25" s="399" t="n"/>
      <c r="AA25" s="399" t="n"/>
      <c r="AB25" s="399" t="n"/>
      <c r="AC25" s="401" t="n"/>
      <c r="AD25" s="401" t="n"/>
      <c r="AE25" s="401" t="n"/>
      <c r="AF25" s="401" t="n"/>
      <c r="AG25" s="401" t="n"/>
      <c r="AH25" s="266" t="n"/>
      <c r="AI25" s="266" t="n"/>
      <c r="AJ25" s="265" t="n"/>
      <c r="AK25" s="788">
        <f>COUNTIF(G25:AJ25,"OFF")</f>
        <v/>
      </c>
      <c r="AL25" s="789">
        <f>COUNTA(G25:AJ25)</f>
        <v/>
      </c>
      <c r="AM25" s="788">
        <f>COUNTIF(G25:AJ25,$AL$1)+(COUNTIF(G25:AJ25,$AL$2)/2)</f>
        <v/>
      </c>
      <c r="AN25" s="789">
        <f>COUNTIF(G25:AJ25,$AR$1)+(COUNTIF(G25:AJ25,$AR$2)/2)</f>
        <v/>
      </c>
      <c r="AO25" s="789">
        <f>COUNTIF(G25:AJ25,$AS$1)+(COUNTIF(G25:AJ25,$AS$2)/2)+COUNTIF(G25:AJ25,$AS$3)</f>
        <v/>
      </c>
      <c r="AP25" s="789">
        <f>COUNTIF(G25:AJ25,$AN$1)</f>
        <v/>
      </c>
      <c r="AQ25" s="789">
        <f>COUNTIF(G25:AJ25,$AO$1)+(COUNTIF(G25:AJ25,$AO$2)/2)</f>
        <v/>
      </c>
      <c r="AR25" s="789">
        <f>COUNTIF(G25:AJ25,$AP$1)+(COUNTIF(G25:AJ25,$AP$2)/2)</f>
        <v/>
      </c>
      <c r="AS25" s="789">
        <f>COUNTIF(G25:AJ25,$AQ$1)+(COUNTIF(G25:AJ25,$AQ$2)/2)</f>
        <v/>
      </c>
      <c r="AT25" s="788">
        <f>COUNTIF(G25:AG25,"X")</f>
        <v/>
      </c>
      <c r="AU25" s="790">
        <f>IF(OR(AT25=26,AT25=26),26,AT25)</f>
        <v/>
      </c>
    </row>
    <row r="26" hidden="1" ht="23.25" customFormat="1" customHeight="1" s="72">
      <c r="A26" s="179">
        <f>ROW()-21</f>
        <v/>
      </c>
      <c r="B26" s="356" t="n"/>
      <c r="C26" s="357" t="n"/>
      <c r="D26" s="358" t="n"/>
      <c r="E26" s="362" t="n"/>
      <c r="F26" s="362" t="n"/>
      <c r="G26" s="359" t="n"/>
      <c r="H26" s="359" t="n"/>
      <c r="I26" s="403" t="n"/>
      <c r="J26" s="400" t="n"/>
      <c r="K26" s="404" t="n"/>
      <c r="L26" s="404" t="n"/>
      <c r="M26" s="403" t="n"/>
      <c r="N26" s="403" t="n"/>
      <c r="O26" s="403" t="n"/>
      <c r="P26" s="403" t="n"/>
      <c r="Q26" s="403" t="n"/>
      <c r="R26" s="403" t="n"/>
      <c r="S26" s="403" t="n"/>
      <c r="T26" s="403" t="n"/>
      <c r="U26" s="403" t="n"/>
      <c r="V26" s="403" t="n"/>
      <c r="W26" s="403" t="n"/>
      <c r="X26" s="403" t="n"/>
      <c r="Y26" s="403" t="n"/>
      <c r="Z26" s="403" t="n"/>
      <c r="AA26" s="403" t="n"/>
      <c r="AB26" s="403" t="n"/>
      <c r="AC26" s="401" t="n"/>
      <c r="AD26" s="401" t="n"/>
      <c r="AE26" s="401" t="n"/>
      <c r="AF26" s="401" t="n"/>
      <c r="AG26" s="401" t="n"/>
      <c r="AH26" s="360" t="n"/>
      <c r="AI26" s="360" t="n"/>
      <c r="AJ26" s="361" t="n"/>
      <c r="AK26" s="788">
        <f>COUNTIF(G26:AJ26,"OFF")</f>
        <v/>
      </c>
      <c r="AL26" s="789">
        <f>COUNTA(G26:AJ26)</f>
        <v/>
      </c>
      <c r="AM26" s="788">
        <f>COUNTIF(G26:AJ26,$AL$1)+(COUNTIF(G26:AJ26,$AL$2)/2)</f>
        <v/>
      </c>
      <c r="AN26" s="789">
        <f>COUNTIF(G26:AJ26,$AR$1)+(COUNTIF(G26:AJ26,$AR$2)/2)</f>
        <v/>
      </c>
      <c r="AO26" s="789">
        <f>COUNTIF(G26:AJ26,$AS$1)+(COUNTIF(G26:AJ26,$AS$2)/2)+COUNTIF(G26:AJ26,$AS$3)</f>
        <v/>
      </c>
      <c r="AP26" s="789">
        <f>COUNTIF(G26:AJ26,$AN$1)</f>
        <v/>
      </c>
      <c r="AQ26" s="789">
        <f>COUNTIF(G26:AJ26,$AO$1)+(COUNTIF(G26:AJ26,$AO$2)/2)</f>
        <v/>
      </c>
      <c r="AR26" s="789">
        <f>COUNTIF(G26:AJ26,$AP$1)+(COUNTIF(G26:AJ26,$AP$2)/2)</f>
        <v/>
      </c>
      <c r="AS26" s="789">
        <f>COUNTIF(G26:AJ26,$AQ$1)+(COUNTIF(G26:AJ26,$AQ$2)/2)</f>
        <v/>
      </c>
      <c r="AT26" s="788">
        <f>COUNTIF(G26:AG26,"X")</f>
        <v/>
      </c>
      <c r="AU26" s="790">
        <f>IF(OR(AT26=26,AT26=26),26,AT26)</f>
        <v/>
      </c>
    </row>
    <row r="27" hidden="1" ht="23.25" customFormat="1" customHeight="1" s="72">
      <c r="A27" s="179">
        <f>ROW()-21</f>
        <v/>
      </c>
      <c r="B27" s="356" t="n"/>
      <c r="C27" s="357" t="n"/>
      <c r="D27" s="358" t="n"/>
      <c r="E27" s="362" t="n"/>
      <c r="F27" s="362" t="n"/>
      <c r="G27" s="359" t="n"/>
      <c r="H27" s="359" t="n"/>
      <c r="I27" s="403" t="n"/>
      <c r="J27" s="400" t="n"/>
      <c r="K27" s="404" t="n"/>
      <c r="L27" s="404" t="n"/>
      <c r="M27" s="403" t="n"/>
      <c r="N27" s="403" t="n"/>
      <c r="O27" s="403" t="n"/>
      <c r="P27" s="403" t="n"/>
      <c r="Q27" s="403" t="n"/>
      <c r="R27" s="403" t="n"/>
      <c r="S27" s="403" t="n"/>
      <c r="T27" s="403" t="n"/>
      <c r="U27" s="403" t="n"/>
      <c r="V27" s="403" t="n"/>
      <c r="W27" s="403" t="n"/>
      <c r="X27" s="403" t="n"/>
      <c r="Y27" s="403" t="n"/>
      <c r="Z27" s="403" t="n"/>
      <c r="AA27" s="403" t="n"/>
      <c r="AB27" s="403" t="n"/>
      <c r="AC27" s="401" t="n"/>
      <c r="AD27" s="401" t="n"/>
      <c r="AE27" s="401" t="n"/>
      <c r="AF27" s="401" t="n"/>
      <c r="AG27" s="401" t="n"/>
      <c r="AH27" s="360" t="n"/>
      <c r="AI27" s="360" t="n"/>
      <c r="AJ27" s="361" t="n"/>
      <c r="AK27" s="788">
        <f>COUNTIF(G27:AJ27,"OFF")</f>
        <v/>
      </c>
      <c r="AL27" s="789">
        <f>COUNTA(G27:AJ27)</f>
        <v/>
      </c>
      <c r="AM27" s="788">
        <f>COUNTIF(G27:AJ27,$AL$1)+(COUNTIF(G27:AJ27,$AL$2)/2)</f>
        <v/>
      </c>
      <c r="AN27" s="789">
        <f>COUNTIF(G27:AJ27,$AR$1)+(COUNTIF(G27:AJ27,$AR$2)/2)</f>
        <v/>
      </c>
      <c r="AO27" s="789">
        <f>COUNTIF(G27:AJ27,$AS$1)+(COUNTIF(G27:AJ27,$AS$2)/2)+COUNTIF(G27:AJ27,$AS$3)</f>
        <v/>
      </c>
      <c r="AP27" s="789">
        <f>COUNTIF(G27:AJ27,$AN$1)</f>
        <v/>
      </c>
      <c r="AQ27" s="789">
        <f>COUNTIF(G27:AJ27,$AO$1)+(COUNTIF(G27:AJ27,$AO$2)/2)</f>
        <v/>
      </c>
      <c r="AR27" s="789">
        <f>COUNTIF(G27:AJ27,$AP$1)+(COUNTIF(G27:AJ27,$AP$2)/2)</f>
        <v/>
      </c>
      <c r="AS27" s="789">
        <f>COUNTIF(G27:AJ27,$AQ$1)+(COUNTIF(G27:AJ27,$AQ$2)/2)</f>
        <v/>
      </c>
      <c r="AT27" s="788">
        <f>COUNTIF(G27:AG27,"X")</f>
        <v/>
      </c>
      <c r="AU27" s="790">
        <f>IF(OR(AT27=26,AT27=26),26,AT27)</f>
        <v/>
      </c>
    </row>
    <row r="28" hidden="1" ht="24" customFormat="1" customHeight="1" s="72">
      <c r="A28" s="179">
        <f>ROW()-21</f>
        <v/>
      </c>
      <c r="B28" s="158" t="n"/>
      <c r="C28" s="261" t="n"/>
      <c r="D28" s="159" t="n"/>
      <c r="E28" s="324" t="n"/>
      <c r="F28" s="324" t="n"/>
      <c r="G28" s="331" t="n"/>
      <c r="H28" s="331" t="n"/>
      <c r="I28" s="399" t="n"/>
      <c r="J28" s="400" t="n"/>
      <c r="K28" s="402" t="n"/>
      <c r="L28" s="402" t="n"/>
      <c r="M28" s="400" t="n"/>
      <c r="N28" s="399" t="n"/>
      <c r="O28" s="399" t="n"/>
      <c r="P28" s="399" t="n"/>
      <c r="Q28" s="399" t="n"/>
      <c r="R28" s="399" t="n"/>
      <c r="S28" s="399" t="n"/>
      <c r="T28" s="399" t="n"/>
      <c r="U28" s="399" t="n"/>
      <c r="V28" s="399" t="n"/>
      <c r="W28" s="399" t="n"/>
      <c r="X28" s="399" t="n"/>
      <c r="Y28" s="399" t="n"/>
      <c r="Z28" s="399" t="n"/>
      <c r="AA28" s="399" t="n"/>
      <c r="AB28" s="399" t="n"/>
      <c r="AC28" s="401" t="n"/>
      <c r="AD28" s="401" t="n"/>
      <c r="AE28" s="401" t="n"/>
      <c r="AF28" s="401" t="n"/>
      <c r="AG28" s="401" t="n"/>
      <c r="AH28" s="206" t="n"/>
      <c r="AI28" s="206" t="n"/>
      <c r="AJ28" s="199" t="n"/>
      <c r="AK28" s="788">
        <f>COUNTIF(G28:AJ28,"OFF")</f>
        <v/>
      </c>
      <c r="AL28" s="789">
        <f>COUNTA(G28:AJ28)</f>
        <v/>
      </c>
      <c r="AM28" s="788">
        <f>COUNTIF(G28:AJ28,$AL$1)+(COUNTIF(G28:AJ28,$AL$2)/2)</f>
        <v/>
      </c>
      <c r="AN28" s="789">
        <f>COUNTIF(G28:AJ28,$AR$1)+(COUNTIF(G28:AJ28,$AR$2)/2)</f>
        <v/>
      </c>
      <c r="AO28" s="789">
        <f>COUNTIF(G28:AJ28,$AS$1)+(COUNTIF(G28:AJ28,$AS$2)/2)+COUNTIF(G28:AJ28,$AS$3)</f>
        <v/>
      </c>
      <c r="AP28" s="789">
        <f>COUNTIF(G28:AJ28,$AN$1)</f>
        <v/>
      </c>
      <c r="AQ28" s="789">
        <f>COUNTIF(G28:AJ28,$AO$1)+(COUNTIF(G28:AJ28,$AO$2)/2)</f>
        <v/>
      </c>
      <c r="AR28" s="789">
        <f>COUNTIF(G28:AJ28,$AP$1)+(COUNTIF(G28:AJ28,$AP$2)/2)</f>
        <v/>
      </c>
      <c r="AS28" s="789">
        <f>COUNTIF(G28:AJ28,$AQ$1)+(COUNTIF(G28:AJ28,$AQ$2)/2)</f>
        <v/>
      </c>
      <c r="AT28" s="788">
        <f>COUNTIF(G28:AG28,"X")</f>
        <v/>
      </c>
      <c r="AU28" s="790">
        <f>IF(OR(AT28=26,AT28=26),26,AT28)</f>
        <v/>
      </c>
    </row>
    <row r="29" hidden="1" ht="22.5" customFormat="1" customHeight="1" s="72">
      <c r="A29" s="179">
        <f>ROW()-21</f>
        <v/>
      </c>
      <c r="B29" s="158" t="n"/>
      <c r="C29" s="261" t="n"/>
      <c r="D29" s="159" t="n"/>
      <c r="E29" s="324" t="n"/>
      <c r="F29" s="324" t="n"/>
      <c r="G29" s="160" t="n"/>
      <c r="H29" s="160" t="n"/>
      <c r="I29" s="400" t="n"/>
      <c r="J29" s="400" t="n"/>
      <c r="K29" s="400" t="n"/>
      <c r="L29" s="400" t="n"/>
      <c r="M29" s="400" t="n"/>
      <c r="N29" s="400" t="n"/>
      <c r="O29" s="400" t="n"/>
      <c r="P29" s="400" t="n"/>
      <c r="Q29" s="400" t="n"/>
      <c r="R29" s="400" t="n"/>
      <c r="S29" s="400" t="n"/>
      <c r="T29" s="400" t="n"/>
      <c r="U29" s="400" t="n"/>
      <c r="V29" s="400" t="n"/>
      <c r="W29" s="400" t="n"/>
      <c r="X29" s="400" t="n"/>
      <c r="Y29" s="400" t="n"/>
      <c r="Z29" s="400" t="n"/>
      <c r="AA29" s="400" t="n"/>
      <c r="AB29" s="400" t="n"/>
      <c r="AC29" s="401" t="n"/>
      <c r="AD29" s="401" t="n"/>
      <c r="AE29" s="401" t="n"/>
      <c r="AF29" s="401" t="n"/>
      <c r="AG29" s="401" t="n"/>
      <c r="AH29" s="342" t="inlineStr">
        <is>
          <t>X</t>
        </is>
      </c>
      <c r="AI29" s="160" t="n"/>
      <c r="AJ29" s="160" t="n"/>
      <c r="AK29" s="788">
        <f>COUNTIF(G29:AJ29,"OFF")</f>
        <v/>
      </c>
      <c r="AL29" s="789">
        <f>COUNTA(G29:AJ29)</f>
        <v/>
      </c>
      <c r="AM29" s="788">
        <f>COUNTIF(G29:AJ29,$AL$1)+(COUNTIF(G29:AJ29,$AL$2)/2)</f>
        <v/>
      </c>
      <c r="AN29" s="789">
        <f>COUNTIF(G29:AJ29,$AR$1)+(COUNTIF(G29:AJ29,$AR$2)/2)</f>
        <v/>
      </c>
      <c r="AO29" s="789">
        <f>COUNTIF(G29:AJ29,$AS$1)+(COUNTIF(G29:AJ29,$AS$2)/2)+COUNTIF(G29:AJ29,$AS$3)</f>
        <v/>
      </c>
      <c r="AP29" s="789">
        <f>COUNTIF(G29:AJ29,$AN$1)</f>
        <v/>
      </c>
      <c r="AQ29" s="789">
        <f>COUNTIF(G29:AJ29,$AO$1)+(COUNTIF(G29:AJ29,$AO$2)/2)</f>
        <v/>
      </c>
      <c r="AR29" s="789">
        <f>COUNTIF(G29:AJ29,$AP$1)+(COUNTIF(G29:AJ29,$AP$2)/2)</f>
        <v/>
      </c>
      <c r="AS29" s="789">
        <f>COUNTIF(G29:AJ29,$AQ$1)+(COUNTIF(G29:AJ29,$AQ$2)/2)</f>
        <v/>
      </c>
      <c r="AT29" s="788">
        <f>COUNTIF(G29:AG29,"X")</f>
        <v/>
      </c>
      <c r="AU29" s="790">
        <f>IF(OR(AT29=26,AT29=26),26,AT29)</f>
        <v/>
      </c>
    </row>
    <row r="30" ht="32.25" customHeight="1" thickBot="1">
      <c r="A30" s="791" t="inlineStr">
        <is>
          <t>Total</t>
        </is>
      </c>
      <c r="B30" s="792" t="n"/>
      <c r="C30" s="792" t="n"/>
      <c r="D30" s="792" t="n"/>
      <c r="E30" s="793" t="n"/>
      <c r="F30" s="794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795">
        <f>SUM(AK22:AK29)</f>
        <v/>
      </c>
      <c r="AL30" s="795">
        <f>SUM(AL22:AL29)</f>
        <v/>
      </c>
      <c r="AM30" s="795">
        <f>SUM(AM22:AM29)</f>
        <v/>
      </c>
      <c r="AN30" s="795">
        <f>SUM(AN22:AN29)</f>
        <v/>
      </c>
      <c r="AO30" s="795">
        <f>SUM(AO22:AO29)</f>
        <v/>
      </c>
      <c r="AP30" s="795">
        <f>SUM(AP22:AP29)</f>
        <v/>
      </c>
      <c r="AQ30" s="795">
        <f>SUM(AQ22:AQ29)</f>
        <v/>
      </c>
      <c r="AR30" s="795">
        <f>SUM(AR22:AR29)</f>
        <v/>
      </c>
      <c r="AS30" s="795">
        <f>SUM(AS22:AS29)</f>
        <v/>
      </c>
      <c r="AT30" s="795">
        <f>SUM(AT22:AT29)</f>
        <v/>
      </c>
      <c r="AU30" s="795">
        <f>SUM(AU22:AU29)</f>
        <v/>
      </c>
      <c r="AV30" s="796">
        <f>SUM(AV29:AV29)</f>
        <v/>
      </c>
    </row>
    <row r="34" ht="28.5" customHeight="1">
      <c r="C34" s="367" t="inlineStr">
        <is>
          <t>Quy định ký hiệu chấm công</t>
        </is>
      </c>
      <c r="D34" s="364" t="n"/>
      <c r="E34" s="364" t="n"/>
      <c r="F34" s="364" t="n"/>
      <c r="G34" s="365" t="n"/>
      <c r="H34" s="364" t="n"/>
      <c r="I34" s="494" t="n"/>
      <c r="J34" s="364" t="n"/>
      <c r="K34" s="364" t="n"/>
      <c r="L34" s="106" t="n"/>
      <c r="M34" s="106" t="n"/>
      <c r="N34" s="116" t="n"/>
      <c r="O34" s="116" t="n"/>
      <c r="P34" s="116" t="n"/>
      <c r="Q34" s="106" t="n"/>
      <c r="R34" s="106" t="n"/>
      <c r="S34" s="106" t="n"/>
      <c r="T34" s="247" t="n"/>
      <c r="U34" s="106" t="n"/>
      <c r="V34" s="106" t="n"/>
      <c r="W34" s="106" t="n"/>
      <c r="X34" s="112" t="n"/>
      <c r="Y34" s="106" t="n"/>
      <c r="Z34" s="106" t="n"/>
      <c r="AA34" s="106" t="n"/>
      <c r="AB34" s="106" t="n"/>
      <c r="AC34" s="106" t="n"/>
      <c r="AD34" s="106" t="n"/>
      <c r="AE34" s="106" t="n"/>
      <c r="AF34" s="106" t="n"/>
      <c r="AG34" s="106" t="n"/>
      <c r="AH34" s="106" t="n"/>
      <c r="AI34" s="106" t="n"/>
      <c r="AJ34" s="106" t="n"/>
      <c r="AK34" s="106" t="n"/>
      <c r="AL34" s="106" t="n"/>
      <c r="AM34" s="106" t="n"/>
      <c r="AN34" s="329" t="n"/>
      <c r="AR34" s="729" t="n"/>
      <c r="AU34" s="113" t="n"/>
      <c r="AV34" s="113" t="n"/>
      <c r="AW34" s="113" t="n"/>
      <c r="AX34" s="113" t="n"/>
      <c r="AY34" s="41" t="n"/>
    </row>
    <row r="35" ht="21" customHeight="1">
      <c r="C35" s="366" t="inlineStr">
        <is>
          <t>X</t>
        </is>
      </c>
      <c r="D35" s="368" t="inlineStr">
        <is>
          <t>Đi làm 01 ngày</t>
        </is>
      </c>
      <c r="E35" s="369" t="n"/>
      <c r="F35" s="369" t="n"/>
      <c r="G35" s="369" t="n"/>
      <c r="H35" s="369" t="n"/>
      <c r="I35" s="495" t="n"/>
      <c r="J35" s="369" t="n"/>
      <c r="K35" s="370" t="n"/>
      <c r="L35" s="106" t="n"/>
      <c r="M35" s="106" t="n"/>
      <c r="N35" s="116" t="n"/>
      <c r="O35" s="116" t="n"/>
      <c r="P35" s="116" t="n"/>
      <c r="Q35" s="106" t="n"/>
      <c r="R35" s="106" t="n"/>
      <c r="S35" s="106" t="n"/>
      <c r="T35" s="247" t="n"/>
      <c r="U35" s="106" t="n"/>
      <c r="V35" s="106" t="n"/>
      <c r="W35" s="106" t="n"/>
      <c r="X35" s="112" t="n"/>
      <c r="Y35" s="106" t="n"/>
      <c r="Z35" s="106" t="n"/>
      <c r="AA35" s="106" t="n"/>
      <c r="AB35" s="106" t="n"/>
      <c r="AC35" s="106" t="n"/>
      <c r="AD35" s="106" t="n"/>
      <c r="AE35" s="106" t="n"/>
      <c r="AF35" s="106" t="n"/>
      <c r="AG35" s="106" t="n"/>
      <c r="AH35" s="106" t="n"/>
      <c r="AI35" s="106" t="n"/>
      <c r="AJ35" s="106" t="n"/>
      <c r="AK35" s="106" t="n"/>
      <c r="AL35" s="106" t="n"/>
      <c r="AM35" s="106" t="n"/>
      <c r="AN35" s="329" t="n"/>
      <c r="AR35" s="729" t="n"/>
      <c r="AU35" s="113" t="n"/>
      <c r="AV35" s="113" t="n"/>
      <c r="AW35" s="113" t="n"/>
      <c r="AX35" s="113" t="n"/>
      <c r="AY35" s="41" t="n"/>
    </row>
    <row r="36" ht="21" customHeight="1">
      <c r="C36" s="366" t="inlineStr">
        <is>
          <t>HL</t>
        </is>
      </c>
      <c r="D36" s="368" t="inlineStr">
        <is>
          <t>Nghĩ Lễ, Tết</t>
        </is>
      </c>
      <c r="E36" s="369" t="n"/>
      <c r="F36" s="369" t="n"/>
      <c r="G36" s="369" t="n"/>
      <c r="H36" s="369" t="n"/>
      <c r="I36" s="495" t="n"/>
      <c r="J36" s="369" t="n"/>
      <c r="K36" s="370" t="n"/>
      <c r="L36" s="106" t="n"/>
      <c r="M36" s="106" t="n"/>
      <c r="N36" s="116" t="n"/>
      <c r="O36" s="116" t="n"/>
      <c r="P36" s="116" t="n"/>
      <c r="Q36" s="106" t="n"/>
      <c r="R36" s="106" t="n"/>
      <c r="S36" s="106" t="n"/>
      <c r="T36" s="106" t="n"/>
      <c r="U36" s="106" t="n"/>
      <c r="V36" s="106" t="n"/>
      <c r="W36" s="106" t="n"/>
      <c r="X36" s="112" t="n"/>
      <c r="Y36" s="106" t="n"/>
      <c r="Z36" s="106" t="n"/>
      <c r="AA36" s="106" t="n"/>
      <c r="AB36" s="106" t="n"/>
      <c r="AC36" s="106" t="n"/>
      <c r="AD36" s="106" t="n"/>
      <c r="AE36" s="106" t="n"/>
      <c r="AF36" s="106" t="n"/>
      <c r="AG36" s="106" t="n"/>
      <c r="AH36" s="106" t="n"/>
      <c r="AI36" s="106" t="n"/>
      <c r="AJ36" s="106" t="n"/>
      <c r="AK36" s="106" t="n"/>
      <c r="AL36" s="106" t="n"/>
      <c r="AM36" s="106" t="n"/>
      <c r="AN36" s="329" t="n"/>
      <c r="AR36" s="729" t="n"/>
      <c r="AU36" s="113" t="n"/>
      <c r="AV36" s="113" t="n"/>
      <c r="AW36" s="113" t="n"/>
      <c r="AX36" s="113" t="n"/>
      <c r="AY36" s="41" t="n"/>
    </row>
    <row r="37" ht="21" customHeight="1">
      <c r="C37" s="366" t="inlineStr">
        <is>
          <t>OFF</t>
        </is>
      </c>
      <c r="D37" s="368" t="inlineStr">
        <is>
          <t>Nghỉ 1 ngày OFFca hàng tuần</t>
        </is>
      </c>
      <c r="E37" s="369" t="n"/>
      <c r="F37" s="369" t="n"/>
      <c r="G37" s="369" t="n"/>
      <c r="H37" s="369" t="n"/>
      <c r="I37" s="495" t="n"/>
      <c r="J37" s="369" t="n"/>
      <c r="K37" s="370" t="n"/>
      <c r="L37" s="106" t="n"/>
      <c r="M37" s="106" t="n"/>
      <c r="N37" s="116" t="n"/>
      <c r="O37" s="116" t="n"/>
      <c r="P37" s="116" t="n"/>
      <c r="Q37" s="106" t="n"/>
      <c r="R37" s="106" t="n"/>
      <c r="S37" s="106" t="n"/>
      <c r="T37" s="106" t="n"/>
      <c r="U37" s="106" t="n"/>
      <c r="V37" s="106" t="n"/>
      <c r="W37" s="106" t="n"/>
      <c r="X37" s="112" t="n"/>
      <c r="Y37" s="106" t="n"/>
      <c r="Z37" s="106" t="n"/>
      <c r="AA37" s="106" t="n"/>
      <c r="AB37" s="106" t="n"/>
      <c r="AC37" s="106" t="n"/>
      <c r="AD37" s="106" t="n"/>
      <c r="AE37" s="106" t="n"/>
      <c r="AF37" s="106" t="n"/>
      <c r="AG37" s="106" t="n"/>
      <c r="AH37" s="106" t="n"/>
      <c r="AI37" s="106" t="n"/>
      <c r="AJ37" s="106" t="n"/>
      <c r="AK37" s="106" t="n"/>
      <c r="AL37" s="106" t="n"/>
      <c r="AM37" s="106" t="n"/>
      <c r="AN37" s="330" t="n"/>
      <c r="AR37" s="729" t="n"/>
      <c r="AU37" s="113" t="n"/>
      <c r="AV37" s="113" t="n"/>
      <c r="AW37" s="113" t="n"/>
      <c r="AX37" s="113" t="n"/>
      <c r="AY37" s="41" t="n"/>
    </row>
    <row r="38" ht="21" customHeight="1">
      <c r="C38" s="366" t="inlineStr">
        <is>
          <t>AL</t>
        </is>
      </c>
      <c r="D38" s="368" t="inlineStr">
        <is>
          <t xml:space="preserve"> Annual Leave/ Nghỉ phép năm 01 ngày</t>
        </is>
      </c>
      <c r="E38" s="369" t="n"/>
      <c r="F38" s="369" t="n"/>
      <c r="G38" s="369" t="n"/>
      <c r="H38" s="369" t="n"/>
      <c r="I38" s="495" t="n"/>
      <c r="J38" s="369" t="n"/>
      <c r="K38" s="370" t="n"/>
      <c r="L38" s="106" t="n"/>
      <c r="M38" s="106" t="n"/>
      <c r="N38" s="116" t="n"/>
      <c r="O38" s="116" t="n"/>
      <c r="P38" s="116" t="n"/>
      <c r="Q38" s="106" t="n"/>
      <c r="R38" s="106" t="n"/>
      <c r="S38" s="106" t="n"/>
      <c r="T38" s="106" t="n"/>
      <c r="U38" s="106" t="n"/>
      <c r="V38" s="106" t="n"/>
      <c r="W38" s="106" t="n"/>
      <c r="X38" s="112" t="n"/>
      <c r="Y38" s="106" t="n"/>
      <c r="Z38" s="106" t="n"/>
      <c r="AA38" s="106" t="n"/>
      <c r="AB38" s="106" t="n"/>
      <c r="AC38" s="106" t="n"/>
      <c r="AD38" s="106" t="n"/>
      <c r="AE38" s="106" t="n"/>
      <c r="AF38" s="106" t="n"/>
      <c r="AG38" s="106" t="n"/>
      <c r="AH38" s="106" t="n"/>
      <c r="AI38" s="106" t="n"/>
      <c r="AJ38" s="106" t="n"/>
      <c r="AK38" s="106" t="n"/>
      <c r="AL38" s="106" t="n"/>
      <c r="AM38" s="106" t="n"/>
      <c r="AN38" s="329" t="n"/>
      <c r="AR38" s="729" t="n"/>
      <c r="AU38" s="113" t="n"/>
      <c r="AV38" s="113" t="n"/>
      <c r="AW38" s="113" t="n"/>
      <c r="AX38" s="113" t="n"/>
      <c r="AY38" s="41" t="n"/>
    </row>
    <row r="39" ht="21" customHeight="1">
      <c r="C39" s="366" t="inlineStr">
        <is>
          <t>1/2AL</t>
        </is>
      </c>
      <c r="D39" s="368" t="inlineStr">
        <is>
          <t>1/2 Annual Leave/ Nghỉ phép năm 1/2 ngày + Đi làm 1/2 ngày</t>
        </is>
      </c>
      <c r="E39" s="369" t="n"/>
      <c r="F39" s="369" t="n"/>
      <c r="G39" s="369" t="n"/>
      <c r="H39" s="369" t="n"/>
      <c r="I39" s="495" t="n"/>
      <c r="J39" s="369" t="n"/>
      <c r="K39" s="370" t="n"/>
      <c r="L39" s="106" t="n"/>
      <c r="M39" s="106" t="n"/>
      <c r="N39" s="116" t="n"/>
      <c r="O39" s="116" t="n"/>
      <c r="P39" s="116" t="n"/>
      <c r="Q39" s="106" t="n"/>
      <c r="R39" s="106" t="n"/>
      <c r="S39" s="106" t="n"/>
      <c r="T39" s="106" t="n"/>
      <c r="U39" s="106" t="n"/>
      <c r="V39" s="106" t="n"/>
      <c r="W39" s="106" t="n"/>
      <c r="X39" s="112" t="n"/>
      <c r="Y39" s="106" t="n"/>
      <c r="Z39" s="106" t="n"/>
      <c r="AA39" s="106" t="n"/>
      <c r="AB39" s="106" t="n"/>
      <c r="AC39" s="106" t="n"/>
      <c r="AD39" s="106" t="n"/>
      <c r="AE39" s="106" t="n"/>
      <c r="AF39" s="106" t="n"/>
      <c r="AG39" s="106" t="n"/>
      <c r="AH39" s="106" t="n"/>
      <c r="AI39" s="106" t="n"/>
      <c r="AJ39" s="106" t="n"/>
      <c r="AK39" s="106" t="n"/>
      <c r="AL39" s="106" t="n"/>
      <c r="AM39" s="106" t="n"/>
      <c r="AN39" s="329" t="n"/>
      <c r="AR39" s="729" t="n"/>
      <c r="AU39" s="113" t="n"/>
      <c r="AV39" s="113" t="n"/>
      <c r="AW39" s="113" t="n"/>
      <c r="AX39" s="113" t="n"/>
      <c r="AY39" s="41" t="n"/>
    </row>
    <row r="40" ht="21" customHeight="1">
      <c r="C40" s="366" t="inlineStr">
        <is>
          <t>FP</t>
        </is>
      </c>
      <c r="D40" s="368" t="inlineStr">
        <is>
          <t>Full paid leave for personal affairs/Nghỉ việc riêng có hưởng lương 01 ngày (kết hôn, tang chế...)</t>
        </is>
      </c>
      <c r="E40" s="369" t="n"/>
      <c r="F40" s="369" t="n"/>
      <c r="G40" s="369" t="n"/>
      <c r="H40" s="369" t="n"/>
      <c r="I40" s="495" t="n"/>
      <c r="J40" s="369" t="n"/>
      <c r="K40" s="370" t="n"/>
      <c r="L40" s="106" t="n"/>
      <c r="M40" s="106" t="n"/>
      <c r="N40" s="116" t="n"/>
      <c r="O40" s="116" t="n"/>
      <c r="P40" s="116" t="n"/>
      <c r="Q40" s="106" t="n"/>
      <c r="R40" s="106" t="n"/>
      <c r="S40" s="106" t="n"/>
      <c r="T40" s="106" t="n"/>
      <c r="U40" s="106" t="n"/>
      <c r="V40" s="106" t="n"/>
      <c r="W40" s="106" t="n"/>
      <c r="X40" s="112" t="n"/>
      <c r="Y40" s="106" t="n"/>
      <c r="Z40" s="106" t="n"/>
      <c r="AA40" s="106" t="n"/>
      <c r="AB40" s="106" t="n"/>
      <c r="AC40" s="106" t="n"/>
      <c r="AD40" s="106" t="n"/>
      <c r="AE40" s="106" t="n"/>
      <c r="AF40" s="106" t="n"/>
      <c r="AG40" s="106" t="n"/>
      <c r="AH40" s="106" t="n"/>
      <c r="AI40" s="106" t="n"/>
      <c r="AJ40" s="106" t="n"/>
      <c r="AK40" s="106" t="n"/>
      <c r="AL40" s="106" t="n"/>
      <c r="AM40" s="106" t="n"/>
      <c r="AN40" s="329" t="n"/>
      <c r="AR40" s="729" t="n"/>
      <c r="AU40" s="113" t="n"/>
      <c r="AV40" s="113" t="n"/>
      <c r="AW40" s="113" t="n"/>
      <c r="AX40" s="113" t="n"/>
      <c r="AY40" s="41" t="n"/>
    </row>
    <row r="41" ht="21" customHeight="1">
      <c r="C41" s="366" t="inlineStr">
        <is>
          <t>UP</t>
        </is>
      </c>
      <c r="D41" s="368" t="inlineStr">
        <is>
          <t>Unpaid leave/ Nghỉ việc riêng không hưởng lương 01 ngày</t>
        </is>
      </c>
      <c r="E41" s="369" t="n"/>
      <c r="F41" s="369" t="n"/>
      <c r="G41" s="369" t="n"/>
      <c r="H41" s="369" t="n"/>
      <c r="I41" s="495" t="n"/>
      <c r="J41" s="369" t="n"/>
      <c r="K41" s="370" t="n"/>
      <c r="L41" s="106" t="n"/>
      <c r="M41" s="106" t="n"/>
      <c r="N41" s="116" t="n"/>
      <c r="O41" s="116" t="n"/>
      <c r="P41" s="116" t="n"/>
      <c r="Q41" s="106" t="n"/>
      <c r="R41" s="106" t="n"/>
      <c r="S41" s="106" t="n"/>
      <c r="T41" s="106" t="n"/>
      <c r="U41" s="106" t="n"/>
      <c r="V41" s="106" t="n"/>
      <c r="W41" s="106" t="n"/>
      <c r="X41" s="112" t="n"/>
      <c r="Y41" s="106" t="n"/>
      <c r="Z41" s="106" t="n"/>
      <c r="AA41" s="106" t="n"/>
      <c r="AB41" s="106" t="n"/>
      <c r="AC41" s="106" t="n"/>
      <c r="AD41" s="106" t="n"/>
      <c r="AE41" s="106" t="n"/>
      <c r="AF41" s="106" t="n"/>
      <c r="AG41" s="106" t="n"/>
      <c r="AH41" s="106" t="n"/>
      <c r="AI41" s="106" t="n"/>
      <c r="AJ41" s="106" t="n"/>
      <c r="AK41" s="106" t="n"/>
      <c r="AL41" s="106" t="n"/>
      <c r="AM41" s="106" t="n"/>
      <c r="AN41" s="330" t="n"/>
      <c r="AR41" s="729" t="n"/>
      <c r="AU41" s="113" t="n"/>
      <c r="AV41" s="113" t="n"/>
      <c r="AW41" s="113" t="n"/>
      <c r="AX41" s="113" t="n"/>
      <c r="AY41" s="41" t="n"/>
    </row>
    <row r="42" ht="21" customHeight="1">
      <c r="C42" s="366" t="inlineStr">
        <is>
          <t>1/2UP</t>
        </is>
      </c>
      <c r="D42" s="368" t="inlineStr">
        <is>
          <t>1/2 Unpaid leave/ Nghỉ việc không hưởng lương 1/2 ngày + Đi làm 1/2 ngày</t>
        </is>
      </c>
      <c r="E42" s="369" t="n"/>
      <c r="F42" s="369" t="n"/>
      <c r="G42" s="369" t="n"/>
      <c r="H42" s="369" t="n"/>
      <c r="I42" s="495" t="n"/>
      <c r="J42" s="369" t="n"/>
      <c r="K42" s="370" t="n"/>
      <c r="L42" s="106" t="n"/>
      <c r="M42" s="106" t="n"/>
      <c r="N42" s="116" t="n"/>
      <c r="O42" s="116" t="n"/>
      <c r="P42" s="116" t="n"/>
      <c r="Q42" s="106" t="n"/>
      <c r="R42" s="106" t="n"/>
      <c r="S42" s="106" t="n"/>
      <c r="T42" s="106" t="n"/>
      <c r="U42" s="106" t="n"/>
      <c r="V42" s="106" t="n"/>
      <c r="W42" s="106" t="n"/>
      <c r="X42" s="112" t="n"/>
      <c r="Y42" s="106" t="n"/>
      <c r="Z42" s="106" t="n"/>
      <c r="AA42" s="106" t="n"/>
      <c r="AB42" s="106" t="n"/>
      <c r="AC42" s="106" t="n"/>
      <c r="AD42" s="106" t="n"/>
      <c r="AE42" s="106" t="n"/>
      <c r="AF42" s="106" t="n"/>
      <c r="AG42" s="106" t="n"/>
      <c r="AH42" s="106" t="n"/>
      <c r="AI42" s="106" t="n"/>
      <c r="AJ42" s="106" t="n"/>
      <c r="AK42" s="106" t="n"/>
      <c r="AL42" s="106" t="n"/>
      <c r="AM42" s="106" t="n"/>
      <c r="AN42" s="329" t="n"/>
      <c r="AR42" s="729" t="n"/>
      <c r="AU42" s="113" t="n"/>
      <c r="AV42" s="113" t="n"/>
      <c r="AW42" s="113" t="n"/>
      <c r="AX42" s="113" t="n"/>
      <c r="AY42" s="41" t="n"/>
    </row>
    <row r="43" ht="21" customHeight="1">
      <c r="C43" s="366" t="inlineStr">
        <is>
          <t>SL1</t>
        </is>
      </c>
      <c r="D43" s="368" t="inlineStr">
        <is>
          <t>Sick leave / Nghỉ bệnh (hưởng BHXH)</t>
        </is>
      </c>
      <c r="E43" s="369" t="n"/>
      <c r="F43" s="369" t="n"/>
      <c r="G43" s="369" t="n"/>
      <c r="H43" s="369" t="n"/>
      <c r="I43" s="495" t="n"/>
      <c r="J43" s="369" t="n"/>
      <c r="K43" s="370" t="n"/>
      <c r="L43" s="106" t="n"/>
      <c r="M43" s="106" t="n"/>
      <c r="N43" s="116" t="n"/>
      <c r="O43" s="116" t="n"/>
      <c r="P43" s="116" t="n"/>
      <c r="Q43" s="106" t="n"/>
      <c r="R43" s="106" t="n"/>
      <c r="S43" s="106" t="n"/>
      <c r="T43" s="106" t="n"/>
      <c r="U43" s="106" t="n"/>
      <c r="V43" s="106" t="n"/>
      <c r="W43" s="106" t="n"/>
      <c r="X43" s="112" t="n"/>
      <c r="Y43" s="106" t="n"/>
      <c r="Z43" s="106" t="n"/>
      <c r="AA43" s="106" t="n"/>
      <c r="AB43" s="106" t="n"/>
      <c r="AC43" s="106" t="n"/>
      <c r="AD43" s="106" t="n"/>
      <c r="AE43" s="106" t="n"/>
      <c r="AF43" s="106" t="n"/>
      <c r="AG43" s="106" t="n"/>
      <c r="AH43" s="106" t="n"/>
      <c r="AI43" s="106" t="n"/>
      <c r="AJ43" s="106" t="n"/>
      <c r="AK43" s="106" t="n"/>
      <c r="AL43" s="106" t="n"/>
      <c r="AM43" s="106" t="n"/>
      <c r="AN43" s="329" t="n"/>
      <c r="AR43" s="729" t="n"/>
      <c r="AU43" s="113" t="n"/>
      <c r="AV43" s="113" t="n"/>
      <c r="AW43" s="113" t="n"/>
      <c r="AX43" s="113" t="n"/>
      <c r="AY43" s="41" t="n"/>
    </row>
    <row r="44" ht="21" customHeight="1">
      <c r="C44" s="366" t="inlineStr">
        <is>
          <t>ML</t>
        </is>
      </c>
      <c r="D44" s="368" t="inlineStr">
        <is>
          <t>Maternity leave / Nghỉ thai sản</t>
        </is>
      </c>
      <c r="E44" s="369" t="n"/>
      <c r="F44" s="369" t="n"/>
      <c r="G44" s="369" t="n"/>
      <c r="H44" s="369" t="n"/>
      <c r="I44" s="495" t="n"/>
      <c r="J44" s="369" t="n"/>
      <c r="K44" s="370" t="n"/>
      <c r="L44" s="106" t="n"/>
      <c r="M44" s="106" t="n"/>
      <c r="N44" s="116" t="n"/>
      <c r="O44" s="116" t="n"/>
      <c r="P44" s="116" t="n"/>
      <c r="Q44" s="106" t="n"/>
      <c r="R44" s="106" t="n"/>
      <c r="S44" s="106" t="n"/>
      <c r="T44" s="106" t="n"/>
      <c r="U44" s="106" t="n"/>
      <c r="V44" s="106" t="n"/>
      <c r="W44" s="106" t="n"/>
      <c r="X44" s="112" t="n"/>
      <c r="Y44" s="106" t="n"/>
      <c r="Z44" s="106" t="n"/>
      <c r="AA44" s="106" t="n"/>
      <c r="AB44" s="106" t="n"/>
      <c r="AC44" s="106" t="n"/>
      <c r="AD44" s="106" t="n"/>
      <c r="AE44" s="106" t="n"/>
      <c r="AF44" s="106" t="n"/>
      <c r="AG44" s="106" t="n"/>
      <c r="AH44" s="106" t="n"/>
      <c r="AI44" s="106" t="n"/>
      <c r="AJ44" s="106" t="n"/>
      <c r="AK44" s="106" t="n"/>
      <c r="AL44" s="106" t="n"/>
      <c r="AM44" s="106" t="n"/>
      <c r="AN44" s="330" t="n"/>
      <c r="AR44" s="729" t="n"/>
      <c r="AU44" s="113" t="n"/>
      <c r="AV44" s="113" t="n"/>
      <c r="AW44" s="113" t="n"/>
      <c r="AX44" s="113" t="n"/>
      <c r="AY44" s="41" t="n"/>
    </row>
    <row r="45" ht="21" customHeight="1">
      <c r="C45" s="366" t="inlineStr">
        <is>
          <t>CC</t>
        </is>
      </c>
      <c r="D45" s="368" t="inlineStr">
        <is>
          <t>Children care leave / Nghỉ con ốm/ vợ sinh (hưởng BHXH)</t>
        </is>
      </c>
      <c r="E45" s="369" t="n"/>
      <c r="F45" s="369" t="n"/>
      <c r="G45" s="369" t="n"/>
      <c r="H45" s="369" t="n"/>
      <c r="I45" s="495" t="n"/>
      <c r="J45" s="369" t="n"/>
      <c r="K45" s="370" t="n"/>
      <c r="L45" s="106" t="n"/>
      <c r="M45" s="106" t="n"/>
      <c r="N45" s="116" t="n"/>
      <c r="O45" s="116" t="n"/>
      <c r="P45" s="116" t="n"/>
      <c r="Q45" s="106" t="n"/>
      <c r="R45" s="106" t="n"/>
      <c r="S45" s="106" t="n"/>
      <c r="T45" s="106" t="n"/>
      <c r="U45" s="106" t="n"/>
      <c r="V45" s="106" t="n"/>
      <c r="W45" s="106" t="n"/>
      <c r="X45" s="112" t="n"/>
      <c r="Y45" s="106" t="n"/>
      <c r="Z45" s="106" t="n"/>
      <c r="AA45" s="106" t="n"/>
      <c r="AB45" s="106" t="n"/>
      <c r="AC45" s="106" t="n"/>
      <c r="AD45" s="106" t="n"/>
      <c r="AE45" s="106" t="n"/>
      <c r="AF45" s="106" t="n"/>
      <c r="AG45" s="106" t="n"/>
      <c r="AH45" s="106" t="n"/>
      <c r="AI45" s="106" t="n"/>
      <c r="AJ45" s="106" t="n"/>
      <c r="AK45" s="106" t="n"/>
      <c r="AL45" s="106" t="n"/>
      <c r="AM45" s="106" t="n"/>
      <c r="AN45" s="329" t="n"/>
      <c r="AR45" s="729" t="n"/>
      <c r="AU45" s="113" t="n"/>
      <c r="AV45" s="113" t="n"/>
      <c r="AW45" s="113" t="n"/>
      <c r="AX45" s="113" t="n"/>
      <c r="AY45" s="41" t="n"/>
    </row>
    <row r="46" ht="22.5" customHeight="1">
      <c r="C46" s="366" t="inlineStr">
        <is>
          <t>LL</t>
        </is>
      </c>
      <c r="D46" s="368" t="inlineStr">
        <is>
          <t>Lactation leave/ Về sớm/đi trễ 1 tiếng/nghỉ 1 ngày sau 7 ngày làm việc</t>
        </is>
      </c>
      <c r="E46" s="369" t="n"/>
      <c r="F46" s="369" t="n"/>
      <c r="G46" s="369" t="n"/>
      <c r="H46" s="369" t="n"/>
      <c r="I46" s="495" t="n"/>
      <c r="J46" s="369" t="n"/>
      <c r="K46" s="370" t="n"/>
      <c r="L46" s="106" t="n"/>
      <c r="M46" s="106" t="n"/>
      <c r="N46" s="116" t="n"/>
      <c r="O46" s="116" t="n"/>
      <c r="P46" s="116" t="n"/>
      <c r="Q46" s="106" t="n"/>
      <c r="R46" s="106" t="n"/>
      <c r="S46" s="106" t="n"/>
      <c r="T46" s="106" t="n"/>
      <c r="U46" s="106" t="n"/>
      <c r="V46" s="106" t="n"/>
      <c r="W46" s="106" t="n"/>
      <c r="X46" s="112" t="n"/>
      <c r="Y46" s="106" t="n"/>
      <c r="Z46" s="106" t="n"/>
      <c r="AA46" s="106" t="n"/>
      <c r="AB46" s="106" t="n"/>
      <c r="AC46" s="106" t="n"/>
      <c r="AD46" s="106" t="n"/>
      <c r="AE46" s="106" t="n"/>
      <c r="AF46" s="106" t="n"/>
      <c r="AG46" s="106" t="n"/>
      <c r="AH46" s="106" t="n"/>
      <c r="AI46" s="106" t="n"/>
      <c r="AJ46" s="106" t="n"/>
      <c r="AK46" s="106" t="n"/>
      <c r="AL46" s="106" t="n"/>
      <c r="AM46" s="106" t="n"/>
      <c r="AN46" s="329" t="n"/>
      <c r="AR46" s="729" t="n"/>
      <c r="AU46" s="113" t="n"/>
      <c r="AV46" s="113" t="n"/>
      <c r="AW46" s="113" t="n"/>
      <c r="AX46" s="113" t="n"/>
      <c r="AY46" s="41" t="n"/>
    </row>
    <row r="47" ht="22.5" customHeight="1">
      <c r="C47" s="366" t="inlineStr">
        <is>
          <t>SL2</t>
        </is>
      </c>
      <c r="D47" s="368" t="inlineStr">
        <is>
          <t>Sabbatical leave /Nghỉ để đi học/nâng cao kiến thức, đi công tác</t>
        </is>
      </c>
      <c r="E47" s="369" t="n"/>
      <c r="F47" s="369" t="n"/>
      <c r="G47" s="369" t="n"/>
      <c r="H47" s="369" t="n"/>
      <c r="I47" s="495" t="n"/>
      <c r="J47" s="369" t="n"/>
      <c r="K47" s="370" t="n"/>
      <c r="L47" s="106" t="n"/>
      <c r="M47" s="106" t="n"/>
      <c r="N47" s="116" t="n"/>
      <c r="O47" s="116" t="n"/>
      <c r="P47" s="116" t="n"/>
      <c r="Q47" s="106" t="n"/>
      <c r="R47" s="106" t="n"/>
      <c r="S47" s="106" t="n"/>
      <c r="T47" s="106" t="n"/>
      <c r="U47" s="106" t="n"/>
      <c r="V47" s="106" t="n"/>
      <c r="W47" s="106" t="n"/>
      <c r="X47" s="112" t="n"/>
      <c r="Y47" s="106" t="n"/>
      <c r="Z47" s="106" t="n"/>
      <c r="AA47" s="106" t="n"/>
      <c r="AB47" s="106" t="n"/>
      <c r="AC47" s="106" t="n"/>
      <c r="AD47" s="106" t="n"/>
      <c r="AE47" s="106" t="n"/>
      <c r="AF47" s="106" t="n"/>
      <c r="AG47" s="106" t="n"/>
      <c r="AH47" s="106" t="n"/>
      <c r="AI47" s="106" t="n"/>
      <c r="AJ47" s="106" t="n"/>
      <c r="AK47" s="106" t="n"/>
      <c r="AL47" s="106" t="n"/>
      <c r="AM47" s="106" t="n"/>
      <c r="AN47" s="329" t="n"/>
      <c r="AR47" s="729" t="n"/>
      <c r="AU47" s="113" t="n"/>
      <c r="AV47" s="113" t="n"/>
      <c r="AW47" s="113" t="n"/>
      <c r="AX47" s="113" t="n"/>
      <c r="AY47" s="41" t="n"/>
    </row>
    <row r="48" ht="22.5" customHeight="1">
      <c r="C48" s="366" t="inlineStr">
        <is>
          <t>CL</t>
        </is>
      </c>
      <c r="D48" s="368" t="inlineStr">
        <is>
          <t>Compensation leave ( in-lieu day-off)/ Nghỉ bù 1 ngày</t>
        </is>
      </c>
      <c r="E48" s="369" t="n"/>
      <c r="F48" s="369" t="n"/>
      <c r="G48" s="369" t="n"/>
      <c r="H48" s="369" t="n"/>
      <c r="I48" s="495" t="n"/>
      <c r="J48" s="369" t="n"/>
      <c r="K48" s="370" t="n"/>
      <c r="L48" s="106" t="n"/>
      <c r="M48" s="106" t="n"/>
      <c r="N48" s="116" t="n"/>
      <c r="O48" s="116" t="n"/>
      <c r="P48" s="116" t="n"/>
      <c r="Q48" s="106" t="n"/>
      <c r="R48" s="106" t="n"/>
      <c r="S48" s="106" t="n"/>
      <c r="T48" s="106" t="n"/>
      <c r="U48" s="106" t="n"/>
      <c r="V48" s="106" t="n"/>
      <c r="W48" s="106" t="n"/>
      <c r="X48" s="112" t="n"/>
      <c r="Y48" s="106" t="n"/>
      <c r="Z48" s="106" t="n"/>
      <c r="AA48" s="106" t="n"/>
      <c r="AB48" s="106" t="n"/>
      <c r="AC48" s="106" t="n"/>
      <c r="AD48" s="106" t="n"/>
      <c r="AE48" s="106" t="n"/>
      <c r="AF48" s="106" t="n"/>
      <c r="AG48" s="106" t="n"/>
      <c r="AH48" s="106" t="n"/>
      <c r="AI48" s="106" t="n"/>
      <c r="AJ48" s="106" t="n"/>
      <c r="AK48" s="106" t="n"/>
      <c r="AL48" s="106" t="n"/>
      <c r="AM48" s="106" t="n"/>
      <c r="AN48" s="330" t="n"/>
      <c r="AR48" s="729" t="n"/>
      <c r="AU48" s="113" t="n"/>
      <c r="AV48" s="113" t="n"/>
      <c r="AW48" s="113" t="n"/>
      <c r="AX48" s="113" t="n"/>
      <c r="AY48" s="41" t="n"/>
    </row>
    <row r="49" ht="22.5" customHeight="1">
      <c r="C49" s="366" t="inlineStr">
        <is>
          <t>1/2CL</t>
        </is>
      </c>
      <c r="D49" s="368" t="inlineStr">
        <is>
          <t xml:space="preserve"> 1/2 Compensation leave ( in-lieu day-off)/ Nghỉ bù 1/2 ngày + Đi làm 1/2 ngày</t>
        </is>
      </c>
      <c r="E49" s="369" t="n"/>
      <c r="F49" s="369" t="n"/>
      <c r="G49" s="369" t="n"/>
      <c r="H49" s="369" t="n"/>
      <c r="I49" s="495" t="n"/>
      <c r="J49" s="369" t="n"/>
      <c r="K49" s="370" t="n"/>
      <c r="L49" s="106" t="n"/>
      <c r="M49" s="106" t="n"/>
      <c r="N49" s="116" t="n"/>
      <c r="O49" s="116" t="n"/>
      <c r="P49" s="116" t="n"/>
      <c r="Q49" s="106" t="n"/>
      <c r="R49" s="106" t="n"/>
      <c r="S49" s="106" t="n"/>
      <c r="T49" s="106" t="n"/>
      <c r="U49" s="106" t="n"/>
      <c r="V49" s="106" t="n"/>
      <c r="W49" s="106" t="n"/>
      <c r="X49" s="112" t="n"/>
      <c r="Y49" s="106" t="n"/>
      <c r="Z49" s="106" t="n"/>
      <c r="AA49" s="106" t="n"/>
      <c r="AB49" s="106" t="n"/>
      <c r="AC49" s="106" t="n"/>
      <c r="AD49" s="106" t="n"/>
      <c r="AE49" s="106" t="n"/>
      <c r="AF49" s="106" t="n"/>
      <c r="AG49" s="106" t="n"/>
      <c r="AH49" s="106" t="n"/>
      <c r="AI49" s="106" t="n"/>
      <c r="AJ49" s="106" t="n"/>
      <c r="AK49" s="106" t="n"/>
      <c r="AL49" s="106" t="n"/>
      <c r="AM49" s="106" t="n"/>
      <c r="AN49" s="329" t="n"/>
      <c r="AR49" s="729" t="n"/>
      <c r="AU49" s="113" t="n"/>
      <c r="AV49" s="113" t="n"/>
      <c r="AW49" s="113" t="n"/>
      <c r="AX49" s="113" t="n"/>
      <c r="AY49" s="41" t="n"/>
    </row>
    <row r="50" ht="21" customHeight="1">
      <c r="G50" s="305" t="n"/>
      <c r="I50" s="380" t="n"/>
      <c r="J50" s="106" t="n"/>
      <c r="K50" s="106" t="n"/>
      <c r="L50" s="106" t="n"/>
      <c r="M50" s="106" t="n"/>
      <c r="N50" s="116" t="n"/>
      <c r="O50" s="116" t="n"/>
      <c r="P50" s="116" t="n"/>
      <c r="Q50" s="106" t="n"/>
      <c r="R50" s="106" t="n"/>
      <c r="S50" s="106" t="n"/>
      <c r="T50" s="106" t="n"/>
      <c r="U50" s="106" t="n"/>
      <c r="V50" s="106" t="n"/>
      <c r="W50" s="106" t="n"/>
      <c r="X50" s="112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329" t="n"/>
      <c r="AR50" s="729" t="n"/>
      <c r="AU50" s="113" t="n"/>
      <c r="AV50" s="113" t="n"/>
      <c r="AW50" s="113" t="n"/>
      <c r="AX50" s="113" t="n"/>
      <c r="AY50" s="41" t="n"/>
    </row>
    <row r="51" ht="21" customHeight="1">
      <c r="C51" s="231" t="n"/>
      <c r="G51" s="305" t="n"/>
      <c r="H51" s="771" t="n"/>
      <c r="I51" s="496" t="n"/>
      <c r="J51" s="106" t="n"/>
      <c r="K51" s="106" t="n"/>
      <c r="L51" s="106" t="n"/>
      <c r="M51" s="106" t="n"/>
      <c r="N51" s="116" t="n"/>
      <c r="O51" s="116" t="n"/>
      <c r="P51" s="116" t="n"/>
      <c r="Q51" s="106" t="n"/>
      <c r="R51" s="106" t="n"/>
      <c r="S51" s="106" t="n"/>
      <c r="T51" s="106" t="n"/>
      <c r="U51" s="106" t="n"/>
      <c r="V51" s="106" t="n"/>
      <c r="W51" s="106" t="n"/>
      <c r="X51" s="112" t="n"/>
      <c r="Y51" s="106" t="n"/>
      <c r="Z51" s="106" t="n"/>
      <c r="AA51" s="106" t="n"/>
      <c r="AB51" s="106" t="n"/>
      <c r="AC51" s="106" t="n"/>
      <c r="AD51" s="106" t="n"/>
      <c r="AE51" s="106" t="n"/>
      <c r="AF51" s="106" t="n"/>
      <c r="AG51" s="106" t="n"/>
      <c r="AH51" s="106" t="n"/>
      <c r="AI51" s="106" t="n"/>
      <c r="AJ51" s="106" t="n"/>
      <c r="AK51" s="106" t="n"/>
      <c r="AL51" s="106" t="n"/>
      <c r="AM51" s="106" t="n"/>
      <c r="AN51" s="329" t="n"/>
      <c r="AR51" s="729" t="n"/>
      <c r="AU51" s="113" t="n"/>
      <c r="AV51" s="113" t="n"/>
      <c r="AW51" s="113" t="n"/>
      <c r="AX51" s="113" t="n"/>
      <c r="AY51" s="41" t="n"/>
    </row>
    <row r="52" ht="18" customHeight="1">
      <c r="G52" s="305" t="n"/>
      <c r="H52" s="771" t="n"/>
      <c r="I52" s="496" t="n"/>
      <c r="J52" s="106" t="n"/>
      <c r="K52" s="106" t="n"/>
      <c r="L52" s="106" t="n"/>
      <c r="M52" s="106" t="n"/>
      <c r="N52" s="116" t="n"/>
      <c r="O52" s="116" t="n"/>
      <c r="P52" s="116" t="n"/>
      <c r="Q52" s="106" t="n"/>
      <c r="R52" s="106" t="n"/>
      <c r="S52" s="106" t="n"/>
      <c r="T52" s="106" t="n"/>
      <c r="U52" s="106" t="n"/>
      <c r="V52" s="106" t="n"/>
      <c r="W52" s="106" t="n"/>
      <c r="X52" s="112" t="n"/>
      <c r="Y52" s="106" t="n"/>
      <c r="Z52" s="106" t="n"/>
      <c r="AA52" s="106" t="n"/>
      <c r="AB52" s="106" t="n"/>
      <c r="AC52" s="106" t="n"/>
      <c r="AD52" s="106" t="n"/>
      <c r="AE52" s="106" t="n"/>
      <c r="AF52" s="106" t="n"/>
      <c r="AG52" s="106" t="n"/>
      <c r="AH52" s="106" t="n"/>
      <c r="AI52" s="106" t="n"/>
      <c r="AJ52" s="106" t="n"/>
      <c r="AK52" s="106" t="n"/>
      <c r="AL52" s="106" t="n"/>
      <c r="AM52" s="106" t="n"/>
      <c r="AN52" s="329" t="n"/>
      <c r="AR52" s="729" t="n"/>
      <c r="AU52" s="113" t="n"/>
      <c r="AV52" s="113" t="n"/>
      <c r="AW52" s="113" t="n"/>
      <c r="AX52" s="113" t="n"/>
      <c r="AY52" s="41" t="n"/>
    </row>
    <row r="53" ht="17.25" customHeight="1">
      <c r="G53" s="305" t="n"/>
      <c r="H53" s="771" t="n"/>
      <c r="I53" s="496" t="n"/>
      <c r="J53" s="106" t="n"/>
      <c r="K53" s="106" t="n"/>
      <c r="L53" s="106" t="n"/>
      <c r="M53" s="106" t="n"/>
      <c r="N53" s="116" t="n"/>
      <c r="O53" s="116" t="n"/>
      <c r="P53" s="116" t="n"/>
      <c r="Q53" s="106" t="n"/>
      <c r="R53" s="106" t="n"/>
      <c r="S53" s="106" t="n"/>
      <c r="T53" s="106" t="n"/>
      <c r="U53" s="106" t="n"/>
      <c r="V53" s="106" t="n"/>
      <c r="W53" s="106" t="n"/>
      <c r="X53" s="112" t="n"/>
      <c r="Y53" s="106" t="n"/>
      <c r="Z53" s="106" t="n"/>
      <c r="AA53" s="106" t="n"/>
      <c r="AB53" s="106" t="n"/>
      <c r="AC53" s="106" t="n"/>
      <c r="AD53" s="106" t="n"/>
      <c r="AE53" s="106" t="n"/>
      <c r="AF53" s="106" t="n"/>
      <c r="AG53" s="106" t="n"/>
      <c r="AH53" s="106" t="n"/>
      <c r="AI53" s="106" t="n"/>
      <c r="AJ53" s="106" t="n"/>
      <c r="AK53" s="106" t="n"/>
      <c r="AL53" s="106" t="n"/>
      <c r="AM53" s="106" t="n"/>
      <c r="AN53" s="329" t="n"/>
      <c r="AR53" s="729" t="n"/>
      <c r="AU53" s="113" t="n"/>
      <c r="AV53" s="113" t="n"/>
      <c r="AW53" s="113" t="n"/>
      <c r="AX53" s="113" t="n"/>
      <c r="AY53" s="41" t="n"/>
    </row>
    <row r="54" ht="38.25" customHeight="1">
      <c r="G54" s="305" t="n"/>
      <c r="H54" s="771" t="n"/>
      <c r="I54" s="496" t="n"/>
      <c r="J54" s="106" t="n"/>
      <c r="K54" s="106" t="n"/>
      <c r="L54" s="106" t="n"/>
      <c r="M54" s="106" t="n"/>
      <c r="N54" s="116" t="n"/>
      <c r="O54" s="116" t="n"/>
      <c r="P54" s="116" t="n"/>
      <c r="Q54" s="106" t="n"/>
      <c r="R54" s="106" t="n"/>
      <c r="S54" s="106" t="n"/>
      <c r="T54" s="106" t="n"/>
      <c r="U54" s="106" t="n"/>
      <c r="V54" s="106" t="n"/>
      <c r="W54" s="106" t="n"/>
      <c r="X54" s="112" t="n"/>
      <c r="Y54" s="106" t="n"/>
      <c r="Z54" s="106" t="n"/>
      <c r="AA54" s="106" t="n"/>
      <c r="AB54" s="106" t="n"/>
      <c r="AC54" s="106" t="n"/>
      <c r="AD54" s="106" t="n"/>
      <c r="AE54" s="106" t="n"/>
      <c r="AF54" s="106" t="n"/>
      <c r="AG54" s="106" t="n"/>
      <c r="AH54" s="106" t="n"/>
      <c r="AI54" s="106" t="n"/>
      <c r="AJ54" s="106" t="n"/>
      <c r="AK54" s="106" t="n"/>
      <c r="AL54" s="106" t="n"/>
      <c r="AM54" s="106" t="n"/>
      <c r="AN54" s="329" t="n"/>
      <c r="AR54" s="729" t="n"/>
      <c r="AU54" s="113" t="n"/>
      <c r="AV54" s="113" t="n"/>
      <c r="AW54" s="113" t="n"/>
      <c r="AX54" s="113" t="n"/>
      <c r="AY54" s="41" t="n"/>
    </row>
    <row r="55" ht="21" customHeight="1">
      <c r="G55" s="305" t="n"/>
      <c r="H55" s="771" t="n"/>
      <c r="I55" s="496" t="n"/>
      <c r="J55" s="106" t="n"/>
      <c r="K55" s="106" t="n"/>
      <c r="L55" s="106" t="n"/>
      <c r="M55" s="106" t="n"/>
      <c r="N55" s="116" t="n"/>
      <c r="O55" s="116" t="n"/>
      <c r="P55" s="116" t="n"/>
      <c r="Q55" s="106" t="n"/>
      <c r="R55" s="106" t="n"/>
      <c r="S55" s="106" t="n"/>
      <c r="T55" s="106" t="n"/>
      <c r="U55" s="106" t="n"/>
      <c r="V55" s="106" t="n"/>
      <c r="W55" s="106" t="n"/>
      <c r="X55" s="112" t="n"/>
      <c r="Y55" s="106" t="n"/>
      <c r="Z55" s="106" t="n"/>
      <c r="AA55" s="106" t="n"/>
      <c r="AB55" s="106" t="n"/>
      <c r="AC55" s="106" t="n"/>
      <c r="AD55" s="106" t="n"/>
      <c r="AE55" s="106" t="n"/>
      <c r="AF55" s="106" t="n"/>
      <c r="AG55" s="106" t="n"/>
      <c r="AH55" s="106" t="n"/>
      <c r="AI55" s="106" t="n"/>
      <c r="AJ55" s="106" t="n"/>
      <c r="AK55" s="106" t="n"/>
      <c r="AL55" s="106" t="n"/>
      <c r="AM55" s="106" t="n"/>
      <c r="AN55" s="330" t="n"/>
      <c r="AR55" s="729" t="n"/>
      <c r="AU55" s="113" t="n"/>
      <c r="AV55" s="113" t="n"/>
      <c r="AW55" s="113" t="n"/>
      <c r="AX55" s="113" t="n"/>
      <c r="AY55" s="41" t="n"/>
    </row>
    <row r="56" ht="21" customHeight="1">
      <c r="G56" s="305" t="n"/>
      <c r="H56" s="771" t="n"/>
      <c r="I56" s="496" t="n"/>
      <c r="J56" s="106" t="n"/>
      <c r="K56" s="106" t="n"/>
      <c r="L56" s="106" t="n"/>
      <c r="M56" s="106" t="n"/>
      <c r="N56" s="116" t="n"/>
      <c r="O56" s="116" t="n"/>
      <c r="P56" s="116" t="n"/>
      <c r="Q56" s="106" t="n"/>
      <c r="R56" s="106" t="n"/>
      <c r="S56" s="106" t="n"/>
      <c r="T56" s="106" t="n"/>
      <c r="U56" s="106" t="n"/>
      <c r="V56" s="106" t="n"/>
      <c r="W56" s="106" t="n"/>
      <c r="X56" s="112" t="n"/>
      <c r="Y56" s="106" t="n"/>
      <c r="Z56" s="106" t="n"/>
      <c r="AA56" s="106" t="n"/>
      <c r="AB56" s="106" t="n"/>
      <c r="AC56" s="106" t="n"/>
      <c r="AD56" s="106" t="n"/>
      <c r="AE56" s="106" t="n"/>
      <c r="AF56" s="106" t="n"/>
      <c r="AG56" s="106" t="n"/>
      <c r="AH56" s="106" t="n"/>
      <c r="AI56" s="106" t="n"/>
      <c r="AJ56" s="106" t="n"/>
      <c r="AK56" s="106" t="n"/>
      <c r="AL56" s="106" t="n"/>
      <c r="AM56" s="106" t="n"/>
      <c r="AN56" s="329" t="n"/>
      <c r="AR56" s="729" t="n"/>
      <c r="AU56" s="113" t="n"/>
      <c r="AV56" s="113" t="n"/>
      <c r="AW56" s="113" t="n"/>
      <c r="AX56" s="113" t="n"/>
      <c r="AY56" s="41" t="n"/>
    </row>
    <row r="57" ht="21" customHeight="1">
      <c r="G57" s="305" t="n"/>
      <c r="H57" s="772" t="n"/>
      <c r="I57" s="496" t="n"/>
      <c r="J57" s="106" t="n"/>
      <c r="K57" s="106" t="n"/>
      <c r="L57" s="106" t="n"/>
      <c r="M57" s="106" t="n"/>
      <c r="N57" s="116" t="n"/>
      <c r="O57" s="116" t="n"/>
      <c r="P57" s="116" t="n"/>
      <c r="Q57" s="106" t="n"/>
      <c r="R57" s="106" t="n"/>
      <c r="S57" s="106" t="n"/>
      <c r="T57" s="106" t="n"/>
      <c r="U57" s="106" t="n"/>
      <c r="V57" s="106" t="n"/>
      <c r="W57" s="106" t="n"/>
      <c r="X57" s="112" t="n"/>
      <c r="Y57" s="106" t="n"/>
      <c r="Z57" s="106" t="n"/>
      <c r="AA57" s="106" t="n"/>
      <c r="AB57" s="106" t="n"/>
      <c r="AC57" s="106" t="n"/>
      <c r="AD57" s="106" t="n"/>
      <c r="AE57" s="106" t="n"/>
      <c r="AF57" s="106" t="n"/>
      <c r="AG57" s="106" t="n"/>
      <c r="AH57" s="106" t="n"/>
      <c r="AI57" s="106" t="n"/>
      <c r="AJ57" s="106" t="n"/>
      <c r="AK57" s="106" t="n"/>
      <c r="AL57" s="106" t="n"/>
      <c r="AM57" s="106" t="n"/>
      <c r="AN57" s="329" t="n"/>
      <c r="AR57" s="729" t="n"/>
      <c r="AU57" s="113" t="n"/>
      <c r="AV57" s="113" t="n"/>
      <c r="AW57" s="113" t="n"/>
      <c r="AX57" s="113" t="n"/>
      <c r="AY57" s="41" t="n"/>
    </row>
    <row r="58" ht="21" customHeight="1">
      <c r="G58" s="305" t="n"/>
      <c r="H58" s="773" t="n"/>
      <c r="I58" s="496" t="n"/>
      <c r="J58" s="106" t="n"/>
      <c r="K58" s="106" t="n"/>
      <c r="L58" s="106" t="n"/>
      <c r="M58" s="106" t="n"/>
      <c r="N58" s="116" t="n"/>
      <c r="O58" s="116" t="n"/>
      <c r="P58" s="116" t="n"/>
      <c r="Q58" s="106" t="n"/>
      <c r="R58" s="106" t="n"/>
      <c r="S58" s="106" t="n"/>
      <c r="T58" s="106" t="n"/>
      <c r="U58" s="106" t="n"/>
      <c r="V58" s="106" t="n"/>
      <c r="W58" s="106" t="n"/>
      <c r="X58" s="112" t="n"/>
      <c r="Y58" s="106" t="n"/>
      <c r="Z58" s="106" t="n"/>
      <c r="AA58" s="106" t="n"/>
      <c r="AB58" s="106" t="n"/>
      <c r="AC58" s="106" t="n"/>
      <c r="AD58" s="106" t="n"/>
      <c r="AE58" s="106" t="n"/>
      <c r="AF58" s="106" t="n"/>
      <c r="AG58" s="106" t="n"/>
      <c r="AH58" s="106" t="n"/>
      <c r="AI58" s="106" t="n"/>
      <c r="AJ58" s="106" t="n"/>
      <c r="AK58" s="106" t="n"/>
      <c r="AL58" s="106" t="n"/>
      <c r="AM58" s="106" t="n"/>
      <c r="AN58" s="329" t="n"/>
      <c r="AR58" s="729" t="n"/>
      <c r="AU58" s="113" t="n"/>
      <c r="AV58" s="113" t="n"/>
      <c r="AW58" s="113" t="n"/>
      <c r="AX58" s="113" t="n"/>
      <c r="AY58" s="41" t="n"/>
    </row>
    <row r="59" ht="21" customHeight="1">
      <c r="G59" s="305" t="n"/>
      <c r="H59" s="773" t="n"/>
      <c r="I59" s="496" t="n"/>
      <c r="J59" s="106" t="n"/>
      <c r="K59" s="106" t="n"/>
      <c r="L59" s="106" t="n"/>
      <c r="M59" s="106" t="n"/>
      <c r="N59" s="116" t="n"/>
      <c r="O59" s="116" t="n"/>
      <c r="P59" s="116" t="n"/>
      <c r="Q59" s="106" t="n"/>
      <c r="R59" s="106" t="n"/>
      <c r="S59" s="106" t="n"/>
      <c r="T59" s="106" t="n"/>
      <c r="U59" s="106" t="n"/>
      <c r="V59" s="106" t="n"/>
      <c r="W59" s="106" t="n"/>
      <c r="X59" s="112" t="n"/>
      <c r="Y59" s="106" t="n"/>
      <c r="Z59" s="106" t="n"/>
      <c r="AA59" s="106" t="n"/>
      <c r="AB59" s="106" t="n"/>
      <c r="AC59" s="106" t="n"/>
      <c r="AD59" s="106" t="n"/>
      <c r="AE59" s="106" t="n"/>
      <c r="AF59" s="106" t="n"/>
      <c r="AG59" s="106" t="n"/>
      <c r="AH59" s="106" t="n"/>
      <c r="AI59" s="106" t="n"/>
      <c r="AJ59" s="106" t="n"/>
      <c r="AK59" s="106" t="n"/>
      <c r="AL59" s="106" t="n"/>
      <c r="AM59" s="106" t="n"/>
      <c r="AN59" s="330" t="n"/>
      <c r="AR59" s="729" t="n"/>
      <c r="AU59" s="113" t="n"/>
      <c r="AV59" s="113" t="n"/>
      <c r="AW59" s="113" t="n"/>
      <c r="AX59" s="113" t="n"/>
      <c r="AY59" s="41" t="n"/>
    </row>
    <row r="60" ht="21" customHeight="1">
      <c r="G60" s="305" t="n"/>
      <c r="I60" s="380" t="n"/>
      <c r="J60" s="106" t="n"/>
      <c r="K60" s="106" t="n"/>
      <c r="L60" s="106" t="n"/>
      <c r="M60" s="106" t="n"/>
      <c r="N60" s="116" t="n"/>
      <c r="O60" s="116" t="n"/>
      <c r="P60" s="116" t="n"/>
      <c r="Q60" s="106" t="n"/>
      <c r="R60" s="106" t="n"/>
      <c r="S60" s="106" t="n"/>
      <c r="T60" s="106" t="n"/>
      <c r="U60" s="106" t="n"/>
      <c r="V60" s="106" t="n"/>
      <c r="W60" s="106" t="n"/>
      <c r="X60" s="112" t="n"/>
      <c r="Y60" s="106" t="n"/>
      <c r="Z60" s="106" t="n"/>
      <c r="AA60" s="106" t="n"/>
      <c r="AB60" s="106" t="n"/>
      <c r="AC60" s="106" t="n"/>
      <c r="AD60" s="106" t="n"/>
      <c r="AE60" s="106" t="n"/>
      <c r="AF60" s="106" t="n"/>
      <c r="AG60" s="106" t="n"/>
      <c r="AH60" s="106" t="n"/>
      <c r="AI60" s="106" t="n"/>
      <c r="AJ60" s="106" t="n"/>
      <c r="AK60" s="106" t="n"/>
      <c r="AL60" s="106" t="n"/>
      <c r="AM60" s="106" t="n"/>
      <c r="AN60" s="329" t="n"/>
      <c r="AR60" s="729" t="n"/>
      <c r="AU60" s="113" t="n"/>
      <c r="AV60" s="113" t="n"/>
      <c r="AW60" s="113" t="n"/>
      <c r="AX60" s="113" t="n"/>
      <c r="AY60" s="41" t="n"/>
    </row>
  </sheetData>
  <autoFilter ref="A21:AU29"/>
  <mergeCells count="20">
    <mergeCell ref="A30:E30"/>
    <mergeCell ref="AO19:AO20"/>
    <mergeCell ref="AR19:AR20"/>
    <mergeCell ref="I19:AG19"/>
    <mergeCell ref="A19:A21"/>
    <mergeCell ref="G19:H19"/>
    <mergeCell ref="C19:C21"/>
    <mergeCell ref="AP19:AP20"/>
    <mergeCell ref="D19:D21"/>
    <mergeCell ref="F19:F21"/>
    <mergeCell ref="B19:B20"/>
    <mergeCell ref="AK19:AK21"/>
    <mergeCell ref="AS19:AS20"/>
    <mergeCell ref="AQ19:AQ20"/>
    <mergeCell ref="AM19:AM21"/>
    <mergeCell ref="AU19:AU21"/>
    <mergeCell ref="AN19:AN20"/>
    <mergeCell ref="E19:E21"/>
    <mergeCell ref="AL19:AL20"/>
    <mergeCell ref="AT19:AT21"/>
  </mergeCells>
  <conditionalFormatting sqref="C22:C29">
    <cfRule type="duplicateValues" priority="1128254" dxfId="1"/>
    <cfRule type="duplicateValues" priority="1128255" dxfId="1"/>
    <cfRule type="duplicateValues" priority="1128256" dxfId="1"/>
  </conditionalFormatting>
  <conditionalFormatting sqref="C34:C60">
    <cfRule type="duplicateValues" priority="1327640" dxfId="1"/>
    <cfRule type="duplicateValues" priority="1327641" dxfId="1"/>
    <cfRule type="duplicateValues" priority="1327642" dxfId="1"/>
    <cfRule type="duplicateValues" priority="1327646" dxfId="1"/>
    <cfRule type="duplicateValues" priority="1327647" dxfId="1"/>
  </conditionalFormatting>
  <conditionalFormatting sqref="C50">
    <cfRule type="duplicateValues" priority="12" dxfId="1"/>
  </conditionalFormatting>
  <conditionalFormatting sqref="C50:C60">
    <cfRule type="duplicateValues" priority="15" dxfId="1"/>
    <cfRule type="duplicateValues" priority="18" dxfId="1"/>
    <cfRule type="duplicateValues" priority="19" dxfId="1"/>
    <cfRule type="duplicateValues" priority="20" dxfId="1"/>
    <cfRule type="duplicateValues" priority="21" dxfId="1"/>
  </conditionalFormatting>
  <conditionalFormatting sqref="C51">
    <cfRule type="duplicateValues" priority="13" dxfId="1"/>
    <cfRule type="duplicateValues" priority="14" dxfId="1"/>
  </conditionalFormatting>
  <conditionalFormatting sqref="C1:C21 C31:C33 C61:C1048576">
    <cfRule type="duplicateValues" priority="1327637" dxfId="1"/>
  </conditionalFormatting>
  <conditionalFormatting sqref="D34:D49">
    <cfRule type="duplicateValues" priority="1327650" dxfId="1"/>
    <cfRule type="duplicateValues" priority="1327651" dxfId="1"/>
    <cfRule type="duplicateValues" priority="1327652" dxfId="1" stopIfTrue="1"/>
    <cfRule type="duplicateValues" priority="1327653" dxfId="1" stopIfTrue="1"/>
    <cfRule type="duplicateValues" priority="1327654" dxfId="1"/>
    <cfRule type="duplicateValues" priority="1327655" dxfId="1" stopIfTrue="1"/>
    <cfRule type="duplicateValues" priority="1327656" dxfId="1" stopIfTrue="1"/>
    <cfRule type="expression" priority="1327657" dxfId="56" stopIfTrue="1">
      <formula>AND(COUNTIF(#REF!, D34)+COUNTIF($B$1:$B$18, D34)&gt;1,NOT(ISBLANK(D34)))</formula>
    </cfRule>
  </conditionalFormatting>
  <conditionalFormatting sqref="E34">
    <cfRule type="duplicateValues" priority="1" dxfId="1"/>
    <cfRule type="duplicateValues" priority="2" dxfId="1"/>
    <cfRule type="duplicateValues" priority="3" dxfId="1"/>
  </conditionalFormatting>
  <dataValidations count="3">
    <dataValidation sqref="G29:AB30 AC30:AH30 AI29:AJ30 AJ22:AJ28" showDropDown="0" showInputMessage="0" showErrorMessage="1" allowBlank="1" type="list">
      <formula1>$B$5:$B$17</formula1>
    </dataValidation>
    <dataValidation sqref="C22:D23 G22:AI28 AC29:AH29" showDropDown="0" showInputMessage="0" showErrorMessage="1" allowBlank="1"/>
    <dataValidation sqref="T34:T35" showDropDown="0" showInputMessage="1" showErrorMessage="1" allowBlank="1" type="list">
      <formula1>#REF!</formula1>
    </dataValidation>
  </dataValidations>
  <pageMargins left="0.5" right="0" top="0.48" bottom="0.28" header="0.3" footer="0.16"/>
  <pageSetup orientation="landscape" paperSize="9" scale="50"/>
  <colBreaks count="1" manualBreakCount="1">
    <brk id="47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zoomScale="80" zoomScaleNormal="80" zoomScaleSheetLayoutView="82" workbookViewId="0">
      <pane xSplit="3" ySplit="6" topLeftCell="G7" activePane="bottomRight" state="frozen"/>
      <selection activeCell="C13" sqref="C13"/>
      <selection pane="topRight" activeCell="C13" sqref="C13"/>
      <selection pane="bottomLeft" activeCell="C13" sqref="C13"/>
      <selection pane="bottomRight" activeCell="C7" sqref="C7:C14"/>
    </sheetView>
  </sheetViews>
  <sheetFormatPr baseColWidth="8" defaultColWidth="6.42578125" defaultRowHeight="12"/>
  <cols>
    <col width="5.140625" customWidth="1" style="1" min="1" max="1"/>
    <col width="13.85546875" customWidth="1" style="1" min="2" max="2"/>
    <col outlineLevel="1" width="23.85546875" customWidth="1" style="1" min="3" max="3"/>
    <col outlineLevel="1" width="15.5703125" customWidth="1" style="1" min="4" max="4"/>
    <col width="19.140625" customWidth="1" style="1" min="5" max="5"/>
    <col width="12.5703125" customWidth="1" style="3" min="6" max="6"/>
    <col width="10.7109375" customWidth="1" style="4" min="7" max="7"/>
    <col width="8" customWidth="1" style="4" min="8" max="8"/>
    <col width="8" customWidth="1" style="3" min="9" max="9"/>
    <col outlineLevel="2" width="11.28515625" customWidth="1" style="3" min="10" max="10"/>
    <col outlineLevel="2" width="11.5703125" customWidth="1" style="3" min="11" max="11"/>
    <col width="11.7109375" customWidth="1" style="3" min="12" max="12"/>
    <col width="15" customWidth="1" style="3" min="13" max="13"/>
    <col width="11.28515625" customWidth="1" style="5" min="14" max="14"/>
    <col width="12" customWidth="1" style="3" min="15" max="15"/>
    <col outlineLevel="1" width="13.85546875" customWidth="1" style="3" min="16" max="16"/>
    <col outlineLevel="1" width="12.5703125" customWidth="1" style="3" min="17" max="17"/>
    <col width="16.140625" customWidth="1" style="3" min="18" max="18"/>
    <col outlineLevel="1" width="16.28515625" customWidth="1" style="3" min="19" max="19"/>
    <col outlineLevel="1" width="14" customWidth="1" style="3" min="20" max="20"/>
    <col width="9" customWidth="1" style="1" min="21" max="219"/>
    <col width="3.5703125" customWidth="1" style="1" min="220" max="220"/>
    <col width="19.140625" customWidth="1" style="1" min="221" max="221"/>
    <col width="10.140625" customWidth="1" style="1" min="222" max="222"/>
    <col width="10.7109375" customWidth="1" style="1" min="223" max="223"/>
    <col width="8.28515625" customWidth="1" style="1" min="224" max="224"/>
    <col width="8.7109375" customWidth="1" style="1" min="225" max="225"/>
    <col width="6.28515625" customWidth="1" style="1" min="226" max="226"/>
    <col width="7.140625" customWidth="1" style="1" min="227" max="227"/>
    <col width="5.7109375" customWidth="1" style="1" min="228" max="228"/>
    <col width="5.85546875" customWidth="1" style="1" min="229" max="229"/>
    <col width="5.28515625" customWidth="1" style="1" min="230" max="230"/>
    <col width="6" customWidth="1" style="1" min="231" max="231"/>
    <col width="6.5703125" customWidth="1" style="1" min="232" max="232"/>
    <col width="6.140625" customWidth="1" style="1" min="233" max="233"/>
    <col width="6.42578125" customWidth="1" style="1" min="234" max="16384"/>
  </cols>
  <sheetData>
    <row r="1" ht="25.5" customFormat="1" customHeight="1" s="9">
      <c r="A1" s="576" t="inlineStr">
        <is>
          <t xml:space="preserve"> OVERTIME</t>
        </is>
      </c>
      <c r="B1" s="6" t="n"/>
      <c r="C1" s="6" t="n"/>
      <c r="D1" s="6" t="n"/>
      <c r="E1" s="6" t="n"/>
      <c r="F1" s="8" t="n"/>
      <c r="G1" s="6" t="n"/>
      <c r="H1" s="6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12" t="n"/>
      <c r="T1" s="12" t="n"/>
    </row>
    <row r="2" ht="15.75" customFormat="1" customHeight="1" s="9">
      <c r="A2" s="10" t="n"/>
      <c r="B2" s="11" t="n"/>
      <c r="C2" s="11" t="n"/>
      <c r="D2" s="11" t="n"/>
      <c r="E2" s="13" t="n"/>
      <c r="F2" s="14" t="n"/>
      <c r="G2" s="11" t="n"/>
      <c r="I2" s="15" t="n"/>
      <c r="J2" s="15" t="n"/>
      <c r="K2" s="15" t="n"/>
      <c r="L2" s="15" t="n"/>
      <c r="M2" s="15" t="n"/>
      <c r="N2" s="15" t="n"/>
      <c r="O2" s="16" t="n"/>
      <c r="P2" s="14" t="n"/>
      <c r="Q2" s="14" t="n"/>
      <c r="T2" s="12">
        <f>SUBTOTAL(9,T7:T14)</f>
        <v/>
      </c>
    </row>
    <row r="3" ht="15" customFormat="1" customHeight="1" s="9">
      <c r="F3" s="18" t="n"/>
      <c r="G3" s="19" t="n"/>
      <c r="H3" s="19" t="n"/>
      <c r="I3" s="20" t="n"/>
      <c r="J3" s="20" t="n"/>
      <c r="K3" s="20" t="n"/>
      <c r="L3" s="20" t="n"/>
      <c r="M3" s="20" t="n"/>
      <c r="N3" s="18" t="n"/>
      <c r="O3" s="20" t="n"/>
      <c r="P3" s="20" t="n"/>
      <c r="Q3" s="20" t="n"/>
      <c r="R3" s="20" t="n"/>
      <c r="S3" s="20" t="n"/>
      <c r="T3" s="20" t="n"/>
    </row>
    <row r="4" ht="25.5" customFormat="1" customHeight="1" s="25">
      <c r="A4" s="21" t="n"/>
      <c r="B4" s="22" t="n"/>
      <c r="C4" s="23" t="n"/>
      <c r="D4" s="521" t="n"/>
      <c r="E4" s="24" t="inlineStr">
        <is>
          <t>Income salary</t>
        </is>
      </c>
      <c r="F4" s="797" t="inlineStr">
        <is>
          <t>Hour</t>
        </is>
      </c>
      <c r="G4" s="798" t="n"/>
      <c r="H4" s="798" t="n"/>
      <c r="I4" s="798" t="n"/>
      <c r="J4" s="798" t="n"/>
      <c r="K4" s="799" t="n"/>
      <c r="L4" s="797" t="inlineStr">
        <is>
          <t>Overtime payment 
per hour</t>
        </is>
      </c>
      <c r="M4" s="798" t="n"/>
      <c r="N4" s="798" t="n"/>
      <c r="O4" s="798" t="n"/>
      <c r="P4" s="798" t="n"/>
      <c r="Q4" s="799" t="n"/>
      <c r="R4" s="800" t="inlineStr">
        <is>
          <t xml:space="preserve">Total
payment
(VND)
</t>
        </is>
      </c>
      <c r="S4" s="800" t="inlineStr">
        <is>
          <t>Overtime taxable</t>
        </is>
      </c>
      <c r="T4" s="800" t="inlineStr">
        <is>
          <t>OT.Untaxable</t>
        </is>
      </c>
    </row>
    <row r="5" ht="33" customFormat="1" customHeight="1" s="25">
      <c r="A5" s="26" t="inlineStr">
        <is>
          <t>No.</t>
        </is>
      </c>
      <c r="B5" s="27" t="inlineStr">
        <is>
          <t>Emp. Code</t>
        </is>
      </c>
      <c r="C5" s="28" t="inlineStr">
        <is>
          <t>Full name</t>
        </is>
      </c>
      <c r="D5" s="522" t="inlineStr">
        <is>
          <t>Joinging date</t>
        </is>
      </c>
      <c r="E5" s="29" t="inlineStr">
        <is>
          <t>VND</t>
        </is>
      </c>
      <c r="F5" s="30" t="n">
        <v>1.5</v>
      </c>
      <c r="G5" s="30" t="n">
        <v>2.15</v>
      </c>
      <c r="H5" s="30" t="n">
        <v>2</v>
      </c>
      <c r="I5" s="30" t="n">
        <v>2.8</v>
      </c>
      <c r="J5" s="30" t="n">
        <v>3</v>
      </c>
      <c r="K5" s="30" t="n">
        <v>4.1</v>
      </c>
      <c r="L5" s="30" t="n">
        <v>1.5</v>
      </c>
      <c r="M5" s="30" t="n">
        <v>2.15</v>
      </c>
      <c r="N5" s="30" t="n">
        <v>2</v>
      </c>
      <c r="O5" s="30" t="n">
        <v>2.8</v>
      </c>
      <c r="P5" s="30" t="n">
        <v>3</v>
      </c>
      <c r="Q5" s="30" t="n">
        <v>4.1</v>
      </c>
      <c r="R5" s="801" t="n"/>
      <c r="S5" s="801" t="n"/>
      <c r="T5" s="801" t="n"/>
    </row>
    <row r="6" ht="15.75" customFormat="1" customHeight="1" s="34">
      <c r="A6" s="31" t="n"/>
      <c r="B6" s="32" t="n">
        <v>1</v>
      </c>
      <c r="C6" s="354">
        <f>B6+1</f>
        <v/>
      </c>
      <c r="D6" s="354">
        <f>C6+1</f>
        <v/>
      </c>
      <c r="E6" s="354">
        <f>D6+1</f>
        <v/>
      </c>
      <c r="F6" s="354">
        <f>E6+1</f>
        <v/>
      </c>
      <c r="G6" s="33">
        <f>F6+1</f>
        <v/>
      </c>
      <c r="H6" s="33">
        <f>G6+1</f>
        <v/>
      </c>
      <c r="I6" s="33">
        <f>H6+1</f>
        <v/>
      </c>
      <c r="J6" s="33">
        <f>I6+1</f>
        <v/>
      </c>
      <c r="K6" s="33">
        <f>J6+1</f>
        <v/>
      </c>
      <c r="L6" s="33">
        <f>K6+1</f>
        <v/>
      </c>
      <c r="M6" s="33">
        <f>L6+1</f>
        <v/>
      </c>
      <c r="N6" s="33">
        <f>M6+1</f>
        <v/>
      </c>
      <c r="O6" s="33">
        <f>N6+1</f>
        <v/>
      </c>
      <c r="P6" s="33">
        <f>O6+1</f>
        <v/>
      </c>
      <c r="Q6" s="33">
        <f>P6+1</f>
        <v/>
      </c>
      <c r="R6" s="33">
        <f>Q6+1</f>
        <v/>
      </c>
      <c r="S6" s="33">
        <f>R6+1</f>
        <v/>
      </c>
      <c r="T6" s="33">
        <f>S6+1</f>
        <v/>
      </c>
    </row>
    <row r="7" ht="22.5" customFormat="1" customHeight="1" s="37">
      <c r="A7" s="35">
        <f>ROW()-6</f>
        <v/>
      </c>
      <c r="B7" s="352" t="inlineStr">
        <is>
          <t>SLA2500111</t>
        </is>
      </c>
      <c r="C7" s="393" t="inlineStr">
        <is>
          <t>Nguyễn Thị Hà</t>
        </is>
      </c>
      <c r="D7" s="523" t="n">
        <v>43466</v>
      </c>
      <c r="E7" s="528">
        <f>VLOOKUP(B7,'Template Payroll'!$B$6:$J$18,9,0)</f>
        <v/>
      </c>
      <c r="F7" s="802" t="n">
        <v>0</v>
      </c>
      <c r="G7" s="803" t="n">
        <v>0</v>
      </c>
      <c r="H7" s="803" t="n">
        <v>0</v>
      </c>
      <c r="I7" s="803" t="n">
        <v>0</v>
      </c>
      <c r="J7" s="803" t="n">
        <v>0</v>
      </c>
      <c r="K7" s="803" t="n">
        <v>0</v>
      </c>
      <c r="L7" s="804">
        <f>ROUND(E7/26/8*$L$5*F7,0)</f>
        <v/>
      </c>
      <c r="M7" s="804">
        <f>ROUND(E7/26/8*$M$5*G7,0)</f>
        <v/>
      </c>
      <c r="N7" s="804">
        <f>ROUND(E7/26/8*$N$5*H7,0)</f>
        <v/>
      </c>
      <c r="O7" s="804">
        <f>ROUND(E7/26/8*$O$5*I7,0)</f>
        <v/>
      </c>
      <c r="P7" s="804">
        <f>ROUND(E7/26/8*$P$5*J7,0)</f>
        <v/>
      </c>
      <c r="Q7" s="804">
        <f>ROUND(E7/26/8*$Q$5*K7,0)</f>
        <v/>
      </c>
      <c r="R7" s="805">
        <f>ROUND(SUM(L7:Q7),0)</f>
        <v/>
      </c>
      <c r="S7" s="806">
        <f>ROUND(SUM(F7:K7)*E7/26/8,0)</f>
        <v/>
      </c>
      <c r="T7" s="807">
        <f>ROUND(R7-S7,0)</f>
        <v/>
      </c>
    </row>
    <row r="8" ht="22.5" customFormat="1" customHeight="1" s="37">
      <c r="A8" s="35">
        <f>ROW()-6</f>
        <v/>
      </c>
      <c r="B8" s="352" t="inlineStr">
        <is>
          <t>PHI2500112</t>
        </is>
      </c>
      <c r="C8" s="393" t="inlineStr">
        <is>
          <t>Phùng Mạnh Hà</t>
        </is>
      </c>
      <c r="D8" s="525" t="n">
        <v>43831</v>
      </c>
      <c r="E8" s="353">
        <f>VLOOKUP(B8,'Template Payroll'!$B$6:$J$18,9,0)</f>
        <v/>
      </c>
      <c r="F8" s="803" t="n">
        <v>0</v>
      </c>
      <c r="G8" s="803" t="n">
        <v>6</v>
      </c>
      <c r="H8" s="803" t="n">
        <v>0</v>
      </c>
      <c r="I8" s="803" t="n">
        <v>0</v>
      </c>
      <c r="J8" s="803" t="n">
        <v>6</v>
      </c>
      <c r="K8" s="803" t="n">
        <v>2</v>
      </c>
      <c r="L8" s="804">
        <f>ROUND(E8/26/8*$L$5*F8,0)</f>
        <v/>
      </c>
      <c r="M8" s="804">
        <f>ROUND(E8/26/8*$M$5*G8,0)</f>
        <v/>
      </c>
      <c r="N8" s="804">
        <f>ROUND(E8/26/8*$N$5*H8,0)</f>
        <v/>
      </c>
      <c r="O8" s="804">
        <f>ROUND(E8/26/8*$O$5*I8,0)</f>
        <v/>
      </c>
      <c r="P8" s="804">
        <f>ROUND(E8/26/8*$P$5*J8,0)</f>
        <v/>
      </c>
      <c r="Q8" s="804">
        <f>ROUND(E8/26/8*$Q$5*K8,0)</f>
        <v/>
      </c>
      <c r="R8" s="805">
        <f>ROUND(SUM(L8:Q8),0)</f>
        <v/>
      </c>
      <c r="S8" s="806">
        <f>ROUND(SUM(F8:K8)*E8/26/8,0)</f>
        <v/>
      </c>
      <c r="T8" s="807">
        <f>ROUND(R8-S8,0)</f>
        <v/>
      </c>
    </row>
    <row r="9" ht="22.5" customFormat="1" customHeight="1" s="37">
      <c r="A9" s="35">
        <f>ROW()-6</f>
        <v/>
      </c>
      <c r="B9" s="352" t="inlineStr">
        <is>
          <t>PVT2500113</t>
        </is>
      </c>
      <c r="C9" s="393" t="inlineStr">
        <is>
          <t>Nguyễn Đức Khánh</t>
        </is>
      </c>
      <c r="D9" s="525" t="n">
        <v>44197</v>
      </c>
      <c r="E9" s="353">
        <f>VLOOKUP(B9,'Template Payroll'!$B$6:$J$18,9,0)</f>
        <v/>
      </c>
      <c r="F9" s="803" t="n">
        <v>0.5</v>
      </c>
      <c r="G9" s="803" t="n">
        <v>2.5</v>
      </c>
      <c r="H9" s="803" t="n">
        <v>0</v>
      </c>
      <c r="I9" s="803" t="n">
        <v>0</v>
      </c>
      <c r="J9" s="803" t="n">
        <v>0</v>
      </c>
      <c r="K9" s="803" t="n">
        <v>0</v>
      </c>
      <c r="L9" s="804">
        <f>ROUND(E9/26/8*$L$5*F9,0)</f>
        <v/>
      </c>
      <c r="M9" s="804">
        <f>ROUND(E9/26/8*$M$5*G9,0)</f>
        <v/>
      </c>
      <c r="N9" s="804">
        <f>ROUND(E9/26/8*$N$5*H9,0)</f>
        <v/>
      </c>
      <c r="O9" s="804">
        <f>ROUND(E9/26/8*$O$5*I9,0)</f>
        <v/>
      </c>
      <c r="P9" s="804">
        <f>ROUND(E9/26/8*$P$5*J9,0)</f>
        <v/>
      </c>
      <c r="Q9" s="804">
        <f>ROUND(E9/26/8*$Q$5*K9,0)</f>
        <v/>
      </c>
      <c r="R9" s="805">
        <f>ROUND(SUM(L9:Q9),0)</f>
        <v/>
      </c>
      <c r="S9" s="806">
        <f>ROUND(SUM(F9:K9)*E9/26/8,0)</f>
        <v/>
      </c>
      <c r="T9" s="807">
        <f>ROUND(R9-S9,0)</f>
        <v/>
      </c>
    </row>
    <row r="10" ht="22.5" customFormat="1" customHeight="1" s="37">
      <c r="A10" s="35">
        <f>ROW()-6</f>
        <v/>
      </c>
      <c r="B10" s="352" t="inlineStr">
        <is>
          <t>PVT2500114</t>
        </is>
      </c>
      <c r="C10" s="393" t="inlineStr">
        <is>
          <t>Nguyễn Sơn Tùng</t>
        </is>
      </c>
      <c r="D10" s="525" t="n">
        <v>44562</v>
      </c>
      <c r="E10" s="353">
        <f>VLOOKUP(B10,'Template Payroll'!$B$6:$J$18,9,0)</f>
        <v/>
      </c>
      <c r="F10" s="803" t="n">
        <v>0</v>
      </c>
      <c r="G10" s="803" t="n">
        <v>0</v>
      </c>
      <c r="H10" s="803" t="n">
        <v>0</v>
      </c>
      <c r="I10" s="803" t="n">
        <v>0</v>
      </c>
      <c r="J10" s="803" t="n">
        <v>7</v>
      </c>
      <c r="K10" s="803" t="n">
        <v>1</v>
      </c>
      <c r="L10" s="804">
        <f>ROUND(E10/26/8*$L$5*F10,0)</f>
        <v/>
      </c>
      <c r="M10" s="804">
        <f>ROUND(E10/26/8*$M$5*G10,0)</f>
        <v/>
      </c>
      <c r="N10" s="804">
        <f>ROUND(E10/26/8*$N$5*H10,0)</f>
        <v/>
      </c>
      <c r="O10" s="804">
        <f>ROUND(E10/26/8*$O$5*I10,0)</f>
        <v/>
      </c>
      <c r="P10" s="804">
        <f>ROUND(E10/26/8*$P$5*J10,0)</f>
        <v/>
      </c>
      <c r="Q10" s="804">
        <f>ROUND(E10/26/8*$Q$5*K10,0)</f>
        <v/>
      </c>
      <c r="R10" s="805">
        <f>ROUND(SUM(L10:Q10),0)</f>
        <v/>
      </c>
      <c r="S10" s="806">
        <f>ROUND(SUM(F10:K10)*E10/26/8,0)</f>
        <v/>
      </c>
      <c r="T10" s="807">
        <f>ROUND(R10-S10,0)</f>
        <v/>
      </c>
    </row>
    <row r="11" ht="22.5" customFormat="1" customHeight="1" s="37">
      <c r="A11" s="35">
        <f>ROW()-6</f>
        <v/>
      </c>
      <c r="B11" s="352" t="inlineStr">
        <is>
          <t>PVT2500115</t>
        </is>
      </c>
      <c r="C11" s="393" t="inlineStr">
        <is>
          <t>Nguyễn Quang Cường</t>
        </is>
      </c>
      <c r="D11" s="529" t="n">
        <v>45740</v>
      </c>
      <c r="E11" s="353">
        <f>VLOOKUP(B11,'Template Payroll'!$B$6:$J$18,9,0)</f>
        <v/>
      </c>
      <c r="F11" s="803" t="n">
        <v>0</v>
      </c>
      <c r="G11" s="803" t="n">
        <v>0</v>
      </c>
      <c r="H11" s="803" t="n">
        <v>0</v>
      </c>
      <c r="I11" s="803" t="n">
        <v>0</v>
      </c>
      <c r="J11" s="803" t="n">
        <v>8</v>
      </c>
      <c r="K11" s="803" t="n">
        <v>0</v>
      </c>
      <c r="L11" s="804">
        <f>ROUND(E11/26/8*$L$5*F11,0)</f>
        <v/>
      </c>
      <c r="M11" s="804">
        <f>ROUND(E11/26/8*$M$5*G11,0)</f>
        <v/>
      </c>
      <c r="N11" s="804">
        <f>ROUND(E11/26/8*$N$5*H11,0)</f>
        <v/>
      </c>
      <c r="O11" s="804">
        <f>ROUND(E11/26/8*$O$5*I11,0)</f>
        <v/>
      </c>
      <c r="P11" s="804">
        <f>ROUND(E11/26/8*$P$5*J11,0)</f>
        <v/>
      </c>
      <c r="Q11" s="804">
        <f>ROUND(E11/26/8*$Q$5*K11,0)</f>
        <v/>
      </c>
      <c r="R11" s="808">
        <f>ROUND(SUM(L11:Q11),0)</f>
        <v/>
      </c>
      <c r="S11" s="809">
        <f>R11</f>
        <v/>
      </c>
      <c r="T11" s="807" t="n">
        <v>0</v>
      </c>
      <c r="U11" s="37" t="inlineStr">
        <is>
          <t>HĐTV</t>
        </is>
      </c>
    </row>
    <row r="12" ht="22.5" customFormat="1" customHeight="1" s="37">
      <c r="A12" s="35">
        <f>ROW()-6</f>
        <v/>
      </c>
      <c r="B12" s="352" t="inlineStr">
        <is>
          <t>PVT2500116</t>
        </is>
      </c>
      <c r="C12" s="393" t="inlineStr">
        <is>
          <t>Phạm Đức Kiên</t>
        </is>
      </c>
      <c r="D12" s="525" t="n">
        <v>44927</v>
      </c>
      <c r="E12" s="353">
        <f>VLOOKUP(B12,'Template Payroll'!$B$6:$J$18,9,0)</f>
        <v/>
      </c>
      <c r="F12" s="803" t="n">
        <v>1</v>
      </c>
      <c r="G12" s="803" t="n">
        <v>9</v>
      </c>
      <c r="H12" s="803" t="n">
        <v>0</v>
      </c>
      <c r="I12" s="803" t="n">
        <v>0</v>
      </c>
      <c r="J12" s="803" t="n">
        <v>6</v>
      </c>
      <c r="K12" s="803" t="n">
        <v>2</v>
      </c>
      <c r="L12" s="804">
        <f>ROUND(E12/26/8*$L$5*F12,0)</f>
        <v/>
      </c>
      <c r="M12" s="804">
        <f>ROUND(E12/26/8*$M$5*G12,0)</f>
        <v/>
      </c>
      <c r="N12" s="804">
        <f>ROUND(E12/26/8*$N$5*H12,0)</f>
        <v/>
      </c>
      <c r="O12" s="804">
        <f>ROUND(E12/26/8*$O$5*I12,0)</f>
        <v/>
      </c>
      <c r="P12" s="804">
        <f>ROUND(E12/26/8*$P$5*J12,0)</f>
        <v/>
      </c>
      <c r="Q12" s="804">
        <f>ROUND(E12/26/8*$Q$5*K12,0)</f>
        <v/>
      </c>
      <c r="R12" s="805">
        <f>ROUND(SUM(L12:Q12),0)</f>
        <v/>
      </c>
      <c r="S12" s="806">
        <f>ROUND(SUM(F12:K12)*E12/26/8,0)</f>
        <v/>
      </c>
      <c r="T12" s="807">
        <f>ROUND(R12-S12,0)</f>
        <v/>
      </c>
    </row>
    <row r="13" ht="22.5" customFormat="1" customHeight="1" s="37">
      <c r="A13" s="35">
        <f>ROW()-6</f>
        <v/>
      </c>
      <c r="B13" s="352" t="inlineStr">
        <is>
          <t>PVT2500117</t>
        </is>
      </c>
      <c r="C13" s="393" t="inlineStr">
        <is>
          <t>Nguyễn Văn Quân</t>
        </is>
      </c>
      <c r="D13" s="525" t="n">
        <v>45292</v>
      </c>
      <c r="E13" s="353">
        <f>VLOOKUP(B13,'Template Payroll'!$B$6:$J$18,9,0)</f>
        <v/>
      </c>
      <c r="F13" s="803" t="n">
        <v>0</v>
      </c>
      <c r="G13" s="803" t="n">
        <v>0</v>
      </c>
      <c r="H13" s="803" t="n">
        <v>0</v>
      </c>
      <c r="I13" s="803" t="n">
        <v>0</v>
      </c>
      <c r="J13" s="803" t="n">
        <v>0</v>
      </c>
      <c r="K13" s="803" t="n">
        <v>0</v>
      </c>
      <c r="L13" s="804">
        <f>ROUND(E13/26/8*$L$5*F13,0)</f>
        <v/>
      </c>
      <c r="M13" s="804">
        <f>ROUND(E13/26/8*$M$5*G13,0)</f>
        <v/>
      </c>
      <c r="N13" s="804">
        <f>ROUND(E13/26/8*$N$5*H13,0)</f>
        <v/>
      </c>
      <c r="O13" s="804">
        <f>ROUND(E13/26/8*$O$5*I13,0)</f>
        <v/>
      </c>
      <c r="P13" s="804">
        <f>ROUND(E13/26/8*$P$5*J13,0)</f>
        <v/>
      </c>
      <c r="Q13" s="804">
        <f>ROUND(E13/26/8*$Q$5*K13,0)</f>
        <v/>
      </c>
      <c r="R13" s="805">
        <f>ROUND(SUM(L13:Q13),0)</f>
        <v/>
      </c>
      <c r="S13" s="806">
        <f>ROUND(SUM(F13:K13)*E13/26/8,0)</f>
        <v/>
      </c>
      <c r="T13" s="807">
        <f>ROUND(R13-S13,0)</f>
        <v/>
      </c>
    </row>
    <row r="14" ht="22.5" customFormat="1" customHeight="1" s="37">
      <c r="A14" s="35">
        <f>ROW()-6</f>
        <v/>
      </c>
      <c r="B14" s="352" t="inlineStr">
        <is>
          <t>PVT2500118</t>
        </is>
      </c>
      <c r="C14" s="393" t="inlineStr">
        <is>
          <t>Ngô Văn Tuấn</t>
        </is>
      </c>
      <c r="D14" s="529" t="n">
        <v>45738</v>
      </c>
      <c r="E14" s="353">
        <f>VLOOKUP(B14,'Template Payroll'!$B$6:$J$18,9,0)</f>
        <v/>
      </c>
      <c r="F14" s="803" t="n">
        <v>1</v>
      </c>
      <c r="G14" s="803" t="n">
        <v>9</v>
      </c>
      <c r="H14" s="803" t="n">
        <v>0</v>
      </c>
      <c r="I14" s="803" t="n">
        <v>0</v>
      </c>
      <c r="J14" s="803" t="n">
        <v>6</v>
      </c>
      <c r="K14" s="803" t="n">
        <v>2</v>
      </c>
      <c r="L14" s="804">
        <f>ROUND(E14/26/8*$L$5*F14,0)</f>
        <v/>
      </c>
      <c r="M14" s="804">
        <f>ROUND(E14/26/8*$M$5*G14,0)</f>
        <v/>
      </c>
      <c r="N14" s="804">
        <f>ROUND(E14/26/8*$N$5*H14,0)</f>
        <v/>
      </c>
      <c r="O14" s="804">
        <f>ROUND(E14/26/8*$O$5*I14,0)</f>
        <v/>
      </c>
      <c r="P14" s="804">
        <f>ROUND(E14/26/8*$P$5*J14,0)</f>
        <v/>
      </c>
      <c r="Q14" s="804">
        <f>ROUND(E14/26/8*$Q$5*K14,0)</f>
        <v/>
      </c>
      <c r="R14" s="808">
        <f>ROUND(SUM(L14:Q14),0)</f>
        <v/>
      </c>
      <c r="S14" s="809">
        <f>R14</f>
        <v/>
      </c>
      <c r="T14" s="807" t="n">
        <v>0</v>
      </c>
      <c r="U14" s="37" t="inlineStr">
        <is>
          <t>HĐTV</t>
        </is>
      </c>
    </row>
    <row r="15" ht="22.5" customFormat="1" customHeight="1" s="25">
      <c r="A15" s="248" t="n"/>
      <c r="B15" s="248" t="n"/>
      <c r="C15" s="385" t="n"/>
      <c r="D15" s="526" t="n"/>
      <c r="E15" s="524" t="n"/>
      <c r="F15" s="248">
        <f>SUM(F7:F14)</f>
        <v/>
      </c>
      <c r="G15" s="248">
        <f>SUM(G7:G14)</f>
        <v/>
      </c>
      <c r="H15" s="810">
        <f>SUM(H7:H14)</f>
        <v/>
      </c>
      <c r="I15" s="810">
        <f>SUM(I7:I14)</f>
        <v/>
      </c>
      <c r="J15" s="810">
        <f>SUM(J7:J14)</f>
        <v/>
      </c>
      <c r="K15" s="810">
        <f>SUM(K7:K14)</f>
        <v/>
      </c>
      <c r="L15" s="810">
        <f>SUM(L7:L14)</f>
        <v/>
      </c>
      <c r="M15" s="810">
        <f>SUM(M7:M14)</f>
        <v/>
      </c>
      <c r="N15" s="810">
        <f>SUM(N7:N14)</f>
        <v/>
      </c>
      <c r="O15" s="810">
        <f>SUM(O7:O14)</f>
        <v/>
      </c>
      <c r="P15" s="311">
        <f>SUM(P7:P14)</f>
        <v/>
      </c>
      <c r="Q15" s="311">
        <f>SUM(Q7:Q14)</f>
        <v/>
      </c>
      <c r="R15" s="311">
        <f>SUM(R7:R14)</f>
        <v/>
      </c>
      <c r="S15" s="311">
        <f>SUM(S7:S14)</f>
        <v/>
      </c>
      <c r="T15" s="311">
        <f>SUM(T7:T14)</f>
        <v/>
      </c>
    </row>
    <row r="16">
      <c r="F16" s="1" t="n"/>
      <c r="G16" s="1" t="n"/>
      <c r="H16" s="1" t="n"/>
      <c r="N16" s="3" t="n"/>
      <c r="O16" s="1" t="n"/>
      <c r="P16" s="1" t="n"/>
      <c r="Q16" s="1" t="n"/>
      <c r="R16" s="1" t="n"/>
      <c r="S16" s="1" t="n"/>
      <c r="T16" s="1" t="n"/>
    </row>
    <row r="17" customFormat="1" s="1">
      <c r="I17" s="3" t="n"/>
      <c r="J17" s="3" t="n"/>
      <c r="K17" s="3" t="n"/>
      <c r="L17" s="3" t="n"/>
      <c r="M17" s="3" t="n"/>
      <c r="N17" s="3" t="n"/>
    </row>
    <row r="18" customFormat="1" s="1">
      <c r="I18" s="3" t="n"/>
      <c r="J18" s="3" t="n"/>
      <c r="K18" s="3" t="n"/>
      <c r="L18" s="3" t="n"/>
      <c r="M18" s="3" t="n"/>
      <c r="N18" s="3" t="n"/>
    </row>
    <row r="19" customFormat="1" s="1">
      <c r="I19" s="3" t="n"/>
      <c r="J19" s="3" t="n"/>
      <c r="K19" s="3" t="n"/>
      <c r="L19" s="3" t="n"/>
      <c r="M19" s="3" t="n"/>
      <c r="N19" s="3" t="n"/>
    </row>
    <row r="20" customFormat="1" s="1">
      <c r="I20" s="3" t="n"/>
      <c r="J20" s="3" t="n"/>
      <c r="K20" s="3" t="n"/>
      <c r="L20" s="3" t="n"/>
      <c r="M20" s="3" t="n"/>
      <c r="N20" s="3" t="n"/>
    </row>
    <row r="21" customFormat="1" s="1">
      <c r="I21" s="3" t="n"/>
      <c r="J21" s="3" t="n"/>
      <c r="K21" s="3" t="n"/>
      <c r="L21" s="3" t="n"/>
      <c r="M21" s="3" t="n"/>
      <c r="N21" s="3" t="n"/>
    </row>
    <row r="22" customFormat="1" s="1">
      <c r="I22" s="3" t="n"/>
      <c r="J22" s="3" t="n"/>
      <c r="K22" s="3" t="n"/>
      <c r="L22" s="3" t="n"/>
      <c r="M22" s="3" t="n"/>
      <c r="N22" s="3" t="n"/>
    </row>
    <row r="23" customFormat="1" s="1">
      <c r="I23" s="3" t="n"/>
      <c r="J23" s="3" t="n"/>
      <c r="K23" s="3" t="n"/>
      <c r="L23" s="3" t="n"/>
      <c r="M23" s="3" t="n"/>
      <c r="N23" s="3" t="n"/>
    </row>
    <row r="24" customFormat="1" s="1">
      <c r="I24" s="3" t="n"/>
      <c r="J24" s="3" t="n"/>
      <c r="K24" s="3" t="n"/>
      <c r="L24" s="3" t="n"/>
      <c r="M24" s="3" t="n"/>
      <c r="N24" s="3" t="n"/>
    </row>
    <row r="25" customFormat="1" s="1">
      <c r="I25" s="3" t="n"/>
      <c r="J25" s="3" t="n"/>
      <c r="K25" s="3" t="n"/>
      <c r="L25" s="3" t="n"/>
      <c r="M25" s="3" t="n"/>
      <c r="N25" s="3" t="n"/>
    </row>
    <row r="26" customFormat="1" s="1">
      <c r="I26" s="3" t="n"/>
      <c r="J26" s="3" t="n"/>
      <c r="K26" s="3" t="n"/>
      <c r="L26" s="3" t="n"/>
      <c r="M26" s="3" t="n"/>
      <c r="N26" s="3" t="n"/>
    </row>
    <row r="27" customFormat="1" s="1">
      <c r="I27" s="3" t="n"/>
      <c r="J27" s="3" t="n"/>
      <c r="K27" s="3" t="n"/>
      <c r="L27" s="3" t="n"/>
      <c r="M27" s="3" t="n"/>
      <c r="N27" s="3" t="n"/>
    </row>
    <row r="28" customFormat="1" s="1">
      <c r="I28" s="3" t="n"/>
      <c r="J28" s="3" t="n"/>
      <c r="K28" s="3" t="n"/>
      <c r="L28" s="3" t="n"/>
      <c r="M28" s="3" t="n"/>
      <c r="N28" s="3" t="n"/>
    </row>
    <row r="29" customFormat="1" s="1">
      <c r="I29" s="3" t="n"/>
      <c r="J29" s="3" t="n"/>
      <c r="K29" s="3" t="n"/>
      <c r="L29" s="3" t="n"/>
      <c r="M29" s="3" t="n"/>
      <c r="N29" s="3" t="n"/>
    </row>
    <row r="30" customFormat="1" s="1">
      <c r="I30" s="3" t="n"/>
      <c r="J30" s="3" t="n"/>
      <c r="K30" s="3" t="n"/>
      <c r="L30" s="3" t="n"/>
      <c r="M30" s="3" t="n"/>
      <c r="N30" s="3" t="n"/>
    </row>
    <row r="31" customFormat="1" s="1">
      <c r="I31" s="3" t="n"/>
      <c r="J31" s="3" t="n"/>
      <c r="K31" s="3" t="n"/>
      <c r="L31" s="3" t="n"/>
      <c r="M31" s="3" t="n"/>
      <c r="N31" s="3" t="n"/>
    </row>
    <row r="32" customFormat="1" s="1">
      <c r="I32" s="3" t="n"/>
      <c r="J32" s="3" t="n"/>
      <c r="K32" s="3" t="n"/>
      <c r="L32" s="3" t="n"/>
      <c r="M32" s="3" t="n"/>
      <c r="N32" s="3" t="n"/>
    </row>
    <row r="33" customFormat="1" s="1">
      <c r="I33" s="3" t="n"/>
      <c r="J33" s="3" t="n"/>
      <c r="K33" s="3" t="n"/>
      <c r="L33" s="3" t="n"/>
      <c r="M33" s="3" t="n"/>
      <c r="N33" s="3" t="n"/>
    </row>
    <row r="34" customFormat="1" s="1">
      <c r="I34" s="3" t="n"/>
      <c r="J34" s="3" t="n"/>
      <c r="K34" s="3" t="n"/>
      <c r="L34" s="3" t="n"/>
      <c r="M34" s="3" t="n"/>
      <c r="N34" s="3" t="n"/>
    </row>
    <row r="35" customFormat="1" s="1">
      <c r="I35" s="3" t="n"/>
      <c r="J35" s="3" t="n"/>
      <c r="K35" s="3" t="n"/>
      <c r="L35" s="3" t="n"/>
      <c r="M35" s="3" t="n"/>
      <c r="N35" s="3" t="n"/>
    </row>
    <row r="36" customFormat="1" s="1">
      <c r="I36" s="3" t="n"/>
      <c r="J36" s="3" t="n"/>
      <c r="K36" s="3" t="n"/>
      <c r="L36" s="3" t="n"/>
      <c r="M36" s="3" t="n"/>
      <c r="N36" s="3" t="n"/>
    </row>
    <row r="37" customFormat="1" s="1">
      <c r="I37" s="3" t="n"/>
      <c r="J37" s="3" t="n"/>
      <c r="K37" s="3" t="n"/>
      <c r="L37" s="3" t="n"/>
      <c r="M37" s="3" t="n"/>
      <c r="N37" s="3" t="n"/>
    </row>
    <row r="38" customFormat="1" s="1">
      <c r="I38" s="3" t="n"/>
      <c r="J38" s="3" t="n"/>
      <c r="K38" s="3" t="n"/>
      <c r="L38" s="3" t="n"/>
      <c r="M38" s="3" t="n"/>
      <c r="N38" s="3" t="n"/>
    </row>
    <row r="39" customFormat="1" s="1">
      <c r="I39" s="3" t="n"/>
      <c r="J39" s="3" t="n"/>
      <c r="K39" s="3" t="n"/>
      <c r="L39" s="3" t="n"/>
      <c r="M39" s="3" t="n"/>
      <c r="N39" s="3" t="n"/>
    </row>
    <row r="40" customFormat="1" s="1">
      <c r="I40" s="3" t="n"/>
      <c r="J40" s="3" t="n"/>
      <c r="K40" s="3" t="n"/>
      <c r="L40" s="3" t="n"/>
      <c r="M40" s="3" t="n"/>
      <c r="N40" s="3" t="n"/>
    </row>
    <row r="41" customFormat="1" s="1">
      <c r="I41" s="3" t="n"/>
      <c r="J41" s="3" t="n"/>
      <c r="K41" s="3" t="n"/>
      <c r="L41" s="3" t="n"/>
      <c r="M41" s="3" t="n"/>
      <c r="N41" s="3" t="n"/>
    </row>
    <row r="42" customFormat="1" s="1">
      <c r="I42" s="3" t="n"/>
      <c r="J42" s="3" t="n"/>
      <c r="K42" s="3" t="n"/>
      <c r="L42" s="3" t="n"/>
      <c r="M42" s="3" t="n"/>
      <c r="N42" s="3" t="n"/>
    </row>
    <row r="43" customFormat="1" s="1">
      <c r="I43" s="3" t="n"/>
      <c r="J43" s="3" t="n"/>
      <c r="K43" s="3" t="n"/>
      <c r="L43" s="3" t="n"/>
      <c r="M43" s="3" t="n"/>
      <c r="N43" s="3" t="n"/>
    </row>
    <row r="44" customFormat="1" s="1">
      <c r="I44" s="3" t="n"/>
      <c r="J44" s="3" t="n"/>
      <c r="K44" s="3" t="n"/>
      <c r="L44" s="3" t="n"/>
      <c r="M44" s="3" t="n"/>
      <c r="N44" s="3" t="n"/>
    </row>
    <row r="45" customFormat="1" s="1">
      <c r="I45" s="3" t="n"/>
      <c r="J45" s="3" t="n"/>
      <c r="K45" s="3" t="n"/>
      <c r="L45" s="3" t="n"/>
      <c r="M45" s="3" t="n"/>
      <c r="N45" s="3" t="n"/>
    </row>
    <row r="46" customFormat="1" s="1">
      <c r="I46" s="3" t="n"/>
      <c r="J46" s="3" t="n"/>
      <c r="K46" s="3" t="n"/>
      <c r="L46" s="3" t="n"/>
      <c r="M46" s="3" t="n"/>
      <c r="N46" s="3" t="n"/>
    </row>
    <row r="47" customFormat="1" s="1">
      <c r="I47" s="3" t="n"/>
      <c r="J47" s="3" t="n"/>
      <c r="K47" s="3" t="n"/>
      <c r="L47" s="3" t="n"/>
      <c r="M47" s="3" t="n"/>
      <c r="N47" s="3" t="n"/>
    </row>
    <row r="48" customFormat="1" s="1">
      <c r="I48" s="3" t="n"/>
      <c r="J48" s="3" t="n"/>
      <c r="K48" s="3" t="n"/>
      <c r="L48" s="3" t="n"/>
      <c r="M48" s="3" t="n"/>
      <c r="N48" s="3" t="n"/>
    </row>
    <row r="49" customFormat="1" s="1">
      <c r="I49" s="3" t="n"/>
      <c r="J49" s="3" t="n"/>
      <c r="K49" s="3" t="n"/>
      <c r="L49" s="3" t="n"/>
      <c r="M49" s="3" t="n"/>
      <c r="N49" s="3" t="n"/>
    </row>
    <row r="50" customFormat="1" s="1">
      <c r="I50" s="3" t="n"/>
      <c r="J50" s="3" t="n"/>
      <c r="K50" s="3" t="n"/>
      <c r="L50" s="3" t="n"/>
      <c r="M50" s="3" t="n"/>
      <c r="N50" s="3" t="n"/>
    </row>
    <row r="51" customFormat="1" s="1">
      <c r="I51" s="3" t="n"/>
      <c r="J51" s="3" t="n"/>
      <c r="K51" s="3" t="n"/>
      <c r="L51" s="3" t="n"/>
      <c r="M51" s="3" t="n"/>
      <c r="N51" s="3" t="n"/>
    </row>
  </sheetData>
  <autoFilter ref="A5:T15"/>
  <mergeCells count="5">
    <mergeCell ref="R4:R5"/>
    <mergeCell ref="T4:T5"/>
    <mergeCell ref="S4:S5"/>
    <mergeCell ref="F4:K4"/>
    <mergeCell ref="L4:Q4"/>
  </mergeCells>
  <conditionalFormatting sqref="B1:B14 B16:B1048576">
    <cfRule type="duplicateValues" priority="186496" dxfId="1"/>
  </conditionalFormatting>
  <conditionalFormatting sqref="B16:B1048576">
    <cfRule type="duplicateValues" priority="62" dxfId="1"/>
  </conditionalFormatting>
  <pageMargins left="0.458333333333333" right="0.458333333333333" top="0.747916666666667" bottom="0.747916666666667" header="0.511805555555556" footer="0.511805555555556"/>
  <pageSetup orientation="landscape" paperSize="9" scale="55" firstPageNumber="0" horizontalDpi="300" verticalDpi="300"/>
</worksheet>
</file>

<file path=xl/worksheets/sheet6.xml><?xml version="1.0" encoding="utf-8"?>
<worksheet xmlns="http://schemas.openxmlformats.org/spreadsheetml/2006/main">
  <sheetPr codeName="Sheet9">
    <outlinePr summaryBelow="1" summaryRight="1"/>
    <pageSetUpPr/>
  </sheetPr>
  <dimension ref="A1:I17"/>
  <sheetViews>
    <sheetView zoomScaleNormal="100" zoomScaleSheetLayoutView="82" workbookViewId="0">
      <pane xSplit="4" ySplit="8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20" sqref="D20"/>
    </sheetView>
  </sheetViews>
  <sheetFormatPr baseColWidth="8" defaultColWidth="9" defaultRowHeight="12"/>
  <cols>
    <col width="7.7109375" customWidth="1" style="1" min="1" max="1"/>
    <col width="12.85546875" customWidth="1" style="1" min="2" max="2"/>
    <col width="19.140625" customWidth="1" style="1" min="3" max="3"/>
    <col width="17.42578125" customWidth="1" style="2" min="4" max="4"/>
    <col width="17.42578125" customWidth="1" style="1" min="5" max="5"/>
    <col width="12.5703125" customWidth="1" style="3" min="6" max="6"/>
    <col width="17.28515625" customWidth="1" style="3" min="7" max="7"/>
    <col width="15.85546875" customWidth="1" style="1" min="8" max="8"/>
    <col width="15" customWidth="1" style="1" min="9" max="9"/>
    <col width="9" customWidth="1" style="1" min="10" max="204"/>
    <col width="3.5703125" customWidth="1" style="1" min="205" max="205"/>
    <col width="19.140625" customWidth="1" style="1" min="206" max="206"/>
    <col width="10.140625" customWidth="1" style="1" min="207" max="207"/>
    <col width="10.7109375" customWidth="1" style="1" min="208" max="208"/>
    <col width="8.28515625" customWidth="1" style="1" min="209" max="209"/>
    <col width="8.7109375" customWidth="1" style="1" min="210" max="210"/>
    <col width="6.28515625" customWidth="1" style="1" min="211" max="211"/>
    <col width="7.140625" customWidth="1" style="1" min="212" max="212"/>
    <col width="5.7109375" customWidth="1" style="1" min="213" max="213"/>
    <col width="5.85546875" customWidth="1" style="1" min="214" max="214"/>
    <col width="5.28515625" customWidth="1" style="1" min="215" max="215"/>
    <col width="6" customWidth="1" style="1" min="216" max="216"/>
    <col width="6.5703125" customWidth="1" style="1" min="217" max="217"/>
    <col width="6.140625" customWidth="1" style="1" min="218" max="218"/>
    <col width="6.42578125" customWidth="1" style="1" min="219" max="221"/>
    <col width="7.140625" customWidth="1" style="1" min="222" max="222"/>
    <col width="7.85546875" customWidth="1" style="1" min="223" max="223"/>
    <col width="5.5703125" customWidth="1" style="1" min="224" max="224"/>
    <col width="8.85546875" customWidth="1" style="1" min="225" max="225"/>
    <col width="12.42578125" customWidth="1" style="1" min="226" max="226"/>
    <col width="13.42578125" customWidth="1" style="1" min="227" max="227"/>
    <col width="7.42578125" customWidth="1" style="1" min="228" max="229"/>
    <col width="6" customWidth="1" style="1" min="230" max="230"/>
    <col width="8.5703125" customWidth="1" style="1" min="231" max="231"/>
    <col width="7.140625" customWidth="1" style="1" min="232" max="232"/>
    <col width="9" customWidth="1" style="1" min="233" max="16384"/>
  </cols>
  <sheetData>
    <row r="1" ht="20.25" customFormat="1" customHeight="1" s="9">
      <c r="A1" s="6" t="inlineStr">
        <is>
          <t xml:space="preserve">NIGHT SHIFT </t>
        </is>
      </c>
      <c r="B1" s="6" t="n"/>
      <c r="C1" s="6" t="n"/>
      <c r="D1" s="7" t="n"/>
      <c r="E1" s="6" t="n"/>
      <c r="F1" s="8" t="n"/>
      <c r="G1" s="8" t="n"/>
    </row>
    <row r="2" hidden="1" ht="15.75" customFormat="1" customHeight="1" s="9">
      <c r="A2" s="10" t="n"/>
      <c r="B2" s="11" t="n"/>
      <c r="C2" s="11" t="n"/>
      <c r="D2" s="12" t="n"/>
      <c r="E2" s="13" t="n"/>
      <c r="F2" s="14" t="n"/>
      <c r="G2" s="15" t="n"/>
    </row>
    <row r="3" hidden="1" ht="15" customFormat="1" customHeight="1" s="9">
      <c r="D3" s="17" t="n"/>
      <c r="F3" s="18" t="n"/>
      <c r="G3" s="20" t="n"/>
    </row>
    <row r="4" hidden="1" ht="43.5" customFormat="1" customHeight="1" s="38">
      <c r="A4" s="58" t="n"/>
      <c r="D4" s="39" t="n"/>
      <c r="F4" s="40" t="n"/>
      <c r="G4" s="40" t="n"/>
    </row>
    <row r="5" ht="24" customFormat="1" customHeight="1" s="38">
      <c r="D5" s="39" t="n"/>
      <c r="F5" s="233">
        <f>SUBTOTAL(9,F9:F16)</f>
        <v/>
      </c>
      <c r="G5" s="234">
        <f>SUBTOTAL(9,G9:G16)</f>
        <v/>
      </c>
    </row>
    <row r="6" ht="29.25" customFormat="1" customHeight="1" s="25">
      <c r="A6" s="50" t="n"/>
      <c r="B6" s="51" t="n"/>
      <c r="C6" s="49" t="n"/>
      <c r="D6" s="52" t="n"/>
      <c r="E6" s="53" t="n"/>
      <c r="F6" s="533" t="n"/>
      <c r="G6" s="533" t="n"/>
      <c r="H6" s="533" t="n"/>
      <c r="I6" s="533" t="n"/>
    </row>
    <row r="7" ht="54" customFormat="1" customHeight="1" s="25">
      <c r="A7" s="538" t="inlineStr">
        <is>
          <t>No.</t>
        </is>
      </c>
      <c r="B7" s="539" t="inlineStr">
        <is>
          <t>Emp. Code</t>
        </is>
      </c>
      <c r="C7" s="540" t="inlineStr">
        <is>
          <t>Full name</t>
        </is>
      </c>
      <c r="D7" s="541" t="inlineStr">
        <is>
          <t>Joinging date</t>
        </is>
      </c>
      <c r="E7" s="542" t="inlineStr">
        <is>
          <t>Income 
Salary</t>
        </is>
      </c>
      <c r="F7" s="543" t="inlineStr">
        <is>
          <t xml:space="preserve">Total hour night shift </t>
        </is>
      </c>
      <c r="G7" s="543" t="inlineStr">
        <is>
          <t xml:space="preserve">
Payment night shift 
 </t>
        </is>
      </c>
      <c r="H7" s="543" t="inlineStr">
        <is>
          <t xml:space="preserve">
Night shift taxable </t>
        </is>
      </c>
      <c r="I7" s="543" t="inlineStr">
        <is>
          <t xml:space="preserve">
Night shift untax  </t>
        </is>
      </c>
    </row>
    <row r="8" ht="15.75" customFormat="1" customHeight="1" s="34">
      <c r="A8" s="548" t="n"/>
      <c r="B8" s="534" t="n">
        <v>1</v>
      </c>
      <c r="C8" s="534">
        <f>B8+1</f>
        <v/>
      </c>
      <c r="D8" s="549" t="n">
        <v>3</v>
      </c>
      <c r="E8" s="534">
        <f>D8+1</f>
        <v/>
      </c>
      <c r="F8" s="534">
        <f>E8+1</f>
        <v/>
      </c>
      <c r="G8" s="534">
        <f>F8+1</f>
        <v/>
      </c>
      <c r="H8" s="534">
        <f>G8+1</f>
        <v/>
      </c>
      <c r="I8" s="534">
        <f>H8+1</f>
        <v/>
      </c>
    </row>
    <row r="9" ht="15.75" customFormat="1" customHeight="1" s="34">
      <c r="A9" s="550">
        <f>ROW()-8</f>
        <v/>
      </c>
      <c r="B9" s="535" t="inlineStr">
        <is>
          <t>SLA2500111</t>
        </is>
      </c>
      <c r="C9" s="551" t="inlineStr">
        <is>
          <t>Nguyen Van A</t>
        </is>
      </c>
      <c r="D9" s="552" t="n">
        <v>43466</v>
      </c>
      <c r="E9" s="553">
        <f>IFERROR(VLOOKUP(B9,'Template Payroll'!$B$6:$J$15,9,0),0)</f>
        <v/>
      </c>
      <c r="F9" s="554" t="n">
        <v>2</v>
      </c>
      <c r="G9" s="811">
        <f>ROUND((E9/26/8)*30%*F9,0)</f>
        <v/>
      </c>
      <c r="H9" s="812">
        <f>G9-I9</f>
        <v/>
      </c>
      <c r="I9" s="812">
        <f>G9</f>
        <v/>
      </c>
    </row>
    <row r="10" ht="15.75" customFormat="1" customHeight="1" s="34">
      <c r="A10" s="550">
        <f>ROW()-8</f>
        <v/>
      </c>
      <c r="B10" s="535" t="inlineStr">
        <is>
          <t>PHI2500112</t>
        </is>
      </c>
      <c r="C10" s="551" t="inlineStr">
        <is>
          <t>Nguyen Van B</t>
        </is>
      </c>
      <c r="D10" s="552" t="n">
        <v>43831</v>
      </c>
      <c r="E10" s="553">
        <f>IFERROR(VLOOKUP(B10,'Template Payroll'!$B$6:$J$15,9,0),0)</f>
        <v/>
      </c>
      <c r="F10" s="554" t="n">
        <v>3</v>
      </c>
      <c r="G10" s="811">
        <f>ROUND((E10/26/8)*30%*F10,0)</f>
        <v/>
      </c>
      <c r="H10" s="812">
        <f>G10-I10</f>
        <v/>
      </c>
      <c r="I10" s="812">
        <f>G10</f>
        <v/>
      </c>
    </row>
    <row r="11" ht="15.75" customFormat="1" customHeight="1" s="34">
      <c r="A11" s="550">
        <f>ROW()-8</f>
        <v/>
      </c>
      <c r="B11" s="535" t="inlineStr">
        <is>
          <t>PVT2500113</t>
        </is>
      </c>
      <c r="C11" s="551" t="inlineStr">
        <is>
          <t>Nguyen Duc Khanh</t>
        </is>
      </c>
      <c r="D11" s="552" t="n">
        <v>44197</v>
      </c>
      <c r="E11" s="553">
        <f>IFERROR(VLOOKUP(B11,'Template Payroll'!$B$6:$J$15,9,0),0)</f>
        <v/>
      </c>
      <c r="F11" s="554" t="n">
        <v>4</v>
      </c>
      <c r="G11" s="811">
        <f>ROUND((E11/26/8)*30%*F11,0)</f>
        <v/>
      </c>
      <c r="H11" s="812">
        <f>G11-I11</f>
        <v/>
      </c>
      <c r="I11" s="812">
        <f>G11</f>
        <v/>
      </c>
    </row>
    <row r="12" ht="15.75" customFormat="1" customHeight="1" s="34">
      <c r="A12" s="550">
        <f>ROW()-8</f>
        <v/>
      </c>
      <c r="B12" s="535" t="inlineStr">
        <is>
          <t>PVT2500114</t>
        </is>
      </c>
      <c r="C12" s="551" t="inlineStr">
        <is>
          <t>Nguyen Son Tung</t>
        </is>
      </c>
      <c r="D12" s="552" t="n">
        <v>44562</v>
      </c>
      <c r="E12" s="553">
        <f>IFERROR(VLOOKUP(B12,'Template Payroll'!$B$6:$J$15,9,0),0)</f>
        <v/>
      </c>
      <c r="F12" s="554" t="n">
        <v>1.5</v>
      </c>
      <c r="G12" s="811">
        <f>ROUND((E12/26/8)*30%*F12,0)</f>
        <v/>
      </c>
      <c r="H12" s="812">
        <f>G12-I12</f>
        <v/>
      </c>
      <c r="I12" s="812">
        <f>G12</f>
        <v/>
      </c>
    </row>
    <row r="13" ht="15.75" customFormat="1" customHeight="1" s="34">
      <c r="A13" s="550">
        <f>ROW()-8</f>
        <v/>
      </c>
      <c r="B13" s="535" t="inlineStr">
        <is>
          <t>PVT2500115</t>
        </is>
      </c>
      <c r="C13" s="551" t="inlineStr">
        <is>
          <t>Nguyen Quang Cuong</t>
        </is>
      </c>
      <c r="D13" s="552" t="n">
        <v>45740</v>
      </c>
      <c r="E13" s="553">
        <f>IFERROR(VLOOKUP(B13,'Template Payroll'!$B$6:$J$15,9,0),0)</f>
        <v/>
      </c>
      <c r="F13" s="554" t="n">
        <v>0.5</v>
      </c>
      <c r="G13" s="811">
        <f>ROUND((E13/26/8)*30%*F13,0)</f>
        <v/>
      </c>
      <c r="H13" s="812">
        <f>G13-I13</f>
        <v/>
      </c>
      <c r="I13" s="812" t="n"/>
    </row>
    <row r="14" ht="15.75" customFormat="1" customHeight="1" s="34">
      <c r="A14" s="550">
        <f>ROW()-8</f>
        <v/>
      </c>
      <c r="B14" s="535" t="inlineStr">
        <is>
          <t>PVT2500116</t>
        </is>
      </c>
      <c r="C14" s="551" t="inlineStr">
        <is>
          <t>Pham Duc Kien</t>
        </is>
      </c>
      <c r="D14" s="552" t="n">
        <v>44927</v>
      </c>
      <c r="E14" s="553">
        <f>IFERROR(VLOOKUP(B14,'Template Payroll'!$B$6:$J$15,9,0),0)</f>
        <v/>
      </c>
      <c r="F14" s="554" t="n">
        <v>1</v>
      </c>
      <c r="G14" s="811">
        <f>ROUND((E14/26/8)*30%*F14,0)</f>
        <v/>
      </c>
      <c r="H14" s="812">
        <f>G14-I14</f>
        <v/>
      </c>
      <c r="I14" s="812">
        <f>G14</f>
        <v/>
      </c>
    </row>
    <row r="15" ht="15.75" customFormat="1" customHeight="1" s="34">
      <c r="A15" s="550">
        <f>ROW()-8</f>
        <v/>
      </c>
      <c r="B15" s="535" t="inlineStr">
        <is>
          <t>PVT2500117</t>
        </is>
      </c>
      <c r="C15" s="551" t="inlineStr">
        <is>
          <t>Nguyen Van Quan</t>
        </is>
      </c>
      <c r="D15" s="552" t="n">
        <v>45292</v>
      </c>
      <c r="E15" s="553">
        <f>IFERROR(VLOOKUP(B15,'Template Payroll'!$B$6:$J$15,9,0),0)</f>
        <v/>
      </c>
      <c r="F15" s="554" t="n">
        <v>5</v>
      </c>
      <c r="G15" s="811">
        <f>ROUND((E15/26/8)*30%*F15,0)</f>
        <v/>
      </c>
      <c r="H15" s="812">
        <f>G15-I15</f>
        <v/>
      </c>
      <c r="I15" s="812">
        <f>G15</f>
        <v/>
      </c>
    </row>
    <row r="16" ht="15.75" customFormat="1" customHeight="1" s="34">
      <c r="A16" s="550">
        <f>ROW()-8</f>
        <v/>
      </c>
      <c r="B16" s="535" t="inlineStr">
        <is>
          <t>PVT2500118</t>
        </is>
      </c>
      <c r="C16" s="551" t="inlineStr">
        <is>
          <t>Nggo Van Tuan</t>
        </is>
      </c>
      <c r="D16" s="552" t="n">
        <v>45738</v>
      </c>
      <c r="E16" s="553">
        <f>IFERROR(VLOOKUP(B16,'Template Payroll'!$B$6:$J$18,9,0),0)</f>
        <v/>
      </c>
      <c r="F16" s="554" t="n">
        <v>6</v>
      </c>
      <c r="G16" s="811">
        <f>ROUND((E16/26/8)*30%*F16,0)</f>
        <v/>
      </c>
      <c r="H16" s="812">
        <f>G16-I16</f>
        <v/>
      </c>
      <c r="I16" s="812" t="n"/>
    </row>
    <row r="17" ht="22.5" customFormat="1" customHeight="1" s="25">
      <c r="A17" s="363" t="n"/>
      <c r="B17" s="363" t="n"/>
      <c r="C17" s="544" t="inlineStr">
        <is>
          <t>Total</t>
        </is>
      </c>
      <c r="D17" s="545" t="n"/>
      <c r="E17" s="546">
        <f>SUM(E9:E16)</f>
        <v/>
      </c>
      <c r="F17" s="547">
        <f>SUM(F9:F16)</f>
        <v/>
      </c>
      <c r="G17" s="546">
        <f>SUM(G9:G16)</f>
        <v/>
      </c>
      <c r="H17" s="546">
        <f>SUM(H9:H16)</f>
        <v/>
      </c>
      <c r="I17" s="546">
        <f>SUM(I9:I16)</f>
        <v/>
      </c>
    </row>
  </sheetData>
  <autoFilter ref="A7:G17"/>
  <conditionalFormatting sqref="A4 B1:B3 B5:B1048576">
    <cfRule type="duplicateValues" priority="180" dxfId="1"/>
    <cfRule type="duplicateValues" priority="181" dxfId="1"/>
  </conditionalFormatting>
  <conditionalFormatting sqref="B1:B1048576">
    <cfRule type="duplicateValues" priority="1" dxfId="1"/>
    <cfRule type="duplicateValues" priority="188938" dxfId="1"/>
  </conditionalFormatting>
  <pageMargins left="0.4583333333333333" right="0.4583333333333333" top="0.7479166666666667" bottom="0.7479166666666667" header="0.5118055555555555" footer="0.5118055555555555"/>
  <pageSetup orientation="portrait" paperSize="9" scale="60" firstPageNumber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zoomScaleNormal="100" zoomScaleSheetLayoutView="20" workbookViewId="0">
      <pane xSplit="5" ySplit="8" topLeftCell="F9" activePane="bottomRight" state="frozen"/>
      <selection activeCell="C13" sqref="C13"/>
      <selection pane="topRight" activeCell="C13" sqref="C13"/>
      <selection pane="bottomLeft" activeCell="C13" sqref="C13"/>
      <selection pane="bottomRight" activeCell="G20" sqref="G20"/>
    </sheetView>
  </sheetViews>
  <sheetFormatPr baseColWidth="8" defaultRowHeight="15"/>
  <cols>
    <col width="7.5703125" customWidth="1" style="95" min="1" max="1"/>
    <col width="12.7109375" customWidth="1" style="95" min="2" max="2"/>
    <col width="26.85546875" customWidth="1" style="95" min="3" max="3"/>
    <col hidden="1" width="10.140625" customWidth="1" style="156" min="4" max="4"/>
    <col hidden="1" width="10.140625" customWidth="1" style="155" min="5" max="5"/>
    <col hidden="1" width="10.140625" customWidth="1" style="95" min="6" max="6"/>
    <col width="18.85546875" customWidth="1" style="95" min="7" max="7"/>
    <col width="16.28515625" customWidth="1" style="95" min="8" max="10"/>
    <col width="13.7109375" customWidth="1" style="95" min="11" max="11"/>
    <col hidden="1" width="15.5703125" customWidth="1" style="95" min="12" max="12"/>
    <col hidden="1" width="11.85546875" customWidth="1" style="95" min="13" max="13"/>
    <col width="9.140625" customWidth="1" style="95" min="14" max="16384"/>
  </cols>
  <sheetData>
    <row r="1" ht="7.5" customFormat="1" customHeight="1" s="124">
      <c r="A1" s="813" t="n"/>
      <c r="B1" s="123" t="n"/>
      <c r="D1" s="125" t="n"/>
      <c r="E1" s="126" t="n"/>
      <c r="H1" s="214" t="n"/>
      <c r="I1" s="214" t="n"/>
      <c r="J1" s="214" t="n"/>
      <c r="K1" s="214" t="n"/>
    </row>
    <row r="2" ht="15.75" customFormat="1" customHeight="1" s="124">
      <c r="A2" s="814" t="inlineStr">
        <is>
          <t xml:space="preserve">INCENTIVE </t>
        </is>
      </c>
      <c r="B2" s="123" t="n"/>
      <c r="D2" s="125" t="n"/>
      <c r="E2" s="126" t="n"/>
      <c r="H2" s="214" t="n"/>
      <c r="I2" s="214" t="n"/>
      <c r="J2" s="214" t="n"/>
      <c r="K2" s="214" t="n"/>
    </row>
    <row r="3" ht="20.25" customFormat="1" customHeight="1" s="128">
      <c r="A3" s="127" t="n"/>
      <c r="C3" s="815" t="n"/>
      <c r="D3" s="129" t="n"/>
      <c r="E3" s="130" t="n"/>
      <c r="H3" s="816">
        <f>SUBTOTAL(9,H9:H10)</f>
        <v/>
      </c>
      <c r="I3" s="816">
        <f>SUBTOTAL(9,I9:I10)</f>
        <v/>
      </c>
      <c r="J3" s="816">
        <f>SUBTOTAL(9,J9:J12)</f>
        <v/>
      </c>
      <c r="K3" s="816">
        <f>SUBTOTAL(9,K9:K12)</f>
        <v/>
      </c>
    </row>
    <row r="4" ht="9" customFormat="1" customHeight="1" s="136">
      <c r="A4" s="131" t="n"/>
      <c r="B4" s="132" t="n"/>
      <c r="C4" s="817" t="n"/>
      <c r="D4" s="818" t="n"/>
      <c r="E4" s="135" t="n"/>
      <c r="H4" s="819">
        <f>SUBTOTAL(9,H11:H11)</f>
        <v/>
      </c>
      <c r="I4" s="819">
        <f>SUBTOTAL(9,I11:I11)</f>
        <v/>
      </c>
      <c r="J4" s="819">
        <f>SUBTOTAL(9,J11:J11)</f>
        <v/>
      </c>
      <c r="K4" s="819">
        <f>SUBTOTAL(9,K11:K11)</f>
        <v/>
      </c>
      <c r="L4" s="820">
        <f>SUBTOTAL(9,L11:L11)</f>
        <v/>
      </c>
      <c r="M4" s="820">
        <f>SUBTOTAL(9,M11:M11)</f>
        <v/>
      </c>
    </row>
    <row r="5" ht="11.25" customFormat="1" customHeight="1" s="128">
      <c r="A5" s="137" t="n"/>
      <c r="B5" s="137" t="n"/>
      <c r="D5" s="129" t="n"/>
      <c r="E5" s="130" t="n"/>
      <c r="H5" s="216" t="n"/>
      <c r="I5" s="216" t="n"/>
      <c r="J5" s="216" t="n"/>
      <c r="K5" s="216" t="n"/>
    </row>
    <row r="6" hidden="1" ht="21.75" customFormat="1" customHeight="1" s="128">
      <c r="C6" s="821" t="n">
        <v>42004</v>
      </c>
      <c r="D6" s="822" t="n">
        <v>41974</v>
      </c>
      <c r="E6" s="130" t="n"/>
      <c r="F6" s="140" t="n"/>
      <c r="G6" s="140" t="inlineStr">
        <is>
          <t>c</t>
        </is>
      </c>
      <c r="H6" s="823">
        <f>SUBTOTAL(9,H9:H10)</f>
        <v/>
      </c>
      <c r="I6" s="823">
        <f>SUBTOTAL(9,I9:I10)</f>
        <v/>
      </c>
      <c r="J6" s="824">
        <f>SUBTOTAL(9,J9:J10)</f>
        <v/>
      </c>
      <c r="K6" s="823">
        <f>SUBTOTAL(9,K9:K10)</f>
        <v/>
      </c>
    </row>
    <row r="7" hidden="1" ht="20.25" customFormat="1" customHeight="1" s="142">
      <c r="A7" s="141" t="n"/>
      <c r="B7" s="141" t="n"/>
      <c r="D7" s="825" t="n">
        <v>44561</v>
      </c>
      <c r="E7" s="144" t="n"/>
      <c r="F7" s="145" t="n">
        <v>42339</v>
      </c>
      <c r="G7" s="146" t="n">
        <v>364</v>
      </c>
      <c r="H7" s="232">
        <f>SUBTOTAL(9,H9:H12)</f>
        <v/>
      </c>
      <c r="I7" s="232">
        <f>SUBTOTAL(9,I9:I12)</f>
        <v/>
      </c>
      <c r="J7" s="232">
        <f>SUBTOTAL(9,J9:J12)</f>
        <v/>
      </c>
      <c r="K7" s="232">
        <f>SUBTOTAL(9,K9:K12)</f>
        <v/>
      </c>
    </row>
    <row r="8" ht="27.75" customFormat="1" customHeight="1" s="137">
      <c r="A8" s="119" t="inlineStr">
        <is>
          <t>No.</t>
        </is>
      </c>
      <c r="B8" s="120" t="inlineStr">
        <is>
          <t>Emp.Code</t>
        </is>
      </c>
      <c r="C8" s="147" t="inlineStr">
        <is>
          <t>Full Name</t>
        </is>
      </c>
      <c r="D8" s="121" t="inlineStr">
        <is>
          <t xml:space="preserve">Joining date
</t>
        </is>
      </c>
      <c r="E8" s="148" t="inlineStr">
        <is>
          <t>Quit one's job</t>
        </is>
      </c>
      <c r="F8" s="119" t="inlineStr">
        <is>
          <t>Division</t>
        </is>
      </c>
      <c r="G8" s="119" t="inlineStr">
        <is>
          <t>Dept.</t>
        </is>
      </c>
      <c r="H8" s="122" t="inlineStr">
        <is>
          <t xml:space="preserve">Incentive 
</t>
        </is>
      </c>
      <c r="I8" s="149" t="inlineStr">
        <is>
          <t>PP.Shipper</t>
        </is>
      </c>
      <c r="J8" s="149" t="inlineStr">
        <is>
          <t>Cashier incentive</t>
        </is>
      </c>
      <c r="K8" s="149" t="inlineStr">
        <is>
          <t>Bill</t>
        </is>
      </c>
    </row>
    <row r="9" ht="15.75" customFormat="1" customHeight="1" s="150">
      <c r="A9" s="296">
        <f>SUBTOTAL(3,$B$9:B9)</f>
        <v/>
      </c>
      <c r="B9" s="327" t="inlineStr">
        <is>
          <t>PVT2500116</t>
        </is>
      </c>
      <c r="C9" s="204" t="inlineStr">
        <is>
          <t>Pham Duc Kien</t>
        </is>
      </c>
      <c r="D9" s="161" t="n"/>
      <c r="E9" s="161" t="n"/>
      <c r="F9" s="204" t="n"/>
      <c r="G9" s="204" t="inlineStr">
        <is>
          <t>Cashier</t>
        </is>
      </c>
      <c r="H9" s="826">
        <f>ROUND(SUM($I9:$K9),0)</f>
        <v/>
      </c>
      <c r="I9" s="826" t="n">
        <v>0</v>
      </c>
      <c r="J9" s="826" t="n">
        <v>2000000</v>
      </c>
      <c r="K9" s="826" t="n">
        <v>0</v>
      </c>
      <c r="L9" s="150">
        <f>VLOOKUP(B9,#REF!,36,0)</f>
        <v/>
      </c>
      <c r="M9" s="827">
        <f>L9=H9</f>
        <v/>
      </c>
    </row>
    <row r="10" ht="15.75" customFormat="1" customHeight="1" s="150">
      <c r="A10" s="296">
        <f>SUBTOTAL(3,$B$9:B10)</f>
        <v/>
      </c>
      <c r="B10" s="327" t="inlineStr">
        <is>
          <t>PVT2500117</t>
        </is>
      </c>
      <c r="C10" s="204" t="inlineStr">
        <is>
          <t>Nguyen Van Quan</t>
        </is>
      </c>
      <c r="D10" s="161" t="n"/>
      <c r="E10" s="161" t="n"/>
      <c r="F10" s="204" t="n"/>
      <c r="G10" s="204" t="inlineStr">
        <is>
          <t>Cashier</t>
        </is>
      </c>
      <c r="H10" s="826">
        <f>ROUND(SUM($I10:$K10),0)</f>
        <v/>
      </c>
      <c r="I10" s="826" t="n">
        <v>0</v>
      </c>
      <c r="J10" s="826" t="n">
        <v>2000000</v>
      </c>
      <c r="K10" s="826" t="n">
        <v>600000</v>
      </c>
      <c r="L10" s="150">
        <f>VLOOKUP(B10,#REF!,36,0)</f>
        <v/>
      </c>
      <c r="M10" s="827">
        <f>L10=H10</f>
        <v/>
      </c>
    </row>
    <row r="11" ht="15.75" customFormat="1" customHeight="1" s="150">
      <c r="A11" s="296">
        <f>SUBTOTAL(3,$B$9:B11)</f>
        <v/>
      </c>
      <c r="B11" s="328" t="inlineStr">
        <is>
          <t>PVT2500118</t>
        </is>
      </c>
      <c r="C11" s="204" t="inlineStr">
        <is>
          <t>Nggo Van Tuan</t>
        </is>
      </c>
      <c r="D11" s="209" t="n"/>
      <c r="E11" s="209" t="n"/>
      <c r="F11" s="208" t="n"/>
      <c r="G11" s="217" t="inlineStr">
        <is>
          <t>PP. Center</t>
        </is>
      </c>
      <c r="H11" s="826">
        <f>ROUND(SUM($I11:$K11),0)</f>
        <v/>
      </c>
      <c r="I11" s="826" t="n">
        <v>5610000</v>
      </c>
      <c r="J11" s="828" t="n"/>
      <c r="K11" s="828" t="n"/>
      <c r="L11" s="150">
        <f>VLOOKUP(B11,#REF!,36,0)</f>
        <v/>
      </c>
      <c r="M11" s="827">
        <f>L11=H11</f>
        <v/>
      </c>
    </row>
    <row r="12" hidden="1" ht="15.75" customFormat="1" customHeight="1" s="150">
      <c r="A12" s="207" t="n"/>
      <c r="B12" s="328" t="n"/>
      <c r="C12" s="204" t="n"/>
      <c r="D12" s="209" t="n"/>
      <c r="E12" s="209" t="n"/>
      <c r="F12" s="208" t="n"/>
      <c r="G12" s="217" t="n"/>
      <c r="H12" s="826" t="n"/>
      <c r="I12" s="826" t="n"/>
      <c r="J12" s="828" t="n"/>
      <c r="K12" s="828" t="n"/>
      <c r="M12" s="827" t="n"/>
    </row>
    <row r="13" ht="20.25" customFormat="1" customHeight="1" s="150">
      <c r="A13" s="829" t="inlineStr">
        <is>
          <t>Total</t>
        </is>
      </c>
      <c r="B13" s="767" t="n"/>
      <c r="C13" s="768" t="n"/>
      <c r="D13" s="151" t="n"/>
      <c r="E13" s="830" t="n"/>
      <c r="F13" s="831" t="n"/>
      <c r="G13" s="831" t="n"/>
      <c r="H13" s="831">
        <f>SUM(H9:H12)</f>
        <v/>
      </c>
      <c r="I13" s="831">
        <f>SUM(I9:I12)</f>
        <v/>
      </c>
      <c r="J13" s="831">
        <f>SUM(J9:J12)</f>
        <v/>
      </c>
      <c r="K13" s="831">
        <f>SUM(K9:K12)</f>
        <v/>
      </c>
      <c r="L13" s="832">
        <f>H13-I13-J13-K13</f>
        <v/>
      </c>
    </row>
    <row r="14" ht="15" customHeight="1">
      <c r="D14" s="154" t="n"/>
    </row>
  </sheetData>
  <autoFilter ref="A8:K13"/>
  <mergeCells count="1">
    <mergeCell ref="A13:C13"/>
  </mergeCells>
  <conditionalFormatting sqref="B1:B1048576">
    <cfRule type="duplicateValues" priority="1" dxfId="1"/>
    <cfRule type="duplicateValues" priority="320509" dxfId="1"/>
    <cfRule type="duplicateValues" priority="1327392" dxfId="1"/>
  </conditionalFormatting>
  <conditionalFormatting sqref="B9:B10">
    <cfRule type="duplicateValues" priority="1327401" dxfId="1"/>
  </conditionalFormatting>
  <conditionalFormatting sqref="B9:B12">
    <cfRule type="duplicateValues" priority="1327416" dxfId="1"/>
  </conditionalFormatting>
  <conditionalFormatting sqref="B11:B12">
    <cfRule type="duplicateValues" priority="1327411" dxfId="1"/>
  </conditionalFormatting>
  <conditionalFormatting sqref="B14">
    <cfRule type="duplicateValues" priority="1327597" dxfId="1"/>
  </conditionalFormatting>
  <conditionalFormatting sqref="B1:B8 B14:B1048576">
    <cfRule type="duplicateValues" priority="60" dxfId="1"/>
  </conditionalFormatting>
  <conditionalFormatting sqref="B14:B1048576">
    <cfRule type="duplicateValues" priority="56" dxfId="1"/>
    <cfRule type="duplicateValues" priority="164535" dxfId="1"/>
  </conditionalFormatting>
  <conditionalFormatting sqref="B1:B8 B15:B1048576">
    <cfRule type="duplicateValues" priority="1327608" dxfId="1"/>
  </conditionalFormatting>
  <conditionalFormatting sqref="B15:B1048576">
    <cfRule type="duplicateValues" priority="1327611" dxfId="1"/>
    <cfRule type="duplicateValues" priority="1327612" dxfId="1"/>
  </conditionalFormatting>
  <printOptions horizontalCentered="1"/>
  <pageMargins left="0.25" right="0" top="0.5" bottom="0.5" header="0.011805556" footer="0.011805556"/>
  <pageSetup orientation="landscape" paperSize="9" fitToHeight="0" firstPageNumber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P41"/>
  <sheetViews>
    <sheetView zoomScale="90" zoomScaleNormal="90" workbookViewId="0">
      <selection activeCell="C9" sqref="C9"/>
    </sheetView>
  </sheetViews>
  <sheetFormatPr baseColWidth="8" defaultRowHeight="15"/>
  <cols>
    <col width="7.5703125" customWidth="1" style="222" min="1" max="1"/>
    <col width="13.42578125" customWidth="1" style="222" min="2" max="2"/>
    <col width="27.85546875" customWidth="1" style="222" min="3" max="3"/>
    <col width="21" customWidth="1" style="222" min="4" max="4"/>
    <col width="22.42578125" customWidth="1" style="222" min="5" max="5"/>
    <col width="15" customWidth="1" style="222" min="6" max="6"/>
    <col width="13.28515625" customWidth="1" style="222" min="7" max="7"/>
    <col width="16.42578125" customWidth="1" style="222" min="8" max="8"/>
    <col width="19.7109375" customWidth="1" style="222" min="9" max="9"/>
    <col width="10.5703125" customWidth="1" style="222" min="10" max="10"/>
    <col width="6.7109375" customWidth="1" style="222" min="11" max="11"/>
    <col width="11.28515625" bestFit="1" customWidth="1" style="222" min="12" max="12"/>
    <col width="12.5703125" customWidth="1" style="222" min="13" max="14"/>
    <col width="13" customWidth="1" style="222" min="15" max="15"/>
    <col width="12.85546875" customWidth="1" style="222" min="16" max="16"/>
    <col width="9.140625" customWidth="1" style="222" min="17" max="16384"/>
  </cols>
  <sheetData>
    <row r="2" ht="15.75" customHeight="1">
      <c r="A2" s="666" t="inlineStr">
        <is>
          <t>THISO RETAIL</t>
        </is>
      </c>
    </row>
    <row r="3" ht="15.75" customHeight="1">
      <c r="A3" s="667" t="inlineStr">
        <is>
          <t>366 Phan Van Tri, Ward 5, Go Vap District, HCMC</t>
        </is>
      </c>
    </row>
    <row r="4" ht="15.75" customHeight="1">
      <c r="A4" s="667" t="n"/>
      <c r="B4" s="667" t="n"/>
      <c r="C4" s="667" t="n"/>
      <c r="D4" s="667" t="n"/>
    </row>
    <row r="5" ht="21" customHeight="1">
      <c r="A5" s="668" t="inlineStr">
        <is>
          <t>1. Delivery coordination allowance</t>
        </is>
      </c>
      <c r="B5" s="833" t="n"/>
      <c r="C5" s="833" t="n"/>
      <c r="D5" s="833" t="n"/>
    </row>
    <row r="6" ht="8.25" customHeight="1">
      <c r="A6" s="834" t="inlineStr">
        <is>
          <t>No.</t>
        </is>
      </c>
      <c r="B6" s="834" t="inlineStr">
        <is>
          <t>Emp.Code</t>
        </is>
      </c>
      <c r="C6" s="834" t="inlineStr">
        <is>
          <t>Full Name</t>
        </is>
      </c>
      <c r="D6" s="834" t="inlineStr">
        <is>
          <t>Coordination allowance</t>
        </is>
      </c>
      <c r="E6" s="834" t="inlineStr">
        <is>
          <t>Workdays for salary calculation</t>
        </is>
      </c>
      <c r="F6" s="834" t="inlineStr">
        <is>
          <t>Amount</t>
        </is>
      </c>
    </row>
    <row r="7">
      <c r="A7" s="751" t="n"/>
      <c r="B7" s="751" t="n"/>
      <c r="C7" s="751" t="n"/>
      <c r="D7" s="751" t="n"/>
      <c r="E7" s="751" t="n"/>
      <c r="F7" s="751" t="n"/>
    </row>
    <row r="8" ht="8.25" customHeight="1">
      <c r="A8" s="756" t="n"/>
      <c r="B8" s="756" t="n"/>
      <c r="C8" s="756" t="n"/>
      <c r="D8" s="756" t="n"/>
      <c r="E8" s="756" t="n"/>
      <c r="F8" s="756" t="n"/>
    </row>
    <row r="9" ht="18" customHeight="1">
      <c r="A9" s="506" t="n">
        <v>1</v>
      </c>
      <c r="B9" s="498" t="inlineStr">
        <is>
          <t>PVT2500113</t>
        </is>
      </c>
      <c r="C9" s="393" t="inlineStr">
        <is>
          <t>Phung Manh Ha</t>
        </is>
      </c>
      <c r="D9" s="835" t="n">
        <v>2000000</v>
      </c>
      <c r="E9" s="836">
        <f>VLOOKUP(B9,'TimeTB 2'!$C$11:$AU$18,45,0)</f>
        <v/>
      </c>
      <c r="F9" s="835">
        <f>D9/26*E9</f>
        <v/>
      </c>
    </row>
    <row r="10" hidden="1" ht="15.75" customHeight="1">
      <c r="A10" s="508" t="n"/>
      <c r="B10" s="508" t="n"/>
      <c r="C10" s="508" t="n"/>
      <c r="D10" s="837" t="n"/>
      <c r="E10" s="838" t="n"/>
      <c r="F10" s="839">
        <f>E10*D10</f>
        <v/>
      </c>
    </row>
    <row r="11" ht="21" customHeight="1">
      <c r="A11" s="510" t="n"/>
      <c r="B11" s="511" t="n"/>
      <c r="C11" s="377" t="inlineStr">
        <is>
          <t>Total</t>
        </is>
      </c>
      <c r="D11" s="840">
        <f>SUM(D9:D10)</f>
        <v/>
      </c>
      <c r="E11" s="378" t="n"/>
      <c r="F11" s="841">
        <f>SUM(F9:F10)</f>
        <v/>
      </c>
    </row>
    <row r="12" ht="26.25" customHeight="1">
      <c r="A12" s="245" t="inlineStr">
        <is>
          <t>2. Seniority CASHIER</t>
        </is>
      </c>
      <c r="B12" s="246" t="n"/>
      <c r="C12" s="246" t="n"/>
      <c r="D12" s="246" t="n"/>
    </row>
    <row r="13" ht="31.5" customHeight="1">
      <c r="A13" s="242" t="inlineStr">
        <is>
          <t>No.</t>
        </is>
      </c>
      <c r="B13" s="243" t="inlineStr">
        <is>
          <t>Emp.Code</t>
        </is>
      </c>
      <c r="C13" s="243" t="inlineStr">
        <is>
          <t>Full Name</t>
        </is>
      </c>
      <c r="D13" s="244" t="inlineStr">
        <is>
          <t>Seniority CASHIER</t>
        </is>
      </c>
      <c r="E13" s="244" t="inlineStr">
        <is>
          <t>Additional CASHIER seniority</t>
        </is>
      </c>
      <c r="F13" s="267" t="inlineStr">
        <is>
          <t>Amount</t>
        </is>
      </c>
    </row>
    <row r="14" ht="15.75" customHeight="1">
      <c r="A14" s="227" t="n">
        <v>1</v>
      </c>
      <c r="B14" s="498" t="inlineStr">
        <is>
          <t>PVT2500114</t>
        </is>
      </c>
      <c r="C14" s="393" t="inlineStr">
        <is>
          <t>Nguyen Duc Khanh</t>
        </is>
      </c>
      <c r="D14" s="842" t="n">
        <v>500000</v>
      </c>
      <c r="E14" s="842" t="n"/>
      <c r="F14" s="843">
        <f>D14+E14</f>
        <v/>
      </c>
    </row>
    <row r="15" ht="15.75" customHeight="1">
      <c r="A15" s="227">
        <f>1+A14</f>
        <v/>
      </c>
      <c r="B15" s="498" t="inlineStr">
        <is>
          <t>PVT2500115</t>
        </is>
      </c>
      <c r="C15" s="393" t="inlineStr">
        <is>
          <t>Nguyen Son Tung</t>
        </is>
      </c>
      <c r="D15" s="842" t="n">
        <v>500000</v>
      </c>
      <c r="E15" s="842" t="n"/>
      <c r="F15" s="843">
        <f>D15+E15</f>
        <v/>
      </c>
    </row>
    <row r="16" ht="25.5" customHeight="1">
      <c r="A16" s="289" t="n"/>
      <c r="B16" s="289" t="n"/>
      <c r="C16" s="355" t="inlineStr">
        <is>
          <t>Total</t>
        </is>
      </c>
      <c r="D16" s="226" t="n"/>
      <c r="E16" s="226" t="n"/>
      <c r="F16" s="844">
        <f>SUM(F14:F15)</f>
        <v/>
      </c>
    </row>
    <row r="17" ht="9" customHeight="1"/>
    <row r="18" ht="9" customHeight="1"/>
    <row r="19" hidden="1" ht="36" customHeight="1">
      <c r="A19" s="295" t="inlineStr">
        <is>
          <t>3. Additional leave/work days (AL payment)</t>
        </is>
      </c>
      <c r="B19" s="283" t="n"/>
      <c r="C19" s="283" t="n"/>
      <c r="D19" s="283" t="n"/>
      <c r="E19" s="283" t="n"/>
      <c r="F19" s="283" t="n"/>
    </row>
    <row r="20" hidden="1" ht="21.75" customHeight="1">
      <c r="A20" s="282" t="inlineStr">
        <is>
          <t>No.</t>
        </is>
      </c>
      <c r="B20" s="284" t="inlineStr">
        <is>
          <t>Code</t>
        </is>
      </c>
      <c r="C20" s="285" t="inlineStr">
        <is>
          <t>Name</t>
        </is>
      </c>
      <c r="D20" s="845" t="inlineStr">
        <is>
          <t>Gross</t>
        </is>
      </c>
      <c r="E20" s="287" t="inlineStr">
        <is>
          <t>ALs</t>
        </is>
      </c>
      <c r="F20" s="288" t="inlineStr">
        <is>
          <t>Amount</t>
        </is>
      </c>
    </row>
    <row r="21" hidden="1" ht="15.75" customHeight="1">
      <c r="A21" s="228" t="n"/>
      <c r="B21" s="257" t="n"/>
      <c r="C21" s="846" t="n"/>
      <c r="D21" s="847" t="n"/>
      <c r="E21" s="848" t="n"/>
      <c r="F21" s="849" t="n"/>
      <c r="H21" s="850" t="n"/>
      <c r="I21" s="376" t="n"/>
      <c r="L21" s="850" t="n"/>
    </row>
    <row r="22" hidden="1" ht="15.75" customHeight="1">
      <c r="A22" s="228" t="n"/>
      <c r="B22" s="257" t="n"/>
      <c r="C22" s="846" t="n"/>
      <c r="D22" s="847" t="n"/>
      <c r="E22" s="848" t="n"/>
      <c r="F22" s="849" t="n"/>
      <c r="H22" s="850" t="n"/>
      <c r="L22" s="850" t="n"/>
    </row>
    <row r="23" hidden="1" ht="15.75" customHeight="1">
      <c r="A23" s="228" t="n"/>
      <c r="B23" s="257" t="n"/>
      <c r="C23" s="846" t="n"/>
      <c r="D23" s="847" t="n"/>
      <c r="E23" s="851" t="n"/>
      <c r="F23" s="852" t="n"/>
      <c r="H23" s="850" t="n"/>
      <c r="L23" s="850" t="n"/>
    </row>
    <row r="24" hidden="1" ht="15.75" customHeight="1">
      <c r="A24" s="228" t="n"/>
      <c r="B24" s="257" t="n"/>
      <c r="C24" s="846" t="n"/>
      <c r="D24" s="847" t="n"/>
      <c r="E24" s="851" t="n"/>
      <c r="F24" s="852" t="n"/>
      <c r="H24" s="850" t="n"/>
      <c r="I24" s="350" t="n"/>
      <c r="L24" s="850" t="n"/>
    </row>
    <row r="25" hidden="1" ht="15.75" customHeight="1">
      <c r="A25" s="228" t="n"/>
      <c r="B25" s="263" t="n"/>
      <c r="C25" s="846" t="n"/>
      <c r="D25" s="847" t="n"/>
      <c r="E25" s="851" t="n"/>
      <c r="F25" s="852" t="n"/>
      <c r="H25" s="850" t="n"/>
      <c r="J25" s="343" t="n"/>
      <c r="L25" s="850" t="n"/>
    </row>
    <row r="26" hidden="1" ht="15.75" customHeight="1">
      <c r="A26" s="228" t="n"/>
      <c r="B26" s="347" t="n"/>
      <c r="C26" s="846" t="n"/>
      <c r="D26" s="847" t="n"/>
      <c r="E26" s="853" t="n"/>
      <c r="F26" s="852" t="n"/>
      <c r="H26" s="850" t="n"/>
      <c r="J26" s="343" t="n"/>
      <c r="L26" s="850" t="n"/>
    </row>
    <row r="27" hidden="1" ht="15.75" customHeight="1">
      <c r="A27" s="228" t="n"/>
      <c r="B27" s="347" t="n"/>
      <c r="C27" s="846" t="n"/>
      <c r="D27" s="847" t="n"/>
      <c r="E27" s="853" t="n"/>
      <c r="F27" s="852" t="n"/>
      <c r="H27" s="850" t="n"/>
      <c r="J27" s="343" t="n"/>
      <c r="L27" s="850" t="n"/>
    </row>
    <row r="28" hidden="1" ht="15.75" customHeight="1">
      <c r="A28" s="228" t="n"/>
      <c r="B28" s="347" t="n"/>
      <c r="C28" s="846" t="n"/>
      <c r="D28" s="847" t="n"/>
      <c r="E28" s="853" t="n"/>
      <c r="F28" s="852" t="n"/>
      <c r="H28" s="850" t="n"/>
      <c r="J28" s="343" t="n"/>
      <c r="L28" s="850" t="n"/>
    </row>
    <row r="29" hidden="1" ht="15.75" customHeight="1">
      <c r="A29" s="228">
        <f>ROW()-85</f>
        <v/>
      </c>
      <c r="B29" s="347" t="n"/>
      <c r="C29" s="846">
        <f>VLOOKUP($B29,#REF!,3,0)</f>
        <v/>
      </c>
      <c r="D29" s="847">
        <f>IFERROR(VLOOKUP(B29,#REF!,81,0),0)</f>
        <v/>
      </c>
      <c r="E29" s="853" t="n"/>
      <c r="F29" s="852">
        <f>ROUND((D29/26*E29),0)</f>
        <v/>
      </c>
      <c r="G29" s="222">
        <f>VLOOKUP(B29,#REF!,74,0)</f>
        <v/>
      </c>
      <c r="H29" s="850">
        <f>G29-E29</f>
        <v/>
      </c>
      <c r="J29" s="343" t="n"/>
      <c r="L29" s="850" t="n"/>
    </row>
    <row r="30" hidden="1" ht="15.75" customHeight="1">
      <c r="A30" s="228">
        <f>ROW()-85</f>
        <v/>
      </c>
      <c r="B30" s="257" t="n"/>
      <c r="C30" s="846">
        <f>VLOOKUP($B30,#REF!,3,0)</f>
        <v/>
      </c>
      <c r="D30" s="847">
        <f>IFERROR(VLOOKUP(B30,#REF!,81,0),0)</f>
        <v/>
      </c>
      <c r="E30" s="218" t="n"/>
      <c r="F30" s="852">
        <f>ROUND((D30/26*E30),0)</f>
        <v/>
      </c>
      <c r="G30" s="222">
        <f>VLOOKUP(B30,#REF!,74,0)</f>
        <v/>
      </c>
      <c r="H30" s="850">
        <f>G30-E30</f>
        <v/>
      </c>
      <c r="J30" s="343" t="n"/>
      <c r="L30" s="850" t="n"/>
    </row>
    <row r="31" hidden="1" ht="15.75" customHeight="1">
      <c r="A31" s="228">
        <f>ROW()-85</f>
        <v/>
      </c>
      <c r="B31" s="257" t="n"/>
      <c r="C31" s="846">
        <f>VLOOKUP($B31,#REF!,3,0)</f>
        <v/>
      </c>
      <c r="D31" s="847">
        <f>IFERROR(VLOOKUP(B31,#REF!,81,0),0)</f>
        <v/>
      </c>
      <c r="E31" s="851" t="n"/>
      <c r="F31" s="852">
        <f>ROUND((D31/26*E31),0)</f>
        <v/>
      </c>
      <c r="G31" s="222">
        <f>VLOOKUP(B31,#REF!,74,0)</f>
        <v/>
      </c>
      <c r="H31" s="850">
        <f>G31-E31</f>
        <v/>
      </c>
      <c r="J31" s="343" t="n"/>
      <c r="L31" s="850" t="n"/>
    </row>
    <row r="32" hidden="1" ht="15.75" customHeight="1">
      <c r="A32" s="228">
        <f>ROW()-85</f>
        <v/>
      </c>
      <c r="B32" s="257" t="n"/>
      <c r="C32" s="846">
        <f>VLOOKUP($B32,#REF!,3,0)</f>
        <v/>
      </c>
      <c r="D32" s="847">
        <f>IFERROR(VLOOKUP(B32,#REF!,81,0),0)</f>
        <v/>
      </c>
      <c r="E32" s="851" t="n"/>
      <c r="F32" s="852">
        <f>ROUND((D32/26*E32),0)</f>
        <v/>
      </c>
      <c r="G32" s="222">
        <f>VLOOKUP(B32,#REF!,74,0)</f>
        <v/>
      </c>
      <c r="H32" s="850">
        <f>G32-E32</f>
        <v/>
      </c>
    </row>
    <row r="33" hidden="1" ht="15.75" customHeight="1">
      <c r="A33" s="228">
        <f>ROW()-85</f>
        <v/>
      </c>
      <c r="B33" s="257" t="n"/>
      <c r="C33" s="846" t="n"/>
      <c r="D33" s="847" t="n"/>
      <c r="E33" s="218" t="n"/>
      <c r="F33" s="852" t="n"/>
    </row>
    <row r="34" hidden="1" ht="24.75" customHeight="1">
      <c r="A34" s="290" t="n"/>
      <c r="B34" s="289" t="n"/>
      <c r="C34" s="355" t="inlineStr">
        <is>
          <t>Total</t>
        </is>
      </c>
      <c r="D34" s="292" t="n"/>
      <c r="E34" s="854">
        <f>SUM(E21:E33)</f>
        <v/>
      </c>
      <c r="F34" s="844">
        <f>SUM(F21:F33)</f>
        <v/>
      </c>
    </row>
    <row r="37" hidden="1" ht="21.75" customHeight="1">
      <c r="G37" s="339" t="n"/>
    </row>
    <row r="38" hidden="1" ht="19.5" customHeight="1">
      <c r="G38" s="335" t="n"/>
      <c r="H38" s="335" t="n"/>
      <c r="I38" s="335" t="n"/>
      <c r="J38" s="335" t="n"/>
      <c r="K38" s="335" t="n"/>
      <c r="L38" s="336" t="n"/>
      <c r="M38" s="336" t="n"/>
      <c r="N38" s="336" t="n"/>
      <c r="O38" s="336" t="n"/>
      <c r="P38" s="336" t="n"/>
    </row>
    <row r="39" hidden="1" ht="21" customHeight="1">
      <c r="G39" s="335" t="n"/>
      <c r="H39" s="335" t="n"/>
      <c r="I39" s="335" t="n"/>
      <c r="J39" s="335" t="n"/>
      <c r="K39" s="335" t="n"/>
      <c r="L39" s="855" t="n"/>
      <c r="M39" s="856" t="n"/>
      <c r="N39" s="855" t="n"/>
      <c r="O39" s="855" t="n"/>
      <c r="P39" s="856" t="n"/>
    </row>
    <row r="40" hidden="1" ht="21" customHeight="1">
      <c r="G40" s="335" t="n"/>
      <c r="H40" s="335" t="n"/>
      <c r="I40" s="335" t="n"/>
      <c r="J40" s="335" t="n"/>
      <c r="K40" s="335" t="n"/>
      <c r="L40" s="855" t="n"/>
      <c r="M40" s="856" t="n"/>
      <c r="N40" s="855" t="n"/>
      <c r="O40" s="855" t="n"/>
      <c r="P40" s="856" t="n"/>
    </row>
    <row r="41" hidden="1" ht="21" customHeight="1">
      <c r="G41" s="335" t="n"/>
      <c r="H41" s="335" t="n"/>
      <c r="I41" s="335" t="n"/>
      <c r="J41" s="335" t="n"/>
      <c r="K41" s="335" t="n"/>
      <c r="L41" s="855" t="n"/>
      <c r="M41" s="856" t="n"/>
      <c r="N41" s="855" t="n"/>
      <c r="O41" s="855" t="n"/>
      <c r="P41" s="856" t="n"/>
    </row>
    <row r="42" hidden="1"/>
  </sheetData>
  <autoFilter ref="A13:F16"/>
  <mergeCells count="9">
    <mergeCell ref="A5:D5"/>
    <mergeCell ref="F6:F8"/>
    <mergeCell ref="A3:D3"/>
    <mergeCell ref="A2:D2"/>
    <mergeCell ref="C6:C8"/>
    <mergeCell ref="A6:A8"/>
    <mergeCell ref="D6:D8"/>
    <mergeCell ref="B6:B8"/>
    <mergeCell ref="E6:E8"/>
  </mergeCells>
  <pageMargins left="0.7" right="0.7" top="0.75" bottom="0.75" header="0.3" footer="0.3"/>
  <pageSetup orientation="portrait" paperSize="9" scale="68" fitToHeight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C3" sqref="C3"/>
    </sheetView>
  </sheetViews>
  <sheetFormatPr baseColWidth="8" defaultRowHeight="15"/>
  <cols>
    <col width="9.140625" customWidth="1" style="578" min="1" max="1"/>
    <col width="17.42578125" customWidth="1" style="580" min="2" max="2"/>
    <col width="30.140625" customWidth="1" style="580" min="3" max="3"/>
    <col width="14.42578125" customWidth="1" style="578" min="4" max="4"/>
    <col width="14.7109375" customWidth="1" style="578" min="5" max="5"/>
    <col width="13.5703125" customWidth="1" style="578" min="6" max="6"/>
    <col width="13.42578125" customWidth="1" style="578" min="7" max="7"/>
    <col width="15.42578125" customWidth="1" style="578" min="8" max="8"/>
    <col width="24.28515625" customWidth="1" style="578" min="9" max="9"/>
    <col width="9.140625" customWidth="1" style="578" min="10" max="249"/>
    <col width="10.28515625" bestFit="1" customWidth="1" style="578" min="250" max="250"/>
    <col width="30.140625" bestFit="1" customWidth="1" style="578" min="251" max="251"/>
    <col width="21" customWidth="1" style="578" min="252" max="252"/>
    <col width="13.42578125" customWidth="1" style="578" min="253" max="254"/>
    <col width="21.85546875" bestFit="1" customWidth="1" style="578" min="255" max="255"/>
    <col width="12" customWidth="1" style="578" min="256" max="256"/>
    <col width="11.5703125" bestFit="1" customWidth="1" style="578" min="257" max="257"/>
    <col width="13.5703125" customWidth="1" style="578" min="258" max="258"/>
    <col width="15.5703125" customWidth="1" style="578" min="259" max="259"/>
    <col width="18.5703125" customWidth="1" style="578" min="260" max="261"/>
    <col width="17.85546875" customWidth="1" style="578" min="262" max="262"/>
    <col width="9.140625" customWidth="1" style="578" min="263" max="505"/>
    <col width="10.28515625" bestFit="1" customWidth="1" style="578" min="506" max="506"/>
    <col width="30.140625" bestFit="1" customWidth="1" style="578" min="507" max="507"/>
    <col width="21" customWidth="1" style="578" min="508" max="508"/>
    <col width="13.42578125" customWidth="1" style="578" min="509" max="510"/>
    <col width="21.85546875" bestFit="1" customWidth="1" style="578" min="511" max="511"/>
    <col width="12" customWidth="1" style="578" min="512" max="512"/>
    <col width="11.5703125" bestFit="1" customWidth="1" style="578" min="513" max="513"/>
    <col width="13.5703125" customWidth="1" style="578" min="514" max="514"/>
    <col width="15.5703125" customWidth="1" style="578" min="515" max="515"/>
    <col width="18.5703125" customWidth="1" style="578" min="516" max="517"/>
    <col width="17.85546875" customWidth="1" style="578" min="518" max="518"/>
    <col width="9.140625" customWidth="1" style="578" min="519" max="761"/>
    <col width="10.28515625" bestFit="1" customWidth="1" style="578" min="762" max="762"/>
    <col width="30.140625" bestFit="1" customWidth="1" style="578" min="763" max="763"/>
    <col width="21" customWidth="1" style="578" min="764" max="764"/>
    <col width="13.42578125" customWidth="1" style="578" min="765" max="766"/>
    <col width="21.85546875" bestFit="1" customWidth="1" style="578" min="767" max="767"/>
    <col width="12" customWidth="1" style="578" min="768" max="768"/>
    <col width="11.5703125" bestFit="1" customWidth="1" style="578" min="769" max="769"/>
    <col width="13.5703125" customWidth="1" style="578" min="770" max="770"/>
    <col width="15.5703125" customWidth="1" style="578" min="771" max="771"/>
    <col width="18.5703125" customWidth="1" style="578" min="772" max="773"/>
    <col width="17.85546875" customWidth="1" style="578" min="774" max="774"/>
    <col width="9.140625" customWidth="1" style="578" min="775" max="1017"/>
    <col width="10.28515625" bestFit="1" customWidth="1" style="578" min="1018" max="1018"/>
    <col width="30.140625" bestFit="1" customWidth="1" style="578" min="1019" max="1019"/>
    <col width="21" customWidth="1" style="578" min="1020" max="1020"/>
    <col width="13.42578125" customWidth="1" style="578" min="1021" max="1022"/>
    <col width="21.85546875" bestFit="1" customWidth="1" style="578" min="1023" max="1023"/>
    <col width="12" customWidth="1" style="578" min="1024" max="1024"/>
    <col width="11.5703125" bestFit="1" customWidth="1" style="578" min="1025" max="1025"/>
    <col width="13.5703125" customWidth="1" style="578" min="1026" max="1026"/>
    <col width="15.5703125" customWidth="1" style="578" min="1027" max="1027"/>
    <col width="18.5703125" customWidth="1" style="578" min="1028" max="1029"/>
    <col width="17.85546875" customWidth="1" style="578" min="1030" max="1030"/>
    <col width="9.140625" customWidth="1" style="578" min="1031" max="1273"/>
    <col width="10.28515625" bestFit="1" customWidth="1" style="578" min="1274" max="1274"/>
    <col width="30.140625" bestFit="1" customWidth="1" style="578" min="1275" max="1275"/>
    <col width="21" customWidth="1" style="578" min="1276" max="1276"/>
    <col width="13.42578125" customWidth="1" style="578" min="1277" max="1278"/>
    <col width="21.85546875" bestFit="1" customWidth="1" style="578" min="1279" max="1279"/>
    <col width="12" customWidth="1" style="578" min="1280" max="1280"/>
    <col width="11.5703125" bestFit="1" customWidth="1" style="578" min="1281" max="1281"/>
    <col width="13.5703125" customWidth="1" style="578" min="1282" max="1282"/>
    <col width="15.5703125" customWidth="1" style="578" min="1283" max="1283"/>
    <col width="18.5703125" customWidth="1" style="578" min="1284" max="1285"/>
    <col width="17.85546875" customWidth="1" style="578" min="1286" max="1286"/>
    <col width="9.140625" customWidth="1" style="578" min="1287" max="1529"/>
    <col width="10.28515625" bestFit="1" customWidth="1" style="578" min="1530" max="1530"/>
    <col width="30.140625" bestFit="1" customWidth="1" style="578" min="1531" max="1531"/>
    <col width="21" customWidth="1" style="578" min="1532" max="1532"/>
    <col width="13.42578125" customWidth="1" style="578" min="1533" max="1534"/>
    <col width="21.85546875" bestFit="1" customWidth="1" style="578" min="1535" max="1535"/>
    <col width="12" customWidth="1" style="578" min="1536" max="1536"/>
    <col width="11.5703125" bestFit="1" customWidth="1" style="578" min="1537" max="1537"/>
    <col width="13.5703125" customWidth="1" style="578" min="1538" max="1538"/>
    <col width="15.5703125" customWidth="1" style="578" min="1539" max="1539"/>
    <col width="18.5703125" customWidth="1" style="578" min="1540" max="1541"/>
    <col width="17.85546875" customWidth="1" style="578" min="1542" max="1542"/>
    <col width="9.140625" customWidth="1" style="578" min="1543" max="1785"/>
    <col width="10.28515625" bestFit="1" customWidth="1" style="578" min="1786" max="1786"/>
    <col width="30.140625" bestFit="1" customWidth="1" style="578" min="1787" max="1787"/>
    <col width="21" customWidth="1" style="578" min="1788" max="1788"/>
    <col width="13.42578125" customWidth="1" style="578" min="1789" max="1790"/>
    <col width="21.85546875" bestFit="1" customWidth="1" style="578" min="1791" max="1791"/>
    <col width="12" customWidth="1" style="578" min="1792" max="1792"/>
    <col width="11.5703125" bestFit="1" customWidth="1" style="578" min="1793" max="1793"/>
    <col width="13.5703125" customWidth="1" style="578" min="1794" max="1794"/>
    <col width="15.5703125" customWidth="1" style="578" min="1795" max="1795"/>
    <col width="18.5703125" customWidth="1" style="578" min="1796" max="1797"/>
    <col width="17.85546875" customWidth="1" style="578" min="1798" max="1798"/>
    <col width="9.140625" customWidth="1" style="578" min="1799" max="2041"/>
    <col width="10.28515625" bestFit="1" customWidth="1" style="578" min="2042" max="2042"/>
    <col width="30.140625" bestFit="1" customWidth="1" style="578" min="2043" max="2043"/>
    <col width="21" customWidth="1" style="578" min="2044" max="2044"/>
    <col width="13.42578125" customWidth="1" style="578" min="2045" max="2046"/>
    <col width="21.85546875" bestFit="1" customWidth="1" style="578" min="2047" max="2047"/>
    <col width="12" customWidth="1" style="578" min="2048" max="2048"/>
    <col width="11.5703125" bestFit="1" customWidth="1" style="578" min="2049" max="2049"/>
    <col width="13.5703125" customWidth="1" style="578" min="2050" max="2050"/>
    <col width="15.5703125" customWidth="1" style="578" min="2051" max="2051"/>
    <col width="18.5703125" customWidth="1" style="578" min="2052" max="2053"/>
    <col width="17.85546875" customWidth="1" style="578" min="2054" max="2054"/>
    <col width="9.140625" customWidth="1" style="578" min="2055" max="2297"/>
    <col width="10.28515625" bestFit="1" customWidth="1" style="578" min="2298" max="2298"/>
    <col width="30.140625" bestFit="1" customWidth="1" style="578" min="2299" max="2299"/>
    <col width="21" customWidth="1" style="578" min="2300" max="2300"/>
    <col width="13.42578125" customWidth="1" style="578" min="2301" max="2302"/>
    <col width="21.85546875" bestFit="1" customWidth="1" style="578" min="2303" max="2303"/>
    <col width="12" customWidth="1" style="578" min="2304" max="2304"/>
    <col width="11.5703125" bestFit="1" customWidth="1" style="578" min="2305" max="2305"/>
    <col width="13.5703125" customWidth="1" style="578" min="2306" max="2306"/>
    <col width="15.5703125" customWidth="1" style="578" min="2307" max="2307"/>
    <col width="18.5703125" customWidth="1" style="578" min="2308" max="2309"/>
    <col width="17.85546875" customWidth="1" style="578" min="2310" max="2310"/>
    <col width="9.140625" customWidth="1" style="578" min="2311" max="2553"/>
    <col width="10.28515625" bestFit="1" customWidth="1" style="578" min="2554" max="2554"/>
    <col width="30.140625" bestFit="1" customWidth="1" style="578" min="2555" max="2555"/>
    <col width="21" customWidth="1" style="578" min="2556" max="2556"/>
    <col width="13.42578125" customWidth="1" style="578" min="2557" max="2558"/>
    <col width="21.85546875" bestFit="1" customWidth="1" style="578" min="2559" max="2559"/>
    <col width="12" customWidth="1" style="578" min="2560" max="2560"/>
    <col width="11.5703125" bestFit="1" customWidth="1" style="578" min="2561" max="2561"/>
    <col width="13.5703125" customWidth="1" style="578" min="2562" max="2562"/>
    <col width="15.5703125" customWidth="1" style="578" min="2563" max="2563"/>
    <col width="18.5703125" customWidth="1" style="578" min="2564" max="2565"/>
    <col width="17.85546875" customWidth="1" style="578" min="2566" max="2566"/>
    <col width="9.140625" customWidth="1" style="578" min="2567" max="2809"/>
    <col width="10.28515625" bestFit="1" customWidth="1" style="578" min="2810" max="2810"/>
    <col width="30.140625" bestFit="1" customWidth="1" style="578" min="2811" max="2811"/>
    <col width="21" customWidth="1" style="578" min="2812" max="2812"/>
    <col width="13.42578125" customWidth="1" style="578" min="2813" max="2814"/>
    <col width="21.85546875" bestFit="1" customWidth="1" style="578" min="2815" max="2815"/>
    <col width="12" customWidth="1" style="578" min="2816" max="2816"/>
    <col width="11.5703125" bestFit="1" customWidth="1" style="578" min="2817" max="2817"/>
    <col width="13.5703125" customWidth="1" style="578" min="2818" max="2818"/>
    <col width="15.5703125" customWidth="1" style="578" min="2819" max="2819"/>
    <col width="18.5703125" customWidth="1" style="578" min="2820" max="2821"/>
    <col width="17.85546875" customWidth="1" style="578" min="2822" max="2822"/>
    <col width="9.140625" customWidth="1" style="578" min="2823" max="3065"/>
    <col width="10.28515625" bestFit="1" customWidth="1" style="578" min="3066" max="3066"/>
    <col width="30.140625" bestFit="1" customWidth="1" style="578" min="3067" max="3067"/>
    <col width="21" customWidth="1" style="578" min="3068" max="3068"/>
    <col width="13.42578125" customWidth="1" style="578" min="3069" max="3070"/>
    <col width="21.85546875" bestFit="1" customWidth="1" style="578" min="3071" max="3071"/>
    <col width="12" customWidth="1" style="578" min="3072" max="3072"/>
    <col width="11.5703125" bestFit="1" customWidth="1" style="578" min="3073" max="3073"/>
    <col width="13.5703125" customWidth="1" style="578" min="3074" max="3074"/>
    <col width="15.5703125" customWidth="1" style="578" min="3075" max="3075"/>
    <col width="18.5703125" customWidth="1" style="578" min="3076" max="3077"/>
    <col width="17.85546875" customWidth="1" style="578" min="3078" max="3078"/>
    <col width="9.140625" customWidth="1" style="578" min="3079" max="3321"/>
    <col width="10.28515625" bestFit="1" customWidth="1" style="578" min="3322" max="3322"/>
    <col width="30.140625" bestFit="1" customWidth="1" style="578" min="3323" max="3323"/>
    <col width="21" customWidth="1" style="578" min="3324" max="3324"/>
    <col width="13.42578125" customWidth="1" style="578" min="3325" max="3326"/>
    <col width="21.85546875" bestFit="1" customWidth="1" style="578" min="3327" max="3327"/>
    <col width="12" customWidth="1" style="578" min="3328" max="3328"/>
    <col width="11.5703125" bestFit="1" customWidth="1" style="578" min="3329" max="3329"/>
    <col width="13.5703125" customWidth="1" style="578" min="3330" max="3330"/>
    <col width="15.5703125" customWidth="1" style="578" min="3331" max="3331"/>
    <col width="18.5703125" customWidth="1" style="578" min="3332" max="3333"/>
    <col width="17.85546875" customWidth="1" style="578" min="3334" max="3334"/>
    <col width="9.140625" customWidth="1" style="578" min="3335" max="3577"/>
    <col width="10.28515625" bestFit="1" customWidth="1" style="578" min="3578" max="3578"/>
    <col width="30.140625" bestFit="1" customWidth="1" style="578" min="3579" max="3579"/>
    <col width="21" customWidth="1" style="578" min="3580" max="3580"/>
    <col width="13.42578125" customWidth="1" style="578" min="3581" max="3582"/>
    <col width="21.85546875" bestFit="1" customWidth="1" style="578" min="3583" max="3583"/>
    <col width="12" customWidth="1" style="578" min="3584" max="3584"/>
    <col width="11.5703125" bestFit="1" customWidth="1" style="578" min="3585" max="3585"/>
    <col width="13.5703125" customWidth="1" style="578" min="3586" max="3586"/>
    <col width="15.5703125" customWidth="1" style="578" min="3587" max="3587"/>
    <col width="18.5703125" customWidth="1" style="578" min="3588" max="3589"/>
    <col width="17.85546875" customWidth="1" style="578" min="3590" max="3590"/>
    <col width="9.140625" customWidth="1" style="578" min="3591" max="3833"/>
    <col width="10.28515625" bestFit="1" customWidth="1" style="578" min="3834" max="3834"/>
    <col width="30.140625" bestFit="1" customWidth="1" style="578" min="3835" max="3835"/>
    <col width="21" customWidth="1" style="578" min="3836" max="3836"/>
    <col width="13.42578125" customWidth="1" style="578" min="3837" max="3838"/>
    <col width="21.85546875" bestFit="1" customWidth="1" style="578" min="3839" max="3839"/>
    <col width="12" customWidth="1" style="578" min="3840" max="3840"/>
    <col width="11.5703125" bestFit="1" customWidth="1" style="578" min="3841" max="3841"/>
    <col width="13.5703125" customWidth="1" style="578" min="3842" max="3842"/>
    <col width="15.5703125" customWidth="1" style="578" min="3843" max="3843"/>
    <col width="18.5703125" customWidth="1" style="578" min="3844" max="3845"/>
    <col width="17.85546875" customWidth="1" style="578" min="3846" max="3846"/>
    <col width="9.140625" customWidth="1" style="578" min="3847" max="4089"/>
    <col width="10.28515625" bestFit="1" customWidth="1" style="578" min="4090" max="4090"/>
    <col width="30.140625" bestFit="1" customWidth="1" style="578" min="4091" max="4091"/>
    <col width="21" customWidth="1" style="578" min="4092" max="4092"/>
    <col width="13.42578125" customWidth="1" style="578" min="4093" max="4094"/>
    <col width="21.85546875" bestFit="1" customWidth="1" style="578" min="4095" max="4095"/>
    <col width="12" customWidth="1" style="578" min="4096" max="4096"/>
    <col width="11.5703125" bestFit="1" customWidth="1" style="578" min="4097" max="4097"/>
    <col width="13.5703125" customWidth="1" style="578" min="4098" max="4098"/>
    <col width="15.5703125" customWidth="1" style="578" min="4099" max="4099"/>
    <col width="18.5703125" customWidth="1" style="578" min="4100" max="4101"/>
    <col width="17.85546875" customWidth="1" style="578" min="4102" max="4102"/>
    <col width="9.140625" customWidth="1" style="578" min="4103" max="4345"/>
    <col width="10.28515625" bestFit="1" customWidth="1" style="578" min="4346" max="4346"/>
    <col width="30.140625" bestFit="1" customWidth="1" style="578" min="4347" max="4347"/>
    <col width="21" customWidth="1" style="578" min="4348" max="4348"/>
    <col width="13.42578125" customWidth="1" style="578" min="4349" max="4350"/>
    <col width="21.85546875" bestFit="1" customWidth="1" style="578" min="4351" max="4351"/>
    <col width="12" customWidth="1" style="578" min="4352" max="4352"/>
    <col width="11.5703125" bestFit="1" customWidth="1" style="578" min="4353" max="4353"/>
    <col width="13.5703125" customWidth="1" style="578" min="4354" max="4354"/>
    <col width="15.5703125" customWidth="1" style="578" min="4355" max="4355"/>
    <col width="18.5703125" customWidth="1" style="578" min="4356" max="4357"/>
    <col width="17.85546875" customWidth="1" style="578" min="4358" max="4358"/>
    <col width="9.140625" customWidth="1" style="578" min="4359" max="4601"/>
    <col width="10.28515625" bestFit="1" customWidth="1" style="578" min="4602" max="4602"/>
    <col width="30.140625" bestFit="1" customWidth="1" style="578" min="4603" max="4603"/>
    <col width="21" customWidth="1" style="578" min="4604" max="4604"/>
    <col width="13.42578125" customWidth="1" style="578" min="4605" max="4606"/>
    <col width="21.85546875" bestFit="1" customWidth="1" style="578" min="4607" max="4607"/>
    <col width="12" customWidth="1" style="578" min="4608" max="4608"/>
    <col width="11.5703125" bestFit="1" customWidth="1" style="578" min="4609" max="4609"/>
    <col width="13.5703125" customWidth="1" style="578" min="4610" max="4610"/>
    <col width="15.5703125" customWidth="1" style="578" min="4611" max="4611"/>
    <col width="18.5703125" customWidth="1" style="578" min="4612" max="4613"/>
    <col width="17.85546875" customWidth="1" style="578" min="4614" max="4614"/>
    <col width="9.140625" customWidth="1" style="578" min="4615" max="4857"/>
    <col width="10.28515625" bestFit="1" customWidth="1" style="578" min="4858" max="4858"/>
    <col width="30.140625" bestFit="1" customWidth="1" style="578" min="4859" max="4859"/>
    <col width="21" customWidth="1" style="578" min="4860" max="4860"/>
    <col width="13.42578125" customWidth="1" style="578" min="4861" max="4862"/>
    <col width="21.85546875" bestFit="1" customWidth="1" style="578" min="4863" max="4863"/>
    <col width="12" customWidth="1" style="578" min="4864" max="4864"/>
    <col width="11.5703125" bestFit="1" customWidth="1" style="578" min="4865" max="4865"/>
    <col width="13.5703125" customWidth="1" style="578" min="4866" max="4866"/>
    <col width="15.5703125" customWidth="1" style="578" min="4867" max="4867"/>
    <col width="18.5703125" customWidth="1" style="578" min="4868" max="4869"/>
    <col width="17.85546875" customWidth="1" style="578" min="4870" max="4870"/>
    <col width="9.140625" customWidth="1" style="578" min="4871" max="5113"/>
    <col width="10.28515625" bestFit="1" customWidth="1" style="578" min="5114" max="5114"/>
    <col width="30.140625" bestFit="1" customWidth="1" style="578" min="5115" max="5115"/>
    <col width="21" customWidth="1" style="578" min="5116" max="5116"/>
    <col width="13.42578125" customWidth="1" style="578" min="5117" max="5118"/>
    <col width="21.85546875" bestFit="1" customWidth="1" style="578" min="5119" max="5119"/>
    <col width="12" customWidth="1" style="578" min="5120" max="5120"/>
    <col width="11.5703125" bestFit="1" customWidth="1" style="578" min="5121" max="5121"/>
    <col width="13.5703125" customWidth="1" style="578" min="5122" max="5122"/>
    <col width="15.5703125" customWidth="1" style="578" min="5123" max="5123"/>
    <col width="18.5703125" customWidth="1" style="578" min="5124" max="5125"/>
    <col width="17.85546875" customWidth="1" style="578" min="5126" max="5126"/>
    <col width="9.140625" customWidth="1" style="578" min="5127" max="5369"/>
    <col width="10.28515625" bestFit="1" customWidth="1" style="578" min="5370" max="5370"/>
    <col width="30.140625" bestFit="1" customWidth="1" style="578" min="5371" max="5371"/>
    <col width="21" customWidth="1" style="578" min="5372" max="5372"/>
    <col width="13.42578125" customWidth="1" style="578" min="5373" max="5374"/>
    <col width="21.85546875" bestFit="1" customWidth="1" style="578" min="5375" max="5375"/>
    <col width="12" customWidth="1" style="578" min="5376" max="5376"/>
    <col width="11.5703125" bestFit="1" customWidth="1" style="578" min="5377" max="5377"/>
    <col width="13.5703125" customWidth="1" style="578" min="5378" max="5378"/>
    <col width="15.5703125" customWidth="1" style="578" min="5379" max="5379"/>
    <col width="18.5703125" customWidth="1" style="578" min="5380" max="5381"/>
    <col width="17.85546875" customWidth="1" style="578" min="5382" max="5382"/>
    <col width="9.140625" customWidth="1" style="578" min="5383" max="5625"/>
    <col width="10.28515625" bestFit="1" customWidth="1" style="578" min="5626" max="5626"/>
    <col width="30.140625" bestFit="1" customWidth="1" style="578" min="5627" max="5627"/>
    <col width="21" customWidth="1" style="578" min="5628" max="5628"/>
    <col width="13.42578125" customWidth="1" style="578" min="5629" max="5630"/>
    <col width="21.85546875" bestFit="1" customWidth="1" style="578" min="5631" max="5631"/>
    <col width="12" customWidth="1" style="578" min="5632" max="5632"/>
    <col width="11.5703125" bestFit="1" customWidth="1" style="578" min="5633" max="5633"/>
    <col width="13.5703125" customWidth="1" style="578" min="5634" max="5634"/>
    <col width="15.5703125" customWidth="1" style="578" min="5635" max="5635"/>
    <col width="18.5703125" customWidth="1" style="578" min="5636" max="5637"/>
    <col width="17.85546875" customWidth="1" style="578" min="5638" max="5638"/>
    <col width="9.140625" customWidth="1" style="578" min="5639" max="5881"/>
    <col width="10.28515625" bestFit="1" customWidth="1" style="578" min="5882" max="5882"/>
    <col width="30.140625" bestFit="1" customWidth="1" style="578" min="5883" max="5883"/>
    <col width="21" customWidth="1" style="578" min="5884" max="5884"/>
    <col width="13.42578125" customWidth="1" style="578" min="5885" max="5886"/>
    <col width="21.85546875" bestFit="1" customWidth="1" style="578" min="5887" max="5887"/>
    <col width="12" customWidth="1" style="578" min="5888" max="5888"/>
    <col width="11.5703125" bestFit="1" customWidth="1" style="578" min="5889" max="5889"/>
    <col width="13.5703125" customWidth="1" style="578" min="5890" max="5890"/>
    <col width="15.5703125" customWidth="1" style="578" min="5891" max="5891"/>
    <col width="18.5703125" customWidth="1" style="578" min="5892" max="5893"/>
    <col width="17.85546875" customWidth="1" style="578" min="5894" max="5894"/>
    <col width="9.140625" customWidth="1" style="578" min="5895" max="6137"/>
    <col width="10.28515625" bestFit="1" customWidth="1" style="578" min="6138" max="6138"/>
    <col width="30.140625" bestFit="1" customWidth="1" style="578" min="6139" max="6139"/>
    <col width="21" customWidth="1" style="578" min="6140" max="6140"/>
    <col width="13.42578125" customWidth="1" style="578" min="6141" max="6142"/>
    <col width="21.85546875" bestFit="1" customWidth="1" style="578" min="6143" max="6143"/>
    <col width="12" customWidth="1" style="578" min="6144" max="6144"/>
    <col width="11.5703125" bestFit="1" customWidth="1" style="578" min="6145" max="6145"/>
    <col width="13.5703125" customWidth="1" style="578" min="6146" max="6146"/>
    <col width="15.5703125" customWidth="1" style="578" min="6147" max="6147"/>
    <col width="18.5703125" customWidth="1" style="578" min="6148" max="6149"/>
    <col width="17.85546875" customWidth="1" style="578" min="6150" max="6150"/>
    <col width="9.140625" customWidth="1" style="578" min="6151" max="6393"/>
    <col width="10.28515625" bestFit="1" customWidth="1" style="578" min="6394" max="6394"/>
    <col width="30.140625" bestFit="1" customWidth="1" style="578" min="6395" max="6395"/>
    <col width="21" customWidth="1" style="578" min="6396" max="6396"/>
    <col width="13.42578125" customWidth="1" style="578" min="6397" max="6398"/>
    <col width="21.85546875" bestFit="1" customWidth="1" style="578" min="6399" max="6399"/>
    <col width="12" customWidth="1" style="578" min="6400" max="6400"/>
    <col width="11.5703125" bestFit="1" customWidth="1" style="578" min="6401" max="6401"/>
    <col width="13.5703125" customWidth="1" style="578" min="6402" max="6402"/>
    <col width="15.5703125" customWidth="1" style="578" min="6403" max="6403"/>
    <col width="18.5703125" customWidth="1" style="578" min="6404" max="6405"/>
    <col width="17.85546875" customWidth="1" style="578" min="6406" max="6406"/>
    <col width="9.140625" customWidth="1" style="578" min="6407" max="6649"/>
    <col width="10.28515625" bestFit="1" customWidth="1" style="578" min="6650" max="6650"/>
    <col width="30.140625" bestFit="1" customWidth="1" style="578" min="6651" max="6651"/>
    <col width="21" customWidth="1" style="578" min="6652" max="6652"/>
    <col width="13.42578125" customWidth="1" style="578" min="6653" max="6654"/>
    <col width="21.85546875" bestFit="1" customWidth="1" style="578" min="6655" max="6655"/>
    <col width="12" customWidth="1" style="578" min="6656" max="6656"/>
    <col width="11.5703125" bestFit="1" customWidth="1" style="578" min="6657" max="6657"/>
    <col width="13.5703125" customWidth="1" style="578" min="6658" max="6658"/>
    <col width="15.5703125" customWidth="1" style="578" min="6659" max="6659"/>
    <col width="18.5703125" customWidth="1" style="578" min="6660" max="6661"/>
    <col width="17.85546875" customWidth="1" style="578" min="6662" max="6662"/>
    <col width="9.140625" customWidth="1" style="578" min="6663" max="6905"/>
    <col width="10.28515625" bestFit="1" customWidth="1" style="578" min="6906" max="6906"/>
    <col width="30.140625" bestFit="1" customWidth="1" style="578" min="6907" max="6907"/>
    <col width="21" customWidth="1" style="578" min="6908" max="6908"/>
    <col width="13.42578125" customWidth="1" style="578" min="6909" max="6910"/>
    <col width="21.85546875" bestFit="1" customWidth="1" style="578" min="6911" max="6911"/>
    <col width="12" customWidth="1" style="578" min="6912" max="6912"/>
    <col width="11.5703125" bestFit="1" customWidth="1" style="578" min="6913" max="6913"/>
    <col width="13.5703125" customWidth="1" style="578" min="6914" max="6914"/>
    <col width="15.5703125" customWidth="1" style="578" min="6915" max="6915"/>
    <col width="18.5703125" customWidth="1" style="578" min="6916" max="6917"/>
    <col width="17.85546875" customWidth="1" style="578" min="6918" max="6918"/>
    <col width="9.140625" customWidth="1" style="578" min="6919" max="7161"/>
    <col width="10.28515625" bestFit="1" customWidth="1" style="578" min="7162" max="7162"/>
    <col width="30.140625" bestFit="1" customWidth="1" style="578" min="7163" max="7163"/>
    <col width="21" customWidth="1" style="578" min="7164" max="7164"/>
    <col width="13.42578125" customWidth="1" style="578" min="7165" max="7166"/>
    <col width="21.85546875" bestFit="1" customWidth="1" style="578" min="7167" max="7167"/>
    <col width="12" customWidth="1" style="578" min="7168" max="7168"/>
    <col width="11.5703125" bestFit="1" customWidth="1" style="578" min="7169" max="7169"/>
    <col width="13.5703125" customWidth="1" style="578" min="7170" max="7170"/>
    <col width="15.5703125" customWidth="1" style="578" min="7171" max="7171"/>
    <col width="18.5703125" customWidth="1" style="578" min="7172" max="7173"/>
    <col width="17.85546875" customWidth="1" style="578" min="7174" max="7174"/>
    <col width="9.140625" customWidth="1" style="578" min="7175" max="7417"/>
    <col width="10.28515625" bestFit="1" customWidth="1" style="578" min="7418" max="7418"/>
    <col width="30.140625" bestFit="1" customWidth="1" style="578" min="7419" max="7419"/>
    <col width="21" customWidth="1" style="578" min="7420" max="7420"/>
    <col width="13.42578125" customWidth="1" style="578" min="7421" max="7422"/>
    <col width="21.85546875" bestFit="1" customWidth="1" style="578" min="7423" max="7423"/>
    <col width="12" customWidth="1" style="578" min="7424" max="7424"/>
    <col width="11.5703125" bestFit="1" customWidth="1" style="578" min="7425" max="7425"/>
    <col width="13.5703125" customWidth="1" style="578" min="7426" max="7426"/>
    <col width="15.5703125" customWidth="1" style="578" min="7427" max="7427"/>
    <col width="18.5703125" customWidth="1" style="578" min="7428" max="7429"/>
    <col width="17.85546875" customWidth="1" style="578" min="7430" max="7430"/>
    <col width="9.140625" customWidth="1" style="578" min="7431" max="7673"/>
    <col width="10.28515625" bestFit="1" customWidth="1" style="578" min="7674" max="7674"/>
    <col width="30.140625" bestFit="1" customWidth="1" style="578" min="7675" max="7675"/>
    <col width="21" customWidth="1" style="578" min="7676" max="7676"/>
    <col width="13.42578125" customWidth="1" style="578" min="7677" max="7678"/>
    <col width="21.85546875" bestFit="1" customWidth="1" style="578" min="7679" max="7679"/>
    <col width="12" customWidth="1" style="578" min="7680" max="7680"/>
    <col width="11.5703125" bestFit="1" customWidth="1" style="578" min="7681" max="7681"/>
    <col width="13.5703125" customWidth="1" style="578" min="7682" max="7682"/>
    <col width="15.5703125" customWidth="1" style="578" min="7683" max="7683"/>
    <col width="18.5703125" customWidth="1" style="578" min="7684" max="7685"/>
    <col width="17.85546875" customWidth="1" style="578" min="7686" max="7686"/>
    <col width="9.140625" customWidth="1" style="578" min="7687" max="7929"/>
    <col width="10.28515625" bestFit="1" customWidth="1" style="578" min="7930" max="7930"/>
    <col width="30.140625" bestFit="1" customWidth="1" style="578" min="7931" max="7931"/>
    <col width="21" customWidth="1" style="578" min="7932" max="7932"/>
    <col width="13.42578125" customWidth="1" style="578" min="7933" max="7934"/>
    <col width="21.85546875" bestFit="1" customWidth="1" style="578" min="7935" max="7935"/>
    <col width="12" customWidth="1" style="578" min="7936" max="7936"/>
    <col width="11.5703125" bestFit="1" customWidth="1" style="578" min="7937" max="7937"/>
    <col width="13.5703125" customWidth="1" style="578" min="7938" max="7938"/>
    <col width="15.5703125" customWidth="1" style="578" min="7939" max="7939"/>
    <col width="18.5703125" customWidth="1" style="578" min="7940" max="7941"/>
    <col width="17.85546875" customWidth="1" style="578" min="7942" max="7942"/>
    <col width="9.140625" customWidth="1" style="578" min="7943" max="8185"/>
    <col width="10.28515625" bestFit="1" customWidth="1" style="578" min="8186" max="8186"/>
    <col width="30.140625" bestFit="1" customWidth="1" style="578" min="8187" max="8187"/>
    <col width="21" customWidth="1" style="578" min="8188" max="8188"/>
    <col width="13.42578125" customWidth="1" style="578" min="8189" max="8190"/>
    <col width="21.85546875" bestFit="1" customWidth="1" style="578" min="8191" max="8191"/>
    <col width="12" customWidth="1" style="578" min="8192" max="8192"/>
    <col width="11.5703125" bestFit="1" customWidth="1" style="578" min="8193" max="8193"/>
    <col width="13.5703125" customWidth="1" style="578" min="8194" max="8194"/>
    <col width="15.5703125" customWidth="1" style="578" min="8195" max="8195"/>
    <col width="18.5703125" customWidth="1" style="578" min="8196" max="8197"/>
    <col width="17.85546875" customWidth="1" style="578" min="8198" max="8198"/>
    <col width="9.140625" customWidth="1" style="578" min="8199" max="8441"/>
    <col width="10.28515625" bestFit="1" customWidth="1" style="578" min="8442" max="8442"/>
    <col width="30.140625" bestFit="1" customWidth="1" style="578" min="8443" max="8443"/>
    <col width="21" customWidth="1" style="578" min="8444" max="8444"/>
    <col width="13.42578125" customWidth="1" style="578" min="8445" max="8446"/>
    <col width="21.85546875" bestFit="1" customWidth="1" style="578" min="8447" max="8447"/>
    <col width="12" customWidth="1" style="578" min="8448" max="8448"/>
    <col width="11.5703125" bestFit="1" customWidth="1" style="578" min="8449" max="8449"/>
    <col width="13.5703125" customWidth="1" style="578" min="8450" max="8450"/>
    <col width="15.5703125" customWidth="1" style="578" min="8451" max="8451"/>
    <col width="18.5703125" customWidth="1" style="578" min="8452" max="8453"/>
    <col width="17.85546875" customWidth="1" style="578" min="8454" max="8454"/>
    <col width="9.140625" customWidth="1" style="578" min="8455" max="8697"/>
    <col width="10.28515625" bestFit="1" customWidth="1" style="578" min="8698" max="8698"/>
    <col width="30.140625" bestFit="1" customWidth="1" style="578" min="8699" max="8699"/>
    <col width="21" customWidth="1" style="578" min="8700" max="8700"/>
    <col width="13.42578125" customWidth="1" style="578" min="8701" max="8702"/>
    <col width="21.85546875" bestFit="1" customWidth="1" style="578" min="8703" max="8703"/>
    <col width="12" customWidth="1" style="578" min="8704" max="8704"/>
    <col width="11.5703125" bestFit="1" customWidth="1" style="578" min="8705" max="8705"/>
    <col width="13.5703125" customWidth="1" style="578" min="8706" max="8706"/>
    <col width="15.5703125" customWidth="1" style="578" min="8707" max="8707"/>
    <col width="18.5703125" customWidth="1" style="578" min="8708" max="8709"/>
    <col width="17.85546875" customWidth="1" style="578" min="8710" max="8710"/>
    <col width="9.140625" customWidth="1" style="578" min="8711" max="8953"/>
    <col width="10.28515625" bestFit="1" customWidth="1" style="578" min="8954" max="8954"/>
    <col width="30.140625" bestFit="1" customWidth="1" style="578" min="8955" max="8955"/>
    <col width="21" customWidth="1" style="578" min="8956" max="8956"/>
    <col width="13.42578125" customWidth="1" style="578" min="8957" max="8958"/>
    <col width="21.85546875" bestFit="1" customWidth="1" style="578" min="8959" max="8959"/>
    <col width="12" customWidth="1" style="578" min="8960" max="8960"/>
    <col width="11.5703125" bestFit="1" customWidth="1" style="578" min="8961" max="8961"/>
    <col width="13.5703125" customWidth="1" style="578" min="8962" max="8962"/>
    <col width="15.5703125" customWidth="1" style="578" min="8963" max="8963"/>
    <col width="18.5703125" customWidth="1" style="578" min="8964" max="8965"/>
    <col width="17.85546875" customWidth="1" style="578" min="8966" max="8966"/>
    <col width="9.140625" customWidth="1" style="578" min="8967" max="9209"/>
    <col width="10.28515625" bestFit="1" customWidth="1" style="578" min="9210" max="9210"/>
    <col width="30.140625" bestFit="1" customWidth="1" style="578" min="9211" max="9211"/>
    <col width="21" customWidth="1" style="578" min="9212" max="9212"/>
    <col width="13.42578125" customWidth="1" style="578" min="9213" max="9214"/>
    <col width="21.85546875" bestFit="1" customWidth="1" style="578" min="9215" max="9215"/>
    <col width="12" customWidth="1" style="578" min="9216" max="9216"/>
    <col width="11.5703125" bestFit="1" customWidth="1" style="578" min="9217" max="9217"/>
    <col width="13.5703125" customWidth="1" style="578" min="9218" max="9218"/>
    <col width="15.5703125" customWidth="1" style="578" min="9219" max="9219"/>
    <col width="18.5703125" customWidth="1" style="578" min="9220" max="9221"/>
    <col width="17.85546875" customWidth="1" style="578" min="9222" max="9222"/>
    <col width="9.140625" customWidth="1" style="578" min="9223" max="9465"/>
    <col width="10.28515625" bestFit="1" customWidth="1" style="578" min="9466" max="9466"/>
    <col width="30.140625" bestFit="1" customWidth="1" style="578" min="9467" max="9467"/>
    <col width="21" customWidth="1" style="578" min="9468" max="9468"/>
    <col width="13.42578125" customWidth="1" style="578" min="9469" max="9470"/>
    <col width="21.85546875" bestFit="1" customWidth="1" style="578" min="9471" max="9471"/>
    <col width="12" customWidth="1" style="578" min="9472" max="9472"/>
    <col width="11.5703125" bestFit="1" customWidth="1" style="578" min="9473" max="9473"/>
    <col width="13.5703125" customWidth="1" style="578" min="9474" max="9474"/>
    <col width="15.5703125" customWidth="1" style="578" min="9475" max="9475"/>
    <col width="18.5703125" customWidth="1" style="578" min="9476" max="9477"/>
    <col width="17.85546875" customWidth="1" style="578" min="9478" max="9478"/>
    <col width="9.140625" customWidth="1" style="578" min="9479" max="9721"/>
    <col width="10.28515625" bestFit="1" customWidth="1" style="578" min="9722" max="9722"/>
    <col width="30.140625" bestFit="1" customWidth="1" style="578" min="9723" max="9723"/>
    <col width="21" customWidth="1" style="578" min="9724" max="9724"/>
    <col width="13.42578125" customWidth="1" style="578" min="9725" max="9726"/>
    <col width="21.85546875" bestFit="1" customWidth="1" style="578" min="9727" max="9727"/>
    <col width="12" customWidth="1" style="578" min="9728" max="9728"/>
    <col width="11.5703125" bestFit="1" customWidth="1" style="578" min="9729" max="9729"/>
    <col width="13.5703125" customWidth="1" style="578" min="9730" max="9730"/>
    <col width="15.5703125" customWidth="1" style="578" min="9731" max="9731"/>
    <col width="18.5703125" customWidth="1" style="578" min="9732" max="9733"/>
    <col width="17.85546875" customWidth="1" style="578" min="9734" max="9734"/>
    <col width="9.140625" customWidth="1" style="578" min="9735" max="9977"/>
    <col width="10.28515625" bestFit="1" customWidth="1" style="578" min="9978" max="9978"/>
    <col width="30.140625" bestFit="1" customWidth="1" style="578" min="9979" max="9979"/>
    <col width="21" customWidth="1" style="578" min="9980" max="9980"/>
    <col width="13.42578125" customWidth="1" style="578" min="9981" max="9982"/>
    <col width="21.85546875" bestFit="1" customWidth="1" style="578" min="9983" max="9983"/>
    <col width="12" customWidth="1" style="578" min="9984" max="9984"/>
    <col width="11.5703125" bestFit="1" customWidth="1" style="578" min="9985" max="9985"/>
    <col width="13.5703125" customWidth="1" style="578" min="9986" max="9986"/>
    <col width="15.5703125" customWidth="1" style="578" min="9987" max="9987"/>
    <col width="18.5703125" customWidth="1" style="578" min="9988" max="9989"/>
    <col width="17.85546875" customWidth="1" style="578" min="9990" max="9990"/>
    <col width="9.140625" customWidth="1" style="578" min="9991" max="10233"/>
    <col width="10.28515625" bestFit="1" customWidth="1" style="578" min="10234" max="10234"/>
    <col width="30.140625" bestFit="1" customWidth="1" style="578" min="10235" max="10235"/>
    <col width="21" customWidth="1" style="578" min="10236" max="10236"/>
    <col width="13.42578125" customWidth="1" style="578" min="10237" max="10238"/>
    <col width="21.85546875" bestFit="1" customWidth="1" style="578" min="10239" max="10239"/>
    <col width="12" customWidth="1" style="578" min="10240" max="10240"/>
    <col width="11.5703125" bestFit="1" customWidth="1" style="578" min="10241" max="10241"/>
    <col width="13.5703125" customWidth="1" style="578" min="10242" max="10242"/>
    <col width="15.5703125" customWidth="1" style="578" min="10243" max="10243"/>
    <col width="18.5703125" customWidth="1" style="578" min="10244" max="10245"/>
    <col width="17.85546875" customWidth="1" style="578" min="10246" max="10246"/>
    <col width="9.140625" customWidth="1" style="578" min="10247" max="10489"/>
    <col width="10.28515625" bestFit="1" customWidth="1" style="578" min="10490" max="10490"/>
    <col width="30.140625" bestFit="1" customWidth="1" style="578" min="10491" max="10491"/>
    <col width="21" customWidth="1" style="578" min="10492" max="10492"/>
    <col width="13.42578125" customWidth="1" style="578" min="10493" max="10494"/>
    <col width="21.85546875" bestFit="1" customWidth="1" style="578" min="10495" max="10495"/>
    <col width="12" customWidth="1" style="578" min="10496" max="10496"/>
    <col width="11.5703125" bestFit="1" customWidth="1" style="578" min="10497" max="10497"/>
    <col width="13.5703125" customWidth="1" style="578" min="10498" max="10498"/>
    <col width="15.5703125" customWidth="1" style="578" min="10499" max="10499"/>
    <col width="18.5703125" customWidth="1" style="578" min="10500" max="10501"/>
    <col width="17.85546875" customWidth="1" style="578" min="10502" max="10502"/>
    <col width="9.140625" customWidth="1" style="578" min="10503" max="10745"/>
    <col width="10.28515625" bestFit="1" customWidth="1" style="578" min="10746" max="10746"/>
    <col width="30.140625" bestFit="1" customWidth="1" style="578" min="10747" max="10747"/>
    <col width="21" customWidth="1" style="578" min="10748" max="10748"/>
    <col width="13.42578125" customWidth="1" style="578" min="10749" max="10750"/>
    <col width="21.85546875" bestFit="1" customWidth="1" style="578" min="10751" max="10751"/>
    <col width="12" customWidth="1" style="578" min="10752" max="10752"/>
    <col width="11.5703125" bestFit="1" customWidth="1" style="578" min="10753" max="10753"/>
    <col width="13.5703125" customWidth="1" style="578" min="10754" max="10754"/>
    <col width="15.5703125" customWidth="1" style="578" min="10755" max="10755"/>
    <col width="18.5703125" customWidth="1" style="578" min="10756" max="10757"/>
    <col width="17.85546875" customWidth="1" style="578" min="10758" max="10758"/>
    <col width="9.140625" customWidth="1" style="578" min="10759" max="11001"/>
    <col width="10.28515625" bestFit="1" customWidth="1" style="578" min="11002" max="11002"/>
    <col width="30.140625" bestFit="1" customWidth="1" style="578" min="11003" max="11003"/>
    <col width="21" customWidth="1" style="578" min="11004" max="11004"/>
    <col width="13.42578125" customWidth="1" style="578" min="11005" max="11006"/>
    <col width="21.85546875" bestFit="1" customWidth="1" style="578" min="11007" max="11007"/>
    <col width="12" customWidth="1" style="578" min="11008" max="11008"/>
    <col width="11.5703125" bestFit="1" customWidth="1" style="578" min="11009" max="11009"/>
    <col width="13.5703125" customWidth="1" style="578" min="11010" max="11010"/>
    <col width="15.5703125" customWidth="1" style="578" min="11011" max="11011"/>
    <col width="18.5703125" customWidth="1" style="578" min="11012" max="11013"/>
    <col width="17.85546875" customWidth="1" style="578" min="11014" max="11014"/>
    <col width="9.140625" customWidth="1" style="578" min="11015" max="11257"/>
    <col width="10.28515625" bestFit="1" customWidth="1" style="578" min="11258" max="11258"/>
    <col width="30.140625" bestFit="1" customWidth="1" style="578" min="11259" max="11259"/>
    <col width="21" customWidth="1" style="578" min="11260" max="11260"/>
    <col width="13.42578125" customWidth="1" style="578" min="11261" max="11262"/>
    <col width="21.85546875" bestFit="1" customWidth="1" style="578" min="11263" max="11263"/>
    <col width="12" customWidth="1" style="578" min="11264" max="11264"/>
    <col width="11.5703125" bestFit="1" customWidth="1" style="578" min="11265" max="11265"/>
    <col width="13.5703125" customWidth="1" style="578" min="11266" max="11266"/>
    <col width="15.5703125" customWidth="1" style="578" min="11267" max="11267"/>
    <col width="18.5703125" customWidth="1" style="578" min="11268" max="11269"/>
    <col width="17.85546875" customWidth="1" style="578" min="11270" max="11270"/>
    <col width="9.140625" customWidth="1" style="578" min="11271" max="11513"/>
    <col width="10.28515625" bestFit="1" customWidth="1" style="578" min="11514" max="11514"/>
    <col width="30.140625" bestFit="1" customWidth="1" style="578" min="11515" max="11515"/>
    <col width="21" customWidth="1" style="578" min="11516" max="11516"/>
    <col width="13.42578125" customWidth="1" style="578" min="11517" max="11518"/>
    <col width="21.85546875" bestFit="1" customWidth="1" style="578" min="11519" max="11519"/>
    <col width="12" customWidth="1" style="578" min="11520" max="11520"/>
    <col width="11.5703125" bestFit="1" customWidth="1" style="578" min="11521" max="11521"/>
    <col width="13.5703125" customWidth="1" style="578" min="11522" max="11522"/>
    <col width="15.5703125" customWidth="1" style="578" min="11523" max="11523"/>
    <col width="18.5703125" customWidth="1" style="578" min="11524" max="11525"/>
    <col width="17.85546875" customWidth="1" style="578" min="11526" max="11526"/>
    <col width="9.140625" customWidth="1" style="578" min="11527" max="11769"/>
    <col width="10.28515625" bestFit="1" customWidth="1" style="578" min="11770" max="11770"/>
    <col width="30.140625" bestFit="1" customWidth="1" style="578" min="11771" max="11771"/>
    <col width="21" customWidth="1" style="578" min="11772" max="11772"/>
    <col width="13.42578125" customWidth="1" style="578" min="11773" max="11774"/>
    <col width="21.85546875" bestFit="1" customWidth="1" style="578" min="11775" max="11775"/>
    <col width="12" customWidth="1" style="578" min="11776" max="11776"/>
    <col width="11.5703125" bestFit="1" customWidth="1" style="578" min="11777" max="11777"/>
    <col width="13.5703125" customWidth="1" style="578" min="11778" max="11778"/>
    <col width="15.5703125" customWidth="1" style="578" min="11779" max="11779"/>
    <col width="18.5703125" customWidth="1" style="578" min="11780" max="11781"/>
    <col width="17.85546875" customWidth="1" style="578" min="11782" max="11782"/>
    <col width="9.140625" customWidth="1" style="578" min="11783" max="12025"/>
    <col width="10.28515625" bestFit="1" customWidth="1" style="578" min="12026" max="12026"/>
    <col width="30.140625" bestFit="1" customWidth="1" style="578" min="12027" max="12027"/>
    <col width="21" customWidth="1" style="578" min="12028" max="12028"/>
    <col width="13.42578125" customWidth="1" style="578" min="12029" max="12030"/>
    <col width="21.85546875" bestFit="1" customWidth="1" style="578" min="12031" max="12031"/>
    <col width="12" customWidth="1" style="578" min="12032" max="12032"/>
    <col width="11.5703125" bestFit="1" customWidth="1" style="578" min="12033" max="12033"/>
    <col width="13.5703125" customWidth="1" style="578" min="12034" max="12034"/>
    <col width="15.5703125" customWidth="1" style="578" min="12035" max="12035"/>
    <col width="18.5703125" customWidth="1" style="578" min="12036" max="12037"/>
    <col width="17.85546875" customWidth="1" style="578" min="12038" max="12038"/>
    <col width="9.140625" customWidth="1" style="578" min="12039" max="12281"/>
    <col width="10.28515625" bestFit="1" customWidth="1" style="578" min="12282" max="12282"/>
    <col width="30.140625" bestFit="1" customWidth="1" style="578" min="12283" max="12283"/>
    <col width="21" customWidth="1" style="578" min="12284" max="12284"/>
    <col width="13.42578125" customWidth="1" style="578" min="12285" max="12286"/>
    <col width="21.85546875" bestFit="1" customWidth="1" style="578" min="12287" max="12287"/>
    <col width="12" customWidth="1" style="578" min="12288" max="12288"/>
    <col width="11.5703125" bestFit="1" customWidth="1" style="578" min="12289" max="12289"/>
    <col width="13.5703125" customWidth="1" style="578" min="12290" max="12290"/>
    <col width="15.5703125" customWidth="1" style="578" min="12291" max="12291"/>
    <col width="18.5703125" customWidth="1" style="578" min="12292" max="12293"/>
    <col width="17.85546875" customWidth="1" style="578" min="12294" max="12294"/>
    <col width="9.140625" customWidth="1" style="578" min="12295" max="12537"/>
    <col width="10.28515625" bestFit="1" customWidth="1" style="578" min="12538" max="12538"/>
    <col width="30.140625" bestFit="1" customWidth="1" style="578" min="12539" max="12539"/>
    <col width="21" customWidth="1" style="578" min="12540" max="12540"/>
    <col width="13.42578125" customWidth="1" style="578" min="12541" max="12542"/>
    <col width="21.85546875" bestFit="1" customWidth="1" style="578" min="12543" max="12543"/>
    <col width="12" customWidth="1" style="578" min="12544" max="12544"/>
    <col width="11.5703125" bestFit="1" customWidth="1" style="578" min="12545" max="12545"/>
    <col width="13.5703125" customWidth="1" style="578" min="12546" max="12546"/>
    <col width="15.5703125" customWidth="1" style="578" min="12547" max="12547"/>
    <col width="18.5703125" customWidth="1" style="578" min="12548" max="12549"/>
    <col width="17.85546875" customWidth="1" style="578" min="12550" max="12550"/>
    <col width="9.140625" customWidth="1" style="578" min="12551" max="12793"/>
    <col width="10.28515625" bestFit="1" customWidth="1" style="578" min="12794" max="12794"/>
    <col width="30.140625" bestFit="1" customWidth="1" style="578" min="12795" max="12795"/>
    <col width="21" customWidth="1" style="578" min="12796" max="12796"/>
    <col width="13.42578125" customWidth="1" style="578" min="12797" max="12798"/>
    <col width="21.85546875" bestFit="1" customWidth="1" style="578" min="12799" max="12799"/>
    <col width="12" customWidth="1" style="578" min="12800" max="12800"/>
    <col width="11.5703125" bestFit="1" customWidth="1" style="578" min="12801" max="12801"/>
    <col width="13.5703125" customWidth="1" style="578" min="12802" max="12802"/>
    <col width="15.5703125" customWidth="1" style="578" min="12803" max="12803"/>
    <col width="18.5703125" customWidth="1" style="578" min="12804" max="12805"/>
    <col width="17.85546875" customWidth="1" style="578" min="12806" max="12806"/>
    <col width="9.140625" customWidth="1" style="578" min="12807" max="13049"/>
    <col width="10.28515625" bestFit="1" customWidth="1" style="578" min="13050" max="13050"/>
    <col width="30.140625" bestFit="1" customWidth="1" style="578" min="13051" max="13051"/>
    <col width="21" customWidth="1" style="578" min="13052" max="13052"/>
    <col width="13.42578125" customWidth="1" style="578" min="13053" max="13054"/>
    <col width="21.85546875" bestFit="1" customWidth="1" style="578" min="13055" max="13055"/>
    <col width="12" customWidth="1" style="578" min="13056" max="13056"/>
    <col width="11.5703125" bestFit="1" customWidth="1" style="578" min="13057" max="13057"/>
    <col width="13.5703125" customWidth="1" style="578" min="13058" max="13058"/>
    <col width="15.5703125" customWidth="1" style="578" min="13059" max="13059"/>
    <col width="18.5703125" customWidth="1" style="578" min="13060" max="13061"/>
    <col width="17.85546875" customWidth="1" style="578" min="13062" max="13062"/>
    <col width="9.140625" customWidth="1" style="578" min="13063" max="13305"/>
    <col width="10.28515625" bestFit="1" customWidth="1" style="578" min="13306" max="13306"/>
    <col width="30.140625" bestFit="1" customWidth="1" style="578" min="13307" max="13307"/>
    <col width="21" customWidth="1" style="578" min="13308" max="13308"/>
    <col width="13.42578125" customWidth="1" style="578" min="13309" max="13310"/>
    <col width="21.85546875" bestFit="1" customWidth="1" style="578" min="13311" max="13311"/>
    <col width="12" customWidth="1" style="578" min="13312" max="13312"/>
    <col width="11.5703125" bestFit="1" customWidth="1" style="578" min="13313" max="13313"/>
    <col width="13.5703125" customWidth="1" style="578" min="13314" max="13314"/>
    <col width="15.5703125" customWidth="1" style="578" min="13315" max="13315"/>
    <col width="18.5703125" customWidth="1" style="578" min="13316" max="13317"/>
    <col width="17.85546875" customWidth="1" style="578" min="13318" max="13318"/>
    <col width="9.140625" customWidth="1" style="578" min="13319" max="13561"/>
    <col width="10.28515625" bestFit="1" customWidth="1" style="578" min="13562" max="13562"/>
    <col width="30.140625" bestFit="1" customWidth="1" style="578" min="13563" max="13563"/>
    <col width="21" customWidth="1" style="578" min="13564" max="13564"/>
    <col width="13.42578125" customWidth="1" style="578" min="13565" max="13566"/>
    <col width="21.85546875" bestFit="1" customWidth="1" style="578" min="13567" max="13567"/>
    <col width="12" customWidth="1" style="578" min="13568" max="13568"/>
    <col width="11.5703125" bestFit="1" customWidth="1" style="578" min="13569" max="13569"/>
    <col width="13.5703125" customWidth="1" style="578" min="13570" max="13570"/>
    <col width="15.5703125" customWidth="1" style="578" min="13571" max="13571"/>
    <col width="18.5703125" customWidth="1" style="578" min="13572" max="13573"/>
    <col width="17.85546875" customWidth="1" style="578" min="13574" max="13574"/>
    <col width="9.140625" customWidth="1" style="578" min="13575" max="13817"/>
    <col width="10.28515625" bestFit="1" customWidth="1" style="578" min="13818" max="13818"/>
    <col width="30.140625" bestFit="1" customWidth="1" style="578" min="13819" max="13819"/>
    <col width="21" customWidth="1" style="578" min="13820" max="13820"/>
    <col width="13.42578125" customWidth="1" style="578" min="13821" max="13822"/>
    <col width="21.85546875" bestFit="1" customWidth="1" style="578" min="13823" max="13823"/>
    <col width="12" customWidth="1" style="578" min="13824" max="13824"/>
    <col width="11.5703125" bestFit="1" customWidth="1" style="578" min="13825" max="13825"/>
    <col width="13.5703125" customWidth="1" style="578" min="13826" max="13826"/>
    <col width="15.5703125" customWidth="1" style="578" min="13827" max="13827"/>
    <col width="18.5703125" customWidth="1" style="578" min="13828" max="13829"/>
    <col width="17.85546875" customWidth="1" style="578" min="13830" max="13830"/>
    <col width="9.140625" customWidth="1" style="578" min="13831" max="14073"/>
    <col width="10.28515625" bestFit="1" customWidth="1" style="578" min="14074" max="14074"/>
    <col width="30.140625" bestFit="1" customWidth="1" style="578" min="14075" max="14075"/>
    <col width="21" customWidth="1" style="578" min="14076" max="14076"/>
    <col width="13.42578125" customWidth="1" style="578" min="14077" max="14078"/>
    <col width="21.85546875" bestFit="1" customWidth="1" style="578" min="14079" max="14079"/>
    <col width="12" customWidth="1" style="578" min="14080" max="14080"/>
    <col width="11.5703125" bestFit="1" customWidth="1" style="578" min="14081" max="14081"/>
    <col width="13.5703125" customWidth="1" style="578" min="14082" max="14082"/>
    <col width="15.5703125" customWidth="1" style="578" min="14083" max="14083"/>
    <col width="18.5703125" customWidth="1" style="578" min="14084" max="14085"/>
    <col width="17.85546875" customWidth="1" style="578" min="14086" max="14086"/>
    <col width="9.140625" customWidth="1" style="578" min="14087" max="14329"/>
    <col width="10.28515625" bestFit="1" customWidth="1" style="578" min="14330" max="14330"/>
    <col width="30.140625" bestFit="1" customWidth="1" style="578" min="14331" max="14331"/>
    <col width="21" customWidth="1" style="578" min="14332" max="14332"/>
    <col width="13.42578125" customWidth="1" style="578" min="14333" max="14334"/>
    <col width="21.85546875" bestFit="1" customWidth="1" style="578" min="14335" max="14335"/>
    <col width="12" customWidth="1" style="578" min="14336" max="14336"/>
    <col width="11.5703125" bestFit="1" customWidth="1" style="578" min="14337" max="14337"/>
    <col width="13.5703125" customWidth="1" style="578" min="14338" max="14338"/>
    <col width="15.5703125" customWidth="1" style="578" min="14339" max="14339"/>
    <col width="18.5703125" customWidth="1" style="578" min="14340" max="14341"/>
    <col width="17.85546875" customWidth="1" style="578" min="14342" max="14342"/>
    <col width="9.140625" customWidth="1" style="578" min="14343" max="14585"/>
    <col width="10.28515625" bestFit="1" customWidth="1" style="578" min="14586" max="14586"/>
    <col width="30.140625" bestFit="1" customWidth="1" style="578" min="14587" max="14587"/>
    <col width="21" customWidth="1" style="578" min="14588" max="14588"/>
    <col width="13.42578125" customWidth="1" style="578" min="14589" max="14590"/>
    <col width="21.85546875" bestFit="1" customWidth="1" style="578" min="14591" max="14591"/>
    <col width="12" customWidth="1" style="578" min="14592" max="14592"/>
    <col width="11.5703125" bestFit="1" customWidth="1" style="578" min="14593" max="14593"/>
    <col width="13.5703125" customWidth="1" style="578" min="14594" max="14594"/>
    <col width="15.5703125" customWidth="1" style="578" min="14595" max="14595"/>
    <col width="18.5703125" customWidth="1" style="578" min="14596" max="14597"/>
    <col width="17.85546875" customWidth="1" style="578" min="14598" max="14598"/>
    <col width="9.140625" customWidth="1" style="578" min="14599" max="14841"/>
    <col width="10.28515625" bestFit="1" customWidth="1" style="578" min="14842" max="14842"/>
    <col width="30.140625" bestFit="1" customWidth="1" style="578" min="14843" max="14843"/>
    <col width="21" customWidth="1" style="578" min="14844" max="14844"/>
    <col width="13.42578125" customWidth="1" style="578" min="14845" max="14846"/>
    <col width="21.85546875" bestFit="1" customWidth="1" style="578" min="14847" max="14847"/>
    <col width="12" customWidth="1" style="578" min="14848" max="14848"/>
    <col width="11.5703125" bestFit="1" customWidth="1" style="578" min="14849" max="14849"/>
    <col width="13.5703125" customWidth="1" style="578" min="14850" max="14850"/>
    <col width="15.5703125" customWidth="1" style="578" min="14851" max="14851"/>
    <col width="18.5703125" customWidth="1" style="578" min="14852" max="14853"/>
    <col width="17.85546875" customWidth="1" style="578" min="14854" max="14854"/>
    <col width="9.140625" customWidth="1" style="578" min="14855" max="15097"/>
    <col width="10.28515625" bestFit="1" customWidth="1" style="578" min="15098" max="15098"/>
    <col width="30.140625" bestFit="1" customWidth="1" style="578" min="15099" max="15099"/>
    <col width="21" customWidth="1" style="578" min="15100" max="15100"/>
    <col width="13.42578125" customWidth="1" style="578" min="15101" max="15102"/>
    <col width="21.85546875" bestFit="1" customWidth="1" style="578" min="15103" max="15103"/>
    <col width="12" customWidth="1" style="578" min="15104" max="15104"/>
    <col width="11.5703125" bestFit="1" customWidth="1" style="578" min="15105" max="15105"/>
    <col width="13.5703125" customWidth="1" style="578" min="15106" max="15106"/>
    <col width="15.5703125" customWidth="1" style="578" min="15107" max="15107"/>
    <col width="18.5703125" customWidth="1" style="578" min="15108" max="15109"/>
    <col width="17.85546875" customWidth="1" style="578" min="15110" max="15110"/>
    <col width="9.140625" customWidth="1" style="578" min="15111" max="15353"/>
    <col width="10.28515625" bestFit="1" customWidth="1" style="578" min="15354" max="15354"/>
    <col width="30.140625" bestFit="1" customWidth="1" style="578" min="15355" max="15355"/>
    <col width="21" customWidth="1" style="578" min="15356" max="15356"/>
    <col width="13.42578125" customWidth="1" style="578" min="15357" max="15358"/>
    <col width="21.85546875" bestFit="1" customWidth="1" style="578" min="15359" max="15359"/>
    <col width="12" customWidth="1" style="578" min="15360" max="15360"/>
    <col width="11.5703125" bestFit="1" customWidth="1" style="578" min="15361" max="15361"/>
    <col width="13.5703125" customWidth="1" style="578" min="15362" max="15362"/>
    <col width="15.5703125" customWidth="1" style="578" min="15363" max="15363"/>
    <col width="18.5703125" customWidth="1" style="578" min="15364" max="15365"/>
    <col width="17.85546875" customWidth="1" style="578" min="15366" max="15366"/>
    <col width="9.140625" customWidth="1" style="578" min="15367" max="15609"/>
    <col width="10.28515625" bestFit="1" customWidth="1" style="578" min="15610" max="15610"/>
    <col width="30.140625" bestFit="1" customWidth="1" style="578" min="15611" max="15611"/>
    <col width="21" customWidth="1" style="578" min="15612" max="15612"/>
    <col width="13.42578125" customWidth="1" style="578" min="15613" max="15614"/>
    <col width="21.85546875" bestFit="1" customWidth="1" style="578" min="15615" max="15615"/>
    <col width="12" customWidth="1" style="578" min="15616" max="15616"/>
    <col width="11.5703125" bestFit="1" customWidth="1" style="578" min="15617" max="15617"/>
    <col width="13.5703125" customWidth="1" style="578" min="15618" max="15618"/>
    <col width="15.5703125" customWidth="1" style="578" min="15619" max="15619"/>
    <col width="18.5703125" customWidth="1" style="578" min="15620" max="15621"/>
    <col width="17.85546875" customWidth="1" style="578" min="15622" max="15622"/>
    <col width="9.140625" customWidth="1" style="578" min="15623" max="15865"/>
    <col width="10.28515625" bestFit="1" customWidth="1" style="578" min="15866" max="15866"/>
    <col width="30.140625" bestFit="1" customWidth="1" style="578" min="15867" max="15867"/>
    <col width="21" customWidth="1" style="578" min="15868" max="15868"/>
    <col width="13.42578125" customWidth="1" style="578" min="15869" max="15870"/>
    <col width="21.85546875" bestFit="1" customWidth="1" style="578" min="15871" max="15871"/>
    <col width="12" customWidth="1" style="578" min="15872" max="15872"/>
    <col width="11.5703125" bestFit="1" customWidth="1" style="578" min="15873" max="15873"/>
    <col width="13.5703125" customWidth="1" style="578" min="15874" max="15874"/>
    <col width="15.5703125" customWidth="1" style="578" min="15875" max="15875"/>
    <col width="18.5703125" customWidth="1" style="578" min="15876" max="15877"/>
    <col width="17.85546875" customWidth="1" style="578" min="15878" max="15878"/>
    <col width="9.140625" customWidth="1" style="578" min="15879" max="16121"/>
    <col width="10.28515625" bestFit="1" customWidth="1" style="578" min="16122" max="16122"/>
    <col width="30.140625" bestFit="1" customWidth="1" style="578" min="16123" max="16123"/>
    <col width="21" customWidth="1" style="578" min="16124" max="16124"/>
    <col width="13.42578125" customWidth="1" style="578" min="16125" max="16126"/>
    <col width="21.85546875" bestFit="1" customWidth="1" style="578" min="16127" max="16127"/>
    <col width="12" customWidth="1" style="578" min="16128" max="16128"/>
    <col width="11.5703125" bestFit="1" customWidth="1" style="578" min="16129" max="16129"/>
    <col width="13.5703125" customWidth="1" style="578" min="16130" max="16130"/>
    <col width="15.5703125" customWidth="1" style="578" min="16131" max="16131"/>
    <col width="18.5703125" customWidth="1" style="578" min="16132" max="16133"/>
    <col width="17.85546875" customWidth="1" style="578" min="16134" max="16134"/>
    <col width="9.140625" customWidth="1" style="578" min="16135" max="16384"/>
  </cols>
  <sheetData>
    <row r="1" ht="43.5" customHeight="1">
      <c r="A1" s="590" t="inlineStr">
        <is>
          <t>TT</t>
        </is>
      </c>
      <c r="B1" s="590" t="inlineStr">
        <is>
          <t>Employee Code</t>
        </is>
      </c>
      <c r="C1" s="590" t="inlineStr">
        <is>
          <t>Full name</t>
        </is>
      </c>
      <c r="D1" s="591" t="inlineStr">
        <is>
          <t>Monthly bonus</t>
        </is>
      </c>
      <c r="E1" s="591" t="inlineStr">
        <is>
          <t>Birthday (Company)</t>
        </is>
      </c>
      <c r="F1" s="590" t="inlineStr">
        <is>
          <t>Seniority</t>
        </is>
      </c>
      <c r="G1" s="590" t="inlineStr">
        <is>
          <t>Gift (10%)</t>
        </is>
      </c>
      <c r="H1" s="592" t="inlineStr">
        <is>
          <t>Total taxable benefits</t>
        </is>
      </c>
    </row>
    <row r="2" ht="16.5" customHeight="1">
      <c r="A2" s="582">
        <f>ROW()-1</f>
        <v/>
      </c>
      <c r="B2" s="583" t="inlineStr">
        <is>
          <t>SLA2500111</t>
        </is>
      </c>
      <c r="C2" s="393" t="inlineStr">
        <is>
          <t>Nguyen Thi Ha</t>
        </is>
      </c>
      <c r="D2" s="811" t="n"/>
      <c r="E2" s="857" t="n">
        <v>200000</v>
      </c>
      <c r="F2" s="858" t="n"/>
      <c r="G2" s="858" t="n"/>
      <c r="H2" s="859">
        <f>SUM(D2:G2)</f>
        <v/>
      </c>
    </row>
    <row r="3" ht="16.5" customHeight="1">
      <c r="A3" s="582">
        <f>ROW()-1</f>
        <v/>
      </c>
      <c r="B3" s="587" t="inlineStr">
        <is>
          <t>PHI2500112</t>
        </is>
      </c>
      <c r="C3" s="393" t="inlineStr">
        <is>
          <t>Phung Manh Ha</t>
        </is>
      </c>
      <c r="D3" s="811" t="n"/>
      <c r="E3" s="857" t="n"/>
      <c r="F3" s="858" t="n">
        <v>2000000</v>
      </c>
      <c r="G3" s="858" t="n"/>
      <c r="H3" s="859">
        <f>SUM(D3:G3)</f>
        <v/>
      </c>
    </row>
    <row r="4" ht="16.5" customHeight="1">
      <c r="A4" s="582">
        <f>ROW()-1</f>
        <v/>
      </c>
      <c r="B4" s="587" t="inlineStr">
        <is>
          <t>PVT2500113</t>
        </is>
      </c>
      <c r="C4" s="393" t="inlineStr">
        <is>
          <t>Nguyen Duc Khanh</t>
        </is>
      </c>
      <c r="D4" s="811" t="n"/>
      <c r="E4" s="857" t="n"/>
      <c r="F4" s="858" t="n"/>
      <c r="G4" s="858" t="n">
        <v>1000000</v>
      </c>
      <c r="H4" s="859">
        <f>SUM(D4:G4)</f>
        <v/>
      </c>
    </row>
    <row r="5" ht="16.5" customHeight="1">
      <c r="A5" s="582">
        <f>ROW()-1</f>
        <v/>
      </c>
      <c r="B5" s="587" t="inlineStr">
        <is>
          <t>PVT2500114</t>
        </is>
      </c>
      <c r="C5" s="393" t="inlineStr">
        <is>
          <t>Nguyen Son Tung</t>
        </is>
      </c>
      <c r="D5" s="811" t="n">
        <v>500000</v>
      </c>
      <c r="E5" s="857" t="n"/>
      <c r="F5" s="858" t="n"/>
      <c r="G5" s="858" t="n">
        <v>750000</v>
      </c>
      <c r="H5" s="859">
        <f>SUM(D5:G5)</f>
        <v/>
      </c>
    </row>
    <row r="6" ht="23.25" customHeight="1">
      <c r="A6" s="582" t="n"/>
      <c r="B6" s="588" t="n"/>
      <c r="C6" s="588" t="n"/>
      <c r="D6" s="860">
        <f>SUM(D2:D5)</f>
        <v/>
      </c>
      <c r="E6" s="860">
        <f>SUM(E2:E5)</f>
        <v/>
      </c>
      <c r="F6" s="860">
        <f>SUM(F2:F5)</f>
        <v/>
      </c>
      <c r="G6" s="860">
        <f>SUM(G2:G5)</f>
        <v/>
      </c>
      <c r="H6" s="860">
        <f>SUM(H2:H5)</f>
        <v/>
      </c>
    </row>
    <row r="7" ht="15.75" customHeight="1">
      <c r="A7" s="579" t="n"/>
    </row>
    <row r="8" ht="23.25" customHeight="1">
      <c r="A8" s="579" t="n"/>
      <c r="B8" s="578" t="n"/>
      <c r="C8" s="581" t="n"/>
    </row>
    <row r="9" ht="15.75" customHeight="1">
      <c r="A9" s="579" t="n"/>
    </row>
    <row r="10" ht="15.75" customHeight="1">
      <c r="A10" s="579" t="n"/>
    </row>
    <row r="11" ht="15.75" customHeight="1">
      <c r="A11" s="579" t="n"/>
    </row>
    <row r="12" ht="15.75" customHeight="1">
      <c r="A12" s="579" t="n"/>
    </row>
    <row r="13" ht="15.75" customHeight="1">
      <c r="A13" s="579" t="n"/>
    </row>
    <row r="14" ht="15.75" customHeight="1">
      <c r="A14" s="579" t="n"/>
    </row>
    <row r="15" ht="15.75" customHeight="1">
      <c r="A15" s="579" t="n"/>
    </row>
    <row r="16" ht="15.75" customHeight="1">
      <c r="A16" s="579" t="n"/>
    </row>
    <row r="17" ht="15.75" customHeight="1">
      <c r="A17" s="579" t="n"/>
    </row>
    <row r="18" ht="15.75" customHeight="1">
      <c r="A18" s="579" t="n"/>
    </row>
    <row r="19" ht="15.75" customHeight="1">
      <c r="A19" s="579" t="n"/>
    </row>
  </sheetData>
  <autoFilter ref="A1:H19"/>
  <conditionalFormatting sqref="B1">
    <cfRule type="duplicateValues" priority="170030" dxfId="11" stopIfTrue="1"/>
    <cfRule type="duplicateValues" priority="170031" dxfId="11" stopIfTrue="1"/>
    <cfRule type="duplicateValues" priority="170032" dxfId="1" stopIfTrue="1"/>
    <cfRule type="duplicateValues" priority="170033" dxfId="1" stopIfTrue="1"/>
  </conditionalFormatting>
  <conditionalFormatting sqref="B1:B1048576">
    <cfRule type="duplicateValues" priority="38" dxfId="1"/>
    <cfRule type="duplicateValues" priority="39" dxfId="1"/>
    <cfRule type="duplicateValues" priority="192574" dxfId="1"/>
  </conditionalFormatting>
  <conditionalFormatting sqref="B2">
    <cfRule type="duplicateValues" priority="1327426" dxfId="1"/>
    <cfRule type="duplicateValues" priority="1327427" dxfId="1"/>
    <cfRule type="duplicateValues" priority="1327428" dxfId="1"/>
  </conditionalFormatting>
  <conditionalFormatting sqref="B2:B5">
    <cfRule type="duplicateValues" priority="1327567" dxfId="1"/>
    <cfRule type="duplicateValues" priority="1327568" dxfId="1"/>
    <cfRule type="duplicateValues" priority="1327569" dxfId="1"/>
    <cfRule type="duplicateValues" priority="1327570" dxfId="1"/>
    <cfRule type="duplicateValues" priority="1327571" dxfId="1"/>
    <cfRule type="duplicateValues" priority="1327572" dxfId="1"/>
    <cfRule type="duplicateValues" priority="1327573" dxfId="1"/>
    <cfRule type="duplicateValues" priority="1327574" dxfId="1"/>
    <cfRule type="duplicateValues" priority="1327575" dxfId="1"/>
    <cfRule type="duplicateValues" priority="1327576" dxfId="1" stopIfTrue="1"/>
    <cfRule type="duplicateValues" priority="1327577" dxfId="11" stopIfTrue="1"/>
    <cfRule type="duplicateValues" priority="1327578" dxfId="11" stopIfTrue="1"/>
    <cfRule type="duplicateValues" priority="1327579" dxfId="11" stopIfTrue="1"/>
    <cfRule type="duplicateValues" priority="1327580" dxfId="1" stopIfTrue="1"/>
    <cfRule type="duplicateValues" priority="1327581" dxfId="1" stopIfTrue="1"/>
    <cfRule type="duplicateValues" priority="1327582" dxfId="1"/>
  </conditionalFormatting>
  <conditionalFormatting sqref="B3:B5">
    <cfRule type="duplicateValues" priority="1327583" dxfId="1"/>
    <cfRule type="duplicateValues" priority="1327584" dxfId="1"/>
    <cfRule type="duplicateValues" priority="1327585" dxfId="1"/>
    <cfRule type="duplicateValues" priority="1327586" dxfId="1"/>
  </conditionalFormatting>
  <conditionalFormatting sqref="B6:B65157">
    <cfRule type="duplicateValues" priority="167476" dxfId="1" stopIfTrue="1"/>
    <cfRule type="duplicateValues" priority="167477" dxfId="1" stopIfTrue="1"/>
  </conditionalFormatting>
  <conditionalFormatting sqref="B6:B1048576">
    <cfRule type="duplicateValues" priority="1269" dxfId="1"/>
  </conditionalFormatting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2016-08-22T01:24:03Z</dcterms:created>
  <dcterms:modified xsi:type="dcterms:W3CDTF">2025-12-28T12:56:01Z</dcterms:modified>
  <cp:lastModifiedBy>Nguyen Tam Quang</cp:lastModifiedBy>
  <cp:lastPrinted>2025-03-26T10:40:57Z</cp:lastPrinted>
</cp:coreProperties>
</file>