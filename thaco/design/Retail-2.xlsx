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349D75CB-813B-1642-B461-5C1527C80B66}" xr6:coauthVersionLast="47" xr6:coauthVersionMax="47" xr10:uidLastSave="{00000000-0000-0000-0000-000000000000}"/>
  <bookViews>
    <workbookView xWindow="38860" yWindow="980" windowWidth="36940" windowHeight="19420" tabRatio="650" xr2:uid="{00000000-000D-0000-FFFF-FFFF00000000}"/>
  </bookViews>
  <sheets>
    <sheet name="Template Payroll" sheetId="1" r:id="rId1"/>
    <sheet name="PC cơm " sheetId="2" r:id="rId2"/>
    <sheet name="TimeTB 2" sheetId="3" r:id="rId3"/>
    <sheet name=" TimeTB 1" sheetId="4" r:id="rId4"/>
    <sheet name="OT " sheetId="5" r:id="rId5"/>
    <sheet name="NS" sheetId="6" r:id="rId6"/>
    <sheet name="Incentive" sheetId="7" r:id="rId7"/>
    <sheet name="Others" sheetId="8" r:id="rId8"/>
    <sheet name="Benefit tính thuế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Incentive!$A$8:A19</definedName>
    <definedName name="__xlnm._FilterDatabase" localSheetId="5">NS!$A$7:A7</definedName>
    <definedName name="__xlnm._FilterDatabase" localSheetId="4">'OT '!$A$2:A5</definedName>
    <definedName name="__xlnm._FilterDatabase_1" localSheetId="3">#REF!</definedName>
    <definedName name="__xlnm._FilterDatabase_1" localSheetId="6">#REF!</definedName>
    <definedName name="__xlnm._FilterDatabase_1" localSheetId="4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 localSheetId="4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 localSheetId="4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 localSheetId="4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 localSheetId="4">#REF!</definedName>
    <definedName name="__xlnm._FilterDatabase_7">#REF!</definedName>
    <definedName name="__xlnm.Print_Area" localSheetId="6">Incentive!$A$1:$H$14</definedName>
    <definedName name="__xlnm.Print_Titles" localSheetId="6">(Incentive!$A:$G,Incentive!$8:$8)</definedName>
    <definedName name="__xlnm.Print_Titles" localSheetId="5">NS!$6:$7</definedName>
    <definedName name="__xlnm.Print_Titles" localSheetId="4">'OT '!$1:$2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1'!$A$3:$AU$11</definedName>
    <definedName name="_xlnm._FilterDatabase" localSheetId="8" hidden="1">'Benefit tính thuế'!$A$1:$H$19</definedName>
    <definedName name="_xlnm._FilterDatabase" localSheetId="6" hidden="1">Incentive!$A$8:$K$13</definedName>
    <definedName name="_xlnm._FilterDatabase" localSheetId="5" hidden="1">NS!$A$7:$G$17</definedName>
    <definedName name="_xlnm._FilterDatabase" localSheetId="4" hidden="1">'OT '!$A$2:$T$12</definedName>
    <definedName name="_xlnm._FilterDatabase" localSheetId="7" hidden="1">Others!$A$13:$F$16</definedName>
    <definedName name="_xlnm._FilterDatabase" localSheetId="1" hidden="1">'PC cơm '!$A$2:$M$14</definedName>
    <definedName name="_xlnm._FilterDatabase" localSheetId="0" hidden="1">'Template Payroll'!$A$2:$CG$16</definedName>
    <definedName name="_xlnm._FilterDatabase" localSheetId="2" hidden="1">'TimeTB 2'!$A$3:$AY$13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 localSheetId="4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 localSheetId="4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 localSheetId="4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 localSheetId="4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 localSheetId="4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 localSheetId="4">#REF!</definedName>
    <definedName name="HUYEN_HOC_MON">#REF!</definedName>
    <definedName name="HUYEN_NHA_BE" localSheetId="3">#REF!</definedName>
    <definedName name="HUYEN_NHA_BE" localSheetId="6">#REF!</definedName>
    <definedName name="HUYEN_NHA_BE" localSheetId="4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NS!$B:$B</definedName>
    <definedName name="ot_ID" localSheetId="4">'OT '!$B:$B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4">'OT '!$R:$R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4">'OT '!$T:$T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4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4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4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4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4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4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4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 localSheetId="4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4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Incentive!$A$1:$K$14</definedName>
    <definedName name="_xlnm.Print_Area" localSheetId="2">'TimeTB 2'!$B$1:$AY$30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Incentive!$8:$8,Incentive!$A:$G</definedName>
    <definedName name="_xlnm.Print_Titles" localSheetId="5">NS!$6:$7</definedName>
    <definedName name="_xlnm.Print_Titles" localSheetId="4">'OT '!$1:$2</definedName>
    <definedName name="_xlnm.Print_Titles" localSheetId="1">'PC cơm '!$1:$2</definedName>
    <definedName name="_xlnm.Print_Titles" localSheetId="0">'Template Payroll'!$2:$2,'Template Payroll'!$A:$H</definedName>
    <definedName name="_xlnm.Print_Titles" localSheetId="2">'TimeTB 2'!$1:$3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 localSheetId="4">#REF!</definedName>
    <definedName name="QUAN_1">#REF!</definedName>
    <definedName name="QUAN_10" localSheetId="3">#REF!</definedName>
    <definedName name="QUAN_10" localSheetId="6">#REF!</definedName>
    <definedName name="QUAN_10" localSheetId="4">#REF!</definedName>
    <definedName name="QUAN_10">#REF!</definedName>
    <definedName name="QUAN_11" localSheetId="3">#REF!</definedName>
    <definedName name="QUAN_11" localSheetId="6">#REF!</definedName>
    <definedName name="QUAN_11" localSheetId="4">#REF!</definedName>
    <definedName name="QUAN_11">#REF!</definedName>
    <definedName name="QUAN_12" localSheetId="3">#REF!</definedName>
    <definedName name="QUAN_12" localSheetId="6">#REF!</definedName>
    <definedName name="QUAN_12" localSheetId="4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 localSheetId="4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 localSheetId="4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 localSheetId="4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 localSheetId="4">#REF!</definedName>
    <definedName name="QUAN_5">#REF!</definedName>
    <definedName name="QUAN_6" localSheetId="3">#REF!</definedName>
    <definedName name="QUAN_6" localSheetId="6">#REF!</definedName>
    <definedName name="QUAN_6" localSheetId="4">#REF!</definedName>
    <definedName name="QUAN_6">#REF!</definedName>
    <definedName name="QUAN_7" localSheetId="3">#REF!</definedName>
    <definedName name="QUAN_7" localSheetId="6">#REF!</definedName>
    <definedName name="QUAN_7" localSheetId="4">#REF!</definedName>
    <definedName name="QUAN_7">#REF!</definedName>
    <definedName name="QUAN_8" localSheetId="3">#REF!</definedName>
    <definedName name="QUAN_8" localSheetId="6">#REF!</definedName>
    <definedName name="QUAN_8" localSheetId="4">#REF!</definedName>
    <definedName name="QUAN_8">#REF!</definedName>
    <definedName name="QUAN_9" localSheetId="3">#REF!</definedName>
    <definedName name="QUAN_9" localSheetId="6">#REF!</definedName>
    <definedName name="QUAN_9" localSheetId="4">#REF!</definedName>
    <definedName name="QUAN_9">#REF!</definedName>
    <definedName name="QUAN_BINH_TAN" localSheetId="3">#REF!</definedName>
    <definedName name="QUAN_BINH_TAN" localSheetId="6">#REF!</definedName>
    <definedName name="QUAN_BINH_TAN" localSheetId="4">#REF!</definedName>
    <definedName name="QUAN_BINH_TAN">#REF!</definedName>
    <definedName name="QUAN_BINH_THANH" localSheetId="3">#REF!</definedName>
    <definedName name="QUAN_BINH_THANH" localSheetId="6">#REF!</definedName>
    <definedName name="QUAN_BINH_THANH" localSheetId="4">#REF!</definedName>
    <definedName name="QUAN_BINH_THANH">#REF!</definedName>
    <definedName name="QUAN_GO_VAP" localSheetId="3">#REF!</definedName>
    <definedName name="QUAN_GO_VAP" localSheetId="6">#REF!</definedName>
    <definedName name="QUAN_GO_VAP" localSheetId="4">#REF!</definedName>
    <definedName name="QUAN_GO_VAP">#REF!</definedName>
    <definedName name="QUAN_PHU_NHUAN" localSheetId="3">#REF!</definedName>
    <definedName name="QUAN_PHU_NHUAN" localSheetId="6">#REF!</definedName>
    <definedName name="QUAN_PHU_NHUAN" localSheetId="4">#REF!</definedName>
    <definedName name="QUAN_PHU_NHUAN">#REF!</definedName>
    <definedName name="QUAN_TAN_BINH" localSheetId="3">#REF!</definedName>
    <definedName name="QUAN_TAN_BINH" localSheetId="6">#REF!</definedName>
    <definedName name="QUAN_TAN_BINH" localSheetId="4">#REF!</definedName>
    <definedName name="QUAN_TAN_BINH">#REF!</definedName>
    <definedName name="QUAN_TAN_PHU" localSheetId="3">#REF!</definedName>
    <definedName name="QUAN_TAN_PHU" localSheetId="6">#REF!</definedName>
    <definedName name="QUAN_TAN_PHU" localSheetId="4">#REF!</definedName>
    <definedName name="QUAN_TAN_PHU">#REF!</definedName>
    <definedName name="QUAN_THU_DUC" localSheetId="3">#REF!</definedName>
    <definedName name="QUAN_THU_DUC" localSheetId="6">#REF!</definedName>
    <definedName name="QUAN_THU_DUC" localSheetId="4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4">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 localSheetId="4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AN5" i="1"/>
  <c r="AN6" i="1"/>
  <c r="AN7" i="1"/>
  <c r="AN8" i="1"/>
  <c r="AN9" i="1"/>
  <c r="AN10" i="1"/>
  <c r="AN11" i="1"/>
  <c r="AN12" i="1"/>
  <c r="AN13" i="1"/>
  <c r="AN14" i="1"/>
  <c r="AN15" i="1"/>
  <c r="AN3" i="1"/>
  <c r="F5" i="6"/>
  <c r="G6" i="9"/>
  <c r="F6" i="9"/>
  <c r="E6" i="9"/>
  <c r="D6" i="9"/>
  <c r="H5" i="9"/>
  <c r="A5" i="9"/>
  <c r="H4" i="9"/>
  <c r="A4" i="9"/>
  <c r="H3" i="9"/>
  <c r="A3" i="9"/>
  <c r="H2" i="9"/>
  <c r="H6" i="9" s="1"/>
  <c r="A2" i="9"/>
  <c r="E34" i="8"/>
  <c r="A33" i="8"/>
  <c r="H32" i="8"/>
  <c r="G32" i="8"/>
  <c r="D32" i="8"/>
  <c r="F32" i="8" s="1"/>
  <c r="C32" i="8"/>
  <c r="A32" i="8"/>
  <c r="G31" i="8"/>
  <c r="H31" i="8" s="1"/>
  <c r="D31" i="8"/>
  <c r="F31" i="8" s="1"/>
  <c r="C31" i="8"/>
  <c r="A31" i="8"/>
  <c r="H30" i="8"/>
  <c r="G30" i="8"/>
  <c r="D30" i="8"/>
  <c r="F30" i="8" s="1"/>
  <c r="C30" i="8"/>
  <c r="A30" i="8"/>
  <c r="G29" i="8"/>
  <c r="H29" i="8" s="1"/>
  <c r="D29" i="8"/>
  <c r="F29" i="8" s="1"/>
  <c r="C29" i="8"/>
  <c r="A29" i="8"/>
  <c r="F15" i="8"/>
  <c r="A15" i="8"/>
  <c r="F14" i="8"/>
  <c r="F16" i="8" s="1"/>
  <c r="D11" i="8"/>
  <c r="F10" i="8"/>
  <c r="K13" i="7"/>
  <c r="J13" i="7"/>
  <c r="I13" i="7"/>
  <c r="L11" i="7"/>
  <c r="M11" i="7" s="1"/>
  <c r="M4" i="7" s="1"/>
  <c r="H11" i="7"/>
  <c r="A11" i="7"/>
  <c r="L10" i="7"/>
  <c r="M10" i="7" s="1"/>
  <c r="H10" i="7"/>
  <c r="H6" i="7" s="1"/>
  <c r="A10" i="7"/>
  <c r="L9" i="7"/>
  <c r="M9" i="7" s="1"/>
  <c r="H9" i="7"/>
  <c r="H13" i="7" s="1"/>
  <c r="L13" i="7" s="1"/>
  <c r="A9" i="7"/>
  <c r="K7" i="7"/>
  <c r="J7" i="7"/>
  <c r="I7" i="7"/>
  <c r="K6" i="7"/>
  <c r="J6" i="7"/>
  <c r="I6" i="7"/>
  <c r="L4" i="7"/>
  <c r="K4" i="7"/>
  <c r="J4" i="7"/>
  <c r="I4" i="7"/>
  <c r="H4" i="7"/>
  <c r="K3" i="7"/>
  <c r="J3" i="7"/>
  <c r="I3" i="7"/>
  <c r="F17" i="6"/>
  <c r="E16" i="6"/>
  <c r="G16" i="6" s="1"/>
  <c r="A16" i="6"/>
  <c r="E15" i="6"/>
  <c r="G15" i="6" s="1"/>
  <c r="AB12" i="1" s="1"/>
  <c r="AB11" i="1" s="1"/>
  <c r="A15" i="6"/>
  <c r="E14" i="6"/>
  <c r="G14" i="6" s="1"/>
  <c r="AB10" i="1" s="1"/>
  <c r="AB9" i="1" s="1"/>
  <c r="A14" i="6"/>
  <c r="E13" i="6"/>
  <c r="G13" i="6" s="1"/>
  <c r="H13" i="6" s="1"/>
  <c r="A13" i="6"/>
  <c r="E12" i="6"/>
  <c r="G12" i="6" s="1"/>
  <c r="A12" i="6"/>
  <c r="E11" i="6"/>
  <c r="G11" i="6" s="1"/>
  <c r="A11" i="6"/>
  <c r="E10" i="6"/>
  <c r="G10" i="6" s="1"/>
  <c r="A10" i="6"/>
  <c r="E9" i="6"/>
  <c r="A9" i="6"/>
  <c r="E8" i="6"/>
  <c r="F8" i="6" s="1"/>
  <c r="G8" i="6" s="1"/>
  <c r="H8" i="6" s="1"/>
  <c r="I8" i="6" s="1"/>
  <c r="C8" i="6"/>
  <c r="K12" i="5"/>
  <c r="J12" i="5"/>
  <c r="I12" i="5"/>
  <c r="H12" i="5"/>
  <c r="G12" i="5"/>
  <c r="F12" i="5"/>
  <c r="E11" i="5"/>
  <c r="M11" i="5" s="1"/>
  <c r="A11" i="5"/>
  <c r="E10" i="5"/>
  <c r="P10" i="5" s="1"/>
  <c r="A10" i="5"/>
  <c r="E9" i="5"/>
  <c r="S9" i="5" s="1"/>
  <c r="A9" i="5"/>
  <c r="E8" i="5"/>
  <c r="Q8" i="5" s="1"/>
  <c r="A8" i="5"/>
  <c r="E7" i="5"/>
  <c r="S7" i="5" s="1"/>
  <c r="A7" i="5"/>
  <c r="E6" i="5"/>
  <c r="S6" i="5" s="1"/>
  <c r="A6" i="5"/>
  <c r="E5" i="5"/>
  <c r="A5" i="5"/>
  <c r="E4" i="5"/>
  <c r="Q4" i="5" s="1"/>
  <c r="A4" i="5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AV12" i="4"/>
  <c r="AT11" i="4"/>
  <c r="AU11" i="4" s="1"/>
  <c r="AS11" i="4"/>
  <c r="AR11" i="4"/>
  <c r="AQ11" i="4"/>
  <c r="AP11" i="4"/>
  <c r="AO11" i="4"/>
  <c r="AN11" i="4"/>
  <c r="AM11" i="4"/>
  <c r="AL11" i="4"/>
  <c r="AK11" i="4"/>
  <c r="A11" i="4"/>
  <c r="AT10" i="4"/>
  <c r="AU10" i="4" s="1"/>
  <c r="AS10" i="4"/>
  <c r="AR10" i="4"/>
  <c r="AQ10" i="4"/>
  <c r="AP10" i="4"/>
  <c r="AO10" i="4"/>
  <c r="AN10" i="4"/>
  <c r="AM10" i="4"/>
  <c r="AL10" i="4"/>
  <c r="AK10" i="4"/>
  <c r="A10" i="4"/>
  <c r="AT9" i="4"/>
  <c r="AU9" i="4" s="1"/>
  <c r="AS9" i="4"/>
  <c r="AR9" i="4"/>
  <c r="AQ9" i="4"/>
  <c r="AP9" i="4"/>
  <c r="AO9" i="4"/>
  <c r="AN9" i="4"/>
  <c r="AM9" i="4"/>
  <c r="AL9" i="4"/>
  <c r="AK9" i="4"/>
  <c r="A9" i="4"/>
  <c r="AT8" i="4"/>
  <c r="AU8" i="4" s="1"/>
  <c r="AS8" i="4"/>
  <c r="AR8" i="4"/>
  <c r="AQ8" i="4"/>
  <c r="AP8" i="4"/>
  <c r="AO8" i="4"/>
  <c r="AN8" i="4"/>
  <c r="AM8" i="4"/>
  <c r="AL8" i="4"/>
  <c r="AK8" i="4"/>
  <c r="A8" i="4"/>
  <c r="AT7" i="4"/>
  <c r="AU7" i="4" s="1"/>
  <c r="AS7" i="4"/>
  <c r="AR7" i="4"/>
  <c r="AQ7" i="4"/>
  <c r="AP7" i="4"/>
  <c r="AO7" i="4"/>
  <c r="AN7" i="4"/>
  <c r="AM7" i="4"/>
  <c r="AL7" i="4"/>
  <c r="AK7" i="4"/>
  <c r="A7" i="4"/>
  <c r="AX6" i="4"/>
  <c r="AT6" i="4"/>
  <c r="AU6" i="4" s="1"/>
  <c r="AS6" i="4"/>
  <c r="AR6" i="4"/>
  <c r="AQ6" i="4"/>
  <c r="AP6" i="4"/>
  <c r="AO6" i="4"/>
  <c r="AN6" i="4"/>
  <c r="AM6" i="4"/>
  <c r="AL6" i="4"/>
  <c r="AK6" i="4"/>
  <c r="A6" i="4"/>
  <c r="AX5" i="4"/>
  <c r="AT5" i="4"/>
  <c r="AU5" i="4" s="1"/>
  <c r="N15" i="1" s="1"/>
  <c r="AS5" i="4"/>
  <c r="AR5" i="4"/>
  <c r="AQ5" i="4"/>
  <c r="AP5" i="4"/>
  <c r="AO5" i="4"/>
  <c r="AN5" i="4"/>
  <c r="AM5" i="4"/>
  <c r="AL5" i="4"/>
  <c r="AK5" i="4"/>
  <c r="AT4" i="4"/>
  <c r="AU4" i="4" s="1"/>
  <c r="AS4" i="4"/>
  <c r="AR4" i="4"/>
  <c r="AQ4" i="4"/>
  <c r="AP4" i="4"/>
  <c r="AO4" i="4"/>
  <c r="AN4" i="4"/>
  <c r="AM4" i="4"/>
  <c r="AL4" i="4"/>
  <c r="AL12" i="4" s="1"/>
  <c r="AK4" i="4"/>
  <c r="AH2" i="4"/>
  <c r="AI2" i="4" s="1"/>
  <c r="AX12" i="3"/>
  <c r="AW11" i="3"/>
  <c r="AV11" i="3"/>
  <c r="F10" i="2" s="1"/>
  <c r="I10" i="2" s="1"/>
  <c r="AR11" i="3"/>
  <c r="AS11" i="3" s="1"/>
  <c r="AU11" i="3" s="1"/>
  <c r="O15" i="1" s="1"/>
  <c r="AQ11" i="3"/>
  <c r="AP11" i="3"/>
  <c r="AO11" i="3"/>
  <c r="B11" i="3"/>
  <c r="AW10" i="3"/>
  <c r="H9" i="2" s="1"/>
  <c r="K9" i="2" s="1"/>
  <c r="AV10" i="3"/>
  <c r="AR10" i="3"/>
  <c r="AQ10" i="3"/>
  <c r="AS10" i="3" s="1"/>
  <c r="AU10" i="3" s="1"/>
  <c r="O12" i="1" s="1"/>
  <c r="AP10" i="3"/>
  <c r="AO10" i="3"/>
  <c r="B10" i="3"/>
  <c r="AW9" i="3"/>
  <c r="H8" i="2" s="1"/>
  <c r="AV9" i="3"/>
  <c r="AR9" i="3"/>
  <c r="AQ9" i="3"/>
  <c r="AS9" i="3" s="1"/>
  <c r="AU9" i="3" s="1"/>
  <c r="O10" i="1" s="1"/>
  <c r="AP9" i="3"/>
  <c r="AO9" i="3"/>
  <c r="B9" i="3"/>
  <c r="AW8" i="3"/>
  <c r="H7" i="2" s="1"/>
  <c r="K7" i="2" s="1"/>
  <c r="AV8" i="3"/>
  <c r="F7" i="2" s="1"/>
  <c r="I7" i="2" s="1"/>
  <c r="AS8" i="3"/>
  <c r="AU8" i="3" s="1"/>
  <c r="O8" i="1" s="1"/>
  <c r="Q8" i="1" s="1"/>
  <c r="AR8" i="3"/>
  <c r="AQ8" i="3"/>
  <c r="AP8" i="3"/>
  <c r="AO8" i="3"/>
  <c r="B8" i="3"/>
  <c r="AW7" i="3"/>
  <c r="H6" i="2" s="1"/>
  <c r="K6" i="2" s="1"/>
  <c r="AV7" i="3"/>
  <c r="AR7" i="3"/>
  <c r="AQ7" i="3"/>
  <c r="AS7" i="3" s="1"/>
  <c r="AU7" i="3" s="1"/>
  <c r="O7" i="1" s="1"/>
  <c r="AP7" i="3"/>
  <c r="AO7" i="3"/>
  <c r="B7" i="3"/>
  <c r="AW6" i="3"/>
  <c r="H5" i="2" s="1"/>
  <c r="AV6" i="3"/>
  <c r="AR6" i="3"/>
  <c r="AQ6" i="3"/>
  <c r="AP6" i="3"/>
  <c r="AO6" i="3"/>
  <c r="B6" i="3"/>
  <c r="A6" i="3"/>
  <c r="A7" i="3" s="1"/>
  <c r="A8" i="3" s="1"/>
  <c r="A9" i="3" s="1"/>
  <c r="A10" i="3" s="1"/>
  <c r="A11" i="3" s="1"/>
  <c r="AW5" i="3"/>
  <c r="H4" i="2" s="1"/>
  <c r="K4" i="2" s="1"/>
  <c r="AV5" i="3"/>
  <c r="F4" i="2" s="1"/>
  <c r="I4" i="2" s="1"/>
  <c r="AR5" i="3"/>
  <c r="AS5" i="3" s="1"/>
  <c r="AU5" i="3" s="1"/>
  <c r="O5" i="1" s="1"/>
  <c r="Q5" i="1" s="1"/>
  <c r="Q4" i="1" s="1"/>
  <c r="AQ5" i="3"/>
  <c r="AP5" i="3"/>
  <c r="AO5" i="3"/>
  <c r="B5" i="3"/>
  <c r="A5" i="3"/>
  <c r="AW4" i="3"/>
  <c r="AV4" i="3"/>
  <c r="AR4" i="3"/>
  <c r="AQ4" i="3"/>
  <c r="AP4" i="3"/>
  <c r="AO4" i="3"/>
  <c r="B4" i="3"/>
  <c r="J2" i="3"/>
  <c r="K2" i="3" s="1"/>
  <c r="L2" i="3" s="1"/>
  <c r="L3" i="3" s="1"/>
  <c r="M1" i="3"/>
  <c r="H10" i="2"/>
  <c r="K10" i="2" s="1"/>
  <c r="G10" i="2"/>
  <c r="J10" i="2" s="1"/>
  <c r="A10" i="2"/>
  <c r="G9" i="2"/>
  <c r="J9" i="2" s="1"/>
  <c r="F9" i="2"/>
  <c r="I9" i="2" s="1"/>
  <c r="A9" i="2"/>
  <c r="K8" i="2"/>
  <c r="G8" i="2"/>
  <c r="J8" i="2" s="1"/>
  <c r="F8" i="2"/>
  <c r="I8" i="2" s="1"/>
  <c r="A8" i="2"/>
  <c r="G7" i="2"/>
  <c r="J7" i="2" s="1"/>
  <c r="A7" i="2"/>
  <c r="G6" i="2"/>
  <c r="J6" i="2" s="1"/>
  <c r="F6" i="2"/>
  <c r="I6" i="2" s="1"/>
  <c r="A6" i="2"/>
  <c r="K5" i="2"/>
  <c r="G5" i="2"/>
  <c r="F5" i="2"/>
  <c r="I5" i="2" s="1"/>
  <c r="A5" i="2"/>
  <c r="G4" i="2"/>
  <c r="J4" i="2" s="1"/>
  <c r="A4" i="2"/>
  <c r="H3" i="2"/>
  <c r="G3" i="2"/>
  <c r="J3" i="2" s="1"/>
  <c r="A3" i="2"/>
  <c r="BN15" i="1"/>
  <c r="BL15" i="1"/>
  <c r="BK15" i="1"/>
  <c r="BJ15" i="1"/>
  <c r="AY15" i="1"/>
  <c r="AX15" i="1"/>
  <c r="AU15" i="1"/>
  <c r="AP15" i="1"/>
  <c r="AM15" i="1"/>
  <c r="AL15" i="1"/>
  <c r="AK15" i="1"/>
  <c r="AH15" i="1"/>
  <c r="AG15" i="1"/>
  <c r="AF15" i="1"/>
  <c r="L15" i="1"/>
  <c r="BN14" i="1"/>
  <c r="BL14" i="1"/>
  <c r="BK14" i="1"/>
  <c r="AP14" i="1"/>
  <c r="AM14" i="1"/>
  <c r="AM13" i="1" s="1"/>
  <c r="AG14" i="1"/>
  <c r="AF14" i="1"/>
  <c r="AB14" i="1"/>
  <c r="N14" i="1"/>
  <c r="L14" i="1"/>
  <c r="L13" i="1" s="1"/>
  <c r="BX13" i="1"/>
  <c r="BV13" i="1"/>
  <c r="BU13" i="1"/>
  <c r="BT13" i="1"/>
  <c r="BS13" i="1"/>
  <c r="BP13" i="1"/>
  <c r="BO13" i="1"/>
  <c r="BI13" i="1"/>
  <c r="BH13" i="1"/>
  <c r="AO13" i="1"/>
  <c r="AI13" i="1"/>
  <c r="AE13" i="1"/>
  <c r="AD13" i="1"/>
  <c r="AC13" i="1"/>
  <c r="X13" i="1"/>
  <c r="W13" i="1"/>
  <c r="V13" i="1"/>
  <c r="M13" i="1"/>
  <c r="K13" i="1"/>
  <c r="J13" i="1"/>
  <c r="BN12" i="1"/>
  <c r="BN11" i="1" s="1"/>
  <c r="BL12" i="1"/>
  <c r="BL11" i="1" s="1"/>
  <c r="BK12" i="1"/>
  <c r="BK11" i="1" s="1"/>
  <c r="AP12" i="1"/>
  <c r="AP11" i="1" s="1"/>
  <c r="AM12" i="1"/>
  <c r="AM11" i="1" s="1"/>
  <c r="AH12" i="1"/>
  <c r="AG12" i="1"/>
  <c r="AG11" i="1" s="1"/>
  <c r="AF12" i="1"/>
  <c r="N12" i="1"/>
  <c r="P12" i="1" s="1"/>
  <c r="P11" i="1" s="1"/>
  <c r="L12" i="1"/>
  <c r="S12" i="1" s="1"/>
  <c r="BX11" i="1"/>
  <c r="BV11" i="1"/>
  <c r="BU11" i="1"/>
  <c r="BT11" i="1"/>
  <c r="BS11" i="1"/>
  <c r="BP11" i="1"/>
  <c r="BO11" i="1"/>
  <c r="BI11" i="1"/>
  <c r="BH11" i="1"/>
  <c r="AO11" i="1"/>
  <c r="AI11" i="1"/>
  <c r="AF11" i="1"/>
  <c r="AE11" i="1"/>
  <c r="AD11" i="1"/>
  <c r="AC11" i="1"/>
  <c r="X11" i="1"/>
  <c r="W11" i="1"/>
  <c r="V11" i="1"/>
  <c r="M11" i="1"/>
  <c r="L11" i="1"/>
  <c r="K11" i="1"/>
  <c r="J11" i="1"/>
  <c r="BN10" i="1"/>
  <c r="BN9" i="1" s="1"/>
  <c r="BL10" i="1"/>
  <c r="BK10" i="1"/>
  <c r="BK9" i="1" s="1"/>
  <c r="AP10" i="1"/>
  <c r="AP9" i="1" s="1"/>
  <c r="AM10" i="1"/>
  <c r="AM9" i="1" s="1"/>
  <c r="AH10" i="1"/>
  <c r="AH9" i="1" s="1"/>
  <c r="AG10" i="1"/>
  <c r="AG9" i="1" s="1"/>
  <c r="AF10" i="1"/>
  <c r="AF9" i="1" s="1"/>
  <c r="N10" i="1"/>
  <c r="P10" i="1" s="1"/>
  <c r="P9" i="1" s="1"/>
  <c r="L10" i="1"/>
  <c r="L9" i="1" s="1"/>
  <c r="BX9" i="1"/>
  <c r="BV9" i="1"/>
  <c r="BU9" i="1"/>
  <c r="BT9" i="1"/>
  <c r="BS9" i="1"/>
  <c r="BP9" i="1"/>
  <c r="BO9" i="1"/>
  <c r="BL9" i="1"/>
  <c r="BI9" i="1"/>
  <c r="BH9" i="1"/>
  <c r="AO9" i="1"/>
  <c r="AI9" i="1"/>
  <c r="AE9" i="1"/>
  <c r="AD9" i="1"/>
  <c r="AC9" i="1"/>
  <c r="X9" i="1"/>
  <c r="W9" i="1"/>
  <c r="V9" i="1"/>
  <c r="M9" i="1"/>
  <c r="K9" i="1"/>
  <c r="J9" i="1"/>
  <c r="BN8" i="1"/>
  <c r="BL8" i="1"/>
  <c r="BK8" i="1"/>
  <c r="BJ8" i="1"/>
  <c r="BG8" i="1"/>
  <c r="AS8" i="1" s="1"/>
  <c r="AY8" i="1"/>
  <c r="AX8" i="1"/>
  <c r="AU8" i="1"/>
  <c r="AP8" i="1"/>
  <c r="AM8" i="1"/>
  <c r="AL8" i="1"/>
  <c r="AK8" i="1"/>
  <c r="AH8" i="1"/>
  <c r="AG8" i="1"/>
  <c r="AG6" i="1" s="1"/>
  <c r="AF8" i="1"/>
  <c r="L8" i="1"/>
  <c r="BN7" i="1"/>
  <c r="BN6" i="1" s="1"/>
  <c r="BL7" i="1"/>
  <c r="BK7" i="1"/>
  <c r="BK6" i="1" s="1"/>
  <c r="BJ7" i="1"/>
  <c r="BG7" i="1"/>
  <c r="BD7" i="1" s="1"/>
  <c r="AP7" i="1"/>
  <c r="AM7" i="1"/>
  <c r="AH7" i="1"/>
  <c r="AG7" i="1"/>
  <c r="AF7" i="1"/>
  <c r="AB7" i="1"/>
  <c r="N7" i="1"/>
  <c r="P7" i="1" s="1"/>
  <c r="L7" i="1"/>
  <c r="BX6" i="1"/>
  <c r="BV6" i="1"/>
  <c r="BU6" i="1"/>
  <c r="BT6" i="1"/>
  <c r="BS6" i="1"/>
  <c r="BP6" i="1"/>
  <c r="BO6" i="1"/>
  <c r="BI6" i="1"/>
  <c r="BH6" i="1"/>
  <c r="AO6" i="1"/>
  <c r="AI6" i="1"/>
  <c r="AE6" i="1"/>
  <c r="AD6" i="1"/>
  <c r="AC6" i="1"/>
  <c r="X6" i="1"/>
  <c r="W6" i="1"/>
  <c r="V6" i="1"/>
  <c r="M6" i="1"/>
  <c r="K6" i="1"/>
  <c r="J6" i="1"/>
  <c r="BN5" i="1"/>
  <c r="BN4" i="1" s="1"/>
  <c r="BL5" i="1"/>
  <c r="BL4" i="1" s="1"/>
  <c r="BK5" i="1"/>
  <c r="BK4" i="1" s="1"/>
  <c r="AP5" i="1"/>
  <c r="AP4" i="1" s="1"/>
  <c r="AM5" i="1"/>
  <c r="AM4" i="1" s="1"/>
  <c r="AH5" i="1"/>
  <c r="AH4" i="1" s="1"/>
  <c r="AG5" i="1"/>
  <c r="AG4" i="1" s="1"/>
  <c r="AF5" i="1"/>
  <c r="AF4" i="1" s="1"/>
  <c r="N5" i="1"/>
  <c r="P5" i="1" s="1"/>
  <c r="L5" i="1"/>
  <c r="L4" i="1" s="1"/>
  <c r="BX4" i="1"/>
  <c r="BV4" i="1"/>
  <c r="BU4" i="1"/>
  <c r="BT4" i="1"/>
  <c r="BS4" i="1"/>
  <c r="BP4" i="1"/>
  <c r="BO4" i="1"/>
  <c r="BI4" i="1"/>
  <c r="BH4" i="1"/>
  <c r="AO4" i="1"/>
  <c r="AI4" i="1"/>
  <c r="AE4" i="1"/>
  <c r="AD4" i="1"/>
  <c r="AC4" i="1"/>
  <c r="X4" i="1"/>
  <c r="W4" i="1"/>
  <c r="V4" i="1"/>
  <c r="M4" i="1"/>
  <c r="K4" i="1"/>
  <c r="J4" i="1"/>
  <c r="BN3" i="1"/>
  <c r="BL3" i="1"/>
  <c r="BK3" i="1"/>
  <c r="AP3" i="1"/>
  <c r="AM3" i="1"/>
  <c r="AH3" i="1"/>
  <c r="AG3" i="1"/>
  <c r="AF3" i="1"/>
  <c r="N3" i="1"/>
  <c r="L3" i="1"/>
  <c r="BG1" i="1"/>
  <c r="BG10" i="1" s="1"/>
  <c r="BF1" i="1"/>
  <c r="BF3" i="1" s="1"/>
  <c r="AP13" i="1" l="1"/>
  <c r="BL13" i="1"/>
  <c r="BF8" i="1"/>
  <c r="BF6" i="1" s="1"/>
  <c r="BF15" i="1"/>
  <c r="AR15" i="1" s="1"/>
  <c r="BG15" i="1"/>
  <c r="BD15" i="1" s="1"/>
  <c r="BK13" i="1"/>
  <c r="AS7" i="1"/>
  <c r="BN13" i="1"/>
  <c r="AS6" i="1"/>
  <c r="BF12" i="1"/>
  <c r="BJ12" i="1" s="1"/>
  <c r="BJ11" i="1" s="1"/>
  <c r="AP6" i="1"/>
  <c r="AP16" i="1" s="1"/>
  <c r="BJ6" i="1"/>
  <c r="L6" i="1"/>
  <c r="BF7" i="1"/>
  <c r="AM6" i="1"/>
  <c r="AM16" i="1" s="1"/>
  <c r="N9" i="5"/>
  <c r="L6" i="5"/>
  <c r="AS6" i="3"/>
  <c r="AU6" i="3" s="1"/>
  <c r="T5" i="1"/>
  <c r="T4" i="1" s="1"/>
  <c r="G11" i="2"/>
  <c r="L4" i="2"/>
  <c r="Y5" i="1" s="1"/>
  <c r="Y4" i="1" s="1"/>
  <c r="J3" i="3"/>
  <c r="J5" i="2"/>
  <c r="J11" i="2" s="1"/>
  <c r="L8" i="2"/>
  <c r="Y10" i="1" s="1"/>
  <c r="Y9" i="1" s="1"/>
  <c r="BK16" i="1"/>
  <c r="AQ3" i="1"/>
  <c r="BB3" i="1"/>
  <c r="BA3" i="1"/>
  <c r="AR3" i="1"/>
  <c r="BJ3" i="1"/>
  <c r="AS10" i="1"/>
  <c r="BD10" i="1"/>
  <c r="BD9" i="1" s="1"/>
  <c r="BC10" i="1"/>
  <c r="BC9" i="1" s="1"/>
  <c r="BG9" i="1"/>
  <c r="L10" i="5"/>
  <c r="BG6" i="1"/>
  <c r="BF14" i="1"/>
  <c r="N8" i="5"/>
  <c r="S3" i="1"/>
  <c r="E17" i="6"/>
  <c r="BS16" i="1"/>
  <c r="BQ8" i="1"/>
  <c r="AD16" i="1"/>
  <c r="Q10" i="5"/>
  <c r="S10" i="5"/>
  <c r="O4" i="1"/>
  <c r="BF5" i="1"/>
  <c r="AQ5" i="1" s="1"/>
  <c r="AQ4" i="1" s="1"/>
  <c r="BL6" i="1"/>
  <c r="BL16" i="1" s="1"/>
  <c r="BF10" i="1"/>
  <c r="BQ15" i="1"/>
  <c r="N11" i="1"/>
  <c r="M7" i="5"/>
  <c r="BN16" i="1"/>
  <c r="AF13" i="1"/>
  <c r="P9" i="5"/>
  <c r="O10" i="5"/>
  <c r="AI16" i="1"/>
  <c r="V16" i="1"/>
  <c r="W16" i="1"/>
  <c r="AG13" i="1"/>
  <c r="AG16" i="1" s="1"/>
  <c r="AN12" i="4"/>
  <c r="AR12" i="4"/>
  <c r="AM12" i="4"/>
  <c r="AO12" i="4"/>
  <c r="P3" i="1"/>
  <c r="N9" i="1"/>
  <c r="O11" i="1"/>
  <c r="Q12" i="1"/>
  <c r="T12" i="1"/>
  <c r="T11" i="1" s="1"/>
  <c r="E9" i="8"/>
  <c r="F9" i="8" s="1"/>
  <c r="O14" i="1"/>
  <c r="P4" i="1"/>
  <c r="R5" i="1"/>
  <c r="R4" i="1" s="1"/>
  <c r="T10" i="1"/>
  <c r="T9" i="1" s="1"/>
  <c r="O9" i="1"/>
  <c r="Q10" i="1"/>
  <c r="S15" i="1"/>
  <c r="P15" i="1"/>
  <c r="M2" i="3"/>
  <c r="AS12" i="4"/>
  <c r="S11" i="1"/>
  <c r="K16" i="1"/>
  <c r="M16" i="1"/>
  <c r="AH6" i="1"/>
  <c r="L6" i="2"/>
  <c r="Y7" i="1" s="1"/>
  <c r="AU12" i="4"/>
  <c r="N8" i="1"/>
  <c r="S8" i="1" s="1"/>
  <c r="Q7" i="1"/>
  <c r="O6" i="1"/>
  <c r="BU16" i="1"/>
  <c r="AC16" i="1"/>
  <c r="AB8" i="1"/>
  <c r="AN16" i="1"/>
  <c r="BP16" i="1"/>
  <c r="L7" i="2"/>
  <c r="Y8" i="1" s="1"/>
  <c r="Z8" i="1" s="1"/>
  <c r="AF6" i="1"/>
  <c r="BI16" i="1"/>
  <c r="N4" i="1"/>
  <c r="S5" i="1"/>
  <c r="Q15" i="1"/>
  <c r="T15" i="1"/>
  <c r="I14" i="6"/>
  <c r="AL10" i="1" s="1"/>
  <c r="AL9" i="1" s="1"/>
  <c r="AE16" i="1"/>
  <c r="N13" i="1"/>
  <c r="AS15" i="1"/>
  <c r="BC15" i="1"/>
  <c r="I15" i="6"/>
  <c r="AL12" i="1" s="1"/>
  <c r="AL11" i="1" s="1"/>
  <c r="BC7" i="1"/>
  <c r="AR8" i="1"/>
  <c r="BB8" i="1"/>
  <c r="BA8" i="1"/>
  <c r="BJ10" i="1"/>
  <c r="BJ9" i="1" s="1"/>
  <c r="BF9" i="1"/>
  <c r="L9" i="2"/>
  <c r="Y12" i="1" s="1"/>
  <c r="F34" i="8"/>
  <c r="AK12" i="4"/>
  <c r="Q5" i="5"/>
  <c r="P5" i="5"/>
  <c r="O5" i="5"/>
  <c r="N5" i="5"/>
  <c r="M5" i="5"/>
  <c r="L5" i="5"/>
  <c r="S5" i="5"/>
  <c r="AT12" i="4"/>
  <c r="BC8" i="1"/>
  <c r="BD8" i="1"/>
  <c r="BD6" i="1" s="1"/>
  <c r="P14" i="1"/>
  <c r="AQ15" i="1"/>
  <c r="BG12" i="1"/>
  <c r="BG14" i="1"/>
  <c r="BG5" i="1"/>
  <c r="BO16" i="1"/>
  <c r="S7" i="1"/>
  <c r="AQ12" i="3"/>
  <c r="AW12" i="3"/>
  <c r="T8" i="1"/>
  <c r="T14" i="1"/>
  <c r="BB15" i="1"/>
  <c r="BA15" i="1"/>
  <c r="BF13" i="1"/>
  <c r="J16" i="1"/>
  <c r="X16" i="1"/>
  <c r="T7" i="1"/>
  <c r="H11" i="2"/>
  <c r="K3" i="2"/>
  <c r="K11" i="2" s="1"/>
  <c r="BV16" i="1"/>
  <c r="S14" i="1"/>
  <c r="L10" i="2"/>
  <c r="Y15" i="1" s="1"/>
  <c r="Z15" i="1" s="1"/>
  <c r="L16" i="1"/>
  <c r="AO16" i="1"/>
  <c r="BG3" i="1"/>
  <c r="AR7" i="1"/>
  <c r="K3" i="3"/>
  <c r="AV12" i="3"/>
  <c r="F3" i="2"/>
  <c r="AO12" i="3"/>
  <c r="I10" i="6"/>
  <c r="AL5" i="1" s="1"/>
  <c r="AL4" i="1" s="1"/>
  <c r="AB5" i="1"/>
  <c r="H16" i="6"/>
  <c r="AB15" i="1"/>
  <c r="AP12" i="3"/>
  <c r="BH16" i="1"/>
  <c r="BT16" i="1"/>
  <c r="S10" i="1"/>
  <c r="AH11" i="1"/>
  <c r="AP12" i="4"/>
  <c r="I11" i="6"/>
  <c r="AL14" i="1" s="1"/>
  <c r="AL13" i="1" s="1"/>
  <c r="AR12" i="3"/>
  <c r="AQ12" i="4"/>
  <c r="AS4" i="3"/>
  <c r="I12" i="6"/>
  <c r="AL7" i="1" s="1"/>
  <c r="AL6" i="1" s="1"/>
  <c r="L9" i="5"/>
  <c r="M10" i="5"/>
  <c r="N11" i="5"/>
  <c r="H3" i="7"/>
  <c r="S4" i="5"/>
  <c r="M9" i="5"/>
  <c r="N10" i="5"/>
  <c r="O11" i="5"/>
  <c r="L8" i="5"/>
  <c r="P11" i="5"/>
  <c r="H7" i="7"/>
  <c r="L7" i="5"/>
  <c r="M8" i="5"/>
  <c r="O9" i="5"/>
  <c r="Q11" i="5"/>
  <c r="M6" i="5"/>
  <c r="N7" i="5"/>
  <c r="O8" i="5"/>
  <c r="Q9" i="5"/>
  <c r="L4" i="5"/>
  <c r="N6" i="5"/>
  <c r="O7" i="5"/>
  <c r="P8" i="5"/>
  <c r="M4" i="5"/>
  <c r="O6" i="5"/>
  <c r="P7" i="5"/>
  <c r="G9" i="6"/>
  <c r="N4" i="5"/>
  <c r="P6" i="5"/>
  <c r="Q7" i="5"/>
  <c r="O4" i="5"/>
  <c r="Q6" i="5"/>
  <c r="P4" i="5"/>
  <c r="L11" i="5"/>
  <c r="BE15" i="1" l="1"/>
  <c r="AR5" i="1"/>
  <c r="AR4" i="1" s="1"/>
  <c r="AQ8" i="1"/>
  <c r="BB12" i="1"/>
  <c r="BB11" i="1" s="1"/>
  <c r="AT8" i="1"/>
  <c r="AQ12" i="1"/>
  <c r="AQ11" i="1" s="1"/>
  <c r="BF11" i="1"/>
  <c r="BA12" i="1"/>
  <c r="BA11" i="1" s="1"/>
  <c r="AR12" i="1"/>
  <c r="AR11" i="1" s="1"/>
  <c r="H10" i="6"/>
  <c r="BA7" i="1"/>
  <c r="BB7" i="1"/>
  <c r="BB6" i="1" s="1"/>
  <c r="AQ7" i="1"/>
  <c r="Z10" i="1"/>
  <c r="Z9" i="1" s="1"/>
  <c r="AU10" i="1"/>
  <c r="AU9" i="1" s="1"/>
  <c r="R10" i="5"/>
  <c r="R5" i="5"/>
  <c r="T6" i="1"/>
  <c r="U8" i="1"/>
  <c r="Z5" i="1"/>
  <c r="Z4" i="1" s="1"/>
  <c r="AU5" i="1"/>
  <c r="BQ5" i="1" s="1"/>
  <c r="BQ4" i="1" s="1"/>
  <c r="L5" i="2"/>
  <c r="Y14" i="1" s="1"/>
  <c r="Y13" i="1" s="1"/>
  <c r="H14" i="6"/>
  <c r="R6" i="5"/>
  <c r="T6" i="5" s="1"/>
  <c r="AK14" i="1" s="1"/>
  <c r="AK13" i="1" s="1"/>
  <c r="AS9" i="1"/>
  <c r="H15" i="6"/>
  <c r="Q12" i="5"/>
  <c r="BB10" i="1"/>
  <c r="BB9" i="1" s="1"/>
  <c r="BA10" i="1"/>
  <c r="AQ10" i="1"/>
  <c r="AQ9" i="1" s="1"/>
  <c r="AR10" i="1"/>
  <c r="AR9" i="1" s="1"/>
  <c r="AQ14" i="1"/>
  <c r="AQ13" i="1" s="1"/>
  <c r="BJ14" i="1"/>
  <c r="BJ13" i="1" s="1"/>
  <c r="BB14" i="1"/>
  <c r="BB13" i="1" s="1"/>
  <c r="BA14" i="1"/>
  <c r="BA13" i="1" s="1"/>
  <c r="AR14" i="1"/>
  <c r="AR13" i="1" s="1"/>
  <c r="AT15" i="1"/>
  <c r="AF16" i="1"/>
  <c r="P12" i="5"/>
  <c r="R8" i="5"/>
  <c r="AA8" i="1" s="1"/>
  <c r="H11" i="6"/>
  <c r="BJ5" i="1"/>
  <c r="BJ4" i="1" s="1"/>
  <c r="BF4" i="1"/>
  <c r="BF16" i="1" s="1"/>
  <c r="BB5" i="1"/>
  <c r="BB4" i="1" s="1"/>
  <c r="BA5" i="1"/>
  <c r="BA4" i="1" s="1"/>
  <c r="N12" i="5"/>
  <c r="S13" i="1"/>
  <c r="U14" i="1"/>
  <c r="AS5" i="1"/>
  <c r="BG4" i="1"/>
  <c r="BD5" i="1"/>
  <c r="BD4" i="1" s="1"/>
  <c r="BC5" i="1"/>
  <c r="G5" i="6"/>
  <c r="G17" i="6"/>
  <c r="I9" i="6"/>
  <c r="H9" i="6" s="1"/>
  <c r="AB3" i="1"/>
  <c r="BG13" i="1"/>
  <c r="BC14" i="1"/>
  <c r="AS14" i="1"/>
  <c r="BD14" i="1"/>
  <c r="BD13" i="1" s="1"/>
  <c r="R9" i="5"/>
  <c r="T13" i="1"/>
  <c r="P8" i="1"/>
  <c r="N6" i="1"/>
  <c r="N16" i="1" s="1"/>
  <c r="O13" i="1"/>
  <c r="Q14" i="1"/>
  <c r="Q13" i="1" s="1"/>
  <c r="AS3" i="1"/>
  <c r="BD3" i="1"/>
  <c r="BC3" i="1"/>
  <c r="L12" i="5"/>
  <c r="R4" i="5"/>
  <c r="AA12" i="1"/>
  <c r="T10" i="5"/>
  <c r="AK12" i="1" s="1"/>
  <c r="AK11" i="1" s="1"/>
  <c r="AB13" i="1"/>
  <c r="O12" i="5"/>
  <c r="U7" i="1"/>
  <c r="U6" i="1" s="1"/>
  <c r="S6" i="1"/>
  <c r="BE8" i="1"/>
  <c r="F11" i="2"/>
  <c r="I3" i="2"/>
  <c r="BD12" i="1"/>
  <c r="BD11" i="1" s="1"/>
  <c r="BC12" i="1"/>
  <c r="BC11" i="1" s="1"/>
  <c r="BG11" i="1"/>
  <c r="AS12" i="1"/>
  <c r="BC6" i="1"/>
  <c r="R7" i="1"/>
  <c r="Q6" i="1"/>
  <c r="M12" i="5"/>
  <c r="S9" i="1"/>
  <c r="U10" i="1"/>
  <c r="U9" i="1" s="1"/>
  <c r="F11" i="8"/>
  <c r="AH14" i="1"/>
  <c r="AB4" i="1"/>
  <c r="T5" i="5"/>
  <c r="AK5" i="1" s="1"/>
  <c r="AK4" i="1" s="1"/>
  <c r="AA5" i="1"/>
  <c r="AA4" i="1" s="1"/>
  <c r="R7" i="5"/>
  <c r="BQ10" i="1"/>
  <c r="BQ9" i="1" s="1"/>
  <c r="AU7" i="1"/>
  <c r="Z7" i="1"/>
  <c r="Z6" i="1" s="1"/>
  <c r="Y6" i="1"/>
  <c r="R15" i="1"/>
  <c r="M3" i="3"/>
  <c r="N2" i="3"/>
  <c r="AB6" i="1"/>
  <c r="P13" i="1"/>
  <c r="H12" i="6"/>
  <c r="R11" i="5"/>
  <c r="AS12" i="3"/>
  <c r="AU4" i="3"/>
  <c r="AR6" i="1"/>
  <c r="U5" i="1"/>
  <c r="U4" i="1" s="1"/>
  <c r="S4" i="1"/>
  <c r="U15" i="1"/>
  <c r="Q11" i="1"/>
  <c r="R12" i="1"/>
  <c r="R11" i="1" s="1"/>
  <c r="AU12" i="1"/>
  <c r="Y11" i="1"/>
  <c r="Z12" i="1"/>
  <c r="Z11" i="1" s="1"/>
  <c r="U12" i="1"/>
  <c r="U11" i="1" s="1"/>
  <c r="Q9" i="1"/>
  <c r="R10" i="1"/>
  <c r="R9" i="1" s="1"/>
  <c r="AT7" i="1"/>
  <c r="BE7" i="1" l="1"/>
  <c r="BE6" i="1" s="1"/>
  <c r="BA6" i="1"/>
  <c r="BJ16" i="1"/>
  <c r="AT6" i="1"/>
  <c r="AR16" i="1"/>
  <c r="AQ6" i="1"/>
  <c r="BB16" i="1"/>
  <c r="AQ16" i="1"/>
  <c r="AA14" i="1"/>
  <c r="S8" i="5"/>
  <c r="AU4" i="1"/>
  <c r="Z14" i="1"/>
  <c r="Z13" i="1" s="1"/>
  <c r="AU14" i="1"/>
  <c r="AT10" i="1"/>
  <c r="AT9" i="1" s="1"/>
  <c r="BA9" i="1"/>
  <c r="BE10" i="1"/>
  <c r="BE9" i="1" s="1"/>
  <c r="BE12" i="1"/>
  <c r="BE11" i="1" s="1"/>
  <c r="S16" i="1"/>
  <c r="R8" i="1"/>
  <c r="AJ8" i="1" s="1"/>
  <c r="P6" i="1"/>
  <c r="P16" i="1" s="1"/>
  <c r="T9" i="5"/>
  <c r="AK10" i="1" s="1"/>
  <c r="AK9" i="1" s="1"/>
  <c r="AA10" i="1"/>
  <c r="AT5" i="1"/>
  <c r="AT4" i="1" s="1"/>
  <c r="AS4" i="1"/>
  <c r="AT14" i="1"/>
  <c r="AT13" i="1" s="1"/>
  <c r="AS13" i="1"/>
  <c r="BC13" i="1"/>
  <c r="BE14" i="1"/>
  <c r="BE13" i="1" s="1"/>
  <c r="AH13" i="1"/>
  <c r="AH16" i="1" s="1"/>
  <c r="AT12" i="1"/>
  <c r="AT11" i="1" s="1"/>
  <c r="AS11" i="1"/>
  <c r="N3" i="3"/>
  <c r="O2" i="3"/>
  <c r="BC4" i="1"/>
  <c r="BE5" i="1"/>
  <c r="BE4" i="1" s="1"/>
  <c r="BG16" i="1"/>
  <c r="BD16" i="1"/>
  <c r="U13" i="1"/>
  <c r="AU12" i="3"/>
  <c r="O3" i="1"/>
  <c r="S11" i="5"/>
  <c r="S12" i="5" s="1"/>
  <c r="AA15" i="1"/>
  <c r="AJ15" i="1" s="1"/>
  <c r="AB16" i="1"/>
  <c r="AU11" i="1"/>
  <c r="BQ12" i="1"/>
  <c r="BQ11" i="1" s="1"/>
  <c r="H17" i="6"/>
  <c r="AU6" i="1"/>
  <c r="BQ7" i="1"/>
  <c r="BQ6" i="1" s="1"/>
  <c r="R14" i="1"/>
  <c r="R13" i="1" s="1"/>
  <c r="I11" i="2"/>
  <c r="L3" i="2"/>
  <c r="I17" i="6"/>
  <c r="AL3" i="1"/>
  <c r="AL16" i="1" s="1"/>
  <c r="R12" i="5"/>
  <c r="T4" i="5"/>
  <c r="AA3" i="1"/>
  <c r="AJ5" i="1"/>
  <c r="BE3" i="1"/>
  <c r="AT3" i="1"/>
  <c r="T7" i="5"/>
  <c r="AK7" i="1" s="1"/>
  <c r="AK6" i="1" s="1"/>
  <c r="AA7" i="1"/>
  <c r="AA11" i="1"/>
  <c r="AJ12" i="1"/>
  <c r="BA16" i="1" l="1"/>
  <c r="BQ14" i="1"/>
  <c r="BQ13" i="1" s="1"/>
  <c r="AU13" i="1"/>
  <c r="AJ14" i="1"/>
  <c r="AV8" i="1"/>
  <c r="AW8" i="1" s="1"/>
  <c r="AZ8" i="1" s="1"/>
  <c r="BR8" i="1" s="1"/>
  <c r="AV5" i="1"/>
  <c r="AJ4" i="1"/>
  <c r="T12" i="5"/>
  <c r="AK3" i="1"/>
  <c r="AK16" i="1" s="1"/>
  <c r="AJ11" i="1"/>
  <c r="AV12" i="1"/>
  <c r="AV15" i="1"/>
  <c r="AW15" i="1" s="1"/>
  <c r="AZ15" i="1" s="1"/>
  <c r="BR15" i="1" s="1"/>
  <c r="Q3" i="1"/>
  <c r="O16" i="1"/>
  <c r="T3" i="1"/>
  <c r="AA9" i="1"/>
  <c r="AJ10" i="1"/>
  <c r="AS16" i="1"/>
  <c r="AT16" i="1"/>
  <c r="AA13" i="1"/>
  <c r="O3" i="3"/>
  <c r="P2" i="3"/>
  <c r="AA6" i="1"/>
  <c r="AJ7" i="1"/>
  <c r="Y3" i="1"/>
  <c r="L11" i="2"/>
  <c r="R6" i="1"/>
  <c r="BC16" i="1"/>
  <c r="AV14" i="1"/>
  <c r="AJ13" i="1"/>
  <c r="BE16" i="1"/>
  <c r="AA16" i="1" l="1"/>
  <c r="BM8" i="1"/>
  <c r="AV10" i="1"/>
  <c r="AJ9" i="1"/>
  <c r="AJ6" i="1"/>
  <c r="AV7" i="1"/>
  <c r="AU3" i="1"/>
  <c r="Y16" i="1"/>
  <c r="Z3" i="1"/>
  <c r="T16" i="1"/>
  <c r="U3" i="1"/>
  <c r="U16" i="1" s="1"/>
  <c r="R3" i="1"/>
  <c r="R16" i="1" s="1"/>
  <c r="Q16" i="1"/>
  <c r="AW5" i="1"/>
  <c r="AV4" i="1"/>
  <c r="BM15" i="1"/>
  <c r="AW12" i="1"/>
  <c r="AV11" i="1"/>
  <c r="AV13" i="1"/>
  <c r="AW14" i="1"/>
  <c r="P3" i="3"/>
  <c r="Q2" i="3"/>
  <c r="Z16" i="1" l="1"/>
  <c r="AJ3" i="1"/>
  <c r="Q3" i="3"/>
  <c r="R2" i="3"/>
  <c r="AU16" i="1"/>
  <c r="BQ3" i="1"/>
  <c r="BQ16" i="1" s="1"/>
  <c r="AW13" i="1"/>
  <c r="AY14" i="1"/>
  <c r="AY13" i="1" s="1"/>
  <c r="AX14" i="1"/>
  <c r="AX13" i="1" s="1"/>
  <c r="AY12" i="1"/>
  <c r="AY11" i="1" s="1"/>
  <c r="AX12" i="1"/>
  <c r="AX11" i="1" s="1"/>
  <c r="AW11" i="1"/>
  <c r="AY5" i="1"/>
  <c r="AY4" i="1" s="1"/>
  <c r="AX5" i="1"/>
  <c r="AX4" i="1" s="1"/>
  <c r="AW4" i="1"/>
  <c r="AV6" i="1"/>
  <c r="AW7" i="1"/>
  <c r="AW10" i="1"/>
  <c r="AV9" i="1"/>
  <c r="AZ5" i="1" l="1"/>
  <c r="AX7" i="1"/>
  <c r="AX6" i="1" s="1"/>
  <c r="AW6" i="1"/>
  <c r="AY7" i="1"/>
  <c r="AY6" i="1" s="1"/>
  <c r="AZ4" i="1"/>
  <c r="BR5" i="1"/>
  <c r="BR4" i="1" s="1"/>
  <c r="BM5" i="1"/>
  <c r="BM4" i="1" s="1"/>
  <c r="R3" i="3"/>
  <c r="S2" i="3"/>
  <c r="AZ12" i="1"/>
  <c r="AY10" i="1"/>
  <c r="AY9" i="1" s="1"/>
  <c r="AX10" i="1"/>
  <c r="AX9" i="1" s="1"/>
  <c r="AW9" i="1"/>
  <c r="AJ16" i="1"/>
  <c r="AV3" i="1"/>
  <c r="AZ14" i="1"/>
  <c r="AZ10" i="1" l="1"/>
  <c r="AZ9" i="1" s="1"/>
  <c r="BR12" i="1"/>
  <c r="BR11" i="1" s="1"/>
  <c r="AZ11" i="1"/>
  <c r="BM12" i="1"/>
  <c r="BM11" i="1" s="1"/>
  <c r="AW3" i="1"/>
  <c r="AV16" i="1"/>
  <c r="AZ7" i="1"/>
  <c r="T2" i="3"/>
  <c r="S3" i="3"/>
  <c r="AZ13" i="1"/>
  <c r="BR14" i="1"/>
  <c r="BR13" i="1" s="1"/>
  <c r="BM14" i="1"/>
  <c r="BM13" i="1" s="1"/>
  <c r="BR10" i="1"/>
  <c r="BR9" i="1" s="1"/>
  <c r="BM10" i="1" l="1"/>
  <c r="BM9" i="1" s="1"/>
  <c r="AZ6" i="1"/>
  <c r="BR7" i="1"/>
  <c r="BR6" i="1" s="1"/>
  <c r="BM7" i="1"/>
  <c r="BM6" i="1" s="1"/>
  <c r="U2" i="3"/>
  <c r="T3" i="3"/>
  <c r="AW16" i="1"/>
  <c r="AY3" i="1"/>
  <c r="AY16" i="1" s="1"/>
  <c r="AX3" i="1"/>
  <c r="AX16" i="1" s="1"/>
  <c r="AZ3" i="1" l="1"/>
  <c r="V2" i="3"/>
  <c r="U3" i="3"/>
  <c r="W2" i="3" l="1"/>
  <c r="V3" i="3"/>
  <c r="AZ16" i="1"/>
  <c r="BR3" i="1"/>
  <c r="BR16" i="1" s="1"/>
  <c r="BM3" i="1"/>
  <c r="BM16" i="1" s="1"/>
  <c r="X2" i="3" l="1"/>
  <c r="W3" i="3"/>
  <c r="Y2" i="3" l="1"/>
  <c r="X3" i="3"/>
  <c r="Y3" i="3" l="1"/>
  <c r="Z2" i="3"/>
  <c r="Z3" i="3" l="1"/>
  <c r="AA2" i="3"/>
  <c r="AA3" i="3" l="1"/>
  <c r="AB2" i="3"/>
  <c r="AB3" i="3" l="1"/>
  <c r="AC2" i="3"/>
  <c r="AC3" i="3" l="1"/>
  <c r="AD2" i="3"/>
  <c r="AD3" i="3" l="1"/>
  <c r="AE2" i="3"/>
  <c r="AF2" i="3" l="1"/>
  <c r="AE3" i="3"/>
  <c r="AF3" i="3" l="1"/>
  <c r="AG2" i="3"/>
  <c r="AH2" i="3" l="1"/>
  <c r="AG3" i="3"/>
  <c r="AI2" i="3" l="1"/>
  <c r="AH3" i="3"/>
  <c r="AI3" i="3" l="1"/>
  <c r="AJ2" i="3"/>
  <c r="AK2" i="3" l="1"/>
  <c r="AJ3" i="3"/>
  <c r="AK3" i="3" l="1"/>
  <c r="AL2" i="3"/>
  <c r="AM2" i="3" l="1"/>
  <c r="AL3" i="3"/>
  <c r="AM3" i="3" l="1"/>
  <c r="AN2" i="3"/>
  <c r="AN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 Thuy HR</author>
    <author>duyen</author>
  </authors>
  <commentList>
    <comment ref="AV2" authorId="0" shapeId="0" xr:uid="{00000000-0006-0000-0000-000001000000}">
      <text>
        <r>
          <rPr>
            <sz val="10"/>
            <rFont val="Arial"/>
            <family val="2"/>
          </rPr>
          <t xml:space="preserve">Thu nhập chịu thuế
</t>
        </r>
      </text>
    </comment>
    <comment ref="AW2" authorId="0" shapeId="0" xr:uid="{00000000-0006-0000-0000-000002000000}">
      <text>
        <r>
          <rPr>
            <sz val="10"/>
            <rFont val="Arial"/>
            <family val="2"/>
          </rPr>
          <t>Thu nhập tính thuế</t>
        </r>
      </text>
    </comment>
    <comment ref="BT2" authorId="1" shapeId="0" xr:uid="{00000000-0006-0000-0000-000003000000}">
      <text>
        <r>
          <rPr>
            <sz val="10"/>
            <rFont val="Arial"/>
            <family val="2"/>
          </rPr>
          <t>duyen:
0: lũy tiến
1: toàn phần</t>
        </r>
      </text>
    </comment>
  </commentList>
</comments>
</file>

<file path=xl/sharedStrings.xml><?xml version="1.0" encoding="utf-8"?>
<sst xmlns="http://schemas.openxmlformats.org/spreadsheetml/2006/main" count="727" uniqueCount="296">
  <si>
    <t>Truy thu BHYT 3%</t>
  </si>
  <si>
    <t>Truy thu BHYT 1.5%</t>
  </si>
  <si>
    <t>No</t>
  </si>
  <si>
    <t>Emp. Code</t>
  </si>
  <si>
    <t>ID No</t>
  </si>
  <si>
    <t>Full name</t>
  </si>
  <si>
    <t>Joning Date</t>
  </si>
  <si>
    <t>Division</t>
  </si>
  <si>
    <t>Department</t>
  </si>
  <si>
    <t>Position</t>
  </si>
  <si>
    <t>Job title</t>
  </si>
  <si>
    <t>Income 
Salary</t>
  </si>
  <si>
    <t>Basic 
Salary</t>
  </si>
  <si>
    <t>Efficiency salary</t>
  </si>
  <si>
    <t>Standard working day</t>
  </si>
  <si>
    <t>Working day
last month
 (21-25)</t>
  </si>
  <si>
    <t xml:space="preserve">Working day current month
 </t>
  </si>
  <si>
    <t>Actual
 Basic Salary last month
 (21-25)</t>
  </si>
  <si>
    <t>Actual 
Basic Salary current month</t>
  </si>
  <si>
    <t>Total 
Actual 
Basic Salary</t>
  </si>
  <si>
    <t>Efficiency salary Advance
last month
 (21-25)</t>
  </si>
  <si>
    <t xml:space="preserve">Efficiency salary Advance current month </t>
  </si>
  <si>
    <t>Total 
Efficiency salary Advance</t>
  </si>
  <si>
    <t>Responsibility Allows</t>
  </si>
  <si>
    <t>Transportation Allows</t>
  </si>
  <si>
    <t>Mob Allows</t>
  </si>
  <si>
    <t>Meal Allows</t>
  </si>
  <si>
    <t xml:space="preserve"> Total Actual All Allows</t>
  </si>
  <si>
    <t>Overtime</t>
  </si>
  <si>
    <t>Night shift</t>
  </si>
  <si>
    <t>Bonus</t>
  </si>
  <si>
    <t>Acting 
Allowance</t>
  </si>
  <si>
    <t>AL Remain</t>
  </si>
  <si>
    <t>Rest of annual leave</t>
  </si>
  <si>
    <t>Incentives</t>
  </si>
  <si>
    <t>Other 
Allowance</t>
  </si>
  <si>
    <t>Severance pay</t>
  </si>
  <si>
    <t xml:space="preserve">Total 
Gross Salary </t>
  </si>
  <si>
    <t>OT 
untaxable</t>
  </si>
  <si>
    <t>Night shift
untaxable</t>
  </si>
  <si>
    <t>Severance pay untaxable</t>
  </si>
  <si>
    <t>Self-
deduction</t>
  </si>
  <si>
    <t>Qty.</t>
  </si>
  <si>
    <t>AMT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</si>
  <si>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</si>
  <si>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</si>
  <si>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</si>
  <si>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</si>
  <si>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</si>
  <si>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</si>
  <si>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</si>
  <si>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Tax rate</t>
  </si>
  <si>
    <t>Min Tax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</si>
  <si>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</si>
  <si>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</si>
  <si>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</si>
  <si>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</si>
  <si>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</si>
  <si>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</si>
  <si>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</si>
  <si>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Obligation Health Insurance Employer</t>
  </si>
  <si>
    <t>Obligation Health Insurance Employee</t>
  </si>
  <si>
    <t>Trade Union
(Company)</t>
  </si>
  <si>
    <t>Trade Union
(Employee)</t>
  </si>
  <si>
    <t>Support Funeral Fund</t>
  </si>
  <si>
    <t>Net salary</t>
  </si>
  <si>
    <t>Benefit TAX</t>
  </si>
  <si>
    <t>PIT payable last year</t>
  </si>
  <si>
    <t xml:space="preserve">Government funds </t>
  </si>
  <si>
    <t>Total Reduction</t>
  </si>
  <si>
    <t>Total  obligation of employee</t>
  </si>
  <si>
    <t>Tham gia BHXH</t>
  </si>
  <si>
    <t>Personal income tax subjects</t>
  </si>
  <si>
    <t>Participation in Trade Union</t>
  </si>
  <si>
    <t>Participation in bereavement</t>
  </si>
  <si>
    <t>Number of funerals occurring in the period</t>
  </si>
  <si>
    <t>Email</t>
  </si>
  <si>
    <t>Store Management</t>
  </si>
  <si>
    <t>SLA2500111</t>
  </si>
  <si>
    <t>Nguyen Thi Ha</t>
  </si>
  <si>
    <t>27/07/2015</t>
  </si>
  <si>
    <t>PVT - Store Manager</t>
  </si>
  <si>
    <t>Manager</t>
  </si>
  <si>
    <t>Store Manager - Emart Phan Van Tri</t>
  </si>
  <si>
    <t>Cooperate Function</t>
  </si>
  <si>
    <t>PHI2500112</t>
  </si>
  <si>
    <t>Phung Manh Ha</t>
  </si>
  <si>
    <t>19/12/2022</t>
  </si>
  <si>
    <t>PVT - Cooperate Function</t>
  </si>
  <si>
    <t>Corporate Function Manager</t>
  </si>
  <si>
    <t>Cashier</t>
  </si>
  <si>
    <t>PVT2500114</t>
  </si>
  <si>
    <t>Nguyen Duc Khanh</t>
  </si>
  <si>
    <t xml:space="preserve">PVT - Cashier </t>
  </si>
  <si>
    <t>Staff</t>
  </si>
  <si>
    <t>Cashier Staff</t>
  </si>
  <si>
    <t>PVT2500115</t>
  </si>
  <si>
    <t>Nguyen Son Tung</t>
  </si>
  <si>
    <t xml:space="preserve">Quality Assurance </t>
  </si>
  <si>
    <t>PVT2500116</t>
  </si>
  <si>
    <t>Nguyen Quang Cuong</t>
  </si>
  <si>
    <t>12/10/2016</t>
  </si>
  <si>
    <t xml:space="preserve">PVT - Quality Assurance </t>
  </si>
  <si>
    <t>Assistant</t>
  </si>
  <si>
    <t>QA Assistant</t>
  </si>
  <si>
    <t xml:space="preserve"> Security</t>
  </si>
  <si>
    <t>PVT2500117</t>
  </si>
  <si>
    <t>Pham Duc Kien</t>
  </si>
  <si>
    <t>22/06/2022</t>
  </si>
  <si>
    <t>PVT - Security</t>
  </si>
  <si>
    <t>Security</t>
  </si>
  <si>
    <t>Security Staff</t>
  </si>
  <si>
    <t>PVT - PP center</t>
  </si>
  <si>
    <t>PVT2500113</t>
  </si>
  <si>
    <t>Nguyen Van Quan</t>
  </si>
  <si>
    <t>24/10/2022</t>
  </si>
  <si>
    <t>PVT - Operation</t>
  </si>
  <si>
    <t>PP. Center</t>
  </si>
  <si>
    <t>Shipper Staff</t>
  </si>
  <si>
    <t>PVT2500118</t>
  </si>
  <si>
    <t>Nggo Van Tuan</t>
  </si>
  <si>
    <t>TOTAL</t>
  </si>
  <si>
    <t>427</t>
  </si>
  <si>
    <t>Prepared by</t>
  </si>
  <si>
    <t xml:space="preserve">Checked By </t>
  </si>
  <si>
    <t>Approved By</t>
  </si>
  <si>
    <t>Nguyễn Thị Hà</t>
  </si>
  <si>
    <t>Phùng Mạnh Hà</t>
  </si>
  <si>
    <t>Nguyễn Đức Khánh</t>
  </si>
  <si>
    <t>Nguyễn Sơn Tùng</t>
  </si>
  <si>
    <t xml:space="preserve">Hr/Admin </t>
  </si>
  <si>
    <t>Nguyễn Quang Cường</t>
  </si>
  <si>
    <t>Phạm Đức Kiên</t>
  </si>
  <si>
    <t>Nguyễn Văn Quân</t>
  </si>
  <si>
    <t>Ngô Văn Tuấn</t>
  </si>
  <si>
    <t>TỔNG</t>
  </si>
  <si>
    <t>Lập bảng</t>
  </si>
  <si>
    <t>Kiểm tra</t>
  </si>
  <si>
    <t>Phê duyệt</t>
  </si>
  <si>
    <t>X</t>
  </si>
  <si>
    <t>CL</t>
  </si>
  <si>
    <t>TT</t>
  </si>
  <si>
    <t>CODE VN</t>
  </si>
  <si>
    <t>Full Name</t>
  </si>
  <si>
    <t>Joinging date</t>
  </si>
  <si>
    <t>Dept</t>
  </si>
  <si>
    <t>Sub. Dept</t>
  </si>
  <si>
    <t>Job Title</t>
  </si>
  <si>
    <t>REMARK</t>
  </si>
  <si>
    <t>Total OFF days</t>
  </si>
  <si>
    <t>Unpaid leave</t>
  </si>
  <si>
    <t>Nghỉ hưởng lương
 (Nghỉ Phép/ Nghỉ Bù/ Nghỉ chế độ/ Nghỉ Lễ)</t>
  </si>
  <si>
    <t>Actual working days</t>
  </si>
  <si>
    <t>Total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</si>
  <si>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</si>
  <si>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</si>
  <si>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</si>
  <si>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</si>
  <si>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</si>
  <si>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</si>
  <si>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OFF</t>
  </si>
  <si>
    <t>HL</t>
  </si>
  <si>
    <t>Admin Supervisor - Store Division</t>
  </si>
  <si>
    <t>UP</t>
  </si>
  <si>
    <t>HR Supervisor - Store Division</t>
  </si>
  <si>
    <t>HR Staff - Store Divison</t>
  </si>
  <si>
    <t>1/2AL</t>
  </si>
  <si>
    <t>SL1</t>
  </si>
  <si>
    <t>Treasury Staff</t>
  </si>
  <si>
    <t>FP</t>
  </si>
  <si>
    <t>Regulations on timekeeping symbols</t>
  </si>
  <si>
    <t>Go to work 01 day</t>
  </si>
  <si>
    <t>Holidays, Tet</t>
  </si>
  <si>
    <t>1 day off OFF weekly shifts</t>
  </si>
  <si>
    <t>AL</t>
  </si>
  <si>
    <t>Annual Leave/ Annual leave 01 day</t>
  </si>
  <si>
    <t>1/2 Annual Leave/Annual leave 1/2 day + Work 1/2 day</t>
  </si>
  <si>
    <t>Full paid leave for personal affairs/Personal leave with pay for 01 day (marriage, bereavement...)</t>
  </si>
  <si>
    <t>Unpaid leave/Personal leave without pay for 01 day</t>
  </si>
  <si>
    <t>1/2UP</t>
  </si>
  <si>
    <t>1/2 Unpaid leave/Leave without pay for 1/2 day + Work 1/2 day</t>
  </si>
  <si>
    <t>Sick leave / Sick leave (entitled to social insurance)</t>
  </si>
  <si>
    <t>ML</t>
  </si>
  <si>
    <t>Maternity leave / Maternity leave</t>
  </si>
  <si>
    <t>CC</t>
  </si>
  <si>
    <t>Children care leave / Sick child leave / wife's birth leave (social insurance benefits)</t>
  </si>
  <si>
    <t>LL</t>
  </si>
  <si>
    <t>Lactation leave/ Leave early/ stay 1 hour late/ take 1 day off after 7 working days</t>
  </si>
  <si>
    <t>SL2</t>
  </si>
  <si>
    <t>Sabbatical leave / Leave to study / improve knowledge, go on business trips</t>
  </si>
  <si>
    <t>Compensation leave (in-lieu day-off)/ Compensation leave 1 day</t>
  </si>
  <si>
    <t>1/2CL</t>
  </si>
  <si>
    <t>1/2 Compensation leave (in-lieu day-off)/ Compensation leave 1/2 day + Work 1/2 days</t>
  </si>
  <si>
    <t>Bộ Phận</t>
  </si>
  <si>
    <t>Tổng ngày Off</t>
  </si>
  <si>
    <t>Total days/month</t>
  </si>
  <si>
    <t>Tổng ngày nghỉ có lương</t>
  </si>
  <si>
    <t>Tổng ngày nghỉ không lương</t>
  </si>
  <si>
    <t>Holiday</t>
  </si>
  <si>
    <t>Compensation</t>
  </si>
  <si>
    <t>OT
Sunday</t>
  </si>
  <si>
    <t>OT
Holiday</t>
  </si>
  <si>
    <t xml:space="preserve">Ngày đi làm thực tế </t>
  </si>
  <si>
    <t xml:space="preserve">NGÀY CÔNG TÍNH LƯƠNG </t>
  </si>
  <si>
    <t>Sun</t>
  </si>
  <si>
    <t>Mon</t>
  </si>
  <si>
    <t>Tue</t>
  </si>
  <si>
    <t>Wed</t>
  </si>
  <si>
    <t>Thu</t>
  </si>
  <si>
    <t>Fri</t>
  </si>
  <si>
    <t>Sat</t>
  </si>
  <si>
    <t>GV - PP. Center</t>
  </si>
  <si>
    <t>Quy định ký hiệu chấm công</t>
  </si>
  <si>
    <t>Đi làm 01 ngày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</si>
  <si>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</si>
  <si>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</si>
  <si>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</si>
  <si>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</si>
  <si>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</si>
  <si>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</si>
  <si>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</si>
  <si>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</si>
  <si>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Maternity leave / Nghỉ thai sản</t>
  </si>
  <si>
    <t>Children care leave / Nghỉ con ốm/ vợ sinh (hưởng BHXH)</t>
  </si>
  <si>
    <t>Lactation leave/ Về sớm/đi trễ 1 tiếng/nghỉ 1 ngày sau 7 ngày làm việc</t>
  </si>
  <si>
    <t>Sabbatical leave /Nghỉ để đi học/nâng cao kiến thức, đi công tác</t>
  </si>
  <si>
    <t>Compensation leave ( in-lieu day-off)/ Nghỉ bù 1 ngày</t>
  </si>
  <si>
    <t xml:space="preserve"> 1/2 Compensation leave ( in-lieu day-off)/ Nghỉ bù 1/2 ngày + Đi làm 1/2 ngày</t>
  </si>
  <si>
    <t>Income salary</t>
  </si>
  <si>
    <t>Hour</t>
  </si>
  <si>
    <t>Overtime payment 
per hour</t>
  </si>
  <si>
    <t xml:space="preserve">Total
payment
(VND)
</t>
  </si>
  <si>
    <t>Overtime taxable</t>
  </si>
  <si>
    <t>OT.Untaxable</t>
  </si>
  <si>
    <t>No.</t>
  </si>
  <si>
    <t>VND</t>
  </si>
  <si>
    <t>HĐTV</t>
  </si>
  <si>
    <t xml:space="preserve">NIGHT SHIFT </t>
  </si>
  <si>
    <t xml:space="preserve">Total hour night shift </t>
  </si>
  <si>
    <t xml:space="preserve">
Payment night shift 
 </t>
  </si>
  <si>
    <t xml:space="preserve">
Night shift taxable </t>
  </si>
  <si>
    <t xml:space="preserve">
Night shift untax  </t>
  </si>
  <si>
    <t>Nguyen Van A</t>
  </si>
  <si>
    <t>Nguyen Van B</t>
  </si>
  <si>
    <t xml:space="preserve">INCENTIVE </t>
  </si>
  <si>
    <t>c</t>
  </si>
  <si>
    <t>Emp.Code</t>
  </si>
  <si>
    <t xml:space="preserve">Joining date
</t>
  </si>
  <si>
    <t>Quit one's job</t>
  </si>
  <si>
    <t>Dept.</t>
  </si>
  <si>
    <t xml:space="preserve">Incentive 
</t>
  </si>
  <si>
    <t>PP.Shipper</t>
  </si>
  <si>
    <t>Cashier incentive</t>
  </si>
  <si>
    <t>Bill</t>
  </si>
  <si>
    <t>THISO RETAIL</t>
  </si>
  <si>
    <t>366 Phan Van Tri, Ward 5, Go Vap District, HCMC</t>
  </si>
  <si>
    <t>1. Delivery coordination allowance</t>
  </si>
  <si>
    <t>Coordination allowance</t>
  </si>
  <si>
    <t>Workdays for salary calculation</t>
  </si>
  <si>
    <t>Amount</t>
  </si>
  <si>
    <t>2. Seniority CASHIER</t>
  </si>
  <si>
    <t>Seniority CASHIER</t>
  </si>
  <si>
    <t>Additional CASHIER seniority</t>
  </si>
  <si>
    <t>3. Additional leave/work days (AL payment)</t>
  </si>
  <si>
    <t>Code</t>
  </si>
  <si>
    <t>Name</t>
  </si>
  <si>
    <t>Gross</t>
  </si>
  <si>
    <t>ALs</t>
  </si>
  <si>
    <t>Employee Code</t>
  </si>
  <si>
    <t>Monthly bonus</t>
  </si>
  <si>
    <t>Birthday (Company)</t>
  </si>
  <si>
    <t>Seniority</t>
  </si>
  <si>
    <t>Gift (10%)</t>
  </si>
  <si>
    <t>Total taxable benefits</t>
  </si>
  <si>
    <t>Store / Retail</t>
  </si>
  <si>
    <t>Join Date</t>
  </si>
  <si>
    <t>Dept./Div.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</si>
  <si>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</si>
  <si>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</si>
  <si>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</si>
  <si>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</si>
  <si>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</si>
  <si>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</si>
  <si>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</si>
  <si>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</si>
  <si>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Checked by</t>
  </si>
  <si>
    <t>Approved by</t>
  </si>
  <si>
    <t>TB1</t>
  </si>
  <si>
    <t>TB2</t>
  </si>
  <si>
    <t>PC com</t>
  </si>
  <si>
    <t>OT</t>
  </si>
  <si>
    <t>Incentive</t>
  </si>
  <si>
    <t>NS</t>
  </si>
  <si>
    <t>Others</t>
  </si>
  <si>
    <t>Benefit</t>
  </si>
  <si>
    <t>Dept/Div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</si>
</sst>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[$-409]d\-mmm\-yy;@"/>
    <numFmt numFmtId="167" formatCode="_(* #,##0_);_(* \(#,##0\);_(* &quot;-&quot;??_);_(@_)"/>
    <numFmt numFmtId="168" formatCode="#,##0.0"/>
    <numFmt numFmtId="169" formatCode="_(* #,##0.0_);_(* \(#,##0.0\);_(* \-??_);_(@_)"/>
    <numFmt numFmtId="170" formatCode="_-* #,##0.0\ _₫_-;\-* #,##0.0\ _₫_-;_-* &quot;-&quot;??\ _₫_-;_-@_-"/>
    <numFmt numFmtId="171" formatCode="d\-mmm\-yy;@"/>
    <numFmt numFmtId="172" formatCode="dd"/>
    <numFmt numFmtId="173" formatCode="0.0"/>
    <numFmt numFmtId="174" formatCode="_(* #,##0.0_);_(* \(#,##0.0\);_(* &quot;-&quot;??_);_(@_)"/>
    <numFmt numFmtId="175" formatCode="[$-409]mmmm\ d\,\ yyyy;@"/>
    <numFmt numFmtId="176" formatCode="[$-1010000]d/m/yyyy;@"/>
    <numFmt numFmtId="177" formatCode="_(* #,##0_);_(* \(#,##0\);_(* &quot;-&quot;?_);_(@_)"/>
    <numFmt numFmtId="178" formatCode="dd\/mm\/yyyy"/>
    <numFmt numFmtId="179" formatCode="0000"/>
    <numFmt numFmtId="180" formatCode="&quot; &quot;#,##0&quot; &quot;;&quot; (&quot;#,##0&quot;)&quot;;&quot; -&quot;00&quot; &quot;;&quot; &quot;@&quot; &quot;"/>
    <numFmt numFmtId="181" formatCode="&quot; &quot;#,##0.0&quot; &quot;;&quot; (&quot;#,##0.0&quot;)&quot;;&quot; -&quot;00.0&quot; &quot;;&quot; &quot;@&quot; &quot;"/>
    <numFmt numFmtId="182" formatCode="&quot; &quot;#,##0&quot; &quot;;&quot;-&quot;#,##0&quot; &quot;;&quot; -&quot;00&quot; &quot;;&quot; &quot;@&quot; &quot;"/>
    <numFmt numFmtId="183" formatCode="0.0%"/>
    <numFmt numFmtId="184" formatCode="_-* #,##0_-;\-* #,##0_-;_-* &quot;-&quot;??_-;_-@_-"/>
    <numFmt numFmtId="185" formatCode="_-* #,##0.00\ _₫_-;\-* #,##0.00\ _₫_-;_-* \-??\ _₫_-;_-@_-"/>
    <numFmt numFmtId="186" formatCode="_-* #,##0.00\ _₫_-;\-* #,##0.00\ _₫_-;_-* &quot;-&quot;??\ _₫_-;_-@_-"/>
    <numFmt numFmtId="187" formatCode="_-* #,##0.00_-;\-* #,##0.00_-;_-* &quot;-&quot;??_-;_-@_-"/>
    <numFmt numFmtId="188" formatCode="&quot; &quot;#,##0.00&quot; &quot;;&quot; (&quot;#,##0.00&quot;)&quot;;&quot; -&quot;00&quot; &quot;;&quot; &quot;@&quot; &quot;"/>
  </numFmts>
  <fonts count="13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28"/>
      <color indexed="10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3"/>
      <name val="Times New Roman"/>
      <family val="1"/>
      <charset val="1"/>
    </font>
    <font>
      <sz val="13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10"/>
      <color indexed="10"/>
      <name val="Times New Roman"/>
      <family val="1"/>
      <charset val="1"/>
    </font>
    <font>
      <b/>
      <sz val="9"/>
      <color indexed="8"/>
      <name val="Times New Roman"/>
      <family val="1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sz val="16"/>
      <name val="Times New Roman"/>
      <family val="1"/>
      <charset val="1"/>
    </font>
    <font>
      <b/>
      <sz val="12"/>
      <name val="Times New Roman"/>
      <family val="1"/>
      <charset val="1"/>
    </font>
    <font>
      <b/>
      <sz val="7"/>
      <color indexed="8"/>
      <name val="Times New Roman"/>
      <family val="1"/>
      <charset val="1"/>
    </font>
    <font>
      <i/>
      <sz val="7"/>
      <color indexed="8"/>
      <name val="Times New Roman"/>
      <family val="1"/>
      <charset val="163"/>
    </font>
    <font>
      <i/>
      <sz val="10"/>
      <color indexed="8"/>
      <name val="Times New Roman"/>
      <family val="1"/>
      <charset val="163"/>
    </font>
    <font>
      <i/>
      <sz val="9"/>
      <name val="Times New Roman"/>
      <family val="1"/>
      <charset val="163"/>
    </font>
    <font>
      <i/>
      <sz val="10"/>
      <color indexed="10"/>
      <name val="Times New Roman"/>
      <family val="1"/>
      <charset val="1"/>
    </font>
    <font>
      <i/>
      <sz val="10"/>
      <name val="Times New Roman"/>
      <family val="1"/>
      <charset val="1"/>
    </font>
    <font>
      <sz val="11"/>
      <color indexed="9"/>
      <name val="Tahoma"/>
      <family val="2"/>
      <charset val="1"/>
    </font>
    <font>
      <b/>
      <sz val="16"/>
      <color indexed="10"/>
      <name val="Times New Roman"/>
      <family val="1"/>
      <charset val="163"/>
    </font>
    <font>
      <b/>
      <sz val="16"/>
      <color indexed="14"/>
      <name val="Times New Roman"/>
      <family val="1"/>
      <charset val="1"/>
    </font>
    <font>
      <sz val="12"/>
      <name val="Times New Roman"/>
      <family val="1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Tahoma"/>
      <family val="2"/>
    </font>
    <font>
      <sz val="12"/>
      <name val="Cambria"/>
      <family val="2"/>
      <scheme val="major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7"/>
      <color indexed="10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b/>
      <sz val="7"/>
      <color indexed="8"/>
      <name val="Times New Roman"/>
      <family val="1"/>
    </font>
    <font>
      <sz val="12"/>
      <color theme="0"/>
      <name val="Times New Roman"/>
      <family val="1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b/>
      <sz val="10"/>
      <color indexed="8"/>
      <name val="Times New Roman"/>
      <family val="1"/>
    </font>
    <font>
      <u/>
      <sz val="11"/>
      <color theme="1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FF00FF"/>
      <name val="Times New Roman"/>
      <family val="1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9"/>
      <color indexed="8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10"/>
      <color theme="0"/>
      <name val="Mangal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12"/>
      <name val="Mangal"/>
      <family val="1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6"/>
      <name val="Arial"/>
      <family val="2"/>
    </font>
    <font>
      <sz val="11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2"/>
      <name val="Times New Roman"/>
      <family val="1"/>
      <charset val="163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sz val="10"/>
      <color theme="0"/>
      <name val="Times New Roman"/>
      <family val="1"/>
    </font>
    <font>
      <b/>
      <sz val="10"/>
      <color rgb="FF92D050"/>
      <name val="Times New Roman"/>
      <family val="1"/>
    </font>
    <font>
      <b/>
      <i/>
      <sz val="10"/>
      <name val="Times New Roman"/>
      <family val="1"/>
    </font>
    <font>
      <sz val="10"/>
      <color rgb="FF0000FF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0"/>
      <color rgb="FFC00000"/>
      <name val="Times New Roman"/>
      <family val="1"/>
    </font>
    <font>
      <sz val="14"/>
      <color rgb="FFC00000"/>
      <name val="Times New Roman"/>
      <family val="1"/>
    </font>
    <font>
      <b/>
      <sz val="12"/>
      <color rgb="FF000000"/>
      <name val="Times New Roman"/>
      <family val="1"/>
    </font>
    <font>
      <sz val="14"/>
      <name val="Mangal"/>
      <family val="2"/>
    </font>
    <font>
      <b/>
      <sz val="26"/>
      <color theme="1"/>
      <name val="Times New Roman"/>
      <family val="1"/>
    </font>
    <font>
      <sz val="8.5500000000000007"/>
      <color rgb="FF374151"/>
      <name val="Arial"/>
      <family val="2"/>
    </font>
    <font>
      <sz val="12"/>
      <color rgb="FF374151"/>
      <name val="Arial"/>
      <family val="2"/>
    </font>
    <font>
      <b/>
      <sz val="12"/>
      <color rgb="FF00B0F0"/>
      <name val="Times New Roman"/>
      <family val="1"/>
    </font>
    <font>
      <b/>
      <sz val="10"/>
      <color rgb="FF00B0F0"/>
      <name val="Times New Roman"/>
      <family val="1"/>
      <charset val="1"/>
    </font>
  </fonts>
  <fills count="6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indexed="50"/>
        <bgColor indexed="19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27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theme="0" tint="-0.249977111117893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92D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0"/>
        <bgColor rgb="FFC0FFC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2F89E"/>
        <bgColor indexed="64"/>
      </patternFill>
    </fill>
    <fill>
      <patternFill patternType="solid">
        <fgColor rgb="FFFFD72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99FF"/>
        <bgColor rgb="FFFFE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rgb="FF92D050"/>
      </patternFill>
    </fill>
  </fills>
  <borders count="9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6034">
    <xf numFmtId="0" fontId="0" fillId="0" borderId="0"/>
    <xf numFmtId="164" fontId="7" fillId="0" borderId="0"/>
    <xf numFmtId="185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8" fillId="2" borderId="52">
      <alignment horizontal="center" vertical="center"/>
    </xf>
    <xf numFmtId="0" fontId="14" fillId="3" borderId="0"/>
    <xf numFmtId="0" fontId="28" fillId="4" borderId="0"/>
    <xf numFmtId="0" fontId="43" fillId="5" borderId="0"/>
    <xf numFmtId="0" fontId="43" fillId="6" borderId="0"/>
    <xf numFmtId="0" fontId="43" fillId="7" borderId="0"/>
    <xf numFmtId="0" fontId="43" fillId="8" borderId="0"/>
    <xf numFmtId="0" fontId="47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0" fillId="0" borderId="0"/>
    <xf numFmtId="0" fontId="13" fillId="0" borderId="0"/>
    <xf numFmtId="0" fontId="14" fillId="0" borderId="0"/>
    <xf numFmtId="0" fontId="10" fillId="0" borderId="0"/>
    <xf numFmtId="0" fontId="15" fillId="0" borderId="0"/>
    <xf numFmtId="0" fontId="13" fillId="0" borderId="0"/>
    <xf numFmtId="0" fontId="16" fillId="0" borderId="0"/>
    <xf numFmtId="0" fontId="17" fillId="0" borderId="0"/>
    <xf numFmtId="0" fontId="81" fillId="0" borderId="0"/>
    <xf numFmtId="43" fontId="81" fillId="0" borderId="0"/>
    <xf numFmtId="0" fontId="72" fillId="0" borderId="0"/>
    <xf numFmtId="0" fontId="58" fillId="0" borderId="0"/>
    <xf numFmtId="43" fontId="58" fillId="0" borderId="0"/>
    <xf numFmtId="0" fontId="81" fillId="0" borderId="0"/>
    <xf numFmtId="0" fontId="81" fillId="15" borderId="0"/>
    <xf numFmtId="0" fontId="81" fillId="0" borderId="0"/>
    <xf numFmtId="0" fontId="58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67" fillId="0" borderId="0"/>
    <xf numFmtId="0" fontId="53" fillId="17" borderId="0"/>
    <xf numFmtId="0" fontId="53" fillId="16" borderId="0"/>
    <xf numFmtId="0" fontId="53" fillId="14" borderId="0"/>
    <xf numFmtId="0" fontId="53" fillId="18" borderId="0"/>
    <xf numFmtId="0" fontId="67" fillId="15" borderId="0"/>
    <xf numFmtId="0" fontId="72" fillId="0" borderId="0"/>
    <xf numFmtId="43" fontId="81" fillId="0" borderId="0"/>
    <xf numFmtId="0" fontId="81" fillId="0" borderId="0"/>
    <xf numFmtId="43" fontId="81" fillId="0" borderId="0"/>
    <xf numFmtId="0" fontId="72" fillId="0" borderId="0"/>
    <xf numFmtId="0" fontId="81" fillId="0" borderId="0"/>
    <xf numFmtId="43" fontId="81" fillId="0" borderId="0"/>
    <xf numFmtId="0" fontId="81" fillId="0" borderId="0"/>
    <xf numFmtId="0" fontId="58" fillId="0" borderId="0"/>
    <xf numFmtId="43" fontId="58" fillId="0" borderId="0"/>
    <xf numFmtId="0" fontId="72" fillId="0" borderId="0"/>
    <xf numFmtId="0" fontId="58" fillId="0" borderId="0"/>
    <xf numFmtId="43" fontId="58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71" fillId="0" borderId="0">
      <alignment vertical="center"/>
    </xf>
    <xf numFmtId="187" fontId="71" fillId="0" borderId="0">
      <alignment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72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72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72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1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72" fillId="0" borderId="0"/>
    <xf numFmtId="0" fontId="81" fillId="0" borderId="0"/>
    <xf numFmtId="43" fontId="81" fillId="0" borderId="0"/>
    <xf numFmtId="0" fontId="81" fillId="0" borderId="0"/>
    <xf numFmtId="0" fontId="72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74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58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72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12" fillId="0" borderId="0"/>
    <xf numFmtId="0" fontId="81" fillId="0" borderId="0"/>
    <xf numFmtId="185" fontId="7" fillId="0" borderId="0"/>
    <xf numFmtId="0" fontId="79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101" fillId="0" borderId="0"/>
    <xf numFmtId="188" fontId="101" fillId="0" borderId="0"/>
    <xf numFmtId="0" fontId="87" fillId="41" borderId="0"/>
    <xf numFmtId="0" fontId="101" fillId="42" borderId="0"/>
    <xf numFmtId="0" fontId="87" fillId="41" borderId="0"/>
    <xf numFmtId="188" fontId="101" fillId="0" borderId="0"/>
    <xf numFmtId="0" fontId="88" fillId="43" borderId="0"/>
    <xf numFmtId="0" fontId="89" fillId="0" borderId="0"/>
    <xf numFmtId="0" fontId="101" fillId="0" borderId="0"/>
    <xf numFmtId="0" fontId="101" fillId="0" borderId="0"/>
    <xf numFmtId="0" fontId="101" fillId="0" borderId="0"/>
    <xf numFmtId="0" fontId="90" fillId="0" borderId="0"/>
    <xf numFmtId="0" fontId="81" fillId="0" borderId="0"/>
    <xf numFmtId="43" fontId="81" fillId="0" borderId="0"/>
    <xf numFmtId="0" fontId="81" fillId="0" borderId="0"/>
    <xf numFmtId="164" fontId="7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69" fillId="32" borderId="67">
      <alignment horizontal="center" vertical="center"/>
    </xf>
    <xf numFmtId="0" fontId="48" fillId="44" borderId="0"/>
    <xf numFmtId="0" fontId="93" fillId="0" borderId="0">
      <alignment vertical="top"/>
      <protection locked="0"/>
    </xf>
    <xf numFmtId="0" fontId="81" fillId="0" borderId="0"/>
    <xf numFmtId="0" fontId="81" fillId="0" borderId="0"/>
    <xf numFmtId="0" fontId="58" fillId="0" borderId="0"/>
    <xf numFmtId="43" fontId="81" fillId="0" borderId="0"/>
    <xf numFmtId="187" fontId="58" fillId="0" borderId="0"/>
    <xf numFmtId="43" fontId="81" fillId="0" borderId="0"/>
    <xf numFmtId="0" fontId="101" fillId="0" borderId="0"/>
    <xf numFmtId="43" fontId="10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48" fillId="44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79" fillId="0" borderId="0"/>
    <xf numFmtId="164" fontId="7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58" fillId="0" borderId="0"/>
    <xf numFmtId="43" fontId="58" fillId="0" borderId="0"/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72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72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72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72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43" fontId="81" fillId="0" borderId="0"/>
    <xf numFmtId="0" fontId="10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9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" fillId="2" borderId="52">
      <alignment horizontal="center" vertical="center"/>
    </xf>
    <xf numFmtId="0" fontId="81" fillId="15" borderId="0"/>
    <xf numFmtId="0" fontId="81" fillId="0" borderId="0"/>
    <xf numFmtId="43" fontId="81" fillId="0" borderId="0"/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0" fontId="81" fillId="0" borderId="0"/>
    <xf numFmtId="43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9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7">
      <alignment horizontal="center" vertical="center"/>
    </xf>
    <xf numFmtId="0" fontId="69" fillId="32" borderId="66">
      <alignment horizontal="center" vertical="center"/>
    </xf>
    <xf numFmtId="0" fontId="69" fillId="32" borderId="67">
      <alignment horizontal="center" vertical="center"/>
    </xf>
    <xf numFmtId="0" fontId="8" fillId="2" borderId="52">
      <alignment horizontal="center" vertical="center"/>
    </xf>
    <xf numFmtId="0" fontId="69" fillId="32" borderId="67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69" fillId="32" borderId="66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15" borderId="0"/>
    <xf numFmtId="0" fontId="81" fillId="0" borderId="0"/>
    <xf numFmtId="43" fontId="81" fillId="0" borderId="0"/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69" fillId="32" borderId="56">
      <alignment horizontal="center" vertical="center"/>
    </xf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43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8" fillId="2" borderId="52">
      <alignment horizontal="center" vertical="center"/>
    </xf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9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" fillId="2" borderId="52">
      <alignment horizontal="center" vertical="center"/>
    </xf>
    <xf numFmtId="0" fontId="81" fillId="15" borderId="0"/>
    <xf numFmtId="0" fontId="81" fillId="0" borderId="0"/>
    <xf numFmtId="43" fontId="81" fillId="0" borderId="0"/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69" fillId="32" borderId="66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69" fillId="32" borderId="66">
      <alignment horizontal="center" vertical="center"/>
    </xf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15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187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187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" fillId="2" borderId="52">
      <alignment horizontal="center" vertical="center"/>
    </xf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186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9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8" fillId="2" borderId="52">
      <alignment horizontal="center" vertical="center"/>
    </xf>
    <xf numFmtId="0" fontId="69" fillId="32" borderId="66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8" fillId="2" borderId="52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8" fillId="2" borderId="52">
      <alignment horizontal="center" vertical="center"/>
    </xf>
    <xf numFmtId="0" fontId="69" fillId="32" borderId="66">
      <alignment horizontal="center" vertical="center"/>
    </xf>
    <xf numFmtId="0" fontId="8" fillId="2" borderId="52">
      <alignment horizontal="center" vertical="center"/>
    </xf>
    <xf numFmtId="0" fontId="69" fillId="32" borderId="56">
      <alignment horizontal="center" vertical="center"/>
    </xf>
    <xf numFmtId="0" fontId="69" fillId="32" borderId="56">
      <alignment horizontal="center" vertical="center"/>
    </xf>
    <xf numFmtId="0" fontId="69" fillId="32" borderId="56">
      <alignment horizontal="center" vertical="center"/>
    </xf>
    <xf numFmtId="0" fontId="8" fillId="2" borderId="52">
      <alignment horizontal="center" vertical="center"/>
    </xf>
    <xf numFmtId="0" fontId="69" fillId="32" borderId="56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67">
      <alignment horizontal="center" vertical="center"/>
    </xf>
    <xf numFmtId="0" fontId="69" fillId="32" borderId="56">
      <alignment horizontal="center" vertical="center"/>
    </xf>
    <xf numFmtId="0" fontId="69" fillId="32" borderId="66">
      <alignment horizontal="center" vertical="center"/>
    </xf>
    <xf numFmtId="0" fontId="69" fillId="32" borderId="56">
      <alignment horizontal="center" vertical="center"/>
    </xf>
    <xf numFmtId="0" fontId="69" fillId="32" borderId="66">
      <alignment horizontal="center" vertical="center"/>
    </xf>
    <xf numFmtId="0" fontId="69" fillId="32" borderId="56">
      <alignment horizontal="center" vertical="center"/>
    </xf>
    <xf numFmtId="0" fontId="69" fillId="32" borderId="56">
      <alignment horizontal="center" vertical="center"/>
    </xf>
    <xf numFmtId="0" fontId="69" fillId="32" borderId="5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8" fillId="2" borderId="52">
      <alignment horizontal="center" vertical="center"/>
    </xf>
    <xf numFmtId="0" fontId="69" fillId="32" borderId="66">
      <alignment horizontal="center" vertical="center"/>
    </xf>
    <xf numFmtId="0" fontId="8" fillId="2" borderId="52">
      <alignment horizontal="center" vertical="center"/>
    </xf>
    <xf numFmtId="0" fontId="8" fillId="2" borderId="52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0" fontId="69" fillId="32" borderId="66">
      <alignment horizontal="center" vertical="center"/>
    </xf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0" fontId="7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9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69" fillId="32" borderId="66">
      <alignment horizontal="center" vertical="center"/>
    </xf>
    <xf numFmtId="9" fontId="81" fillId="0" borderId="0"/>
    <xf numFmtId="0" fontId="81" fillId="0" borderId="0"/>
    <xf numFmtId="43" fontId="81" fillId="0" borderId="0"/>
    <xf numFmtId="9" fontId="81" fillId="0" borderId="0"/>
    <xf numFmtId="0" fontId="81" fillId="0" borderId="0"/>
    <xf numFmtId="0" fontId="81" fillId="0" borderId="0"/>
    <xf numFmtId="0" fontId="81" fillId="0" borderId="0"/>
    <xf numFmtId="187" fontId="81" fillId="0" borderId="0"/>
    <xf numFmtId="43" fontId="81" fillId="0" borderId="0"/>
    <xf numFmtId="0" fontId="79" fillId="0" borderId="0"/>
    <xf numFmtId="43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9" fillId="32" borderId="66">
      <alignment horizontal="center" vertical="center"/>
    </xf>
    <xf numFmtId="9" fontId="81" fillId="0" borderId="0"/>
    <xf numFmtId="0" fontId="69" fillId="32" borderId="67">
      <alignment horizontal="center" vertical="center"/>
    </xf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0" fontId="101" fillId="0" borderId="0"/>
    <xf numFmtId="0" fontId="81" fillId="0" borderId="0"/>
    <xf numFmtId="43" fontId="81" fillId="0" borderId="0"/>
    <xf numFmtId="9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0" fontId="81" fillId="0" borderId="0"/>
    <xf numFmtId="9" fontId="81" fillId="0" borderId="0"/>
    <xf numFmtId="0" fontId="81" fillId="0" borderId="0"/>
    <xf numFmtId="43" fontId="81" fillId="0" borderId="0"/>
    <xf numFmtId="0" fontId="81" fillId="0" borderId="0"/>
    <xf numFmtId="43" fontId="81" fillId="0" borderId="0"/>
    <xf numFmtId="43" fontId="81" fillId="0" borderId="0"/>
    <xf numFmtId="0" fontId="81" fillId="0" borderId="0"/>
    <xf numFmtId="43" fontId="81" fillId="0" borderId="0"/>
    <xf numFmtId="9" fontId="81" fillId="0" borderId="0"/>
  </cellStyleXfs>
  <cellXfs count="547">
    <xf numFmtId="0" fontId="0" fillId="0" borderId="0" xfId="0"/>
    <xf numFmtId="0" fontId="33" fillId="9" borderId="0" xfId="0" applyFont="1" applyFill="1"/>
    <xf numFmtId="3" fontId="33" fillId="9" borderId="0" xfId="0" applyNumberFormat="1" applyFont="1" applyFill="1"/>
    <xf numFmtId="4" fontId="33" fillId="9" borderId="0" xfId="0" applyNumberFormat="1" applyFont="1" applyFill="1"/>
    <xf numFmtId="0" fontId="34" fillId="9" borderId="0" xfId="0" applyFont="1" applyFill="1"/>
    <xf numFmtId="4" fontId="34" fillId="9" borderId="0" xfId="0" applyNumberFormat="1" applyFont="1" applyFill="1"/>
    <xf numFmtId="0" fontId="35" fillId="9" borderId="0" xfId="0" applyFont="1" applyFill="1" applyAlignment="1">
      <alignment vertical="center"/>
    </xf>
    <xf numFmtId="3" fontId="35" fillId="9" borderId="0" xfId="0" applyNumberFormat="1" applyFont="1" applyFill="1" applyAlignment="1">
      <alignment vertical="center"/>
    </xf>
    <xf numFmtId="4" fontId="35" fillId="9" borderId="0" xfId="0" applyNumberFormat="1" applyFont="1" applyFill="1" applyAlignment="1">
      <alignment vertical="center"/>
    </xf>
    <xf numFmtId="0" fontId="27" fillId="9" borderId="0" xfId="0" applyFont="1" applyFill="1"/>
    <xf numFmtId="0" fontId="36" fillId="9" borderId="0" xfId="0" applyFont="1" applyFill="1" applyAlignment="1">
      <alignment vertical="center"/>
    </xf>
    <xf numFmtId="0" fontId="36" fillId="9" borderId="0" xfId="0" applyFont="1" applyFill="1" applyAlignment="1">
      <alignment horizontal="center" vertical="center"/>
    </xf>
    <xf numFmtId="3" fontId="36" fillId="9" borderId="0" xfId="0" applyNumberFormat="1" applyFont="1" applyFill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4" fontId="36" fillId="9" borderId="0" xfId="0" applyNumberFormat="1" applyFont="1" applyFill="1" applyAlignment="1">
      <alignment horizontal="center" vertical="center"/>
    </xf>
    <xf numFmtId="4" fontId="36" fillId="9" borderId="0" xfId="0" applyNumberFormat="1" applyFont="1" applyFill="1" applyAlignment="1">
      <alignment vertical="center"/>
    </xf>
    <xf numFmtId="3" fontId="27" fillId="9" borderId="0" xfId="0" applyNumberFormat="1" applyFont="1" applyFill="1"/>
    <xf numFmtId="4" fontId="23" fillId="9" borderId="0" xfId="0" applyNumberFormat="1" applyFont="1" applyFill="1"/>
    <xf numFmtId="4" fontId="27" fillId="9" borderId="0" xfId="0" applyNumberFormat="1" applyFont="1" applyFill="1"/>
    <xf numFmtId="0" fontId="37" fillId="9" borderId="4" xfId="0" applyFont="1" applyFill="1" applyBorder="1" applyAlignment="1">
      <alignment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vertical="center" wrapText="1"/>
    </xf>
    <xf numFmtId="0" fontId="22" fillId="10" borderId="1" xfId="0" applyFont="1" applyFill="1" applyBorder="1" applyAlignment="1">
      <alignment vertical="center" wrapText="1"/>
    </xf>
    <xf numFmtId="0" fontId="33" fillId="9" borderId="0" xfId="0" applyFont="1" applyFill="1" applyAlignment="1">
      <alignment vertical="center"/>
    </xf>
    <xf numFmtId="0" fontId="37" fillId="9" borderId="3" xfId="0" applyFont="1" applyFill="1" applyBorder="1" applyAlignment="1">
      <alignment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vertical="center" wrapText="1"/>
    </xf>
    <xf numFmtId="3" fontId="22" fillId="12" borderId="1" xfId="0" applyNumberFormat="1" applyFont="1" applyFill="1" applyBorder="1" applyAlignment="1">
      <alignment horizontal="center" vertical="center" wrapText="1"/>
    </xf>
    <xf numFmtId="9" fontId="22" fillId="12" borderId="1" xfId="0" applyNumberFormat="1" applyFont="1" applyFill="1" applyBorder="1" applyAlignment="1">
      <alignment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3" fontId="39" fillId="0" borderId="1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164" fontId="30" fillId="9" borderId="5" xfId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44" fillId="9" borderId="0" xfId="0" applyFont="1" applyFill="1" applyAlignment="1">
      <alignment vertical="center"/>
    </xf>
    <xf numFmtId="3" fontId="44" fillId="9" borderId="0" xfId="0" applyNumberFormat="1" applyFont="1" applyFill="1" applyAlignment="1">
      <alignment vertical="center"/>
    </xf>
    <xf numFmtId="4" fontId="44" fillId="9" borderId="0" xfId="0" applyNumberFormat="1" applyFont="1" applyFill="1" applyAlignment="1">
      <alignment vertical="center"/>
    </xf>
    <xf numFmtId="0" fontId="0" fillId="22" borderId="0" xfId="0" applyFill="1"/>
    <xf numFmtId="0" fontId="22" fillId="9" borderId="9" xfId="0" applyFont="1" applyFill="1" applyBorder="1" applyAlignment="1">
      <alignment vertical="center" wrapText="1"/>
    </xf>
    <xf numFmtId="0" fontId="37" fillId="9" borderId="9" xfId="0" applyFont="1" applyFill="1" applyBorder="1" applyAlignment="1">
      <alignment vertical="center" wrapText="1"/>
    </xf>
    <xf numFmtId="0" fontId="22" fillId="9" borderId="9" xfId="0" applyFont="1" applyFill="1" applyBorder="1" applyAlignment="1">
      <alignment horizontal="center" vertical="center" wrapText="1"/>
    </xf>
    <xf numFmtId="3" fontId="22" fillId="9" borderId="9" xfId="0" applyNumberFormat="1" applyFont="1" applyFill="1" applyBorder="1" applyAlignment="1">
      <alignment vertical="center" wrapText="1"/>
    </xf>
    <xf numFmtId="0" fontId="22" fillId="10" borderId="8" xfId="0" applyFont="1" applyFill="1" applyBorder="1" applyAlignment="1">
      <alignment horizontal="center" vertical="center" wrapText="1"/>
    </xf>
    <xf numFmtId="165" fontId="29" fillId="0" borderId="1" xfId="1" applyNumberFormat="1" applyFont="1" applyBorder="1" applyAlignment="1">
      <alignment vertical="center"/>
    </xf>
    <xf numFmtId="165" fontId="41" fillId="0" borderId="1" xfId="1" applyNumberFormat="1" applyFont="1" applyBorder="1" applyAlignment="1">
      <alignment vertical="center"/>
    </xf>
    <xf numFmtId="165" fontId="42" fillId="0" borderId="5" xfId="1" applyNumberFormat="1" applyFont="1" applyBorder="1" applyAlignment="1">
      <alignment vertical="center"/>
    </xf>
    <xf numFmtId="165" fontId="31" fillId="0" borderId="5" xfId="1" applyNumberFormat="1" applyFont="1" applyBorder="1" applyAlignment="1">
      <alignment vertical="center"/>
    </xf>
    <xf numFmtId="0" fontId="75" fillId="9" borderId="0" xfId="0" applyFont="1" applyFill="1" applyAlignment="1">
      <alignment vertical="center"/>
    </xf>
    <xf numFmtId="0" fontId="50" fillId="0" borderId="0" xfId="623" applyFont="1" applyAlignment="1">
      <alignment vertical="center"/>
    </xf>
    <xf numFmtId="0" fontId="66" fillId="25" borderId="0" xfId="623" applyFont="1" applyFill="1" applyAlignment="1">
      <alignment horizontal="center" vertical="center"/>
    </xf>
    <xf numFmtId="0" fontId="49" fillId="0" borderId="0" xfId="623" applyFont="1" applyAlignment="1">
      <alignment horizontal="center" vertical="center"/>
    </xf>
    <xf numFmtId="0" fontId="66" fillId="0" borderId="0" xfId="623" applyFont="1" applyAlignment="1">
      <alignment horizontal="center" vertical="center"/>
    </xf>
    <xf numFmtId="0" fontId="49" fillId="25" borderId="0" xfId="623" applyFont="1" applyFill="1" applyAlignment="1">
      <alignment vertical="center"/>
    </xf>
    <xf numFmtId="0" fontId="66" fillId="25" borderId="0" xfId="623" applyFont="1" applyFill="1" applyAlignment="1">
      <alignment vertical="center"/>
    </xf>
    <xf numFmtId="0" fontId="49" fillId="0" borderId="0" xfId="623" applyFont="1" applyAlignment="1">
      <alignment vertical="center"/>
    </xf>
    <xf numFmtId="0" fontId="66" fillId="0" borderId="0" xfId="623" applyFont="1" applyAlignment="1">
      <alignment vertical="center"/>
    </xf>
    <xf numFmtId="0" fontId="60" fillId="25" borderId="0" xfId="623" applyFont="1" applyFill="1" applyAlignment="1">
      <alignment horizontal="center" vertical="center"/>
    </xf>
    <xf numFmtId="0" fontId="18" fillId="0" borderId="0" xfId="629" applyFont="1"/>
    <xf numFmtId="0" fontId="83" fillId="0" borderId="0" xfId="0" applyFont="1"/>
    <xf numFmtId="167" fontId="0" fillId="0" borderId="0" xfId="0" applyNumberFormat="1"/>
    <xf numFmtId="168" fontId="23" fillId="36" borderId="5" xfId="0" applyNumberFormat="1" applyFont="1" applyFill="1" applyBorder="1" applyAlignment="1">
      <alignment vertical="center"/>
    </xf>
    <xf numFmtId="0" fontId="83" fillId="22" borderId="0" xfId="0" applyFont="1" applyFill="1"/>
    <xf numFmtId="169" fontId="7" fillId="0" borderId="0" xfId="1" applyNumberFormat="1" applyAlignment="1">
      <alignment horizontal="right"/>
    </xf>
    <xf numFmtId="0" fontId="83" fillId="0" borderId="0" xfId="0" applyFont="1" applyAlignment="1">
      <alignment horizontal="center" vertical="center"/>
    </xf>
    <xf numFmtId="170" fontId="50" fillId="0" borderId="0" xfId="628" applyNumberFormat="1" applyFont="1" applyAlignment="1">
      <alignment vertical="center"/>
    </xf>
    <xf numFmtId="0" fontId="21" fillId="4" borderId="22" xfId="9" applyFont="1" applyBorder="1" applyAlignment="1">
      <alignment horizontal="center" vertical="center"/>
    </xf>
    <xf numFmtId="0" fontId="21" fillId="4" borderId="22" xfId="9" applyFont="1" applyBorder="1" applyAlignment="1">
      <alignment horizontal="center"/>
    </xf>
    <xf numFmtId="0" fontId="21" fillId="4" borderId="23" xfId="9" applyFont="1" applyBorder="1" applyAlignment="1">
      <alignment horizontal="center" wrapText="1"/>
    </xf>
    <xf numFmtId="0" fontId="21" fillId="4" borderId="22" xfId="9" applyFont="1" applyBorder="1" applyAlignment="1">
      <alignment horizontal="center" vertical="center" wrapText="1"/>
    </xf>
    <xf numFmtId="0" fontId="19" fillId="9" borderId="0" xfId="629" applyFont="1" applyFill="1" applyAlignment="1">
      <alignment vertical="center"/>
    </xf>
    <xf numFmtId="0" fontId="18" fillId="9" borderId="0" xfId="629" applyFont="1" applyFill="1" applyAlignment="1">
      <alignment vertical="center"/>
    </xf>
    <xf numFmtId="0" fontId="29" fillId="9" borderId="0" xfId="629" applyFont="1" applyFill="1" applyAlignment="1">
      <alignment horizontal="center" vertical="center"/>
    </xf>
    <xf numFmtId="14" fontId="18" fillId="9" borderId="0" xfId="629" applyNumberFormat="1" applyFont="1" applyFill="1" applyAlignment="1">
      <alignment horizontal="center" vertical="center"/>
    </xf>
    <xf numFmtId="0" fontId="8" fillId="9" borderId="2" xfId="629" applyFont="1" applyFill="1" applyBorder="1"/>
    <xf numFmtId="0" fontId="18" fillId="9" borderId="0" xfId="629" applyFont="1" applyFill="1"/>
    <xf numFmtId="0" fontId="29" fillId="9" borderId="0" xfId="629" applyFont="1" applyFill="1" applyAlignment="1">
      <alignment horizontal="center"/>
    </xf>
    <xf numFmtId="14" fontId="18" fillId="9" borderId="0" xfId="629" applyNumberFormat="1" applyFont="1" applyFill="1" applyAlignment="1">
      <alignment horizontal="center"/>
    </xf>
    <xf numFmtId="0" fontId="24" fillId="9" borderId="0" xfId="629" applyFont="1" applyFill="1" applyAlignment="1">
      <alignment vertical="center"/>
    </xf>
    <xf numFmtId="0" fontId="24" fillId="9" borderId="0" xfId="629" applyFont="1" applyFill="1"/>
    <xf numFmtId="165" fontId="25" fillId="9" borderId="0" xfId="661" applyNumberFormat="1" applyFont="1" applyFill="1" applyAlignment="1">
      <alignment vertical="center"/>
    </xf>
    <xf numFmtId="165" fontId="30" fillId="9" borderId="0" xfId="661" applyNumberFormat="1" applyFont="1" applyFill="1" applyAlignment="1">
      <alignment horizontal="center"/>
    </xf>
    <xf numFmtId="14" fontId="25" fillId="9" borderId="0" xfId="629" applyNumberFormat="1" applyFont="1" applyFill="1" applyAlignment="1">
      <alignment horizontal="center" vertical="center"/>
    </xf>
    <xf numFmtId="0" fontId="25" fillId="9" borderId="0" xfId="629" applyFont="1" applyFill="1" applyAlignment="1">
      <alignment vertical="center"/>
    </xf>
    <xf numFmtId="0" fontId="8" fillId="9" borderId="0" xfId="629" applyFont="1" applyFill="1"/>
    <xf numFmtId="171" fontId="26" fillId="9" borderId="0" xfId="629" applyNumberFormat="1" applyFont="1" applyFill="1"/>
    <xf numFmtId="171" fontId="80" fillId="9" borderId="0" xfId="629" applyNumberFormat="1" applyFont="1" applyFill="1" applyAlignment="1">
      <alignment horizontal="center"/>
    </xf>
    <xf numFmtId="0" fontId="26" fillId="9" borderId="0" xfId="629" applyFont="1" applyFill="1"/>
    <xf numFmtId="0" fontId="8" fillId="9" borderId="13" xfId="662" applyFill="1" applyBorder="1" applyAlignment="1">
      <alignment horizontal="center"/>
    </xf>
    <xf numFmtId="0" fontId="8" fillId="9" borderId="0" xfId="629" applyFont="1" applyFill="1" applyAlignment="1">
      <alignment horizontal="center"/>
    </xf>
    <xf numFmtId="171" fontId="30" fillId="9" borderId="24" xfId="629" applyNumberFormat="1" applyFont="1" applyFill="1" applyBorder="1" applyAlignment="1">
      <alignment horizontal="center"/>
    </xf>
    <xf numFmtId="14" fontId="8" fillId="9" borderId="0" xfId="629" applyNumberFormat="1" applyFont="1" applyFill="1" applyAlignment="1">
      <alignment horizontal="center"/>
    </xf>
    <xf numFmtId="14" fontId="20" fillId="9" borderId="13" xfId="662" applyNumberFormat="1" applyFont="1" applyFill="1" applyBorder="1" applyAlignment="1">
      <alignment horizontal="center"/>
    </xf>
    <xf numFmtId="0" fontId="20" fillId="9" borderId="13" xfId="662" applyFont="1" applyFill="1" applyBorder="1" applyAlignment="1">
      <alignment horizontal="center"/>
    </xf>
    <xf numFmtId="0" fontId="21" fillId="4" borderId="18" xfId="9" applyFont="1" applyBorder="1" applyAlignment="1">
      <alignment horizontal="center" vertical="center"/>
    </xf>
    <xf numFmtId="14" fontId="56" fillId="9" borderId="25" xfId="629" applyNumberFormat="1" applyFont="1" applyFill="1" applyBorder="1" applyAlignment="1">
      <alignment horizontal="center" vertical="center"/>
    </xf>
    <xf numFmtId="0" fontId="62" fillId="37" borderId="18" xfId="629" applyFont="1" applyFill="1" applyBorder="1" applyAlignment="1">
      <alignment horizontal="center" vertical="center" wrapText="1"/>
    </xf>
    <xf numFmtId="0" fontId="18" fillId="33" borderId="0" xfId="629" applyFont="1" applyFill="1" applyAlignment="1">
      <alignment vertical="center"/>
    </xf>
    <xf numFmtId="0" fontId="22" fillId="38" borderId="18" xfId="629" applyFont="1" applyFill="1" applyBorder="1" applyAlignment="1">
      <alignment horizontal="center" vertical="center"/>
    </xf>
    <xf numFmtId="165" fontId="32" fillId="38" borderId="17" xfId="661" applyNumberFormat="1" applyFont="1" applyFill="1" applyBorder="1" applyAlignment="1">
      <alignment horizontal="center" vertical="center"/>
    </xf>
    <xf numFmtId="165" fontId="32" fillId="38" borderId="18" xfId="661" applyNumberFormat="1" applyFont="1" applyFill="1" applyBorder="1" applyAlignment="1">
      <alignment vertical="center"/>
    </xf>
    <xf numFmtId="0" fontId="18" fillId="0" borderId="0" xfId="629" applyFont="1" applyAlignment="1">
      <alignment horizontal="center"/>
    </xf>
    <xf numFmtId="14" fontId="18" fillId="0" borderId="0" xfId="629" applyNumberFormat="1" applyFont="1" applyAlignment="1">
      <alignment horizontal="center"/>
    </xf>
    <xf numFmtId="0" fontId="29" fillId="0" borderId="0" xfId="629" applyFont="1" applyAlignment="1">
      <alignment horizontal="center"/>
    </xf>
    <xf numFmtId="0" fontId="95" fillId="45" borderId="26" xfId="0" applyFont="1" applyFill="1" applyBorder="1" applyAlignment="1">
      <alignment horizontal="center" vertical="center"/>
    </xf>
    <xf numFmtId="0" fontId="50" fillId="0" borderId="27" xfId="623" applyFont="1" applyBorder="1" applyAlignment="1">
      <alignment horizontal="center" vertical="center"/>
    </xf>
    <xf numFmtId="0" fontId="50" fillId="0" borderId="27" xfId="627" applyFont="1" applyBorder="1" applyAlignment="1">
      <alignment vertical="center"/>
    </xf>
    <xf numFmtId="0" fontId="65" fillId="30" borderId="27" xfId="129" applyFont="1" applyFill="1" applyBorder="1" applyAlignment="1">
      <alignment horizontal="center" vertical="center"/>
    </xf>
    <xf numFmtId="14" fontId="30" fillId="33" borderId="18" xfId="629" applyNumberFormat="1" applyFont="1" applyFill="1" applyBorder="1" applyAlignment="1">
      <alignment vertical="center"/>
    </xf>
    <xf numFmtId="165" fontId="18" fillId="33" borderId="0" xfId="629" applyNumberFormat="1" applyFont="1" applyFill="1" applyAlignment="1">
      <alignment vertical="center"/>
    </xf>
    <xf numFmtId="0" fontId="50" fillId="22" borderId="27" xfId="36" applyFont="1" applyFill="1" applyBorder="1" applyAlignment="1">
      <alignment horizontal="center" vertical="center"/>
    </xf>
    <xf numFmtId="170" fontId="50" fillId="0" borderId="27" xfId="628" applyNumberFormat="1" applyFont="1" applyBorder="1" applyAlignment="1">
      <alignment vertical="center"/>
    </xf>
    <xf numFmtId="1" fontId="7" fillId="22" borderId="18" xfId="1" applyNumberFormat="1" applyFill="1" applyBorder="1" applyAlignment="1">
      <alignment horizontal="center"/>
    </xf>
    <xf numFmtId="165" fontId="32" fillId="33" borderId="0" xfId="661" applyNumberFormat="1" applyFont="1" applyFill="1" applyAlignment="1">
      <alignment vertical="center"/>
    </xf>
    <xf numFmtId="0" fontId="64" fillId="25" borderId="27" xfId="623" applyFont="1" applyFill="1" applyBorder="1" applyAlignment="1">
      <alignment horizontal="center" vertical="center" wrapText="1"/>
    </xf>
    <xf numFmtId="172" fontId="49" fillId="29" borderId="27" xfId="623" applyNumberFormat="1" applyFont="1" applyFill="1" applyBorder="1" applyAlignment="1">
      <alignment horizontal="center" vertical="center"/>
    </xf>
    <xf numFmtId="0" fontId="64" fillId="25" borderId="11" xfId="623" applyFont="1" applyFill="1" applyBorder="1" applyAlignment="1">
      <alignment horizontal="center" vertical="center" wrapText="1"/>
    </xf>
    <xf numFmtId="0" fontId="55" fillId="0" borderId="27" xfId="623" applyFont="1" applyBorder="1" applyAlignment="1">
      <alignment horizontal="center" vertical="center"/>
    </xf>
    <xf numFmtId="0" fontId="64" fillId="27" borderId="27" xfId="623" applyFont="1" applyFill="1" applyBorder="1" applyAlignment="1">
      <alignment horizontal="center" vertical="center" wrapText="1"/>
    </xf>
    <xf numFmtId="0" fontId="50" fillId="0" borderId="34" xfId="623" applyFont="1" applyBorder="1" applyAlignment="1">
      <alignment horizontal="center" vertical="center"/>
    </xf>
    <xf numFmtId="170" fontId="50" fillId="27" borderId="27" xfId="628" applyNumberFormat="1" applyFont="1" applyFill="1" applyBorder="1" applyAlignment="1">
      <alignment vertical="center"/>
    </xf>
    <xf numFmtId="173" fontId="50" fillId="0" borderId="39" xfId="626" applyNumberFormat="1" applyFont="1" applyBorder="1" applyAlignment="1">
      <alignment horizontal="center" vertical="center"/>
    </xf>
    <xf numFmtId="0" fontId="65" fillId="22" borderId="35" xfId="129" applyFont="1" applyFill="1" applyBorder="1" applyAlignment="1">
      <alignment horizontal="center" vertical="center"/>
    </xf>
    <xf numFmtId="0" fontId="64" fillId="25" borderId="14" xfId="36" applyFont="1" applyFill="1" applyBorder="1" applyAlignment="1">
      <alignment horizontal="center" vertical="center" wrapText="1"/>
    </xf>
    <xf numFmtId="0" fontId="65" fillId="22" borderId="27" xfId="129" applyFont="1" applyFill="1" applyBorder="1" applyAlignment="1">
      <alignment horizontal="center" vertical="center"/>
    </xf>
    <xf numFmtId="0" fontId="0" fillId="0" borderId="27" xfId="0" applyBorder="1"/>
    <xf numFmtId="172" fontId="82" fillId="29" borderId="16" xfId="619" applyNumberFormat="1" applyFont="1" applyFill="1" applyBorder="1" applyAlignment="1">
      <alignment horizontal="center" vertical="center"/>
    </xf>
    <xf numFmtId="165" fontId="77" fillId="9" borderId="0" xfId="629" applyNumberFormat="1" applyFont="1" applyFill="1"/>
    <xf numFmtId="165" fontId="77" fillId="33" borderId="0" xfId="629" applyNumberFormat="1" applyFont="1" applyFill="1"/>
    <xf numFmtId="0" fontId="30" fillId="33" borderId="18" xfId="629" applyFont="1" applyFill="1" applyBorder="1" applyAlignment="1">
      <alignment vertical="center"/>
    </xf>
    <xf numFmtId="169" fontId="106" fillId="0" borderId="27" xfId="1" applyNumberFormat="1" applyFont="1" applyBorder="1" applyAlignment="1">
      <alignment horizontal="right" shrinkToFit="1"/>
    </xf>
    <xf numFmtId="0" fontId="0" fillId="0" borderId="41" xfId="0" applyBorder="1"/>
    <xf numFmtId="0" fontId="29" fillId="33" borderId="41" xfId="629" applyFont="1" applyFill="1" applyBorder="1" applyAlignment="1">
      <alignment horizontal="center" vertical="center"/>
    </xf>
    <xf numFmtId="0" fontId="54" fillId="33" borderId="41" xfId="629" applyFont="1" applyFill="1" applyBorder="1" applyAlignment="1">
      <alignment vertical="center"/>
    </xf>
    <xf numFmtId="14" fontId="30" fillId="33" borderId="41" xfId="629" applyNumberFormat="1" applyFont="1" applyFill="1" applyBorder="1" applyAlignment="1">
      <alignment vertical="center"/>
    </xf>
    <xf numFmtId="175" fontId="59" fillId="22" borderId="35" xfId="627" applyNumberFormat="1" applyFont="1" applyFill="1" applyBorder="1" applyAlignment="1">
      <alignment vertical="center" wrapText="1"/>
    </xf>
    <xf numFmtId="0" fontId="110" fillId="9" borderId="0" xfId="629" applyFont="1" applyFill="1" applyAlignment="1">
      <alignment vertical="center"/>
    </xf>
    <xf numFmtId="165" fontId="111" fillId="9" borderId="0" xfId="629" applyNumberFormat="1" applyFont="1" applyFill="1"/>
    <xf numFmtId="0" fontId="110" fillId="9" borderId="0" xfId="629" applyFont="1" applyFill="1"/>
    <xf numFmtId="0" fontId="30" fillId="33" borderId="41" xfId="629" applyFont="1" applyFill="1" applyBorder="1" applyAlignment="1">
      <alignment vertical="center"/>
    </xf>
    <xf numFmtId="0" fontId="73" fillId="0" borderId="41" xfId="581" applyFont="1" applyBorder="1" applyAlignment="1">
      <alignment horizontal="center"/>
    </xf>
    <xf numFmtId="165" fontId="30" fillId="22" borderId="18" xfId="629" applyNumberFormat="1" applyFont="1" applyFill="1" applyBorder="1" applyAlignment="1">
      <alignment vertical="center"/>
    </xf>
    <xf numFmtId="165" fontId="30" fillId="22" borderId="41" xfId="629" applyNumberFormat="1" applyFont="1" applyFill="1" applyBorder="1" applyAlignment="1">
      <alignment vertical="center"/>
    </xf>
    <xf numFmtId="176" fontId="100" fillId="0" borderId="0" xfId="0" applyNumberFormat="1" applyFont="1" applyAlignment="1">
      <alignment horizontal="left" wrapText="1"/>
    </xf>
    <xf numFmtId="0" fontId="5" fillId="0" borderId="0" xfId="709" applyFont="1"/>
    <xf numFmtId="0" fontId="50" fillId="22" borderId="0" xfId="710" applyFont="1" applyFill="1" applyAlignment="1">
      <alignment horizontal="left" vertical="center"/>
    </xf>
    <xf numFmtId="173" fontId="91" fillId="0" borderId="41" xfId="709" applyNumberFormat="1" applyFont="1" applyBorder="1" applyAlignment="1">
      <alignment horizontal="center" vertical="center"/>
    </xf>
    <xf numFmtId="177" fontId="73" fillId="0" borderId="41" xfId="711" applyNumberFormat="1" applyFont="1" applyBorder="1" applyAlignment="1">
      <alignment horizontal="center"/>
    </xf>
    <xf numFmtId="0" fontId="73" fillId="51" borderId="41" xfId="711" applyFont="1" applyFill="1" applyBorder="1" applyAlignment="1">
      <alignment horizontal="center"/>
    </xf>
    <xf numFmtId="0" fontId="73" fillId="0" borderId="41" xfId="711" applyFont="1" applyBorder="1" applyAlignment="1">
      <alignment horizontal="center"/>
    </xf>
    <xf numFmtId="0" fontId="73" fillId="22" borderId="41" xfId="711" applyFont="1" applyFill="1" applyBorder="1" applyAlignment="1">
      <alignment horizontal="left"/>
    </xf>
    <xf numFmtId="178" fontId="100" fillId="0" borderId="0" xfId="0" applyNumberFormat="1" applyFont="1" applyAlignment="1">
      <alignment horizontal="left" wrapText="1"/>
    </xf>
    <xf numFmtId="176" fontId="100" fillId="0" borderId="0" xfId="0" quotePrefix="1" applyNumberFormat="1" applyFont="1" applyAlignment="1">
      <alignment horizontal="left" wrapText="1"/>
    </xf>
    <xf numFmtId="0" fontId="30" fillId="33" borderId="0" xfId="0" applyFont="1" applyFill="1" applyAlignment="1">
      <alignment horizontal="center" wrapText="1"/>
    </xf>
    <xf numFmtId="0" fontId="97" fillId="9" borderId="0" xfId="629" applyFont="1" applyFill="1" applyAlignment="1">
      <alignment horizontal="center"/>
    </xf>
    <xf numFmtId="4" fontId="115" fillId="38" borderId="0" xfId="0" applyNumberFormat="1" applyFont="1" applyFill="1" applyAlignment="1">
      <alignment vertical="center"/>
    </xf>
    <xf numFmtId="3" fontId="115" fillId="9" borderId="0" xfId="0" applyNumberFormat="1" applyFont="1" applyFill="1" applyAlignment="1">
      <alignment vertical="center"/>
    </xf>
    <xf numFmtId="165" fontId="50" fillId="0" borderId="41" xfId="1" applyNumberFormat="1" applyFont="1" applyBorder="1" applyAlignment="1">
      <alignment horizontal="center"/>
    </xf>
    <xf numFmtId="167" fontId="50" fillId="0" borderId="41" xfId="1" applyNumberFormat="1" applyFont="1" applyBorder="1" applyAlignment="1">
      <alignment horizontal="center"/>
    </xf>
    <xf numFmtId="0" fontId="95" fillId="45" borderId="43" xfId="0" applyFont="1" applyFill="1" applyBorder="1" applyAlignment="1">
      <alignment horizontal="center" vertical="center"/>
    </xf>
    <xf numFmtId="0" fontId="55" fillId="25" borderId="14" xfId="36" applyFont="1" applyFill="1" applyBorder="1" applyAlignment="1">
      <alignment vertical="center" wrapText="1"/>
    </xf>
    <xf numFmtId="0" fontId="64" fillId="25" borderId="14" xfId="0" applyFont="1" applyFill="1" applyBorder="1" applyAlignment="1">
      <alignment vertical="center" wrapText="1"/>
    </xf>
    <xf numFmtId="0" fontId="73" fillId="55" borderId="0" xfId="711" applyFont="1" applyFill="1" applyAlignment="1">
      <alignment horizontal="left"/>
    </xf>
    <xf numFmtId="0" fontId="73" fillId="55" borderId="41" xfId="711" applyFont="1" applyFill="1" applyBorder="1" applyAlignment="1">
      <alignment horizontal="center"/>
    </xf>
    <xf numFmtId="0" fontId="73" fillId="55" borderId="41" xfId="711" applyFont="1" applyFill="1" applyBorder="1" applyAlignment="1">
      <alignment horizontal="left" wrapText="1"/>
    </xf>
    <xf numFmtId="0" fontId="68" fillId="0" borderId="15" xfId="711" applyFont="1" applyBorder="1"/>
    <xf numFmtId="0" fontId="68" fillId="0" borderId="7" xfId="711" applyFont="1" applyBorder="1" applyAlignment="1">
      <alignment wrapText="1"/>
    </xf>
    <xf numFmtId="0" fontId="102" fillId="0" borderId="0" xfId="0" applyFont="1" applyAlignment="1" applyProtection="1">
      <alignment horizontal="center" vertical="center"/>
      <protection locked="0"/>
    </xf>
    <xf numFmtId="4" fontId="23" fillId="36" borderId="5" xfId="0" applyNumberFormat="1" applyFont="1" applyFill="1" applyBorder="1" applyAlignment="1">
      <alignment vertical="center"/>
    </xf>
    <xf numFmtId="167" fontId="50" fillId="0" borderId="0" xfId="1440" applyNumberFormat="1" applyFont="1" applyAlignment="1">
      <alignment horizontal="left"/>
    </xf>
    <xf numFmtId="179" fontId="50" fillId="0" borderId="0" xfId="1441" applyNumberFormat="1" applyFont="1" applyAlignment="1">
      <alignment horizontal="center"/>
    </xf>
    <xf numFmtId="172" fontId="82" fillId="47" borderId="16" xfId="619" applyNumberFormat="1" applyFont="1" applyFill="1" applyBorder="1" applyAlignment="1">
      <alignment horizontal="center" vertical="center"/>
    </xf>
    <xf numFmtId="0" fontId="79" fillId="22" borderId="46" xfId="0" applyFont="1" applyFill="1" applyBorder="1"/>
    <xf numFmtId="173" fontId="95" fillId="45" borderId="26" xfId="0" applyNumberFormat="1" applyFont="1" applyFill="1" applyBorder="1" applyAlignment="1">
      <alignment horizontal="center" vertical="center"/>
    </xf>
    <xf numFmtId="0" fontId="64" fillId="25" borderId="14" xfId="36" applyFont="1" applyFill="1" applyBorder="1" applyAlignment="1">
      <alignment vertical="center" wrapText="1"/>
    </xf>
    <xf numFmtId="0" fontId="64" fillId="0" borderId="14" xfId="36" applyFont="1" applyBorder="1" applyAlignment="1">
      <alignment vertical="center" wrapText="1"/>
    </xf>
    <xf numFmtId="0" fontId="30" fillId="33" borderId="46" xfId="0" applyFont="1" applyFill="1" applyBorder="1" applyAlignment="1">
      <alignment horizontal="center" wrapText="1"/>
    </xf>
    <xf numFmtId="166" fontId="55" fillId="22" borderId="46" xfId="627" applyNumberFormat="1" applyFont="1" applyFill="1" applyBorder="1" applyAlignment="1">
      <alignment horizontal="left" vertical="center" wrapText="1"/>
    </xf>
    <xf numFmtId="0" fontId="0" fillId="22" borderId="46" xfId="0" applyFill="1" applyBorder="1"/>
    <xf numFmtId="0" fontId="50" fillId="0" borderId="46" xfId="623" applyFont="1" applyBorder="1" applyAlignment="1">
      <alignment horizontal="center" vertical="center"/>
    </xf>
    <xf numFmtId="0" fontId="65" fillId="22" borderId="46" xfId="129" applyFont="1" applyFill="1" applyBorder="1" applyAlignment="1">
      <alignment horizontal="center" vertical="center"/>
    </xf>
    <xf numFmtId="0" fontId="0" fillId="0" borderId="46" xfId="0" applyBorder="1"/>
    <xf numFmtId="0" fontId="73" fillId="55" borderId="41" xfId="711" applyFont="1" applyFill="1" applyBorder="1" applyAlignment="1">
      <alignment horizontal="center" vertical="center" wrapText="1"/>
    </xf>
    <xf numFmtId="165" fontId="106" fillId="0" borderId="27" xfId="1" applyNumberFormat="1" applyFont="1" applyBorder="1" applyAlignment="1">
      <alignment horizontal="right" shrinkToFit="1"/>
    </xf>
    <xf numFmtId="170" fontId="61" fillId="0" borderId="35" xfId="628" applyNumberFormat="1" applyFont="1" applyBorder="1" applyAlignment="1">
      <alignment vertical="center"/>
    </xf>
    <xf numFmtId="17" fontId="64" fillId="28" borderId="37" xfId="623" applyNumberFormat="1" applyFont="1" applyFill="1" applyBorder="1" applyAlignment="1">
      <alignment vertical="center"/>
    </xf>
    <xf numFmtId="17" fontId="64" fillId="28" borderId="32" xfId="623" applyNumberFormat="1" applyFont="1" applyFill="1" applyBorder="1" applyAlignment="1">
      <alignment vertical="center"/>
    </xf>
    <xf numFmtId="173" fontId="7" fillId="22" borderId="18" xfId="1" applyNumberFormat="1" applyFill="1" applyBorder="1" applyAlignment="1">
      <alignment horizontal="center"/>
    </xf>
    <xf numFmtId="165" fontId="7" fillId="22" borderId="47" xfId="1" applyNumberFormat="1" applyFill="1" applyBorder="1"/>
    <xf numFmtId="0" fontId="50" fillId="0" borderId="48" xfId="623" applyFont="1" applyBorder="1" applyAlignment="1">
      <alignment horizontal="center" vertical="center"/>
    </xf>
    <xf numFmtId="0" fontId="50" fillId="0" borderId="47" xfId="623" applyFont="1" applyBorder="1" applyAlignment="1">
      <alignment horizontal="center" vertical="center"/>
    </xf>
    <xf numFmtId="0" fontId="65" fillId="22" borderId="47" xfId="129" applyFont="1" applyFill="1" applyBorder="1" applyAlignment="1">
      <alignment horizontal="center" vertical="center"/>
    </xf>
    <xf numFmtId="0" fontId="0" fillId="0" borderId="47" xfId="0" applyBorder="1"/>
    <xf numFmtId="0" fontId="73" fillId="51" borderId="14" xfId="711" applyFont="1" applyFill="1" applyBorder="1" applyAlignment="1">
      <alignment horizontal="left"/>
    </xf>
    <xf numFmtId="0" fontId="73" fillId="0" borderId="7" xfId="711" applyFont="1" applyBorder="1" applyAlignment="1">
      <alignment horizontal="center"/>
    </xf>
    <xf numFmtId="0" fontId="73" fillId="51" borderId="42" xfId="711" applyFont="1" applyFill="1" applyBorder="1" applyAlignment="1">
      <alignment horizontal="center"/>
    </xf>
    <xf numFmtId="0" fontId="73" fillId="51" borderId="42" xfId="711" applyFont="1" applyFill="1" applyBorder="1" applyAlignment="1">
      <alignment horizontal="left"/>
    </xf>
    <xf numFmtId="165" fontId="50" fillId="51" borderId="14" xfId="1" applyNumberFormat="1" applyFont="1" applyFill="1" applyBorder="1" applyAlignment="1">
      <alignment horizontal="center"/>
    </xf>
    <xf numFmtId="0" fontId="73" fillId="51" borderId="14" xfId="581" applyFont="1" applyFill="1" applyBorder="1" applyAlignment="1">
      <alignment horizontal="center"/>
    </xf>
    <xf numFmtId="43" fontId="50" fillId="51" borderId="14" xfId="1" applyNumberFormat="1" applyFont="1" applyFill="1" applyBorder="1" applyAlignment="1">
      <alignment horizontal="center"/>
    </xf>
    <xf numFmtId="0" fontId="73" fillId="51" borderId="29" xfId="711" applyFont="1" applyFill="1" applyBorder="1"/>
    <xf numFmtId="0" fontId="73" fillId="51" borderId="28" xfId="711" applyFont="1" applyFill="1" applyBorder="1"/>
    <xf numFmtId="180" fontId="68" fillId="51" borderId="41" xfId="711" applyNumberFormat="1" applyFont="1" applyFill="1" applyBorder="1" applyAlignment="1">
      <alignment horizontal="center"/>
    </xf>
    <xf numFmtId="0" fontId="73" fillId="51" borderId="30" xfId="711" applyFont="1" applyFill="1" applyBorder="1"/>
    <xf numFmtId="181" fontId="68" fillId="51" borderId="41" xfId="711" applyNumberFormat="1" applyFont="1" applyFill="1" applyBorder="1" applyAlignment="1">
      <alignment horizontal="center"/>
    </xf>
    <xf numFmtId="165" fontId="50" fillId="0" borderId="41" xfId="1" applyNumberFormat="1" applyFont="1" applyBorder="1" applyAlignment="1">
      <alignment horizontal="left"/>
    </xf>
    <xf numFmtId="0" fontId="68" fillId="0" borderId="7" xfId="711" applyFont="1" applyBorder="1" applyAlignment="1">
      <alignment horizontal="left"/>
    </xf>
    <xf numFmtId="0" fontId="70" fillId="22" borderId="47" xfId="0" applyFont="1" applyFill="1" applyBorder="1" applyAlignment="1">
      <alignment horizontal="center" vertical="center"/>
    </xf>
    <xf numFmtId="165" fontId="7" fillId="9" borderId="0" xfId="1" applyNumberFormat="1" applyFill="1" applyAlignment="1">
      <alignment vertical="center"/>
    </xf>
    <xf numFmtId="0" fontId="64" fillId="25" borderId="14" xfId="0" applyFont="1" applyFill="1" applyBorder="1" applyAlignment="1">
      <alignment vertical="center" shrinkToFit="1"/>
    </xf>
    <xf numFmtId="0" fontId="0" fillId="0" borderId="27" xfId="0" applyBorder="1" applyAlignment="1">
      <alignment shrinkToFit="1"/>
    </xf>
    <xf numFmtId="49" fontId="100" fillId="0" borderId="19" xfId="0" applyNumberFormat="1" applyFont="1" applyBorder="1" applyAlignment="1">
      <alignment shrinkToFit="1"/>
    </xf>
    <xf numFmtId="0" fontId="0" fillId="0" borderId="0" xfId="0" applyAlignment="1">
      <alignment shrinkToFit="1"/>
    </xf>
    <xf numFmtId="165" fontId="103" fillId="9" borderId="0" xfId="1" applyNumberFormat="1" applyFont="1" applyFill="1" applyAlignment="1">
      <alignment vertical="center"/>
    </xf>
    <xf numFmtId="172" fontId="49" fillId="40" borderId="27" xfId="623" applyNumberFormat="1" applyFont="1" applyFill="1" applyBorder="1" applyAlignment="1">
      <alignment horizontal="center" vertical="center"/>
    </xf>
    <xf numFmtId="167" fontId="50" fillId="0" borderId="46" xfId="1" applyNumberFormat="1" applyFont="1" applyBorder="1" applyAlignment="1">
      <alignment horizontal="center"/>
    </xf>
    <xf numFmtId="173" fontId="73" fillId="0" borderId="41" xfId="581" applyNumberFormat="1" applyFont="1" applyBorder="1" applyAlignment="1">
      <alignment horizontal="center"/>
    </xf>
    <xf numFmtId="173" fontId="73" fillId="0" borderId="46" xfId="581" applyNumberFormat="1" applyFont="1" applyBorder="1" applyAlignment="1">
      <alignment horizontal="center"/>
    </xf>
    <xf numFmtId="3" fontId="23" fillId="36" borderId="5" xfId="0" applyNumberFormat="1" applyFont="1" applyFill="1" applyBorder="1" applyAlignment="1">
      <alignment vertical="center"/>
    </xf>
    <xf numFmtId="0" fontId="104" fillId="48" borderId="50" xfId="0" applyFont="1" applyFill="1" applyBorder="1" applyAlignment="1">
      <alignment horizontal="center" vertical="center"/>
    </xf>
    <xf numFmtId="0" fontId="104" fillId="52" borderId="50" xfId="0" applyFont="1" applyFill="1" applyBorder="1" applyAlignment="1">
      <alignment horizontal="center" vertical="center"/>
    </xf>
    <xf numFmtId="0" fontId="104" fillId="53" borderId="50" xfId="0" applyFont="1" applyFill="1" applyBorder="1" applyAlignment="1">
      <alignment horizontal="center" vertical="center"/>
    </xf>
    <xf numFmtId="0" fontId="104" fillId="22" borderId="50" xfId="0" applyFont="1" applyFill="1" applyBorder="1" applyAlignment="1">
      <alignment horizontal="center" vertical="center"/>
    </xf>
    <xf numFmtId="177" fontId="73" fillId="0" borderId="41" xfId="711" applyNumberFormat="1" applyFont="1" applyBorder="1" applyAlignment="1">
      <alignment horizontal="center" vertical="center"/>
    </xf>
    <xf numFmtId="14" fontId="49" fillId="22" borderId="27" xfId="623" applyNumberFormat="1" applyFont="1" applyFill="1" applyBorder="1" applyAlignment="1">
      <alignment vertical="center"/>
    </xf>
    <xf numFmtId="14" fontId="49" fillId="22" borderId="47" xfId="623" applyNumberFormat="1" applyFont="1" applyFill="1" applyBorder="1" applyAlignment="1">
      <alignment vertical="center"/>
    </xf>
    <xf numFmtId="14" fontId="49" fillId="22" borderId="46" xfId="623" applyNumberFormat="1" applyFont="1" applyFill="1" applyBorder="1" applyAlignment="1">
      <alignment vertical="center"/>
    </xf>
    <xf numFmtId="0" fontId="108" fillId="33" borderId="18" xfId="629" applyFont="1" applyFill="1" applyBorder="1" applyAlignment="1">
      <alignment horizontal="right" wrapText="1"/>
    </xf>
    <xf numFmtId="0" fontId="84" fillId="33" borderId="41" xfId="629" applyFont="1" applyFill="1" applyBorder="1" applyAlignment="1">
      <alignment horizontal="right" wrapText="1"/>
    </xf>
    <xf numFmtId="0" fontId="104" fillId="48" borderId="0" xfId="0" applyFont="1" applyFill="1" applyAlignment="1">
      <alignment horizontal="center" vertical="center"/>
    </xf>
    <xf numFmtId="0" fontId="104" fillId="52" borderId="0" xfId="0" applyFont="1" applyFill="1" applyAlignment="1">
      <alignment horizontal="center" vertical="center"/>
    </xf>
    <xf numFmtId="0" fontId="65" fillId="31" borderId="46" xfId="129" applyFont="1" applyFill="1" applyBorder="1" applyAlignment="1">
      <alignment horizontal="center" vertical="center"/>
    </xf>
    <xf numFmtId="0" fontId="65" fillId="31" borderId="27" xfId="129" applyFont="1" applyFill="1" applyBorder="1" applyAlignment="1">
      <alignment horizontal="center" vertical="center"/>
    </xf>
    <xf numFmtId="0" fontId="65" fillId="31" borderId="47" xfId="129" applyFont="1" applyFill="1" applyBorder="1" applyAlignment="1">
      <alignment horizontal="center" vertical="center"/>
    </xf>
    <xf numFmtId="0" fontId="5" fillId="0" borderId="46" xfId="709" applyFont="1" applyBorder="1"/>
    <xf numFmtId="0" fontId="4" fillId="0" borderId="46" xfId="709" applyFont="1" applyBorder="1"/>
    <xf numFmtId="165" fontId="7" fillId="0" borderId="46" xfId="1" applyNumberFormat="1" applyBorder="1"/>
    <xf numFmtId="165" fontId="7" fillId="19" borderId="46" xfId="1" applyNumberFormat="1" applyFill="1" applyBorder="1"/>
    <xf numFmtId="0" fontId="5" fillId="26" borderId="0" xfId="709" applyFont="1" applyFill="1"/>
    <xf numFmtId="0" fontId="30" fillId="0" borderId="46" xfId="0" applyFont="1" applyBorder="1" applyAlignment="1">
      <alignment horizontal="center" vertical="center" wrapText="1"/>
    </xf>
    <xf numFmtId="0" fontId="104" fillId="52" borderId="53" xfId="0" applyFont="1" applyFill="1" applyBorder="1" applyAlignment="1">
      <alignment horizontal="center" vertical="center"/>
    </xf>
    <xf numFmtId="0" fontId="104" fillId="48" borderId="53" xfId="0" applyFont="1" applyFill="1" applyBorder="1" applyAlignment="1">
      <alignment horizontal="center" vertical="center"/>
    </xf>
    <xf numFmtId="0" fontId="3" fillId="0" borderId="0" xfId="709" applyFont="1"/>
    <xf numFmtId="173" fontId="5" fillId="0" borderId="0" xfId="709" applyNumberFormat="1" applyFont="1"/>
    <xf numFmtId="0" fontId="82" fillId="0" borderId="18" xfId="619" applyFont="1" applyBorder="1" applyAlignment="1">
      <alignment horizontal="center" vertical="top"/>
    </xf>
    <xf numFmtId="0" fontId="0" fillId="22" borderId="53" xfId="0" applyFill="1" applyBorder="1"/>
    <xf numFmtId="173" fontId="73" fillId="0" borderId="53" xfId="581" applyNumberFormat="1" applyFont="1" applyBorder="1" applyAlignment="1">
      <alignment horizontal="center"/>
    </xf>
    <xf numFmtId="173" fontId="95" fillId="45" borderId="26" xfId="0" quotePrefix="1" applyNumberFormat="1" applyFont="1" applyFill="1" applyBorder="1" applyAlignment="1">
      <alignment horizontal="center" vertical="center"/>
    </xf>
    <xf numFmtId="0" fontId="2" fillId="0" borderId="0" xfId="709" applyFont="1"/>
    <xf numFmtId="173" fontId="119" fillId="24" borderId="18" xfId="1" applyNumberFormat="1" applyFont="1" applyFill="1" applyBorder="1" applyAlignment="1">
      <alignment horizontal="center"/>
    </xf>
    <xf numFmtId="0" fontId="29" fillId="22" borderId="55" xfId="0" applyFont="1" applyFill="1" applyBorder="1" applyAlignment="1">
      <alignment horizontal="center" vertical="center" wrapText="1"/>
    </xf>
    <xf numFmtId="3" fontId="23" fillId="9" borderId="12" xfId="0" applyNumberFormat="1" applyFont="1" applyFill="1" applyBorder="1" applyAlignment="1">
      <alignment vertical="center"/>
    </xf>
    <xf numFmtId="0" fontId="39" fillId="0" borderId="49" xfId="0" applyFont="1" applyBorder="1" applyAlignment="1">
      <alignment horizontal="center" vertical="center" wrapText="1"/>
    </xf>
    <xf numFmtId="0" fontId="68" fillId="51" borderId="28" xfId="711" applyFont="1" applyFill="1" applyBorder="1"/>
    <xf numFmtId="0" fontId="50" fillId="0" borderId="56" xfId="623" applyFont="1" applyBorder="1" applyAlignment="1">
      <alignment horizontal="center" vertical="center"/>
    </xf>
    <xf numFmtId="0" fontId="30" fillId="33" borderId="56" xfId="0" applyFont="1" applyFill="1" applyBorder="1" applyAlignment="1">
      <alignment horizontal="center" wrapText="1"/>
    </xf>
    <xf numFmtId="0" fontId="50" fillId="0" borderId="56" xfId="627" applyFont="1" applyBorder="1" applyAlignment="1">
      <alignment vertical="center"/>
    </xf>
    <xf numFmtId="0" fontId="65" fillId="31" borderId="56" xfId="129" applyFont="1" applyFill="1" applyBorder="1" applyAlignment="1">
      <alignment horizontal="center" vertical="center"/>
    </xf>
    <xf numFmtId="0" fontId="0" fillId="0" borderId="56" xfId="0" applyBorder="1"/>
    <xf numFmtId="0" fontId="65" fillId="22" borderId="56" xfId="129" applyFont="1" applyFill="1" applyBorder="1" applyAlignment="1">
      <alignment horizontal="center" vertical="center"/>
    </xf>
    <xf numFmtId="14" fontId="49" fillId="22" borderId="56" xfId="623" applyNumberFormat="1" applyFont="1" applyFill="1" applyBorder="1" applyAlignment="1">
      <alignment vertical="center"/>
    </xf>
    <xf numFmtId="0" fontId="46" fillId="39" borderId="10" xfId="0" applyFont="1" applyFill="1" applyBorder="1" applyAlignment="1">
      <alignment vertical="center"/>
    </xf>
    <xf numFmtId="0" fontId="113" fillId="59" borderId="0" xfId="0" applyFont="1" applyFill="1"/>
    <xf numFmtId="0" fontId="113" fillId="59" borderId="0" xfId="0" applyFont="1" applyFill="1" applyAlignment="1">
      <alignment shrinkToFit="1"/>
    </xf>
    <xf numFmtId="0" fontId="77" fillId="59" borderId="60" xfId="0" applyFont="1" applyFill="1" applyBorder="1" applyAlignment="1">
      <alignment horizontal="center"/>
    </xf>
    <xf numFmtId="0" fontId="125" fillId="59" borderId="0" xfId="0" applyFont="1" applyFill="1"/>
    <xf numFmtId="0" fontId="113" fillId="59" borderId="57" xfId="0" applyFont="1" applyFill="1" applyBorder="1" applyAlignment="1">
      <alignment horizontal="left"/>
    </xf>
    <xf numFmtId="0" fontId="113" fillId="59" borderId="59" xfId="0" applyFont="1" applyFill="1" applyBorder="1" applyAlignment="1">
      <alignment horizontal="left"/>
    </xf>
    <xf numFmtId="0" fontId="113" fillId="59" borderId="58" xfId="0" applyFont="1" applyFill="1" applyBorder="1" applyAlignment="1">
      <alignment horizontal="left"/>
    </xf>
    <xf numFmtId="0" fontId="120" fillId="22" borderId="0" xfId="666" applyFont="1" applyFill="1" applyAlignment="1">
      <alignment horizontal="center" vertical="center" wrapText="1"/>
    </xf>
    <xf numFmtId="0" fontId="120" fillId="22" borderId="0" xfId="666" applyFont="1" applyFill="1" applyAlignment="1">
      <alignment horizontal="center" vertical="center"/>
    </xf>
    <xf numFmtId="0" fontId="121" fillId="22" borderId="0" xfId="666" applyFont="1" applyFill="1" applyAlignment="1">
      <alignment horizontal="center" vertical="center" wrapText="1"/>
    </xf>
    <xf numFmtId="0" fontId="64" fillId="61" borderId="61" xfId="666" applyFont="1" applyFill="1" applyBorder="1" applyAlignment="1">
      <alignment horizontal="center" vertical="center" wrapText="1"/>
    </xf>
    <xf numFmtId="0" fontId="126" fillId="22" borderId="63" xfId="667" applyFont="1" applyFill="1" applyBorder="1" applyAlignment="1" applyProtection="1">
      <alignment vertical="center"/>
    </xf>
    <xf numFmtId="43" fontId="5" fillId="0" borderId="0" xfId="709" applyNumberFormat="1" applyFont="1"/>
    <xf numFmtId="0" fontId="69" fillId="51" borderId="28" xfId="709" applyFont="1" applyFill="1" applyBorder="1" applyAlignment="1">
      <alignment vertical="center"/>
    </xf>
    <xf numFmtId="0" fontId="50" fillId="51" borderId="41" xfId="711" applyFont="1" applyFill="1" applyBorder="1" applyAlignment="1">
      <alignment horizontal="center" vertical="center"/>
    </xf>
    <xf numFmtId="0" fontId="64" fillId="60" borderId="61" xfId="666" applyFont="1" applyFill="1" applyBorder="1" applyAlignment="1">
      <alignment horizontal="center" vertical="center" wrapText="1"/>
    </xf>
    <xf numFmtId="14" fontId="0" fillId="0" borderId="0" xfId="0" applyNumberFormat="1"/>
    <xf numFmtId="174" fontId="0" fillId="0" borderId="0" xfId="0" applyNumberFormat="1"/>
    <xf numFmtId="0" fontId="69" fillId="22" borderId="0" xfId="6008" applyFill="1" applyBorder="1" applyAlignment="1">
      <alignment horizontal="center" vertical="center" wrapText="1"/>
    </xf>
    <xf numFmtId="10" fontId="69" fillId="22" borderId="0" xfId="6008" applyNumberFormat="1" applyFill="1" applyBorder="1">
      <alignment horizontal="center" vertical="center"/>
    </xf>
    <xf numFmtId="0" fontId="69" fillId="22" borderId="0" xfId="6008" applyFill="1" applyBorder="1">
      <alignment horizontal="center" vertical="center"/>
    </xf>
    <xf numFmtId="4" fontId="23" fillId="36" borderId="44" xfId="0" applyNumberFormat="1" applyFont="1" applyFill="1" applyBorder="1" applyAlignment="1">
      <alignment vertical="center"/>
    </xf>
    <xf numFmtId="0" fontId="120" fillId="22" borderId="0" xfId="666" applyFont="1" applyFill="1" applyAlignment="1">
      <alignment horizontal="center" vertical="center" shrinkToFit="1"/>
    </xf>
    <xf numFmtId="0" fontId="68" fillId="0" borderId="0" xfId="6020" applyFont="1"/>
    <xf numFmtId="0" fontId="1" fillId="0" borderId="0" xfId="6020" applyFont="1"/>
    <xf numFmtId="0" fontId="73" fillId="0" borderId="67" xfId="6020" applyFont="1" applyBorder="1" applyAlignment="1">
      <alignment horizontal="center"/>
    </xf>
    <xf numFmtId="0" fontId="73" fillId="0" borderId="67" xfId="6020" applyFont="1" applyBorder="1"/>
    <xf numFmtId="167" fontId="73" fillId="0" borderId="67" xfId="6021" applyNumberFormat="1" applyFont="1" applyBorder="1"/>
    <xf numFmtId="167" fontId="68" fillId="0" borderId="67" xfId="6020" applyNumberFormat="1" applyFont="1" applyBorder="1"/>
    <xf numFmtId="167" fontId="68" fillId="0" borderId="67" xfId="6021" applyNumberFormat="1" applyFont="1" applyBorder="1"/>
    <xf numFmtId="0" fontId="73" fillId="0" borderId="0" xfId="6020" applyFont="1"/>
    <xf numFmtId="0" fontId="68" fillId="0" borderId="0" xfId="6020" applyFont="1" applyAlignment="1">
      <alignment horizontal="center"/>
    </xf>
    <xf numFmtId="0" fontId="65" fillId="0" borderId="46" xfId="129" applyFont="1" applyBorder="1" applyAlignment="1">
      <alignment horizontal="center" vertical="center"/>
    </xf>
    <xf numFmtId="0" fontId="65" fillId="0" borderId="27" xfId="129" applyFont="1" applyBorder="1" applyAlignment="1">
      <alignment horizontal="center" vertical="center"/>
    </xf>
    <xf numFmtId="0" fontId="65" fillId="0" borderId="47" xfId="129" applyFont="1" applyBorder="1" applyAlignment="1">
      <alignment horizontal="center" vertical="center"/>
    </xf>
    <xf numFmtId="0" fontId="55" fillId="0" borderId="46" xfId="129" applyFont="1" applyBorder="1" applyAlignment="1">
      <alignment horizontal="center" vertical="center"/>
    </xf>
    <xf numFmtId="0" fontId="65" fillId="0" borderId="56" xfId="129" applyFont="1" applyBorder="1" applyAlignment="1">
      <alignment horizontal="center" vertical="center"/>
    </xf>
    <xf numFmtId="0" fontId="55" fillId="0" borderId="56" xfId="129" applyFont="1" applyBorder="1" applyAlignment="1">
      <alignment horizontal="center" vertical="center"/>
    </xf>
    <xf numFmtId="166" fontId="55" fillId="22" borderId="46" xfId="627" applyNumberFormat="1" applyFont="1" applyFill="1" applyBorder="1" applyAlignment="1">
      <alignment horizontal="right" vertical="center" wrapText="1"/>
    </xf>
    <xf numFmtId="0" fontId="104" fillId="48" borderId="67" xfId="0" applyFont="1" applyFill="1" applyBorder="1" applyAlignment="1">
      <alignment horizontal="center" vertical="center"/>
    </xf>
    <xf numFmtId="0" fontId="104" fillId="52" borderId="67" xfId="0" applyFont="1" applyFill="1" applyBorder="1" applyAlignment="1">
      <alignment horizontal="center" vertical="center"/>
    </xf>
    <xf numFmtId="0" fontId="104" fillId="53" borderId="67" xfId="0" applyFont="1" applyFill="1" applyBorder="1" applyAlignment="1">
      <alignment horizontal="center" vertical="center"/>
    </xf>
    <xf numFmtId="0" fontId="104" fillId="22" borderId="67" xfId="0" applyFont="1" applyFill="1" applyBorder="1" applyAlignment="1">
      <alignment horizontal="center" vertical="center"/>
    </xf>
    <xf numFmtId="165" fontId="77" fillId="51" borderId="41" xfId="1" applyNumberFormat="1" applyFont="1" applyFill="1" applyBorder="1" applyAlignment="1">
      <alignment horizontal="right" vertical="center"/>
    </xf>
    <xf numFmtId="14" fontId="104" fillId="48" borderId="67" xfId="0" applyNumberFormat="1" applyFont="1" applyFill="1" applyBorder="1" applyAlignment="1">
      <alignment horizontal="center" vertical="center"/>
    </xf>
    <xf numFmtId="165" fontId="50" fillId="0" borderId="67" xfId="1" applyNumberFormat="1" applyFont="1" applyBorder="1"/>
    <xf numFmtId="0" fontId="73" fillId="0" borderId="67" xfId="6020" applyFont="1" applyBorder="1" applyAlignment="1">
      <alignment shrinkToFit="1"/>
    </xf>
    <xf numFmtId="167" fontId="1" fillId="0" borderId="0" xfId="6020" applyNumberFormat="1" applyFont="1"/>
    <xf numFmtId="0" fontId="1" fillId="0" borderId="0" xfId="6020" applyFont="1" applyAlignment="1">
      <alignment horizontal="center"/>
    </xf>
    <xf numFmtId="0" fontId="82" fillId="21" borderId="18" xfId="619" applyFont="1" applyFill="1" applyBorder="1" applyAlignment="1">
      <alignment horizontal="center" vertical="top"/>
    </xf>
    <xf numFmtId="166" fontId="55" fillId="22" borderId="46" xfId="627" applyNumberFormat="1" applyFont="1" applyFill="1" applyBorder="1" applyAlignment="1">
      <alignment horizontal="left" vertical="center" shrinkToFit="1"/>
    </xf>
    <xf numFmtId="0" fontId="66" fillId="22" borderId="0" xfId="6031" applyFont="1" applyFill="1"/>
    <xf numFmtId="0" fontId="66" fillId="0" borderId="0" xfId="6031" applyFont="1"/>
    <xf numFmtId="0" fontId="69" fillId="22" borderId="0" xfId="6031" applyFont="1" applyFill="1"/>
    <xf numFmtId="183" fontId="64" fillId="61" borderId="61" xfId="6033" applyNumberFormat="1" applyFont="1" applyFill="1" applyBorder="1" applyAlignment="1">
      <alignment horizontal="center" vertical="center" wrapText="1"/>
    </xf>
    <xf numFmtId="0" fontId="77" fillId="22" borderId="0" xfId="6031" applyFont="1" applyFill="1" applyAlignment="1">
      <alignment wrapText="1"/>
    </xf>
    <xf numFmtId="0" fontId="77" fillId="22" borderId="69" xfId="6031" applyFont="1" applyFill="1" applyBorder="1" applyAlignment="1">
      <alignment wrapText="1"/>
    </xf>
    <xf numFmtId="0" fontId="70" fillId="22" borderId="63" xfId="6031" applyFont="1" applyFill="1" applyBorder="1" applyAlignment="1">
      <alignment horizontal="left" vertical="center"/>
    </xf>
    <xf numFmtId="0" fontId="70" fillId="22" borderId="63" xfId="6031" applyFont="1" applyFill="1" applyBorder="1" applyAlignment="1">
      <alignment horizontal="center" vertical="center"/>
    </xf>
    <xf numFmtId="0" fontId="70" fillId="22" borderId="63" xfId="6031" applyFont="1" applyFill="1" applyBorder="1" applyAlignment="1">
      <alignment vertical="center"/>
    </xf>
    <xf numFmtId="0" fontId="55" fillId="22" borderId="63" xfId="6031" applyFont="1" applyFill="1" applyBorder="1" applyAlignment="1">
      <alignment vertical="center"/>
    </xf>
    <xf numFmtId="167" fontId="55" fillId="22" borderId="63" xfId="6032" applyNumberFormat="1" applyFont="1" applyFill="1" applyBorder="1" applyAlignment="1">
      <alignment vertical="center"/>
    </xf>
    <xf numFmtId="174" fontId="57" fillId="0" borderId="63" xfId="6032" applyNumberFormat="1" applyFont="1" applyBorder="1" applyAlignment="1">
      <alignment vertical="center"/>
    </xf>
    <xf numFmtId="167" fontId="55" fillId="0" borderId="63" xfId="6032" applyNumberFormat="1" applyFont="1" applyBorder="1" applyAlignment="1">
      <alignment horizontal="center" vertical="center"/>
    </xf>
    <xf numFmtId="167" fontId="55" fillId="56" borderId="63" xfId="6032" applyNumberFormat="1" applyFont="1" applyFill="1" applyBorder="1" applyAlignment="1">
      <alignment vertical="center"/>
    </xf>
    <xf numFmtId="167" fontId="123" fillId="0" borderId="63" xfId="6032" applyNumberFormat="1" applyFont="1" applyBorder="1" applyAlignment="1">
      <alignment vertical="center"/>
    </xf>
    <xf numFmtId="167" fontId="70" fillId="22" borderId="63" xfId="6031" applyNumberFormat="1" applyFont="1" applyFill="1" applyBorder="1" applyAlignment="1">
      <alignment vertical="center"/>
    </xf>
    <xf numFmtId="167" fontId="55" fillId="0" borderId="63" xfId="6032" applyNumberFormat="1" applyFont="1" applyBorder="1" applyAlignment="1">
      <alignment vertical="center"/>
    </xf>
    <xf numFmtId="167" fontId="55" fillId="0" borderId="63" xfId="6031" applyNumberFormat="1" applyFont="1" applyBorder="1" applyAlignment="1">
      <alignment vertical="center"/>
    </xf>
    <xf numFmtId="167" fontId="55" fillId="56" borderId="63" xfId="6031" applyNumberFormat="1" applyFont="1" applyFill="1" applyBorder="1" applyAlignment="1">
      <alignment vertical="center"/>
    </xf>
    <xf numFmtId="167" fontId="55" fillId="22" borderId="63" xfId="6031" applyNumberFormat="1" applyFont="1" applyFill="1" applyBorder="1" applyAlignment="1">
      <alignment vertical="center"/>
    </xf>
    <xf numFmtId="9" fontId="55" fillId="22" borderId="63" xfId="6032" applyNumberFormat="1" applyFont="1" applyFill="1" applyBorder="1" applyAlignment="1">
      <alignment vertical="center"/>
    </xf>
    <xf numFmtId="167" fontId="118" fillId="22" borderId="63" xfId="6032" applyNumberFormat="1" applyFont="1" applyFill="1" applyBorder="1" applyAlignment="1">
      <alignment vertical="center"/>
    </xf>
    <xf numFmtId="167" fontId="118" fillId="22" borderId="63" xfId="6031" applyNumberFormat="1" applyFont="1" applyFill="1" applyBorder="1" applyAlignment="1">
      <alignment vertical="center"/>
    </xf>
    <xf numFmtId="167" fontId="66" fillId="22" borderId="63" xfId="6031" applyNumberFormat="1" applyFont="1" applyFill="1" applyBorder="1" applyAlignment="1">
      <alignment vertical="center"/>
    </xf>
    <xf numFmtId="0" fontId="66" fillId="22" borderId="0" xfId="6031" applyFont="1" applyFill="1" applyAlignment="1">
      <alignment vertical="center"/>
    </xf>
    <xf numFmtId="167" fontId="112" fillId="22" borderId="63" xfId="6032" applyNumberFormat="1" applyFont="1" applyFill="1" applyBorder="1" applyAlignment="1">
      <alignment vertical="center"/>
    </xf>
    <xf numFmtId="0" fontId="66" fillId="0" borderId="0" xfId="6031" applyFont="1" applyAlignment="1">
      <alignment vertical="center"/>
    </xf>
    <xf numFmtId="0" fontId="117" fillId="22" borderId="0" xfId="6031" applyFont="1" applyFill="1" applyAlignment="1">
      <alignment horizontal="center" vertical="center"/>
    </xf>
    <xf numFmtId="167" fontId="117" fillId="22" borderId="0" xfId="6032" applyNumberFormat="1" applyFont="1" applyFill="1" applyAlignment="1">
      <alignment horizontal="center" vertical="center"/>
    </xf>
    <xf numFmtId="167" fontId="62" fillId="22" borderId="0" xfId="6032" applyNumberFormat="1" applyFont="1" applyFill="1" applyAlignment="1">
      <alignment horizontal="center" vertical="center" wrapText="1"/>
    </xf>
    <xf numFmtId="43" fontId="117" fillId="22" borderId="0" xfId="6032" applyFont="1" applyFill="1" applyAlignment="1">
      <alignment horizontal="center" vertical="center" wrapText="1"/>
    </xf>
    <xf numFmtId="167" fontId="127" fillId="22" borderId="0" xfId="6032" applyNumberFormat="1" applyFont="1" applyFill="1" applyAlignment="1">
      <alignment horizontal="center" vertical="center" wrapText="1"/>
    </xf>
    <xf numFmtId="167" fontId="128" fillId="22" borderId="0" xfId="6032" applyNumberFormat="1" applyFont="1" applyFill="1" applyAlignment="1">
      <alignment horizontal="center" vertical="center" wrapText="1"/>
    </xf>
    <xf numFmtId="167" fontId="117" fillId="22" borderId="0" xfId="6032" applyNumberFormat="1" applyFont="1" applyFill="1" applyAlignment="1">
      <alignment horizontal="center" vertical="center" wrapText="1"/>
    </xf>
    <xf numFmtId="167" fontId="86" fillId="22" borderId="0" xfId="6032" applyNumberFormat="1" applyFont="1" applyFill="1" applyAlignment="1">
      <alignment horizontal="center" vertical="center" wrapText="1"/>
    </xf>
    <xf numFmtId="167" fontId="66" fillId="0" borderId="0" xfId="6032" applyNumberFormat="1" applyFont="1"/>
    <xf numFmtId="0" fontId="112" fillId="22" borderId="63" xfId="6031" applyFont="1" applyFill="1" applyBorder="1" applyAlignment="1">
      <alignment vertical="center"/>
    </xf>
    <xf numFmtId="0" fontId="69" fillId="22" borderId="0" xfId="6031" applyFont="1" applyFill="1" applyAlignment="1">
      <alignment vertical="center"/>
    </xf>
    <xf numFmtId="0" fontId="112" fillId="57" borderId="63" xfId="6031" applyFont="1" applyFill="1" applyBorder="1" applyAlignment="1">
      <alignment vertical="center"/>
    </xf>
    <xf numFmtId="0" fontId="64" fillId="57" borderId="63" xfId="6031" applyFont="1" applyFill="1" applyBorder="1" applyAlignment="1">
      <alignment vertical="center"/>
    </xf>
    <xf numFmtId="167" fontId="64" fillId="57" borderId="63" xfId="6032" applyNumberFormat="1" applyFont="1" applyFill="1" applyBorder="1" applyAlignment="1">
      <alignment vertical="center"/>
    </xf>
    <xf numFmtId="174" fontId="78" fillId="58" borderId="63" xfId="6032" applyNumberFormat="1" applyFont="1" applyFill="1" applyBorder="1" applyAlignment="1">
      <alignment vertical="center"/>
    </xf>
    <xf numFmtId="167" fontId="64" fillId="58" borderId="63" xfId="6032" applyNumberFormat="1" applyFont="1" applyFill="1" applyBorder="1" applyAlignment="1">
      <alignment horizontal="center" vertical="center"/>
    </xf>
    <xf numFmtId="167" fontId="114" fillId="58" borderId="63" xfId="6032" applyNumberFormat="1" applyFont="1" applyFill="1" applyBorder="1" applyAlignment="1">
      <alignment vertical="center"/>
    </xf>
    <xf numFmtId="167" fontId="112" fillId="57" borderId="63" xfId="6031" applyNumberFormat="1" applyFont="1" applyFill="1" applyBorder="1" applyAlignment="1">
      <alignment vertical="center"/>
    </xf>
    <xf numFmtId="167" fontId="64" fillId="58" borderId="63" xfId="6032" applyNumberFormat="1" applyFont="1" applyFill="1" applyBorder="1" applyAlignment="1">
      <alignment vertical="center"/>
    </xf>
    <xf numFmtId="167" fontId="64" fillId="58" borderId="63" xfId="6031" applyNumberFormat="1" applyFont="1" applyFill="1" applyBorder="1" applyAlignment="1">
      <alignment vertical="center"/>
    </xf>
    <xf numFmtId="167" fontId="64" fillId="57" borderId="63" xfId="6031" applyNumberFormat="1" applyFont="1" applyFill="1" applyBorder="1" applyAlignment="1">
      <alignment vertical="center"/>
    </xf>
    <xf numFmtId="9" fontId="64" fillId="57" borderId="63" xfId="6032" applyNumberFormat="1" applyFont="1" applyFill="1" applyBorder="1" applyAlignment="1">
      <alignment vertical="center"/>
    </xf>
    <xf numFmtId="167" fontId="122" fillId="57" borderId="63" xfId="6032" applyNumberFormat="1" applyFont="1" applyFill="1" applyBorder="1" applyAlignment="1">
      <alignment vertical="center"/>
    </xf>
    <xf numFmtId="167" fontId="122" fillId="57" borderId="63" xfId="6031" applyNumberFormat="1" applyFont="1" applyFill="1" applyBorder="1" applyAlignment="1">
      <alignment vertical="center"/>
    </xf>
    <xf numFmtId="167" fontId="69" fillId="57" borderId="63" xfId="6031" applyNumberFormat="1" applyFont="1" applyFill="1" applyBorder="1" applyAlignment="1">
      <alignment vertical="center"/>
    </xf>
    <xf numFmtId="0" fontId="64" fillId="60" borderId="61" xfId="666" applyFont="1" applyFill="1" applyBorder="1" applyAlignment="1">
      <alignment horizontal="center" vertical="center" shrinkToFit="1"/>
    </xf>
    <xf numFmtId="0" fontId="117" fillId="22" borderId="0" xfId="6031" applyFont="1" applyFill="1" applyAlignment="1">
      <alignment horizontal="center" vertical="center" shrinkToFit="1"/>
    </xf>
    <xf numFmtId="0" fontId="66" fillId="0" borderId="0" xfId="6031" applyFont="1" applyAlignment="1">
      <alignment shrinkToFit="1"/>
    </xf>
    <xf numFmtId="167" fontId="112" fillId="22" borderId="63" xfId="6032" applyNumberFormat="1" applyFont="1" applyFill="1" applyBorder="1" applyAlignment="1">
      <alignment vertical="center" shrinkToFit="1"/>
    </xf>
    <xf numFmtId="167" fontId="112" fillId="0" borderId="63" xfId="6032" applyNumberFormat="1" applyFont="1" applyBorder="1" applyAlignment="1">
      <alignment vertical="center" shrinkToFit="1"/>
    </xf>
    <xf numFmtId="167" fontId="68" fillId="22" borderId="63" xfId="6032" applyNumberFormat="1" applyFont="1" applyFill="1" applyBorder="1" applyAlignment="1">
      <alignment vertical="center" shrinkToFit="1"/>
    </xf>
    <xf numFmtId="0" fontId="70" fillId="22" borderId="63" xfId="6031" applyFont="1" applyFill="1" applyBorder="1" applyAlignment="1">
      <alignment horizontal="left" vertical="center" shrinkToFit="1"/>
    </xf>
    <xf numFmtId="0" fontId="51" fillId="61" borderId="61" xfId="666" applyFont="1" applyFill="1" applyBorder="1" applyAlignment="1">
      <alignment horizontal="center" vertical="center" wrapText="1"/>
    </xf>
    <xf numFmtId="0" fontId="48" fillId="0" borderId="0" xfId="6020" applyFont="1"/>
    <xf numFmtId="14" fontId="23" fillId="33" borderId="41" xfId="0" applyNumberFormat="1" applyFont="1" applyFill="1" applyBorder="1" applyAlignment="1">
      <alignment horizontal="center"/>
    </xf>
    <xf numFmtId="14" fontId="0" fillId="0" borderId="27" xfId="0" applyNumberFormat="1" applyBorder="1"/>
    <xf numFmtId="14" fontId="113" fillId="59" borderId="0" xfId="0" applyNumberFormat="1" applyFont="1" applyFill="1"/>
    <xf numFmtId="14" fontId="113" fillId="59" borderId="59" xfId="0" applyNumberFormat="1" applyFont="1" applyFill="1" applyBorder="1" applyAlignment="1">
      <alignment horizontal="left"/>
    </xf>
    <xf numFmtId="14" fontId="100" fillId="0" borderId="0" xfId="0" applyNumberFormat="1" applyFont="1" applyAlignment="1">
      <alignment horizontal="left" wrapText="1"/>
    </xf>
    <xf numFmtId="167" fontId="117" fillId="22" borderId="64" xfId="6032" applyNumberFormat="1" applyFont="1" applyFill="1" applyBorder="1" applyAlignment="1">
      <alignment horizontal="center" vertical="center" wrapText="1"/>
    </xf>
    <xf numFmtId="0" fontId="73" fillId="22" borderId="41" xfId="711" applyFont="1" applyFill="1" applyBorder="1" applyAlignment="1">
      <alignment horizontal="center" vertical="center"/>
    </xf>
    <xf numFmtId="165" fontId="50" fillId="0" borderId="14" xfId="712" applyNumberFormat="1" applyFont="1" applyBorder="1" applyAlignment="1">
      <alignment horizontal="center" vertical="center"/>
    </xf>
    <xf numFmtId="165" fontId="50" fillId="22" borderId="41" xfId="712" applyNumberFormat="1" applyFont="1" applyFill="1" applyBorder="1" applyAlignment="1">
      <alignment horizontal="center" vertical="center"/>
    </xf>
    <xf numFmtId="0" fontId="69" fillId="0" borderId="0" xfId="6031" applyFont="1"/>
    <xf numFmtId="0" fontId="77" fillId="0" borderId="0" xfId="6031" applyFont="1" applyAlignment="1">
      <alignment wrapText="1"/>
    </xf>
    <xf numFmtId="0" fontId="117" fillId="0" borderId="0" xfId="6031" applyFont="1" applyAlignment="1">
      <alignment horizontal="center" vertical="center"/>
    </xf>
    <xf numFmtId="0" fontId="64" fillId="24" borderId="74" xfId="666" applyFont="1" applyFill="1" applyBorder="1" applyAlignment="1">
      <alignment horizontal="center" vertical="center" wrapText="1"/>
    </xf>
    <xf numFmtId="0" fontId="64" fillId="24" borderId="62" xfId="666" applyFont="1" applyFill="1" applyBorder="1" applyAlignment="1">
      <alignment horizontal="center" vertical="center" wrapText="1"/>
    </xf>
    <xf numFmtId="0" fontId="66" fillId="0" borderId="41" xfId="709" applyFont="1" applyBorder="1" applyAlignment="1">
      <alignment vertical="center"/>
    </xf>
    <xf numFmtId="165" fontId="50" fillId="0" borderId="41" xfId="712" applyNumberFormat="1" applyFont="1" applyBorder="1" applyAlignment="1">
      <alignment vertical="center"/>
    </xf>
    <xf numFmtId="0" fontId="66" fillId="0" borderId="41" xfId="709" applyFont="1" applyBorder="1"/>
    <xf numFmtId="165" fontId="50" fillId="0" borderId="41" xfId="712" applyNumberFormat="1" applyFont="1" applyBorder="1" applyAlignment="1">
      <alignment horizontal="center"/>
    </xf>
    <xf numFmtId="0" fontId="66" fillId="51" borderId="28" xfId="709" applyFont="1" applyFill="1" applyBorder="1"/>
    <xf numFmtId="0" fontId="66" fillId="51" borderId="29" xfId="709" applyFont="1" applyFill="1" applyBorder="1"/>
    <xf numFmtId="165" fontId="61" fillId="51" borderId="41" xfId="712" applyNumberFormat="1" applyFont="1" applyFill="1" applyBorder="1" applyAlignment="1">
      <alignment horizontal="center" vertical="center"/>
    </xf>
    <xf numFmtId="0" fontId="64" fillId="23" borderId="61" xfId="666" applyFont="1" applyFill="1" applyBorder="1" applyAlignment="1">
      <alignment horizontal="center" vertical="center" wrapText="1"/>
    </xf>
    <xf numFmtId="0" fontId="64" fillId="29" borderId="61" xfId="666" applyFont="1" applyFill="1" applyBorder="1" applyAlignment="1">
      <alignment horizontal="center" vertical="center" wrapText="1"/>
    </xf>
    <xf numFmtId="0" fontId="104" fillId="62" borderId="67" xfId="0" applyFont="1" applyFill="1" applyBorder="1" applyAlignment="1">
      <alignment horizontal="center" vertical="center"/>
    </xf>
    <xf numFmtId="0" fontId="104" fillId="19" borderId="67" xfId="0" applyFont="1" applyFill="1" applyBorder="1" applyAlignment="1">
      <alignment horizontal="center" vertical="center"/>
    </xf>
    <xf numFmtId="0" fontId="104" fillId="63" borderId="67" xfId="0" applyFont="1" applyFill="1" applyBorder="1" applyAlignment="1">
      <alignment horizontal="center" vertical="center"/>
    </xf>
    <xf numFmtId="0" fontId="65" fillId="19" borderId="47" xfId="129" applyFont="1" applyFill="1" applyBorder="1" applyAlignment="1">
      <alignment horizontal="center" vertical="center"/>
    </xf>
    <xf numFmtId="0" fontId="65" fillId="19" borderId="27" xfId="129" applyFont="1" applyFill="1" applyBorder="1" applyAlignment="1">
      <alignment horizontal="center" vertical="center"/>
    </xf>
    <xf numFmtId="0" fontId="104" fillId="19" borderId="50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vertical="center" wrapText="1"/>
    </xf>
    <xf numFmtId="0" fontId="22" fillId="12" borderId="68" xfId="0" applyFont="1" applyFill="1" applyBorder="1" applyAlignment="1">
      <alignment vertical="center" wrapText="1"/>
    </xf>
    <xf numFmtId="14" fontId="29" fillId="0" borderId="0" xfId="0" applyNumberFormat="1" applyFont="1" applyAlignment="1">
      <alignment vertical="center"/>
    </xf>
    <xf numFmtId="4" fontId="23" fillId="36" borderId="12" xfId="0" applyNumberFormat="1" applyFont="1" applyFill="1" applyBorder="1" applyAlignment="1">
      <alignment vertical="center"/>
    </xf>
    <xf numFmtId="14" fontId="29" fillId="0" borderId="67" xfId="0" applyNumberFormat="1" applyFont="1" applyBorder="1" applyAlignment="1">
      <alignment vertical="center"/>
    </xf>
    <xf numFmtId="4" fontId="23" fillId="36" borderId="67" xfId="0" applyNumberFormat="1" applyFont="1" applyFill="1" applyBorder="1" applyAlignment="1">
      <alignment vertical="center"/>
    </xf>
    <xf numFmtId="164" fontId="30" fillId="9" borderId="12" xfId="1" applyFont="1" applyFill="1" applyBorder="1" applyAlignment="1">
      <alignment vertical="center"/>
    </xf>
    <xf numFmtId="3" fontId="23" fillId="9" borderId="67" xfId="0" applyNumberFormat="1" applyFont="1" applyFill="1" applyBorder="1" applyAlignment="1">
      <alignment vertical="center"/>
    </xf>
    <xf numFmtId="14" fontId="29" fillId="35" borderId="67" xfId="0" applyNumberFormat="1" applyFont="1" applyFill="1" applyBorder="1" applyAlignment="1">
      <alignment vertical="center"/>
    </xf>
    <xf numFmtId="165" fontId="41" fillId="35" borderId="1" xfId="1" applyNumberFormat="1" applyFont="1" applyFill="1" applyBorder="1" applyAlignment="1">
      <alignment vertical="center"/>
    </xf>
    <xf numFmtId="165" fontId="42" fillId="35" borderId="5" xfId="1" applyNumberFormat="1" applyFont="1" applyFill="1" applyBorder="1" applyAlignment="1">
      <alignment vertical="center"/>
    </xf>
    <xf numFmtId="167" fontId="66" fillId="0" borderId="67" xfId="1" applyNumberFormat="1" applyFont="1" applyBorder="1"/>
    <xf numFmtId="9" fontId="45" fillId="11" borderId="8" xfId="0" applyNumberFormat="1" applyFont="1" applyFill="1" applyBorder="1" applyAlignment="1">
      <alignment vertical="center" wrapText="1"/>
    </xf>
    <xf numFmtId="0" fontId="39" fillId="0" borderId="67" xfId="0" applyFont="1" applyBorder="1" applyAlignment="1">
      <alignment horizontal="center" vertical="center" wrapText="1"/>
    </xf>
    <xf numFmtId="0" fontId="108" fillId="0" borderId="67" xfId="0" applyFont="1" applyBorder="1" applyAlignment="1">
      <alignment horizontal="center" vertical="center" wrapText="1"/>
    </xf>
    <xf numFmtId="14" fontId="73" fillId="0" borderId="67" xfId="6020" applyNumberFormat="1" applyFont="1" applyBorder="1"/>
    <xf numFmtId="173" fontId="119" fillId="64" borderId="67" xfId="1" applyNumberFormat="1" applyFont="1" applyFill="1" applyBorder="1" applyAlignment="1">
      <alignment horizontal="center"/>
    </xf>
    <xf numFmtId="0" fontId="37" fillId="9" borderId="75" xfId="0" applyFont="1" applyFill="1" applyBorder="1" applyAlignment="1">
      <alignment vertical="center" wrapText="1"/>
    </xf>
    <xf numFmtId="0" fontId="22" fillId="9" borderId="75" xfId="0" applyFont="1" applyFill="1" applyBorder="1" applyAlignment="1">
      <alignment horizontal="center" vertical="center" wrapText="1"/>
    </xf>
    <xf numFmtId="0" fontId="22" fillId="12" borderId="75" xfId="0" applyFont="1" applyFill="1" applyBorder="1" applyAlignment="1">
      <alignment vertical="center" wrapText="1"/>
    </xf>
    <xf numFmtId="3" fontId="22" fillId="12" borderId="75" xfId="0" applyNumberFormat="1" applyFont="1" applyFill="1" applyBorder="1" applyAlignment="1">
      <alignment vertical="center" wrapText="1"/>
    </xf>
    <xf numFmtId="0" fontId="22" fillId="10" borderId="75" xfId="0" applyFont="1" applyFill="1" applyBorder="1" applyAlignment="1">
      <alignment horizontal="center" vertical="center" wrapText="1"/>
    </xf>
    <xf numFmtId="9" fontId="22" fillId="11" borderId="75" xfId="0" applyNumberFormat="1" applyFont="1" applyFill="1" applyBorder="1" applyAlignment="1">
      <alignment horizontal="center" vertical="center" wrapText="1"/>
    </xf>
    <xf numFmtId="0" fontId="36" fillId="39" borderId="76" xfId="0" applyFont="1" applyFill="1" applyBorder="1" applyAlignment="1">
      <alignment vertical="center"/>
    </xf>
    <xf numFmtId="3" fontId="36" fillId="39" borderId="14" xfId="0" applyNumberFormat="1" applyFont="1" applyFill="1" applyBorder="1" applyAlignment="1">
      <alignment vertical="center"/>
    </xf>
    <xf numFmtId="3" fontId="36" fillId="39" borderId="10" xfId="0" applyNumberFormat="1" applyFont="1" applyFill="1" applyBorder="1" applyAlignment="1">
      <alignment vertical="center"/>
    </xf>
    <xf numFmtId="4" fontId="36" fillId="39" borderId="10" xfId="0" applyNumberFormat="1" applyFont="1" applyFill="1" applyBorder="1" applyAlignment="1">
      <alignment vertical="center"/>
    </xf>
    <xf numFmtId="0" fontId="38" fillId="0" borderId="67" xfId="0" applyFont="1" applyBorder="1" applyAlignment="1">
      <alignment horizontal="center" vertical="center" wrapText="1"/>
    </xf>
    <xf numFmtId="3" fontId="39" fillId="0" borderId="67" xfId="0" applyNumberFormat="1" applyFont="1" applyBorder="1" applyAlignment="1">
      <alignment horizontal="center" vertical="center" wrapText="1"/>
    </xf>
    <xf numFmtId="0" fontId="85" fillId="0" borderId="67" xfId="0" applyFont="1" applyBorder="1" applyAlignment="1">
      <alignment horizontal="center" vertical="center" wrapText="1"/>
    </xf>
    <xf numFmtId="0" fontId="29" fillId="9" borderId="67" xfId="0" applyFont="1" applyFill="1" applyBorder="1" applyAlignment="1">
      <alignment vertical="center"/>
    </xf>
    <xf numFmtId="14" fontId="55" fillId="0" borderId="67" xfId="0" applyNumberFormat="1" applyFont="1" applyBorder="1" applyAlignment="1">
      <alignment vertical="center"/>
    </xf>
    <xf numFmtId="3" fontId="23" fillId="0" borderId="67" xfId="0" applyNumberFormat="1" applyFont="1" applyBorder="1" applyAlignment="1">
      <alignment vertical="center"/>
    </xf>
    <xf numFmtId="169" fontId="30" fillId="11" borderId="67" xfId="1" applyNumberFormat="1" applyFont="1" applyFill="1" applyBorder="1" applyAlignment="1">
      <alignment vertical="center"/>
    </xf>
    <xf numFmtId="167" fontId="40" fillId="0" borderId="67" xfId="0" applyNumberFormat="1" applyFont="1" applyBorder="1" applyAlignment="1">
      <alignment horizontal="center" vertical="center"/>
    </xf>
    <xf numFmtId="165" fontId="7" fillId="50" borderId="67" xfId="1" applyNumberFormat="1" applyFill="1" applyBorder="1" applyAlignment="1">
      <alignment horizontal="center" vertical="center" wrapText="1"/>
    </xf>
    <xf numFmtId="0" fontId="70" fillId="47" borderId="63" xfId="6031" applyFont="1" applyFill="1" applyBorder="1" applyAlignment="1">
      <alignment horizontal="left" vertical="center" shrinkToFit="1"/>
    </xf>
    <xf numFmtId="14" fontId="70" fillId="22" borderId="63" xfId="6031" applyNumberFormat="1" applyFont="1" applyFill="1" applyBorder="1" applyAlignment="1">
      <alignment horizontal="center" vertical="center"/>
    </xf>
    <xf numFmtId="0" fontId="70" fillId="20" borderId="63" xfId="6031" applyFont="1" applyFill="1" applyBorder="1" applyAlignment="1">
      <alignment horizontal="left" vertical="center" shrinkToFit="1"/>
    </xf>
    <xf numFmtId="1" fontId="66" fillId="22" borderId="63" xfId="6031" applyNumberFormat="1" applyFont="1" applyFill="1" applyBorder="1" applyAlignment="1">
      <alignment vertical="center"/>
    </xf>
    <xf numFmtId="167" fontId="55" fillId="22" borderId="63" xfId="6032" quotePrefix="1" applyNumberFormat="1" applyFont="1" applyFill="1" applyBorder="1" applyAlignment="1">
      <alignment vertical="center"/>
    </xf>
    <xf numFmtId="10" fontId="69" fillId="24" borderId="67" xfId="6008" applyNumberFormat="1" applyFill="1">
      <alignment horizontal="center" vertical="center"/>
    </xf>
    <xf numFmtId="167" fontId="68" fillId="24" borderId="67" xfId="6021" applyNumberFormat="1" applyFont="1" applyFill="1" applyBorder="1"/>
    <xf numFmtId="165" fontId="55" fillId="0" borderId="51" xfId="1" applyNumberFormat="1" applyFont="1" applyBorder="1" applyAlignment="1">
      <alignment vertical="center"/>
    </xf>
    <xf numFmtId="0" fontId="99" fillId="0" borderId="0" xfId="6009" applyFont="1" applyAlignment="1">
      <alignment horizontal="center" vertical="center"/>
    </xf>
    <xf numFmtId="0" fontId="76" fillId="0" borderId="0" xfId="6009" applyFont="1"/>
    <xf numFmtId="0" fontId="99" fillId="0" borderId="0" xfId="6009" applyFont="1"/>
    <xf numFmtId="0" fontId="99" fillId="0" borderId="0" xfId="6009" applyFont="1" applyAlignment="1">
      <alignment shrinkToFit="1"/>
    </xf>
    <xf numFmtId="0" fontId="76" fillId="0" borderId="0" xfId="6009" applyFont="1" applyAlignment="1">
      <alignment shrinkToFit="1"/>
    </xf>
    <xf numFmtId="0" fontId="76" fillId="0" borderId="0" xfId="6009" applyFont="1" applyAlignment="1">
      <alignment horizontal="center"/>
    </xf>
    <xf numFmtId="167" fontId="99" fillId="0" borderId="0" xfId="6010" applyNumberFormat="1" applyFont="1"/>
    <xf numFmtId="167" fontId="76" fillId="0" borderId="0" xfId="6010" applyNumberFormat="1" applyFont="1"/>
    <xf numFmtId="0" fontId="76" fillId="22" borderId="0" xfId="6009" applyFont="1" applyFill="1"/>
    <xf numFmtId="0" fontId="99" fillId="0" borderId="0" xfId="6017" applyFont="1"/>
    <xf numFmtId="165" fontId="130" fillId="0" borderId="0" xfId="1" applyNumberFormat="1" applyFont="1"/>
    <xf numFmtId="167" fontId="116" fillId="0" borderId="0" xfId="1440" applyNumberFormat="1" applyFont="1" applyAlignment="1">
      <alignment horizontal="left"/>
    </xf>
    <xf numFmtId="0" fontId="6" fillId="0" borderId="0" xfId="669" applyFont="1"/>
    <xf numFmtId="0" fontId="50" fillId="0" borderId="0" xfId="0" applyFont="1" applyAlignment="1">
      <alignment horizontal="center" vertical="center"/>
    </xf>
    <xf numFmtId="0" fontId="6" fillId="22" borderId="0" xfId="669" applyFont="1" applyFill="1"/>
    <xf numFmtId="0" fontId="124" fillId="0" borderId="0" xfId="669" applyFont="1"/>
    <xf numFmtId="0" fontId="50" fillId="0" borderId="67" xfId="0" applyFont="1" applyBorder="1" applyAlignment="1">
      <alignment horizontal="center" vertical="center"/>
    </xf>
    <xf numFmtId="0" fontId="107" fillId="34" borderId="67" xfId="697" applyFont="1" applyFill="1" applyBorder="1" applyAlignment="1">
      <alignment horizontal="left" vertical="center"/>
    </xf>
    <xf numFmtId="184" fontId="50" fillId="22" borderId="67" xfId="672" applyNumberFormat="1" applyFont="1" applyFill="1" applyBorder="1" applyAlignment="1">
      <alignment horizontal="left" vertical="center" wrapText="1"/>
    </xf>
    <xf numFmtId="167" fontId="50" fillId="22" borderId="67" xfId="3" applyNumberFormat="1" applyFont="1" applyFill="1" applyBorder="1" applyAlignment="1">
      <alignment horizontal="left" vertical="center" wrapText="1"/>
    </xf>
    <xf numFmtId="167" fontId="66" fillId="0" borderId="67" xfId="669" applyNumberFormat="1" applyFont="1" applyBorder="1"/>
    <xf numFmtId="0" fontId="107" fillId="46" borderId="67" xfId="697" applyFont="1" applyFill="1" applyBorder="1" applyAlignment="1">
      <alignment horizontal="left" vertical="center"/>
    </xf>
    <xf numFmtId="0" fontId="6" fillId="0" borderId="67" xfId="669" applyFont="1" applyBorder="1"/>
    <xf numFmtId="167" fontId="69" fillId="19" borderId="67" xfId="669" applyNumberFormat="1" applyFont="1" applyFill="1" applyBorder="1"/>
    <xf numFmtId="0" fontId="96" fillId="27" borderId="67" xfId="0" applyFont="1" applyFill="1" applyBorder="1" applyAlignment="1">
      <alignment horizontal="center" vertical="center"/>
    </xf>
    <xf numFmtId="0" fontId="96" fillId="27" borderId="67" xfId="0" applyFont="1" applyFill="1" applyBorder="1" applyAlignment="1">
      <alignment horizontal="center" vertical="center" wrapText="1"/>
    </xf>
    <xf numFmtId="0" fontId="96" fillId="27" borderId="67" xfId="669" applyFont="1" applyFill="1" applyBorder="1" applyAlignment="1">
      <alignment horizontal="center" vertical="center" wrapText="1"/>
    </xf>
    <xf numFmtId="0" fontId="131" fillId="0" borderId="0" xfId="6031" applyFont="1"/>
    <xf numFmtId="0" fontId="132" fillId="0" borderId="0" xfId="0" applyFont="1"/>
    <xf numFmtId="0" fontId="133" fillId="0" borderId="0" xfId="0" applyFont="1" applyAlignment="1">
      <alignment wrapText="1"/>
    </xf>
    <xf numFmtId="0" fontId="1" fillId="0" borderId="0" xfId="6020" applyFont="1" applyAlignment="1">
      <alignment wrapText="1"/>
    </xf>
    <xf numFmtId="182" fontId="134" fillId="0" borderId="40" xfId="6021" applyNumberFormat="1" applyFont="1" applyBorder="1" applyAlignment="1">
      <alignment horizontal="center" vertical="center"/>
    </xf>
    <xf numFmtId="9" fontId="135" fillId="12" borderId="1" xfId="0" applyNumberFormat="1" applyFont="1" applyFill="1" applyBorder="1" applyAlignment="1">
      <alignment vertical="center" wrapText="1"/>
    </xf>
    <xf numFmtId="0" fontId="112" fillId="57" borderId="63" xfId="6031" applyFont="1" applyFill="1" applyBorder="1" applyAlignment="1">
      <alignment horizontal="center" vertical="center"/>
    </xf>
    <xf numFmtId="0" fontId="0" fillId="0" borderId="65" xfId="0" applyBorder="1"/>
    <xf numFmtId="0" fontId="112" fillId="57" borderId="63" xfId="6031" applyFont="1" applyFill="1" applyBorder="1" applyAlignment="1">
      <alignment horizontal="left" vertical="center"/>
    </xf>
    <xf numFmtId="0" fontId="0" fillId="0" borderId="73" xfId="0" applyBorder="1"/>
    <xf numFmtId="0" fontId="112" fillId="22" borderId="63" xfId="6031" applyFont="1" applyFill="1" applyBorder="1" applyAlignment="1">
      <alignment horizontal="center" vertical="center"/>
    </xf>
    <xf numFmtId="0" fontId="133" fillId="0" borderId="95" xfId="0" applyFont="1" applyBorder="1" applyAlignment="1">
      <alignment horizontal="center" wrapText="1"/>
    </xf>
    <xf numFmtId="0" fontId="133" fillId="0" borderId="96" xfId="0" applyFont="1" applyBorder="1" applyAlignment="1">
      <alignment horizontal="center" wrapText="1"/>
    </xf>
    <xf numFmtId="0" fontId="68" fillId="0" borderId="79" xfId="6020" applyFont="1" applyBorder="1" applyAlignment="1">
      <alignment horizontal="center"/>
    </xf>
    <xf numFmtId="0" fontId="0" fillId="0" borderId="80" xfId="0" applyBorder="1"/>
    <xf numFmtId="0" fontId="129" fillId="0" borderId="26" xfId="6020" applyFont="1" applyBorder="1" applyAlignment="1">
      <alignment horizontal="center" vertical="center"/>
    </xf>
    <xf numFmtId="0" fontId="0" fillId="0" borderId="78" xfId="0" applyBorder="1"/>
    <xf numFmtId="0" fontId="129" fillId="0" borderId="26" xfId="6020" applyFont="1" applyBorder="1" applyAlignment="1">
      <alignment horizontal="center" vertical="center" wrapText="1"/>
    </xf>
    <xf numFmtId="0" fontId="129" fillId="0" borderId="40" xfId="6020" applyFont="1" applyBorder="1" applyAlignment="1">
      <alignment horizontal="center" vertical="center"/>
    </xf>
    <xf numFmtId="0" fontId="129" fillId="0" borderId="92" xfId="6020" applyFont="1" applyBorder="1" applyAlignment="1">
      <alignment horizontal="center" vertical="center"/>
    </xf>
    <xf numFmtId="0" fontId="133" fillId="0" borderId="93" xfId="0" applyFont="1" applyBorder="1" applyAlignment="1">
      <alignment horizontal="center" wrapText="1"/>
    </xf>
    <xf numFmtId="0" fontId="133" fillId="0" borderId="94" xfId="0" applyFont="1" applyBorder="1" applyAlignment="1">
      <alignment horizontal="center" wrapText="1"/>
    </xf>
    <xf numFmtId="0" fontId="133" fillId="0" borderId="77" xfId="0" applyFont="1" applyBorder="1" applyAlignment="1">
      <alignment horizontal="center" wrapText="1"/>
    </xf>
    <xf numFmtId="0" fontId="133" fillId="0" borderId="92" xfId="0" applyFont="1" applyBorder="1" applyAlignment="1">
      <alignment horizontal="center" wrapText="1"/>
    </xf>
    <xf numFmtId="0" fontId="104" fillId="49" borderId="82" xfId="0" applyFont="1" applyFill="1" applyBorder="1" applyAlignment="1">
      <alignment horizontal="center" vertical="center" wrapText="1"/>
    </xf>
    <xf numFmtId="0" fontId="0" fillId="0" borderId="81" xfId="0" applyBorder="1"/>
    <xf numFmtId="0" fontId="0" fillId="0" borderId="54" xfId="0" applyBorder="1"/>
    <xf numFmtId="0" fontId="64" fillId="25" borderId="45" xfId="0" applyFont="1" applyFill="1" applyBorder="1" applyAlignment="1">
      <alignment horizontal="center" vertical="center" wrapText="1"/>
    </xf>
    <xf numFmtId="0" fontId="0" fillId="0" borderId="42" xfId="0" applyBorder="1"/>
    <xf numFmtId="0" fontId="64" fillId="25" borderId="45" xfId="36" applyFont="1" applyFill="1" applyBorder="1" applyAlignment="1">
      <alignment horizontal="center" vertical="center" wrapText="1"/>
    </xf>
    <xf numFmtId="17" fontId="52" fillId="28" borderId="67" xfId="619" applyNumberFormat="1" applyFont="1" applyFill="1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98" fillId="26" borderId="67" xfId="36" applyFont="1" applyFill="1" applyBorder="1" applyAlignment="1">
      <alignment horizontal="center" vertical="center" wrapText="1"/>
    </xf>
    <xf numFmtId="0" fontId="0" fillId="0" borderId="14" xfId="0" applyBorder="1"/>
    <xf numFmtId="0" fontId="109" fillId="0" borderId="83" xfId="0" applyFont="1" applyBorder="1" applyAlignment="1">
      <alignment horizontal="center"/>
    </xf>
    <xf numFmtId="0" fontId="0" fillId="0" borderId="84" xfId="0" applyBorder="1"/>
    <xf numFmtId="0" fontId="0" fillId="0" borderId="58" xfId="0" applyBorder="1"/>
    <xf numFmtId="0" fontId="94" fillId="65" borderId="82" xfId="0" applyFont="1" applyFill="1" applyBorder="1" applyAlignment="1">
      <alignment horizontal="center" vertical="center" wrapText="1"/>
    </xf>
    <xf numFmtId="0" fontId="94" fillId="54" borderId="40" xfId="0" applyFont="1" applyFill="1" applyBorder="1" applyAlignment="1">
      <alignment horizontal="center" vertical="center" wrapText="1"/>
    </xf>
    <xf numFmtId="0" fontId="0" fillId="0" borderId="77" xfId="0" applyBorder="1"/>
    <xf numFmtId="0" fontId="64" fillId="0" borderId="45" xfId="36" applyFont="1" applyBorder="1" applyAlignment="1">
      <alignment horizontal="center" vertical="center" wrapText="1"/>
    </xf>
    <xf numFmtId="17" fontId="82" fillId="29" borderId="70" xfId="619" applyNumberFormat="1" applyFont="1" applyFill="1" applyBorder="1" applyAlignment="1">
      <alignment horizontal="center" vertical="center"/>
    </xf>
    <xf numFmtId="0" fontId="105" fillId="23" borderId="14" xfId="0" applyFont="1" applyFill="1" applyBorder="1" applyAlignment="1">
      <alignment horizontal="center" vertical="center" wrapText="1"/>
    </xf>
    <xf numFmtId="14" fontId="78" fillId="26" borderId="67" xfId="36" applyNumberFormat="1" applyFont="1" applyFill="1" applyBorder="1" applyAlignment="1">
      <alignment horizontal="center" vertical="center" wrapText="1"/>
    </xf>
    <xf numFmtId="0" fontId="66" fillId="25" borderId="85" xfId="623" applyFont="1" applyFill="1" applyBorder="1" applyAlignment="1">
      <alignment horizontal="center" vertical="center"/>
    </xf>
    <xf numFmtId="0" fontId="0" fillId="0" borderId="86" xfId="0" applyBorder="1"/>
    <xf numFmtId="0" fontId="0" fillId="0" borderId="87" xfId="0" applyBorder="1"/>
    <xf numFmtId="0" fontId="64" fillId="19" borderId="33" xfId="623" applyFont="1" applyFill="1" applyBorder="1" applyAlignment="1">
      <alignment horizontal="center" vertical="center" wrapText="1"/>
    </xf>
    <xf numFmtId="17" fontId="64" fillId="28" borderId="67" xfId="623" applyNumberFormat="1" applyFont="1" applyFill="1" applyBorder="1" applyAlignment="1">
      <alignment horizontal="center" vertical="center"/>
    </xf>
    <xf numFmtId="0" fontId="64" fillId="25" borderId="31" xfId="623" applyFont="1" applyFill="1" applyBorder="1" applyAlignment="1">
      <alignment horizontal="center" vertical="center" wrapText="1"/>
    </xf>
    <xf numFmtId="0" fontId="0" fillId="0" borderId="88" xfId="0" applyBorder="1"/>
    <xf numFmtId="0" fontId="0" fillId="0" borderId="89" xfId="0" applyBorder="1"/>
    <xf numFmtId="17" fontId="64" fillId="29" borderId="36" xfId="623" applyNumberFormat="1" applyFont="1" applyFill="1" applyBorder="1" applyAlignment="1">
      <alignment horizontal="center" vertical="center"/>
    </xf>
    <xf numFmtId="0" fontId="0" fillId="0" borderId="37" xfId="0" applyBorder="1"/>
    <xf numFmtId="0" fontId="64" fillId="0" borderId="33" xfId="623" applyFont="1" applyBorder="1" applyAlignment="1">
      <alignment horizontal="center" vertical="center" wrapText="1"/>
    </xf>
    <xf numFmtId="0" fontId="64" fillId="25" borderId="33" xfId="623" applyFont="1" applyFill="1" applyBorder="1" applyAlignment="1">
      <alignment horizontal="center" vertical="center" wrapText="1"/>
    </xf>
    <xf numFmtId="0" fontId="63" fillId="19" borderId="38" xfId="623" applyFont="1" applyFill="1" applyBorder="1" applyAlignment="1">
      <alignment horizontal="center" vertical="center" wrapText="1"/>
    </xf>
    <xf numFmtId="0" fontId="0" fillId="0" borderId="90" xfId="0" applyBorder="1"/>
    <xf numFmtId="0" fontId="0" fillId="0" borderId="91" xfId="0" applyBorder="1"/>
    <xf numFmtId="4" fontId="22" fillId="13" borderId="52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" fontId="22" fillId="10" borderId="52" xfId="0" applyNumberFormat="1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92" fillId="38" borderId="83" xfId="629" applyFont="1" applyFill="1" applyBorder="1" applyAlignment="1">
      <alignment horizontal="center" vertical="center"/>
    </xf>
    <xf numFmtId="0" fontId="64" fillId="0" borderId="7" xfId="710" applyFont="1" applyBorder="1" applyAlignment="1">
      <alignment horizontal="left" vertical="center"/>
    </xf>
    <xf numFmtId="0" fontId="0" fillId="0" borderId="7" xfId="0" applyBorder="1"/>
    <xf numFmtId="0" fontId="73" fillId="51" borderId="67" xfId="711" applyFont="1" applyFill="1" applyBorder="1" applyAlignment="1">
      <alignment horizontal="center" vertical="center"/>
    </xf>
    <xf numFmtId="0" fontId="50" fillId="22" borderId="0" xfId="710" applyFont="1" applyFill="1" applyAlignment="1">
      <alignment horizontal="left" vertical="center"/>
    </xf>
    <xf numFmtId="0" fontId="5" fillId="0" borderId="0" xfId="709" applyFont="1"/>
    <xf numFmtId="0" fontId="61" fillId="22" borderId="0" xfId="710" applyFont="1" applyFill="1" applyAlignment="1">
      <alignment horizontal="left" vertical="center"/>
    </xf>
  </cellXfs>
  <cellStyles count="6034">
    <cellStyle name="40% - Accent3 2" xfId="33" xr:uid="{00000000-0005-0000-0000-000021000000}"/>
    <cellStyle name="40% - Accent3 2 2" xfId="774" xr:uid="{00000000-0005-0000-0000-000006030000}"/>
    <cellStyle name="40% - Accent3 2 2 2" xfId="2226" xr:uid="{00000000-0005-0000-0000-0000B2080000}"/>
    <cellStyle name="40% - Accent3 2 2 2 2" xfId="5082" xr:uid="{00000000-0005-0000-0000-0000DA130000}"/>
    <cellStyle name="40% - Accent3 2 2 3" xfId="3664" xr:uid="{00000000-0005-0000-0000-0000500E0000}"/>
    <cellStyle name="40% - Accent3 2 3" xfId="1578" xr:uid="{00000000-0005-0000-0000-00002A060000}"/>
    <cellStyle name="40% - Accent3 2 3 2" xfId="4438" xr:uid="{00000000-0005-0000-0000-000056110000}"/>
    <cellStyle name="40% - Accent3 2 4" xfId="3023" xr:uid="{00000000-0005-0000-0000-0000CF0B0000}"/>
    <cellStyle name="40% - Accent3 3" xfId="45" xr:uid="{00000000-0005-0000-0000-00002D000000}"/>
    <cellStyle name="40% - Accent3 4" xfId="1574" xr:uid="{00000000-0005-0000-0000-000026060000}"/>
    <cellStyle name="40% - Accent3 4 2" xfId="4434" xr:uid="{00000000-0005-0000-0000-000052110000}"/>
    <cellStyle name="40% - Accent3 5" xfId="3019" xr:uid="{00000000-0005-0000-0000-0000CB0B0000}"/>
    <cellStyle name="Accent1 2" xfId="666" xr:uid="{00000000-0005-0000-0000-00009A020000}"/>
    <cellStyle name="Accent1 2 2" xfId="706" xr:uid="{00000000-0005-0000-0000-0000C2020000}"/>
    <cellStyle name="Accent2 2" xfId="43" xr:uid="{00000000-0005-0000-0000-00002B000000}"/>
    <cellStyle name="Accent4 2" xfId="42" xr:uid="{00000000-0005-0000-0000-00002A000000}"/>
    <cellStyle name="Accent5 2" xfId="41" xr:uid="{00000000-0005-0000-0000-000029000000}"/>
    <cellStyle name="Accent6 2" xfId="44" xr:uid="{00000000-0005-0000-0000-00002C000000}"/>
    <cellStyle name="cf1" xfId="648" xr:uid="{00000000-0005-0000-0000-000088020000}"/>
    <cellStyle name="cf2" xfId="649" xr:uid="{00000000-0005-0000-0000-000089020000}"/>
    <cellStyle name="cf3" xfId="650" xr:uid="{00000000-0005-0000-0000-00008A020000}"/>
    <cellStyle name="Comma" xfId="1" builtinId="3"/>
    <cellStyle name="Comma 10" xfId="63" xr:uid="{00000000-0005-0000-0000-00003F000000}"/>
    <cellStyle name="Comma 10 2" xfId="791" xr:uid="{00000000-0005-0000-0000-000017030000}"/>
    <cellStyle name="Comma 10 2 2" xfId="2242" xr:uid="{00000000-0005-0000-0000-0000C2080000}"/>
    <cellStyle name="Comma 10 2 2 2" xfId="5098" xr:uid="{00000000-0005-0000-0000-0000EA130000}"/>
    <cellStyle name="Comma 10 2 3" xfId="3680" xr:uid="{00000000-0005-0000-0000-0000600E0000}"/>
    <cellStyle name="Comma 10 3" xfId="1594" xr:uid="{00000000-0005-0000-0000-00003A060000}"/>
    <cellStyle name="Comma 10 3 2" xfId="4454" xr:uid="{00000000-0005-0000-0000-000066110000}"/>
    <cellStyle name="Comma 10 4" xfId="3039" xr:uid="{00000000-0005-0000-0000-0000DF0B0000}"/>
    <cellStyle name="Comma 100" xfId="557" xr:uid="{00000000-0005-0000-0000-00002D020000}"/>
    <cellStyle name="Comma 100 2" xfId="1276" xr:uid="{00000000-0005-0000-0000-0000FC040000}"/>
    <cellStyle name="Comma 100 2 2" xfId="2724" xr:uid="{00000000-0005-0000-0000-0000A40A0000}"/>
    <cellStyle name="Comma 100 2 2 2" xfId="5580" xr:uid="{00000000-0005-0000-0000-0000CC150000}"/>
    <cellStyle name="Comma 100 2 3" xfId="4162" xr:uid="{00000000-0005-0000-0000-000042100000}"/>
    <cellStyle name="Comma 100 3" xfId="2079" xr:uid="{00000000-0005-0000-0000-00001F080000}"/>
    <cellStyle name="Comma 100 3 2" xfId="4939" xr:uid="{00000000-0005-0000-0000-00004B130000}"/>
    <cellStyle name="Comma 100 4" xfId="3523" xr:uid="{00000000-0005-0000-0000-0000C30D0000}"/>
    <cellStyle name="Comma 101" xfId="560" xr:uid="{00000000-0005-0000-0000-000030020000}"/>
    <cellStyle name="Comma 101 2" xfId="1279" xr:uid="{00000000-0005-0000-0000-0000FF040000}"/>
    <cellStyle name="Comma 101 2 2" xfId="2727" xr:uid="{00000000-0005-0000-0000-0000A70A0000}"/>
    <cellStyle name="Comma 101 2 2 2" xfId="5583" xr:uid="{00000000-0005-0000-0000-0000CF150000}"/>
    <cellStyle name="Comma 101 2 3" xfId="4165" xr:uid="{00000000-0005-0000-0000-000045100000}"/>
    <cellStyle name="Comma 101 3" xfId="2082" xr:uid="{00000000-0005-0000-0000-000022080000}"/>
    <cellStyle name="Comma 101 3 2" xfId="4942" xr:uid="{00000000-0005-0000-0000-00004E130000}"/>
    <cellStyle name="Comma 101 4" xfId="3526" xr:uid="{00000000-0005-0000-0000-0000C60D0000}"/>
    <cellStyle name="Comma 102" xfId="563" xr:uid="{00000000-0005-0000-0000-000033020000}"/>
    <cellStyle name="Comma 102 2" xfId="1282" xr:uid="{00000000-0005-0000-0000-000002050000}"/>
    <cellStyle name="Comma 102 2 2" xfId="2730" xr:uid="{00000000-0005-0000-0000-0000AA0A0000}"/>
    <cellStyle name="Comma 102 2 2 2" xfId="5586" xr:uid="{00000000-0005-0000-0000-0000D2150000}"/>
    <cellStyle name="Comma 102 2 3" xfId="4168" xr:uid="{00000000-0005-0000-0000-000048100000}"/>
    <cellStyle name="Comma 102 3" xfId="2085" xr:uid="{00000000-0005-0000-0000-000025080000}"/>
    <cellStyle name="Comma 102 3 2" xfId="4945" xr:uid="{00000000-0005-0000-0000-000051130000}"/>
    <cellStyle name="Comma 102 4" xfId="3529" xr:uid="{00000000-0005-0000-0000-0000C90D0000}"/>
    <cellStyle name="Comma 103" xfId="573" xr:uid="{00000000-0005-0000-0000-00003D020000}"/>
    <cellStyle name="Comma 103 2" xfId="601" xr:uid="{00000000-0005-0000-0000-000059020000}"/>
    <cellStyle name="Comma 103 2 2" xfId="1319" xr:uid="{00000000-0005-0000-0000-000027050000}"/>
    <cellStyle name="Comma 103 2 2 2" xfId="2767" xr:uid="{00000000-0005-0000-0000-0000CF0A0000}"/>
    <cellStyle name="Comma 103 2 2 2 2" xfId="5623" xr:uid="{00000000-0005-0000-0000-0000F7150000}"/>
    <cellStyle name="Comma 103 2 2 3" xfId="4205" xr:uid="{00000000-0005-0000-0000-00006D100000}"/>
    <cellStyle name="Comma 103 2 3" xfId="2122" xr:uid="{00000000-0005-0000-0000-00004A080000}"/>
    <cellStyle name="Comma 103 2 3 2" xfId="4982" xr:uid="{00000000-0005-0000-0000-000076130000}"/>
    <cellStyle name="Comma 103 2 4" xfId="3566" xr:uid="{00000000-0005-0000-0000-0000EE0D0000}"/>
    <cellStyle name="Comma 103 3" xfId="1292" xr:uid="{00000000-0005-0000-0000-00000C050000}"/>
    <cellStyle name="Comma 103 3 2" xfId="2740" xr:uid="{00000000-0005-0000-0000-0000B40A0000}"/>
    <cellStyle name="Comma 103 3 2 2" xfId="5596" xr:uid="{00000000-0005-0000-0000-0000DC150000}"/>
    <cellStyle name="Comma 103 3 3" xfId="4178" xr:uid="{00000000-0005-0000-0000-000052100000}"/>
    <cellStyle name="Comma 103 4" xfId="2095" xr:uid="{00000000-0005-0000-0000-00002F080000}"/>
    <cellStyle name="Comma 103 4 2" xfId="4955" xr:uid="{00000000-0005-0000-0000-00005B130000}"/>
    <cellStyle name="Comma 103 5" xfId="3539" xr:uid="{00000000-0005-0000-0000-0000D30D0000}"/>
    <cellStyle name="Comma 104" xfId="577" xr:uid="{00000000-0005-0000-0000-000041020000}"/>
    <cellStyle name="Comma 104 2" xfId="1296" xr:uid="{00000000-0005-0000-0000-000010050000}"/>
    <cellStyle name="Comma 104 2 2" xfId="2744" xr:uid="{00000000-0005-0000-0000-0000B80A0000}"/>
    <cellStyle name="Comma 104 2 2 2" xfId="5600" xr:uid="{00000000-0005-0000-0000-0000E0150000}"/>
    <cellStyle name="Comma 104 2 3" xfId="4182" xr:uid="{00000000-0005-0000-0000-000056100000}"/>
    <cellStyle name="Comma 104 3" xfId="2099" xr:uid="{00000000-0005-0000-0000-000033080000}"/>
    <cellStyle name="Comma 104 3 2" xfId="4959" xr:uid="{00000000-0005-0000-0000-00005F130000}"/>
    <cellStyle name="Comma 104 4" xfId="3543" xr:uid="{00000000-0005-0000-0000-0000D70D0000}"/>
    <cellStyle name="Comma 105" xfId="588" xr:uid="{00000000-0005-0000-0000-00004C020000}"/>
    <cellStyle name="Comma 106" xfId="595" xr:uid="{00000000-0005-0000-0000-000053020000}"/>
    <cellStyle name="Comma 106 2" xfId="1313" xr:uid="{00000000-0005-0000-0000-000021050000}"/>
    <cellStyle name="Comma 106 2 2" xfId="2761" xr:uid="{00000000-0005-0000-0000-0000C90A0000}"/>
    <cellStyle name="Comma 106 2 2 2" xfId="5617" xr:uid="{00000000-0005-0000-0000-0000F1150000}"/>
    <cellStyle name="Comma 106 2 3" xfId="4199" xr:uid="{00000000-0005-0000-0000-000067100000}"/>
    <cellStyle name="Comma 106 3" xfId="2116" xr:uid="{00000000-0005-0000-0000-000044080000}"/>
    <cellStyle name="Comma 106 3 2" xfId="4976" xr:uid="{00000000-0005-0000-0000-000070130000}"/>
    <cellStyle name="Comma 106 4" xfId="3560" xr:uid="{00000000-0005-0000-0000-0000E80D0000}"/>
    <cellStyle name="Comma 107" xfId="599" xr:uid="{00000000-0005-0000-0000-000057020000}"/>
    <cellStyle name="Comma 107 2" xfId="1317" xr:uid="{00000000-0005-0000-0000-000025050000}"/>
    <cellStyle name="Comma 107 2 2" xfId="2765" xr:uid="{00000000-0005-0000-0000-0000CD0A0000}"/>
    <cellStyle name="Comma 107 2 2 2" xfId="5621" xr:uid="{00000000-0005-0000-0000-0000F5150000}"/>
    <cellStyle name="Comma 107 2 3" xfId="4203" xr:uid="{00000000-0005-0000-0000-00006B100000}"/>
    <cellStyle name="Comma 107 3" xfId="2120" xr:uid="{00000000-0005-0000-0000-000048080000}"/>
    <cellStyle name="Comma 107 3 2" xfId="4980" xr:uid="{00000000-0005-0000-0000-000074130000}"/>
    <cellStyle name="Comma 107 4" xfId="3564" xr:uid="{00000000-0005-0000-0000-0000EC0D0000}"/>
    <cellStyle name="Comma 108" xfId="606" xr:uid="{00000000-0005-0000-0000-00005E020000}"/>
    <cellStyle name="Comma 108 2" xfId="1324" xr:uid="{00000000-0005-0000-0000-00002C050000}"/>
    <cellStyle name="Comma 108 2 2" xfId="2772" xr:uid="{00000000-0005-0000-0000-0000D40A0000}"/>
    <cellStyle name="Comma 108 2 2 2" xfId="5628" xr:uid="{00000000-0005-0000-0000-0000FC150000}"/>
    <cellStyle name="Comma 108 2 3" xfId="4210" xr:uid="{00000000-0005-0000-0000-000072100000}"/>
    <cellStyle name="Comma 108 3" xfId="2127" xr:uid="{00000000-0005-0000-0000-00004F080000}"/>
    <cellStyle name="Comma 108 3 2" xfId="4987" xr:uid="{00000000-0005-0000-0000-00007B130000}"/>
    <cellStyle name="Comma 108 4" xfId="3571" xr:uid="{00000000-0005-0000-0000-0000F30D0000}"/>
    <cellStyle name="Comma 109" xfId="611" xr:uid="{00000000-0005-0000-0000-000063020000}"/>
    <cellStyle name="Comma 109 2" xfId="1329" xr:uid="{00000000-0005-0000-0000-000031050000}"/>
    <cellStyle name="Comma 109 2 2" xfId="2777" xr:uid="{00000000-0005-0000-0000-0000D90A0000}"/>
    <cellStyle name="Comma 109 2 2 2" xfId="5633" xr:uid="{00000000-0005-0000-0000-000001160000}"/>
    <cellStyle name="Comma 109 2 3" xfId="4215" xr:uid="{00000000-0005-0000-0000-000077100000}"/>
    <cellStyle name="Comma 109 3" xfId="2132" xr:uid="{00000000-0005-0000-0000-000054080000}"/>
    <cellStyle name="Comma 109 3 2" xfId="4992" xr:uid="{00000000-0005-0000-0000-000080130000}"/>
    <cellStyle name="Comma 109 4" xfId="3576" xr:uid="{00000000-0005-0000-0000-0000F80D0000}"/>
    <cellStyle name="Comma 11" xfId="71" xr:uid="{00000000-0005-0000-0000-000047000000}"/>
    <cellStyle name="Comma 110" xfId="614" xr:uid="{00000000-0005-0000-0000-000066020000}"/>
    <cellStyle name="Comma 110 2" xfId="1332" xr:uid="{00000000-0005-0000-0000-000034050000}"/>
    <cellStyle name="Comma 110 2 2" xfId="2780" xr:uid="{00000000-0005-0000-0000-0000DC0A0000}"/>
    <cellStyle name="Comma 110 2 2 2" xfId="5636" xr:uid="{00000000-0005-0000-0000-000004160000}"/>
    <cellStyle name="Comma 110 2 3" xfId="4218" xr:uid="{00000000-0005-0000-0000-00007A100000}"/>
    <cellStyle name="Comma 110 3" xfId="2135" xr:uid="{00000000-0005-0000-0000-000057080000}"/>
    <cellStyle name="Comma 110 3 2" xfId="4995" xr:uid="{00000000-0005-0000-0000-000083130000}"/>
    <cellStyle name="Comma 110 4" xfId="3579" xr:uid="{00000000-0005-0000-0000-0000FB0D0000}"/>
    <cellStyle name="Comma 111" xfId="637" xr:uid="{00000000-0005-0000-0000-00007D020000}"/>
    <cellStyle name="Comma 111 2" xfId="1351" xr:uid="{00000000-0005-0000-0000-000047050000}"/>
    <cellStyle name="Comma 111 2 2" xfId="2799" xr:uid="{00000000-0005-0000-0000-0000EF0A0000}"/>
    <cellStyle name="Comma 111 2 2 2" xfId="5655" xr:uid="{00000000-0005-0000-0000-000017160000}"/>
    <cellStyle name="Comma 111 2 3" xfId="4237" xr:uid="{00000000-0005-0000-0000-00008D100000}"/>
    <cellStyle name="Comma 111 3" xfId="2155" xr:uid="{00000000-0005-0000-0000-00006B080000}"/>
    <cellStyle name="Comma 111 3 2" xfId="5015" xr:uid="{00000000-0005-0000-0000-000097130000}"/>
    <cellStyle name="Comma 111 4" xfId="3599" xr:uid="{00000000-0005-0000-0000-00000F0E0000}"/>
    <cellStyle name="Comma 112" xfId="640" xr:uid="{00000000-0005-0000-0000-000080020000}"/>
    <cellStyle name="Comma 112 2" xfId="1354" xr:uid="{00000000-0005-0000-0000-00004A050000}"/>
    <cellStyle name="Comma 112 2 2" xfId="2802" xr:uid="{00000000-0005-0000-0000-0000F20A0000}"/>
    <cellStyle name="Comma 112 2 2 2" xfId="5658" xr:uid="{00000000-0005-0000-0000-00001A160000}"/>
    <cellStyle name="Comma 112 2 3" xfId="4240" xr:uid="{00000000-0005-0000-0000-000090100000}"/>
    <cellStyle name="Comma 112 3" xfId="2158" xr:uid="{00000000-0005-0000-0000-00006E080000}"/>
    <cellStyle name="Comma 112 3 2" xfId="5018" xr:uid="{00000000-0005-0000-0000-00009A130000}"/>
    <cellStyle name="Comma 112 4" xfId="3602" xr:uid="{00000000-0005-0000-0000-0000120E0000}"/>
    <cellStyle name="Comma 113" xfId="643" xr:uid="{00000000-0005-0000-0000-000083020000}"/>
    <cellStyle name="Comma 113 2" xfId="1357" xr:uid="{00000000-0005-0000-0000-00004D050000}"/>
    <cellStyle name="Comma 113 2 2" xfId="2805" xr:uid="{00000000-0005-0000-0000-0000F50A0000}"/>
    <cellStyle name="Comma 113 2 2 2" xfId="5661" xr:uid="{00000000-0005-0000-0000-00001D160000}"/>
    <cellStyle name="Comma 113 2 3" xfId="4243" xr:uid="{00000000-0005-0000-0000-000093100000}"/>
    <cellStyle name="Comma 113 3" xfId="2161" xr:uid="{00000000-0005-0000-0000-000071080000}"/>
    <cellStyle name="Comma 113 3 2" xfId="5021" xr:uid="{00000000-0005-0000-0000-00009D130000}"/>
    <cellStyle name="Comma 113 4" xfId="3605" xr:uid="{00000000-0005-0000-0000-0000150E0000}"/>
    <cellStyle name="Comma 114" xfId="645" xr:uid="{00000000-0005-0000-0000-000085020000}"/>
    <cellStyle name="Comma 114 2" xfId="1359" xr:uid="{00000000-0005-0000-0000-00004F050000}"/>
    <cellStyle name="Comma 114 2 2" xfId="2807" xr:uid="{00000000-0005-0000-0000-0000F70A0000}"/>
    <cellStyle name="Comma 114 2 2 2" xfId="5663" xr:uid="{00000000-0005-0000-0000-00001F160000}"/>
    <cellStyle name="Comma 114 2 3" xfId="4245" xr:uid="{00000000-0005-0000-0000-000095100000}"/>
    <cellStyle name="Comma 114 3" xfId="2163" xr:uid="{00000000-0005-0000-0000-000073080000}"/>
    <cellStyle name="Comma 114 3 2" xfId="5023" xr:uid="{00000000-0005-0000-0000-00009F130000}"/>
    <cellStyle name="Comma 114 4" xfId="3607" xr:uid="{00000000-0005-0000-0000-0000170E0000}"/>
    <cellStyle name="Comma 115" xfId="647" xr:uid="{00000000-0005-0000-0000-000087020000}"/>
    <cellStyle name="Comma 116" xfId="659" xr:uid="{00000000-0005-0000-0000-000093020000}"/>
    <cellStyle name="Comma 116 2" xfId="1361" xr:uid="{00000000-0005-0000-0000-000051050000}"/>
    <cellStyle name="Comma 116 2 2" xfId="2809" xr:uid="{00000000-0005-0000-0000-0000F90A0000}"/>
    <cellStyle name="Comma 116 2 2 2" xfId="5665" xr:uid="{00000000-0005-0000-0000-000021160000}"/>
    <cellStyle name="Comma 116 2 3" xfId="4247" xr:uid="{00000000-0005-0000-0000-000097100000}"/>
    <cellStyle name="Comma 116 3" xfId="2165" xr:uid="{00000000-0005-0000-0000-000075080000}"/>
    <cellStyle name="Comma 116 3 2" xfId="5025" xr:uid="{00000000-0005-0000-0000-0000A1130000}"/>
    <cellStyle name="Comma 116 4" xfId="3609" xr:uid="{00000000-0005-0000-0000-0000190E0000}"/>
    <cellStyle name="Comma 117" xfId="664" xr:uid="{00000000-0005-0000-0000-000098020000}"/>
    <cellStyle name="Comma 117 2" xfId="1365" xr:uid="{00000000-0005-0000-0000-000055050000}"/>
    <cellStyle name="Comma 117 2 2" xfId="2813" xr:uid="{00000000-0005-0000-0000-0000FD0A0000}"/>
    <cellStyle name="Comma 117 2 2 2" xfId="5669" xr:uid="{00000000-0005-0000-0000-000025160000}"/>
    <cellStyle name="Comma 117 2 3" xfId="4251" xr:uid="{00000000-0005-0000-0000-00009B100000}"/>
    <cellStyle name="Comma 117 3" xfId="2169" xr:uid="{00000000-0005-0000-0000-000079080000}"/>
    <cellStyle name="Comma 117 3 2" xfId="5029" xr:uid="{00000000-0005-0000-0000-0000A5130000}"/>
    <cellStyle name="Comma 117 4" xfId="3613" xr:uid="{00000000-0005-0000-0000-00001D0E0000}"/>
    <cellStyle name="Comma 118" xfId="671" xr:uid="{00000000-0005-0000-0000-00009F020000}"/>
    <cellStyle name="Comma 118 2" xfId="1369" xr:uid="{00000000-0005-0000-0000-000059050000}"/>
    <cellStyle name="Comma 118 2 2" xfId="2817" xr:uid="{00000000-0005-0000-0000-0000010B0000}"/>
    <cellStyle name="Comma 118 2 2 2" xfId="5672" xr:uid="{00000000-0005-0000-0000-000028160000}"/>
    <cellStyle name="Comma 118 2 3" xfId="4254" xr:uid="{00000000-0005-0000-0000-00009E100000}"/>
    <cellStyle name="Comma 118 3" xfId="2173" xr:uid="{00000000-0005-0000-0000-00007D080000}"/>
    <cellStyle name="Comma 118 3 2" xfId="5033" xr:uid="{00000000-0005-0000-0000-0000A9130000}"/>
    <cellStyle name="Comma 118 4" xfId="3617" xr:uid="{00000000-0005-0000-0000-0000210E0000}"/>
    <cellStyle name="Comma 119" xfId="675" xr:uid="{00000000-0005-0000-0000-0000A3020000}"/>
    <cellStyle name="Comma 12" xfId="73" xr:uid="{00000000-0005-0000-0000-000049000000}"/>
    <cellStyle name="Comma 12 2" xfId="799" xr:uid="{00000000-0005-0000-0000-00001F030000}"/>
    <cellStyle name="Comma 12 2 2" xfId="2250" xr:uid="{00000000-0005-0000-0000-0000CA080000}"/>
    <cellStyle name="Comma 12 2 2 2" xfId="5106" xr:uid="{00000000-0005-0000-0000-0000F2130000}"/>
    <cellStyle name="Comma 12 2 3" xfId="3688" xr:uid="{00000000-0005-0000-0000-0000680E0000}"/>
    <cellStyle name="Comma 12 3" xfId="1603" xr:uid="{00000000-0005-0000-0000-000043060000}"/>
    <cellStyle name="Comma 12 3 2" xfId="4463" xr:uid="{00000000-0005-0000-0000-00006F110000}"/>
    <cellStyle name="Comma 12 4" xfId="3047" xr:uid="{00000000-0005-0000-0000-0000E70B0000}"/>
    <cellStyle name="Comma 120" xfId="677" xr:uid="{00000000-0005-0000-0000-0000A5020000}"/>
    <cellStyle name="Comma 120 2" xfId="683" xr:uid="{00000000-0005-0000-0000-0000AB020000}"/>
    <cellStyle name="Comma 120 2 2" xfId="689" xr:uid="{00000000-0005-0000-0000-0000B1020000}"/>
    <cellStyle name="Comma 120 2 2 2" xfId="695" xr:uid="{00000000-0005-0000-0000-0000B7020000}"/>
    <cellStyle name="Comma 120 2 2 2 2" xfId="730" xr:uid="{00000000-0005-0000-0000-0000DA020000}"/>
    <cellStyle name="Comma 120 2 2 2 2 2" xfId="737" xr:uid="{00000000-0005-0000-0000-0000E1020000}"/>
    <cellStyle name="Comma 120 2 2 2 2 2 2" xfId="754" xr:uid="{00000000-0005-0000-0000-0000F2020000}"/>
    <cellStyle name="Comma 120 2 2 2 2 2 2 2" xfId="765" xr:uid="{00000000-0005-0000-0000-0000FD020000}"/>
    <cellStyle name="Comma 120 2 2 2 2 2 2 2 2" xfId="1422" xr:uid="{00000000-0005-0000-0000-00008E050000}"/>
    <cellStyle name="Comma 120 2 2 2 2 2 2 2 2 2" xfId="1433" xr:uid="{00000000-0005-0000-0000-000099050000}"/>
    <cellStyle name="Comma 120 2 2 2 2 2 2 2 2 2 10" xfId="5953" xr:uid="{00000000-0005-0000-0000-000041170000}"/>
    <cellStyle name="Comma 120 2 2 2 2 2 2 2 2 2 11" xfId="5969" xr:uid="{00000000-0005-0000-0000-000051170000}"/>
    <cellStyle name="Comma 120 2 2 2 2 2 2 2 2 2 12" xfId="5987" xr:uid="{00000000-0005-0000-0000-000063170000}"/>
    <cellStyle name="Comma 120 2 2 2 2 2 2 2 2 2 2" xfId="1458" xr:uid="{00000000-0005-0000-0000-0000B2050000}"/>
    <cellStyle name="Comma 120 2 2 2 2 2 2 2 2 2 2 2" xfId="2886" xr:uid="{00000000-0005-0000-0000-0000460B0000}"/>
    <cellStyle name="Comma 120 2 2 2 2 2 2 2 2 2 2 2 2" xfId="5740" xr:uid="{00000000-0005-0000-0000-00006C160000}"/>
    <cellStyle name="Comma 120 2 2 2 2 2 2 2 2 2 2 3" xfId="4319" xr:uid="{00000000-0005-0000-0000-0000DF100000}"/>
    <cellStyle name="Comma 120 2 2 2 2 2 2 2 2 2 3" xfId="1475" xr:uid="{00000000-0005-0000-0000-0000C3050000}"/>
    <cellStyle name="Comma 120 2 2 2 2 2 2 2 2 2 3 2" xfId="2903" xr:uid="{00000000-0005-0000-0000-0000570B0000}"/>
    <cellStyle name="Comma 120 2 2 2 2 2 2 2 2 2 3 2 2" xfId="5757" xr:uid="{00000000-0005-0000-0000-00007D160000}"/>
    <cellStyle name="Comma 120 2 2 2 2 2 2 2 2 2 3 3" xfId="4336" xr:uid="{00000000-0005-0000-0000-0000F0100000}"/>
    <cellStyle name="Comma 120 2 2 2 2 2 2 2 2 2 4" xfId="1489" xr:uid="{00000000-0005-0000-0000-0000D1050000}"/>
    <cellStyle name="Comma 120 2 2 2 2 2 2 2 2 2 4 2" xfId="1509" xr:uid="{00000000-0005-0000-0000-0000E5050000}"/>
    <cellStyle name="Comma 120 2 2 2 2 2 2 2 2 2 4 2 2" xfId="1539" xr:uid="{00000000-0005-0000-0000-000003060000}"/>
    <cellStyle name="Comma 120 2 2 2 2 2 2 2 2 2 4 2 2 2" xfId="2967" xr:uid="{00000000-0005-0000-0000-0000970B0000}"/>
    <cellStyle name="Comma 120 2 2 2 2 2 2 2 2 2 4 2 2 2 2" xfId="5820" xr:uid="{00000000-0005-0000-0000-0000BC160000}"/>
    <cellStyle name="Comma 120 2 2 2 2 2 2 2 2 2 4 2 2 3" xfId="4399" xr:uid="{00000000-0005-0000-0000-00002F110000}"/>
    <cellStyle name="Comma 120 2 2 2 2 2 2 2 2 2 4 2 3" xfId="2937" xr:uid="{00000000-0005-0000-0000-0000790B0000}"/>
    <cellStyle name="Comma 120 2 2 2 2 2 2 2 2 2 4 2 3 2" xfId="5790" xr:uid="{00000000-0005-0000-0000-00009E160000}"/>
    <cellStyle name="Comma 120 2 2 2 2 2 2 2 2 2 4 2 4" xfId="4369" xr:uid="{00000000-0005-0000-0000-000011110000}"/>
    <cellStyle name="Comma 120 2 2 2 2 2 2 2 2 2 4 3" xfId="2917" xr:uid="{00000000-0005-0000-0000-0000650B0000}"/>
    <cellStyle name="Comma 120 2 2 2 2 2 2 2 2 2 4 3 2" xfId="5771" xr:uid="{00000000-0005-0000-0000-00008B160000}"/>
    <cellStyle name="Comma 120 2 2 2 2 2 2 2 2 2 4 4" xfId="4350" xr:uid="{00000000-0005-0000-0000-0000FE100000}"/>
    <cellStyle name="Comma 120 2 2 2 2 2 2 2 2 2 5" xfId="1520" xr:uid="{00000000-0005-0000-0000-0000F0050000}"/>
    <cellStyle name="Comma 120 2 2 2 2 2 2 2 2 2 5 2" xfId="2948" xr:uid="{00000000-0005-0000-0000-0000840B0000}"/>
    <cellStyle name="Comma 120 2 2 2 2 2 2 2 2 2 5 2 2" xfId="5801" xr:uid="{00000000-0005-0000-0000-0000A9160000}"/>
    <cellStyle name="Comma 120 2 2 2 2 2 2 2 2 2 5 3" xfId="4380" xr:uid="{00000000-0005-0000-0000-00001C110000}"/>
    <cellStyle name="Comma 120 2 2 2 2 2 2 2 2 2 6" xfId="1556" xr:uid="{00000000-0005-0000-0000-000014060000}"/>
    <cellStyle name="Comma 120 2 2 2 2 2 2 2 2 2 6 2" xfId="2984" xr:uid="{00000000-0005-0000-0000-0000A80B0000}"/>
    <cellStyle name="Comma 120 2 2 2 2 2 2 2 2 2 6 2 2" xfId="5837" xr:uid="{00000000-0005-0000-0000-0000CD160000}"/>
    <cellStyle name="Comma 120 2 2 2 2 2 2 2 2 2 6 3" xfId="4416" xr:uid="{00000000-0005-0000-0000-000040110000}"/>
    <cellStyle name="Comma 120 2 2 2 2 2 2 2 2 2 7" xfId="1572" xr:uid="{00000000-0005-0000-0000-000024060000}"/>
    <cellStyle name="Comma 120 2 2 2 2 2 2 2 2 2 7 2" xfId="4432" xr:uid="{00000000-0005-0000-0000-000050110000}"/>
    <cellStyle name="Comma 120 2 2 2 2 2 2 2 2 2 8" xfId="3014" xr:uid="{00000000-0005-0000-0000-0000C60B0000}"/>
    <cellStyle name="Comma 120 2 2 2 2 2 2 2 2 2 8 2" xfId="5926" xr:uid="{00000000-0005-0000-0000-000026170000}"/>
    <cellStyle name="Comma 120 2 2 2 2 2 2 2 2 2 9" xfId="5942" xr:uid="{00000000-0005-0000-0000-000036170000}"/>
    <cellStyle name="Comma 120 2 2 2 3" xfId="6014" xr:uid="{00000000-0005-0000-0000-00007E170000}"/>
    <cellStyle name="Comma 120 2 2 2 4" xfId="6029" xr:uid="{00000000-0005-0000-0000-00008D170000}"/>
    <cellStyle name="Comma 121" xfId="681" xr:uid="{00000000-0005-0000-0000-0000A9020000}"/>
    <cellStyle name="Comma 121 2" xfId="1373" xr:uid="{00000000-0005-0000-0000-00005D050000}"/>
    <cellStyle name="Comma 121 2 2" xfId="2820" xr:uid="{00000000-0005-0000-0000-0000040B0000}"/>
    <cellStyle name="Comma 121 2 2 2" xfId="5675" xr:uid="{00000000-0005-0000-0000-00002B160000}"/>
    <cellStyle name="Comma 121 2 3" xfId="4257" xr:uid="{00000000-0005-0000-0000-0000A1100000}"/>
    <cellStyle name="Comma 121 3" xfId="2177" xr:uid="{00000000-0005-0000-0000-000081080000}"/>
    <cellStyle name="Comma 121 3 2" xfId="5036" xr:uid="{00000000-0005-0000-0000-0000AC130000}"/>
    <cellStyle name="Comma 121 4" xfId="3620" xr:uid="{00000000-0005-0000-0000-0000240E0000}"/>
    <cellStyle name="Comma 122" xfId="685" xr:uid="{00000000-0005-0000-0000-0000AD020000}"/>
    <cellStyle name="Comma 122 2" xfId="1375" xr:uid="{00000000-0005-0000-0000-00005F050000}"/>
    <cellStyle name="Comma 122 2 2" xfId="2822" xr:uid="{00000000-0005-0000-0000-0000060B0000}"/>
    <cellStyle name="Comma 122 2 2 2" xfId="5677" xr:uid="{00000000-0005-0000-0000-00002D160000}"/>
    <cellStyle name="Comma 122 2 3" xfId="4259" xr:uid="{00000000-0005-0000-0000-0000A3100000}"/>
    <cellStyle name="Comma 122 3" xfId="2179" xr:uid="{00000000-0005-0000-0000-000083080000}"/>
    <cellStyle name="Comma 122 3 2" xfId="5038" xr:uid="{00000000-0005-0000-0000-0000AE130000}"/>
    <cellStyle name="Comma 122 4" xfId="3622" xr:uid="{00000000-0005-0000-0000-0000260E0000}"/>
    <cellStyle name="Comma 123" xfId="691" xr:uid="{00000000-0005-0000-0000-0000B3020000}"/>
    <cellStyle name="Comma 123 2" xfId="1378" xr:uid="{00000000-0005-0000-0000-000062050000}"/>
    <cellStyle name="Comma 123 2 2" xfId="2825" xr:uid="{00000000-0005-0000-0000-0000090B0000}"/>
    <cellStyle name="Comma 123 2 2 2" xfId="5680" xr:uid="{00000000-0005-0000-0000-000030160000}"/>
    <cellStyle name="Comma 123 2 3" xfId="4262" xr:uid="{00000000-0005-0000-0000-0000A6100000}"/>
    <cellStyle name="Comma 123 3" xfId="2182" xr:uid="{00000000-0005-0000-0000-000086080000}"/>
    <cellStyle name="Comma 123 3 2" xfId="5041" xr:uid="{00000000-0005-0000-0000-0000B1130000}"/>
    <cellStyle name="Comma 123 4" xfId="3625" xr:uid="{00000000-0005-0000-0000-0000290E0000}"/>
    <cellStyle name="Comma 124" xfId="698" xr:uid="{00000000-0005-0000-0000-0000BA020000}"/>
    <cellStyle name="Comma 124 2" xfId="1382" xr:uid="{00000000-0005-0000-0000-000066050000}"/>
    <cellStyle name="Comma 124 2 2" xfId="2829" xr:uid="{00000000-0005-0000-0000-00000D0B0000}"/>
    <cellStyle name="Comma 124 2 2 2" xfId="5684" xr:uid="{00000000-0005-0000-0000-000034160000}"/>
    <cellStyle name="Comma 124 2 3" xfId="4266" xr:uid="{00000000-0005-0000-0000-0000AA100000}"/>
    <cellStyle name="Comma 124 3" xfId="2186" xr:uid="{00000000-0005-0000-0000-00008A080000}"/>
    <cellStyle name="Comma 124 3 2" xfId="5045" xr:uid="{00000000-0005-0000-0000-0000B5130000}"/>
    <cellStyle name="Comma 124 4" xfId="3629" xr:uid="{00000000-0005-0000-0000-00002D0E0000}"/>
    <cellStyle name="Comma 125" xfId="700" xr:uid="{00000000-0005-0000-0000-0000BC020000}"/>
    <cellStyle name="Comma 125 2" xfId="1384" xr:uid="{00000000-0005-0000-0000-000068050000}"/>
    <cellStyle name="Comma 125 2 2" xfId="2831" xr:uid="{00000000-0005-0000-0000-00000F0B0000}"/>
    <cellStyle name="Comma 125 2 2 2" xfId="5686" xr:uid="{00000000-0005-0000-0000-000036160000}"/>
    <cellStyle name="Comma 125 2 3" xfId="4268" xr:uid="{00000000-0005-0000-0000-0000AC100000}"/>
    <cellStyle name="Comma 125 3" xfId="2188" xr:uid="{00000000-0005-0000-0000-00008C080000}"/>
    <cellStyle name="Comma 125 3 2" xfId="5047" xr:uid="{00000000-0005-0000-0000-0000B7130000}"/>
    <cellStyle name="Comma 125 4" xfId="3631" xr:uid="{00000000-0005-0000-0000-00002F0E0000}"/>
    <cellStyle name="Comma 126" xfId="708" xr:uid="{00000000-0005-0000-0000-0000C4020000}"/>
    <cellStyle name="Comma 126 2" xfId="1389" xr:uid="{00000000-0005-0000-0000-00006D050000}"/>
    <cellStyle name="Comma 126 2 2" xfId="2836" xr:uid="{00000000-0005-0000-0000-0000140B0000}"/>
    <cellStyle name="Comma 126 2 2 2" xfId="5691" xr:uid="{00000000-0005-0000-0000-00003B160000}"/>
    <cellStyle name="Comma 126 2 3" xfId="4273" xr:uid="{00000000-0005-0000-0000-0000B1100000}"/>
    <cellStyle name="Comma 126 3" xfId="2195" xr:uid="{00000000-0005-0000-0000-000093080000}"/>
    <cellStyle name="Comma 126 3 2" xfId="5052" xr:uid="{00000000-0005-0000-0000-0000BC130000}"/>
    <cellStyle name="Comma 126 4" xfId="3636" xr:uid="{00000000-0005-0000-0000-0000340E0000}"/>
    <cellStyle name="Comma 127" xfId="712" xr:uid="{00000000-0005-0000-0000-0000C8020000}"/>
    <cellStyle name="Comma 127 2" xfId="1393" xr:uid="{00000000-0005-0000-0000-000071050000}"/>
    <cellStyle name="Comma 127 2 2" xfId="2840" xr:uid="{00000000-0005-0000-0000-0000180B0000}"/>
    <cellStyle name="Comma 127 2 2 2" xfId="5695" xr:uid="{00000000-0005-0000-0000-00003F160000}"/>
    <cellStyle name="Comma 127 2 3" xfId="4277" xr:uid="{00000000-0005-0000-0000-0000B5100000}"/>
    <cellStyle name="Comma 127 3" xfId="2199" xr:uid="{00000000-0005-0000-0000-000097080000}"/>
    <cellStyle name="Comma 127 3 2" xfId="5056" xr:uid="{00000000-0005-0000-0000-0000C0130000}"/>
    <cellStyle name="Comma 127 4" xfId="3640" xr:uid="{00000000-0005-0000-0000-0000380E0000}"/>
    <cellStyle name="Comma 128" xfId="713" xr:uid="{00000000-0005-0000-0000-0000C9020000}"/>
    <cellStyle name="Comma 128 2" xfId="1394" xr:uid="{00000000-0005-0000-0000-000072050000}"/>
    <cellStyle name="Comma 128 2 2" xfId="2841" xr:uid="{00000000-0005-0000-0000-0000190B0000}"/>
    <cellStyle name="Comma 128 2 2 2" xfId="5696" xr:uid="{00000000-0005-0000-0000-000040160000}"/>
    <cellStyle name="Comma 128 2 3" xfId="4278" xr:uid="{00000000-0005-0000-0000-0000B6100000}"/>
    <cellStyle name="Comma 128 3" xfId="2200" xr:uid="{00000000-0005-0000-0000-000098080000}"/>
    <cellStyle name="Comma 128 3 2" xfId="5057" xr:uid="{00000000-0005-0000-0000-0000C1130000}"/>
    <cellStyle name="Comma 128 4" xfId="3641" xr:uid="{00000000-0005-0000-0000-0000390E0000}"/>
    <cellStyle name="Comma 129" xfId="718" xr:uid="{00000000-0005-0000-0000-0000CE020000}"/>
    <cellStyle name="Comma 129 2" xfId="1397" xr:uid="{00000000-0005-0000-0000-000075050000}"/>
    <cellStyle name="Comma 129 2 2" xfId="2844" xr:uid="{00000000-0005-0000-0000-00001C0B0000}"/>
    <cellStyle name="Comma 129 2 2 2" xfId="5699" xr:uid="{00000000-0005-0000-0000-000043160000}"/>
    <cellStyle name="Comma 129 2 3" xfId="4281" xr:uid="{00000000-0005-0000-0000-0000B9100000}"/>
    <cellStyle name="Comma 129 3" xfId="2204" xr:uid="{00000000-0005-0000-0000-00009C080000}"/>
    <cellStyle name="Comma 129 3 2" xfId="5060" xr:uid="{00000000-0005-0000-0000-0000C4130000}"/>
    <cellStyle name="Comma 129 4" xfId="3644" xr:uid="{00000000-0005-0000-0000-00003C0E0000}"/>
    <cellStyle name="Comma 13" xfId="76" xr:uid="{00000000-0005-0000-0000-00004C000000}"/>
    <cellStyle name="Comma 13 2" xfId="802" xr:uid="{00000000-0005-0000-0000-000022030000}"/>
    <cellStyle name="Comma 13 2 2" xfId="2253" xr:uid="{00000000-0005-0000-0000-0000CD080000}"/>
    <cellStyle name="Comma 13 2 2 2" xfId="5109" xr:uid="{00000000-0005-0000-0000-0000F5130000}"/>
    <cellStyle name="Comma 13 2 3" xfId="3691" xr:uid="{00000000-0005-0000-0000-00006B0E0000}"/>
    <cellStyle name="Comma 13 3" xfId="1606" xr:uid="{00000000-0005-0000-0000-000046060000}"/>
    <cellStyle name="Comma 13 3 2" xfId="4466" xr:uid="{00000000-0005-0000-0000-000072110000}"/>
    <cellStyle name="Comma 13 4" xfId="3050" xr:uid="{00000000-0005-0000-0000-0000EA0B0000}"/>
    <cellStyle name="Comma 130" xfId="727" xr:uid="{00000000-0005-0000-0000-0000D7020000}"/>
    <cellStyle name="Comma 130 2" xfId="734" xr:uid="{00000000-0005-0000-0000-0000DE020000}"/>
    <cellStyle name="Comma 130 2 2" xfId="1406" xr:uid="{00000000-0005-0000-0000-00007E050000}"/>
    <cellStyle name="Comma 130 2 2 2" xfId="2853" xr:uid="{00000000-0005-0000-0000-0000250B0000}"/>
    <cellStyle name="Comma 130 2 2 2 2" xfId="5708" xr:uid="{00000000-0005-0000-0000-00004C160000}"/>
    <cellStyle name="Comma 130 2 2 3" xfId="4290" xr:uid="{00000000-0005-0000-0000-0000C2100000}"/>
    <cellStyle name="Comma 130 2 3" xfId="2213" xr:uid="{00000000-0005-0000-0000-0000A5080000}"/>
    <cellStyle name="Comma 130 2 3 2" xfId="5069" xr:uid="{00000000-0005-0000-0000-0000CD130000}"/>
    <cellStyle name="Comma 130 2 4" xfId="3653" xr:uid="{00000000-0005-0000-0000-0000450E0000}"/>
    <cellStyle name="Comma 130 3" xfId="743" xr:uid="{00000000-0005-0000-0000-0000E7020000}"/>
    <cellStyle name="Comma 130 3 2" xfId="750" xr:uid="{00000000-0005-0000-0000-0000EE020000}"/>
    <cellStyle name="Comma 130 3 2 2" xfId="760" xr:uid="{00000000-0005-0000-0000-0000F8020000}"/>
    <cellStyle name="Comma 130 3 2 2 2" xfId="1419" xr:uid="{00000000-0005-0000-0000-00008B050000}"/>
    <cellStyle name="Comma 130 3 2 2 2 2" xfId="1430" xr:uid="{00000000-0005-0000-0000-000096050000}"/>
    <cellStyle name="Comma 130 3 2 2 2 2 10" xfId="5950" xr:uid="{00000000-0005-0000-0000-00003E170000}"/>
    <cellStyle name="Comma 130 3 2 2 2 2 11" xfId="5966" xr:uid="{00000000-0005-0000-0000-00004E170000}"/>
    <cellStyle name="Comma 130 3 2 2 2 2 12" xfId="5984" xr:uid="{00000000-0005-0000-0000-000060170000}"/>
    <cellStyle name="Comma 130 3 2 2 2 2 2" xfId="1455" xr:uid="{00000000-0005-0000-0000-0000AF050000}"/>
    <cellStyle name="Comma 130 3 2 2 2 2 2 2" xfId="2883" xr:uid="{00000000-0005-0000-0000-0000430B0000}"/>
    <cellStyle name="Comma 130 3 2 2 2 2 2 2 2" xfId="5737" xr:uid="{00000000-0005-0000-0000-000069160000}"/>
    <cellStyle name="Comma 130 3 2 2 2 2 2 3" xfId="4316" xr:uid="{00000000-0005-0000-0000-0000DC100000}"/>
    <cellStyle name="Comma 130 3 2 2 2 2 3" xfId="1472" xr:uid="{00000000-0005-0000-0000-0000C0050000}"/>
    <cellStyle name="Comma 130 3 2 2 2 2 3 2" xfId="2900" xr:uid="{00000000-0005-0000-0000-0000540B0000}"/>
    <cellStyle name="Comma 130 3 2 2 2 2 3 2 2" xfId="5754" xr:uid="{00000000-0005-0000-0000-00007A160000}"/>
    <cellStyle name="Comma 130 3 2 2 2 2 3 3" xfId="4333" xr:uid="{00000000-0005-0000-0000-0000ED100000}"/>
    <cellStyle name="Comma 130 3 2 2 2 2 4" xfId="1485" xr:uid="{00000000-0005-0000-0000-0000CD050000}"/>
    <cellStyle name="Comma 130 3 2 2 2 2 4 2" xfId="1505" xr:uid="{00000000-0005-0000-0000-0000E1050000}"/>
    <cellStyle name="Comma 130 3 2 2 2 2 4 2 2" xfId="1535" xr:uid="{00000000-0005-0000-0000-0000FF050000}"/>
    <cellStyle name="Comma 130 3 2 2 2 2 4 2 2 2" xfId="2963" xr:uid="{00000000-0005-0000-0000-0000930B0000}"/>
    <cellStyle name="Comma 130 3 2 2 2 2 4 2 2 2 2" xfId="5816" xr:uid="{00000000-0005-0000-0000-0000B8160000}"/>
    <cellStyle name="Comma 130 3 2 2 2 2 4 2 2 3" xfId="4395" xr:uid="{00000000-0005-0000-0000-00002B110000}"/>
    <cellStyle name="Comma 130 3 2 2 2 2 4 2 3" xfId="2933" xr:uid="{00000000-0005-0000-0000-0000750B0000}"/>
    <cellStyle name="Comma 130 3 2 2 2 2 4 2 3 2" xfId="5786" xr:uid="{00000000-0005-0000-0000-00009A160000}"/>
    <cellStyle name="Comma 130 3 2 2 2 2 4 2 3 2 2" xfId="5921" xr:uid="{00000000-0005-0000-0000-000021170000}"/>
    <cellStyle name="Comma 130 3 2 2 2 2 4 2 4" xfId="4365" xr:uid="{00000000-0005-0000-0000-00000D110000}"/>
    <cellStyle name="Comma 130 3 2 2 2 2 4 3" xfId="2913" xr:uid="{00000000-0005-0000-0000-0000610B0000}"/>
    <cellStyle name="Comma 130 3 2 2 2 2 4 3 2" xfId="5767" xr:uid="{00000000-0005-0000-0000-000087160000}"/>
    <cellStyle name="Comma 130 3 2 2 2 2 4 4" xfId="4346" xr:uid="{00000000-0005-0000-0000-0000FA100000}"/>
    <cellStyle name="Comma 130 3 2 2 2 2 5" xfId="1517" xr:uid="{00000000-0005-0000-0000-0000ED050000}"/>
    <cellStyle name="Comma 130 3 2 2 2 2 5 2" xfId="2945" xr:uid="{00000000-0005-0000-0000-0000810B0000}"/>
    <cellStyle name="Comma 130 3 2 2 2 2 5 2 2" xfId="5798" xr:uid="{00000000-0005-0000-0000-0000A6160000}"/>
    <cellStyle name="Comma 130 3 2 2 2 2 5 3" xfId="4377" xr:uid="{00000000-0005-0000-0000-000019110000}"/>
    <cellStyle name="Comma 130 3 2 2 2 2 6" xfId="1553" xr:uid="{00000000-0005-0000-0000-000011060000}"/>
    <cellStyle name="Comma 130 3 2 2 2 2 6 2" xfId="2981" xr:uid="{00000000-0005-0000-0000-0000A50B0000}"/>
    <cellStyle name="Comma 130 3 2 2 2 2 6 2 2" xfId="5834" xr:uid="{00000000-0005-0000-0000-0000CA160000}"/>
    <cellStyle name="Comma 130 3 2 2 2 2 6 3" xfId="4413" xr:uid="{00000000-0005-0000-0000-00003D110000}"/>
    <cellStyle name="Comma 130 3 2 2 2 2 7" xfId="1569" xr:uid="{00000000-0005-0000-0000-000021060000}"/>
    <cellStyle name="Comma 130 3 2 2 2 2 7 2" xfId="4429" xr:uid="{00000000-0005-0000-0000-00004D110000}"/>
    <cellStyle name="Comma 130 3 2 2 2 2 8" xfId="3011" xr:uid="{00000000-0005-0000-0000-0000C30B0000}"/>
    <cellStyle name="Comma 130 3 2 2 2 2 8 2" xfId="5923" xr:uid="{00000000-0005-0000-0000-000023170000}"/>
    <cellStyle name="Comma 130 3 2 2 2 2 9" xfId="5939" xr:uid="{00000000-0005-0000-0000-000033170000}"/>
    <cellStyle name="Comma 130 3 2 3" xfId="1438" xr:uid="{00000000-0005-0000-0000-00009E050000}"/>
    <cellStyle name="Comma 130 3 2 3 2" xfId="2867" xr:uid="{00000000-0005-0000-0000-0000330B0000}"/>
    <cellStyle name="Comma 130 3 2 3 2 2" xfId="5722" xr:uid="{00000000-0005-0000-0000-00005A160000}"/>
    <cellStyle name="Comma 130 3 2 3 3" xfId="4302" xr:uid="{00000000-0005-0000-0000-0000CE100000}"/>
    <cellStyle name="Comma 130 3 2 4" xfId="1445" xr:uid="{00000000-0005-0000-0000-0000A5050000}"/>
    <cellStyle name="Comma 130 3 2 4 2" xfId="2874" xr:uid="{00000000-0005-0000-0000-00003A0B0000}"/>
    <cellStyle name="Comma 130 3 2 4 2 2" xfId="5728" xr:uid="{00000000-0005-0000-0000-000060160000}"/>
    <cellStyle name="Comma 130 3 2 4 3" xfId="4307" xr:uid="{00000000-0005-0000-0000-0000D3100000}"/>
    <cellStyle name="Comma 131" xfId="732" xr:uid="{00000000-0005-0000-0000-0000DC020000}"/>
    <cellStyle name="Comma 131 2" xfId="1405" xr:uid="{00000000-0005-0000-0000-00007D050000}"/>
    <cellStyle name="Comma 131 2 2" xfId="2852" xr:uid="{00000000-0005-0000-0000-0000240B0000}"/>
    <cellStyle name="Comma 131 2 2 2" xfId="5707" xr:uid="{00000000-0005-0000-0000-00004B160000}"/>
    <cellStyle name="Comma 131 2 3" xfId="4289" xr:uid="{00000000-0005-0000-0000-0000C1100000}"/>
    <cellStyle name="Comma 131 3" xfId="2212" xr:uid="{00000000-0005-0000-0000-0000A4080000}"/>
    <cellStyle name="Comma 131 3 2" xfId="5068" xr:uid="{00000000-0005-0000-0000-0000CC130000}"/>
    <cellStyle name="Comma 131 4" xfId="3652" xr:uid="{00000000-0005-0000-0000-0000440E0000}"/>
    <cellStyle name="Comma 132" xfId="739" xr:uid="{00000000-0005-0000-0000-0000E3020000}"/>
    <cellStyle name="Comma 132 2" xfId="747" xr:uid="{00000000-0005-0000-0000-0000EB020000}"/>
    <cellStyle name="Comma 132 2 2" xfId="1411" xr:uid="{00000000-0005-0000-0000-000083050000}"/>
    <cellStyle name="Comma 132 2 2 2" xfId="2858" xr:uid="{00000000-0005-0000-0000-00002A0B0000}"/>
    <cellStyle name="Comma 132 2 2 2 2" xfId="5713" xr:uid="{00000000-0005-0000-0000-000051160000}"/>
    <cellStyle name="Comma 132 2 2 3" xfId="4295" xr:uid="{00000000-0005-0000-0000-0000C7100000}"/>
    <cellStyle name="Comma 132 2 3" xfId="2219" xr:uid="{00000000-0005-0000-0000-0000AB080000}"/>
    <cellStyle name="Comma 132 2 3 2" xfId="5075" xr:uid="{00000000-0005-0000-0000-0000D3130000}"/>
    <cellStyle name="Comma 132 2 4" xfId="3658" xr:uid="{00000000-0005-0000-0000-00004A0E0000}"/>
    <cellStyle name="Comma 132 3" xfId="1409" xr:uid="{00000000-0005-0000-0000-000081050000}"/>
    <cellStyle name="Comma 132 3 2" xfId="2856" xr:uid="{00000000-0005-0000-0000-0000280B0000}"/>
    <cellStyle name="Comma 132 3 2 2" xfId="5711" xr:uid="{00000000-0005-0000-0000-00004F160000}"/>
    <cellStyle name="Comma 132 3 3" xfId="4293" xr:uid="{00000000-0005-0000-0000-0000C5100000}"/>
    <cellStyle name="Comma 132 4" xfId="2216" xr:uid="{00000000-0005-0000-0000-0000A8080000}"/>
    <cellStyle name="Comma 132 4 2" xfId="5072" xr:uid="{00000000-0005-0000-0000-0000D0130000}"/>
    <cellStyle name="Comma 132 5" xfId="3656" xr:uid="{00000000-0005-0000-0000-0000480E0000}"/>
    <cellStyle name="Comma 133" xfId="746" xr:uid="{00000000-0005-0000-0000-0000EA020000}"/>
    <cellStyle name="Comma 133 2" xfId="1410" xr:uid="{00000000-0005-0000-0000-000082050000}"/>
    <cellStyle name="Comma 133 2 2" xfId="2857" xr:uid="{00000000-0005-0000-0000-0000290B0000}"/>
    <cellStyle name="Comma 133 2 2 2" xfId="5712" xr:uid="{00000000-0005-0000-0000-000050160000}"/>
    <cellStyle name="Comma 133 2 3" xfId="4294" xr:uid="{00000000-0005-0000-0000-0000C6100000}"/>
    <cellStyle name="Comma 133 3" xfId="2218" xr:uid="{00000000-0005-0000-0000-0000AA080000}"/>
    <cellStyle name="Comma 133 3 2" xfId="5074" xr:uid="{00000000-0005-0000-0000-0000D2130000}"/>
    <cellStyle name="Comma 133 4" xfId="3657" xr:uid="{00000000-0005-0000-0000-0000490E0000}"/>
    <cellStyle name="Comma 134" xfId="755" xr:uid="{00000000-0005-0000-0000-0000F3020000}"/>
    <cellStyle name="Comma 134 2" xfId="1412" xr:uid="{00000000-0005-0000-0000-000084050000}"/>
    <cellStyle name="Comma 134 2 2" xfId="1426" xr:uid="{00000000-0005-0000-0000-000092050000}"/>
    <cellStyle name="Comma 134 2 2 10" xfId="5946" xr:uid="{00000000-0005-0000-0000-00003A170000}"/>
    <cellStyle name="Comma 134 2 2 11" xfId="5962" xr:uid="{00000000-0005-0000-0000-00004A170000}"/>
    <cellStyle name="Comma 134 2 2 12" xfId="5980" xr:uid="{00000000-0005-0000-0000-00005C170000}"/>
    <cellStyle name="Comma 134 2 2 2" xfId="1451" xr:uid="{00000000-0005-0000-0000-0000AB050000}"/>
    <cellStyle name="Comma 134 2 2 2 2" xfId="2879" xr:uid="{00000000-0005-0000-0000-00003F0B0000}"/>
    <cellStyle name="Comma 134 2 2 2 2 2" xfId="5733" xr:uid="{00000000-0005-0000-0000-000065160000}"/>
    <cellStyle name="Comma 134 2 2 2 3" xfId="4312" xr:uid="{00000000-0005-0000-0000-0000D8100000}"/>
    <cellStyle name="Comma 134 2 2 3" xfId="1468" xr:uid="{00000000-0005-0000-0000-0000BC050000}"/>
    <cellStyle name="Comma 134 2 2 3 2" xfId="1503" xr:uid="{00000000-0005-0000-0000-0000DF050000}"/>
    <cellStyle name="Comma 134 2 2 3 2 2" xfId="1533" xr:uid="{00000000-0005-0000-0000-0000FD050000}"/>
    <cellStyle name="Comma 134 2 2 3 2 2 2" xfId="2961" xr:uid="{00000000-0005-0000-0000-0000910B0000}"/>
    <cellStyle name="Comma 134 2 2 3 2 2 2 2" xfId="5814" xr:uid="{00000000-0005-0000-0000-0000B6160000}"/>
    <cellStyle name="Comma 134 2 2 3 2 2 3" xfId="4393" xr:uid="{00000000-0005-0000-0000-000029110000}"/>
    <cellStyle name="Comma 134 2 2 3 2 3" xfId="2931" xr:uid="{00000000-0005-0000-0000-0000730B0000}"/>
    <cellStyle name="Comma 134 2 2 3 2 3 2" xfId="5784" xr:uid="{00000000-0005-0000-0000-000098160000}"/>
    <cellStyle name="Comma 134 2 2 3 2 4" xfId="4363" xr:uid="{00000000-0005-0000-0000-00000B110000}"/>
    <cellStyle name="Comma 134 2 2 3 3" xfId="2896" xr:uid="{00000000-0005-0000-0000-0000500B0000}"/>
    <cellStyle name="Comma 134 2 2 3 3 2" xfId="5750" xr:uid="{00000000-0005-0000-0000-000076160000}"/>
    <cellStyle name="Comma 134 2 2 3 4" xfId="4329" xr:uid="{00000000-0005-0000-0000-0000E9100000}"/>
    <cellStyle name="Comma 134 2 2 4" xfId="1481" xr:uid="{00000000-0005-0000-0000-0000C9050000}"/>
    <cellStyle name="Comma 134 2 2 4 2" xfId="1499" xr:uid="{00000000-0005-0000-0000-0000DB050000}"/>
    <cellStyle name="Comma 134 2 2 4 2 2" xfId="1529" xr:uid="{00000000-0005-0000-0000-0000F9050000}"/>
    <cellStyle name="Comma 134 2 2 4 2 2 2" xfId="2957" xr:uid="{00000000-0005-0000-0000-00008D0B0000}"/>
    <cellStyle name="Comma 134 2 2 4 2 2 2 2" xfId="5810" xr:uid="{00000000-0005-0000-0000-0000B2160000}"/>
    <cellStyle name="Comma 134 2 2 4 2 2 2 2 2" xfId="5911" xr:uid="{00000000-0005-0000-0000-000017170000}"/>
    <cellStyle name="Comma 134 2 2 4 2 2 3" xfId="4389" xr:uid="{00000000-0005-0000-0000-000025110000}"/>
    <cellStyle name="Comma 134 2 2 4 2 3" xfId="2927" xr:uid="{00000000-0005-0000-0000-00006F0B0000}"/>
    <cellStyle name="Comma 134 2 2 4 2 3 2" xfId="5780" xr:uid="{00000000-0005-0000-0000-000094160000}"/>
    <cellStyle name="Comma 134 2 2 4 2 3 2 2" xfId="5919" xr:uid="{00000000-0005-0000-0000-00001F170000}"/>
    <cellStyle name="Comma 134 2 2 4 2 4" xfId="4359" xr:uid="{00000000-0005-0000-0000-000007110000}"/>
    <cellStyle name="Comma 134 2 2 4 3" xfId="2909" xr:uid="{00000000-0005-0000-0000-00005D0B0000}"/>
    <cellStyle name="Comma 134 2 2 4 3 2" xfId="5763" xr:uid="{00000000-0005-0000-0000-000083160000}"/>
    <cellStyle name="Comma 134 2 2 4 4" xfId="4342" xr:uid="{00000000-0005-0000-0000-0000F6100000}"/>
    <cellStyle name="Comma 134 2 2 5" xfId="1513" xr:uid="{00000000-0005-0000-0000-0000E9050000}"/>
    <cellStyle name="Comma 134 2 2 5 2" xfId="2941" xr:uid="{00000000-0005-0000-0000-00007D0B0000}"/>
    <cellStyle name="Comma 134 2 2 5 2 2" xfId="5794" xr:uid="{00000000-0005-0000-0000-0000A2160000}"/>
    <cellStyle name="Comma 134 2 2 5 3" xfId="4373" xr:uid="{00000000-0005-0000-0000-000015110000}"/>
    <cellStyle name="Comma 134 2 2 6" xfId="1549" xr:uid="{00000000-0005-0000-0000-00000D060000}"/>
    <cellStyle name="Comma 134 2 2 6 2" xfId="2977" xr:uid="{00000000-0005-0000-0000-0000A10B0000}"/>
    <cellStyle name="Comma 134 2 2 6 2 2" xfId="5830" xr:uid="{00000000-0005-0000-0000-0000C6160000}"/>
    <cellStyle name="Comma 134 2 2 6 3" xfId="4409" xr:uid="{00000000-0005-0000-0000-000039110000}"/>
    <cellStyle name="Comma 134 2 2 7" xfId="1565" xr:uid="{00000000-0005-0000-0000-00001D060000}"/>
    <cellStyle name="Comma 134 2 2 7 2" xfId="4425" xr:uid="{00000000-0005-0000-0000-000049110000}"/>
    <cellStyle name="Comma 134 2 2 8" xfId="3007" xr:uid="{00000000-0005-0000-0000-0000BF0B0000}"/>
    <cellStyle name="Comma 134 2 2 8 2" xfId="5915" xr:uid="{00000000-0005-0000-0000-00001B170000}"/>
    <cellStyle name="Comma 134 2 2 9" xfId="5935" xr:uid="{00000000-0005-0000-0000-00002F170000}"/>
    <cellStyle name="Comma 135" xfId="767" xr:uid="{00000000-0005-0000-0000-0000FF020000}"/>
    <cellStyle name="Comma 136" xfId="1423" xr:uid="{00000000-0005-0000-0000-00008F050000}"/>
    <cellStyle name="Comma 136 2" xfId="2861" xr:uid="{00000000-0005-0000-0000-00002D0B0000}"/>
    <cellStyle name="Comma 136 2 2" xfId="5716" xr:uid="{00000000-0005-0000-0000-000054160000}"/>
    <cellStyle name="Comma 136 3" xfId="4296" xr:uid="{00000000-0005-0000-0000-0000C8100000}"/>
    <cellStyle name="Comma 137" xfId="1435" xr:uid="{00000000-0005-0000-0000-00009B050000}"/>
    <cellStyle name="Comma 137 2" xfId="2864" xr:uid="{00000000-0005-0000-0000-0000300B0000}"/>
    <cellStyle name="Comma 137 2 2" xfId="5719" xr:uid="{00000000-0005-0000-0000-000057160000}"/>
    <cellStyle name="Comma 137 3" xfId="4299" xr:uid="{00000000-0005-0000-0000-0000CB100000}"/>
    <cellStyle name="Comma 138" xfId="1440" xr:uid="{00000000-0005-0000-0000-0000A0050000}"/>
    <cellStyle name="Comma 138 10" xfId="5905" xr:uid="{00000000-0005-0000-0000-000011170000}"/>
    <cellStyle name="Comma 138 11" xfId="5931" xr:uid="{00000000-0005-0000-0000-00002B170000}"/>
    <cellStyle name="Comma 138 12" xfId="5954" xr:uid="{00000000-0005-0000-0000-000042170000}"/>
    <cellStyle name="Comma 138 2" xfId="1459" xr:uid="{00000000-0005-0000-0000-0000B3050000}"/>
    <cellStyle name="Comma 138 2 2" xfId="2887" xr:uid="{00000000-0005-0000-0000-0000470B0000}"/>
    <cellStyle name="Comma 138 2 2 2" xfId="5741" xr:uid="{00000000-0005-0000-0000-00006D160000}"/>
    <cellStyle name="Comma 138 2 3" xfId="4320" xr:uid="{00000000-0005-0000-0000-0000E0100000}"/>
    <cellStyle name="Comma 138 3" xfId="1462" xr:uid="{00000000-0005-0000-0000-0000B6050000}"/>
    <cellStyle name="Comma 138 3 2" xfId="1476" xr:uid="{00000000-0005-0000-0000-0000C4050000}"/>
    <cellStyle name="Comma 138 3 2 2" xfId="1495" xr:uid="{00000000-0005-0000-0000-0000D7050000}"/>
    <cellStyle name="Comma 138 3 2 2 2" xfId="2923" xr:uid="{00000000-0005-0000-0000-00006B0B0000}"/>
    <cellStyle name="Comma 138 3 2 2 2 2" xfId="5776" xr:uid="{00000000-0005-0000-0000-000090160000}"/>
    <cellStyle name="Comma 138 3 2 2 3" xfId="4355" xr:uid="{00000000-0005-0000-0000-000003110000}"/>
    <cellStyle name="Comma 138 3 2 3" xfId="2904" xr:uid="{00000000-0005-0000-0000-0000580B0000}"/>
    <cellStyle name="Comma 138 3 2 3 2" xfId="5758" xr:uid="{00000000-0005-0000-0000-00007E160000}"/>
    <cellStyle name="Comma 138 3 2 4" xfId="4337" xr:uid="{00000000-0005-0000-0000-0000F1100000}"/>
    <cellStyle name="Comma 138 3 3" xfId="2890" xr:uid="{00000000-0005-0000-0000-00004A0B0000}"/>
    <cellStyle name="Comma 138 3 3 2" xfId="5744" xr:uid="{00000000-0005-0000-0000-000070160000}"/>
    <cellStyle name="Comma 138 3 4" xfId="4323" xr:uid="{00000000-0005-0000-0000-0000E3100000}"/>
    <cellStyle name="Comma 138 4" xfId="1521" xr:uid="{00000000-0005-0000-0000-0000F1050000}"/>
    <cellStyle name="Comma 138 4 2" xfId="2949" xr:uid="{00000000-0005-0000-0000-0000850B0000}"/>
    <cellStyle name="Comma 138 4 2 2" xfId="5802" xr:uid="{00000000-0005-0000-0000-0000AA160000}"/>
    <cellStyle name="Comma 138 4 3" xfId="4381" xr:uid="{00000000-0005-0000-0000-00001D110000}"/>
    <cellStyle name="Comma 138 5" xfId="1540" xr:uid="{00000000-0005-0000-0000-000004060000}"/>
    <cellStyle name="Comma 138 5 2" xfId="2968" xr:uid="{00000000-0005-0000-0000-0000980B0000}"/>
    <cellStyle name="Comma 138 5 2 2" xfId="5821" xr:uid="{00000000-0005-0000-0000-0000BD160000}"/>
    <cellStyle name="Comma 138 5 3" xfId="4400" xr:uid="{00000000-0005-0000-0000-000030110000}"/>
    <cellStyle name="Comma 138 6" xfId="1543" xr:uid="{00000000-0005-0000-0000-000007060000}"/>
    <cellStyle name="Comma 138 6 2" xfId="2971" xr:uid="{00000000-0005-0000-0000-00009B0B0000}"/>
    <cellStyle name="Comma 138 6 2 2" xfId="5824" xr:uid="{00000000-0005-0000-0000-0000C0160000}"/>
    <cellStyle name="Comma 138 6 3" xfId="4403" xr:uid="{00000000-0005-0000-0000-000033110000}"/>
    <cellStyle name="Comma 138 7" xfId="1557" xr:uid="{00000000-0005-0000-0000-000015060000}"/>
    <cellStyle name="Comma 138 7 2" xfId="4417" xr:uid="{00000000-0005-0000-0000-000041110000}"/>
    <cellStyle name="Comma 138 8" xfId="2869" xr:uid="{00000000-0005-0000-0000-0000350B0000}"/>
    <cellStyle name="Comma 138 8 2" xfId="5724" xr:uid="{00000000-0005-0000-0000-00005C160000}"/>
    <cellStyle name="Comma 138 9" xfId="3015" xr:uid="{00000000-0005-0000-0000-0000C70B0000}"/>
    <cellStyle name="Comma 139" xfId="1448" xr:uid="{00000000-0005-0000-0000-0000A8050000}"/>
    <cellStyle name="Comma 139 2" xfId="2877" xr:uid="{00000000-0005-0000-0000-00003D0B0000}"/>
    <cellStyle name="Comma 139 2 2" xfId="5731" xr:uid="{00000000-0005-0000-0000-000063160000}"/>
    <cellStyle name="Comma 139 3" xfId="4310" xr:uid="{00000000-0005-0000-0000-0000D6100000}"/>
    <cellStyle name="Comma 14" xfId="86" xr:uid="{00000000-0005-0000-0000-000056000000}"/>
    <cellStyle name="Comma 14 2" xfId="812" xr:uid="{00000000-0005-0000-0000-00002C030000}"/>
    <cellStyle name="Comma 14 2 2" xfId="2263" xr:uid="{00000000-0005-0000-0000-0000D7080000}"/>
    <cellStyle name="Comma 14 2 2 2" xfId="5119" xr:uid="{00000000-0005-0000-0000-0000FF130000}"/>
    <cellStyle name="Comma 14 2 3" xfId="3701" xr:uid="{00000000-0005-0000-0000-0000750E0000}"/>
    <cellStyle name="Comma 14 3" xfId="1616" xr:uid="{00000000-0005-0000-0000-000050060000}"/>
    <cellStyle name="Comma 14 3 2" xfId="4476" xr:uid="{00000000-0005-0000-0000-00007C110000}"/>
    <cellStyle name="Comma 14 4" xfId="3060" xr:uid="{00000000-0005-0000-0000-0000F40B0000}"/>
    <cellStyle name="Comma 140" xfId="1511" xr:uid="{00000000-0005-0000-0000-0000E7050000}"/>
    <cellStyle name="Comma 140 2" xfId="1527" xr:uid="{00000000-0005-0000-0000-0000F7050000}"/>
    <cellStyle name="Comma 140 2 2" xfId="2955" xr:uid="{00000000-0005-0000-0000-00008B0B0000}"/>
    <cellStyle name="Comma 140 2 2 2" xfId="5808" xr:uid="{00000000-0005-0000-0000-0000B0160000}"/>
    <cellStyle name="Comma 140 2 3" xfId="4387" xr:uid="{00000000-0005-0000-0000-000023110000}"/>
    <cellStyle name="Comma 140 3" xfId="2939" xr:uid="{00000000-0005-0000-0000-00007B0B0000}"/>
    <cellStyle name="Comma 140 3 2" xfId="5792" xr:uid="{00000000-0005-0000-0000-0000A0160000}"/>
    <cellStyle name="Comma 140 4" xfId="4371" xr:uid="{00000000-0005-0000-0000-000013110000}"/>
    <cellStyle name="Comma 141" xfId="1525" xr:uid="{00000000-0005-0000-0000-0000F5050000}"/>
    <cellStyle name="Comma 141 2" xfId="2953" xr:uid="{00000000-0005-0000-0000-0000890B0000}"/>
    <cellStyle name="Comma 141 2 2" xfId="5806" xr:uid="{00000000-0005-0000-0000-0000AE160000}"/>
    <cellStyle name="Comma 141 3" xfId="4385" xr:uid="{00000000-0005-0000-0000-000021110000}"/>
    <cellStyle name="Comma 142" xfId="1563" xr:uid="{00000000-0005-0000-0000-00001B060000}"/>
    <cellStyle name="Comma 142 2" xfId="4423" xr:uid="{00000000-0005-0000-0000-000047110000}"/>
    <cellStyle name="Comma 143" xfId="3005" xr:uid="{00000000-0005-0000-0000-0000BD0B0000}"/>
    <cellStyle name="Comma 144" xfId="5944" xr:uid="{00000000-0005-0000-0000-000038170000}"/>
    <cellStyle name="Comma 145" xfId="5957" xr:uid="{00000000-0005-0000-0000-000045170000}"/>
    <cellStyle name="Comma 146" xfId="5971" xr:uid="{00000000-0005-0000-0000-000053170000}"/>
    <cellStyle name="Comma 147" xfId="5975" xr:uid="{00000000-0005-0000-0000-000057170000}"/>
    <cellStyle name="Comma 148" xfId="5989" xr:uid="{00000000-0005-0000-0000-000065170000}"/>
    <cellStyle name="Comma 148 2" xfId="6010" xr:uid="{00000000-0005-0000-0000-00007A170000}"/>
    <cellStyle name="Comma 149" xfId="5993" xr:uid="{00000000-0005-0000-0000-000069170000}"/>
    <cellStyle name="Comma 15" xfId="88" xr:uid="{00000000-0005-0000-0000-000058000000}"/>
    <cellStyle name="Comma 15 2" xfId="814" xr:uid="{00000000-0005-0000-0000-00002E030000}"/>
    <cellStyle name="Comma 15 2 2" xfId="2265" xr:uid="{00000000-0005-0000-0000-0000D9080000}"/>
    <cellStyle name="Comma 15 2 2 2" xfId="5121" xr:uid="{00000000-0005-0000-0000-000001140000}"/>
    <cellStyle name="Comma 15 2 3" xfId="3703" xr:uid="{00000000-0005-0000-0000-0000770E0000}"/>
    <cellStyle name="Comma 15 3" xfId="1618" xr:uid="{00000000-0005-0000-0000-000052060000}"/>
    <cellStyle name="Comma 15 3 2" xfId="4478" xr:uid="{00000000-0005-0000-0000-00007E110000}"/>
    <cellStyle name="Comma 15 4" xfId="3062" xr:uid="{00000000-0005-0000-0000-0000F60B0000}"/>
    <cellStyle name="Comma 150" xfId="5998" xr:uid="{00000000-0005-0000-0000-00006E170000}"/>
    <cellStyle name="Comma 151" xfId="6001" xr:uid="{00000000-0005-0000-0000-000071170000}"/>
    <cellStyle name="Comma 152" xfId="6018" xr:uid="{00000000-0005-0000-0000-000082170000}"/>
    <cellStyle name="Comma 153" xfId="6021" xr:uid="{00000000-0005-0000-0000-000085170000}"/>
    <cellStyle name="Comma 154" xfId="6023" xr:uid="{00000000-0005-0000-0000-000087170000}"/>
    <cellStyle name="Comma 155" xfId="6032" xr:uid="{00000000-0005-0000-0000-000090170000}"/>
    <cellStyle name="Comma 16" xfId="90" xr:uid="{00000000-0005-0000-0000-00005A000000}"/>
    <cellStyle name="Comma 16 2" xfId="816" xr:uid="{00000000-0005-0000-0000-000030030000}"/>
    <cellStyle name="Comma 16 2 2" xfId="2266" xr:uid="{00000000-0005-0000-0000-0000DA080000}"/>
    <cellStyle name="Comma 16 2 2 2" xfId="5122" xr:uid="{00000000-0005-0000-0000-000002140000}"/>
    <cellStyle name="Comma 16 2 3" xfId="3704" xr:uid="{00000000-0005-0000-0000-0000780E0000}"/>
    <cellStyle name="Comma 16 3" xfId="1619" xr:uid="{00000000-0005-0000-0000-000053060000}"/>
    <cellStyle name="Comma 16 3 2" xfId="4479" xr:uid="{00000000-0005-0000-0000-00007F110000}"/>
    <cellStyle name="Comma 16 4" xfId="3063" xr:uid="{00000000-0005-0000-0000-0000F70B0000}"/>
    <cellStyle name="Comma 17" xfId="93" xr:uid="{00000000-0005-0000-0000-00005D000000}"/>
    <cellStyle name="Comma 17 2" xfId="819" xr:uid="{00000000-0005-0000-0000-000033030000}"/>
    <cellStyle name="Comma 17 2 2" xfId="2269" xr:uid="{00000000-0005-0000-0000-0000DD080000}"/>
    <cellStyle name="Comma 17 2 2 2" xfId="5125" xr:uid="{00000000-0005-0000-0000-000005140000}"/>
    <cellStyle name="Comma 17 2 3" xfId="3707" xr:uid="{00000000-0005-0000-0000-00007B0E0000}"/>
    <cellStyle name="Comma 17 3" xfId="1622" xr:uid="{00000000-0005-0000-0000-000056060000}"/>
    <cellStyle name="Comma 17 3 2" xfId="4482" xr:uid="{00000000-0005-0000-0000-000082110000}"/>
    <cellStyle name="Comma 17 4" xfId="3066" xr:uid="{00000000-0005-0000-0000-0000FA0B0000}"/>
    <cellStyle name="Comma 18" xfId="95" xr:uid="{00000000-0005-0000-0000-00005F000000}"/>
    <cellStyle name="Comma 18 2" xfId="821" xr:uid="{00000000-0005-0000-0000-000035030000}"/>
    <cellStyle name="Comma 18 2 2" xfId="2271" xr:uid="{00000000-0005-0000-0000-0000DF080000}"/>
    <cellStyle name="Comma 18 2 2 2" xfId="5127" xr:uid="{00000000-0005-0000-0000-000007140000}"/>
    <cellStyle name="Comma 18 2 3" xfId="3709" xr:uid="{00000000-0005-0000-0000-00007D0E0000}"/>
    <cellStyle name="Comma 18 3" xfId="1624" xr:uid="{00000000-0005-0000-0000-000058060000}"/>
    <cellStyle name="Comma 18 3 2" xfId="4484" xr:uid="{00000000-0005-0000-0000-000084110000}"/>
    <cellStyle name="Comma 18 4" xfId="3068" xr:uid="{00000000-0005-0000-0000-0000FC0B0000}"/>
    <cellStyle name="Comma 19" xfId="101" xr:uid="{00000000-0005-0000-0000-000065000000}"/>
    <cellStyle name="Comma 19 2" xfId="827" xr:uid="{00000000-0005-0000-0000-00003B030000}"/>
    <cellStyle name="Comma 19 2 2" xfId="2276" xr:uid="{00000000-0005-0000-0000-0000E4080000}"/>
    <cellStyle name="Comma 19 2 2 2" xfId="5132" xr:uid="{00000000-0005-0000-0000-00000C140000}"/>
    <cellStyle name="Comma 19 2 3" xfId="3714" xr:uid="{00000000-0005-0000-0000-0000820E0000}"/>
    <cellStyle name="Comma 19 3" xfId="1629" xr:uid="{00000000-0005-0000-0000-00005D060000}"/>
    <cellStyle name="Comma 19 3 2" xfId="4489" xr:uid="{00000000-0005-0000-0000-000089110000}"/>
    <cellStyle name="Comma 19 4" xfId="3073" xr:uid="{00000000-0005-0000-0000-0000010C0000}"/>
    <cellStyle name="Comma 2" xfId="2" xr:uid="{00000000-0005-0000-0000-000002000000}"/>
    <cellStyle name="Comma 2 10" xfId="112" xr:uid="{00000000-0005-0000-0000-000070000000}"/>
    <cellStyle name="Comma 2 10 2" xfId="838" xr:uid="{00000000-0005-0000-0000-000046030000}"/>
    <cellStyle name="Comma 2 10 2 2" xfId="2287" xr:uid="{00000000-0005-0000-0000-0000EF080000}"/>
    <cellStyle name="Comma 2 10 2 2 2" xfId="5143" xr:uid="{00000000-0005-0000-0000-000017140000}"/>
    <cellStyle name="Comma 2 10 2 3" xfId="3725" xr:uid="{00000000-0005-0000-0000-00008D0E0000}"/>
    <cellStyle name="Comma 2 10 3" xfId="1640" xr:uid="{00000000-0005-0000-0000-000068060000}"/>
    <cellStyle name="Comma 2 10 3 2" xfId="4500" xr:uid="{00000000-0005-0000-0000-000094110000}"/>
    <cellStyle name="Comma 2 10 4" xfId="3084" xr:uid="{00000000-0005-0000-0000-00000C0C0000}"/>
    <cellStyle name="Comma 2 11" xfId="116" xr:uid="{00000000-0005-0000-0000-000074000000}"/>
    <cellStyle name="Comma 2 11 2" xfId="842" xr:uid="{00000000-0005-0000-0000-00004A030000}"/>
    <cellStyle name="Comma 2 11 2 2" xfId="2291" xr:uid="{00000000-0005-0000-0000-0000F3080000}"/>
    <cellStyle name="Comma 2 11 2 2 2" xfId="5147" xr:uid="{00000000-0005-0000-0000-00001B140000}"/>
    <cellStyle name="Comma 2 11 2 3" xfId="3729" xr:uid="{00000000-0005-0000-0000-0000910E0000}"/>
    <cellStyle name="Comma 2 11 3" xfId="1644" xr:uid="{00000000-0005-0000-0000-00006C060000}"/>
    <cellStyle name="Comma 2 11 3 2" xfId="4504" xr:uid="{00000000-0005-0000-0000-000098110000}"/>
    <cellStyle name="Comma 2 11 4" xfId="3088" xr:uid="{00000000-0005-0000-0000-0000100C0000}"/>
    <cellStyle name="Comma 2 12" xfId="123" xr:uid="{00000000-0005-0000-0000-00007B000000}"/>
    <cellStyle name="Comma 2 12 2" xfId="849" xr:uid="{00000000-0005-0000-0000-000051030000}"/>
    <cellStyle name="Comma 2 12 2 2" xfId="2297" xr:uid="{00000000-0005-0000-0000-0000F9080000}"/>
    <cellStyle name="Comma 2 12 2 2 2" xfId="5153" xr:uid="{00000000-0005-0000-0000-000021140000}"/>
    <cellStyle name="Comma 2 12 2 3" xfId="3735" xr:uid="{00000000-0005-0000-0000-0000970E0000}"/>
    <cellStyle name="Comma 2 12 3" xfId="1650" xr:uid="{00000000-0005-0000-0000-000072060000}"/>
    <cellStyle name="Comma 2 12 3 2" xfId="4510" xr:uid="{00000000-0005-0000-0000-00009E110000}"/>
    <cellStyle name="Comma 2 12 4" xfId="3094" xr:uid="{00000000-0005-0000-0000-0000160C0000}"/>
    <cellStyle name="Comma 2 13" xfId="131" xr:uid="{00000000-0005-0000-0000-000083000000}"/>
    <cellStyle name="Comma 2 13 2" xfId="856" xr:uid="{00000000-0005-0000-0000-000058030000}"/>
    <cellStyle name="Comma 2 13 2 2" xfId="2304" xr:uid="{00000000-0005-0000-0000-000000090000}"/>
    <cellStyle name="Comma 2 13 2 2 2" xfId="5160" xr:uid="{00000000-0005-0000-0000-000028140000}"/>
    <cellStyle name="Comma 2 13 2 3" xfId="3742" xr:uid="{00000000-0005-0000-0000-00009E0E0000}"/>
    <cellStyle name="Comma 2 13 3" xfId="1657" xr:uid="{00000000-0005-0000-0000-000079060000}"/>
    <cellStyle name="Comma 2 13 3 2" xfId="4517" xr:uid="{00000000-0005-0000-0000-0000A5110000}"/>
    <cellStyle name="Comma 2 13 4" xfId="3101" xr:uid="{00000000-0005-0000-0000-00001D0C0000}"/>
    <cellStyle name="Comma 2 14" xfId="141" xr:uid="{00000000-0005-0000-0000-00008D000000}"/>
    <cellStyle name="Comma 2 14 2" xfId="866" xr:uid="{00000000-0005-0000-0000-000062030000}"/>
    <cellStyle name="Comma 2 14 2 2" xfId="2314" xr:uid="{00000000-0005-0000-0000-00000A090000}"/>
    <cellStyle name="Comma 2 14 2 2 2" xfId="5170" xr:uid="{00000000-0005-0000-0000-000032140000}"/>
    <cellStyle name="Comma 2 14 2 3" xfId="3752" xr:uid="{00000000-0005-0000-0000-0000A80E0000}"/>
    <cellStyle name="Comma 2 14 3" xfId="1667" xr:uid="{00000000-0005-0000-0000-000083060000}"/>
    <cellStyle name="Comma 2 14 3 2" xfId="4527" xr:uid="{00000000-0005-0000-0000-0000AF110000}"/>
    <cellStyle name="Comma 2 14 4" xfId="3111" xr:uid="{00000000-0005-0000-0000-0000270C0000}"/>
    <cellStyle name="Comma 2 15" xfId="147" xr:uid="{00000000-0005-0000-0000-000093000000}"/>
    <cellStyle name="Comma 2 15 2" xfId="872" xr:uid="{00000000-0005-0000-0000-000068030000}"/>
    <cellStyle name="Comma 2 15 2 2" xfId="2320" xr:uid="{00000000-0005-0000-0000-000010090000}"/>
    <cellStyle name="Comma 2 15 2 2 2" xfId="5176" xr:uid="{00000000-0005-0000-0000-000038140000}"/>
    <cellStyle name="Comma 2 15 2 3" xfId="3758" xr:uid="{00000000-0005-0000-0000-0000AE0E0000}"/>
    <cellStyle name="Comma 2 15 3" xfId="1673" xr:uid="{00000000-0005-0000-0000-000089060000}"/>
    <cellStyle name="Comma 2 15 3 2" xfId="4533" xr:uid="{00000000-0005-0000-0000-0000B5110000}"/>
    <cellStyle name="Comma 2 15 4" xfId="3117" xr:uid="{00000000-0005-0000-0000-00002D0C0000}"/>
    <cellStyle name="Comma 2 16" xfId="156" xr:uid="{00000000-0005-0000-0000-00009C000000}"/>
    <cellStyle name="Comma 2 16 2" xfId="879" xr:uid="{00000000-0005-0000-0000-00006F030000}"/>
    <cellStyle name="Comma 2 16 2 2" xfId="2327" xr:uid="{00000000-0005-0000-0000-000017090000}"/>
    <cellStyle name="Comma 2 16 2 2 2" xfId="5183" xr:uid="{00000000-0005-0000-0000-00003F140000}"/>
    <cellStyle name="Comma 2 16 2 3" xfId="3765" xr:uid="{00000000-0005-0000-0000-0000B50E0000}"/>
    <cellStyle name="Comma 2 16 3" xfId="1680" xr:uid="{00000000-0005-0000-0000-000090060000}"/>
    <cellStyle name="Comma 2 16 3 2" xfId="4540" xr:uid="{00000000-0005-0000-0000-0000BC110000}"/>
    <cellStyle name="Comma 2 16 4" xfId="3124" xr:uid="{00000000-0005-0000-0000-0000340C0000}"/>
    <cellStyle name="Comma 2 17" xfId="163" xr:uid="{00000000-0005-0000-0000-0000A3000000}"/>
    <cellStyle name="Comma 2 17 2" xfId="886" xr:uid="{00000000-0005-0000-0000-000076030000}"/>
    <cellStyle name="Comma 2 17 2 2" xfId="2334" xr:uid="{00000000-0005-0000-0000-00001E090000}"/>
    <cellStyle name="Comma 2 17 2 2 2" xfId="5190" xr:uid="{00000000-0005-0000-0000-000046140000}"/>
    <cellStyle name="Comma 2 17 2 3" xfId="3772" xr:uid="{00000000-0005-0000-0000-0000BC0E0000}"/>
    <cellStyle name="Comma 2 17 3" xfId="1687" xr:uid="{00000000-0005-0000-0000-000097060000}"/>
    <cellStyle name="Comma 2 17 3 2" xfId="4547" xr:uid="{00000000-0005-0000-0000-0000C3110000}"/>
    <cellStyle name="Comma 2 17 4" xfId="3131" xr:uid="{00000000-0005-0000-0000-00003B0C0000}"/>
    <cellStyle name="Comma 2 18" xfId="177" xr:uid="{00000000-0005-0000-0000-0000B1000000}"/>
    <cellStyle name="Comma 2 18 2" xfId="899" xr:uid="{00000000-0005-0000-0000-000083030000}"/>
    <cellStyle name="Comma 2 18 2 2" xfId="2347" xr:uid="{00000000-0005-0000-0000-00002B090000}"/>
    <cellStyle name="Comma 2 18 2 2 2" xfId="5203" xr:uid="{00000000-0005-0000-0000-000053140000}"/>
    <cellStyle name="Comma 2 18 2 3" xfId="3785" xr:uid="{00000000-0005-0000-0000-0000C90E0000}"/>
    <cellStyle name="Comma 2 18 3" xfId="1700" xr:uid="{00000000-0005-0000-0000-0000A4060000}"/>
    <cellStyle name="Comma 2 18 3 2" xfId="4560" xr:uid="{00000000-0005-0000-0000-0000D0110000}"/>
    <cellStyle name="Comma 2 18 4" xfId="3144" xr:uid="{00000000-0005-0000-0000-0000480C0000}"/>
    <cellStyle name="Comma 2 19" xfId="190" xr:uid="{00000000-0005-0000-0000-0000BE000000}"/>
    <cellStyle name="Comma 2 19 2" xfId="912" xr:uid="{00000000-0005-0000-0000-000090030000}"/>
    <cellStyle name="Comma 2 19 2 2" xfId="2360" xr:uid="{00000000-0005-0000-0000-000038090000}"/>
    <cellStyle name="Comma 2 19 2 2 2" xfId="5216" xr:uid="{00000000-0005-0000-0000-000060140000}"/>
    <cellStyle name="Comma 2 19 2 3" xfId="3798" xr:uid="{00000000-0005-0000-0000-0000D60E0000}"/>
    <cellStyle name="Comma 2 19 3" xfId="1713" xr:uid="{00000000-0005-0000-0000-0000B1060000}"/>
    <cellStyle name="Comma 2 19 3 2" xfId="4573" xr:uid="{00000000-0005-0000-0000-0000DD110000}"/>
    <cellStyle name="Comma 2 19 4" xfId="3157" xr:uid="{00000000-0005-0000-0000-0000550C0000}"/>
    <cellStyle name="Comma 2 2" xfId="3" xr:uid="{00000000-0005-0000-0000-000003000000}"/>
    <cellStyle name="Comma 2 2 10" xfId="124" xr:uid="{00000000-0005-0000-0000-00007C000000}"/>
    <cellStyle name="Comma 2 2 10 2" xfId="850" xr:uid="{00000000-0005-0000-0000-000052030000}"/>
    <cellStyle name="Comma 2 2 10 2 2" xfId="2298" xr:uid="{00000000-0005-0000-0000-0000FA080000}"/>
    <cellStyle name="Comma 2 2 10 2 2 2" xfId="5154" xr:uid="{00000000-0005-0000-0000-000022140000}"/>
    <cellStyle name="Comma 2 2 10 2 3" xfId="3736" xr:uid="{00000000-0005-0000-0000-0000980E0000}"/>
    <cellStyle name="Comma 2 2 10 3" xfId="1651" xr:uid="{00000000-0005-0000-0000-000073060000}"/>
    <cellStyle name="Comma 2 2 10 3 2" xfId="4511" xr:uid="{00000000-0005-0000-0000-00009F110000}"/>
    <cellStyle name="Comma 2 2 10 4" xfId="3095" xr:uid="{00000000-0005-0000-0000-0000170C0000}"/>
    <cellStyle name="Comma 2 2 11" xfId="132" xr:uid="{00000000-0005-0000-0000-000084000000}"/>
    <cellStyle name="Comma 2 2 11 2" xfId="857" xr:uid="{00000000-0005-0000-0000-000059030000}"/>
    <cellStyle name="Comma 2 2 11 2 2" xfId="2305" xr:uid="{00000000-0005-0000-0000-000001090000}"/>
    <cellStyle name="Comma 2 2 11 2 2 2" xfId="5161" xr:uid="{00000000-0005-0000-0000-000029140000}"/>
    <cellStyle name="Comma 2 2 11 2 3" xfId="3743" xr:uid="{00000000-0005-0000-0000-00009F0E0000}"/>
    <cellStyle name="Comma 2 2 11 3" xfId="1658" xr:uid="{00000000-0005-0000-0000-00007A060000}"/>
    <cellStyle name="Comma 2 2 11 3 2" xfId="4518" xr:uid="{00000000-0005-0000-0000-0000A6110000}"/>
    <cellStyle name="Comma 2 2 11 4" xfId="3102" xr:uid="{00000000-0005-0000-0000-00001E0C0000}"/>
    <cellStyle name="Comma 2 2 12" xfId="142" xr:uid="{00000000-0005-0000-0000-00008E000000}"/>
    <cellStyle name="Comma 2 2 12 2" xfId="867" xr:uid="{00000000-0005-0000-0000-000063030000}"/>
    <cellStyle name="Comma 2 2 12 2 2" xfId="2315" xr:uid="{00000000-0005-0000-0000-00000B090000}"/>
    <cellStyle name="Comma 2 2 12 2 2 2" xfId="5171" xr:uid="{00000000-0005-0000-0000-000033140000}"/>
    <cellStyle name="Comma 2 2 12 2 3" xfId="3753" xr:uid="{00000000-0005-0000-0000-0000A90E0000}"/>
    <cellStyle name="Comma 2 2 12 3" xfId="1668" xr:uid="{00000000-0005-0000-0000-000084060000}"/>
    <cellStyle name="Comma 2 2 12 3 2" xfId="4528" xr:uid="{00000000-0005-0000-0000-0000B0110000}"/>
    <cellStyle name="Comma 2 2 12 4" xfId="3112" xr:uid="{00000000-0005-0000-0000-0000280C0000}"/>
    <cellStyle name="Comma 2 2 13" xfId="148" xr:uid="{00000000-0005-0000-0000-000094000000}"/>
    <cellStyle name="Comma 2 2 13 2" xfId="873" xr:uid="{00000000-0005-0000-0000-000069030000}"/>
    <cellStyle name="Comma 2 2 13 2 2" xfId="2321" xr:uid="{00000000-0005-0000-0000-000011090000}"/>
    <cellStyle name="Comma 2 2 13 2 2 2" xfId="5177" xr:uid="{00000000-0005-0000-0000-000039140000}"/>
    <cellStyle name="Comma 2 2 13 2 3" xfId="3759" xr:uid="{00000000-0005-0000-0000-0000AF0E0000}"/>
    <cellStyle name="Comma 2 2 13 3" xfId="1674" xr:uid="{00000000-0005-0000-0000-00008A060000}"/>
    <cellStyle name="Comma 2 2 13 3 2" xfId="4534" xr:uid="{00000000-0005-0000-0000-0000B6110000}"/>
    <cellStyle name="Comma 2 2 13 4" xfId="3118" xr:uid="{00000000-0005-0000-0000-00002E0C0000}"/>
    <cellStyle name="Comma 2 2 14" xfId="157" xr:uid="{00000000-0005-0000-0000-00009D000000}"/>
    <cellStyle name="Comma 2 2 14 2" xfId="880" xr:uid="{00000000-0005-0000-0000-000070030000}"/>
    <cellStyle name="Comma 2 2 14 2 2" xfId="2328" xr:uid="{00000000-0005-0000-0000-000018090000}"/>
    <cellStyle name="Comma 2 2 14 2 2 2" xfId="5184" xr:uid="{00000000-0005-0000-0000-000040140000}"/>
    <cellStyle name="Comma 2 2 14 2 3" xfId="3766" xr:uid="{00000000-0005-0000-0000-0000B60E0000}"/>
    <cellStyle name="Comma 2 2 14 3" xfId="1681" xr:uid="{00000000-0005-0000-0000-000091060000}"/>
    <cellStyle name="Comma 2 2 14 3 2" xfId="4541" xr:uid="{00000000-0005-0000-0000-0000BD110000}"/>
    <cellStyle name="Comma 2 2 14 4" xfId="3125" xr:uid="{00000000-0005-0000-0000-0000350C0000}"/>
    <cellStyle name="Comma 2 2 15" xfId="164" xr:uid="{00000000-0005-0000-0000-0000A4000000}"/>
    <cellStyle name="Comma 2 2 15 2" xfId="887" xr:uid="{00000000-0005-0000-0000-000077030000}"/>
    <cellStyle name="Comma 2 2 15 2 2" xfId="2335" xr:uid="{00000000-0005-0000-0000-00001F090000}"/>
    <cellStyle name="Comma 2 2 15 2 2 2" xfId="5191" xr:uid="{00000000-0005-0000-0000-000047140000}"/>
    <cellStyle name="Comma 2 2 15 2 3" xfId="3773" xr:uid="{00000000-0005-0000-0000-0000BD0E0000}"/>
    <cellStyle name="Comma 2 2 15 3" xfId="1688" xr:uid="{00000000-0005-0000-0000-000098060000}"/>
    <cellStyle name="Comma 2 2 15 3 2" xfId="4548" xr:uid="{00000000-0005-0000-0000-0000C4110000}"/>
    <cellStyle name="Comma 2 2 15 4" xfId="3132" xr:uid="{00000000-0005-0000-0000-00003C0C0000}"/>
    <cellStyle name="Comma 2 2 16" xfId="178" xr:uid="{00000000-0005-0000-0000-0000B2000000}"/>
    <cellStyle name="Comma 2 2 16 2" xfId="900" xr:uid="{00000000-0005-0000-0000-000084030000}"/>
    <cellStyle name="Comma 2 2 16 2 2" xfId="2348" xr:uid="{00000000-0005-0000-0000-00002C090000}"/>
    <cellStyle name="Comma 2 2 16 2 2 2" xfId="5204" xr:uid="{00000000-0005-0000-0000-000054140000}"/>
    <cellStyle name="Comma 2 2 16 2 3" xfId="3786" xr:uid="{00000000-0005-0000-0000-0000CA0E0000}"/>
    <cellStyle name="Comma 2 2 16 3" xfId="1701" xr:uid="{00000000-0005-0000-0000-0000A5060000}"/>
    <cellStyle name="Comma 2 2 16 3 2" xfId="4561" xr:uid="{00000000-0005-0000-0000-0000D1110000}"/>
    <cellStyle name="Comma 2 2 16 4" xfId="3145" xr:uid="{00000000-0005-0000-0000-0000490C0000}"/>
    <cellStyle name="Comma 2 2 17" xfId="191" xr:uid="{00000000-0005-0000-0000-0000BF000000}"/>
    <cellStyle name="Comma 2 2 17 2" xfId="913" xr:uid="{00000000-0005-0000-0000-000091030000}"/>
    <cellStyle name="Comma 2 2 17 2 2" xfId="2361" xr:uid="{00000000-0005-0000-0000-000039090000}"/>
    <cellStyle name="Comma 2 2 17 2 2 2" xfId="5217" xr:uid="{00000000-0005-0000-0000-000061140000}"/>
    <cellStyle name="Comma 2 2 17 2 3" xfId="3799" xr:uid="{00000000-0005-0000-0000-0000D70E0000}"/>
    <cellStyle name="Comma 2 2 17 3" xfId="1714" xr:uid="{00000000-0005-0000-0000-0000B2060000}"/>
    <cellStyle name="Comma 2 2 17 3 2" xfId="4574" xr:uid="{00000000-0005-0000-0000-0000DE110000}"/>
    <cellStyle name="Comma 2 2 17 4" xfId="3158" xr:uid="{00000000-0005-0000-0000-0000560C0000}"/>
    <cellStyle name="Comma 2 2 18" xfId="205" xr:uid="{00000000-0005-0000-0000-0000CD000000}"/>
    <cellStyle name="Comma 2 2 18 2" xfId="927" xr:uid="{00000000-0005-0000-0000-00009F030000}"/>
    <cellStyle name="Comma 2 2 18 2 2" xfId="2375" xr:uid="{00000000-0005-0000-0000-000047090000}"/>
    <cellStyle name="Comma 2 2 18 2 2 2" xfId="5231" xr:uid="{00000000-0005-0000-0000-00006F140000}"/>
    <cellStyle name="Comma 2 2 18 2 3" xfId="3813" xr:uid="{00000000-0005-0000-0000-0000E50E0000}"/>
    <cellStyle name="Comma 2 2 18 3" xfId="1728" xr:uid="{00000000-0005-0000-0000-0000C0060000}"/>
    <cellStyle name="Comma 2 2 18 3 2" xfId="4588" xr:uid="{00000000-0005-0000-0000-0000EC110000}"/>
    <cellStyle name="Comma 2 2 18 4" xfId="3172" xr:uid="{00000000-0005-0000-0000-0000640C0000}"/>
    <cellStyle name="Comma 2 2 19" xfId="219" xr:uid="{00000000-0005-0000-0000-0000DB000000}"/>
    <cellStyle name="Comma 2 2 19 2" xfId="941" xr:uid="{00000000-0005-0000-0000-0000AD030000}"/>
    <cellStyle name="Comma 2 2 19 2 2" xfId="2389" xr:uid="{00000000-0005-0000-0000-000055090000}"/>
    <cellStyle name="Comma 2 2 19 2 2 2" xfId="5245" xr:uid="{00000000-0005-0000-0000-00007D140000}"/>
    <cellStyle name="Comma 2 2 19 2 3" xfId="3827" xr:uid="{00000000-0005-0000-0000-0000F30E0000}"/>
    <cellStyle name="Comma 2 2 19 3" xfId="1742" xr:uid="{00000000-0005-0000-0000-0000CE060000}"/>
    <cellStyle name="Comma 2 2 19 3 2" xfId="4602" xr:uid="{00000000-0005-0000-0000-0000FA110000}"/>
    <cellStyle name="Comma 2 2 19 4" xfId="3186" xr:uid="{00000000-0005-0000-0000-0000720C0000}"/>
    <cellStyle name="Comma 2 2 2" xfId="39" xr:uid="{00000000-0005-0000-0000-000027000000}"/>
    <cellStyle name="Comma 2 2 2 2" xfId="591" xr:uid="{00000000-0005-0000-0000-00004F020000}"/>
    <cellStyle name="Comma 2 2 2 2 2" xfId="1309" xr:uid="{00000000-0005-0000-0000-00001D050000}"/>
    <cellStyle name="Comma 2 2 2 2 2 2" xfId="2757" xr:uid="{00000000-0005-0000-0000-0000C50A0000}"/>
    <cellStyle name="Comma 2 2 2 2 2 2 2" xfId="5613" xr:uid="{00000000-0005-0000-0000-0000ED150000}"/>
    <cellStyle name="Comma 2 2 2 2 2 3" xfId="4195" xr:uid="{00000000-0005-0000-0000-000063100000}"/>
    <cellStyle name="Comma 2 2 2 2 3" xfId="2112" xr:uid="{00000000-0005-0000-0000-000040080000}"/>
    <cellStyle name="Comma 2 2 2 2 3 2" xfId="4972" xr:uid="{00000000-0005-0000-0000-00006C130000}"/>
    <cellStyle name="Comma 2 2 2 2 4" xfId="3556" xr:uid="{00000000-0005-0000-0000-0000E40D0000}"/>
    <cellStyle name="Comma 2 2 2 3" xfId="621" xr:uid="{00000000-0005-0000-0000-00006D020000}"/>
    <cellStyle name="Comma 2 2 2 3 2" xfId="625" xr:uid="{00000000-0005-0000-0000-000071020000}"/>
    <cellStyle name="Comma 2 2 2 3 2 2" xfId="1342" xr:uid="{00000000-0005-0000-0000-00003E050000}"/>
    <cellStyle name="Comma 2 2 2 3 2 2 2" xfId="2790" xr:uid="{00000000-0005-0000-0000-0000E60A0000}"/>
    <cellStyle name="Comma 2 2 2 3 2 2 2 2" xfId="5646" xr:uid="{00000000-0005-0000-0000-00000E160000}"/>
    <cellStyle name="Comma 2 2 2 3 2 2 3" xfId="4228" xr:uid="{00000000-0005-0000-0000-000084100000}"/>
    <cellStyle name="Comma 2 2 2 3 2 3" xfId="2146" xr:uid="{00000000-0005-0000-0000-000062080000}"/>
    <cellStyle name="Comma 2 2 2 3 2 3 2" xfId="5006" xr:uid="{00000000-0005-0000-0000-00008E130000}"/>
    <cellStyle name="Comma 2 2 2 3 2 4" xfId="3590" xr:uid="{00000000-0005-0000-0000-0000060E0000}"/>
    <cellStyle name="Comma 2 2 2 3 3" xfId="1338" xr:uid="{00000000-0005-0000-0000-00003A050000}"/>
    <cellStyle name="Comma 2 2 2 3 3 2" xfId="2786" xr:uid="{00000000-0005-0000-0000-0000E20A0000}"/>
    <cellStyle name="Comma 2 2 2 3 3 2 2" xfId="5642" xr:uid="{00000000-0005-0000-0000-00000A160000}"/>
    <cellStyle name="Comma 2 2 2 3 3 3" xfId="4224" xr:uid="{00000000-0005-0000-0000-000080100000}"/>
    <cellStyle name="Comma 2 2 2 3 4" xfId="2142" xr:uid="{00000000-0005-0000-0000-00005E080000}"/>
    <cellStyle name="Comma 2 2 2 3 4 2" xfId="5002" xr:uid="{00000000-0005-0000-0000-00008A130000}"/>
    <cellStyle name="Comma 2 2 2 3 5" xfId="3586" xr:uid="{00000000-0005-0000-0000-0000020E0000}"/>
    <cellStyle name="Comma 2 2 2 4" xfId="779" xr:uid="{00000000-0005-0000-0000-00000B030000}"/>
    <cellStyle name="Comma 2 2 2 4 2" xfId="2231" xr:uid="{00000000-0005-0000-0000-0000B7080000}"/>
    <cellStyle name="Comma 2 2 2 4 2 2" xfId="5087" xr:uid="{00000000-0005-0000-0000-0000DF130000}"/>
    <cellStyle name="Comma 2 2 2 4 3" xfId="3669" xr:uid="{00000000-0005-0000-0000-0000550E0000}"/>
    <cellStyle name="Comma 2 2 2 5" xfId="1583" xr:uid="{00000000-0005-0000-0000-00002F060000}"/>
    <cellStyle name="Comma 2 2 2 5 2" xfId="4443" xr:uid="{00000000-0005-0000-0000-00005B110000}"/>
    <cellStyle name="Comma 2 2 2 6" xfId="3028" xr:uid="{00000000-0005-0000-0000-0000D40B0000}"/>
    <cellStyle name="Comma 2 2 20" xfId="230" xr:uid="{00000000-0005-0000-0000-0000E6000000}"/>
    <cellStyle name="Comma 2 2 20 2" xfId="952" xr:uid="{00000000-0005-0000-0000-0000B8030000}"/>
    <cellStyle name="Comma 2 2 20 2 2" xfId="2400" xr:uid="{00000000-0005-0000-0000-000060090000}"/>
    <cellStyle name="Comma 2 2 20 2 2 2" xfId="5256" xr:uid="{00000000-0005-0000-0000-000088140000}"/>
    <cellStyle name="Comma 2 2 20 2 3" xfId="3838" xr:uid="{00000000-0005-0000-0000-0000FE0E0000}"/>
    <cellStyle name="Comma 2 2 20 3" xfId="1753" xr:uid="{00000000-0005-0000-0000-0000D9060000}"/>
    <cellStyle name="Comma 2 2 20 3 2" xfId="4613" xr:uid="{00000000-0005-0000-0000-000005120000}"/>
    <cellStyle name="Comma 2 2 20 4" xfId="3197" xr:uid="{00000000-0005-0000-0000-00007D0C0000}"/>
    <cellStyle name="Comma 2 2 21" xfId="243" xr:uid="{00000000-0005-0000-0000-0000F3000000}"/>
    <cellStyle name="Comma 2 2 21 2" xfId="965" xr:uid="{00000000-0005-0000-0000-0000C5030000}"/>
    <cellStyle name="Comma 2 2 21 2 2" xfId="2413" xr:uid="{00000000-0005-0000-0000-00006D090000}"/>
    <cellStyle name="Comma 2 2 21 2 2 2" xfId="5269" xr:uid="{00000000-0005-0000-0000-000095140000}"/>
    <cellStyle name="Comma 2 2 21 2 3" xfId="3851" xr:uid="{00000000-0005-0000-0000-00000B0F0000}"/>
    <cellStyle name="Comma 2 2 21 3" xfId="1766" xr:uid="{00000000-0005-0000-0000-0000E6060000}"/>
    <cellStyle name="Comma 2 2 21 3 2" xfId="4626" xr:uid="{00000000-0005-0000-0000-000012120000}"/>
    <cellStyle name="Comma 2 2 21 4" xfId="3210" xr:uid="{00000000-0005-0000-0000-00008A0C0000}"/>
    <cellStyle name="Comma 2 2 22" xfId="255" xr:uid="{00000000-0005-0000-0000-0000FF000000}"/>
    <cellStyle name="Comma 2 2 22 2" xfId="977" xr:uid="{00000000-0005-0000-0000-0000D1030000}"/>
    <cellStyle name="Comma 2 2 22 2 2" xfId="2425" xr:uid="{00000000-0005-0000-0000-000079090000}"/>
    <cellStyle name="Comma 2 2 22 2 2 2" xfId="5281" xr:uid="{00000000-0005-0000-0000-0000A1140000}"/>
    <cellStyle name="Comma 2 2 22 2 3" xfId="3863" xr:uid="{00000000-0005-0000-0000-0000170F0000}"/>
    <cellStyle name="Comma 2 2 22 3" xfId="1778" xr:uid="{00000000-0005-0000-0000-0000F2060000}"/>
    <cellStyle name="Comma 2 2 22 3 2" xfId="4638" xr:uid="{00000000-0005-0000-0000-00001E120000}"/>
    <cellStyle name="Comma 2 2 22 4" xfId="3222" xr:uid="{00000000-0005-0000-0000-0000960C0000}"/>
    <cellStyle name="Comma 2 2 23" xfId="265" xr:uid="{00000000-0005-0000-0000-000009010000}"/>
    <cellStyle name="Comma 2 2 23 2" xfId="987" xr:uid="{00000000-0005-0000-0000-0000DB030000}"/>
    <cellStyle name="Comma 2 2 23 2 2" xfId="2435" xr:uid="{00000000-0005-0000-0000-000083090000}"/>
    <cellStyle name="Comma 2 2 23 2 2 2" xfId="5291" xr:uid="{00000000-0005-0000-0000-0000AB140000}"/>
    <cellStyle name="Comma 2 2 23 2 3" xfId="3873" xr:uid="{00000000-0005-0000-0000-0000210F0000}"/>
    <cellStyle name="Comma 2 2 23 3" xfId="1788" xr:uid="{00000000-0005-0000-0000-0000FC060000}"/>
    <cellStyle name="Comma 2 2 23 3 2" xfId="4648" xr:uid="{00000000-0005-0000-0000-000028120000}"/>
    <cellStyle name="Comma 2 2 23 4" xfId="3232" xr:uid="{00000000-0005-0000-0000-0000A00C0000}"/>
    <cellStyle name="Comma 2 2 24" xfId="281" xr:uid="{00000000-0005-0000-0000-000019010000}"/>
    <cellStyle name="Comma 2 2 24 2" xfId="1003" xr:uid="{00000000-0005-0000-0000-0000EB030000}"/>
    <cellStyle name="Comma 2 2 24 2 2" xfId="2451" xr:uid="{00000000-0005-0000-0000-000093090000}"/>
    <cellStyle name="Comma 2 2 24 2 2 2" xfId="5307" xr:uid="{00000000-0005-0000-0000-0000BB140000}"/>
    <cellStyle name="Comma 2 2 24 2 3" xfId="3889" xr:uid="{00000000-0005-0000-0000-0000310F0000}"/>
    <cellStyle name="Comma 2 2 24 3" xfId="1804" xr:uid="{00000000-0005-0000-0000-00000C070000}"/>
    <cellStyle name="Comma 2 2 24 3 2" xfId="4664" xr:uid="{00000000-0005-0000-0000-000038120000}"/>
    <cellStyle name="Comma 2 2 24 4" xfId="3248" xr:uid="{00000000-0005-0000-0000-0000B00C0000}"/>
    <cellStyle name="Comma 2 2 25" xfId="297" xr:uid="{00000000-0005-0000-0000-000029010000}"/>
    <cellStyle name="Comma 2 2 25 2" xfId="1018" xr:uid="{00000000-0005-0000-0000-0000FA030000}"/>
    <cellStyle name="Comma 2 2 25 2 2" xfId="2466" xr:uid="{00000000-0005-0000-0000-0000A2090000}"/>
    <cellStyle name="Comma 2 2 25 2 2 2" xfId="5322" xr:uid="{00000000-0005-0000-0000-0000CA140000}"/>
    <cellStyle name="Comma 2 2 25 2 3" xfId="3904" xr:uid="{00000000-0005-0000-0000-0000400F0000}"/>
    <cellStyle name="Comma 2 2 25 3" xfId="1820" xr:uid="{00000000-0005-0000-0000-00001C070000}"/>
    <cellStyle name="Comma 2 2 25 3 2" xfId="4680" xr:uid="{00000000-0005-0000-0000-000048120000}"/>
    <cellStyle name="Comma 2 2 25 4" xfId="3264" xr:uid="{00000000-0005-0000-0000-0000C00C0000}"/>
    <cellStyle name="Comma 2 2 26" xfId="307" xr:uid="{00000000-0005-0000-0000-000033010000}"/>
    <cellStyle name="Comma 2 2 26 2" xfId="1028" xr:uid="{00000000-0005-0000-0000-000004040000}"/>
    <cellStyle name="Comma 2 2 26 2 2" xfId="2476" xr:uid="{00000000-0005-0000-0000-0000AC090000}"/>
    <cellStyle name="Comma 2 2 26 2 2 2" xfId="5332" xr:uid="{00000000-0005-0000-0000-0000D4140000}"/>
    <cellStyle name="Comma 2 2 26 2 3" xfId="3914" xr:uid="{00000000-0005-0000-0000-00004A0F0000}"/>
    <cellStyle name="Comma 2 2 26 3" xfId="1830" xr:uid="{00000000-0005-0000-0000-000026070000}"/>
    <cellStyle name="Comma 2 2 26 3 2" xfId="4690" xr:uid="{00000000-0005-0000-0000-000052120000}"/>
    <cellStyle name="Comma 2 2 26 4" xfId="3274" xr:uid="{00000000-0005-0000-0000-0000CA0C0000}"/>
    <cellStyle name="Comma 2 2 27" xfId="322" xr:uid="{00000000-0005-0000-0000-000042010000}"/>
    <cellStyle name="Comma 2 2 27 2" xfId="1043" xr:uid="{00000000-0005-0000-0000-000013040000}"/>
    <cellStyle name="Comma 2 2 27 2 2" xfId="2491" xr:uid="{00000000-0005-0000-0000-0000BB090000}"/>
    <cellStyle name="Comma 2 2 27 2 2 2" xfId="5347" xr:uid="{00000000-0005-0000-0000-0000E3140000}"/>
    <cellStyle name="Comma 2 2 27 2 3" xfId="3929" xr:uid="{00000000-0005-0000-0000-0000590F0000}"/>
    <cellStyle name="Comma 2 2 27 3" xfId="1845" xr:uid="{00000000-0005-0000-0000-000035070000}"/>
    <cellStyle name="Comma 2 2 27 3 2" xfId="4705" xr:uid="{00000000-0005-0000-0000-000061120000}"/>
    <cellStyle name="Comma 2 2 27 4" xfId="3289" xr:uid="{00000000-0005-0000-0000-0000D90C0000}"/>
    <cellStyle name="Comma 2 2 28" xfId="339" xr:uid="{00000000-0005-0000-0000-000053010000}"/>
    <cellStyle name="Comma 2 2 28 2" xfId="1060" xr:uid="{00000000-0005-0000-0000-000024040000}"/>
    <cellStyle name="Comma 2 2 28 2 2" xfId="2508" xr:uid="{00000000-0005-0000-0000-0000CC090000}"/>
    <cellStyle name="Comma 2 2 28 2 2 2" xfId="5364" xr:uid="{00000000-0005-0000-0000-0000F4140000}"/>
    <cellStyle name="Comma 2 2 28 2 3" xfId="3946" xr:uid="{00000000-0005-0000-0000-00006A0F0000}"/>
    <cellStyle name="Comma 2 2 28 3" xfId="1862" xr:uid="{00000000-0005-0000-0000-000046070000}"/>
    <cellStyle name="Comma 2 2 28 3 2" xfId="4722" xr:uid="{00000000-0005-0000-0000-000072120000}"/>
    <cellStyle name="Comma 2 2 28 4" xfId="3306" xr:uid="{00000000-0005-0000-0000-0000EA0C0000}"/>
    <cellStyle name="Comma 2 2 29" xfId="350" xr:uid="{00000000-0005-0000-0000-00005E010000}"/>
    <cellStyle name="Comma 2 2 29 2" xfId="1071" xr:uid="{00000000-0005-0000-0000-00002F040000}"/>
    <cellStyle name="Comma 2 2 29 2 2" xfId="2519" xr:uid="{00000000-0005-0000-0000-0000D7090000}"/>
    <cellStyle name="Comma 2 2 29 2 2 2" xfId="5375" xr:uid="{00000000-0005-0000-0000-0000FF140000}"/>
    <cellStyle name="Comma 2 2 29 2 3" xfId="3957" xr:uid="{00000000-0005-0000-0000-0000750F0000}"/>
    <cellStyle name="Comma 2 2 29 3" xfId="1873" xr:uid="{00000000-0005-0000-0000-000051070000}"/>
    <cellStyle name="Comma 2 2 29 3 2" xfId="4733" xr:uid="{00000000-0005-0000-0000-00007D120000}"/>
    <cellStyle name="Comma 2 2 29 4" xfId="3317" xr:uid="{00000000-0005-0000-0000-0000F50C0000}"/>
    <cellStyle name="Comma 2 2 3" xfId="66" xr:uid="{00000000-0005-0000-0000-000042000000}"/>
    <cellStyle name="Comma 2 2 3 2" xfId="794" xr:uid="{00000000-0005-0000-0000-00001A030000}"/>
    <cellStyle name="Comma 2 2 3 2 2" xfId="2245" xr:uid="{00000000-0005-0000-0000-0000C5080000}"/>
    <cellStyle name="Comma 2 2 3 2 2 2" xfId="5101" xr:uid="{00000000-0005-0000-0000-0000ED130000}"/>
    <cellStyle name="Comma 2 2 3 2 3" xfId="3683" xr:uid="{00000000-0005-0000-0000-0000630E0000}"/>
    <cellStyle name="Comma 2 2 3 3" xfId="1597" xr:uid="{00000000-0005-0000-0000-00003D060000}"/>
    <cellStyle name="Comma 2 2 3 3 2" xfId="4457" xr:uid="{00000000-0005-0000-0000-000069110000}"/>
    <cellStyle name="Comma 2 2 3 4" xfId="3042" xr:uid="{00000000-0005-0000-0000-0000E20B0000}"/>
    <cellStyle name="Comma 2 2 30" xfId="366" xr:uid="{00000000-0005-0000-0000-00006E010000}"/>
    <cellStyle name="Comma 2 2 30 2" xfId="1087" xr:uid="{00000000-0005-0000-0000-00003F040000}"/>
    <cellStyle name="Comma 2 2 30 2 2" xfId="2535" xr:uid="{00000000-0005-0000-0000-0000E7090000}"/>
    <cellStyle name="Comma 2 2 30 2 2 2" xfId="5391" xr:uid="{00000000-0005-0000-0000-00000F150000}"/>
    <cellStyle name="Comma 2 2 30 2 3" xfId="3973" xr:uid="{00000000-0005-0000-0000-0000850F0000}"/>
    <cellStyle name="Comma 2 2 30 3" xfId="1889" xr:uid="{00000000-0005-0000-0000-000061070000}"/>
    <cellStyle name="Comma 2 2 30 3 2" xfId="4749" xr:uid="{00000000-0005-0000-0000-00008D120000}"/>
    <cellStyle name="Comma 2 2 30 4" xfId="3333" xr:uid="{00000000-0005-0000-0000-0000050D0000}"/>
    <cellStyle name="Comma 2 2 31" xfId="378" xr:uid="{00000000-0005-0000-0000-00007A010000}"/>
    <cellStyle name="Comma 2 2 31 2" xfId="1099" xr:uid="{00000000-0005-0000-0000-00004B040000}"/>
    <cellStyle name="Comma 2 2 31 2 2" xfId="2547" xr:uid="{00000000-0005-0000-0000-0000F3090000}"/>
    <cellStyle name="Comma 2 2 31 2 2 2" xfId="5403" xr:uid="{00000000-0005-0000-0000-00001B150000}"/>
    <cellStyle name="Comma 2 2 31 2 3" xfId="3985" xr:uid="{00000000-0005-0000-0000-0000910F0000}"/>
    <cellStyle name="Comma 2 2 31 3" xfId="1901" xr:uid="{00000000-0005-0000-0000-00006D070000}"/>
    <cellStyle name="Comma 2 2 31 3 2" xfId="4761" xr:uid="{00000000-0005-0000-0000-000099120000}"/>
    <cellStyle name="Comma 2 2 31 4" xfId="3345" xr:uid="{00000000-0005-0000-0000-0000110D0000}"/>
    <cellStyle name="Comma 2 2 32" xfId="387" xr:uid="{00000000-0005-0000-0000-000083010000}"/>
    <cellStyle name="Comma 2 2 32 2" xfId="1108" xr:uid="{00000000-0005-0000-0000-000054040000}"/>
    <cellStyle name="Comma 2 2 32 2 2" xfId="2556" xr:uid="{00000000-0005-0000-0000-0000FC090000}"/>
    <cellStyle name="Comma 2 2 32 2 2 2" xfId="5412" xr:uid="{00000000-0005-0000-0000-000024150000}"/>
    <cellStyle name="Comma 2 2 32 2 3" xfId="3994" xr:uid="{00000000-0005-0000-0000-00009A0F0000}"/>
    <cellStyle name="Comma 2 2 32 3" xfId="1910" xr:uid="{00000000-0005-0000-0000-000076070000}"/>
    <cellStyle name="Comma 2 2 32 3 2" xfId="4770" xr:uid="{00000000-0005-0000-0000-0000A2120000}"/>
    <cellStyle name="Comma 2 2 32 4" xfId="3354" xr:uid="{00000000-0005-0000-0000-00001A0D0000}"/>
    <cellStyle name="Comma 2 2 33" xfId="405" xr:uid="{00000000-0005-0000-0000-000095010000}"/>
    <cellStyle name="Comma 2 2 33 2" xfId="1126" xr:uid="{00000000-0005-0000-0000-000066040000}"/>
    <cellStyle name="Comma 2 2 33 2 2" xfId="2574" xr:uid="{00000000-0005-0000-0000-00000E0A0000}"/>
    <cellStyle name="Comma 2 2 33 2 2 2" xfId="5430" xr:uid="{00000000-0005-0000-0000-000036150000}"/>
    <cellStyle name="Comma 2 2 33 2 3" xfId="4012" xr:uid="{00000000-0005-0000-0000-0000AC0F0000}"/>
    <cellStyle name="Comma 2 2 33 3" xfId="1928" xr:uid="{00000000-0005-0000-0000-000088070000}"/>
    <cellStyle name="Comma 2 2 33 3 2" xfId="4788" xr:uid="{00000000-0005-0000-0000-0000B4120000}"/>
    <cellStyle name="Comma 2 2 33 4" xfId="3372" xr:uid="{00000000-0005-0000-0000-00002C0D0000}"/>
    <cellStyle name="Comma 2 2 34" xfId="414" xr:uid="{00000000-0005-0000-0000-00009E010000}"/>
    <cellStyle name="Comma 2 2 34 2" xfId="1135" xr:uid="{00000000-0005-0000-0000-00006F040000}"/>
    <cellStyle name="Comma 2 2 34 2 2" xfId="2583" xr:uid="{00000000-0005-0000-0000-0000170A0000}"/>
    <cellStyle name="Comma 2 2 34 2 2 2" xfId="5439" xr:uid="{00000000-0005-0000-0000-00003F150000}"/>
    <cellStyle name="Comma 2 2 34 2 3" xfId="4021" xr:uid="{00000000-0005-0000-0000-0000B50F0000}"/>
    <cellStyle name="Comma 2 2 34 3" xfId="1937" xr:uid="{00000000-0005-0000-0000-000091070000}"/>
    <cellStyle name="Comma 2 2 34 3 2" xfId="4797" xr:uid="{00000000-0005-0000-0000-0000BD120000}"/>
    <cellStyle name="Comma 2 2 34 4" xfId="3381" xr:uid="{00000000-0005-0000-0000-0000350D0000}"/>
    <cellStyle name="Comma 2 2 35" xfId="428" xr:uid="{00000000-0005-0000-0000-0000AC010000}"/>
    <cellStyle name="Comma 2 2 35 2" xfId="1149" xr:uid="{00000000-0005-0000-0000-00007D040000}"/>
    <cellStyle name="Comma 2 2 35 2 2" xfId="2597" xr:uid="{00000000-0005-0000-0000-0000250A0000}"/>
    <cellStyle name="Comma 2 2 35 2 2 2" xfId="5453" xr:uid="{00000000-0005-0000-0000-00004D150000}"/>
    <cellStyle name="Comma 2 2 35 2 3" xfId="4035" xr:uid="{00000000-0005-0000-0000-0000C30F0000}"/>
    <cellStyle name="Comma 2 2 35 3" xfId="1951" xr:uid="{00000000-0005-0000-0000-00009F070000}"/>
    <cellStyle name="Comma 2 2 35 3 2" xfId="4811" xr:uid="{00000000-0005-0000-0000-0000CB120000}"/>
    <cellStyle name="Comma 2 2 35 4" xfId="3395" xr:uid="{00000000-0005-0000-0000-0000430D0000}"/>
    <cellStyle name="Comma 2 2 36" xfId="435" xr:uid="{00000000-0005-0000-0000-0000B3010000}"/>
    <cellStyle name="Comma 2 2 36 2" xfId="1156" xr:uid="{00000000-0005-0000-0000-000084040000}"/>
    <cellStyle name="Comma 2 2 36 2 2" xfId="2604" xr:uid="{00000000-0005-0000-0000-00002C0A0000}"/>
    <cellStyle name="Comma 2 2 36 2 2 2" xfId="5460" xr:uid="{00000000-0005-0000-0000-000054150000}"/>
    <cellStyle name="Comma 2 2 36 2 3" xfId="4042" xr:uid="{00000000-0005-0000-0000-0000CA0F0000}"/>
    <cellStyle name="Comma 2 2 36 3" xfId="1958" xr:uid="{00000000-0005-0000-0000-0000A6070000}"/>
    <cellStyle name="Comma 2 2 36 3 2" xfId="4818" xr:uid="{00000000-0005-0000-0000-0000D2120000}"/>
    <cellStyle name="Comma 2 2 36 4" xfId="3402" xr:uid="{00000000-0005-0000-0000-00004A0D0000}"/>
    <cellStyle name="Comma 2 2 37" xfId="454" xr:uid="{00000000-0005-0000-0000-0000C6010000}"/>
    <cellStyle name="Comma 2 2 37 2" xfId="1174" xr:uid="{00000000-0005-0000-0000-000096040000}"/>
    <cellStyle name="Comma 2 2 37 2 2" xfId="2622" xr:uid="{00000000-0005-0000-0000-00003E0A0000}"/>
    <cellStyle name="Comma 2 2 37 2 2 2" xfId="5478" xr:uid="{00000000-0005-0000-0000-000066150000}"/>
    <cellStyle name="Comma 2 2 37 2 3" xfId="4060" xr:uid="{00000000-0005-0000-0000-0000DC0F0000}"/>
    <cellStyle name="Comma 2 2 37 3" xfId="1977" xr:uid="{00000000-0005-0000-0000-0000B9070000}"/>
    <cellStyle name="Comma 2 2 37 3 2" xfId="4837" xr:uid="{00000000-0005-0000-0000-0000E5120000}"/>
    <cellStyle name="Comma 2 2 37 4" xfId="3421" xr:uid="{00000000-0005-0000-0000-00005D0D0000}"/>
    <cellStyle name="Comma 2 2 38" xfId="469" xr:uid="{00000000-0005-0000-0000-0000D5010000}"/>
    <cellStyle name="Comma 2 2 38 2" xfId="1189" xr:uid="{00000000-0005-0000-0000-0000A5040000}"/>
    <cellStyle name="Comma 2 2 38 2 2" xfId="2637" xr:uid="{00000000-0005-0000-0000-00004D0A0000}"/>
    <cellStyle name="Comma 2 2 38 2 2 2" xfId="5493" xr:uid="{00000000-0005-0000-0000-000075150000}"/>
    <cellStyle name="Comma 2 2 38 2 3" xfId="4075" xr:uid="{00000000-0005-0000-0000-0000EB0F0000}"/>
    <cellStyle name="Comma 2 2 38 3" xfId="1992" xr:uid="{00000000-0005-0000-0000-0000C8070000}"/>
    <cellStyle name="Comma 2 2 38 3 2" xfId="4852" xr:uid="{00000000-0005-0000-0000-0000F4120000}"/>
    <cellStyle name="Comma 2 2 38 4" xfId="3436" xr:uid="{00000000-0005-0000-0000-00006C0D0000}"/>
    <cellStyle name="Comma 2 2 39" xfId="487" xr:uid="{00000000-0005-0000-0000-0000E7010000}"/>
    <cellStyle name="Comma 2 2 39 2" xfId="1206" xr:uid="{00000000-0005-0000-0000-0000B6040000}"/>
    <cellStyle name="Comma 2 2 39 2 2" xfId="2654" xr:uid="{00000000-0005-0000-0000-00005E0A0000}"/>
    <cellStyle name="Comma 2 2 39 2 2 2" xfId="5510" xr:uid="{00000000-0005-0000-0000-000086150000}"/>
    <cellStyle name="Comma 2 2 39 2 3" xfId="4092" xr:uid="{00000000-0005-0000-0000-0000FC0F0000}"/>
    <cellStyle name="Comma 2 2 39 3" xfId="2009" xr:uid="{00000000-0005-0000-0000-0000D9070000}"/>
    <cellStyle name="Comma 2 2 39 3 2" xfId="4869" xr:uid="{00000000-0005-0000-0000-000005130000}"/>
    <cellStyle name="Comma 2 2 39 4" xfId="3453" xr:uid="{00000000-0005-0000-0000-00007D0D0000}"/>
    <cellStyle name="Comma 2 2 4" xfId="79" xr:uid="{00000000-0005-0000-0000-00004F000000}"/>
    <cellStyle name="Comma 2 2 4 2" xfId="805" xr:uid="{00000000-0005-0000-0000-000025030000}"/>
    <cellStyle name="Comma 2 2 4 2 2" xfId="2256" xr:uid="{00000000-0005-0000-0000-0000D0080000}"/>
    <cellStyle name="Comma 2 2 4 2 2 2" xfId="5112" xr:uid="{00000000-0005-0000-0000-0000F8130000}"/>
    <cellStyle name="Comma 2 2 4 2 3" xfId="3694" xr:uid="{00000000-0005-0000-0000-00006E0E0000}"/>
    <cellStyle name="Comma 2 2 4 3" xfId="1609" xr:uid="{00000000-0005-0000-0000-000049060000}"/>
    <cellStyle name="Comma 2 2 4 3 2" xfId="4469" xr:uid="{00000000-0005-0000-0000-000075110000}"/>
    <cellStyle name="Comma 2 2 4 4" xfId="3053" xr:uid="{00000000-0005-0000-0000-0000ED0B0000}"/>
    <cellStyle name="Comma 2 2 40" xfId="498" xr:uid="{00000000-0005-0000-0000-0000F2010000}"/>
    <cellStyle name="Comma 2 2 40 2" xfId="1217" xr:uid="{00000000-0005-0000-0000-0000C1040000}"/>
    <cellStyle name="Comma 2 2 40 2 2" xfId="2665" xr:uid="{00000000-0005-0000-0000-0000690A0000}"/>
    <cellStyle name="Comma 2 2 40 2 2 2" xfId="5521" xr:uid="{00000000-0005-0000-0000-000091150000}"/>
    <cellStyle name="Comma 2 2 40 2 3" xfId="4103" xr:uid="{00000000-0005-0000-0000-000007100000}"/>
    <cellStyle name="Comma 2 2 40 3" xfId="2020" xr:uid="{00000000-0005-0000-0000-0000E4070000}"/>
    <cellStyle name="Comma 2 2 40 3 2" xfId="4880" xr:uid="{00000000-0005-0000-0000-000010130000}"/>
    <cellStyle name="Comma 2 2 40 4" xfId="3464" xr:uid="{00000000-0005-0000-0000-0000880D0000}"/>
    <cellStyle name="Comma 2 2 41" xfId="509" xr:uid="{00000000-0005-0000-0000-0000FD010000}"/>
    <cellStyle name="Comma 2 2 41 2" xfId="1228" xr:uid="{00000000-0005-0000-0000-0000CC040000}"/>
    <cellStyle name="Comma 2 2 41 2 2" xfId="2676" xr:uid="{00000000-0005-0000-0000-0000740A0000}"/>
    <cellStyle name="Comma 2 2 41 2 2 2" xfId="5532" xr:uid="{00000000-0005-0000-0000-00009C150000}"/>
    <cellStyle name="Comma 2 2 41 2 3" xfId="4114" xr:uid="{00000000-0005-0000-0000-000012100000}"/>
    <cellStyle name="Comma 2 2 41 3" xfId="2031" xr:uid="{00000000-0005-0000-0000-0000EF070000}"/>
    <cellStyle name="Comma 2 2 41 3 2" xfId="4891" xr:uid="{00000000-0005-0000-0000-00001B130000}"/>
    <cellStyle name="Comma 2 2 41 4" xfId="3475" xr:uid="{00000000-0005-0000-0000-0000930D0000}"/>
    <cellStyle name="Comma 2 2 42" xfId="521" xr:uid="{00000000-0005-0000-0000-000009020000}"/>
    <cellStyle name="Comma 2 2 42 2" xfId="1240" xr:uid="{00000000-0005-0000-0000-0000D8040000}"/>
    <cellStyle name="Comma 2 2 42 2 2" xfId="2688" xr:uid="{00000000-0005-0000-0000-0000800A0000}"/>
    <cellStyle name="Comma 2 2 42 2 2 2" xfId="5544" xr:uid="{00000000-0005-0000-0000-0000A8150000}"/>
    <cellStyle name="Comma 2 2 42 2 3" xfId="4126" xr:uid="{00000000-0005-0000-0000-00001E100000}"/>
    <cellStyle name="Comma 2 2 42 3" xfId="2043" xr:uid="{00000000-0005-0000-0000-0000FB070000}"/>
    <cellStyle name="Comma 2 2 42 3 2" xfId="4903" xr:uid="{00000000-0005-0000-0000-000027130000}"/>
    <cellStyle name="Comma 2 2 42 4" xfId="3487" xr:uid="{00000000-0005-0000-0000-00009F0D0000}"/>
    <cellStyle name="Comma 2 2 43" xfId="532" xr:uid="{00000000-0005-0000-0000-000014020000}"/>
    <cellStyle name="Comma 2 2 43 2" xfId="1251" xr:uid="{00000000-0005-0000-0000-0000E3040000}"/>
    <cellStyle name="Comma 2 2 43 2 2" xfId="2699" xr:uid="{00000000-0005-0000-0000-00008B0A0000}"/>
    <cellStyle name="Comma 2 2 43 2 2 2" xfId="5555" xr:uid="{00000000-0005-0000-0000-0000B3150000}"/>
    <cellStyle name="Comma 2 2 43 2 3" xfId="4137" xr:uid="{00000000-0005-0000-0000-000029100000}"/>
    <cellStyle name="Comma 2 2 43 3" xfId="2054" xr:uid="{00000000-0005-0000-0000-000006080000}"/>
    <cellStyle name="Comma 2 2 43 3 2" xfId="4914" xr:uid="{00000000-0005-0000-0000-000032130000}"/>
    <cellStyle name="Comma 2 2 43 4" xfId="3498" xr:uid="{00000000-0005-0000-0000-0000AA0D0000}"/>
    <cellStyle name="Comma 2 2 44" xfId="540" xr:uid="{00000000-0005-0000-0000-00001C020000}"/>
    <cellStyle name="Comma 2 2 44 2" xfId="1259" xr:uid="{00000000-0005-0000-0000-0000EB040000}"/>
    <cellStyle name="Comma 2 2 44 2 2" xfId="2707" xr:uid="{00000000-0005-0000-0000-0000930A0000}"/>
    <cellStyle name="Comma 2 2 44 2 2 2" xfId="5563" xr:uid="{00000000-0005-0000-0000-0000BB150000}"/>
    <cellStyle name="Comma 2 2 44 2 3" xfId="4145" xr:uid="{00000000-0005-0000-0000-000031100000}"/>
    <cellStyle name="Comma 2 2 44 3" xfId="2062" xr:uid="{00000000-0005-0000-0000-00000E080000}"/>
    <cellStyle name="Comma 2 2 44 3 2" xfId="4922" xr:uid="{00000000-0005-0000-0000-00003A130000}"/>
    <cellStyle name="Comma 2 2 44 4" xfId="3506" xr:uid="{00000000-0005-0000-0000-0000B20D0000}"/>
    <cellStyle name="Comma 2 2 45" xfId="550" xr:uid="{00000000-0005-0000-0000-000026020000}"/>
    <cellStyle name="Comma 2 2 45 2" xfId="1269" xr:uid="{00000000-0005-0000-0000-0000F5040000}"/>
    <cellStyle name="Comma 2 2 45 2 2" xfId="2717" xr:uid="{00000000-0005-0000-0000-00009D0A0000}"/>
    <cellStyle name="Comma 2 2 45 2 2 2" xfId="5573" xr:uid="{00000000-0005-0000-0000-0000C5150000}"/>
    <cellStyle name="Comma 2 2 45 2 3" xfId="4155" xr:uid="{00000000-0005-0000-0000-00003B100000}"/>
    <cellStyle name="Comma 2 2 45 3" xfId="2072" xr:uid="{00000000-0005-0000-0000-000018080000}"/>
    <cellStyle name="Comma 2 2 45 3 2" xfId="4932" xr:uid="{00000000-0005-0000-0000-000044130000}"/>
    <cellStyle name="Comma 2 2 45 4" xfId="3516" xr:uid="{00000000-0005-0000-0000-0000BC0D0000}"/>
    <cellStyle name="Comma 2 2 46" xfId="566" xr:uid="{00000000-0005-0000-0000-000036020000}"/>
    <cellStyle name="Comma 2 2 46 2" xfId="1285" xr:uid="{00000000-0005-0000-0000-000005050000}"/>
    <cellStyle name="Comma 2 2 46 2 2" xfId="2733" xr:uid="{00000000-0005-0000-0000-0000AD0A0000}"/>
    <cellStyle name="Comma 2 2 46 2 2 2" xfId="5589" xr:uid="{00000000-0005-0000-0000-0000D5150000}"/>
    <cellStyle name="Comma 2 2 46 2 3" xfId="4171" xr:uid="{00000000-0005-0000-0000-00004B100000}"/>
    <cellStyle name="Comma 2 2 46 3" xfId="2088" xr:uid="{00000000-0005-0000-0000-000028080000}"/>
    <cellStyle name="Comma 2 2 46 3 2" xfId="4948" xr:uid="{00000000-0005-0000-0000-000054130000}"/>
    <cellStyle name="Comma 2 2 46 4" xfId="3532" xr:uid="{00000000-0005-0000-0000-0000CC0D0000}"/>
    <cellStyle name="Comma 2 2 47" xfId="580" xr:uid="{00000000-0005-0000-0000-000044020000}"/>
    <cellStyle name="Comma 2 2 47 2" xfId="1299" xr:uid="{00000000-0005-0000-0000-000013050000}"/>
    <cellStyle name="Comma 2 2 47 2 2" xfId="2747" xr:uid="{00000000-0005-0000-0000-0000BB0A0000}"/>
    <cellStyle name="Comma 2 2 47 2 2 2" xfId="5603" xr:uid="{00000000-0005-0000-0000-0000E3150000}"/>
    <cellStyle name="Comma 2 2 47 2 3" xfId="4185" xr:uid="{00000000-0005-0000-0000-000059100000}"/>
    <cellStyle name="Comma 2 2 47 3" xfId="2102" xr:uid="{00000000-0005-0000-0000-000036080000}"/>
    <cellStyle name="Comma 2 2 47 3 2" xfId="4962" xr:uid="{00000000-0005-0000-0000-000062130000}"/>
    <cellStyle name="Comma 2 2 47 4" xfId="3546" xr:uid="{00000000-0005-0000-0000-0000DA0D0000}"/>
    <cellStyle name="Comma 2 2 48" xfId="585" xr:uid="{00000000-0005-0000-0000-000049020000}"/>
    <cellStyle name="Comma 2 2 48 2" xfId="1304" xr:uid="{00000000-0005-0000-0000-000018050000}"/>
    <cellStyle name="Comma 2 2 48 2 2" xfId="2752" xr:uid="{00000000-0005-0000-0000-0000C00A0000}"/>
    <cellStyle name="Comma 2 2 48 2 2 2" xfId="5608" xr:uid="{00000000-0005-0000-0000-0000E8150000}"/>
    <cellStyle name="Comma 2 2 48 2 3" xfId="4190" xr:uid="{00000000-0005-0000-0000-00005E100000}"/>
    <cellStyle name="Comma 2 2 48 3" xfId="2107" xr:uid="{00000000-0005-0000-0000-00003B080000}"/>
    <cellStyle name="Comma 2 2 48 3 2" xfId="4967" xr:uid="{00000000-0005-0000-0000-000067130000}"/>
    <cellStyle name="Comma 2 2 48 4" xfId="3551" xr:uid="{00000000-0005-0000-0000-0000DF0D0000}"/>
    <cellStyle name="Comma 2 2 49" xfId="723" xr:uid="{00000000-0005-0000-0000-0000D3020000}"/>
    <cellStyle name="Comma 2 2 49 2" xfId="1402" xr:uid="{00000000-0005-0000-0000-00007A050000}"/>
    <cellStyle name="Comma 2 2 49 2 2" xfId="2849" xr:uid="{00000000-0005-0000-0000-0000210B0000}"/>
    <cellStyle name="Comma 2 2 49 2 2 2" xfId="5704" xr:uid="{00000000-0005-0000-0000-000048160000}"/>
    <cellStyle name="Comma 2 2 49 2 3" xfId="4286" xr:uid="{00000000-0005-0000-0000-0000BE100000}"/>
    <cellStyle name="Comma 2 2 49 3" xfId="2209" xr:uid="{00000000-0005-0000-0000-0000A1080000}"/>
    <cellStyle name="Comma 2 2 49 3 2" xfId="5065" xr:uid="{00000000-0005-0000-0000-0000C9130000}"/>
    <cellStyle name="Comma 2 2 49 4" xfId="3649" xr:uid="{00000000-0005-0000-0000-0000410E0000}"/>
    <cellStyle name="Comma 2 2 5" xfId="83" xr:uid="{00000000-0005-0000-0000-000053000000}"/>
    <cellStyle name="Comma 2 2 5 2" xfId="809" xr:uid="{00000000-0005-0000-0000-000029030000}"/>
    <cellStyle name="Comma 2 2 5 2 2" xfId="2260" xr:uid="{00000000-0005-0000-0000-0000D4080000}"/>
    <cellStyle name="Comma 2 2 5 2 2 2" xfId="5116" xr:uid="{00000000-0005-0000-0000-0000FC130000}"/>
    <cellStyle name="Comma 2 2 5 2 3" xfId="3698" xr:uid="{00000000-0005-0000-0000-0000720E0000}"/>
    <cellStyle name="Comma 2 2 5 3" xfId="1613" xr:uid="{00000000-0005-0000-0000-00004D060000}"/>
    <cellStyle name="Comma 2 2 5 3 2" xfId="4473" xr:uid="{00000000-0005-0000-0000-000079110000}"/>
    <cellStyle name="Comma 2 2 5 4" xfId="3057" xr:uid="{00000000-0005-0000-0000-0000F10B0000}"/>
    <cellStyle name="Comma 2 2 6" xfId="98" xr:uid="{00000000-0005-0000-0000-000062000000}"/>
    <cellStyle name="Comma 2 2 6 2" xfId="824" xr:uid="{00000000-0005-0000-0000-000038030000}"/>
    <cellStyle name="Comma 2 2 6 2 2" xfId="2274" xr:uid="{00000000-0005-0000-0000-0000E2080000}"/>
    <cellStyle name="Comma 2 2 6 2 2 2" xfId="5130" xr:uid="{00000000-0005-0000-0000-00000A140000}"/>
    <cellStyle name="Comma 2 2 6 2 3" xfId="3712" xr:uid="{00000000-0005-0000-0000-0000800E0000}"/>
    <cellStyle name="Comma 2 2 6 3" xfId="1627" xr:uid="{00000000-0005-0000-0000-00005B060000}"/>
    <cellStyle name="Comma 2 2 6 3 2" xfId="4487" xr:uid="{00000000-0005-0000-0000-000087110000}"/>
    <cellStyle name="Comma 2 2 6 4" xfId="3071" xr:uid="{00000000-0005-0000-0000-0000FF0B0000}"/>
    <cellStyle name="Comma 2 2 7" xfId="107" xr:uid="{00000000-0005-0000-0000-00006B000000}"/>
    <cellStyle name="Comma 2 2 7 2" xfId="833" xr:uid="{00000000-0005-0000-0000-000041030000}"/>
    <cellStyle name="Comma 2 2 7 2 2" xfId="2282" xr:uid="{00000000-0005-0000-0000-0000EA080000}"/>
    <cellStyle name="Comma 2 2 7 2 2 2" xfId="5138" xr:uid="{00000000-0005-0000-0000-000012140000}"/>
    <cellStyle name="Comma 2 2 7 2 3" xfId="3720" xr:uid="{00000000-0005-0000-0000-0000880E0000}"/>
    <cellStyle name="Comma 2 2 7 3" xfId="1635" xr:uid="{00000000-0005-0000-0000-000063060000}"/>
    <cellStyle name="Comma 2 2 7 3 2" xfId="4495" xr:uid="{00000000-0005-0000-0000-00008F110000}"/>
    <cellStyle name="Comma 2 2 7 4" xfId="3079" xr:uid="{00000000-0005-0000-0000-0000070C0000}"/>
    <cellStyle name="Comma 2 2 8" xfId="113" xr:uid="{00000000-0005-0000-0000-000071000000}"/>
    <cellStyle name="Comma 2 2 8 2" xfId="839" xr:uid="{00000000-0005-0000-0000-000047030000}"/>
    <cellStyle name="Comma 2 2 8 2 2" xfId="2288" xr:uid="{00000000-0005-0000-0000-0000F0080000}"/>
    <cellStyle name="Comma 2 2 8 2 2 2" xfId="5144" xr:uid="{00000000-0005-0000-0000-000018140000}"/>
    <cellStyle name="Comma 2 2 8 2 3" xfId="3726" xr:uid="{00000000-0005-0000-0000-00008E0E0000}"/>
    <cellStyle name="Comma 2 2 8 3" xfId="1641" xr:uid="{00000000-0005-0000-0000-000069060000}"/>
    <cellStyle name="Comma 2 2 8 3 2" xfId="4501" xr:uid="{00000000-0005-0000-0000-000095110000}"/>
    <cellStyle name="Comma 2 2 8 4" xfId="3085" xr:uid="{00000000-0005-0000-0000-00000D0C0000}"/>
    <cellStyle name="Comma 2 2 9" xfId="117" xr:uid="{00000000-0005-0000-0000-000075000000}"/>
    <cellStyle name="Comma 2 2 9 2" xfId="843" xr:uid="{00000000-0005-0000-0000-00004B030000}"/>
    <cellStyle name="Comma 2 2 9 2 2" xfId="2292" xr:uid="{00000000-0005-0000-0000-0000F4080000}"/>
    <cellStyle name="Comma 2 2 9 2 2 2" xfId="5148" xr:uid="{00000000-0005-0000-0000-00001C140000}"/>
    <cellStyle name="Comma 2 2 9 2 3" xfId="3730" xr:uid="{00000000-0005-0000-0000-0000920E0000}"/>
    <cellStyle name="Comma 2 2 9 3" xfId="1645" xr:uid="{00000000-0005-0000-0000-00006D060000}"/>
    <cellStyle name="Comma 2 2 9 3 2" xfId="4505" xr:uid="{00000000-0005-0000-0000-000099110000}"/>
    <cellStyle name="Comma 2 2 9 4" xfId="3089" xr:uid="{00000000-0005-0000-0000-0000110C0000}"/>
    <cellStyle name="Comma 2 20" xfId="204" xr:uid="{00000000-0005-0000-0000-0000CC000000}"/>
    <cellStyle name="Comma 2 20 2" xfId="926" xr:uid="{00000000-0005-0000-0000-00009E030000}"/>
    <cellStyle name="Comma 2 20 2 2" xfId="2374" xr:uid="{00000000-0005-0000-0000-000046090000}"/>
    <cellStyle name="Comma 2 20 2 2 2" xfId="5230" xr:uid="{00000000-0005-0000-0000-00006E140000}"/>
    <cellStyle name="Comma 2 20 2 3" xfId="3812" xr:uid="{00000000-0005-0000-0000-0000E40E0000}"/>
    <cellStyle name="Comma 2 20 3" xfId="1727" xr:uid="{00000000-0005-0000-0000-0000BF060000}"/>
    <cellStyle name="Comma 2 20 3 2" xfId="4587" xr:uid="{00000000-0005-0000-0000-0000EB110000}"/>
    <cellStyle name="Comma 2 20 4" xfId="3171" xr:uid="{00000000-0005-0000-0000-0000630C0000}"/>
    <cellStyle name="Comma 2 21" xfId="218" xr:uid="{00000000-0005-0000-0000-0000DA000000}"/>
    <cellStyle name="Comma 2 21 2" xfId="940" xr:uid="{00000000-0005-0000-0000-0000AC030000}"/>
    <cellStyle name="Comma 2 21 2 2" xfId="2388" xr:uid="{00000000-0005-0000-0000-000054090000}"/>
    <cellStyle name="Comma 2 21 2 2 2" xfId="5244" xr:uid="{00000000-0005-0000-0000-00007C140000}"/>
    <cellStyle name="Comma 2 21 2 3" xfId="3826" xr:uid="{00000000-0005-0000-0000-0000F20E0000}"/>
    <cellStyle name="Comma 2 21 3" xfId="1741" xr:uid="{00000000-0005-0000-0000-0000CD060000}"/>
    <cellStyle name="Comma 2 21 3 2" xfId="4601" xr:uid="{00000000-0005-0000-0000-0000F9110000}"/>
    <cellStyle name="Comma 2 21 4" xfId="3185" xr:uid="{00000000-0005-0000-0000-0000710C0000}"/>
    <cellStyle name="Comma 2 22" xfId="229" xr:uid="{00000000-0005-0000-0000-0000E5000000}"/>
    <cellStyle name="Comma 2 22 2" xfId="951" xr:uid="{00000000-0005-0000-0000-0000B7030000}"/>
    <cellStyle name="Comma 2 22 2 2" xfId="2399" xr:uid="{00000000-0005-0000-0000-00005F090000}"/>
    <cellStyle name="Comma 2 22 2 2 2" xfId="5255" xr:uid="{00000000-0005-0000-0000-000087140000}"/>
    <cellStyle name="Comma 2 22 2 3" xfId="3837" xr:uid="{00000000-0005-0000-0000-0000FD0E0000}"/>
    <cellStyle name="Comma 2 22 3" xfId="1752" xr:uid="{00000000-0005-0000-0000-0000D8060000}"/>
    <cellStyle name="Comma 2 22 3 2" xfId="4612" xr:uid="{00000000-0005-0000-0000-000004120000}"/>
    <cellStyle name="Comma 2 22 4" xfId="3196" xr:uid="{00000000-0005-0000-0000-00007C0C0000}"/>
    <cellStyle name="Comma 2 23" xfId="242" xr:uid="{00000000-0005-0000-0000-0000F2000000}"/>
    <cellStyle name="Comma 2 23 2" xfId="964" xr:uid="{00000000-0005-0000-0000-0000C4030000}"/>
    <cellStyle name="Comma 2 23 2 2" xfId="2412" xr:uid="{00000000-0005-0000-0000-00006C090000}"/>
    <cellStyle name="Comma 2 23 2 2 2" xfId="5268" xr:uid="{00000000-0005-0000-0000-000094140000}"/>
    <cellStyle name="Comma 2 23 2 3" xfId="3850" xr:uid="{00000000-0005-0000-0000-00000A0F0000}"/>
    <cellStyle name="Comma 2 23 3" xfId="1765" xr:uid="{00000000-0005-0000-0000-0000E5060000}"/>
    <cellStyle name="Comma 2 23 3 2" xfId="4625" xr:uid="{00000000-0005-0000-0000-000011120000}"/>
    <cellStyle name="Comma 2 23 4" xfId="3209" xr:uid="{00000000-0005-0000-0000-0000890C0000}"/>
    <cellStyle name="Comma 2 24" xfId="254" xr:uid="{00000000-0005-0000-0000-0000FE000000}"/>
    <cellStyle name="Comma 2 24 2" xfId="976" xr:uid="{00000000-0005-0000-0000-0000D0030000}"/>
    <cellStyle name="Comma 2 24 2 2" xfId="2424" xr:uid="{00000000-0005-0000-0000-000078090000}"/>
    <cellStyle name="Comma 2 24 2 2 2" xfId="5280" xr:uid="{00000000-0005-0000-0000-0000A0140000}"/>
    <cellStyle name="Comma 2 24 2 3" xfId="3862" xr:uid="{00000000-0005-0000-0000-0000160F0000}"/>
    <cellStyle name="Comma 2 24 3" xfId="1777" xr:uid="{00000000-0005-0000-0000-0000F1060000}"/>
    <cellStyle name="Comma 2 24 3 2" xfId="4637" xr:uid="{00000000-0005-0000-0000-00001D120000}"/>
    <cellStyle name="Comma 2 24 4" xfId="3221" xr:uid="{00000000-0005-0000-0000-0000950C0000}"/>
    <cellStyle name="Comma 2 25" xfId="264" xr:uid="{00000000-0005-0000-0000-000008010000}"/>
    <cellStyle name="Comma 2 25 2" xfId="986" xr:uid="{00000000-0005-0000-0000-0000DA030000}"/>
    <cellStyle name="Comma 2 25 2 2" xfId="2434" xr:uid="{00000000-0005-0000-0000-000082090000}"/>
    <cellStyle name="Comma 2 25 2 2 2" xfId="5290" xr:uid="{00000000-0005-0000-0000-0000AA140000}"/>
    <cellStyle name="Comma 2 25 2 3" xfId="3872" xr:uid="{00000000-0005-0000-0000-0000200F0000}"/>
    <cellStyle name="Comma 2 25 3" xfId="1787" xr:uid="{00000000-0005-0000-0000-0000FB060000}"/>
    <cellStyle name="Comma 2 25 3 2" xfId="4647" xr:uid="{00000000-0005-0000-0000-000027120000}"/>
    <cellStyle name="Comma 2 25 4" xfId="3231" xr:uid="{00000000-0005-0000-0000-00009F0C0000}"/>
    <cellStyle name="Comma 2 26" xfId="280" xr:uid="{00000000-0005-0000-0000-000018010000}"/>
    <cellStyle name="Comma 2 26 2" xfId="1002" xr:uid="{00000000-0005-0000-0000-0000EA030000}"/>
    <cellStyle name="Comma 2 26 2 2" xfId="2450" xr:uid="{00000000-0005-0000-0000-000092090000}"/>
    <cellStyle name="Comma 2 26 2 2 2" xfId="5306" xr:uid="{00000000-0005-0000-0000-0000BA140000}"/>
    <cellStyle name="Comma 2 26 2 3" xfId="3888" xr:uid="{00000000-0005-0000-0000-0000300F0000}"/>
    <cellStyle name="Comma 2 26 3" xfId="1803" xr:uid="{00000000-0005-0000-0000-00000B070000}"/>
    <cellStyle name="Comma 2 26 3 2" xfId="4663" xr:uid="{00000000-0005-0000-0000-000037120000}"/>
    <cellStyle name="Comma 2 26 4" xfId="3247" xr:uid="{00000000-0005-0000-0000-0000AF0C0000}"/>
    <cellStyle name="Comma 2 27" xfId="296" xr:uid="{00000000-0005-0000-0000-000028010000}"/>
    <cellStyle name="Comma 2 27 2" xfId="1017" xr:uid="{00000000-0005-0000-0000-0000F9030000}"/>
    <cellStyle name="Comma 2 27 2 2" xfId="2465" xr:uid="{00000000-0005-0000-0000-0000A1090000}"/>
    <cellStyle name="Comma 2 27 2 2 2" xfId="5321" xr:uid="{00000000-0005-0000-0000-0000C9140000}"/>
    <cellStyle name="Comma 2 27 2 3" xfId="3903" xr:uid="{00000000-0005-0000-0000-00003F0F0000}"/>
    <cellStyle name="Comma 2 27 3" xfId="1819" xr:uid="{00000000-0005-0000-0000-00001B070000}"/>
    <cellStyle name="Comma 2 27 3 2" xfId="4679" xr:uid="{00000000-0005-0000-0000-000047120000}"/>
    <cellStyle name="Comma 2 27 4" xfId="3263" xr:uid="{00000000-0005-0000-0000-0000BF0C0000}"/>
    <cellStyle name="Comma 2 28" xfId="306" xr:uid="{00000000-0005-0000-0000-000032010000}"/>
    <cellStyle name="Comma 2 28 2" xfId="1027" xr:uid="{00000000-0005-0000-0000-000003040000}"/>
    <cellStyle name="Comma 2 28 2 2" xfId="2475" xr:uid="{00000000-0005-0000-0000-0000AB090000}"/>
    <cellStyle name="Comma 2 28 2 2 2" xfId="5331" xr:uid="{00000000-0005-0000-0000-0000D3140000}"/>
    <cellStyle name="Comma 2 28 2 3" xfId="3913" xr:uid="{00000000-0005-0000-0000-0000490F0000}"/>
    <cellStyle name="Comma 2 28 3" xfId="1829" xr:uid="{00000000-0005-0000-0000-000025070000}"/>
    <cellStyle name="Comma 2 28 3 2" xfId="4689" xr:uid="{00000000-0005-0000-0000-000051120000}"/>
    <cellStyle name="Comma 2 28 4" xfId="3273" xr:uid="{00000000-0005-0000-0000-0000C90C0000}"/>
    <cellStyle name="Comma 2 29" xfId="319" xr:uid="{00000000-0005-0000-0000-00003F010000}"/>
    <cellStyle name="Comma 2 29 2" xfId="1040" xr:uid="{00000000-0005-0000-0000-000010040000}"/>
    <cellStyle name="Comma 2 29 2 2" xfId="2488" xr:uid="{00000000-0005-0000-0000-0000B8090000}"/>
    <cellStyle name="Comma 2 29 2 2 2" xfId="5344" xr:uid="{00000000-0005-0000-0000-0000E0140000}"/>
    <cellStyle name="Comma 2 29 2 3" xfId="3926" xr:uid="{00000000-0005-0000-0000-0000560F0000}"/>
    <cellStyle name="Comma 2 29 3" xfId="1842" xr:uid="{00000000-0005-0000-0000-000032070000}"/>
    <cellStyle name="Comma 2 29 3 2" xfId="4702" xr:uid="{00000000-0005-0000-0000-00005E120000}"/>
    <cellStyle name="Comma 2 29 4" xfId="3286" xr:uid="{00000000-0005-0000-0000-0000D60C0000}"/>
    <cellStyle name="Comma 2 3" xfId="4" xr:uid="{00000000-0005-0000-0000-000004000000}"/>
    <cellStyle name="Comma 2 30" xfId="321" xr:uid="{00000000-0005-0000-0000-000041010000}"/>
    <cellStyle name="Comma 2 30 2" xfId="1042" xr:uid="{00000000-0005-0000-0000-000012040000}"/>
    <cellStyle name="Comma 2 30 2 2" xfId="2490" xr:uid="{00000000-0005-0000-0000-0000BA090000}"/>
    <cellStyle name="Comma 2 30 2 2 2" xfId="5346" xr:uid="{00000000-0005-0000-0000-0000E2140000}"/>
    <cellStyle name="Comma 2 30 2 3" xfId="3928" xr:uid="{00000000-0005-0000-0000-0000580F0000}"/>
    <cellStyle name="Comma 2 30 3" xfId="1844" xr:uid="{00000000-0005-0000-0000-000034070000}"/>
    <cellStyle name="Comma 2 30 3 2" xfId="4704" xr:uid="{00000000-0005-0000-0000-000060120000}"/>
    <cellStyle name="Comma 2 30 4" xfId="3288" xr:uid="{00000000-0005-0000-0000-0000D80C0000}"/>
    <cellStyle name="Comma 2 31" xfId="336" xr:uid="{00000000-0005-0000-0000-000050010000}"/>
    <cellStyle name="Comma 2 31 2" xfId="1057" xr:uid="{00000000-0005-0000-0000-000021040000}"/>
    <cellStyle name="Comma 2 31 2 2" xfId="2505" xr:uid="{00000000-0005-0000-0000-0000C9090000}"/>
    <cellStyle name="Comma 2 31 2 2 2" xfId="5361" xr:uid="{00000000-0005-0000-0000-0000F1140000}"/>
    <cellStyle name="Comma 2 31 2 3" xfId="3943" xr:uid="{00000000-0005-0000-0000-0000670F0000}"/>
    <cellStyle name="Comma 2 31 3" xfId="1859" xr:uid="{00000000-0005-0000-0000-000043070000}"/>
    <cellStyle name="Comma 2 31 3 2" xfId="4719" xr:uid="{00000000-0005-0000-0000-00006F120000}"/>
    <cellStyle name="Comma 2 31 4" xfId="3303" xr:uid="{00000000-0005-0000-0000-0000E70C0000}"/>
    <cellStyle name="Comma 2 32" xfId="338" xr:uid="{00000000-0005-0000-0000-000052010000}"/>
    <cellStyle name="Comma 2 32 2" xfId="1059" xr:uid="{00000000-0005-0000-0000-000023040000}"/>
    <cellStyle name="Comma 2 32 2 2" xfId="2507" xr:uid="{00000000-0005-0000-0000-0000CB090000}"/>
    <cellStyle name="Comma 2 32 2 2 2" xfId="5363" xr:uid="{00000000-0005-0000-0000-0000F3140000}"/>
    <cellStyle name="Comma 2 32 2 3" xfId="3945" xr:uid="{00000000-0005-0000-0000-0000690F0000}"/>
    <cellStyle name="Comma 2 32 3" xfId="1861" xr:uid="{00000000-0005-0000-0000-000045070000}"/>
    <cellStyle name="Comma 2 32 3 2" xfId="4721" xr:uid="{00000000-0005-0000-0000-000071120000}"/>
    <cellStyle name="Comma 2 32 4" xfId="3305" xr:uid="{00000000-0005-0000-0000-0000E90C0000}"/>
    <cellStyle name="Comma 2 33" xfId="349" xr:uid="{00000000-0005-0000-0000-00005D010000}"/>
    <cellStyle name="Comma 2 33 2" xfId="1070" xr:uid="{00000000-0005-0000-0000-00002E040000}"/>
    <cellStyle name="Comma 2 33 2 2" xfId="2518" xr:uid="{00000000-0005-0000-0000-0000D6090000}"/>
    <cellStyle name="Comma 2 33 2 2 2" xfId="5374" xr:uid="{00000000-0005-0000-0000-0000FE140000}"/>
    <cellStyle name="Comma 2 33 2 3" xfId="3956" xr:uid="{00000000-0005-0000-0000-0000740F0000}"/>
    <cellStyle name="Comma 2 33 3" xfId="1872" xr:uid="{00000000-0005-0000-0000-000050070000}"/>
    <cellStyle name="Comma 2 33 3 2" xfId="4732" xr:uid="{00000000-0005-0000-0000-00007C120000}"/>
    <cellStyle name="Comma 2 33 4" xfId="3316" xr:uid="{00000000-0005-0000-0000-0000F40C0000}"/>
    <cellStyle name="Comma 2 34" xfId="353" xr:uid="{00000000-0005-0000-0000-000061010000}"/>
    <cellStyle name="Comma 2 34 2" xfId="1074" xr:uid="{00000000-0005-0000-0000-000032040000}"/>
    <cellStyle name="Comma 2 34 2 2" xfId="2522" xr:uid="{00000000-0005-0000-0000-0000DA090000}"/>
    <cellStyle name="Comma 2 34 2 2 2" xfId="5378" xr:uid="{00000000-0005-0000-0000-000002150000}"/>
    <cellStyle name="Comma 2 34 2 3" xfId="3960" xr:uid="{00000000-0005-0000-0000-0000780F0000}"/>
    <cellStyle name="Comma 2 34 3" xfId="1876" xr:uid="{00000000-0005-0000-0000-000054070000}"/>
    <cellStyle name="Comma 2 34 3 2" xfId="4736" xr:uid="{00000000-0005-0000-0000-000080120000}"/>
    <cellStyle name="Comma 2 34 4" xfId="3320" xr:uid="{00000000-0005-0000-0000-0000F80C0000}"/>
    <cellStyle name="Comma 2 35" xfId="361" xr:uid="{00000000-0005-0000-0000-000069010000}"/>
    <cellStyle name="Comma 2 35 2" xfId="1082" xr:uid="{00000000-0005-0000-0000-00003A040000}"/>
    <cellStyle name="Comma 2 35 2 2" xfId="2530" xr:uid="{00000000-0005-0000-0000-0000E2090000}"/>
    <cellStyle name="Comma 2 35 2 2 2" xfId="5386" xr:uid="{00000000-0005-0000-0000-00000A150000}"/>
    <cellStyle name="Comma 2 35 2 3" xfId="3968" xr:uid="{00000000-0005-0000-0000-0000800F0000}"/>
    <cellStyle name="Comma 2 35 3" xfId="1884" xr:uid="{00000000-0005-0000-0000-00005C070000}"/>
    <cellStyle name="Comma 2 35 3 2" xfId="4744" xr:uid="{00000000-0005-0000-0000-000088120000}"/>
    <cellStyle name="Comma 2 35 4" xfId="3328" xr:uid="{00000000-0005-0000-0000-0000000D0000}"/>
    <cellStyle name="Comma 2 36" xfId="365" xr:uid="{00000000-0005-0000-0000-00006D010000}"/>
    <cellStyle name="Comma 2 36 2" xfId="1086" xr:uid="{00000000-0005-0000-0000-00003E040000}"/>
    <cellStyle name="Comma 2 36 2 2" xfId="2534" xr:uid="{00000000-0005-0000-0000-0000E6090000}"/>
    <cellStyle name="Comma 2 36 2 2 2" xfId="5390" xr:uid="{00000000-0005-0000-0000-00000E150000}"/>
    <cellStyle name="Comma 2 36 2 3" xfId="3972" xr:uid="{00000000-0005-0000-0000-0000840F0000}"/>
    <cellStyle name="Comma 2 36 3" xfId="1888" xr:uid="{00000000-0005-0000-0000-000060070000}"/>
    <cellStyle name="Comma 2 36 3 2" xfId="4748" xr:uid="{00000000-0005-0000-0000-00008C120000}"/>
    <cellStyle name="Comma 2 36 4" xfId="3332" xr:uid="{00000000-0005-0000-0000-0000040D0000}"/>
    <cellStyle name="Comma 2 37" xfId="374" xr:uid="{00000000-0005-0000-0000-000076010000}"/>
    <cellStyle name="Comma 2 37 2" xfId="1095" xr:uid="{00000000-0005-0000-0000-000047040000}"/>
    <cellStyle name="Comma 2 37 2 2" xfId="2543" xr:uid="{00000000-0005-0000-0000-0000EF090000}"/>
    <cellStyle name="Comma 2 37 2 2 2" xfId="5399" xr:uid="{00000000-0005-0000-0000-000017150000}"/>
    <cellStyle name="Comma 2 37 2 3" xfId="3981" xr:uid="{00000000-0005-0000-0000-00008D0F0000}"/>
    <cellStyle name="Comma 2 37 3" xfId="1897" xr:uid="{00000000-0005-0000-0000-000069070000}"/>
    <cellStyle name="Comma 2 37 3 2" xfId="4757" xr:uid="{00000000-0005-0000-0000-000095120000}"/>
    <cellStyle name="Comma 2 37 4" xfId="3341" xr:uid="{00000000-0005-0000-0000-00000D0D0000}"/>
    <cellStyle name="Comma 2 38" xfId="377" xr:uid="{00000000-0005-0000-0000-000079010000}"/>
    <cellStyle name="Comma 2 38 2" xfId="1098" xr:uid="{00000000-0005-0000-0000-00004A040000}"/>
    <cellStyle name="Comma 2 38 2 2" xfId="2546" xr:uid="{00000000-0005-0000-0000-0000F2090000}"/>
    <cellStyle name="Comma 2 38 2 2 2" xfId="5402" xr:uid="{00000000-0005-0000-0000-00001A150000}"/>
    <cellStyle name="Comma 2 38 2 3" xfId="3984" xr:uid="{00000000-0005-0000-0000-0000900F0000}"/>
    <cellStyle name="Comma 2 38 3" xfId="1900" xr:uid="{00000000-0005-0000-0000-00006C070000}"/>
    <cellStyle name="Comma 2 38 3 2" xfId="4760" xr:uid="{00000000-0005-0000-0000-000098120000}"/>
    <cellStyle name="Comma 2 38 4" xfId="3344" xr:uid="{00000000-0005-0000-0000-0000100D0000}"/>
    <cellStyle name="Comma 2 39" xfId="386" xr:uid="{00000000-0005-0000-0000-000082010000}"/>
    <cellStyle name="Comma 2 39 2" xfId="1107" xr:uid="{00000000-0005-0000-0000-000053040000}"/>
    <cellStyle name="Comma 2 39 2 2" xfId="2555" xr:uid="{00000000-0005-0000-0000-0000FB090000}"/>
    <cellStyle name="Comma 2 39 2 2 2" xfId="5411" xr:uid="{00000000-0005-0000-0000-000023150000}"/>
    <cellStyle name="Comma 2 39 2 3" xfId="3993" xr:uid="{00000000-0005-0000-0000-0000990F0000}"/>
    <cellStyle name="Comma 2 39 3" xfId="1909" xr:uid="{00000000-0005-0000-0000-000075070000}"/>
    <cellStyle name="Comma 2 39 3 2" xfId="4769" xr:uid="{00000000-0005-0000-0000-0000A1120000}"/>
    <cellStyle name="Comma 2 39 4" xfId="3353" xr:uid="{00000000-0005-0000-0000-0000190D0000}"/>
    <cellStyle name="Comma 2 4" xfId="38" xr:uid="{00000000-0005-0000-0000-000026000000}"/>
    <cellStyle name="Comma 2 4 2" xfId="590" xr:uid="{00000000-0005-0000-0000-00004E020000}"/>
    <cellStyle name="Comma 2 4 2 2" xfId="1308" xr:uid="{00000000-0005-0000-0000-00001C050000}"/>
    <cellStyle name="Comma 2 4 2 2 2" xfId="2756" xr:uid="{00000000-0005-0000-0000-0000C40A0000}"/>
    <cellStyle name="Comma 2 4 2 2 2 2" xfId="5612" xr:uid="{00000000-0005-0000-0000-0000EC150000}"/>
    <cellStyle name="Comma 2 4 2 2 3" xfId="4194" xr:uid="{00000000-0005-0000-0000-000062100000}"/>
    <cellStyle name="Comma 2 4 2 2 4" xfId="5930" xr:uid="{00000000-0005-0000-0000-00002A170000}"/>
    <cellStyle name="Comma 2 4 2 3" xfId="2111" xr:uid="{00000000-0005-0000-0000-00003F080000}"/>
    <cellStyle name="Comma 2 4 2 3 2" xfId="4971" xr:uid="{00000000-0005-0000-0000-00006B130000}"/>
    <cellStyle name="Comma 2 4 2 4" xfId="3555" xr:uid="{00000000-0005-0000-0000-0000E30D0000}"/>
    <cellStyle name="Comma 2 4 3" xfId="620" xr:uid="{00000000-0005-0000-0000-00006C020000}"/>
    <cellStyle name="Comma 2 4 3 2" xfId="624" xr:uid="{00000000-0005-0000-0000-000070020000}"/>
    <cellStyle name="Comma 2 4 3 2 2" xfId="1341" xr:uid="{00000000-0005-0000-0000-00003D050000}"/>
    <cellStyle name="Comma 2 4 3 2 2 2" xfId="2789" xr:uid="{00000000-0005-0000-0000-0000E50A0000}"/>
    <cellStyle name="Comma 2 4 3 2 2 2 2" xfId="5645" xr:uid="{00000000-0005-0000-0000-00000D160000}"/>
    <cellStyle name="Comma 2 4 3 2 2 3" xfId="4227" xr:uid="{00000000-0005-0000-0000-000083100000}"/>
    <cellStyle name="Comma 2 4 3 2 3" xfId="2145" xr:uid="{00000000-0005-0000-0000-000061080000}"/>
    <cellStyle name="Comma 2 4 3 2 3 2" xfId="5005" xr:uid="{00000000-0005-0000-0000-00008D130000}"/>
    <cellStyle name="Comma 2 4 3 2 4" xfId="3589" xr:uid="{00000000-0005-0000-0000-0000050E0000}"/>
    <cellStyle name="Comma 2 4 3 3" xfId="1337" xr:uid="{00000000-0005-0000-0000-000039050000}"/>
    <cellStyle name="Comma 2 4 3 3 2" xfId="2785" xr:uid="{00000000-0005-0000-0000-0000E10A0000}"/>
    <cellStyle name="Comma 2 4 3 3 2 2" xfId="5641" xr:uid="{00000000-0005-0000-0000-000009160000}"/>
    <cellStyle name="Comma 2 4 3 3 3" xfId="4223" xr:uid="{00000000-0005-0000-0000-00007F100000}"/>
    <cellStyle name="Comma 2 4 3 4" xfId="2141" xr:uid="{00000000-0005-0000-0000-00005D080000}"/>
    <cellStyle name="Comma 2 4 3 4 2" xfId="5001" xr:uid="{00000000-0005-0000-0000-000089130000}"/>
    <cellStyle name="Comma 2 4 3 5" xfId="3585" xr:uid="{00000000-0005-0000-0000-0000010E0000}"/>
    <cellStyle name="Comma 2 4 4" xfId="628" xr:uid="{00000000-0005-0000-0000-000074020000}"/>
    <cellStyle name="Comma 2 4 5" xfId="778" xr:uid="{00000000-0005-0000-0000-00000A030000}"/>
    <cellStyle name="Comma 2 4 5 2" xfId="2230" xr:uid="{00000000-0005-0000-0000-0000B6080000}"/>
    <cellStyle name="Comma 2 4 5 2 2" xfId="5086" xr:uid="{00000000-0005-0000-0000-0000DE130000}"/>
    <cellStyle name="Comma 2 4 5 3" xfId="3668" xr:uid="{00000000-0005-0000-0000-0000540E0000}"/>
    <cellStyle name="Comma 2 4 6" xfId="1582" xr:uid="{00000000-0005-0000-0000-00002E060000}"/>
    <cellStyle name="Comma 2 4 6 2" xfId="4442" xr:uid="{00000000-0005-0000-0000-00005A110000}"/>
    <cellStyle name="Comma 2 4 7" xfId="3027" xr:uid="{00000000-0005-0000-0000-0000D30B0000}"/>
    <cellStyle name="Comma 2 40" xfId="396" xr:uid="{00000000-0005-0000-0000-00008C010000}"/>
    <cellStyle name="Comma 2 40 2" xfId="1117" xr:uid="{00000000-0005-0000-0000-00005D040000}"/>
    <cellStyle name="Comma 2 40 2 2" xfId="2565" xr:uid="{00000000-0005-0000-0000-0000050A0000}"/>
    <cellStyle name="Comma 2 40 2 2 2" xfId="5421" xr:uid="{00000000-0005-0000-0000-00002D150000}"/>
    <cellStyle name="Comma 2 40 2 3" xfId="4003" xr:uid="{00000000-0005-0000-0000-0000A30F0000}"/>
    <cellStyle name="Comma 2 40 3" xfId="1919" xr:uid="{00000000-0005-0000-0000-00007F070000}"/>
    <cellStyle name="Comma 2 40 3 2" xfId="4779" xr:uid="{00000000-0005-0000-0000-0000AB120000}"/>
    <cellStyle name="Comma 2 40 4" xfId="3363" xr:uid="{00000000-0005-0000-0000-0000230D0000}"/>
    <cellStyle name="Comma 2 41" xfId="402" xr:uid="{00000000-0005-0000-0000-000092010000}"/>
    <cellStyle name="Comma 2 41 2" xfId="1123" xr:uid="{00000000-0005-0000-0000-000063040000}"/>
    <cellStyle name="Comma 2 41 2 2" xfId="2571" xr:uid="{00000000-0005-0000-0000-00000B0A0000}"/>
    <cellStyle name="Comma 2 41 2 2 2" xfId="5427" xr:uid="{00000000-0005-0000-0000-000033150000}"/>
    <cellStyle name="Comma 2 41 2 3" xfId="4009" xr:uid="{00000000-0005-0000-0000-0000A90F0000}"/>
    <cellStyle name="Comma 2 41 3" xfId="1925" xr:uid="{00000000-0005-0000-0000-000085070000}"/>
    <cellStyle name="Comma 2 41 3 2" xfId="4785" xr:uid="{00000000-0005-0000-0000-0000B1120000}"/>
    <cellStyle name="Comma 2 41 4" xfId="3369" xr:uid="{00000000-0005-0000-0000-0000290D0000}"/>
    <cellStyle name="Comma 2 42" xfId="404" xr:uid="{00000000-0005-0000-0000-000094010000}"/>
    <cellStyle name="Comma 2 42 2" xfId="1125" xr:uid="{00000000-0005-0000-0000-000065040000}"/>
    <cellStyle name="Comma 2 42 2 2" xfId="2573" xr:uid="{00000000-0005-0000-0000-00000D0A0000}"/>
    <cellStyle name="Comma 2 42 2 2 2" xfId="5429" xr:uid="{00000000-0005-0000-0000-000035150000}"/>
    <cellStyle name="Comma 2 42 2 3" xfId="4011" xr:uid="{00000000-0005-0000-0000-0000AB0F0000}"/>
    <cellStyle name="Comma 2 42 3" xfId="1927" xr:uid="{00000000-0005-0000-0000-000087070000}"/>
    <cellStyle name="Comma 2 42 3 2" xfId="4787" xr:uid="{00000000-0005-0000-0000-0000B3120000}"/>
    <cellStyle name="Comma 2 42 4" xfId="3371" xr:uid="{00000000-0005-0000-0000-00002B0D0000}"/>
    <cellStyle name="Comma 2 43" xfId="413" xr:uid="{00000000-0005-0000-0000-00009D010000}"/>
    <cellStyle name="Comma 2 43 2" xfId="1134" xr:uid="{00000000-0005-0000-0000-00006E040000}"/>
    <cellStyle name="Comma 2 43 2 2" xfId="2582" xr:uid="{00000000-0005-0000-0000-0000160A0000}"/>
    <cellStyle name="Comma 2 43 2 2 2" xfId="5438" xr:uid="{00000000-0005-0000-0000-00003E150000}"/>
    <cellStyle name="Comma 2 43 2 3" xfId="4020" xr:uid="{00000000-0005-0000-0000-0000B40F0000}"/>
    <cellStyle name="Comma 2 43 3" xfId="1936" xr:uid="{00000000-0005-0000-0000-000090070000}"/>
    <cellStyle name="Comma 2 43 3 2" xfId="4796" xr:uid="{00000000-0005-0000-0000-0000BC120000}"/>
    <cellStyle name="Comma 2 43 4" xfId="3380" xr:uid="{00000000-0005-0000-0000-0000340D0000}"/>
    <cellStyle name="Comma 2 44" xfId="417" xr:uid="{00000000-0005-0000-0000-0000A1010000}"/>
    <cellStyle name="Comma 2 44 2" xfId="1138" xr:uid="{00000000-0005-0000-0000-000072040000}"/>
    <cellStyle name="Comma 2 44 2 2" xfId="2586" xr:uid="{00000000-0005-0000-0000-00001A0A0000}"/>
    <cellStyle name="Comma 2 44 2 2 2" xfId="5442" xr:uid="{00000000-0005-0000-0000-000042150000}"/>
    <cellStyle name="Comma 2 44 2 3" xfId="4024" xr:uid="{00000000-0005-0000-0000-0000B80F0000}"/>
    <cellStyle name="Comma 2 44 3" xfId="1940" xr:uid="{00000000-0005-0000-0000-000094070000}"/>
    <cellStyle name="Comma 2 44 3 2" xfId="4800" xr:uid="{00000000-0005-0000-0000-0000C0120000}"/>
    <cellStyle name="Comma 2 44 4" xfId="3384" xr:uid="{00000000-0005-0000-0000-0000380D0000}"/>
    <cellStyle name="Comma 2 45" xfId="427" xr:uid="{00000000-0005-0000-0000-0000AB010000}"/>
    <cellStyle name="Comma 2 45 2" xfId="1148" xr:uid="{00000000-0005-0000-0000-00007C040000}"/>
    <cellStyle name="Comma 2 45 2 2" xfId="2596" xr:uid="{00000000-0005-0000-0000-0000240A0000}"/>
    <cellStyle name="Comma 2 45 2 2 2" xfId="5452" xr:uid="{00000000-0005-0000-0000-00004C150000}"/>
    <cellStyle name="Comma 2 45 2 3" xfId="4034" xr:uid="{00000000-0005-0000-0000-0000C20F0000}"/>
    <cellStyle name="Comma 2 45 3" xfId="1950" xr:uid="{00000000-0005-0000-0000-00009E070000}"/>
    <cellStyle name="Comma 2 45 3 2" xfId="4810" xr:uid="{00000000-0005-0000-0000-0000CA120000}"/>
    <cellStyle name="Comma 2 45 4" xfId="3394" xr:uid="{00000000-0005-0000-0000-0000420D0000}"/>
    <cellStyle name="Comma 2 46" xfId="431" xr:uid="{00000000-0005-0000-0000-0000AF010000}"/>
    <cellStyle name="Comma 2 46 2" xfId="1152" xr:uid="{00000000-0005-0000-0000-000080040000}"/>
    <cellStyle name="Comma 2 46 2 2" xfId="2600" xr:uid="{00000000-0005-0000-0000-0000280A0000}"/>
    <cellStyle name="Comma 2 46 2 2 2" xfId="5456" xr:uid="{00000000-0005-0000-0000-000050150000}"/>
    <cellStyle name="Comma 2 46 2 3" xfId="4038" xr:uid="{00000000-0005-0000-0000-0000C60F0000}"/>
    <cellStyle name="Comma 2 46 3" xfId="1954" xr:uid="{00000000-0005-0000-0000-0000A2070000}"/>
    <cellStyle name="Comma 2 46 3 2" xfId="4814" xr:uid="{00000000-0005-0000-0000-0000CE120000}"/>
    <cellStyle name="Comma 2 46 4" xfId="3398" xr:uid="{00000000-0005-0000-0000-0000460D0000}"/>
    <cellStyle name="Comma 2 47" xfId="434" xr:uid="{00000000-0005-0000-0000-0000B2010000}"/>
    <cellStyle name="Comma 2 47 2" xfId="1155" xr:uid="{00000000-0005-0000-0000-000083040000}"/>
    <cellStyle name="Comma 2 47 2 2" xfId="2603" xr:uid="{00000000-0005-0000-0000-00002B0A0000}"/>
    <cellStyle name="Comma 2 47 2 2 2" xfId="5459" xr:uid="{00000000-0005-0000-0000-000053150000}"/>
    <cellStyle name="Comma 2 47 2 3" xfId="4041" xr:uid="{00000000-0005-0000-0000-0000C90F0000}"/>
    <cellStyle name="Comma 2 47 3" xfId="1957" xr:uid="{00000000-0005-0000-0000-0000A5070000}"/>
    <cellStyle name="Comma 2 47 3 2" xfId="4817" xr:uid="{00000000-0005-0000-0000-0000D1120000}"/>
    <cellStyle name="Comma 2 47 4" xfId="3401" xr:uid="{00000000-0005-0000-0000-0000490D0000}"/>
    <cellStyle name="Comma 2 48" xfId="438" xr:uid="{00000000-0005-0000-0000-0000B6010000}"/>
    <cellStyle name="Comma 2 48 2" xfId="1159" xr:uid="{00000000-0005-0000-0000-000087040000}"/>
    <cellStyle name="Comma 2 48 2 2" xfId="2607" xr:uid="{00000000-0005-0000-0000-00002F0A0000}"/>
    <cellStyle name="Comma 2 48 2 2 2" xfId="5463" xr:uid="{00000000-0005-0000-0000-000057150000}"/>
    <cellStyle name="Comma 2 48 2 3" xfId="4045" xr:uid="{00000000-0005-0000-0000-0000CD0F0000}"/>
    <cellStyle name="Comma 2 48 3" xfId="1961" xr:uid="{00000000-0005-0000-0000-0000A9070000}"/>
    <cellStyle name="Comma 2 48 3 2" xfId="4821" xr:uid="{00000000-0005-0000-0000-0000D5120000}"/>
    <cellStyle name="Comma 2 48 4" xfId="3405" xr:uid="{00000000-0005-0000-0000-00004D0D0000}"/>
    <cellStyle name="Comma 2 49" xfId="440" xr:uid="{00000000-0005-0000-0000-0000B8010000}"/>
    <cellStyle name="Comma 2 49 2" xfId="1161" xr:uid="{00000000-0005-0000-0000-000089040000}"/>
    <cellStyle name="Comma 2 49 2 2" xfId="2609" xr:uid="{00000000-0005-0000-0000-0000310A0000}"/>
    <cellStyle name="Comma 2 49 2 2 2" xfId="5465" xr:uid="{00000000-0005-0000-0000-000059150000}"/>
    <cellStyle name="Comma 2 49 2 3" xfId="4047" xr:uid="{00000000-0005-0000-0000-0000CF0F0000}"/>
    <cellStyle name="Comma 2 49 3" xfId="1963" xr:uid="{00000000-0005-0000-0000-0000AB070000}"/>
    <cellStyle name="Comma 2 49 3 2" xfId="4823" xr:uid="{00000000-0005-0000-0000-0000D7120000}"/>
    <cellStyle name="Comma 2 49 4" xfId="3407" xr:uid="{00000000-0005-0000-0000-00004F0D0000}"/>
    <cellStyle name="Comma 2 5" xfId="65" xr:uid="{00000000-0005-0000-0000-000041000000}"/>
    <cellStyle name="Comma 2 5 2" xfId="793" xr:uid="{00000000-0005-0000-0000-000019030000}"/>
    <cellStyle name="Comma 2 5 2 2" xfId="2244" xr:uid="{00000000-0005-0000-0000-0000C4080000}"/>
    <cellStyle name="Comma 2 5 2 2 2" xfId="5100" xr:uid="{00000000-0005-0000-0000-0000EC130000}"/>
    <cellStyle name="Comma 2 5 2 3" xfId="3682" xr:uid="{00000000-0005-0000-0000-0000620E0000}"/>
    <cellStyle name="Comma 2 5 3" xfId="1596" xr:uid="{00000000-0005-0000-0000-00003C060000}"/>
    <cellStyle name="Comma 2 5 3 2" xfId="4456" xr:uid="{00000000-0005-0000-0000-000068110000}"/>
    <cellStyle name="Comma 2 5 4" xfId="3041" xr:uid="{00000000-0005-0000-0000-0000E10B0000}"/>
    <cellStyle name="Comma 2 50" xfId="453" xr:uid="{00000000-0005-0000-0000-0000C5010000}"/>
    <cellStyle name="Comma 2 50 2" xfId="1173" xr:uid="{00000000-0005-0000-0000-000095040000}"/>
    <cellStyle name="Comma 2 50 2 2" xfId="2621" xr:uid="{00000000-0005-0000-0000-00003D0A0000}"/>
    <cellStyle name="Comma 2 50 2 2 2" xfId="5477" xr:uid="{00000000-0005-0000-0000-000065150000}"/>
    <cellStyle name="Comma 2 50 2 3" xfId="4059" xr:uid="{00000000-0005-0000-0000-0000DB0F0000}"/>
    <cellStyle name="Comma 2 50 3" xfId="1976" xr:uid="{00000000-0005-0000-0000-0000B8070000}"/>
    <cellStyle name="Comma 2 50 3 2" xfId="4836" xr:uid="{00000000-0005-0000-0000-0000E4120000}"/>
    <cellStyle name="Comma 2 50 4" xfId="3420" xr:uid="{00000000-0005-0000-0000-00005C0D0000}"/>
    <cellStyle name="Comma 2 51" xfId="458" xr:uid="{00000000-0005-0000-0000-0000CA010000}"/>
    <cellStyle name="Comma 2 51 2" xfId="1178" xr:uid="{00000000-0005-0000-0000-00009A040000}"/>
    <cellStyle name="Comma 2 51 2 2" xfId="2626" xr:uid="{00000000-0005-0000-0000-0000420A0000}"/>
    <cellStyle name="Comma 2 51 2 2 2" xfId="5482" xr:uid="{00000000-0005-0000-0000-00006A150000}"/>
    <cellStyle name="Comma 2 51 2 3" xfId="4064" xr:uid="{00000000-0005-0000-0000-0000E00F0000}"/>
    <cellStyle name="Comma 2 51 3" xfId="1981" xr:uid="{00000000-0005-0000-0000-0000BD070000}"/>
    <cellStyle name="Comma 2 51 3 2" xfId="4841" xr:uid="{00000000-0005-0000-0000-0000E9120000}"/>
    <cellStyle name="Comma 2 51 4" xfId="3425" xr:uid="{00000000-0005-0000-0000-0000610D0000}"/>
    <cellStyle name="Comma 2 52" xfId="468" xr:uid="{00000000-0005-0000-0000-0000D4010000}"/>
    <cellStyle name="Comma 2 52 2" xfId="1188" xr:uid="{00000000-0005-0000-0000-0000A4040000}"/>
    <cellStyle name="Comma 2 52 2 2" xfId="2636" xr:uid="{00000000-0005-0000-0000-00004C0A0000}"/>
    <cellStyle name="Comma 2 52 2 2 2" xfId="5492" xr:uid="{00000000-0005-0000-0000-000074150000}"/>
    <cellStyle name="Comma 2 52 2 3" xfId="4074" xr:uid="{00000000-0005-0000-0000-0000EA0F0000}"/>
    <cellStyle name="Comma 2 52 3" xfId="1991" xr:uid="{00000000-0005-0000-0000-0000C7070000}"/>
    <cellStyle name="Comma 2 52 3 2" xfId="4851" xr:uid="{00000000-0005-0000-0000-0000F3120000}"/>
    <cellStyle name="Comma 2 52 4" xfId="3435" xr:uid="{00000000-0005-0000-0000-00006B0D0000}"/>
    <cellStyle name="Comma 2 53" xfId="476" xr:uid="{00000000-0005-0000-0000-0000DC010000}"/>
    <cellStyle name="Comma 2 53 2" xfId="1196" xr:uid="{00000000-0005-0000-0000-0000AC040000}"/>
    <cellStyle name="Comma 2 53 2 2" xfId="2644" xr:uid="{00000000-0005-0000-0000-0000540A0000}"/>
    <cellStyle name="Comma 2 53 2 2 2" xfId="5500" xr:uid="{00000000-0005-0000-0000-00007C150000}"/>
    <cellStyle name="Comma 2 53 2 3" xfId="4082" xr:uid="{00000000-0005-0000-0000-0000F20F0000}"/>
    <cellStyle name="Comma 2 53 3" xfId="1999" xr:uid="{00000000-0005-0000-0000-0000CF070000}"/>
    <cellStyle name="Comma 2 53 3 2" xfId="4859" xr:uid="{00000000-0005-0000-0000-0000FB120000}"/>
    <cellStyle name="Comma 2 53 4" xfId="3443" xr:uid="{00000000-0005-0000-0000-0000730D0000}"/>
    <cellStyle name="Comma 2 54" xfId="483" xr:uid="{00000000-0005-0000-0000-0000E3010000}"/>
    <cellStyle name="Comma 2 54 2" xfId="1203" xr:uid="{00000000-0005-0000-0000-0000B3040000}"/>
    <cellStyle name="Comma 2 54 2 2" xfId="2651" xr:uid="{00000000-0005-0000-0000-00005B0A0000}"/>
    <cellStyle name="Comma 2 54 2 2 2" xfId="5507" xr:uid="{00000000-0005-0000-0000-000083150000}"/>
    <cellStyle name="Comma 2 54 2 3" xfId="4089" xr:uid="{00000000-0005-0000-0000-0000F90F0000}"/>
    <cellStyle name="Comma 2 54 3" xfId="2006" xr:uid="{00000000-0005-0000-0000-0000D6070000}"/>
    <cellStyle name="Comma 2 54 3 2" xfId="4866" xr:uid="{00000000-0005-0000-0000-000002130000}"/>
    <cellStyle name="Comma 2 54 4" xfId="3450" xr:uid="{00000000-0005-0000-0000-00007A0D0000}"/>
    <cellStyle name="Comma 2 55" xfId="486" xr:uid="{00000000-0005-0000-0000-0000E6010000}"/>
    <cellStyle name="Comma 2 55 2" xfId="1205" xr:uid="{00000000-0005-0000-0000-0000B5040000}"/>
    <cellStyle name="Comma 2 55 2 2" xfId="2653" xr:uid="{00000000-0005-0000-0000-00005D0A0000}"/>
    <cellStyle name="Comma 2 55 2 2 2" xfId="5509" xr:uid="{00000000-0005-0000-0000-000085150000}"/>
    <cellStyle name="Comma 2 55 2 3" xfId="4091" xr:uid="{00000000-0005-0000-0000-0000FB0F0000}"/>
    <cellStyle name="Comma 2 55 3" xfId="2008" xr:uid="{00000000-0005-0000-0000-0000D8070000}"/>
    <cellStyle name="Comma 2 55 3 2" xfId="4868" xr:uid="{00000000-0005-0000-0000-000004130000}"/>
    <cellStyle name="Comma 2 55 4" xfId="3452" xr:uid="{00000000-0005-0000-0000-00007C0D0000}"/>
    <cellStyle name="Comma 2 56" xfId="497" xr:uid="{00000000-0005-0000-0000-0000F1010000}"/>
    <cellStyle name="Comma 2 56 2" xfId="1216" xr:uid="{00000000-0005-0000-0000-0000C0040000}"/>
    <cellStyle name="Comma 2 56 2 2" xfId="2664" xr:uid="{00000000-0005-0000-0000-0000680A0000}"/>
    <cellStyle name="Comma 2 56 2 2 2" xfId="5520" xr:uid="{00000000-0005-0000-0000-000090150000}"/>
    <cellStyle name="Comma 2 56 2 3" xfId="4102" xr:uid="{00000000-0005-0000-0000-000006100000}"/>
    <cellStyle name="Comma 2 56 3" xfId="2019" xr:uid="{00000000-0005-0000-0000-0000E3070000}"/>
    <cellStyle name="Comma 2 56 3 2" xfId="4879" xr:uid="{00000000-0005-0000-0000-00000F130000}"/>
    <cellStyle name="Comma 2 56 4" xfId="3463" xr:uid="{00000000-0005-0000-0000-0000870D0000}"/>
    <cellStyle name="Comma 2 57" xfId="502" xr:uid="{00000000-0005-0000-0000-0000F6010000}"/>
    <cellStyle name="Comma 2 57 2" xfId="1221" xr:uid="{00000000-0005-0000-0000-0000C5040000}"/>
    <cellStyle name="Comma 2 57 2 2" xfId="2669" xr:uid="{00000000-0005-0000-0000-00006D0A0000}"/>
    <cellStyle name="Comma 2 57 2 2 2" xfId="5525" xr:uid="{00000000-0005-0000-0000-000095150000}"/>
    <cellStyle name="Comma 2 57 2 3" xfId="4107" xr:uid="{00000000-0005-0000-0000-00000B100000}"/>
    <cellStyle name="Comma 2 57 3" xfId="2024" xr:uid="{00000000-0005-0000-0000-0000E8070000}"/>
    <cellStyle name="Comma 2 57 3 2" xfId="4884" xr:uid="{00000000-0005-0000-0000-000014130000}"/>
    <cellStyle name="Comma 2 57 4" xfId="3468" xr:uid="{00000000-0005-0000-0000-00008C0D0000}"/>
    <cellStyle name="Comma 2 58" xfId="508" xr:uid="{00000000-0005-0000-0000-0000FC010000}"/>
    <cellStyle name="Comma 2 58 2" xfId="1227" xr:uid="{00000000-0005-0000-0000-0000CB040000}"/>
    <cellStyle name="Comma 2 58 2 2" xfId="2675" xr:uid="{00000000-0005-0000-0000-0000730A0000}"/>
    <cellStyle name="Comma 2 58 2 2 2" xfId="5531" xr:uid="{00000000-0005-0000-0000-00009B150000}"/>
    <cellStyle name="Comma 2 58 2 3" xfId="4113" xr:uid="{00000000-0005-0000-0000-000011100000}"/>
    <cellStyle name="Comma 2 58 3" xfId="2030" xr:uid="{00000000-0005-0000-0000-0000EE070000}"/>
    <cellStyle name="Comma 2 58 3 2" xfId="4890" xr:uid="{00000000-0005-0000-0000-00001A130000}"/>
    <cellStyle name="Comma 2 58 4" xfId="3474" xr:uid="{00000000-0005-0000-0000-0000920D0000}"/>
    <cellStyle name="Comma 2 59" xfId="512" xr:uid="{00000000-0005-0000-0000-000000020000}"/>
    <cellStyle name="Comma 2 59 2" xfId="1231" xr:uid="{00000000-0005-0000-0000-0000CF040000}"/>
    <cellStyle name="Comma 2 59 2 2" xfId="2679" xr:uid="{00000000-0005-0000-0000-0000770A0000}"/>
    <cellStyle name="Comma 2 59 2 2 2" xfId="5535" xr:uid="{00000000-0005-0000-0000-00009F150000}"/>
    <cellStyle name="Comma 2 59 2 3" xfId="4117" xr:uid="{00000000-0005-0000-0000-000015100000}"/>
    <cellStyle name="Comma 2 59 3" xfId="2034" xr:uid="{00000000-0005-0000-0000-0000F2070000}"/>
    <cellStyle name="Comma 2 59 3 2" xfId="4894" xr:uid="{00000000-0005-0000-0000-00001E130000}"/>
    <cellStyle name="Comma 2 59 4" xfId="3478" xr:uid="{00000000-0005-0000-0000-0000960D0000}"/>
    <cellStyle name="Comma 2 6" xfId="78" xr:uid="{00000000-0005-0000-0000-00004E000000}"/>
    <cellStyle name="Comma 2 6 2" xfId="804" xr:uid="{00000000-0005-0000-0000-000024030000}"/>
    <cellStyle name="Comma 2 6 2 2" xfId="2255" xr:uid="{00000000-0005-0000-0000-0000CF080000}"/>
    <cellStyle name="Comma 2 6 2 2 2" xfId="5111" xr:uid="{00000000-0005-0000-0000-0000F7130000}"/>
    <cellStyle name="Comma 2 6 2 3" xfId="3693" xr:uid="{00000000-0005-0000-0000-00006D0E0000}"/>
    <cellStyle name="Comma 2 6 3" xfId="1608" xr:uid="{00000000-0005-0000-0000-000048060000}"/>
    <cellStyle name="Comma 2 6 3 2" xfId="4468" xr:uid="{00000000-0005-0000-0000-000074110000}"/>
    <cellStyle name="Comma 2 6 4" xfId="3052" xr:uid="{00000000-0005-0000-0000-0000EC0B0000}"/>
    <cellStyle name="Comma 2 60" xfId="520" xr:uid="{00000000-0005-0000-0000-000008020000}"/>
    <cellStyle name="Comma 2 60 2" xfId="1239" xr:uid="{00000000-0005-0000-0000-0000D7040000}"/>
    <cellStyle name="Comma 2 60 2 2" xfId="2687" xr:uid="{00000000-0005-0000-0000-00007F0A0000}"/>
    <cellStyle name="Comma 2 60 2 2 2" xfId="5543" xr:uid="{00000000-0005-0000-0000-0000A7150000}"/>
    <cellStyle name="Comma 2 60 2 3" xfId="4125" xr:uid="{00000000-0005-0000-0000-00001D100000}"/>
    <cellStyle name="Comma 2 60 3" xfId="2042" xr:uid="{00000000-0005-0000-0000-0000FA070000}"/>
    <cellStyle name="Comma 2 60 3 2" xfId="4902" xr:uid="{00000000-0005-0000-0000-000026130000}"/>
    <cellStyle name="Comma 2 60 4" xfId="3486" xr:uid="{00000000-0005-0000-0000-00009E0D0000}"/>
    <cellStyle name="Comma 2 61" xfId="525" xr:uid="{00000000-0005-0000-0000-00000D020000}"/>
    <cellStyle name="Comma 2 61 2" xfId="1244" xr:uid="{00000000-0005-0000-0000-0000DC040000}"/>
    <cellStyle name="Comma 2 61 2 2" xfId="2692" xr:uid="{00000000-0005-0000-0000-0000840A0000}"/>
    <cellStyle name="Comma 2 61 2 2 2" xfId="5548" xr:uid="{00000000-0005-0000-0000-0000AC150000}"/>
    <cellStyle name="Comma 2 61 2 3" xfId="4130" xr:uid="{00000000-0005-0000-0000-000022100000}"/>
    <cellStyle name="Comma 2 61 3" xfId="2047" xr:uid="{00000000-0005-0000-0000-0000FF070000}"/>
    <cellStyle name="Comma 2 61 3 2" xfId="4907" xr:uid="{00000000-0005-0000-0000-00002B130000}"/>
    <cellStyle name="Comma 2 61 4" xfId="3491" xr:uid="{00000000-0005-0000-0000-0000A30D0000}"/>
    <cellStyle name="Comma 2 62" xfId="531" xr:uid="{00000000-0005-0000-0000-000013020000}"/>
    <cellStyle name="Comma 2 62 2" xfId="1250" xr:uid="{00000000-0005-0000-0000-0000E2040000}"/>
    <cellStyle name="Comma 2 62 2 2" xfId="2698" xr:uid="{00000000-0005-0000-0000-00008A0A0000}"/>
    <cellStyle name="Comma 2 62 2 2 2" xfId="5554" xr:uid="{00000000-0005-0000-0000-0000B2150000}"/>
    <cellStyle name="Comma 2 62 2 3" xfId="4136" xr:uid="{00000000-0005-0000-0000-000028100000}"/>
    <cellStyle name="Comma 2 62 3" xfId="2053" xr:uid="{00000000-0005-0000-0000-000005080000}"/>
    <cellStyle name="Comma 2 62 3 2" xfId="4913" xr:uid="{00000000-0005-0000-0000-000031130000}"/>
    <cellStyle name="Comma 2 62 4" xfId="3497" xr:uid="{00000000-0005-0000-0000-0000A90D0000}"/>
    <cellStyle name="Comma 2 63" xfId="535" xr:uid="{00000000-0005-0000-0000-000017020000}"/>
    <cellStyle name="Comma 2 63 2" xfId="1254" xr:uid="{00000000-0005-0000-0000-0000E6040000}"/>
    <cellStyle name="Comma 2 63 2 2" xfId="2702" xr:uid="{00000000-0005-0000-0000-00008E0A0000}"/>
    <cellStyle name="Comma 2 63 2 2 2" xfId="5558" xr:uid="{00000000-0005-0000-0000-0000B6150000}"/>
    <cellStyle name="Comma 2 63 2 3" xfId="4140" xr:uid="{00000000-0005-0000-0000-00002C100000}"/>
    <cellStyle name="Comma 2 63 3" xfId="2057" xr:uid="{00000000-0005-0000-0000-000009080000}"/>
    <cellStyle name="Comma 2 63 3 2" xfId="4917" xr:uid="{00000000-0005-0000-0000-000035130000}"/>
    <cellStyle name="Comma 2 63 4" xfId="3501" xr:uid="{00000000-0005-0000-0000-0000AD0D0000}"/>
    <cellStyle name="Comma 2 64" xfId="539" xr:uid="{00000000-0005-0000-0000-00001B020000}"/>
    <cellStyle name="Comma 2 64 2" xfId="1258" xr:uid="{00000000-0005-0000-0000-0000EA040000}"/>
    <cellStyle name="Comma 2 64 2 2" xfId="2706" xr:uid="{00000000-0005-0000-0000-0000920A0000}"/>
    <cellStyle name="Comma 2 64 2 2 2" xfId="5562" xr:uid="{00000000-0005-0000-0000-0000BA150000}"/>
    <cellStyle name="Comma 2 64 2 3" xfId="4144" xr:uid="{00000000-0005-0000-0000-000030100000}"/>
    <cellStyle name="Comma 2 64 3" xfId="2061" xr:uid="{00000000-0005-0000-0000-00000D080000}"/>
    <cellStyle name="Comma 2 64 3 2" xfId="4921" xr:uid="{00000000-0005-0000-0000-000039130000}"/>
    <cellStyle name="Comma 2 64 4" xfId="3505" xr:uid="{00000000-0005-0000-0000-0000B10D0000}"/>
    <cellStyle name="Comma 2 65" xfId="547" xr:uid="{00000000-0005-0000-0000-000023020000}"/>
    <cellStyle name="Comma 2 65 2" xfId="1266" xr:uid="{00000000-0005-0000-0000-0000F2040000}"/>
    <cellStyle name="Comma 2 65 2 2" xfId="2714" xr:uid="{00000000-0005-0000-0000-00009A0A0000}"/>
    <cellStyle name="Comma 2 65 2 2 2" xfId="5570" xr:uid="{00000000-0005-0000-0000-0000C2150000}"/>
    <cellStyle name="Comma 2 65 2 3" xfId="4152" xr:uid="{00000000-0005-0000-0000-000038100000}"/>
    <cellStyle name="Comma 2 65 3" xfId="2069" xr:uid="{00000000-0005-0000-0000-000015080000}"/>
    <cellStyle name="Comma 2 65 3 2" xfId="4929" xr:uid="{00000000-0005-0000-0000-000041130000}"/>
    <cellStyle name="Comma 2 65 4" xfId="3513" xr:uid="{00000000-0005-0000-0000-0000B90D0000}"/>
    <cellStyle name="Comma 2 66" xfId="549" xr:uid="{00000000-0005-0000-0000-000025020000}"/>
    <cellStyle name="Comma 2 66 2" xfId="1268" xr:uid="{00000000-0005-0000-0000-0000F4040000}"/>
    <cellStyle name="Comma 2 66 2 2" xfId="2716" xr:uid="{00000000-0005-0000-0000-00009C0A0000}"/>
    <cellStyle name="Comma 2 66 2 2 2" xfId="5572" xr:uid="{00000000-0005-0000-0000-0000C4150000}"/>
    <cellStyle name="Comma 2 66 2 3" xfId="4154" xr:uid="{00000000-0005-0000-0000-00003A100000}"/>
    <cellStyle name="Comma 2 66 3" xfId="2071" xr:uid="{00000000-0005-0000-0000-000017080000}"/>
    <cellStyle name="Comma 2 66 3 2" xfId="4931" xr:uid="{00000000-0005-0000-0000-000043130000}"/>
    <cellStyle name="Comma 2 66 4" xfId="3515" xr:uid="{00000000-0005-0000-0000-0000BB0D0000}"/>
    <cellStyle name="Comma 2 67" xfId="565" xr:uid="{00000000-0005-0000-0000-000035020000}"/>
    <cellStyle name="Comma 2 67 2" xfId="1284" xr:uid="{00000000-0005-0000-0000-000004050000}"/>
    <cellStyle name="Comma 2 67 2 2" xfId="2732" xr:uid="{00000000-0005-0000-0000-0000AC0A0000}"/>
    <cellStyle name="Comma 2 67 2 2 2" xfId="5588" xr:uid="{00000000-0005-0000-0000-0000D4150000}"/>
    <cellStyle name="Comma 2 67 2 3" xfId="4170" xr:uid="{00000000-0005-0000-0000-00004A100000}"/>
    <cellStyle name="Comma 2 67 3" xfId="2087" xr:uid="{00000000-0005-0000-0000-000027080000}"/>
    <cellStyle name="Comma 2 67 3 2" xfId="4947" xr:uid="{00000000-0005-0000-0000-000053130000}"/>
    <cellStyle name="Comma 2 67 4" xfId="3531" xr:uid="{00000000-0005-0000-0000-0000CB0D0000}"/>
    <cellStyle name="Comma 2 68" xfId="570" xr:uid="{00000000-0005-0000-0000-00003A020000}"/>
    <cellStyle name="Comma 2 68 2" xfId="1289" xr:uid="{00000000-0005-0000-0000-000009050000}"/>
    <cellStyle name="Comma 2 68 2 2" xfId="2737" xr:uid="{00000000-0005-0000-0000-0000B10A0000}"/>
    <cellStyle name="Comma 2 68 2 2 2" xfId="5593" xr:uid="{00000000-0005-0000-0000-0000D9150000}"/>
    <cellStyle name="Comma 2 68 2 3" xfId="4175" xr:uid="{00000000-0005-0000-0000-00004F100000}"/>
    <cellStyle name="Comma 2 68 3" xfId="2092" xr:uid="{00000000-0005-0000-0000-00002C080000}"/>
    <cellStyle name="Comma 2 68 3 2" xfId="4952" xr:uid="{00000000-0005-0000-0000-000058130000}"/>
    <cellStyle name="Comma 2 68 4" xfId="3536" xr:uid="{00000000-0005-0000-0000-0000D00D0000}"/>
    <cellStyle name="Comma 2 69" xfId="579" xr:uid="{00000000-0005-0000-0000-000043020000}"/>
    <cellStyle name="Comma 2 69 2" xfId="1298" xr:uid="{00000000-0005-0000-0000-000012050000}"/>
    <cellStyle name="Comma 2 69 2 2" xfId="2746" xr:uid="{00000000-0005-0000-0000-0000BA0A0000}"/>
    <cellStyle name="Comma 2 69 2 2 2" xfId="5602" xr:uid="{00000000-0005-0000-0000-0000E2150000}"/>
    <cellStyle name="Comma 2 69 2 3" xfId="4184" xr:uid="{00000000-0005-0000-0000-000058100000}"/>
    <cellStyle name="Comma 2 69 3" xfId="2101" xr:uid="{00000000-0005-0000-0000-000035080000}"/>
    <cellStyle name="Comma 2 69 3 2" xfId="4961" xr:uid="{00000000-0005-0000-0000-000061130000}"/>
    <cellStyle name="Comma 2 69 4" xfId="3545" xr:uid="{00000000-0005-0000-0000-0000D90D0000}"/>
    <cellStyle name="Comma 2 7" xfId="82" xr:uid="{00000000-0005-0000-0000-000052000000}"/>
    <cellStyle name="Comma 2 7 2" xfId="808" xr:uid="{00000000-0005-0000-0000-000028030000}"/>
    <cellStyle name="Comma 2 7 2 2" xfId="2259" xr:uid="{00000000-0005-0000-0000-0000D3080000}"/>
    <cellStyle name="Comma 2 7 2 2 2" xfId="5115" xr:uid="{00000000-0005-0000-0000-0000FB130000}"/>
    <cellStyle name="Comma 2 7 2 3" xfId="3697" xr:uid="{00000000-0005-0000-0000-0000710E0000}"/>
    <cellStyle name="Comma 2 7 3" xfId="1612" xr:uid="{00000000-0005-0000-0000-00004C060000}"/>
    <cellStyle name="Comma 2 7 3 2" xfId="4472" xr:uid="{00000000-0005-0000-0000-000078110000}"/>
    <cellStyle name="Comma 2 7 4" xfId="3056" xr:uid="{00000000-0005-0000-0000-0000F00B0000}"/>
    <cellStyle name="Comma 2 70" xfId="582" xr:uid="{00000000-0005-0000-0000-000046020000}"/>
    <cellStyle name="Comma 2 70 2" xfId="1301" xr:uid="{00000000-0005-0000-0000-000015050000}"/>
    <cellStyle name="Comma 2 70 2 2" xfId="2749" xr:uid="{00000000-0005-0000-0000-0000BD0A0000}"/>
    <cellStyle name="Comma 2 70 2 2 2" xfId="5605" xr:uid="{00000000-0005-0000-0000-0000E5150000}"/>
    <cellStyle name="Comma 2 70 2 3" xfId="4187" xr:uid="{00000000-0005-0000-0000-00005B100000}"/>
    <cellStyle name="Comma 2 70 3" xfId="2104" xr:uid="{00000000-0005-0000-0000-000038080000}"/>
    <cellStyle name="Comma 2 70 3 2" xfId="4964" xr:uid="{00000000-0005-0000-0000-000064130000}"/>
    <cellStyle name="Comma 2 70 4" xfId="3548" xr:uid="{00000000-0005-0000-0000-0000DC0D0000}"/>
    <cellStyle name="Comma 2 71" xfId="584" xr:uid="{00000000-0005-0000-0000-000048020000}"/>
    <cellStyle name="Comma 2 71 2" xfId="1303" xr:uid="{00000000-0005-0000-0000-000017050000}"/>
    <cellStyle name="Comma 2 71 2 2" xfId="2751" xr:uid="{00000000-0005-0000-0000-0000BF0A0000}"/>
    <cellStyle name="Comma 2 71 2 2 2" xfId="5607" xr:uid="{00000000-0005-0000-0000-0000E7150000}"/>
    <cellStyle name="Comma 2 71 2 3" xfId="4189" xr:uid="{00000000-0005-0000-0000-00005D100000}"/>
    <cellStyle name="Comma 2 71 3" xfId="2106" xr:uid="{00000000-0005-0000-0000-00003A080000}"/>
    <cellStyle name="Comma 2 71 3 2" xfId="4966" xr:uid="{00000000-0005-0000-0000-000066130000}"/>
    <cellStyle name="Comma 2 71 4" xfId="3550" xr:uid="{00000000-0005-0000-0000-0000DE0D0000}"/>
    <cellStyle name="Comma 2 72" xfId="603" xr:uid="{00000000-0005-0000-0000-00005B020000}"/>
    <cellStyle name="Comma 2 72 2" xfId="1321" xr:uid="{00000000-0005-0000-0000-000029050000}"/>
    <cellStyle name="Comma 2 72 2 2" xfId="2769" xr:uid="{00000000-0005-0000-0000-0000D10A0000}"/>
    <cellStyle name="Comma 2 72 2 2 2" xfId="5625" xr:uid="{00000000-0005-0000-0000-0000F9150000}"/>
    <cellStyle name="Comma 2 72 2 3" xfId="4207" xr:uid="{00000000-0005-0000-0000-00006F100000}"/>
    <cellStyle name="Comma 2 72 3" xfId="2124" xr:uid="{00000000-0005-0000-0000-00004C080000}"/>
    <cellStyle name="Comma 2 72 3 2" xfId="4984" xr:uid="{00000000-0005-0000-0000-000078130000}"/>
    <cellStyle name="Comma 2 72 4" xfId="3568" xr:uid="{00000000-0005-0000-0000-0000F00D0000}"/>
    <cellStyle name="Comma 2 73" xfId="609" xr:uid="{00000000-0005-0000-0000-000061020000}"/>
    <cellStyle name="Comma 2 73 2" xfId="1327" xr:uid="{00000000-0005-0000-0000-00002F050000}"/>
    <cellStyle name="Comma 2 73 2 2" xfId="2775" xr:uid="{00000000-0005-0000-0000-0000D70A0000}"/>
    <cellStyle name="Comma 2 73 2 2 2" xfId="5631" xr:uid="{00000000-0005-0000-0000-0000FF150000}"/>
    <cellStyle name="Comma 2 73 2 3" xfId="4213" xr:uid="{00000000-0005-0000-0000-000075100000}"/>
    <cellStyle name="Comma 2 73 3" xfId="2130" xr:uid="{00000000-0005-0000-0000-000052080000}"/>
    <cellStyle name="Comma 2 73 3 2" xfId="4990" xr:uid="{00000000-0005-0000-0000-00007E130000}"/>
    <cellStyle name="Comma 2 73 4" xfId="3574" xr:uid="{00000000-0005-0000-0000-0000F60D0000}"/>
    <cellStyle name="Comma 2 74" xfId="673" xr:uid="{00000000-0005-0000-0000-0000A1020000}"/>
    <cellStyle name="Comma 2 74 2" xfId="1370" xr:uid="{00000000-0005-0000-0000-00005A050000}"/>
    <cellStyle name="Comma 2 74 2 2" xfId="2818" xr:uid="{00000000-0005-0000-0000-0000020B0000}"/>
    <cellStyle name="Comma 2 74 2 2 2" xfId="5673" xr:uid="{00000000-0005-0000-0000-000029160000}"/>
    <cellStyle name="Comma 2 74 2 3" xfId="4255" xr:uid="{00000000-0005-0000-0000-00009F100000}"/>
    <cellStyle name="Comma 2 74 3" xfId="2174" xr:uid="{00000000-0005-0000-0000-00007E080000}"/>
    <cellStyle name="Comma 2 74 3 2" xfId="5034" xr:uid="{00000000-0005-0000-0000-0000AA130000}"/>
    <cellStyle name="Comma 2 74 4" xfId="3618" xr:uid="{00000000-0005-0000-0000-0000220E0000}"/>
    <cellStyle name="Comma 2 75" xfId="722" xr:uid="{00000000-0005-0000-0000-0000D2020000}"/>
    <cellStyle name="Comma 2 75 2" xfId="1401" xr:uid="{00000000-0005-0000-0000-000079050000}"/>
    <cellStyle name="Comma 2 75 2 2" xfId="2848" xr:uid="{00000000-0005-0000-0000-0000200B0000}"/>
    <cellStyle name="Comma 2 75 2 2 2" xfId="5703" xr:uid="{00000000-0005-0000-0000-000047160000}"/>
    <cellStyle name="Comma 2 75 2 3" xfId="4285" xr:uid="{00000000-0005-0000-0000-0000BD100000}"/>
    <cellStyle name="Comma 2 75 3" xfId="2208" xr:uid="{00000000-0005-0000-0000-0000A0080000}"/>
    <cellStyle name="Comma 2 75 3 2" xfId="5064" xr:uid="{00000000-0005-0000-0000-0000C8130000}"/>
    <cellStyle name="Comma 2 75 4" xfId="3648" xr:uid="{00000000-0005-0000-0000-0000400E0000}"/>
    <cellStyle name="Comma 2 76" xfId="5999" xr:uid="{00000000-0005-0000-0000-00006F170000}"/>
    <cellStyle name="Comma 2 8" xfId="97" xr:uid="{00000000-0005-0000-0000-000061000000}"/>
    <cellStyle name="Comma 2 8 2" xfId="823" xr:uid="{00000000-0005-0000-0000-000037030000}"/>
    <cellStyle name="Comma 2 8 2 2" xfId="2273" xr:uid="{00000000-0005-0000-0000-0000E1080000}"/>
    <cellStyle name="Comma 2 8 2 2 2" xfId="5129" xr:uid="{00000000-0005-0000-0000-000009140000}"/>
    <cellStyle name="Comma 2 8 2 3" xfId="3711" xr:uid="{00000000-0005-0000-0000-00007F0E0000}"/>
    <cellStyle name="Comma 2 8 3" xfId="1626" xr:uid="{00000000-0005-0000-0000-00005A060000}"/>
    <cellStyle name="Comma 2 8 3 2" xfId="4486" xr:uid="{00000000-0005-0000-0000-000086110000}"/>
    <cellStyle name="Comma 2 8 4" xfId="3070" xr:uid="{00000000-0005-0000-0000-0000FE0B0000}"/>
    <cellStyle name="Comma 2 9" xfId="106" xr:uid="{00000000-0005-0000-0000-00006A000000}"/>
    <cellStyle name="Comma 2 9 2" xfId="832" xr:uid="{00000000-0005-0000-0000-000040030000}"/>
    <cellStyle name="Comma 2 9 2 2" xfId="2281" xr:uid="{00000000-0005-0000-0000-0000E9080000}"/>
    <cellStyle name="Comma 2 9 2 2 2" xfId="5137" xr:uid="{00000000-0005-0000-0000-000011140000}"/>
    <cellStyle name="Comma 2 9 2 3" xfId="3719" xr:uid="{00000000-0005-0000-0000-0000870E0000}"/>
    <cellStyle name="Comma 2 9 3" xfId="1634" xr:uid="{00000000-0005-0000-0000-000062060000}"/>
    <cellStyle name="Comma 2 9 3 2" xfId="4494" xr:uid="{00000000-0005-0000-0000-00008E110000}"/>
    <cellStyle name="Comma 2 9 4" xfId="3078" xr:uid="{00000000-0005-0000-0000-0000060C0000}"/>
    <cellStyle name="Comma 20" xfId="104" xr:uid="{00000000-0005-0000-0000-000068000000}"/>
    <cellStyle name="Comma 20 2" xfId="830" xr:uid="{00000000-0005-0000-0000-00003E030000}"/>
    <cellStyle name="Comma 20 2 2" xfId="2279" xr:uid="{00000000-0005-0000-0000-0000E7080000}"/>
    <cellStyle name="Comma 20 2 2 2" xfId="5135" xr:uid="{00000000-0005-0000-0000-00000F140000}"/>
    <cellStyle name="Comma 20 2 3" xfId="3717" xr:uid="{00000000-0005-0000-0000-0000850E0000}"/>
    <cellStyle name="Comma 20 3" xfId="1632" xr:uid="{00000000-0005-0000-0000-000060060000}"/>
    <cellStyle name="Comma 20 3 2" xfId="4492" xr:uid="{00000000-0005-0000-0000-00008C110000}"/>
    <cellStyle name="Comma 20 4" xfId="3076" xr:uid="{00000000-0005-0000-0000-0000040C0000}"/>
    <cellStyle name="Comma 21" xfId="120" xr:uid="{00000000-0005-0000-0000-000078000000}"/>
    <cellStyle name="Comma 21 2" xfId="846" xr:uid="{00000000-0005-0000-0000-00004E030000}"/>
    <cellStyle name="Comma 21 2 2" xfId="2295" xr:uid="{00000000-0005-0000-0000-0000F7080000}"/>
    <cellStyle name="Comma 21 2 2 2" xfId="5151" xr:uid="{00000000-0005-0000-0000-00001F140000}"/>
    <cellStyle name="Comma 21 2 3" xfId="3733" xr:uid="{00000000-0005-0000-0000-0000950E0000}"/>
    <cellStyle name="Comma 21 3" xfId="1648" xr:uid="{00000000-0005-0000-0000-000070060000}"/>
    <cellStyle name="Comma 21 3 2" xfId="4508" xr:uid="{00000000-0005-0000-0000-00009C110000}"/>
    <cellStyle name="Comma 21 4" xfId="3092" xr:uid="{00000000-0005-0000-0000-0000140C0000}"/>
    <cellStyle name="Comma 22" xfId="128" xr:uid="{00000000-0005-0000-0000-000080000000}"/>
    <cellStyle name="Comma 22 2" xfId="854" xr:uid="{00000000-0005-0000-0000-000056030000}"/>
    <cellStyle name="Comma 22 2 2" xfId="2302" xr:uid="{00000000-0005-0000-0000-0000FE080000}"/>
    <cellStyle name="Comma 22 2 2 2" xfId="5158" xr:uid="{00000000-0005-0000-0000-000026140000}"/>
    <cellStyle name="Comma 22 2 3" xfId="3740" xr:uid="{00000000-0005-0000-0000-00009C0E0000}"/>
    <cellStyle name="Comma 22 3" xfId="1655" xr:uid="{00000000-0005-0000-0000-000077060000}"/>
    <cellStyle name="Comma 22 3 2" xfId="4515" xr:uid="{00000000-0005-0000-0000-0000A3110000}"/>
    <cellStyle name="Comma 22 4" xfId="3099" xr:uid="{00000000-0005-0000-0000-00001B0C0000}"/>
    <cellStyle name="Comma 23" xfId="135" xr:uid="{00000000-0005-0000-0000-000087000000}"/>
    <cellStyle name="Comma 23 2" xfId="860" xr:uid="{00000000-0005-0000-0000-00005C030000}"/>
    <cellStyle name="Comma 23 2 2" xfId="2308" xr:uid="{00000000-0005-0000-0000-000004090000}"/>
    <cellStyle name="Comma 23 2 2 2" xfId="5164" xr:uid="{00000000-0005-0000-0000-00002C140000}"/>
    <cellStyle name="Comma 23 2 3" xfId="3746" xr:uid="{00000000-0005-0000-0000-0000A20E0000}"/>
    <cellStyle name="Comma 23 3" xfId="1661" xr:uid="{00000000-0005-0000-0000-00007D060000}"/>
    <cellStyle name="Comma 23 3 2" xfId="4521" xr:uid="{00000000-0005-0000-0000-0000A9110000}"/>
    <cellStyle name="Comma 23 4" xfId="3105" xr:uid="{00000000-0005-0000-0000-0000210C0000}"/>
    <cellStyle name="Comma 24" xfId="136" xr:uid="{00000000-0005-0000-0000-000088000000}"/>
    <cellStyle name="Comma 24 2" xfId="861" xr:uid="{00000000-0005-0000-0000-00005D030000}"/>
    <cellStyle name="Comma 24 2 2" xfId="2309" xr:uid="{00000000-0005-0000-0000-000005090000}"/>
    <cellStyle name="Comma 24 2 2 2" xfId="5165" xr:uid="{00000000-0005-0000-0000-00002D140000}"/>
    <cellStyle name="Comma 24 2 3" xfId="3747" xr:uid="{00000000-0005-0000-0000-0000A30E0000}"/>
    <cellStyle name="Comma 24 3" xfId="1662" xr:uid="{00000000-0005-0000-0000-00007E060000}"/>
    <cellStyle name="Comma 24 3 2" xfId="4522" xr:uid="{00000000-0005-0000-0000-0000AA110000}"/>
    <cellStyle name="Comma 24 4" xfId="3106" xr:uid="{00000000-0005-0000-0000-0000220C0000}"/>
    <cellStyle name="Comma 25" xfId="139" xr:uid="{00000000-0005-0000-0000-00008B000000}"/>
    <cellStyle name="Comma 25 2" xfId="864" xr:uid="{00000000-0005-0000-0000-000060030000}"/>
    <cellStyle name="Comma 25 2 2" xfId="2312" xr:uid="{00000000-0005-0000-0000-000008090000}"/>
    <cellStyle name="Comma 25 2 2 2" xfId="5168" xr:uid="{00000000-0005-0000-0000-000030140000}"/>
    <cellStyle name="Comma 25 2 3" xfId="3750" xr:uid="{00000000-0005-0000-0000-0000A60E0000}"/>
    <cellStyle name="Comma 25 3" xfId="1665" xr:uid="{00000000-0005-0000-0000-000081060000}"/>
    <cellStyle name="Comma 25 3 2" xfId="4525" xr:uid="{00000000-0005-0000-0000-0000AD110000}"/>
    <cellStyle name="Comma 25 4" xfId="3109" xr:uid="{00000000-0005-0000-0000-0000250C0000}"/>
    <cellStyle name="Comma 26" xfId="145" xr:uid="{00000000-0005-0000-0000-000091000000}"/>
    <cellStyle name="Comma 26 2" xfId="870" xr:uid="{00000000-0005-0000-0000-000066030000}"/>
    <cellStyle name="Comma 26 2 2" xfId="2318" xr:uid="{00000000-0005-0000-0000-00000E090000}"/>
    <cellStyle name="Comma 26 2 2 2" xfId="5174" xr:uid="{00000000-0005-0000-0000-000036140000}"/>
    <cellStyle name="Comma 26 2 3" xfId="3756" xr:uid="{00000000-0005-0000-0000-0000AC0E0000}"/>
    <cellStyle name="Comma 26 3" xfId="1671" xr:uid="{00000000-0005-0000-0000-000087060000}"/>
    <cellStyle name="Comma 26 3 2" xfId="4531" xr:uid="{00000000-0005-0000-0000-0000B3110000}"/>
    <cellStyle name="Comma 26 4" xfId="3115" xr:uid="{00000000-0005-0000-0000-00002B0C0000}"/>
    <cellStyle name="Comma 27" xfId="150" xr:uid="{00000000-0005-0000-0000-000096000000}"/>
    <cellStyle name="Comma 28" xfId="152" xr:uid="{00000000-0005-0000-0000-000098000000}"/>
    <cellStyle name="Comma 28 2" xfId="876" xr:uid="{00000000-0005-0000-0000-00006C030000}"/>
    <cellStyle name="Comma 28 2 2" xfId="2324" xr:uid="{00000000-0005-0000-0000-000014090000}"/>
    <cellStyle name="Comma 28 2 2 2" xfId="5180" xr:uid="{00000000-0005-0000-0000-00003C140000}"/>
    <cellStyle name="Comma 28 2 3" xfId="3762" xr:uid="{00000000-0005-0000-0000-0000B20E0000}"/>
    <cellStyle name="Comma 28 3" xfId="1677" xr:uid="{00000000-0005-0000-0000-00008D060000}"/>
    <cellStyle name="Comma 28 3 2" xfId="4537" xr:uid="{00000000-0005-0000-0000-0000B9110000}"/>
    <cellStyle name="Comma 28 4" xfId="3121" xr:uid="{00000000-0005-0000-0000-0000310C0000}"/>
    <cellStyle name="Comma 29" xfId="160" xr:uid="{00000000-0005-0000-0000-0000A0000000}"/>
    <cellStyle name="Comma 29 2" xfId="883" xr:uid="{00000000-0005-0000-0000-000073030000}"/>
    <cellStyle name="Comma 29 2 2" xfId="2331" xr:uid="{00000000-0005-0000-0000-00001B090000}"/>
    <cellStyle name="Comma 29 2 2 2" xfId="5187" xr:uid="{00000000-0005-0000-0000-000043140000}"/>
    <cellStyle name="Comma 29 2 3" xfId="3769" xr:uid="{00000000-0005-0000-0000-0000B90E0000}"/>
    <cellStyle name="Comma 29 3" xfId="1684" xr:uid="{00000000-0005-0000-0000-000094060000}"/>
    <cellStyle name="Comma 29 3 2" xfId="4544" xr:uid="{00000000-0005-0000-0000-0000C0110000}"/>
    <cellStyle name="Comma 29 4" xfId="3128" xr:uid="{00000000-0005-0000-0000-0000380C0000}"/>
    <cellStyle name="Comma 3" xfId="5" xr:uid="{00000000-0005-0000-0000-000005000000}"/>
    <cellStyle name="Comma 3 2" xfId="6" xr:uid="{00000000-0005-0000-0000-000006000000}"/>
    <cellStyle name="Comma 3 3" xfId="31" xr:uid="{00000000-0005-0000-0000-00001F000000}"/>
    <cellStyle name="Comma 3 3 2" xfId="772" xr:uid="{00000000-0005-0000-0000-000004030000}"/>
    <cellStyle name="Comma 3 4" xfId="58" xr:uid="{00000000-0005-0000-0000-00003A000000}"/>
    <cellStyle name="Comma 3 5" xfId="651" xr:uid="{00000000-0005-0000-0000-00008B020000}"/>
    <cellStyle name="Comma 3 6" xfId="672" xr:uid="{00000000-0005-0000-0000-0000A0020000}"/>
    <cellStyle name="Comma 30" xfId="170" xr:uid="{00000000-0005-0000-0000-0000AA000000}"/>
    <cellStyle name="Comma 30 2" xfId="892" xr:uid="{00000000-0005-0000-0000-00007C030000}"/>
    <cellStyle name="Comma 30 2 2" xfId="2340" xr:uid="{00000000-0005-0000-0000-000024090000}"/>
    <cellStyle name="Comma 30 2 2 2" xfId="5196" xr:uid="{00000000-0005-0000-0000-00004C140000}"/>
    <cellStyle name="Comma 30 2 3" xfId="3778" xr:uid="{00000000-0005-0000-0000-0000C20E0000}"/>
    <cellStyle name="Comma 30 3" xfId="1693" xr:uid="{00000000-0005-0000-0000-00009D060000}"/>
    <cellStyle name="Comma 30 3 2" xfId="4553" xr:uid="{00000000-0005-0000-0000-0000C9110000}"/>
    <cellStyle name="Comma 30 4" xfId="3137" xr:uid="{00000000-0005-0000-0000-0000410C0000}"/>
    <cellStyle name="Comma 31" xfId="172" xr:uid="{00000000-0005-0000-0000-0000AC000000}"/>
    <cellStyle name="Comma 31 2" xfId="894" xr:uid="{00000000-0005-0000-0000-00007E030000}"/>
    <cellStyle name="Comma 31 2 2" xfId="2342" xr:uid="{00000000-0005-0000-0000-000026090000}"/>
    <cellStyle name="Comma 31 2 2 2" xfId="5198" xr:uid="{00000000-0005-0000-0000-00004E140000}"/>
    <cellStyle name="Comma 31 2 3" xfId="3780" xr:uid="{00000000-0005-0000-0000-0000C40E0000}"/>
    <cellStyle name="Comma 31 3" xfId="1695" xr:uid="{00000000-0005-0000-0000-00009F060000}"/>
    <cellStyle name="Comma 31 3 2" xfId="4555" xr:uid="{00000000-0005-0000-0000-0000CB110000}"/>
    <cellStyle name="Comma 31 4" xfId="3139" xr:uid="{00000000-0005-0000-0000-0000430C0000}"/>
    <cellStyle name="Comma 32" xfId="175" xr:uid="{00000000-0005-0000-0000-0000AF000000}"/>
    <cellStyle name="Comma 32 2" xfId="897" xr:uid="{00000000-0005-0000-0000-000081030000}"/>
    <cellStyle name="Comma 32 2 2" xfId="2345" xr:uid="{00000000-0005-0000-0000-000029090000}"/>
    <cellStyle name="Comma 32 2 2 2" xfId="5201" xr:uid="{00000000-0005-0000-0000-000051140000}"/>
    <cellStyle name="Comma 32 2 3" xfId="3783" xr:uid="{00000000-0005-0000-0000-0000C70E0000}"/>
    <cellStyle name="Comma 32 3" xfId="1698" xr:uid="{00000000-0005-0000-0000-0000A2060000}"/>
    <cellStyle name="Comma 32 3 2" xfId="4558" xr:uid="{00000000-0005-0000-0000-0000CE110000}"/>
    <cellStyle name="Comma 32 4" xfId="3142" xr:uid="{00000000-0005-0000-0000-0000460C0000}"/>
    <cellStyle name="Comma 33" xfId="186" xr:uid="{00000000-0005-0000-0000-0000BA000000}"/>
    <cellStyle name="Comma 33 2" xfId="908" xr:uid="{00000000-0005-0000-0000-00008C030000}"/>
    <cellStyle name="Comma 33 2 2" xfId="2356" xr:uid="{00000000-0005-0000-0000-000034090000}"/>
    <cellStyle name="Comma 33 2 2 2" xfId="5212" xr:uid="{00000000-0005-0000-0000-00005C140000}"/>
    <cellStyle name="Comma 33 2 3" xfId="3794" xr:uid="{00000000-0005-0000-0000-0000D20E0000}"/>
    <cellStyle name="Comma 33 3" xfId="1709" xr:uid="{00000000-0005-0000-0000-0000AD060000}"/>
    <cellStyle name="Comma 33 3 2" xfId="4569" xr:uid="{00000000-0005-0000-0000-0000D9110000}"/>
    <cellStyle name="Comma 33 4" xfId="3153" xr:uid="{00000000-0005-0000-0000-0000510C0000}"/>
    <cellStyle name="Comma 34" xfId="197" xr:uid="{00000000-0005-0000-0000-0000C5000000}"/>
    <cellStyle name="Comma 34 2" xfId="919" xr:uid="{00000000-0005-0000-0000-000097030000}"/>
    <cellStyle name="Comma 34 2 2" xfId="2367" xr:uid="{00000000-0005-0000-0000-00003F090000}"/>
    <cellStyle name="Comma 34 2 2 2" xfId="5223" xr:uid="{00000000-0005-0000-0000-000067140000}"/>
    <cellStyle name="Comma 34 2 3" xfId="3805" xr:uid="{00000000-0005-0000-0000-0000DD0E0000}"/>
    <cellStyle name="Comma 34 3" xfId="1720" xr:uid="{00000000-0005-0000-0000-0000B8060000}"/>
    <cellStyle name="Comma 34 3 2" xfId="4580" xr:uid="{00000000-0005-0000-0000-0000E4110000}"/>
    <cellStyle name="Comma 34 4" xfId="3164" xr:uid="{00000000-0005-0000-0000-00005C0C0000}"/>
    <cellStyle name="Comma 35" xfId="199" xr:uid="{00000000-0005-0000-0000-0000C7000000}"/>
    <cellStyle name="Comma 35 2" xfId="921" xr:uid="{00000000-0005-0000-0000-000099030000}"/>
    <cellStyle name="Comma 35 2 2" xfId="2369" xr:uid="{00000000-0005-0000-0000-000041090000}"/>
    <cellStyle name="Comma 35 2 2 2" xfId="5225" xr:uid="{00000000-0005-0000-0000-000069140000}"/>
    <cellStyle name="Comma 35 2 3" xfId="3807" xr:uid="{00000000-0005-0000-0000-0000DF0E0000}"/>
    <cellStyle name="Comma 35 3" xfId="1722" xr:uid="{00000000-0005-0000-0000-0000BA060000}"/>
    <cellStyle name="Comma 35 3 2" xfId="4582" xr:uid="{00000000-0005-0000-0000-0000E6110000}"/>
    <cellStyle name="Comma 35 4" xfId="3166" xr:uid="{00000000-0005-0000-0000-00005E0C0000}"/>
    <cellStyle name="Comma 36" xfId="202" xr:uid="{00000000-0005-0000-0000-0000CA000000}"/>
    <cellStyle name="Comma 36 2" xfId="924" xr:uid="{00000000-0005-0000-0000-00009C030000}"/>
    <cellStyle name="Comma 36 2 2" xfId="2372" xr:uid="{00000000-0005-0000-0000-000044090000}"/>
    <cellStyle name="Comma 36 2 2 2" xfId="5228" xr:uid="{00000000-0005-0000-0000-00006C140000}"/>
    <cellStyle name="Comma 36 2 3" xfId="3810" xr:uid="{00000000-0005-0000-0000-0000E20E0000}"/>
    <cellStyle name="Comma 36 3" xfId="1725" xr:uid="{00000000-0005-0000-0000-0000BD060000}"/>
    <cellStyle name="Comma 36 3 2" xfId="4585" xr:uid="{00000000-0005-0000-0000-0000E9110000}"/>
    <cellStyle name="Comma 36 4" xfId="3169" xr:uid="{00000000-0005-0000-0000-0000610C0000}"/>
    <cellStyle name="Comma 37" xfId="211" xr:uid="{00000000-0005-0000-0000-0000D3000000}"/>
    <cellStyle name="Comma 37 2" xfId="933" xr:uid="{00000000-0005-0000-0000-0000A5030000}"/>
    <cellStyle name="Comma 37 2 2" xfId="2381" xr:uid="{00000000-0005-0000-0000-00004D090000}"/>
    <cellStyle name="Comma 37 2 2 2" xfId="5237" xr:uid="{00000000-0005-0000-0000-000075140000}"/>
    <cellStyle name="Comma 37 2 3" xfId="3819" xr:uid="{00000000-0005-0000-0000-0000EB0E0000}"/>
    <cellStyle name="Comma 37 3" xfId="1734" xr:uid="{00000000-0005-0000-0000-0000C6060000}"/>
    <cellStyle name="Comma 37 3 2" xfId="4594" xr:uid="{00000000-0005-0000-0000-0000F2110000}"/>
    <cellStyle name="Comma 37 4" xfId="3178" xr:uid="{00000000-0005-0000-0000-00006A0C0000}"/>
    <cellStyle name="Comma 38" xfId="213" xr:uid="{00000000-0005-0000-0000-0000D5000000}"/>
    <cellStyle name="Comma 38 2" xfId="935" xr:uid="{00000000-0005-0000-0000-0000A7030000}"/>
    <cellStyle name="Comma 38 2 2" xfId="2383" xr:uid="{00000000-0005-0000-0000-00004F090000}"/>
    <cellStyle name="Comma 38 2 2 2" xfId="5239" xr:uid="{00000000-0005-0000-0000-000077140000}"/>
    <cellStyle name="Comma 38 2 3" xfId="3821" xr:uid="{00000000-0005-0000-0000-0000ED0E0000}"/>
    <cellStyle name="Comma 38 3" xfId="1736" xr:uid="{00000000-0005-0000-0000-0000C8060000}"/>
    <cellStyle name="Comma 38 3 2" xfId="4596" xr:uid="{00000000-0005-0000-0000-0000F4110000}"/>
    <cellStyle name="Comma 38 4" xfId="3180" xr:uid="{00000000-0005-0000-0000-00006C0C0000}"/>
    <cellStyle name="Comma 39" xfId="216" xr:uid="{00000000-0005-0000-0000-0000D8000000}"/>
    <cellStyle name="Comma 39 2" xfId="938" xr:uid="{00000000-0005-0000-0000-0000AA030000}"/>
    <cellStyle name="Comma 39 2 2" xfId="2386" xr:uid="{00000000-0005-0000-0000-000052090000}"/>
    <cellStyle name="Comma 39 2 2 2" xfId="5242" xr:uid="{00000000-0005-0000-0000-00007A140000}"/>
    <cellStyle name="Comma 39 2 3" xfId="3824" xr:uid="{00000000-0005-0000-0000-0000F00E0000}"/>
    <cellStyle name="Comma 39 3" xfId="1739" xr:uid="{00000000-0005-0000-0000-0000CB060000}"/>
    <cellStyle name="Comma 39 3 2" xfId="4599" xr:uid="{00000000-0005-0000-0000-0000F7110000}"/>
    <cellStyle name="Comma 39 4" xfId="3183" xr:uid="{00000000-0005-0000-0000-00006F0C0000}"/>
    <cellStyle name="Comma 4" xfId="28" xr:uid="{00000000-0005-0000-0000-00001C000000}"/>
    <cellStyle name="Comma 4 2" xfId="661" xr:uid="{00000000-0005-0000-0000-000095020000}"/>
    <cellStyle name="Comma 4 2 2" xfId="6011" xr:uid="{00000000-0005-0000-0000-00007B170000}"/>
    <cellStyle name="Comma 4 2 3" xfId="6030" xr:uid="{00000000-0005-0000-0000-00008E170000}"/>
    <cellStyle name="Comma 4 3" xfId="770" xr:uid="{00000000-0005-0000-0000-000002030000}"/>
    <cellStyle name="Comma 4 3 2" xfId="2224" xr:uid="{00000000-0005-0000-0000-0000B0080000}"/>
    <cellStyle name="Comma 4 3 2 2" xfId="5080" xr:uid="{00000000-0005-0000-0000-0000D8130000}"/>
    <cellStyle name="Comma 4 3 3" xfId="3661" xr:uid="{00000000-0005-0000-0000-00004D0E0000}"/>
    <cellStyle name="Comma 4 3 4" xfId="6013" xr:uid="{00000000-0005-0000-0000-00007D170000}"/>
    <cellStyle name="Comma 4 3 5" xfId="6027" xr:uid="{00000000-0005-0000-0000-00008B170000}"/>
    <cellStyle name="Comma 4 4" xfId="1576" xr:uid="{00000000-0005-0000-0000-000028060000}"/>
    <cellStyle name="Comma 4 4 2" xfId="4436" xr:uid="{00000000-0005-0000-0000-000054110000}"/>
    <cellStyle name="Comma 4 5" xfId="3021" xr:uid="{00000000-0005-0000-0000-0000CD0B0000}"/>
    <cellStyle name="Comma 4 6" xfId="5927" xr:uid="{00000000-0005-0000-0000-000027170000}"/>
    <cellStyle name="Comma 40" xfId="223" xr:uid="{00000000-0005-0000-0000-0000DF000000}"/>
    <cellStyle name="Comma 40 2" xfId="945" xr:uid="{00000000-0005-0000-0000-0000B1030000}"/>
    <cellStyle name="Comma 40 2 2" xfId="2393" xr:uid="{00000000-0005-0000-0000-000059090000}"/>
    <cellStyle name="Comma 40 2 2 2" xfId="5249" xr:uid="{00000000-0005-0000-0000-000081140000}"/>
    <cellStyle name="Comma 40 2 3" xfId="3831" xr:uid="{00000000-0005-0000-0000-0000F70E0000}"/>
    <cellStyle name="Comma 40 3" xfId="1746" xr:uid="{00000000-0005-0000-0000-0000D2060000}"/>
    <cellStyle name="Comma 40 3 2" xfId="4606" xr:uid="{00000000-0005-0000-0000-0000FE110000}"/>
    <cellStyle name="Comma 40 4" xfId="3190" xr:uid="{00000000-0005-0000-0000-0000760C0000}"/>
    <cellStyle name="Comma 41" xfId="226" xr:uid="{00000000-0005-0000-0000-0000E2000000}"/>
    <cellStyle name="Comma 41 2" xfId="948" xr:uid="{00000000-0005-0000-0000-0000B4030000}"/>
    <cellStyle name="Comma 41 2 2" xfId="2396" xr:uid="{00000000-0005-0000-0000-00005C090000}"/>
    <cellStyle name="Comma 41 2 2 2" xfId="5252" xr:uid="{00000000-0005-0000-0000-000084140000}"/>
    <cellStyle name="Comma 41 2 3" xfId="3834" xr:uid="{00000000-0005-0000-0000-0000FA0E0000}"/>
    <cellStyle name="Comma 41 3" xfId="1749" xr:uid="{00000000-0005-0000-0000-0000D5060000}"/>
    <cellStyle name="Comma 41 3 2" xfId="4609" xr:uid="{00000000-0005-0000-0000-000001120000}"/>
    <cellStyle name="Comma 41 4" xfId="3193" xr:uid="{00000000-0005-0000-0000-0000790C0000}"/>
    <cellStyle name="Comma 42" xfId="234" xr:uid="{00000000-0005-0000-0000-0000EA000000}"/>
    <cellStyle name="Comma 42 2" xfId="956" xr:uid="{00000000-0005-0000-0000-0000BC030000}"/>
    <cellStyle name="Comma 42 2 2" xfId="2404" xr:uid="{00000000-0005-0000-0000-000064090000}"/>
    <cellStyle name="Comma 42 2 2 2" xfId="5260" xr:uid="{00000000-0005-0000-0000-00008C140000}"/>
    <cellStyle name="Comma 42 2 3" xfId="3842" xr:uid="{00000000-0005-0000-0000-0000020F0000}"/>
    <cellStyle name="Comma 42 3" xfId="1757" xr:uid="{00000000-0005-0000-0000-0000DD060000}"/>
    <cellStyle name="Comma 42 3 2" xfId="4617" xr:uid="{00000000-0005-0000-0000-000009120000}"/>
    <cellStyle name="Comma 42 4" xfId="3201" xr:uid="{00000000-0005-0000-0000-0000810C0000}"/>
    <cellStyle name="Comma 43" xfId="237" xr:uid="{00000000-0005-0000-0000-0000ED000000}"/>
    <cellStyle name="Comma 43 2" xfId="959" xr:uid="{00000000-0005-0000-0000-0000BF030000}"/>
    <cellStyle name="Comma 43 2 2" xfId="2407" xr:uid="{00000000-0005-0000-0000-000067090000}"/>
    <cellStyle name="Comma 43 2 2 2" xfId="5263" xr:uid="{00000000-0005-0000-0000-00008F140000}"/>
    <cellStyle name="Comma 43 2 3" xfId="3845" xr:uid="{00000000-0005-0000-0000-0000050F0000}"/>
    <cellStyle name="Comma 43 3" xfId="1760" xr:uid="{00000000-0005-0000-0000-0000E0060000}"/>
    <cellStyle name="Comma 43 3 2" xfId="4620" xr:uid="{00000000-0005-0000-0000-00000C120000}"/>
    <cellStyle name="Comma 43 4" xfId="3204" xr:uid="{00000000-0005-0000-0000-0000840C0000}"/>
    <cellStyle name="Comma 44" xfId="240" xr:uid="{00000000-0005-0000-0000-0000F0000000}"/>
    <cellStyle name="Comma 44 2" xfId="962" xr:uid="{00000000-0005-0000-0000-0000C2030000}"/>
    <cellStyle name="Comma 44 2 2" xfId="2410" xr:uid="{00000000-0005-0000-0000-00006A090000}"/>
    <cellStyle name="Comma 44 2 2 2" xfId="5266" xr:uid="{00000000-0005-0000-0000-000092140000}"/>
    <cellStyle name="Comma 44 2 3" xfId="3848" xr:uid="{00000000-0005-0000-0000-0000080F0000}"/>
    <cellStyle name="Comma 44 3" xfId="1763" xr:uid="{00000000-0005-0000-0000-0000E3060000}"/>
    <cellStyle name="Comma 44 3 2" xfId="4623" xr:uid="{00000000-0005-0000-0000-00000F120000}"/>
    <cellStyle name="Comma 44 4" xfId="3207" xr:uid="{00000000-0005-0000-0000-0000870C0000}"/>
    <cellStyle name="Comma 45" xfId="246" xr:uid="{00000000-0005-0000-0000-0000F6000000}"/>
    <cellStyle name="Comma 45 2" xfId="968" xr:uid="{00000000-0005-0000-0000-0000C8030000}"/>
    <cellStyle name="Comma 45 2 2" xfId="2416" xr:uid="{00000000-0005-0000-0000-000070090000}"/>
    <cellStyle name="Comma 45 2 2 2" xfId="5272" xr:uid="{00000000-0005-0000-0000-000098140000}"/>
    <cellStyle name="Comma 45 2 3" xfId="3854" xr:uid="{00000000-0005-0000-0000-00000E0F0000}"/>
    <cellStyle name="Comma 45 3" xfId="1769" xr:uid="{00000000-0005-0000-0000-0000E9060000}"/>
    <cellStyle name="Comma 45 3 2" xfId="4629" xr:uid="{00000000-0005-0000-0000-000015120000}"/>
    <cellStyle name="Comma 45 4" xfId="3213" xr:uid="{00000000-0005-0000-0000-00008D0C0000}"/>
    <cellStyle name="Comma 46" xfId="250" xr:uid="{00000000-0005-0000-0000-0000FA000000}"/>
    <cellStyle name="Comma 46 2" xfId="972" xr:uid="{00000000-0005-0000-0000-0000CC030000}"/>
    <cellStyle name="Comma 46 2 2" xfId="2420" xr:uid="{00000000-0005-0000-0000-000074090000}"/>
    <cellStyle name="Comma 46 2 2 2" xfId="5276" xr:uid="{00000000-0005-0000-0000-00009C140000}"/>
    <cellStyle name="Comma 46 2 3" xfId="3858" xr:uid="{00000000-0005-0000-0000-0000120F0000}"/>
    <cellStyle name="Comma 46 3" xfId="1773" xr:uid="{00000000-0005-0000-0000-0000ED060000}"/>
    <cellStyle name="Comma 46 3 2" xfId="4633" xr:uid="{00000000-0005-0000-0000-000019120000}"/>
    <cellStyle name="Comma 46 4" xfId="3217" xr:uid="{00000000-0005-0000-0000-0000910C0000}"/>
    <cellStyle name="Comma 47" xfId="252" xr:uid="{00000000-0005-0000-0000-0000FC000000}"/>
    <cellStyle name="Comma 47 2" xfId="974" xr:uid="{00000000-0005-0000-0000-0000CE030000}"/>
    <cellStyle name="Comma 47 2 2" xfId="2422" xr:uid="{00000000-0005-0000-0000-000076090000}"/>
    <cellStyle name="Comma 47 2 2 2" xfId="5278" xr:uid="{00000000-0005-0000-0000-00009E140000}"/>
    <cellStyle name="Comma 47 2 3" xfId="3860" xr:uid="{00000000-0005-0000-0000-0000140F0000}"/>
    <cellStyle name="Comma 47 3" xfId="1775" xr:uid="{00000000-0005-0000-0000-0000EF060000}"/>
    <cellStyle name="Comma 47 3 2" xfId="4635" xr:uid="{00000000-0005-0000-0000-00001B120000}"/>
    <cellStyle name="Comma 47 4" xfId="3219" xr:uid="{00000000-0005-0000-0000-0000930C0000}"/>
    <cellStyle name="Comma 48" xfId="259" xr:uid="{00000000-0005-0000-0000-000003010000}"/>
    <cellStyle name="Comma 48 2" xfId="981" xr:uid="{00000000-0005-0000-0000-0000D5030000}"/>
    <cellStyle name="Comma 48 2 2" xfId="2429" xr:uid="{00000000-0005-0000-0000-00007D090000}"/>
    <cellStyle name="Comma 48 2 2 2" xfId="5285" xr:uid="{00000000-0005-0000-0000-0000A5140000}"/>
    <cellStyle name="Comma 48 2 3" xfId="3867" xr:uid="{00000000-0005-0000-0000-00001B0F0000}"/>
    <cellStyle name="Comma 48 3" xfId="1782" xr:uid="{00000000-0005-0000-0000-0000F6060000}"/>
    <cellStyle name="Comma 48 3 2" xfId="4642" xr:uid="{00000000-0005-0000-0000-000022120000}"/>
    <cellStyle name="Comma 48 4" xfId="3226" xr:uid="{00000000-0005-0000-0000-00009A0C0000}"/>
    <cellStyle name="Comma 49" xfId="262" xr:uid="{00000000-0005-0000-0000-000006010000}"/>
    <cellStyle name="Comma 49 2" xfId="984" xr:uid="{00000000-0005-0000-0000-0000D8030000}"/>
    <cellStyle name="Comma 49 2 2" xfId="2432" xr:uid="{00000000-0005-0000-0000-000080090000}"/>
    <cellStyle name="Comma 49 2 2 2" xfId="5288" xr:uid="{00000000-0005-0000-0000-0000A8140000}"/>
    <cellStyle name="Comma 49 2 3" xfId="3870" xr:uid="{00000000-0005-0000-0000-00001E0F0000}"/>
    <cellStyle name="Comma 49 3" xfId="1785" xr:uid="{00000000-0005-0000-0000-0000F9060000}"/>
    <cellStyle name="Comma 49 3 2" xfId="4645" xr:uid="{00000000-0005-0000-0000-000025120000}"/>
    <cellStyle name="Comma 49 4" xfId="3229" xr:uid="{00000000-0005-0000-0000-00009D0C0000}"/>
    <cellStyle name="Comma 5" xfId="47" xr:uid="{00000000-0005-0000-0000-00002F000000}"/>
    <cellStyle name="Comma 5 2" xfId="780" xr:uid="{00000000-0005-0000-0000-00000C030000}"/>
    <cellStyle name="Comma 5 2 2" xfId="2232" xr:uid="{00000000-0005-0000-0000-0000B8080000}"/>
    <cellStyle name="Comma 5 2 2 2" xfId="5088" xr:uid="{00000000-0005-0000-0000-0000E0130000}"/>
    <cellStyle name="Comma 5 2 3" xfId="3670" xr:uid="{00000000-0005-0000-0000-0000560E0000}"/>
    <cellStyle name="Comma 5 3" xfId="1584" xr:uid="{00000000-0005-0000-0000-000030060000}"/>
    <cellStyle name="Comma 5 3 2" xfId="4444" xr:uid="{00000000-0005-0000-0000-00005C110000}"/>
    <cellStyle name="Comma 5 4" xfId="3029" xr:uid="{00000000-0005-0000-0000-0000D50B0000}"/>
    <cellStyle name="Comma 50" xfId="268" xr:uid="{00000000-0005-0000-0000-00000C010000}"/>
    <cellStyle name="Comma 50 2" xfId="990" xr:uid="{00000000-0005-0000-0000-0000DE030000}"/>
    <cellStyle name="Comma 50 2 2" xfId="2438" xr:uid="{00000000-0005-0000-0000-000086090000}"/>
    <cellStyle name="Comma 50 2 2 2" xfId="5294" xr:uid="{00000000-0005-0000-0000-0000AE140000}"/>
    <cellStyle name="Comma 50 2 3" xfId="3876" xr:uid="{00000000-0005-0000-0000-0000240F0000}"/>
    <cellStyle name="Comma 50 3" xfId="1791" xr:uid="{00000000-0005-0000-0000-0000FF060000}"/>
    <cellStyle name="Comma 50 3 2" xfId="4651" xr:uid="{00000000-0005-0000-0000-00002B120000}"/>
    <cellStyle name="Comma 50 4" xfId="3235" xr:uid="{00000000-0005-0000-0000-0000A30C0000}"/>
    <cellStyle name="Comma 51" xfId="270" xr:uid="{00000000-0005-0000-0000-00000E010000}"/>
    <cellStyle name="Comma 51 2" xfId="992" xr:uid="{00000000-0005-0000-0000-0000E0030000}"/>
    <cellStyle name="Comma 51 2 2" xfId="2440" xr:uid="{00000000-0005-0000-0000-000088090000}"/>
    <cellStyle name="Comma 51 2 2 2" xfId="5296" xr:uid="{00000000-0005-0000-0000-0000B0140000}"/>
    <cellStyle name="Comma 51 2 3" xfId="3878" xr:uid="{00000000-0005-0000-0000-0000260F0000}"/>
    <cellStyle name="Comma 51 3" xfId="1793" xr:uid="{00000000-0005-0000-0000-000001070000}"/>
    <cellStyle name="Comma 51 3 2" xfId="4653" xr:uid="{00000000-0005-0000-0000-00002D120000}"/>
    <cellStyle name="Comma 51 4" xfId="3237" xr:uid="{00000000-0005-0000-0000-0000A50C0000}"/>
    <cellStyle name="Comma 52" xfId="273" xr:uid="{00000000-0005-0000-0000-000011010000}"/>
    <cellStyle name="Comma 52 2" xfId="995" xr:uid="{00000000-0005-0000-0000-0000E3030000}"/>
    <cellStyle name="Comma 52 2 2" xfId="2443" xr:uid="{00000000-0005-0000-0000-00008B090000}"/>
    <cellStyle name="Comma 52 2 2 2" xfId="5299" xr:uid="{00000000-0005-0000-0000-0000B3140000}"/>
    <cellStyle name="Comma 52 2 3" xfId="3881" xr:uid="{00000000-0005-0000-0000-0000290F0000}"/>
    <cellStyle name="Comma 52 3" xfId="1796" xr:uid="{00000000-0005-0000-0000-000004070000}"/>
    <cellStyle name="Comma 52 3 2" xfId="4656" xr:uid="{00000000-0005-0000-0000-000030120000}"/>
    <cellStyle name="Comma 52 4" xfId="3240" xr:uid="{00000000-0005-0000-0000-0000A80C0000}"/>
    <cellStyle name="Comma 53" xfId="276" xr:uid="{00000000-0005-0000-0000-000014010000}"/>
    <cellStyle name="Comma 53 2" xfId="998" xr:uid="{00000000-0005-0000-0000-0000E6030000}"/>
    <cellStyle name="Comma 53 2 2" xfId="2446" xr:uid="{00000000-0005-0000-0000-00008E090000}"/>
    <cellStyle name="Comma 53 2 2 2" xfId="5302" xr:uid="{00000000-0005-0000-0000-0000B6140000}"/>
    <cellStyle name="Comma 53 2 3" xfId="3884" xr:uid="{00000000-0005-0000-0000-00002C0F0000}"/>
    <cellStyle name="Comma 53 3" xfId="1799" xr:uid="{00000000-0005-0000-0000-000007070000}"/>
    <cellStyle name="Comma 53 3 2" xfId="4659" xr:uid="{00000000-0005-0000-0000-000033120000}"/>
    <cellStyle name="Comma 53 4" xfId="3243" xr:uid="{00000000-0005-0000-0000-0000AB0C0000}"/>
    <cellStyle name="Comma 54" xfId="278" xr:uid="{00000000-0005-0000-0000-000016010000}"/>
    <cellStyle name="Comma 54 2" xfId="1000" xr:uid="{00000000-0005-0000-0000-0000E8030000}"/>
    <cellStyle name="Comma 54 2 2" xfId="2448" xr:uid="{00000000-0005-0000-0000-000090090000}"/>
    <cellStyle name="Comma 54 2 2 2" xfId="5304" xr:uid="{00000000-0005-0000-0000-0000B8140000}"/>
    <cellStyle name="Comma 54 2 3" xfId="3886" xr:uid="{00000000-0005-0000-0000-00002E0F0000}"/>
    <cellStyle name="Comma 54 3" xfId="1801" xr:uid="{00000000-0005-0000-0000-000009070000}"/>
    <cellStyle name="Comma 54 3 2" xfId="4661" xr:uid="{00000000-0005-0000-0000-000035120000}"/>
    <cellStyle name="Comma 54 4" xfId="3245" xr:uid="{00000000-0005-0000-0000-0000AD0C0000}"/>
    <cellStyle name="Comma 55" xfId="286" xr:uid="{00000000-0005-0000-0000-00001E010000}"/>
    <cellStyle name="Comma 55 2" xfId="1008" xr:uid="{00000000-0005-0000-0000-0000F0030000}"/>
    <cellStyle name="Comma 55 2 2" xfId="2456" xr:uid="{00000000-0005-0000-0000-000098090000}"/>
    <cellStyle name="Comma 55 2 2 2" xfId="5312" xr:uid="{00000000-0005-0000-0000-0000C0140000}"/>
    <cellStyle name="Comma 55 2 3" xfId="3894" xr:uid="{00000000-0005-0000-0000-0000360F0000}"/>
    <cellStyle name="Comma 55 3" xfId="1809" xr:uid="{00000000-0005-0000-0000-000011070000}"/>
    <cellStyle name="Comma 55 3 2" xfId="4669" xr:uid="{00000000-0005-0000-0000-00003D120000}"/>
    <cellStyle name="Comma 55 4" xfId="3253" xr:uid="{00000000-0005-0000-0000-0000B50C0000}"/>
    <cellStyle name="Comma 56" xfId="288" xr:uid="{00000000-0005-0000-0000-000020010000}"/>
    <cellStyle name="Comma 56 2" xfId="1010" xr:uid="{00000000-0005-0000-0000-0000F2030000}"/>
    <cellStyle name="Comma 56 2 2" xfId="2458" xr:uid="{00000000-0005-0000-0000-00009A090000}"/>
    <cellStyle name="Comma 56 2 2 2" xfId="5314" xr:uid="{00000000-0005-0000-0000-0000C2140000}"/>
    <cellStyle name="Comma 56 2 3" xfId="3896" xr:uid="{00000000-0005-0000-0000-0000380F0000}"/>
    <cellStyle name="Comma 56 3" xfId="1811" xr:uid="{00000000-0005-0000-0000-000013070000}"/>
    <cellStyle name="Comma 56 3 2" xfId="4671" xr:uid="{00000000-0005-0000-0000-00003F120000}"/>
    <cellStyle name="Comma 56 4" xfId="3255" xr:uid="{00000000-0005-0000-0000-0000B70C0000}"/>
    <cellStyle name="Comma 57" xfId="291" xr:uid="{00000000-0005-0000-0000-000023010000}"/>
    <cellStyle name="Comma 57 2" xfId="1013" xr:uid="{00000000-0005-0000-0000-0000F5030000}"/>
    <cellStyle name="Comma 57 2 2" xfId="2461" xr:uid="{00000000-0005-0000-0000-00009D090000}"/>
    <cellStyle name="Comma 57 2 2 2" xfId="5317" xr:uid="{00000000-0005-0000-0000-0000C5140000}"/>
    <cellStyle name="Comma 57 2 3" xfId="3899" xr:uid="{00000000-0005-0000-0000-00003B0F0000}"/>
    <cellStyle name="Comma 57 3" xfId="1814" xr:uid="{00000000-0005-0000-0000-000016070000}"/>
    <cellStyle name="Comma 57 3 2" xfId="4674" xr:uid="{00000000-0005-0000-0000-000042120000}"/>
    <cellStyle name="Comma 57 4" xfId="3258" xr:uid="{00000000-0005-0000-0000-0000BA0C0000}"/>
    <cellStyle name="Comma 58" xfId="293" xr:uid="{00000000-0005-0000-0000-000025010000}"/>
    <cellStyle name="Comma 58 2" xfId="450" xr:uid="{00000000-0005-0000-0000-0000C2010000}"/>
    <cellStyle name="Comma 58 2 2" xfId="617" xr:uid="{00000000-0005-0000-0000-000069020000}"/>
    <cellStyle name="Comma 58 2 2 2" xfId="704" xr:uid="{00000000-0005-0000-0000-0000C0020000}"/>
    <cellStyle name="Comma 58 2 2 2 2" xfId="1387" xr:uid="{00000000-0005-0000-0000-00006B050000}"/>
    <cellStyle name="Comma 58 2 2 2 2 2" xfId="2834" xr:uid="{00000000-0005-0000-0000-0000120B0000}"/>
    <cellStyle name="Comma 58 2 2 2 2 2 2" xfId="5689" xr:uid="{00000000-0005-0000-0000-000039160000}"/>
    <cellStyle name="Comma 58 2 2 2 2 3" xfId="4271" xr:uid="{00000000-0005-0000-0000-0000AF100000}"/>
    <cellStyle name="Comma 58 2 2 2 3" xfId="1491" xr:uid="{00000000-0005-0000-0000-0000D3050000}"/>
    <cellStyle name="Comma 58 2 2 2 3 2" xfId="2919" xr:uid="{00000000-0005-0000-0000-0000670B0000}"/>
    <cellStyle name="Comma 58 2 2 2 3 2 2" xfId="5773" xr:uid="{00000000-0005-0000-0000-00008D160000}"/>
    <cellStyle name="Comma 58 2 2 2 3 3" xfId="4352" xr:uid="{00000000-0005-0000-0000-000000110000}"/>
    <cellStyle name="Comma 58 2 2 2 4" xfId="2192" xr:uid="{00000000-0005-0000-0000-000090080000}"/>
    <cellStyle name="Comma 58 2 2 2 4 2" xfId="5050" xr:uid="{00000000-0005-0000-0000-0000BA130000}"/>
    <cellStyle name="Comma 58 2 2 2 5" xfId="3634" xr:uid="{00000000-0005-0000-0000-0000320E0000}"/>
    <cellStyle name="Comma 58 2 2 3" xfId="1335" xr:uid="{00000000-0005-0000-0000-000037050000}"/>
    <cellStyle name="Comma 58 2 2 3 2" xfId="2783" xr:uid="{00000000-0005-0000-0000-0000DF0A0000}"/>
    <cellStyle name="Comma 58 2 2 3 2 2" xfId="5639" xr:uid="{00000000-0005-0000-0000-000007160000}"/>
    <cellStyle name="Comma 58 2 2 3 3" xfId="4221" xr:uid="{00000000-0005-0000-0000-00007D100000}"/>
    <cellStyle name="Comma 58 2 2 4" xfId="2138" xr:uid="{00000000-0005-0000-0000-00005A080000}"/>
    <cellStyle name="Comma 58 2 2 4 2" xfId="4998" xr:uid="{00000000-0005-0000-0000-000086130000}"/>
    <cellStyle name="Comma 58 2 2 5" xfId="3582" xr:uid="{00000000-0005-0000-0000-0000FE0D0000}"/>
    <cellStyle name="Comma 58 2 3" xfId="1171" xr:uid="{00000000-0005-0000-0000-000093040000}"/>
    <cellStyle name="Comma 58 2 3 2" xfId="2619" xr:uid="{00000000-0005-0000-0000-00003B0A0000}"/>
    <cellStyle name="Comma 58 2 3 2 2" xfId="5475" xr:uid="{00000000-0005-0000-0000-000063150000}"/>
    <cellStyle name="Comma 58 2 3 3" xfId="4057" xr:uid="{00000000-0005-0000-0000-0000D90F0000}"/>
    <cellStyle name="Comma 58 2 4" xfId="1973" xr:uid="{00000000-0005-0000-0000-0000B5070000}"/>
    <cellStyle name="Comma 58 2 4 2" xfId="4833" xr:uid="{00000000-0005-0000-0000-0000E1120000}"/>
    <cellStyle name="Comma 58 2 5" xfId="3417" xr:uid="{00000000-0005-0000-0000-0000590D0000}"/>
    <cellStyle name="Comma 58 3" xfId="1015" xr:uid="{00000000-0005-0000-0000-0000F7030000}"/>
    <cellStyle name="Comma 58 3 2" xfId="2463" xr:uid="{00000000-0005-0000-0000-00009F090000}"/>
    <cellStyle name="Comma 58 3 2 2" xfId="5319" xr:uid="{00000000-0005-0000-0000-0000C7140000}"/>
    <cellStyle name="Comma 58 3 3" xfId="3901" xr:uid="{00000000-0005-0000-0000-00003D0F0000}"/>
    <cellStyle name="Comma 58 4" xfId="1816" xr:uid="{00000000-0005-0000-0000-000018070000}"/>
    <cellStyle name="Comma 58 4 2" xfId="4676" xr:uid="{00000000-0005-0000-0000-000044120000}"/>
    <cellStyle name="Comma 58 5" xfId="3260" xr:uid="{00000000-0005-0000-0000-0000BC0C0000}"/>
    <cellStyle name="Comma 59" xfId="300" xr:uid="{00000000-0005-0000-0000-00002C010000}"/>
    <cellStyle name="Comma 59 2" xfId="1021" xr:uid="{00000000-0005-0000-0000-0000FD030000}"/>
    <cellStyle name="Comma 59 2 2" xfId="2469" xr:uid="{00000000-0005-0000-0000-0000A5090000}"/>
    <cellStyle name="Comma 59 2 2 2" xfId="5325" xr:uid="{00000000-0005-0000-0000-0000CD140000}"/>
    <cellStyle name="Comma 59 2 3" xfId="3907" xr:uid="{00000000-0005-0000-0000-0000430F0000}"/>
    <cellStyle name="Comma 59 3" xfId="1823" xr:uid="{00000000-0005-0000-0000-00001F070000}"/>
    <cellStyle name="Comma 59 3 2" xfId="4683" xr:uid="{00000000-0005-0000-0000-00004B120000}"/>
    <cellStyle name="Comma 59 4" xfId="3267" xr:uid="{00000000-0005-0000-0000-0000C30C0000}"/>
    <cellStyle name="Comma 6" xfId="49" xr:uid="{00000000-0005-0000-0000-000031000000}"/>
    <cellStyle name="Comma 6 2" xfId="62" xr:uid="{00000000-0005-0000-0000-00003E000000}"/>
    <cellStyle name="Comma 6 2 2" xfId="790" xr:uid="{00000000-0005-0000-0000-000016030000}"/>
    <cellStyle name="Comma 6 2 2 2" xfId="2241" xr:uid="{00000000-0005-0000-0000-0000C1080000}"/>
    <cellStyle name="Comma 6 2 2 2 2" xfId="5097" xr:uid="{00000000-0005-0000-0000-0000E9130000}"/>
    <cellStyle name="Comma 6 2 2 3" xfId="3679" xr:uid="{00000000-0005-0000-0000-00005F0E0000}"/>
    <cellStyle name="Comma 6 2 3" xfId="1593" xr:uid="{00000000-0005-0000-0000-000039060000}"/>
    <cellStyle name="Comma 6 2 3 2" xfId="4453" xr:uid="{00000000-0005-0000-0000-000065110000}"/>
    <cellStyle name="Comma 6 2 4" xfId="3038" xr:uid="{00000000-0005-0000-0000-0000DE0B0000}"/>
    <cellStyle name="Comma 6 3" xfId="782" xr:uid="{00000000-0005-0000-0000-00000E030000}"/>
    <cellStyle name="Comma 6 3 2" xfId="2234" xr:uid="{00000000-0005-0000-0000-0000BA080000}"/>
    <cellStyle name="Comma 6 3 2 2" xfId="5090" xr:uid="{00000000-0005-0000-0000-0000E2130000}"/>
    <cellStyle name="Comma 6 3 3" xfId="3672" xr:uid="{00000000-0005-0000-0000-0000580E0000}"/>
    <cellStyle name="Comma 6 4" xfId="1586" xr:uid="{00000000-0005-0000-0000-000032060000}"/>
    <cellStyle name="Comma 6 4 2" xfId="4446" xr:uid="{00000000-0005-0000-0000-00005E110000}"/>
    <cellStyle name="Comma 6 5" xfId="3031" xr:uid="{00000000-0005-0000-0000-0000D70B0000}"/>
    <cellStyle name="Comma 60" xfId="304" xr:uid="{00000000-0005-0000-0000-000030010000}"/>
    <cellStyle name="Comma 60 2" xfId="1025" xr:uid="{00000000-0005-0000-0000-000001040000}"/>
    <cellStyle name="Comma 60 2 2" xfId="2473" xr:uid="{00000000-0005-0000-0000-0000A9090000}"/>
    <cellStyle name="Comma 60 2 2 2" xfId="5329" xr:uid="{00000000-0005-0000-0000-0000D1140000}"/>
    <cellStyle name="Comma 60 2 3" xfId="3911" xr:uid="{00000000-0005-0000-0000-0000470F0000}"/>
    <cellStyle name="Comma 60 3" xfId="1827" xr:uid="{00000000-0005-0000-0000-000023070000}"/>
    <cellStyle name="Comma 60 3 2" xfId="4687" xr:uid="{00000000-0005-0000-0000-00004F120000}"/>
    <cellStyle name="Comma 60 4" xfId="3271" xr:uid="{00000000-0005-0000-0000-0000C70C0000}"/>
    <cellStyle name="Comma 61" xfId="311" xr:uid="{00000000-0005-0000-0000-000037010000}"/>
    <cellStyle name="Comma 61 2" xfId="1032" xr:uid="{00000000-0005-0000-0000-000008040000}"/>
    <cellStyle name="Comma 61 2 2" xfId="2480" xr:uid="{00000000-0005-0000-0000-0000B0090000}"/>
    <cellStyle name="Comma 61 2 2 2" xfId="5336" xr:uid="{00000000-0005-0000-0000-0000D8140000}"/>
    <cellStyle name="Comma 61 2 3" xfId="3918" xr:uid="{00000000-0005-0000-0000-00004E0F0000}"/>
    <cellStyle name="Comma 61 3" xfId="1834" xr:uid="{00000000-0005-0000-0000-00002A070000}"/>
    <cellStyle name="Comma 61 3 2" xfId="4694" xr:uid="{00000000-0005-0000-0000-000056120000}"/>
    <cellStyle name="Comma 61 4" xfId="3278" xr:uid="{00000000-0005-0000-0000-0000CE0C0000}"/>
    <cellStyle name="Comma 62" xfId="313" xr:uid="{00000000-0005-0000-0000-000039010000}"/>
    <cellStyle name="Comma 62 2" xfId="1034" xr:uid="{00000000-0005-0000-0000-00000A040000}"/>
    <cellStyle name="Comma 62 2 2" xfId="2482" xr:uid="{00000000-0005-0000-0000-0000B2090000}"/>
    <cellStyle name="Comma 62 2 2 2" xfId="5338" xr:uid="{00000000-0005-0000-0000-0000DA140000}"/>
    <cellStyle name="Comma 62 2 3" xfId="3920" xr:uid="{00000000-0005-0000-0000-0000500F0000}"/>
    <cellStyle name="Comma 62 3" xfId="1836" xr:uid="{00000000-0005-0000-0000-00002C070000}"/>
    <cellStyle name="Comma 62 3 2" xfId="4696" xr:uid="{00000000-0005-0000-0000-000058120000}"/>
    <cellStyle name="Comma 62 4" xfId="3280" xr:uid="{00000000-0005-0000-0000-0000D00C0000}"/>
    <cellStyle name="Comma 63" xfId="317" xr:uid="{00000000-0005-0000-0000-00003D010000}"/>
    <cellStyle name="Comma 63 2" xfId="1038" xr:uid="{00000000-0005-0000-0000-00000E040000}"/>
    <cellStyle name="Comma 63 2 2" xfId="2486" xr:uid="{00000000-0005-0000-0000-0000B6090000}"/>
    <cellStyle name="Comma 63 2 2 2" xfId="5342" xr:uid="{00000000-0005-0000-0000-0000DE140000}"/>
    <cellStyle name="Comma 63 2 3" xfId="3924" xr:uid="{00000000-0005-0000-0000-0000540F0000}"/>
    <cellStyle name="Comma 63 3" xfId="1840" xr:uid="{00000000-0005-0000-0000-000030070000}"/>
    <cellStyle name="Comma 63 3 2" xfId="4700" xr:uid="{00000000-0005-0000-0000-00005C120000}"/>
    <cellStyle name="Comma 63 4" xfId="3284" xr:uid="{00000000-0005-0000-0000-0000D40C0000}"/>
    <cellStyle name="Comma 64" xfId="327" xr:uid="{00000000-0005-0000-0000-000047010000}"/>
    <cellStyle name="Comma 64 2" xfId="1048" xr:uid="{00000000-0005-0000-0000-000018040000}"/>
    <cellStyle name="Comma 64 2 2" xfId="2496" xr:uid="{00000000-0005-0000-0000-0000C0090000}"/>
    <cellStyle name="Comma 64 2 2 2" xfId="5352" xr:uid="{00000000-0005-0000-0000-0000E8140000}"/>
    <cellStyle name="Comma 64 2 3" xfId="3934" xr:uid="{00000000-0005-0000-0000-00005E0F0000}"/>
    <cellStyle name="Comma 64 3" xfId="1850" xr:uid="{00000000-0005-0000-0000-00003A070000}"/>
    <cellStyle name="Comma 64 3 2" xfId="4710" xr:uid="{00000000-0005-0000-0000-000066120000}"/>
    <cellStyle name="Comma 64 4" xfId="3294" xr:uid="{00000000-0005-0000-0000-0000DE0C0000}"/>
    <cellStyle name="Comma 65" xfId="331" xr:uid="{00000000-0005-0000-0000-00004B010000}"/>
    <cellStyle name="Comma 65 2" xfId="1052" xr:uid="{00000000-0005-0000-0000-00001C040000}"/>
    <cellStyle name="Comma 65 2 2" xfId="2500" xr:uid="{00000000-0005-0000-0000-0000C4090000}"/>
    <cellStyle name="Comma 65 2 2 2" xfId="5356" xr:uid="{00000000-0005-0000-0000-0000EC140000}"/>
    <cellStyle name="Comma 65 2 3" xfId="3938" xr:uid="{00000000-0005-0000-0000-0000620F0000}"/>
    <cellStyle name="Comma 65 3" xfId="1854" xr:uid="{00000000-0005-0000-0000-00003E070000}"/>
    <cellStyle name="Comma 65 3 2" xfId="4714" xr:uid="{00000000-0005-0000-0000-00006A120000}"/>
    <cellStyle name="Comma 65 4" xfId="3298" xr:uid="{00000000-0005-0000-0000-0000E20C0000}"/>
    <cellStyle name="Comma 66" xfId="334" xr:uid="{00000000-0005-0000-0000-00004E010000}"/>
    <cellStyle name="Comma 66 2" xfId="1055" xr:uid="{00000000-0005-0000-0000-00001F040000}"/>
    <cellStyle name="Comma 66 2 2" xfId="2503" xr:uid="{00000000-0005-0000-0000-0000C7090000}"/>
    <cellStyle name="Comma 66 2 2 2" xfId="5359" xr:uid="{00000000-0005-0000-0000-0000EF140000}"/>
    <cellStyle name="Comma 66 2 3" xfId="3941" xr:uid="{00000000-0005-0000-0000-0000650F0000}"/>
    <cellStyle name="Comma 66 3" xfId="1857" xr:uid="{00000000-0005-0000-0000-000041070000}"/>
    <cellStyle name="Comma 66 3 2" xfId="4717" xr:uid="{00000000-0005-0000-0000-00006D120000}"/>
    <cellStyle name="Comma 66 4" xfId="3301" xr:uid="{00000000-0005-0000-0000-0000E50C0000}"/>
    <cellStyle name="Comma 67" xfId="343" xr:uid="{00000000-0005-0000-0000-000057010000}"/>
    <cellStyle name="Comma 67 2" xfId="1064" xr:uid="{00000000-0005-0000-0000-000028040000}"/>
    <cellStyle name="Comma 67 2 2" xfId="2512" xr:uid="{00000000-0005-0000-0000-0000D0090000}"/>
    <cellStyle name="Comma 67 2 2 2" xfId="5368" xr:uid="{00000000-0005-0000-0000-0000F8140000}"/>
    <cellStyle name="Comma 67 2 3" xfId="3950" xr:uid="{00000000-0005-0000-0000-00006E0F0000}"/>
    <cellStyle name="Comma 67 3" xfId="1866" xr:uid="{00000000-0005-0000-0000-00004A070000}"/>
    <cellStyle name="Comma 67 3 2" xfId="4726" xr:uid="{00000000-0005-0000-0000-000076120000}"/>
    <cellStyle name="Comma 67 4" xfId="3310" xr:uid="{00000000-0005-0000-0000-0000EE0C0000}"/>
    <cellStyle name="Comma 68" xfId="346" xr:uid="{00000000-0005-0000-0000-00005A010000}"/>
    <cellStyle name="Comma 68 2" xfId="1067" xr:uid="{00000000-0005-0000-0000-00002B040000}"/>
    <cellStyle name="Comma 68 2 2" xfId="2515" xr:uid="{00000000-0005-0000-0000-0000D3090000}"/>
    <cellStyle name="Comma 68 2 2 2" xfId="5371" xr:uid="{00000000-0005-0000-0000-0000FB140000}"/>
    <cellStyle name="Comma 68 2 3" xfId="3953" xr:uid="{00000000-0005-0000-0000-0000710F0000}"/>
    <cellStyle name="Comma 68 3" xfId="1869" xr:uid="{00000000-0005-0000-0000-00004D070000}"/>
    <cellStyle name="Comma 68 3 2" xfId="4729" xr:uid="{00000000-0005-0000-0000-000079120000}"/>
    <cellStyle name="Comma 68 4" xfId="3313" xr:uid="{00000000-0005-0000-0000-0000F10C0000}"/>
    <cellStyle name="Comma 69" xfId="355" xr:uid="{00000000-0005-0000-0000-000063010000}"/>
    <cellStyle name="Comma 69 2" xfId="1076" xr:uid="{00000000-0005-0000-0000-000034040000}"/>
    <cellStyle name="Comma 69 2 2" xfId="2524" xr:uid="{00000000-0005-0000-0000-0000DC090000}"/>
    <cellStyle name="Comma 69 2 2 2" xfId="5380" xr:uid="{00000000-0005-0000-0000-000004150000}"/>
    <cellStyle name="Comma 69 2 3" xfId="3962" xr:uid="{00000000-0005-0000-0000-00007A0F0000}"/>
    <cellStyle name="Comma 69 3" xfId="1878" xr:uid="{00000000-0005-0000-0000-000056070000}"/>
    <cellStyle name="Comma 69 3 2" xfId="4738" xr:uid="{00000000-0005-0000-0000-000082120000}"/>
    <cellStyle name="Comma 69 4" xfId="3322" xr:uid="{00000000-0005-0000-0000-0000FA0C0000}"/>
    <cellStyle name="Comma 7" xfId="52" xr:uid="{00000000-0005-0000-0000-000034000000}"/>
    <cellStyle name="Comma 7 2" xfId="784" xr:uid="{00000000-0005-0000-0000-000010030000}"/>
    <cellStyle name="Comma 7 2 2" xfId="2236" xr:uid="{00000000-0005-0000-0000-0000BC080000}"/>
    <cellStyle name="Comma 7 2 2 2" xfId="5092" xr:uid="{00000000-0005-0000-0000-0000E4130000}"/>
    <cellStyle name="Comma 7 2 3" xfId="3674" xr:uid="{00000000-0005-0000-0000-00005A0E0000}"/>
    <cellStyle name="Comma 7 3" xfId="1588" xr:uid="{00000000-0005-0000-0000-000034060000}"/>
    <cellStyle name="Comma 7 3 2" xfId="4448" xr:uid="{00000000-0005-0000-0000-000060110000}"/>
    <cellStyle name="Comma 7 4" xfId="3033" xr:uid="{00000000-0005-0000-0000-0000D90B0000}"/>
    <cellStyle name="Comma 70" xfId="359" xr:uid="{00000000-0005-0000-0000-000067010000}"/>
    <cellStyle name="Comma 70 2" xfId="1080" xr:uid="{00000000-0005-0000-0000-000038040000}"/>
    <cellStyle name="Comma 70 2 2" xfId="2528" xr:uid="{00000000-0005-0000-0000-0000E0090000}"/>
    <cellStyle name="Comma 70 2 2 2" xfId="5384" xr:uid="{00000000-0005-0000-0000-000008150000}"/>
    <cellStyle name="Comma 70 2 3" xfId="3966" xr:uid="{00000000-0005-0000-0000-00007E0F0000}"/>
    <cellStyle name="Comma 70 3" xfId="1882" xr:uid="{00000000-0005-0000-0000-00005A070000}"/>
    <cellStyle name="Comma 70 3 2" xfId="4742" xr:uid="{00000000-0005-0000-0000-000086120000}"/>
    <cellStyle name="Comma 70 4" xfId="3326" xr:uid="{00000000-0005-0000-0000-0000FE0C0000}"/>
    <cellStyle name="Comma 71" xfId="363" xr:uid="{00000000-0005-0000-0000-00006B010000}"/>
    <cellStyle name="Comma 71 2" xfId="1084" xr:uid="{00000000-0005-0000-0000-00003C040000}"/>
    <cellStyle name="Comma 71 2 2" xfId="2532" xr:uid="{00000000-0005-0000-0000-0000E4090000}"/>
    <cellStyle name="Comma 71 2 2 2" xfId="5388" xr:uid="{00000000-0005-0000-0000-00000C150000}"/>
    <cellStyle name="Comma 71 2 3" xfId="3970" xr:uid="{00000000-0005-0000-0000-0000820F0000}"/>
    <cellStyle name="Comma 71 3" xfId="1886" xr:uid="{00000000-0005-0000-0000-00005E070000}"/>
    <cellStyle name="Comma 71 3 2" xfId="4746" xr:uid="{00000000-0005-0000-0000-00008A120000}"/>
    <cellStyle name="Comma 71 4" xfId="3330" xr:uid="{00000000-0005-0000-0000-0000020D0000}"/>
    <cellStyle name="Comma 72" xfId="371" xr:uid="{00000000-0005-0000-0000-000073010000}"/>
    <cellStyle name="Comma 72 2" xfId="1092" xr:uid="{00000000-0005-0000-0000-000044040000}"/>
    <cellStyle name="Comma 72 2 2" xfId="2540" xr:uid="{00000000-0005-0000-0000-0000EC090000}"/>
    <cellStyle name="Comma 72 2 2 2" xfId="5396" xr:uid="{00000000-0005-0000-0000-000014150000}"/>
    <cellStyle name="Comma 72 2 3" xfId="3978" xr:uid="{00000000-0005-0000-0000-00008A0F0000}"/>
    <cellStyle name="Comma 72 3" xfId="1894" xr:uid="{00000000-0005-0000-0000-000066070000}"/>
    <cellStyle name="Comma 72 3 2" xfId="4754" xr:uid="{00000000-0005-0000-0000-000092120000}"/>
    <cellStyle name="Comma 72 4" xfId="3338" xr:uid="{00000000-0005-0000-0000-00000A0D0000}"/>
    <cellStyle name="Comma 73" xfId="375" xr:uid="{00000000-0005-0000-0000-000077010000}"/>
    <cellStyle name="Comma 73 2" xfId="1096" xr:uid="{00000000-0005-0000-0000-000048040000}"/>
    <cellStyle name="Comma 73 2 2" xfId="2544" xr:uid="{00000000-0005-0000-0000-0000F0090000}"/>
    <cellStyle name="Comma 73 2 2 2" xfId="5400" xr:uid="{00000000-0005-0000-0000-000018150000}"/>
    <cellStyle name="Comma 73 2 3" xfId="3982" xr:uid="{00000000-0005-0000-0000-00008E0F0000}"/>
    <cellStyle name="Comma 73 3" xfId="1898" xr:uid="{00000000-0005-0000-0000-00006A070000}"/>
    <cellStyle name="Comma 73 3 2" xfId="4758" xr:uid="{00000000-0005-0000-0000-000096120000}"/>
    <cellStyle name="Comma 73 4" xfId="3342" xr:uid="{00000000-0005-0000-0000-00000E0D0000}"/>
    <cellStyle name="Comma 74" xfId="383" xr:uid="{00000000-0005-0000-0000-00007F010000}"/>
    <cellStyle name="Comma 74 2" xfId="1104" xr:uid="{00000000-0005-0000-0000-000050040000}"/>
    <cellStyle name="Comma 74 2 2" xfId="2552" xr:uid="{00000000-0005-0000-0000-0000F8090000}"/>
    <cellStyle name="Comma 74 2 2 2" xfId="5408" xr:uid="{00000000-0005-0000-0000-000020150000}"/>
    <cellStyle name="Comma 74 2 3" xfId="3990" xr:uid="{00000000-0005-0000-0000-0000960F0000}"/>
    <cellStyle name="Comma 74 3" xfId="1906" xr:uid="{00000000-0005-0000-0000-000072070000}"/>
    <cellStyle name="Comma 74 3 2" xfId="4766" xr:uid="{00000000-0005-0000-0000-00009E120000}"/>
    <cellStyle name="Comma 74 4" xfId="3350" xr:uid="{00000000-0005-0000-0000-0000160D0000}"/>
    <cellStyle name="Comma 75" xfId="391" xr:uid="{00000000-0005-0000-0000-000087010000}"/>
    <cellStyle name="Comma 75 2" xfId="1112" xr:uid="{00000000-0005-0000-0000-000058040000}"/>
    <cellStyle name="Comma 75 2 2" xfId="2560" xr:uid="{00000000-0005-0000-0000-0000000A0000}"/>
    <cellStyle name="Comma 75 2 2 2" xfId="5416" xr:uid="{00000000-0005-0000-0000-000028150000}"/>
    <cellStyle name="Comma 75 2 3" xfId="3998" xr:uid="{00000000-0005-0000-0000-00009E0F0000}"/>
    <cellStyle name="Comma 75 3" xfId="1914" xr:uid="{00000000-0005-0000-0000-00007A070000}"/>
    <cellStyle name="Comma 75 3 2" xfId="4774" xr:uid="{00000000-0005-0000-0000-0000A6120000}"/>
    <cellStyle name="Comma 75 4" xfId="3358" xr:uid="{00000000-0005-0000-0000-00001E0D0000}"/>
    <cellStyle name="Comma 76" xfId="394" xr:uid="{00000000-0005-0000-0000-00008A010000}"/>
    <cellStyle name="Comma 76 2" xfId="1115" xr:uid="{00000000-0005-0000-0000-00005B040000}"/>
    <cellStyle name="Comma 76 2 2" xfId="2563" xr:uid="{00000000-0005-0000-0000-0000030A0000}"/>
    <cellStyle name="Comma 76 2 2 2" xfId="5419" xr:uid="{00000000-0005-0000-0000-00002B150000}"/>
    <cellStyle name="Comma 76 2 3" xfId="4001" xr:uid="{00000000-0005-0000-0000-0000A10F0000}"/>
    <cellStyle name="Comma 76 3" xfId="1917" xr:uid="{00000000-0005-0000-0000-00007D070000}"/>
    <cellStyle name="Comma 76 3 2" xfId="4777" xr:uid="{00000000-0005-0000-0000-0000A9120000}"/>
    <cellStyle name="Comma 76 4" xfId="3361" xr:uid="{00000000-0005-0000-0000-0000210D0000}"/>
    <cellStyle name="Comma 77" xfId="399" xr:uid="{00000000-0005-0000-0000-00008F010000}"/>
    <cellStyle name="Comma 77 2" xfId="1120" xr:uid="{00000000-0005-0000-0000-000060040000}"/>
    <cellStyle name="Comma 77 2 2" xfId="2568" xr:uid="{00000000-0005-0000-0000-0000080A0000}"/>
    <cellStyle name="Comma 77 2 2 2" xfId="5424" xr:uid="{00000000-0005-0000-0000-000030150000}"/>
    <cellStyle name="Comma 77 2 3" xfId="4006" xr:uid="{00000000-0005-0000-0000-0000A60F0000}"/>
    <cellStyle name="Comma 77 3" xfId="1922" xr:uid="{00000000-0005-0000-0000-000082070000}"/>
    <cellStyle name="Comma 77 3 2" xfId="4782" xr:uid="{00000000-0005-0000-0000-0000AE120000}"/>
    <cellStyle name="Comma 77 4" xfId="3366" xr:uid="{00000000-0005-0000-0000-0000260D0000}"/>
    <cellStyle name="Comma 78" xfId="401" xr:uid="{00000000-0005-0000-0000-000091010000}"/>
    <cellStyle name="Comma 78 2" xfId="1122" xr:uid="{00000000-0005-0000-0000-000062040000}"/>
    <cellStyle name="Comma 78 2 2" xfId="2570" xr:uid="{00000000-0005-0000-0000-00000A0A0000}"/>
    <cellStyle name="Comma 78 2 2 2" xfId="5426" xr:uid="{00000000-0005-0000-0000-000032150000}"/>
    <cellStyle name="Comma 78 2 3" xfId="4008" xr:uid="{00000000-0005-0000-0000-0000A80F0000}"/>
    <cellStyle name="Comma 78 3" xfId="1924" xr:uid="{00000000-0005-0000-0000-000084070000}"/>
    <cellStyle name="Comma 78 3 2" xfId="4784" xr:uid="{00000000-0005-0000-0000-0000B0120000}"/>
    <cellStyle name="Comma 78 4" xfId="3368" xr:uid="{00000000-0005-0000-0000-0000280D0000}"/>
    <cellStyle name="Comma 79" xfId="410" xr:uid="{00000000-0005-0000-0000-00009A010000}"/>
    <cellStyle name="Comma 79 2" xfId="1131" xr:uid="{00000000-0005-0000-0000-00006B040000}"/>
    <cellStyle name="Comma 79 2 2" xfId="2579" xr:uid="{00000000-0005-0000-0000-0000130A0000}"/>
    <cellStyle name="Comma 79 2 2 2" xfId="5435" xr:uid="{00000000-0005-0000-0000-00003B150000}"/>
    <cellStyle name="Comma 79 2 3" xfId="4017" xr:uid="{00000000-0005-0000-0000-0000B10F0000}"/>
    <cellStyle name="Comma 79 3" xfId="1933" xr:uid="{00000000-0005-0000-0000-00008D070000}"/>
    <cellStyle name="Comma 79 3 2" xfId="4793" xr:uid="{00000000-0005-0000-0000-0000B9120000}"/>
    <cellStyle name="Comma 79 4" xfId="3377" xr:uid="{00000000-0005-0000-0000-0000310D0000}"/>
    <cellStyle name="Comma 8" xfId="55" xr:uid="{00000000-0005-0000-0000-000037000000}"/>
    <cellStyle name="Comma 80" xfId="419" xr:uid="{00000000-0005-0000-0000-0000A3010000}"/>
    <cellStyle name="Comma 80 2" xfId="1140" xr:uid="{00000000-0005-0000-0000-000074040000}"/>
    <cellStyle name="Comma 80 2 2" xfId="2588" xr:uid="{00000000-0005-0000-0000-00001C0A0000}"/>
    <cellStyle name="Comma 80 2 2 2" xfId="5444" xr:uid="{00000000-0005-0000-0000-000044150000}"/>
    <cellStyle name="Comma 80 2 3" xfId="4026" xr:uid="{00000000-0005-0000-0000-0000BA0F0000}"/>
    <cellStyle name="Comma 80 3" xfId="1942" xr:uid="{00000000-0005-0000-0000-000096070000}"/>
    <cellStyle name="Comma 80 3 2" xfId="4802" xr:uid="{00000000-0005-0000-0000-0000C2120000}"/>
    <cellStyle name="Comma 80 4" xfId="3386" xr:uid="{00000000-0005-0000-0000-00003A0D0000}"/>
    <cellStyle name="Comma 81" xfId="422" xr:uid="{00000000-0005-0000-0000-0000A6010000}"/>
    <cellStyle name="Comma 81 2" xfId="1143" xr:uid="{00000000-0005-0000-0000-000077040000}"/>
    <cellStyle name="Comma 81 2 2" xfId="2591" xr:uid="{00000000-0005-0000-0000-00001F0A0000}"/>
    <cellStyle name="Comma 81 2 2 2" xfId="5447" xr:uid="{00000000-0005-0000-0000-000047150000}"/>
    <cellStyle name="Comma 81 2 3" xfId="4029" xr:uid="{00000000-0005-0000-0000-0000BD0F0000}"/>
    <cellStyle name="Comma 81 3" xfId="1945" xr:uid="{00000000-0005-0000-0000-000099070000}"/>
    <cellStyle name="Comma 81 3 2" xfId="4805" xr:uid="{00000000-0005-0000-0000-0000C5120000}"/>
    <cellStyle name="Comma 81 4" xfId="3389" xr:uid="{00000000-0005-0000-0000-00003D0D0000}"/>
    <cellStyle name="Comma 82" xfId="425" xr:uid="{00000000-0005-0000-0000-0000A9010000}"/>
    <cellStyle name="Comma 82 2" xfId="1146" xr:uid="{00000000-0005-0000-0000-00007A040000}"/>
    <cellStyle name="Comma 82 2 2" xfId="2594" xr:uid="{00000000-0005-0000-0000-0000220A0000}"/>
    <cellStyle name="Comma 82 2 2 2" xfId="5450" xr:uid="{00000000-0005-0000-0000-00004A150000}"/>
    <cellStyle name="Comma 82 2 3" xfId="4032" xr:uid="{00000000-0005-0000-0000-0000C00F0000}"/>
    <cellStyle name="Comma 82 3" xfId="1948" xr:uid="{00000000-0005-0000-0000-00009C070000}"/>
    <cellStyle name="Comma 82 3 2" xfId="4808" xr:uid="{00000000-0005-0000-0000-0000C8120000}"/>
    <cellStyle name="Comma 82 4" xfId="3392" xr:uid="{00000000-0005-0000-0000-0000400D0000}"/>
    <cellStyle name="Comma 83" xfId="441" xr:uid="{00000000-0005-0000-0000-0000B9010000}"/>
    <cellStyle name="Comma 83 2" xfId="1162" xr:uid="{00000000-0005-0000-0000-00008A040000}"/>
    <cellStyle name="Comma 83 2 2" xfId="2610" xr:uid="{00000000-0005-0000-0000-0000320A0000}"/>
    <cellStyle name="Comma 83 2 2 2" xfId="5466" xr:uid="{00000000-0005-0000-0000-00005A150000}"/>
    <cellStyle name="Comma 83 2 3" xfId="4048" xr:uid="{00000000-0005-0000-0000-0000D00F0000}"/>
    <cellStyle name="Comma 83 3" xfId="1964" xr:uid="{00000000-0005-0000-0000-0000AC070000}"/>
    <cellStyle name="Comma 83 3 2" xfId="4824" xr:uid="{00000000-0005-0000-0000-0000D8120000}"/>
    <cellStyle name="Comma 83 4" xfId="3408" xr:uid="{00000000-0005-0000-0000-0000500D0000}"/>
    <cellStyle name="Comma 84" xfId="444" xr:uid="{00000000-0005-0000-0000-0000BC010000}"/>
    <cellStyle name="Comma 84 2" xfId="1165" xr:uid="{00000000-0005-0000-0000-00008D040000}"/>
    <cellStyle name="Comma 84 2 2" xfId="2613" xr:uid="{00000000-0005-0000-0000-0000350A0000}"/>
    <cellStyle name="Comma 84 2 2 2" xfId="5469" xr:uid="{00000000-0005-0000-0000-00005D150000}"/>
    <cellStyle name="Comma 84 2 3" xfId="4051" xr:uid="{00000000-0005-0000-0000-0000D30F0000}"/>
    <cellStyle name="Comma 84 3" xfId="1967" xr:uid="{00000000-0005-0000-0000-0000AF070000}"/>
    <cellStyle name="Comma 84 3 2" xfId="4827" xr:uid="{00000000-0005-0000-0000-0000DB120000}"/>
    <cellStyle name="Comma 84 4" xfId="3411" xr:uid="{00000000-0005-0000-0000-0000530D0000}"/>
    <cellStyle name="Comma 85" xfId="447" xr:uid="{00000000-0005-0000-0000-0000BF010000}"/>
    <cellStyle name="Comma 85 2" xfId="1168" xr:uid="{00000000-0005-0000-0000-000090040000}"/>
    <cellStyle name="Comma 85 2 2" xfId="2616" xr:uid="{00000000-0005-0000-0000-0000380A0000}"/>
    <cellStyle name="Comma 85 2 2 2" xfId="5472" xr:uid="{00000000-0005-0000-0000-000060150000}"/>
    <cellStyle name="Comma 85 2 3" xfId="4054" xr:uid="{00000000-0005-0000-0000-0000D60F0000}"/>
    <cellStyle name="Comma 85 3" xfId="1970" xr:uid="{00000000-0005-0000-0000-0000B2070000}"/>
    <cellStyle name="Comma 85 3 2" xfId="4830" xr:uid="{00000000-0005-0000-0000-0000DE120000}"/>
    <cellStyle name="Comma 85 4" xfId="3414" xr:uid="{00000000-0005-0000-0000-0000560D0000}"/>
    <cellStyle name="Comma 86" xfId="461" xr:uid="{00000000-0005-0000-0000-0000CD010000}"/>
    <cellStyle name="Comma 86 2" xfId="1181" xr:uid="{00000000-0005-0000-0000-00009D040000}"/>
    <cellStyle name="Comma 86 2 2" xfId="2629" xr:uid="{00000000-0005-0000-0000-0000450A0000}"/>
    <cellStyle name="Comma 86 2 2 2" xfId="5485" xr:uid="{00000000-0005-0000-0000-00006D150000}"/>
    <cellStyle name="Comma 86 2 3" xfId="4067" xr:uid="{00000000-0005-0000-0000-0000E30F0000}"/>
    <cellStyle name="Comma 86 3" xfId="1984" xr:uid="{00000000-0005-0000-0000-0000C0070000}"/>
    <cellStyle name="Comma 86 3 2" xfId="4844" xr:uid="{00000000-0005-0000-0000-0000EC120000}"/>
    <cellStyle name="Comma 86 4" xfId="3428" xr:uid="{00000000-0005-0000-0000-0000640D0000}"/>
    <cellStyle name="Comma 87" xfId="462" xr:uid="{00000000-0005-0000-0000-0000CE010000}"/>
    <cellStyle name="Comma 87 2" xfId="1182" xr:uid="{00000000-0005-0000-0000-00009E040000}"/>
    <cellStyle name="Comma 87 2 2" xfId="2630" xr:uid="{00000000-0005-0000-0000-0000460A0000}"/>
    <cellStyle name="Comma 87 2 2 2" xfId="5486" xr:uid="{00000000-0005-0000-0000-00006E150000}"/>
    <cellStyle name="Comma 87 2 3" xfId="4068" xr:uid="{00000000-0005-0000-0000-0000E40F0000}"/>
    <cellStyle name="Comma 87 3" xfId="1985" xr:uid="{00000000-0005-0000-0000-0000C1070000}"/>
    <cellStyle name="Comma 87 3 2" xfId="4845" xr:uid="{00000000-0005-0000-0000-0000ED120000}"/>
    <cellStyle name="Comma 87 4" xfId="3429" xr:uid="{00000000-0005-0000-0000-0000650D0000}"/>
    <cellStyle name="Comma 88" xfId="465" xr:uid="{00000000-0005-0000-0000-0000D1010000}"/>
    <cellStyle name="Comma 88 2" xfId="1185" xr:uid="{00000000-0005-0000-0000-0000A1040000}"/>
    <cellStyle name="Comma 88 2 2" xfId="2633" xr:uid="{00000000-0005-0000-0000-0000490A0000}"/>
    <cellStyle name="Comma 88 2 2 2" xfId="5489" xr:uid="{00000000-0005-0000-0000-000071150000}"/>
    <cellStyle name="Comma 88 2 3" xfId="4071" xr:uid="{00000000-0005-0000-0000-0000E70F0000}"/>
    <cellStyle name="Comma 88 3" xfId="1988" xr:uid="{00000000-0005-0000-0000-0000C4070000}"/>
    <cellStyle name="Comma 88 3 2" xfId="4848" xr:uid="{00000000-0005-0000-0000-0000F0120000}"/>
    <cellStyle name="Comma 88 4" xfId="3432" xr:uid="{00000000-0005-0000-0000-0000680D0000}"/>
    <cellStyle name="Comma 89" xfId="474" xr:uid="{00000000-0005-0000-0000-0000DA010000}"/>
    <cellStyle name="Comma 89 2" xfId="1194" xr:uid="{00000000-0005-0000-0000-0000AA040000}"/>
    <cellStyle name="Comma 89 2 2" xfId="2642" xr:uid="{00000000-0005-0000-0000-0000520A0000}"/>
    <cellStyle name="Comma 89 2 2 2" xfId="5498" xr:uid="{00000000-0005-0000-0000-00007A150000}"/>
    <cellStyle name="Comma 89 2 3" xfId="4080" xr:uid="{00000000-0005-0000-0000-0000F00F0000}"/>
    <cellStyle name="Comma 89 3" xfId="1997" xr:uid="{00000000-0005-0000-0000-0000CD070000}"/>
    <cellStyle name="Comma 89 3 2" xfId="4857" xr:uid="{00000000-0005-0000-0000-0000F9120000}"/>
    <cellStyle name="Comma 89 4" xfId="3441" xr:uid="{00000000-0005-0000-0000-0000710D0000}"/>
    <cellStyle name="Comma 9" xfId="59" xr:uid="{00000000-0005-0000-0000-00003B000000}"/>
    <cellStyle name="Comma 9 2" xfId="787" xr:uid="{00000000-0005-0000-0000-000013030000}"/>
    <cellStyle name="Comma 9 2 2" xfId="2238" xr:uid="{00000000-0005-0000-0000-0000BE080000}"/>
    <cellStyle name="Comma 9 2 2 2" xfId="5094" xr:uid="{00000000-0005-0000-0000-0000E6130000}"/>
    <cellStyle name="Comma 9 2 3" xfId="3676" xr:uid="{00000000-0005-0000-0000-00005C0E0000}"/>
    <cellStyle name="Comma 9 3" xfId="1590" xr:uid="{00000000-0005-0000-0000-000036060000}"/>
    <cellStyle name="Comma 9 3 2" xfId="4450" xr:uid="{00000000-0005-0000-0000-000062110000}"/>
    <cellStyle name="Comma 9 4" xfId="3035" xr:uid="{00000000-0005-0000-0000-0000DB0B0000}"/>
    <cellStyle name="Comma 90" xfId="477" xr:uid="{00000000-0005-0000-0000-0000DD010000}"/>
    <cellStyle name="Comma 90 2" xfId="1197" xr:uid="{00000000-0005-0000-0000-0000AD040000}"/>
    <cellStyle name="Comma 90 2 2" xfId="2645" xr:uid="{00000000-0005-0000-0000-0000550A0000}"/>
    <cellStyle name="Comma 90 2 2 2" xfId="5501" xr:uid="{00000000-0005-0000-0000-00007D150000}"/>
    <cellStyle name="Comma 90 2 3" xfId="4083" xr:uid="{00000000-0005-0000-0000-0000F30F0000}"/>
    <cellStyle name="Comma 90 3" xfId="2000" xr:uid="{00000000-0005-0000-0000-0000D0070000}"/>
    <cellStyle name="Comma 90 3 2" xfId="4860" xr:uid="{00000000-0005-0000-0000-0000FC120000}"/>
    <cellStyle name="Comma 90 4" xfId="3444" xr:uid="{00000000-0005-0000-0000-0000740D0000}"/>
    <cellStyle name="Comma 91" xfId="480" xr:uid="{00000000-0005-0000-0000-0000E0010000}"/>
    <cellStyle name="Comma 91 2" xfId="1200" xr:uid="{00000000-0005-0000-0000-0000B0040000}"/>
    <cellStyle name="Comma 91 2 2" xfId="2648" xr:uid="{00000000-0005-0000-0000-0000580A0000}"/>
    <cellStyle name="Comma 91 2 2 2" xfId="5504" xr:uid="{00000000-0005-0000-0000-000080150000}"/>
    <cellStyle name="Comma 91 2 3" xfId="4086" xr:uid="{00000000-0005-0000-0000-0000F60F0000}"/>
    <cellStyle name="Comma 91 3" xfId="2003" xr:uid="{00000000-0005-0000-0000-0000D3070000}"/>
    <cellStyle name="Comma 91 3 2" xfId="4863" xr:uid="{00000000-0005-0000-0000-0000FF120000}"/>
    <cellStyle name="Comma 91 4" xfId="3447" xr:uid="{00000000-0005-0000-0000-0000770D0000}"/>
    <cellStyle name="Comma 92" xfId="491" xr:uid="{00000000-0005-0000-0000-0000EB010000}"/>
    <cellStyle name="Comma 92 2" xfId="1210" xr:uid="{00000000-0005-0000-0000-0000BA040000}"/>
    <cellStyle name="Comma 92 2 2" xfId="2658" xr:uid="{00000000-0005-0000-0000-0000620A0000}"/>
    <cellStyle name="Comma 92 2 2 2" xfId="5514" xr:uid="{00000000-0005-0000-0000-00008A150000}"/>
    <cellStyle name="Comma 92 2 3" xfId="4096" xr:uid="{00000000-0005-0000-0000-000000100000}"/>
    <cellStyle name="Comma 92 3" xfId="2013" xr:uid="{00000000-0005-0000-0000-0000DD070000}"/>
    <cellStyle name="Comma 92 3 2" xfId="4873" xr:uid="{00000000-0005-0000-0000-000009130000}"/>
    <cellStyle name="Comma 92 4" xfId="3457" xr:uid="{00000000-0005-0000-0000-0000810D0000}"/>
    <cellStyle name="Comma 93" xfId="494" xr:uid="{00000000-0005-0000-0000-0000EE010000}"/>
    <cellStyle name="Comma 93 2" xfId="1213" xr:uid="{00000000-0005-0000-0000-0000BD040000}"/>
    <cellStyle name="Comma 93 2 2" xfId="2661" xr:uid="{00000000-0005-0000-0000-0000650A0000}"/>
    <cellStyle name="Comma 93 2 2 2" xfId="5517" xr:uid="{00000000-0005-0000-0000-00008D150000}"/>
    <cellStyle name="Comma 93 2 3" xfId="4099" xr:uid="{00000000-0005-0000-0000-000003100000}"/>
    <cellStyle name="Comma 93 3" xfId="2016" xr:uid="{00000000-0005-0000-0000-0000E0070000}"/>
    <cellStyle name="Comma 93 3 2" xfId="4876" xr:uid="{00000000-0005-0000-0000-00000C130000}"/>
    <cellStyle name="Comma 93 4" xfId="3460" xr:uid="{00000000-0005-0000-0000-0000840D0000}"/>
    <cellStyle name="Comma 94" xfId="505" xr:uid="{00000000-0005-0000-0000-0000F9010000}"/>
    <cellStyle name="Comma 94 2" xfId="1224" xr:uid="{00000000-0005-0000-0000-0000C8040000}"/>
    <cellStyle name="Comma 94 2 2" xfId="2672" xr:uid="{00000000-0005-0000-0000-0000700A0000}"/>
    <cellStyle name="Comma 94 2 2 2" xfId="5528" xr:uid="{00000000-0005-0000-0000-000098150000}"/>
    <cellStyle name="Comma 94 2 3" xfId="4110" xr:uid="{00000000-0005-0000-0000-00000E100000}"/>
    <cellStyle name="Comma 94 3" xfId="2027" xr:uid="{00000000-0005-0000-0000-0000EB070000}"/>
    <cellStyle name="Comma 94 3 2" xfId="4887" xr:uid="{00000000-0005-0000-0000-000017130000}"/>
    <cellStyle name="Comma 94 4" xfId="3471" xr:uid="{00000000-0005-0000-0000-00008F0D0000}"/>
    <cellStyle name="Comma 95" xfId="514" xr:uid="{00000000-0005-0000-0000-000002020000}"/>
    <cellStyle name="Comma 95 2" xfId="1233" xr:uid="{00000000-0005-0000-0000-0000D1040000}"/>
    <cellStyle name="Comma 95 2 2" xfId="2681" xr:uid="{00000000-0005-0000-0000-0000790A0000}"/>
    <cellStyle name="Comma 95 2 2 2" xfId="5537" xr:uid="{00000000-0005-0000-0000-0000A1150000}"/>
    <cellStyle name="Comma 95 2 3" xfId="4119" xr:uid="{00000000-0005-0000-0000-000017100000}"/>
    <cellStyle name="Comma 95 3" xfId="2036" xr:uid="{00000000-0005-0000-0000-0000F4070000}"/>
    <cellStyle name="Comma 95 3 2" xfId="4896" xr:uid="{00000000-0005-0000-0000-000020130000}"/>
    <cellStyle name="Comma 95 4" xfId="3480" xr:uid="{00000000-0005-0000-0000-0000980D0000}"/>
    <cellStyle name="Comma 96" xfId="517" xr:uid="{00000000-0005-0000-0000-000005020000}"/>
    <cellStyle name="Comma 96 2" xfId="1236" xr:uid="{00000000-0005-0000-0000-0000D4040000}"/>
    <cellStyle name="Comma 96 2 2" xfId="2684" xr:uid="{00000000-0005-0000-0000-00007C0A0000}"/>
    <cellStyle name="Comma 96 2 2 2" xfId="5540" xr:uid="{00000000-0005-0000-0000-0000A4150000}"/>
    <cellStyle name="Comma 96 2 3" xfId="4122" xr:uid="{00000000-0005-0000-0000-00001A100000}"/>
    <cellStyle name="Comma 96 3" xfId="2039" xr:uid="{00000000-0005-0000-0000-0000F7070000}"/>
    <cellStyle name="Comma 96 3 2" xfId="4899" xr:uid="{00000000-0005-0000-0000-000023130000}"/>
    <cellStyle name="Comma 96 4" xfId="3483" xr:uid="{00000000-0005-0000-0000-00009B0D0000}"/>
    <cellStyle name="Comma 97" xfId="528" xr:uid="{00000000-0005-0000-0000-000010020000}"/>
    <cellStyle name="Comma 97 2" xfId="538" xr:uid="{00000000-0005-0000-0000-00001A020000}"/>
    <cellStyle name="Comma 97 2 2" xfId="1257" xr:uid="{00000000-0005-0000-0000-0000E9040000}"/>
    <cellStyle name="Comma 97 2 2 2" xfId="2705" xr:uid="{00000000-0005-0000-0000-0000910A0000}"/>
    <cellStyle name="Comma 97 2 2 2 2" xfId="5561" xr:uid="{00000000-0005-0000-0000-0000B9150000}"/>
    <cellStyle name="Comma 97 2 2 3" xfId="4143" xr:uid="{00000000-0005-0000-0000-00002F100000}"/>
    <cellStyle name="Comma 97 2 3" xfId="2060" xr:uid="{00000000-0005-0000-0000-00000C080000}"/>
    <cellStyle name="Comma 97 2 3 2" xfId="4920" xr:uid="{00000000-0005-0000-0000-000038130000}"/>
    <cellStyle name="Comma 97 2 4" xfId="3504" xr:uid="{00000000-0005-0000-0000-0000B00D0000}"/>
    <cellStyle name="Comma 97 3" xfId="1247" xr:uid="{00000000-0005-0000-0000-0000DF040000}"/>
    <cellStyle name="Comma 97 3 2" xfId="2695" xr:uid="{00000000-0005-0000-0000-0000870A0000}"/>
    <cellStyle name="Comma 97 3 2 2" xfId="5551" xr:uid="{00000000-0005-0000-0000-0000AF150000}"/>
    <cellStyle name="Comma 97 3 3" xfId="4133" xr:uid="{00000000-0005-0000-0000-000025100000}"/>
    <cellStyle name="Comma 97 4" xfId="2050" xr:uid="{00000000-0005-0000-0000-000002080000}"/>
    <cellStyle name="Comma 97 4 2" xfId="4910" xr:uid="{00000000-0005-0000-0000-00002E130000}"/>
    <cellStyle name="Comma 97 5" xfId="3494" xr:uid="{00000000-0005-0000-0000-0000A60D0000}"/>
    <cellStyle name="Comma 98" xfId="544" xr:uid="{00000000-0005-0000-0000-000020020000}"/>
    <cellStyle name="Comma 98 2" xfId="1263" xr:uid="{00000000-0005-0000-0000-0000EF040000}"/>
    <cellStyle name="Comma 98 2 2" xfId="2711" xr:uid="{00000000-0005-0000-0000-0000970A0000}"/>
    <cellStyle name="Comma 98 2 2 2" xfId="5567" xr:uid="{00000000-0005-0000-0000-0000BF150000}"/>
    <cellStyle name="Comma 98 2 3" xfId="4149" xr:uid="{00000000-0005-0000-0000-000035100000}"/>
    <cellStyle name="Comma 98 3" xfId="2066" xr:uid="{00000000-0005-0000-0000-000012080000}"/>
    <cellStyle name="Comma 98 3 2" xfId="4926" xr:uid="{00000000-0005-0000-0000-00003E130000}"/>
    <cellStyle name="Comma 98 4" xfId="3510" xr:uid="{00000000-0005-0000-0000-0000B60D0000}"/>
    <cellStyle name="Comma 99" xfId="555" xr:uid="{00000000-0005-0000-0000-00002B020000}"/>
    <cellStyle name="Comma 99 2" xfId="1274" xr:uid="{00000000-0005-0000-0000-0000FA040000}"/>
    <cellStyle name="Comma 99 2 2" xfId="2722" xr:uid="{00000000-0005-0000-0000-0000A20A0000}"/>
    <cellStyle name="Comma 99 2 2 2" xfId="5578" xr:uid="{00000000-0005-0000-0000-0000CA150000}"/>
    <cellStyle name="Comma 99 2 3" xfId="4160" xr:uid="{00000000-0005-0000-0000-000040100000}"/>
    <cellStyle name="Comma 99 3" xfId="2077" xr:uid="{00000000-0005-0000-0000-00001D080000}"/>
    <cellStyle name="Comma 99 3 2" xfId="4937" xr:uid="{00000000-0005-0000-0000-000049130000}"/>
    <cellStyle name="Comma 99 4" xfId="3521" xr:uid="{00000000-0005-0000-0000-0000C10D0000}"/>
    <cellStyle name="Emart" xfId="7" xr:uid="{00000000-0005-0000-0000-000007000000}"/>
    <cellStyle name="Emart 10" xfId="1573" xr:uid="{00000000-0005-0000-0000-000025060000}"/>
    <cellStyle name="Emart 10 2" xfId="4433" xr:uid="{00000000-0005-0000-0000-000051110000}"/>
    <cellStyle name="Emart 10 3" xfId="5868" xr:uid="{00000000-0005-0000-0000-0000EC160000}"/>
    <cellStyle name="Emart 11" xfId="3018" xr:uid="{00000000-0005-0000-0000-0000CA0B0000}"/>
    <cellStyle name="Emart 12" xfId="3662" xr:uid="{00000000-0005-0000-0000-00004E0E0000}"/>
    <cellStyle name="Emart 13" xfId="5990" xr:uid="{00000000-0005-0000-0000-000066170000}"/>
    <cellStyle name="Emart 14" xfId="6006" xr:uid="{00000000-0005-0000-0000-000076170000}"/>
    <cellStyle name="Emart 15" xfId="6008" xr:uid="{00000000-0005-0000-0000-000078170000}"/>
    <cellStyle name="Emart 2" xfId="182" xr:uid="{00000000-0005-0000-0000-0000B6000000}"/>
    <cellStyle name="Emart 2 2" xfId="662" xr:uid="{00000000-0005-0000-0000-000096020000}"/>
    <cellStyle name="Emart 2 2 2" xfId="1363" xr:uid="{00000000-0005-0000-0000-000053050000}"/>
    <cellStyle name="Emart 2 2 2 2" xfId="2811" xr:uid="{00000000-0005-0000-0000-0000FB0A0000}"/>
    <cellStyle name="Emart 2 2 2 2 2" xfId="5667" xr:uid="{00000000-0005-0000-0000-000023160000}"/>
    <cellStyle name="Emart 2 2 2 2 3" xfId="5882" xr:uid="{00000000-0005-0000-0000-0000FA160000}"/>
    <cellStyle name="Emart 2 2 2 3" xfId="2998" xr:uid="{00000000-0005-0000-0000-0000B60B0000}"/>
    <cellStyle name="Emart 2 2 2 3 2" xfId="5851" xr:uid="{00000000-0005-0000-0000-0000DB160000}"/>
    <cellStyle name="Emart 2 2 2 3 3" xfId="5899" xr:uid="{00000000-0005-0000-0000-00000B170000}"/>
    <cellStyle name="Emart 2 2 2 4" xfId="4249" xr:uid="{00000000-0005-0000-0000-000099100000}"/>
    <cellStyle name="Emart 2 2 2 5" xfId="5863" xr:uid="{00000000-0005-0000-0000-0000E7160000}"/>
    <cellStyle name="Emart 2 2 3" xfId="2167" xr:uid="{00000000-0005-0000-0000-000077080000}"/>
    <cellStyle name="Emart 2 2 3 2" xfId="5027" xr:uid="{00000000-0005-0000-0000-0000A3130000}"/>
    <cellStyle name="Emart 2 2 3 3" xfId="5874" xr:uid="{00000000-0005-0000-0000-0000F2160000}"/>
    <cellStyle name="Emart 2 2 4" xfId="3611" xr:uid="{00000000-0005-0000-0000-00001B0E0000}"/>
    <cellStyle name="Emart 2 2 5" xfId="5857" xr:uid="{00000000-0005-0000-0000-0000E1160000}"/>
    <cellStyle name="Emart 2 3" xfId="904" xr:uid="{00000000-0005-0000-0000-000088030000}"/>
    <cellStyle name="Emart 2 3 2" xfId="2352" xr:uid="{00000000-0005-0000-0000-000030090000}"/>
    <cellStyle name="Emart 2 3 2 2" xfId="5208" xr:uid="{00000000-0005-0000-0000-000058140000}"/>
    <cellStyle name="Emart 2 3 2 3" xfId="5881" xr:uid="{00000000-0005-0000-0000-0000F9160000}"/>
    <cellStyle name="Emart 2 3 3" xfId="2997" xr:uid="{00000000-0005-0000-0000-0000B50B0000}"/>
    <cellStyle name="Emart 2 3 3 2" xfId="5850" xr:uid="{00000000-0005-0000-0000-0000DA160000}"/>
    <cellStyle name="Emart 2 3 3 3" xfId="5898" xr:uid="{00000000-0005-0000-0000-00000A170000}"/>
    <cellStyle name="Emart 2 3 4" xfId="3790" xr:uid="{00000000-0005-0000-0000-0000CE0E0000}"/>
    <cellStyle name="Emart 2 3 5" xfId="5862" xr:uid="{00000000-0005-0000-0000-0000E6160000}"/>
    <cellStyle name="Emart 2 4" xfId="1705" xr:uid="{00000000-0005-0000-0000-0000A9060000}"/>
    <cellStyle name="Emart 2 4 2" xfId="4565" xr:uid="{00000000-0005-0000-0000-0000D5110000}"/>
    <cellStyle name="Emart 2 4 3" xfId="5870" xr:uid="{00000000-0005-0000-0000-0000EE160000}"/>
    <cellStyle name="Emart 2 5" xfId="3149" xr:uid="{00000000-0005-0000-0000-00004D0C0000}"/>
    <cellStyle name="Emart 3" xfId="294" xr:uid="{00000000-0005-0000-0000-000026010000}"/>
    <cellStyle name="Emart 3 2" xfId="451" xr:uid="{00000000-0005-0000-0000-0000C3010000}"/>
    <cellStyle name="Emart 3 2 2" xfId="618" xr:uid="{00000000-0005-0000-0000-00006A020000}"/>
    <cellStyle name="Emart 3 2 2 2" xfId="705" xr:uid="{00000000-0005-0000-0000-0000C1020000}"/>
    <cellStyle name="Emart 3 2 2 2 2" xfId="1493" xr:uid="{00000000-0005-0000-0000-0000D5050000}"/>
    <cellStyle name="Emart 3 2 2 2 2 2" xfId="2921" xr:uid="{00000000-0005-0000-0000-0000690B0000}"/>
    <cellStyle name="Emart 3 2 2 2 2 2 2" xfId="5885" xr:uid="{00000000-0005-0000-0000-0000FD160000}"/>
    <cellStyle name="Emart 3 2 2 2 2 3" xfId="1601" xr:uid="{00000000-0005-0000-0000-000041060000}"/>
    <cellStyle name="Emart 3 2 2 2 2 3 2" xfId="4461" xr:uid="{00000000-0005-0000-0000-00006D110000}"/>
    <cellStyle name="Emart 3 2 2 2 2 3 3" xfId="5869" xr:uid="{00000000-0005-0000-0000-0000ED160000}"/>
    <cellStyle name="Emart 3 2 2 2 2 4" xfId="5867" xr:uid="{00000000-0005-0000-0000-0000EB160000}"/>
    <cellStyle name="Emart 3 2 2 2 3" xfId="2193" xr:uid="{00000000-0005-0000-0000-000091080000}"/>
    <cellStyle name="Emart 3 2 2 2 3 2" xfId="5878" xr:uid="{00000000-0005-0000-0000-0000F6160000}"/>
    <cellStyle name="Emart 3 2 2 2 4" xfId="3003" xr:uid="{00000000-0005-0000-0000-0000BB0B0000}"/>
    <cellStyle name="Emart 3 2 2 2 4 2" xfId="5856" xr:uid="{00000000-0005-0000-0000-0000E0160000}"/>
    <cellStyle name="Emart 3 2 2 2 4 3" xfId="5904" xr:uid="{00000000-0005-0000-0000-000010170000}"/>
    <cellStyle name="Emart 3 2 2 2 5" xfId="5859" xr:uid="{00000000-0005-0000-0000-0000E3160000}"/>
    <cellStyle name="Emart 3 2 2 3" xfId="2139" xr:uid="{00000000-0005-0000-0000-00005B080000}"/>
    <cellStyle name="Emart 3 2 2 3 2" xfId="4999" xr:uid="{00000000-0005-0000-0000-000087130000}"/>
    <cellStyle name="Emart 3 2 2 3 3" xfId="5873" xr:uid="{00000000-0005-0000-0000-0000F1160000}"/>
    <cellStyle name="Emart 3 2 2 4" xfId="2989" xr:uid="{00000000-0005-0000-0000-0000AD0B0000}"/>
    <cellStyle name="Emart 3 2 2 4 2" xfId="5842" xr:uid="{00000000-0005-0000-0000-0000D2160000}"/>
    <cellStyle name="Emart 3 2 2 4 3" xfId="5890" xr:uid="{00000000-0005-0000-0000-000002170000}"/>
    <cellStyle name="Emart 3 2 2 5" xfId="2999" xr:uid="{00000000-0005-0000-0000-0000B70B0000}"/>
    <cellStyle name="Emart 3 2 2 5 2" xfId="5852" xr:uid="{00000000-0005-0000-0000-0000DC160000}"/>
    <cellStyle name="Emart 3 2 2 5 3" xfId="5900" xr:uid="{00000000-0005-0000-0000-00000C170000}"/>
    <cellStyle name="Emart 3 2 2 6" xfId="3583" xr:uid="{00000000-0005-0000-0000-0000FF0D0000}"/>
    <cellStyle name="Emart 3 2 3" xfId="1974" xr:uid="{00000000-0005-0000-0000-0000B6070000}"/>
    <cellStyle name="Emart 3 2 3 2" xfId="4834" xr:uid="{00000000-0005-0000-0000-0000E2120000}"/>
    <cellStyle name="Emart 3 2 3 3" xfId="5872" xr:uid="{00000000-0005-0000-0000-0000F0160000}"/>
    <cellStyle name="Emart 3 2 4" xfId="2987" xr:uid="{00000000-0005-0000-0000-0000AB0B0000}"/>
    <cellStyle name="Emart 3 2 4 2" xfId="5840" xr:uid="{00000000-0005-0000-0000-0000D0160000}"/>
    <cellStyle name="Emart 3 2 4 3" xfId="5888" xr:uid="{00000000-0005-0000-0000-000000170000}"/>
    <cellStyle name="Emart 3 2 5" xfId="2986" xr:uid="{00000000-0005-0000-0000-0000AA0B0000}"/>
    <cellStyle name="Emart 3 2 5 2" xfId="5839" xr:uid="{00000000-0005-0000-0000-0000CF160000}"/>
    <cellStyle name="Emart 3 2 5 3" xfId="5887" xr:uid="{00000000-0005-0000-0000-0000FF160000}"/>
    <cellStyle name="Emart 3 2 6" xfId="3418" xr:uid="{00000000-0005-0000-0000-00005A0D0000}"/>
    <cellStyle name="Emart 3 3" xfId="1817" xr:uid="{00000000-0005-0000-0000-000019070000}"/>
    <cellStyle name="Emart 3 3 2" xfId="4677" xr:uid="{00000000-0005-0000-0000-000045120000}"/>
    <cellStyle name="Emart 3 3 3" xfId="5871" xr:uid="{00000000-0005-0000-0000-0000EF160000}"/>
    <cellStyle name="Emart 3 4" xfId="2985" xr:uid="{00000000-0005-0000-0000-0000A90B0000}"/>
    <cellStyle name="Emart 3 4 2" xfId="5838" xr:uid="{00000000-0005-0000-0000-0000CE160000}"/>
    <cellStyle name="Emart 3 4 3" xfId="5886" xr:uid="{00000000-0005-0000-0000-0000FE160000}"/>
    <cellStyle name="Emart 3 5" xfId="2988" xr:uid="{00000000-0005-0000-0000-0000AC0B0000}"/>
    <cellStyle name="Emart 3 5 2" xfId="5841" xr:uid="{00000000-0005-0000-0000-0000D1160000}"/>
    <cellStyle name="Emart 3 5 3" xfId="5889" xr:uid="{00000000-0005-0000-0000-000001170000}"/>
    <cellStyle name="Emart 3 6" xfId="3261" xr:uid="{00000000-0005-0000-0000-0000BD0C0000}"/>
    <cellStyle name="Emart 4" xfId="665" xr:uid="{00000000-0005-0000-0000-000099020000}"/>
    <cellStyle name="Emart 4 2" xfId="1366" xr:uid="{00000000-0005-0000-0000-000056050000}"/>
    <cellStyle name="Emart 4 2 2" xfId="2814" xr:uid="{00000000-0005-0000-0000-0000FE0A0000}"/>
    <cellStyle name="Emart 4 2 2 2" xfId="5883" xr:uid="{00000000-0005-0000-0000-0000FB160000}"/>
    <cellStyle name="Emart 4 2 3" xfId="3002" xr:uid="{00000000-0005-0000-0000-0000BA0B0000}"/>
    <cellStyle name="Emart 4 2 3 2" xfId="5855" xr:uid="{00000000-0005-0000-0000-0000DF160000}"/>
    <cellStyle name="Emart 4 2 3 3" xfId="5903" xr:uid="{00000000-0005-0000-0000-00000F170000}"/>
    <cellStyle name="Emart 4 2 4" xfId="5864" xr:uid="{00000000-0005-0000-0000-0000E8160000}"/>
    <cellStyle name="Emart 4 3" xfId="2170" xr:uid="{00000000-0005-0000-0000-00007A080000}"/>
    <cellStyle name="Emart 4 3 2" xfId="5030" xr:uid="{00000000-0005-0000-0000-0000A6130000}"/>
    <cellStyle name="Emart 4 3 3" xfId="5875" xr:uid="{00000000-0005-0000-0000-0000F3160000}"/>
    <cellStyle name="Emart 4 4" xfId="2990" xr:uid="{00000000-0005-0000-0000-0000AE0B0000}"/>
    <cellStyle name="Emart 4 4 2" xfId="5843" xr:uid="{00000000-0005-0000-0000-0000D3160000}"/>
    <cellStyle name="Emart 4 4 3" xfId="5891" xr:uid="{00000000-0005-0000-0000-000003170000}"/>
    <cellStyle name="Emart 4 5" xfId="2993" xr:uid="{00000000-0005-0000-0000-0000B10B0000}"/>
    <cellStyle name="Emart 4 5 2" xfId="5846" xr:uid="{00000000-0005-0000-0000-0000D6160000}"/>
    <cellStyle name="Emart 4 5 3" xfId="5894" xr:uid="{00000000-0005-0000-0000-000006170000}"/>
    <cellStyle name="Emart 4 6" xfId="3614" xr:uid="{00000000-0005-0000-0000-00001E0E0000}"/>
    <cellStyle name="Emart 5" xfId="678" xr:uid="{00000000-0005-0000-0000-0000A6020000}"/>
    <cellStyle name="Emart 5 2" xfId="716" xr:uid="{00000000-0005-0000-0000-0000CC020000}"/>
    <cellStyle name="Emart 5 2 2" xfId="2202" xr:uid="{00000000-0005-0000-0000-00009A080000}"/>
    <cellStyle name="Emart 5 2 2 2" xfId="5879" xr:uid="{00000000-0005-0000-0000-0000F7160000}"/>
    <cellStyle name="Emart 5 2 3" xfId="3000" xr:uid="{00000000-0005-0000-0000-0000B80B0000}"/>
    <cellStyle name="Emart 5 2 3 2" xfId="5853" xr:uid="{00000000-0005-0000-0000-0000DD160000}"/>
    <cellStyle name="Emart 5 2 3 3" xfId="5901" xr:uid="{00000000-0005-0000-0000-00000D170000}"/>
    <cellStyle name="Emart 5 2 4" xfId="5860" xr:uid="{00000000-0005-0000-0000-0000E4160000}"/>
    <cellStyle name="Emart 5 3" xfId="2175" xr:uid="{00000000-0005-0000-0000-00007F080000}"/>
    <cellStyle name="Emart 5 3 2" xfId="5876" xr:uid="{00000000-0005-0000-0000-0000F4160000}"/>
    <cellStyle name="Emart 5 4" xfId="2991" xr:uid="{00000000-0005-0000-0000-0000AF0B0000}"/>
    <cellStyle name="Emart 5 4 2" xfId="5844" xr:uid="{00000000-0005-0000-0000-0000D4160000}"/>
    <cellStyle name="Emart 5 4 3" xfId="5892" xr:uid="{00000000-0005-0000-0000-000004170000}"/>
    <cellStyle name="Emart 5 5" xfId="2992" xr:uid="{00000000-0005-0000-0000-0000B00B0000}"/>
    <cellStyle name="Emart 5 5 2" xfId="5845" xr:uid="{00000000-0005-0000-0000-0000D5160000}"/>
    <cellStyle name="Emart 5 5 3" xfId="5893" xr:uid="{00000000-0005-0000-0000-000005170000}"/>
    <cellStyle name="Emart 6" xfId="701" xr:uid="{00000000-0005-0000-0000-0000BD020000}"/>
    <cellStyle name="Emart 6 2" xfId="2189" xr:uid="{00000000-0005-0000-0000-00008D080000}"/>
    <cellStyle name="Emart 6 2 2" xfId="5877" xr:uid="{00000000-0005-0000-0000-0000F5160000}"/>
    <cellStyle name="Emart 6 3" xfId="3001" xr:uid="{00000000-0005-0000-0000-0000B90B0000}"/>
    <cellStyle name="Emart 6 3 2" xfId="5854" xr:uid="{00000000-0005-0000-0000-0000DE160000}"/>
    <cellStyle name="Emart 6 3 3" xfId="5902" xr:uid="{00000000-0005-0000-0000-00000E170000}"/>
    <cellStyle name="Emart 6 4" xfId="5858" xr:uid="{00000000-0005-0000-0000-0000E2160000}"/>
    <cellStyle name="Emart 7" xfId="768" xr:uid="{00000000-0005-0000-0000-000000030000}"/>
    <cellStyle name="Emart 7 2" xfId="2222" xr:uid="{00000000-0005-0000-0000-0000AE080000}"/>
    <cellStyle name="Emart 7 2 2" xfId="5078" xr:uid="{00000000-0005-0000-0000-0000D6130000}"/>
    <cellStyle name="Emart 7 2 3" xfId="5880" xr:uid="{00000000-0005-0000-0000-0000F8160000}"/>
    <cellStyle name="Emart 7 3" xfId="2995" xr:uid="{00000000-0005-0000-0000-0000B30B0000}"/>
    <cellStyle name="Emart 7 3 2" xfId="5848" xr:uid="{00000000-0005-0000-0000-0000D8160000}"/>
    <cellStyle name="Emart 7 3 3" xfId="5896" xr:uid="{00000000-0005-0000-0000-000008170000}"/>
    <cellStyle name="Emart 7 4" xfId="3659" xr:uid="{00000000-0005-0000-0000-00004B0E0000}"/>
    <cellStyle name="Emart 7 5" xfId="5861" xr:uid="{00000000-0005-0000-0000-0000E5160000}"/>
    <cellStyle name="Emart 8" xfId="1442" xr:uid="{00000000-0005-0000-0000-0000A2050000}"/>
    <cellStyle name="Emart 8 2" xfId="2871" xr:uid="{00000000-0005-0000-0000-0000370B0000}"/>
    <cellStyle name="Emart 8 2 2" xfId="5884" xr:uid="{00000000-0005-0000-0000-0000FC160000}"/>
    <cellStyle name="Emart 8 3" xfId="2994" xr:uid="{00000000-0005-0000-0000-0000B20B0000}"/>
    <cellStyle name="Emart 8 3 2" xfId="5847" xr:uid="{00000000-0005-0000-0000-0000D7160000}"/>
    <cellStyle name="Emart 8 3 3" xfId="5895" xr:uid="{00000000-0005-0000-0000-000007170000}"/>
    <cellStyle name="Emart 8 4" xfId="5865" xr:uid="{00000000-0005-0000-0000-0000E9160000}"/>
    <cellStyle name="Emart 9" xfId="1449" xr:uid="{00000000-0005-0000-0000-0000A9050000}"/>
    <cellStyle name="Emart 9 2" xfId="2996" xr:uid="{00000000-0005-0000-0000-0000B40B0000}"/>
    <cellStyle name="Emart 9 2 2" xfId="5849" xr:uid="{00000000-0005-0000-0000-0000D9160000}"/>
    <cellStyle name="Emart 9 2 3" xfId="5897" xr:uid="{00000000-0005-0000-0000-000009170000}"/>
    <cellStyle name="Emart 9 3" xfId="5866" xr:uid="{00000000-0005-0000-0000-0000EA160000}"/>
    <cellStyle name="Excel Built-in 40% - Accent3" xfId="8" xr:uid="{00000000-0005-0000-0000-000008000000}"/>
    <cellStyle name="Excel Built-in Accent1" xfId="9" xr:uid="{00000000-0005-0000-0000-000009000000}"/>
    <cellStyle name="Excel Built-in Accent1 2" xfId="652" xr:uid="{00000000-0005-0000-0000-00008C020000}"/>
    <cellStyle name="Excel Built-in Accent2" xfId="10" xr:uid="{00000000-0005-0000-0000-00000A000000}"/>
    <cellStyle name="Excel Built-in Accent4" xfId="11" xr:uid="{00000000-0005-0000-0000-00000B000000}"/>
    <cellStyle name="Excel Built-in Accent5" xfId="12" xr:uid="{00000000-0005-0000-0000-00000C000000}"/>
    <cellStyle name="Excel Built-in Accent6" xfId="13" xr:uid="{00000000-0005-0000-0000-00000D000000}"/>
    <cellStyle name="Excel Built-in Normal" xfId="14" xr:uid="{00000000-0005-0000-0000-00000E000000}"/>
    <cellStyle name="Hyperlink 2" xfId="15" xr:uid="{00000000-0005-0000-0000-00000F000000}"/>
    <cellStyle name="Hyperlink 3" xfId="667" xr:uid="{00000000-0005-0000-0000-00009B020000}"/>
    <cellStyle name="Normal" xfId="0" builtinId="0"/>
    <cellStyle name="Normal 10" xfId="32" xr:uid="{00000000-0005-0000-0000-000020000000}"/>
    <cellStyle name="Normal 10 2" xfId="166" xr:uid="{00000000-0005-0000-0000-0000A6000000}"/>
    <cellStyle name="Normal 10 3" xfId="653" xr:uid="{00000000-0005-0000-0000-00008D020000}"/>
    <cellStyle name="Normal 10 4" xfId="773" xr:uid="{00000000-0005-0000-0000-000005030000}"/>
    <cellStyle name="Normal 10 4 2" xfId="2225" xr:uid="{00000000-0005-0000-0000-0000B1080000}"/>
    <cellStyle name="Normal 10 4 2 2" xfId="5081" xr:uid="{00000000-0005-0000-0000-0000D9130000}"/>
    <cellStyle name="Normal 10 4 3" xfId="3663" xr:uid="{00000000-0005-0000-0000-00004F0E0000}"/>
    <cellStyle name="Normal 10 5" xfId="1577" xr:uid="{00000000-0005-0000-0000-000029060000}"/>
    <cellStyle name="Normal 10 5 2" xfId="4437" xr:uid="{00000000-0005-0000-0000-000055110000}"/>
    <cellStyle name="Normal 10 6" xfId="3022" xr:uid="{00000000-0005-0000-0000-0000CE0B0000}"/>
    <cellStyle name="Normal 100" xfId="392" xr:uid="{00000000-0005-0000-0000-000088010000}"/>
    <cellStyle name="Normal 100 2" xfId="1113" xr:uid="{00000000-0005-0000-0000-000059040000}"/>
    <cellStyle name="Normal 100 2 2" xfId="2561" xr:uid="{00000000-0005-0000-0000-0000010A0000}"/>
    <cellStyle name="Normal 100 2 2 2" xfId="5417" xr:uid="{00000000-0005-0000-0000-000029150000}"/>
    <cellStyle name="Normal 100 2 3" xfId="3999" xr:uid="{00000000-0005-0000-0000-00009F0F0000}"/>
    <cellStyle name="Normal 100 3" xfId="1915" xr:uid="{00000000-0005-0000-0000-00007B070000}"/>
    <cellStyle name="Normal 100 3 2" xfId="4775" xr:uid="{00000000-0005-0000-0000-0000A7120000}"/>
    <cellStyle name="Normal 100 4" xfId="3359" xr:uid="{00000000-0005-0000-0000-00001F0D0000}"/>
    <cellStyle name="Normal 101" xfId="397" xr:uid="{00000000-0005-0000-0000-00008D010000}"/>
    <cellStyle name="Normal 101 2" xfId="1118" xr:uid="{00000000-0005-0000-0000-00005E040000}"/>
    <cellStyle name="Normal 101 2 2" xfId="2566" xr:uid="{00000000-0005-0000-0000-0000060A0000}"/>
    <cellStyle name="Normal 101 2 2 2" xfId="5422" xr:uid="{00000000-0005-0000-0000-00002E150000}"/>
    <cellStyle name="Normal 101 2 3" xfId="4004" xr:uid="{00000000-0005-0000-0000-0000A40F0000}"/>
    <cellStyle name="Normal 101 3" xfId="1920" xr:uid="{00000000-0005-0000-0000-000080070000}"/>
    <cellStyle name="Normal 101 3 2" xfId="4780" xr:uid="{00000000-0005-0000-0000-0000AC120000}"/>
    <cellStyle name="Normal 101 4" xfId="3364" xr:uid="{00000000-0005-0000-0000-0000240D0000}"/>
    <cellStyle name="Normal 102" xfId="400" xr:uid="{00000000-0005-0000-0000-000090010000}"/>
    <cellStyle name="Normal 102 2" xfId="1121" xr:uid="{00000000-0005-0000-0000-000061040000}"/>
    <cellStyle name="Normal 102 2 2" xfId="2569" xr:uid="{00000000-0005-0000-0000-0000090A0000}"/>
    <cellStyle name="Normal 102 2 2 2" xfId="5425" xr:uid="{00000000-0005-0000-0000-000031150000}"/>
    <cellStyle name="Normal 102 2 3" xfId="4007" xr:uid="{00000000-0005-0000-0000-0000A70F0000}"/>
    <cellStyle name="Normal 102 3" xfId="1923" xr:uid="{00000000-0005-0000-0000-000083070000}"/>
    <cellStyle name="Normal 102 3 2" xfId="4783" xr:uid="{00000000-0005-0000-0000-0000AF120000}"/>
    <cellStyle name="Normal 102 4" xfId="3367" xr:uid="{00000000-0005-0000-0000-0000270D0000}"/>
    <cellStyle name="Normal 103" xfId="408" xr:uid="{00000000-0005-0000-0000-000098010000}"/>
    <cellStyle name="Normal 103 2" xfId="1129" xr:uid="{00000000-0005-0000-0000-000069040000}"/>
    <cellStyle name="Normal 103 2 2" xfId="2577" xr:uid="{00000000-0005-0000-0000-0000110A0000}"/>
    <cellStyle name="Normal 103 2 2 2" xfId="5433" xr:uid="{00000000-0005-0000-0000-000039150000}"/>
    <cellStyle name="Normal 103 2 3" xfId="4015" xr:uid="{00000000-0005-0000-0000-0000AF0F0000}"/>
    <cellStyle name="Normal 103 3" xfId="1931" xr:uid="{00000000-0005-0000-0000-00008B070000}"/>
    <cellStyle name="Normal 103 3 2" xfId="4791" xr:uid="{00000000-0005-0000-0000-0000B7120000}"/>
    <cellStyle name="Normal 103 4" xfId="3375" xr:uid="{00000000-0005-0000-0000-00002F0D0000}"/>
    <cellStyle name="Normal 104" xfId="418" xr:uid="{00000000-0005-0000-0000-0000A2010000}"/>
    <cellStyle name="Normal 104 2" xfId="1139" xr:uid="{00000000-0005-0000-0000-000073040000}"/>
    <cellStyle name="Normal 104 2 2" xfId="2587" xr:uid="{00000000-0005-0000-0000-00001B0A0000}"/>
    <cellStyle name="Normal 104 2 2 2" xfId="5443" xr:uid="{00000000-0005-0000-0000-000043150000}"/>
    <cellStyle name="Normal 104 2 3" xfId="4025" xr:uid="{00000000-0005-0000-0000-0000B90F0000}"/>
    <cellStyle name="Normal 104 3" xfId="1941" xr:uid="{00000000-0005-0000-0000-000095070000}"/>
    <cellStyle name="Normal 104 3 2" xfId="4801" xr:uid="{00000000-0005-0000-0000-0000C1120000}"/>
    <cellStyle name="Normal 104 4" xfId="3385" xr:uid="{00000000-0005-0000-0000-0000390D0000}"/>
    <cellStyle name="Normal 105" xfId="420" xr:uid="{00000000-0005-0000-0000-0000A4010000}"/>
    <cellStyle name="Normal 105 2" xfId="1141" xr:uid="{00000000-0005-0000-0000-000075040000}"/>
    <cellStyle name="Normal 105 2 2" xfId="2589" xr:uid="{00000000-0005-0000-0000-00001D0A0000}"/>
    <cellStyle name="Normal 105 2 2 2" xfId="5445" xr:uid="{00000000-0005-0000-0000-000045150000}"/>
    <cellStyle name="Normal 105 2 3" xfId="4027" xr:uid="{00000000-0005-0000-0000-0000BB0F0000}"/>
    <cellStyle name="Normal 105 3" xfId="1943" xr:uid="{00000000-0005-0000-0000-000097070000}"/>
    <cellStyle name="Normal 105 3 2" xfId="4803" xr:uid="{00000000-0005-0000-0000-0000C3120000}"/>
    <cellStyle name="Normal 105 4" xfId="3387" xr:uid="{00000000-0005-0000-0000-00003B0D0000}"/>
    <cellStyle name="Normal 106" xfId="424" xr:uid="{00000000-0005-0000-0000-0000A8010000}"/>
    <cellStyle name="Normal 106 2" xfId="1145" xr:uid="{00000000-0005-0000-0000-000079040000}"/>
    <cellStyle name="Normal 106 2 2" xfId="2593" xr:uid="{00000000-0005-0000-0000-0000210A0000}"/>
    <cellStyle name="Normal 106 2 2 2" xfId="5449" xr:uid="{00000000-0005-0000-0000-000049150000}"/>
    <cellStyle name="Normal 106 2 3" xfId="4031" xr:uid="{00000000-0005-0000-0000-0000BF0F0000}"/>
    <cellStyle name="Normal 106 3" xfId="1947" xr:uid="{00000000-0005-0000-0000-00009B070000}"/>
    <cellStyle name="Normal 106 3 2" xfId="4807" xr:uid="{00000000-0005-0000-0000-0000C7120000}"/>
    <cellStyle name="Normal 106 4" xfId="3391" xr:uid="{00000000-0005-0000-0000-00003F0D0000}"/>
    <cellStyle name="Normal 107" xfId="439" xr:uid="{00000000-0005-0000-0000-0000B7010000}"/>
    <cellStyle name="Normal 107 2" xfId="1160" xr:uid="{00000000-0005-0000-0000-000088040000}"/>
    <cellStyle name="Normal 107 2 2" xfId="2608" xr:uid="{00000000-0005-0000-0000-0000300A0000}"/>
    <cellStyle name="Normal 107 2 2 2" xfId="5464" xr:uid="{00000000-0005-0000-0000-000058150000}"/>
    <cellStyle name="Normal 107 2 3" xfId="4046" xr:uid="{00000000-0005-0000-0000-0000CE0F0000}"/>
    <cellStyle name="Normal 107 3" xfId="1962" xr:uid="{00000000-0005-0000-0000-0000AA070000}"/>
    <cellStyle name="Normal 107 3 2" xfId="4822" xr:uid="{00000000-0005-0000-0000-0000D6120000}"/>
    <cellStyle name="Normal 107 4" xfId="3406" xr:uid="{00000000-0005-0000-0000-00004E0D0000}"/>
    <cellStyle name="Normal 108" xfId="442" xr:uid="{00000000-0005-0000-0000-0000BA010000}"/>
    <cellStyle name="Normal 108 2" xfId="1163" xr:uid="{00000000-0005-0000-0000-00008B040000}"/>
    <cellStyle name="Normal 108 2 2" xfId="2611" xr:uid="{00000000-0005-0000-0000-0000330A0000}"/>
    <cellStyle name="Normal 108 2 2 2" xfId="5467" xr:uid="{00000000-0005-0000-0000-00005B150000}"/>
    <cellStyle name="Normal 108 2 3" xfId="4049" xr:uid="{00000000-0005-0000-0000-0000D10F0000}"/>
    <cellStyle name="Normal 108 3" xfId="1965" xr:uid="{00000000-0005-0000-0000-0000AD070000}"/>
    <cellStyle name="Normal 108 3 2" xfId="4825" xr:uid="{00000000-0005-0000-0000-0000D9120000}"/>
    <cellStyle name="Normal 108 4" xfId="3409" xr:uid="{00000000-0005-0000-0000-0000510D0000}"/>
    <cellStyle name="Normal 109" xfId="445" xr:uid="{00000000-0005-0000-0000-0000BD010000}"/>
    <cellStyle name="Normal 109 2" xfId="1166" xr:uid="{00000000-0005-0000-0000-00008E040000}"/>
    <cellStyle name="Normal 109 2 2" xfId="2614" xr:uid="{00000000-0005-0000-0000-0000360A0000}"/>
    <cellStyle name="Normal 109 2 2 2" xfId="5470" xr:uid="{00000000-0005-0000-0000-00005E150000}"/>
    <cellStyle name="Normal 109 2 3" xfId="4052" xr:uid="{00000000-0005-0000-0000-0000D40F0000}"/>
    <cellStyle name="Normal 109 3" xfId="1968" xr:uid="{00000000-0005-0000-0000-0000B0070000}"/>
    <cellStyle name="Normal 109 3 2" xfId="4828" xr:uid="{00000000-0005-0000-0000-0000DC120000}"/>
    <cellStyle name="Normal 109 4" xfId="3412" xr:uid="{00000000-0005-0000-0000-0000540D0000}"/>
    <cellStyle name="Normal 11" xfId="40" xr:uid="{00000000-0005-0000-0000-000028000000}"/>
    <cellStyle name="Normal 110" xfId="457" xr:uid="{00000000-0005-0000-0000-0000C9010000}"/>
    <cellStyle name="Normal 110 2" xfId="1177" xr:uid="{00000000-0005-0000-0000-000099040000}"/>
    <cellStyle name="Normal 110 2 2" xfId="2625" xr:uid="{00000000-0005-0000-0000-0000410A0000}"/>
    <cellStyle name="Normal 110 2 2 2" xfId="5481" xr:uid="{00000000-0005-0000-0000-000069150000}"/>
    <cellStyle name="Normal 110 2 3" xfId="4063" xr:uid="{00000000-0005-0000-0000-0000DF0F0000}"/>
    <cellStyle name="Normal 110 3" xfId="1980" xr:uid="{00000000-0005-0000-0000-0000BC070000}"/>
    <cellStyle name="Normal 110 3 2" xfId="4840" xr:uid="{00000000-0005-0000-0000-0000E8120000}"/>
    <cellStyle name="Normal 110 4" xfId="3424" xr:uid="{00000000-0005-0000-0000-0000600D0000}"/>
    <cellStyle name="Normal 111" xfId="459" xr:uid="{00000000-0005-0000-0000-0000CB010000}"/>
    <cellStyle name="Normal 111 2" xfId="1179" xr:uid="{00000000-0005-0000-0000-00009B040000}"/>
    <cellStyle name="Normal 111 2 2" xfId="2627" xr:uid="{00000000-0005-0000-0000-0000430A0000}"/>
    <cellStyle name="Normal 111 2 2 2" xfId="5483" xr:uid="{00000000-0005-0000-0000-00006B150000}"/>
    <cellStyle name="Normal 111 2 3" xfId="4065" xr:uid="{00000000-0005-0000-0000-0000E10F0000}"/>
    <cellStyle name="Normal 111 3" xfId="1982" xr:uid="{00000000-0005-0000-0000-0000BE070000}"/>
    <cellStyle name="Normal 111 3 2" xfId="4842" xr:uid="{00000000-0005-0000-0000-0000EA120000}"/>
    <cellStyle name="Normal 111 4" xfId="3426" xr:uid="{00000000-0005-0000-0000-0000620D0000}"/>
    <cellStyle name="Normal 112" xfId="463" xr:uid="{00000000-0005-0000-0000-0000CF010000}"/>
    <cellStyle name="Normal 112 2" xfId="1183" xr:uid="{00000000-0005-0000-0000-00009F040000}"/>
    <cellStyle name="Normal 112 2 2" xfId="2631" xr:uid="{00000000-0005-0000-0000-0000470A0000}"/>
    <cellStyle name="Normal 112 2 2 2" xfId="5487" xr:uid="{00000000-0005-0000-0000-00006F150000}"/>
    <cellStyle name="Normal 112 2 3" xfId="4069" xr:uid="{00000000-0005-0000-0000-0000E50F0000}"/>
    <cellStyle name="Normal 112 3" xfId="1986" xr:uid="{00000000-0005-0000-0000-0000C2070000}"/>
    <cellStyle name="Normal 112 3 2" xfId="4846" xr:uid="{00000000-0005-0000-0000-0000EE120000}"/>
    <cellStyle name="Normal 112 4" xfId="3430" xr:uid="{00000000-0005-0000-0000-0000660D0000}"/>
    <cellStyle name="Normal 113" xfId="472" xr:uid="{00000000-0005-0000-0000-0000D8010000}"/>
    <cellStyle name="Normal 113 2" xfId="1192" xr:uid="{00000000-0005-0000-0000-0000A8040000}"/>
    <cellStyle name="Normal 113 2 2" xfId="2640" xr:uid="{00000000-0005-0000-0000-0000500A0000}"/>
    <cellStyle name="Normal 113 2 2 2" xfId="5496" xr:uid="{00000000-0005-0000-0000-000078150000}"/>
    <cellStyle name="Normal 113 2 3" xfId="4078" xr:uid="{00000000-0005-0000-0000-0000EE0F0000}"/>
    <cellStyle name="Normal 113 3" xfId="1995" xr:uid="{00000000-0005-0000-0000-0000CB070000}"/>
    <cellStyle name="Normal 113 3 2" xfId="4855" xr:uid="{00000000-0005-0000-0000-0000F7120000}"/>
    <cellStyle name="Normal 113 4" xfId="3439" xr:uid="{00000000-0005-0000-0000-00006F0D0000}"/>
    <cellStyle name="Normal 114" xfId="475" xr:uid="{00000000-0005-0000-0000-0000DB010000}"/>
    <cellStyle name="Normal 114 2" xfId="1195" xr:uid="{00000000-0005-0000-0000-0000AB040000}"/>
    <cellStyle name="Normal 114 2 2" xfId="2643" xr:uid="{00000000-0005-0000-0000-0000530A0000}"/>
    <cellStyle name="Normal 114 2 2 2" xfId="5499" xr:uid="{00000000-0005-0000-0000-00007B150000}"/>
    <cellStyle name="Normal 114 2 3" xfId="4081" xr:uid="{00000000-0005-0000-0000-0000F10F0000}"/>
    <cellStyle name="Normal 114 3" xfId="1998" xr:uid="{00000000-0005-0000-0000-0000CE070000}"/>
    <cellStyle name="Normal 114 3 2" xfId="4858" xr:uid="{00000000-0005-0000-0000-0000FA120000}"/>
    <cellStyle name="Normal 114 4" xfId="3442" xr:uid="{00000000-0005-0000-0000-0000720D0000}"/>
    <cellStyle name="Normal 115" xfId="478" xr:uid="{00000000-0005-0000-0000-0000DE010000}"/>
    <cellStyle name="Normal 115 2" xfId="1198" xr:uid="{00000000-0005-0000-0000-0000AE040000}"/>
    <cellStyle name="Normal 115 2 2" xfId="2646" xr:uid="{00000000-0005-0000-0000-0000560A0000}"/>
    <cellStyle name="Normal 115 2 2 2" xfId="5502" xr:uid="{00000000-0005-0000-0000-00007E150000}"/>
    <cellStyle name="Normal 115 2 3" xfId="4084" xr:uid="{00000000-0005-0000-0000-0000F40F0000}"/>
    <cellStyle name="Normal 115 3" xfId="2001" xr:uid="{00000000-0005-0000-0000-0000D1070000}"/>
    <cellStyle name="Normal 115 3 2" xfId="4861" xr:uid="{00000000-0005-0000-0000-0000FD120000}"/>
    <cellStyle name="Normal 115 4" xfId="3445" xr:uid="{00000000-0005-0000-0000-0000750D0000}"/>
    <cellStyle name="Normal 116" xfId="482" xr:uid="{00000000-0005-0000-0000-0000E2010000}"/>
    <cellStyle name="Normal 116 2" xfId="1202" xr:uid="{00000000-0005-0000-0000-0000B2040000}"/>
    <cellStyle name="Normal 116 2 2" xfId="2650" xr:uid="{00000000-0005-0000-0000-00005A0A0000}"/>
    <cellStyle name="Normal 116 2 2 2" xfId="5506" xr:uid="{00000000-0005-0000-0000-000082150000}"/>
    <cellStyle name="Normal 116 2 3" xfId="4088" xr:uid="{00000000-0005-0000-0000-0000F80F0000}"/>
    <cellStyle name="Normal 116 3" xfId="2005" xr:uid="{00000000-0005-0000-0000-0000D5070000}"/>
    <cellStyle name="Normal 116 3 2" xfId="4865" xr:uid="{00000000-0005-0000-0000-000001130000}"/>
    <cellStyle name="Normal 116 4" xfId="3449" xr:uid="{00000000-0005-0000-0000-0000790D0000}"/>
    <cellStyle name="Normal 117" xfId="490" xr:uid="{00000000-0005-0000-0000-0000EA010000}"/>
    <cellStyle name="Normal 117 2" xfId="1209" xr:uid="{00000000-0005-0000-0000-0000B9040000}"/>
    <cellStyle name="Normal 117 2 2" xfId="2657" xr:uid="{00000000-0005-0000-0000-0000610A0000}"/>
    <cellStyle name="Normal 117 2 2 2" xfId="5513" xr:uid="{00000000-0005-0000-0000-000089150000}"/>
    <cellStyle name="Normal 117 2 3" xfId="4095" xr:uid="{00000000-0005-0000-0000-0000FF0F0000}"/>
    <cellStyle name="Normal 117 3" xfId="2012" xr:uid="{00000000-0005-0000-0000-0000DC070000}"/>
    <cellStyle name="Normal 117 3 2" xfId="4872" xr:uid="{00000000-0005-0000-0000-000008130000}"/>
    <cellStyle name="Normal 117 4" xfId="3456" xr:uid="{00000000-0005-0000-0000-0000800D0000}"/>
    <cellStyle name="Normal 118" xfId="492" xr:uid="{00000000-0005-0000-0000-0000EC010000}"/>
    <cellStyle name="Normal 118 2" xfId="1211" xr:uid="{00000000-0005-0000-0000-0000BB040000}"/>
    <cellStyle name="Normal 118 2 2" xfId="2659" xr:uid="{00000000-0005-0000-0000-0000630A0000}"/>
    <cellStyle name="Normal 118 2 2 2" xfId="5515" xr:uid="{00000000-0005-0000-0000-00008B150000}"/>
    <cellStyle name="Normal 118 2 3" xfId="4097" xr:uid="{00000000-0005-0000-0000-000001100000}"/>
    <cellStyle name="Normal 118 3" xfId="2014" xr:uid="{00000000-0005-0000-0000-0000DE070000}"/>
    <cellStyle name="Normal 118 3 2" xfId="4874" xr:uid="{00000000-0005-0000-0000-00000A130000}"/>
    <cellStyle name="Normal 118 4" xfId="3458" xr:uid="{00000000-0005-0000-0000-0000820D0000}"/>
    <cellStyle name="Normal 119" xfId="501" xr:uid="{00000000-0005-0000-0000-0000F5010000}"/>
    <cellStyle name="Normal 119 2" xfId="1220" xr:uid="{00000000-0005-0000-0000-0000C4040000}"/>
    <cellStyle name="Normal 119 2 2" xfId="2668" xr:uid="{00000000-0005-0000-0000-00006C0A0000}"/>
    <cellStyle name="Normal 119 2 2 2" xfId="5524" xr:uid="{00000000-0005-0000-0000-000094150000}"/>
    <cellStyle name="Normal 119 2 3" xfId="4106" xr:uid="{00000000-0005-0000-0000-00000A100000}"/>
    <cellStyle name="Normal 119 3" xfId="2023" xr:uid="{00000000-0005-0000-0000-0000E7070000}"/>
    <cellStyle name="Normal 119 3 2" xfId="4883" xr:uid="{00000000-0005-0000-0000-000013130000}"/>
    <cellStyle name="Normal 119 4" xfId="3467" xr:uid="{00000000-0005-0000-0000-00008B0D0000}"/>
    <cellStyle name="Normal 12" xfId="46" xr:uid="{00000000-0005-0000-0000-00002E000000}"/>
    <cellStyle name="Normal 12 2" xfId="50" xr:uid="{00000000-0005-0000-0000-000032000000}"/>
    <cellStyle name="Normal 120" xfId="503" xr:uid="{00000000-0005-0000-0000-0000F7010000}"/>
    <cellStyle name="Normal 120 2" xfId="1222" xr:uid="{00000000-0005-0000-0000-0000C6040000}"/>
    <cellStyle name="Normal 120 2 2" xfId="2670" xr:uid="{00000000-0005-0000-0000-00006E0A0000}"/>
    <cellStyle name="Normal 120 2 2 2" xfId="5526" xr:uid="{00000000-0005-0000-0000-000096150000}"/>
    <cellStyle name="Normal 120 2 3" xfId="4108" xr:uid="{00000000-0005-0000-0000-00000C100000}"/>
    <cellStyle name="Normal 120 3" xfId="2025" xr:uid="{00000000-0005-0000-0000-0000E9070000}"/>
    <cellStyle name="Normal 120 3 2" xfId="4885" xr:uid="{00000000-0005-0000-0000-000015130000}"/>
    <cellStyle name="Normal 120 4" xfId="3469" xr:uid="{00000000-0005-0000-0000-00008D0D0000}"/>
    <cellStyle name="Normal 121" xfId="513" xr:uid="{00000000-0005-0000-0000-000001020000}"/>
    <cellStyle name="Normal 121 2" xfId="1232" xr:uid="{00000000-0005-0000-0000-0000D0040000}"/>
    <cellStyle name="Normal 121 2 2" xfId="2680" xr:uid="{00000000-0005-0000-0000-0000780A0000}"/>
    <cellStyle name="Normal 121 2 2 2" xfId="5536" xr:uid="{00000000-0005-0000-0000-0000A0150000}"/>
    <cellStyle name="Normal 121 2 3" xfId="4118" xr:uid="{00000000-0005-0000-0000-000016100000}"/>
    <cellStyle name="Normal 121 3" xfId="2035" xr:uid="{00000000-0005-0000-0000-0000F3070000}"/>
    <cellStyle name="Normal 121 3 2" xfId="4895" xr:uid="{00000000-0005-0000-0000-00001F130000}"/>
    <cellStyle name="Normal 121 4" xfId="3479" xr:uid="{00000000-0005-0000-0000-0000970D0000}"/>
    <cellStyle name="Normal 122" xfId="515" xr:uid="{00000000-0005-0000-0000-000003020000}"/>
    <cellStyle name="Normal 122 2" xfId="1234" xr:uid="{00000000-0005-0000-0000-0000D2040000}"/>
    <cellStyle name="Normal 122 2 2" xfId="2682" xr:uid="{00000000-0005-0000-0000-00007A0A0000}"/>
    <cellStyle name="Normal 122 2 2 2" xfId="5538" xr:uid="{00000000-0005-0000-0000-0000A2150000}"/>
    <cellStyle name="Normal 122 2 3" xfId="4120" xr:uid="{00000000-0005-0000-0000-000018100000}"/>
    <cellStyle name="Normal 122 3" xfId="2037" xr:uid="{00000000-0005-0000-0000-0000F5070000}"/>
    <cellStyle name="Normal 122 3 2" xfId="4897" xr:uid="{00000000-0005-0000-0000-000021130000}"/>
    <cellStyle name="Normal 122 4" xfId="3481" xr:uid="{00000000-0005-0000-0000-0000990D0000}"/>
    <cellStyle name="Normal 123" xfId="524" xr:uid="{00000000-0005-0000-0000-00000C020000}"/>
    <cellStyle name="Normal 123 2" xfId="1243" xr:uid="{00000000-0005-0000-0000-0000DB040000}"/>
    <cellStyle name="Normal 123 2 2" xfId="2691" xr:uid="{00000000-0005-0000-0000-0000830A0000}"/>
    <cellStyle name="Normal 123 2 2 2" xfId="5547" xr:uid="{00000000-0005-0000-0000-0000AB150000}"/>
    <cellStyle name="Normal 123 2 3" xfId="4129" xr:uid="{00000000-0005-0000-0000-000021100000}"/>
    <cellStyle name="Normal 123 3" xfId="2046" xr:uid="{00000000-0005-0000-0000-0000FE070000}"/>
    <cellStyle name="Normal 123 3 2" xfId="4906" xr:uid="{00000000-0005-0000-0000-00002A130000}"/>
    <cellStyle name="Normal 123 4" xfId="3490" xr:uid="{00000000-0005-0000-0000-0000A20D0000}"/>
    <cellStyle name="Normal 124" xfId="526" xr:uid="{00000000-0005-0000-0000-00000E020000}"/>
    <cellStyle name="Normal 124 2" xfId="536" xr:uid="{00000000-0005-0000-0000-000018020000}"/>
    <cellStyle name="Normal 124 2 2" xfId="1255" xr:uid="{00000000-0005-0000-0000-0000E7040000}"/>
    <cellStyle name="Normal 124 2 2 2" xfId="2703" xr:uid="{00000000-0005-0000-0000-00008F0A0000}"/>
    <cellStyle name="Normal 124 2 2 2 2" xfId="5559" xr:uid="{00000000-0005-0000-0000-0000B7150000}"/>
    <cellStyle name="Normal 124 2 2 3" xfId="4141" xr:uid="{00000000-0005-0000-0000-00002D100000}"/>
    <cellStyle name="Normal 124 2 3" xfId="2058" xr:uid="{00000000-0005-0000-0000-00000A080000}"/>
    <cellStyle name="Normal 124 2 3 2" xfId="4918" xr:uid="{00000000-0005-0000-0000-000036130000}"/>
    <cellStyle name="Normal 124 2 4" xfId="3502" xr:uid="{00000000-0005-0000-0000-0000AE0D0000}"/>
    <cellStyle name="Normal 124 3" xfId="1245" xr:uid="{00000000-0005-0000-0000-0000DD040000}"/>
    <cellStyle name="Normal 124 3 2" xfId="2693" xr:uid="{00000000-0005-0000-0000-0000850A0000}"/>
    <cellStyle name="Normal 124 3 2 2" xfId="5549" xr:uid="{00000000-0005-0000-0000-0000AD150000}"/>
    <cellStyle name="Normal 124 3 3" xfId="4131" xr:uid="{00000000-0005-0000-0000-000023100000}"/>
    <cellStyle name="Normal 124 4" xfId="2048" xr:uid="{00000000-0005-0000-0000-000000080000}"/>
    <cellStyle name="Normal 124 4 2" xfId="4908" xr:uid="{00000000-0005-0000-0000-00002C130000}"/>
    <cellStyle name="Normal 124 5" xfId="3492" xr:uid="{00000000-0005-0000-0000-0000A40D0000}"/>
    <cellStyle name="Normal 125" xfId="542" xr:uid="{00000000-0005-0000-0000-00001E020000}"/>
    <cellStyle name="Normal 125 2" xfId="1261" xr:uid="{00000000-0005-0000-0000-0000ED040000}"/>
    <cellStyle name="Normal 125 2 2" xfId="2709" xr:uid="{00000000-0005-0000-0000-0000950A0000}"/>
    <cellStyle name="Normal 125 2 2 2" xfId="5565" xr:uid="{00000000-0005-0000-0000-0000BD150000}"/>
    <cellStyle name="Normal 125 2 3" xfId="4147" xr:uid="{00000000-0005-0000-0000-000033100000}"/>
    <cellStyle name="Normal 125 3" xfId="2064" xr:uid="{00000000-0005-0000-0000-000010080000}"/>
    <cellStyle name="Normal 125 3 2" xfId="4924" xr:uid="{00000000-0005-0000-0000-00003C130000}"/>
    <cellStyle name="Normal 125 4" xfId="3508" xr:uid="{00000000-0005-0000-0000-0000B40D0000}"/>
    <cellStyle name="Normal 126" xfId="546" xr:uid="{00000000-0005-0000-0000-000022020000}"/>
    <cellStyle name="Normal 126 2" xfId="1265" xr:uid="{00000000-0005-0000-0000-0000F1040000}"/>
    <cellStyle name="Normal 126 2 2" xfId="2713" xr:uid="{00000000-0005-0000-0000-0000990A0000}"/>
    <cellStyle name="Normal 126 2 2 2" xfId="5569" xr:uid="{00000000-0005-0000-0000-0000C1150000}"/>
    <cellStyle name="Normal 126 2 3" xfId="4151" xr:uid="{00000000-0005-0000-0000-000037100000}"/>
    <cellStyle name="Normal 126 3" xfId="2068" xr:uid="{00000000-0005-0000-0000-000014080000}"/>
    <cellStyle name="Normal 126 3 2" xfId="4928" xr:uid="{00000000-0005-0000-0000-000040130000}"/>
    <cellStyle name="Normal 126 4" xfId="3512" xr:uid="{00000000-0005-0000-0000-0000B80D0000}"/>
    <cellStyle name="Normal 127" xfId="553" xr:uid="{00000000-0005-0000-0000-000029020000}"/>
    <cellStyle name="Normal 127 2" xfId="1272" xr:uid="{00000000-0005-0000-0000-0000F8040000}"/>
    <cellStyle name="Normal 127 2 2" xfId="2720" xr:uid="{00000000-0005-0000-0000-0000A00A0000}"/>
    <cellStyle name="Normal 127 2 2 2" xfId="5576" xr:uid="{00000000-0005-0000-0000-0000C8150000}"/>
    <cellStyle name="Normal 127 2 3" xfId="4158" xr:uid="{00000000-0005-0000-0000-00003E100000}"/>
    <cellStyle name="Normal 127 3" xfId="2075" xr:uid="{00000000-0005-0000-0000-00001B080000}"/>
    <cellStyle name="Normal 127 3 2" xfId="4935" xr:uid="{00000000-0005-0000-0000-000047130000}"/>
    <cellStyle name="Normal 127 4" xfId="3519" xr:uid="{00000000-0005-0000-0000-0000BF0D0000}"/>
    <cellStyle name="Normal 128" xfId="556" xr:uid="{00000000-0005-0000-0000-00002C020000}"/>
    <cellStyle name="Normal 128 2" xfId="1275" xr:uid="{00000000-0005-0000-0000-0000FB040000}"/>
    <cellStyle name="Normal 128 2 2" xfId="2723" xr:uid="{00000000-0005-0000-0000-0000A30A0000}"/>
    <cellStyle name="Normal 128 2 2 2" xfId="5579" xr:uid="{00000000-0005-0000-0000-0000CB150000}"/>
    <cellStyle name="Normal 128 2 3" xfId="4161" xr:uid="{00000000-0005-0000-0000-000041100000}"/>
    <cellStyle name="Normal 128 3" xfId="2078" xr:uid="{00000000-0005-0000-0000-00001E080000}"/>
    <cellStyle name="Normal 128 3 2" xfId="4938" xr:uid="{00000000-0005-0000-0000-00004A130000}"/>
    <cellStyle name="Normal 128 4" xfId="3522" xr:uid="{00000000-0005-0000-0000-0000C20D0000}"/>
    <cellStyle name="Normal 129" xfId="558" xr:uid="{00000000-0005-0000-0000-00002E020000}"/>
    <cellStyle name="Normal 129 2" xfId="1277" xr:uid="{00000000-0005-0000-0000-0000FD040000}"/>
    <cellStyle name="Normal 129 2 2" xfId="2725" xr:uid="{00000000-0005-0000-0000-0000A50A0000}"/>
    <cellStyle name="Normal 129 2 2 2" xfId="5581" xr:uid="{00000000-0005-0000-0000-0000CD150000}"/>
    <cellStyle name="Normal 129 2 3" xfId="4163" xr:uid="{00000000-0005-0000-0000-000043100000}"/>
    <cellStyle name="Normal 129 3" xfId="2080" xr:uid="{00000000-0005-0000-0000-000020080000}"/>
    <cellStyle name="Normal 129 3 2" xfId="4940" xr:uid="{00000000-0005-0000-0000-00004C130000}"/>
    <cellStyle name="Normal 129 4" xfId="3524" xr:uid="{00000000-0005-0000-0000-0000C40D0000}"/>
    <cellStyle name="Normal 13" xfId="48" xr:uid="{00000000-0005-0000-0000-000030000000}"/>
    <cellStyle name="Normal 13 2" xfId="61" xr:uid="{00000000-0005-0000-0000-00003D000000}"/>
    <cellStyle name="Normal 13 2 2" xfId="183" xr:uid="{00000000-0005-0000-0000-0000B7000000}"/>
    <cellStyle name="Normal 13 2 2 2" xfId="905" xr:uid="{00000000-0005-0000-0000-000089030000}"/>
    <cellStyle name="Normal 13 2 2 2 2" xfId="2353" xr:uid="{00000000-0005-0000-0000-000031090000}"/>
    <cellStyle name="Normal 13 2 2 2 2 2" xfId="5209" xr:uid="{00000000-0005-0000-0000-000059140000}"/>
    <cellStyle name="Normal 13 2 2 2 3" xfId="3791" xr:uid="{00000000-0005-0000-0000-0000CF0E0000}"/>
    <cellStyle name="Normal 13 2 2 3" xfId="1706" xr:uid="{00000000-0005-0000-0000-0000AA060000}"/>
    <cellStyle name="Normal 13 2 2 3 2" xfId="4566" xr:uid="{00000000-0005-0000-0000-0000D6110000}"/>
    <cellStyle name="Normal 13 2 2 4" xfId="3150" xr:uid="{00000000-0005-0000-0000-00004E0C0000}"/>
    <cellStyle name="Normal 13 2 3" xfId="789" xr:uid="{00000000-0005-0000-0000-000015030000}"/>
    <cellStyle name="Normal 13 2 3 2" xfId="2240" xr:uid="{00000000-0005-0000-0000-0000C0080000}"/>
    <cellStyle name="Normal 13 2 3 2 2" xfId="5096" xr:uid="{00000000-0005-0000-0000-0000E8130000}"/>
    <cellStyle name="Normal 13 2 3 3" xfId="3678" xr:uid="{00000000-0005-0000-0000-00005E0E0000}"/>
    <cellStyle name="Normal 13 2 4" xfId="1592" xr:uid="{00000000-0005-0000-0000-000038060000}"/>
    <cellStyle name="Normal 13 2 4 2" xfId="4452" xr:uid="{00000000-0005-0000-0000-000064110000}"/>
    <cellStyle name="Normal 13 2 5" xfId="3037" xr:uid="{00000000-0005-0000-0000-0000DD0B0000}"/>
    <cellStyle name="Normal 13 3" xfId="781" xr:uid="{00000000-0005-0000-0000-00000D030000}"/>
    <cellStyle name="Normal 13 3 2" xfId="2233" xr:uid="{00000000-0005-0000-0000-0000B9080000}"/>
    <cellStyle name="Normal 13 3 2 2" xfId="5089" xr:uid="{00000000-0005-0000-0000-0000E1130000}"/>
    <cellStyle name="Normal 13 3 3" xfId="3671" xr:uid="{00000000-0005-0000-0000-0000570E0000}"/>
    <cellStyle name="Normal 13 4" xfId="1585" xr:uid="{00000000-0005-0000-0000-000031060000}"/>
    <cellStyle name="Normal 13 4 2" xfId="4445" xr:uid="{00000000-0005-0000-0000-00005D110000}"/>
    <cellStyle name="Normal 13 5" xfId="3030" xr:uid="{00000000-0005-0000-0000-0000D60B0000}"/>
    <cellStyle name="Normal 130" xfId="562" xr:uid="{00000000-0005-0000-0000-000032020000}"/>
    <cellStyle name="Normal 130 2" xfId="1281" xr:uid="{00000000-0005-0000-0000-000001050000}"/>
    <cellStyle name="Normal 130 2 2" xfId="2729" xr:uid="{00000000-0005-0000-0000-0000A90A0000}"/>
    <cellStyle name="Normal 130 2 2 2" xfId="5585" xr:uid="{00000000-0005-0000-0000-0000D1150000}"/>
    <cellStyle name="Normal 130 2 3" xfId="4167" xr:uid="{00000000-0005-0000-0000-000047100000}"/>
    <cellStyle name="Normal 130 3" xfId="2084" xr:uid="{00000000-0005-0000-0000-000024080000}"/>
    <cellStyle name="Normal 130 3 2" xfId="4944" xr:uid="{00000000-0005-0000-0000-000050130000}"/>
    <cellStyle name="Normal 130 4" xfId="3528" xr:uid="{00000000-0005-0000-0000-0000C80D0000}"/>
    <cellStyle name="Normal 131" xfId="569" xr:uid="{00000000-0005-0000-0000-000039020000}"/>
    <cellStyle name="Normal 131 2" xfId="1288" xr:uid="{00000000-0005-0000-0000-000008050000}"/>
    <cellStyle name="Normal 131 2 2" xfId="2736" xr:uid="{00000000-0005-0000-0000-0000B00A0000}"/>
    <cellStyle name="Normal 131 2 2 2" xfId="5592" xr:uid="{00000000-0005-0000-0000-0000D8150000}"/>
    <cellStyle name="Normal 131 2 3" xfId="4174" xr:uid="{00000000-0005-0000-0000-00004E100000}"/>
    <cellStyle name="Normal 131 3" xfId="2091" xr:uid="{00000000-0005-0000-0000-00002B080000}"/>
    <cellStyle name="Normal 131 3 2" xfId="4951" xr:uid="{00000000-0005-0000-0000-000057130000}"/>
    <cellStyle name="Normal 131 4" xfId="3535" xr:uid="{00000000-0005-0000-0000-0000CF0D0000}"/>
    <cellStyle name="Normal 132" xfId="571" xr:uid="{00000000-0005-0000-0000-00003B020000}"/>
    <cellStyle name="Normal 132 2" xfId="597" xr:uid="{00000000-0005-0000-0000-000055020000}"/>
    <cellStyle name="Normal 132 2 2" xfId="1315" xr:uid="{00000000-0005-0000-0000-000023050000}"/>
    <cellStyle name="Normal 132 2 2 2" xfId="2763" xr:uid="{00000000-0005-0000-0000-0000CB0A0000}"/>
    <cellStyle name="Normal 132 2 2 2 2" xfId="5619" xr:uid="{00000000-0005-0000-0000-0000F3150000}"/>
    <cellStyle name="Normal 132 2 2 3" xfId="4201" xr:uid="{00000000-0005-0000-0000-000069100000}"/>
    <cellStyle name="Normal 132 2 3" xfId="2118" xr:uid="{00000000-0005-0000-0000-000046080000}"/>
    <cellStyle name="Normal 132 2 3 2" xfId="4978" xr:uid="{00000000-0005-0000-0000-000072130000}"/>
    <cellStyle name="Normal 132 2 4" xfId="3562" xr:uid="{00000000-0005-0000-0000-0000EA0D0000}"/>
    <cellStyle name="Normal 132 3" xfId="1290" xr:uid="{00000000-0005-0000-0000-00000A050000}"/>
    <cellStyle name="Normal 132 3 2" xfId="2738" xr:uid="{00000000-0005-0000-0000-0000B20A0000}"/>
    <cellStyle name="Normal 132 3 2 2" xfId="5594" xr:uid="{00000000-0005-0000-0000-0000DA150000}"/>
    <cellStyle name="Normal 132 3 3" xfId="4176" xr:uid="{00000000-0005-0000-0000-000050100000}"/>
    <cellStyle name="Normal 132 4" xfId="2093" xr:uid="{00000000-0005-0000-0000-00002D080000}"/>
    <cellStyle name="Normal 132 4 2" xfId="4953" xr:uid="{00000000-0005-0000-0000-000059130000}"/>
    <cellStyle name="Normal 132 5" xfId="3537" xr:uid="{00000000-0005-0000-0000-0000D10D0000}"/>
    <cellStyle name="Normal 133" xfId="575" xr:uid="{00000000-0005-0000-0000-00003F020000}"/>
    <cellStyle name="Normal 133 2" xfId="1294" xr:uid="{00000000-0005-0000-0000-00000E050000}"/>
    <cellStyle name="Normal 133 2 2" xfId="2742" xr:uid="{00000000-0005-0000-0000-0000B60A0000}"/>
    <cellStyle name="Normal 133 2 2 2" xfId="5598" xr:uid="{00000000-0005-0000-0000-0000DE150000}"/>
    <cellStyle name="Normal 133 2 3" xfId="4180" xr:uid="{00000000-0005-0000-0000-000054100000}"/>
    <cellStyle name="Normal 133 3" xfId="2097" xr:uid="{00000000-0005-0000-0000-000031080000}"/>
    <cellStyle name="Normal 133 3 2" xfId="4957" xr:uid="{00000000-0005-0000-0000-00005D130000}"/>
    <cellStyle name="Normal 133 4" xfId="3541" xr:uid="{00000000-0005-0000-0000-0000D50D0000}"/>
    <cellStyle name="Normal 134" xfId="581" xr:uid="{00000000-0005-0000-0000-000045020000}"/>
    <cellStyle name="Normal 134 2" xfId="711" xr:uid="{00000000-0005-0000-0000-0000C7020000}"/>
    <cellStyle name="Normal 134 2 2" xfId="1392" xr:uid="{00000000-0005-0000-0000-000070050000}"/>
    <cellStyle name="Normal 134 2 2 2" xfId="2839" xr:uid="{00000000-0005-0000-0000-0000170B0000}"/>
    <cellStyle name="Normal 134 2 2 2 2" xfId="5694" xr:uid="{00000000-0005-0000-0000-00003E160000}"/>
    <cellStyle name="Normal 134 2 2 3" xfId="4276" xr:uid="{00000000-0005-0000-0000-0000B4100000}"/>
    <cellStyle name="Normal 134 2 3" xfId="2198" xr:uid="{00000000-0005-0000-0000-000096080000}"/>
    <cellStyle name="Normal 134 2 3 2" xfId="5055" xr:uid="{00000000-0005-0000-0000-0000BF130000}"/>
    <cellStyle name="Normal 134 2 4" xfId="3639" xr:uid="{00000000-0005-0000-0000-0000370E0000}"/>
    <cellStyle name="Normal 134 2 5" xfId="5995" xr:uid="{00000000-0005-0000-0000-00006B170000}"/>
    <cellStyle name="Normal 134 3" xfId="1300" xr:uid="{00000000-0005-0000-0000-000014050000}"/>
    <cellStyle name="Normal 134 3 2" xfId="2748" xr:uid="{00000000-0005-0000-0000-0000BC0A0000}"/>
    <cellStyle name="Normal 134 3 2 2" xfId="5604" xr:uid="{00000000-0005-0000-0000-0000E4150000}"/>
    <cellStyle name="Normal 134 3 3" xfId="4186" xr:uid="{00000000-0005-0000-0000-00005A100000}"/>
    <cellStyle name="Normal 134 4" xfId="2103" xr:uid="{00000000-0005-0000-0000-000037080000}"/>
    <cellStyle name="Normal 134 4 2" xfId="4963" xr:uid="{00000000-0005-0000-0000-000063130000}"/>
    <cellStyle name="Normal 134 5" xfId="3547" xr:uid="{00000000-0005-0000-0000-0000DB0D0000}"/>
    <cellStyle name="Normal 135" xfId="593" xr:uid="{00000000-0005-0000-0000-000051020000}"/>
    <cellStyle name="Normal 135 2" xfId="1311" xr:uid="{00000000-0005-0000-0000-00001F050000}"/>
    <cellStyle name="Normal 135 2 2" xfId="2759" xr:uid="{00000000-0005-0000-0000-0000C70A0000}"/>
    <cellStyle name="Normal 135 2 2 2" xfId="5615" xr:uid="{00000000-0005-0000-0000-0000EF150000}"/>
    <cellStyle name="Normal 135 2 3" xfId="4197" xr:uid="{00000000-0005-0000-0000-000065100000}"/>
    <cellStyle name="Normal 135 3" xfId="2114" xr:uid="{00000000-0005-0000-0000-000042080000}"/>
    <cellStyle name="Normal 135 3 2" xfId="4974" xr:uid="{00000000-0005-0000-0000-00006E130000}"/>
    <cellStyle name="Normal 135 4" xfId="3558" xr:uid="{00000000-0005-0000-0000-0000E60D0000}"/>
    <cellStyle name="Normal 136" xfId="596" xr:uid="{00000000-0005-0000-0000-000054020000}"/>
    <cellStyle name="Normal 136 2" xfId="1314" xr:uid="{00000000-0005-0000-0000-000022050000}"/>
    <cellStyle name="Normal 136 2 2" xfId="2762" xr:uid="{00000000-0005-0000-0000-0000CA0A0000}"/>
    <cellStyle name="Normal 136 2 2 2" xfId="5618" xr:uid="{00000000-0005-0000-0000-0000F2150000}"/>
    <cellStyle name="Normal 136 2 3" xfId="4200" xr:uid="{00000000-0005-0000-0000-000068100000}"/>
    <cellStyle name="Normal 136 3" xfId="2117" xr:uid="{00000000-0005-0000-0000-000045080000}"/>
    <cellStyle name="Normal 136 3 2" xfId="4977" xr:uid="{00000000-0005-0000-0000-000071130000}"/>
    <cellStyle name="Normal 136 4" xfId="3561" xr:uid="{00000000-0005-0000-0000-0000E90D0000}"/>
    <cellStyle name="Normal 137" xfId="602" xr:uid="{00000000-0005-0000-0000-00005A020000}"/>
    <cellStyle name="Normal 137 2" xfId="1320" xr:uid="{00000000-0005-0000-0000-000028050000}"/>
    <cellStyle name="Normal 137 2 2" xfId="2768" xr:uid="{00000000-0005-0000-0000-0000D00A0000}"/>
    <cellStyle name="Normal 137 2 2 2" xfId="5624" xr:uid="{00000000-0005-0000-0000-0000F8150000}"/>
    <cellStyle name="Normal 137 2 3" xfId="4206" xr:uid="{00000000-0005-0000-0000-00006E100000}"/>
    <cellStyle name="Normal 137 3" xfId="2123" xr:uid="{00000000-0005-0000-0000-00004B080000}"/>
    <cellStyle name="Normal 137 3 2" xfId="4983" xr:uid="{00000000-0005-0000-0000-000077130000}"/>
    <cellStyle name="Normal 137 4" xfId="3567" xr:uid="{00000000-0005-0000-0000-0000EF0D0000}"/>
    <cellStyle name="Normal 138" xfId="604" xr:uid="{00000000-0005-0000-0000-00005C020000}"/>
    <cellStyle name="Normal 138 2" xfId="1322" xr:uid="{00000000-0005-0000-0000-00002A050000}"/>
    <cellStyle name="Normal 138 2 2" xfId="2770" xr:uid="{00000000-0005-0000-0000-0000D20A0000}"/>
    <cellStyle name="Normal 138 2 2 2" xfId="5626" xr:uid="{00000000-0005-0000-0000-0000FA150000}"/>
    <cellStyle name="Normal 138 2 3" xfId="4208" xr:uid="{00000000-0005-0000-0000-000070100000}"/>
    <cellStyle name="Normal 138 3" xfId="2125" xr:uid="{00000000-0005-0000-0000-00004D080000}"/>
    <cellStyle name="Normal 138 3 2" xfId="4985" xr:uid="{00000000-0005-0000-0000-000079130000}"/>
    <cellStyle name="Normal 138 4" xfId="3569" xr:uid="{00000000-0005-0000-0000-0000F10D0000}"/>
    <cellStyle name="Normal 139" xfId="608" xr:uid="{00000000-0005-0000-0000-000060020000}"/>
    <cellStyle name="Normal 139 2" xfId="630" xr:uid="{00000000-0005-0000-0000-000076020000}"/>
    <cellStyle name="Normal 139 2 2" xfId="1344" xr:uid="{00000000-0005-0000-0000-000040050000}"/>
    <cellStyle name="Normal 139 2 2 2" xfId="2792" xr:uid="{00000000-0005-0000-0000-0000E80A0000}"/>
    <cellStyle name="Normal 139 2 2 2 2" xfId="5648" xr:uid="{00000000-0005-0000-0000-000010160000}"/>
    <cellStyle name="Normal 139 2 2 3" xfId="4230" xr:uid="{00000000-0005-0000-0000-000086100000}"/>
    <cellStyle name="Normal 139 2 3" xfId="2148" xr:uid="{00000000-0005-0000-0000-000064080000}"/>
    <cellStyle name="Normal 139 2 3 2" xfId="5008" xr:uid="{00000000-0005-0000-0000-000090130000}"/>
    <cellStyle name="Normal 139 2 4" xfId="3592" xr:uid="{00000000-0005-0000-0000-0000080E0000}"/>
    <cellStyle name="Normal 139 3" xfId="1326" xr:uid="{00000000-0005-0000-0000-00002E050000}"/>
    <cellStyle name="Normal 139 3 2" xfId="2774" xr:uid="{00000000-0005-0000-0000-0000D60A0000}"/>
    <cellStyle name="Normal 139 3 2 2" xfId="5630" xr:uid="{00000000-0005-0000-0000-0000FE150000}"/>
    <cellStyle name="Normal 139 3 3" xfId="4212" xr:uid="{00000000-0005-0000-0000-000074100000}"/>
    <cellStyle name="Normal 139 4" xfId="2129" xr:uid="{00000000-0005-0000-0000-000051080000}"/>
    <cellStyle name="Normal 139 4 2" xfId="4989" xr:uid="{00000000-0005-0000-0000-00007D130000}"/>
    <cellStyle name="Normal 139 5" xfId="3573" xr:uid="{00000000-0005-0000-0000-0000F50D0000}"/>
    <cellStyle name="Normal 14" xfId="51" xr:uid="{00000000-0005-0000-0000-000033000000}"/>
    <cellStyle name="Normal 14 2" xfId="783" xr:uid="{00000000-0005-0000-0000-00000F030000}"/>
    <cellStyle name="Normal 14 2 2" xfId="2235" xr:uid="{00000000-0005-0000-0000-0000BB080000}"/>
    <cellStyle name="Normal 14 2 2 2" xfId="5091" xr:uid="{00000000-0005-0000-0000-0000E3130000}"/>
    <cellStyle name="Normal 14 2 3" xfId="3673" xr:uid="{00000000-0005-0000-0000-0000590E0000}"/>
    <cellStyle name="Normal 14 3" xfId="1587" xr:uid="{00000000-0005-0000-0000-000033060000}"/>
    <cellStyle name="Normal 14 3 2" xfId="4447" xr:uid="{00000000-0005-0000-0000-00005F110000}"/>
    <cellStyle name="Normal 14 4" xfId="3032" xr:uid="{00000000-0005-0000-0000-0000D80B0000}"/>
    <cellStyle name="Normal 140" xfId="610" xr:uid="{00000000-0005-0000-0000-000062020000}"/>
    <cellStyle name="Normal 140 2" xfId="1328" xr:uid="{00000000-0005-0000-0000-000030050000}"/>
    <cellStyle name="Normal 140 2 2" xfId="2776" xr:uid="{00000000-0005-0000-0000-0000D80A0000}"/>
    <cellStyle name="Normal 140 2 2 2" xfId="5632" xr:uid="{00000000-0005-0000-0000-000000160000}"/>
    <cellStyle name="Normal 140 2 3" xfId="4214" xr:uid="{00000000-0005-0000-0000-000076100000}"/>
    <cellStyle name="Normal 140 3" xfId="2131" xr:uid="{00000000-0005-0000-0000-000053080000}"/>
    <cellStyle name="Normal 140 3 2" xfId="4991" xr:uid="{00000000-0005-0000-0000-00007F130000}"/>
    <cellStyle name="Normal 140 4" xfId="3575" xr:uid="{00000000-0005-0000-0000-0000F70D0000}"/>
    <cellStyle name="Normal 141" xfId="612" xr:uid="{00000000-0005-0000-0000-000064020000}"/>
    <cellStyle name="Normal 141 2" xfId="1330" xr:uid="{00000000-0005-0000-0000-000032050000}"/>
    <cellStyle name="Normal 141 2 2" xfId="2778" xr:uid="{00000000-0005-0000-0000-0000DA0A0000}"/>
    <cellStyle name="Normal 141 2 2 2" xfId="5634" xr:uid="{00000000-0005-0000-0000-000002160000}"/>
    <cellStyle name="Normal 141 2 3" xfId="4216" xr:uid="{00000000-0005-0000-0000-000078100000}"/>
    <cellStyle name="Normal 141 3" xfId="2133" xr:uid="{00000000-0005-0000-0000-000055080000}"/>
    <cellStyle name="Normal 141 3 2" xfId="4993" xr:uid="{00000000-0005-0000-0000-000081130000}"/>
    <cellStyle name="Normal 141 4" xfId="3577" xr:uid="{00000000-0005-0000-0000-0000F90D0000}"/>
    <cellStyle name="Normal 142" xfId="631" xr:uid="{00000000-0005-0000-0000-000077020000}"/>
    <cellStyle name="Normal 142 2" xfId="1345" xr:uid="{00000000-0005-0000-0000-000041050000}"/>
    <cellStyle name="Normal 142 2 2" xfId="2793" xr:uid="{00000000-0005-0000-0000-0000E90A0000}"/>
    <cellStyle name="Normal 142 2 2 2" xfId="5649" xr:uid="{00000000-0005-0000-0000-000011160000}"/>
    <cellStyle name="Normal 142 2 3" xfId="4231" xr:uid="{00000000-0005-0000-0000-000087100000}"/>
    <cellStyle name="Normal 142 3" xfId="2149" xr:uid="{00000000-0005-0000-0000-000065080000}"/>
    <cellStyle name="Normal 142 3 2" xfId="5009" xr:uid="{00000000-0005-0000-0000-000091130000}"/>
    <cellStyle name="Normal 142 4" xfId="3593" xr:uid="{00000000-0005-0000-0000-0000090E0000}"/>
    <cellStyle name="Normal 143" xfId="635" xr:uid="{00000000-0005-0000-0000-00007B020000}"/>
    <cellStyle name="Normal 143 2" xfId="1349" xr:uid="{00000000-0005-0000-0000-000045050000}"/>
    <cellStyle name="Normal 143 2 2" xfId="2797" xr:uid="{00000000-0005-0000-0000-0000ED0A0000}"/>
    <cellStyle name="Normal 143 2 2 2" xfId="5653" xr:uid="{00000000-0005-0000-0000-000015160000}"/>
    <cellStyle name="Normal 143 2 3" xfId="4235" xr:uid="{00000000-0005-0000-0000-00008B100000}"/>
    <cellStyle name="Normal 143 3" xfId="2153" xr:uid="{00000000-0005-0000-0000-000069080000}"/>
    <cellStyle name="Normal 143 3 2" xfId="5013" xr:uid="{00000000-0005-0000-0000-000095130000}"/>
    <cellStyle name="Normal 143 4" xfId="3597" xr:uid="{00000000-0005-0000-0000-00000D0E0000}"/>
    <cellStyle name="Normal 144" xfId="639" xr:uid="{00000000-0005-0000-0000-00007F020000}"/>
    <cellStyle name="Normal 144 2" xfId="1353" xr:uid="{00000000-0005-0000-0000-000049050000}"/>
    <cellStyle name="Normal 144 2 2" xfId="2801" xr:uid="{00000000-0005-0000-0000-0000F10A0000}"/>
    <cellStyle name="Normal 144 2 2 2" xfId="5657" xr:uid="{00000000-0005-0000-0000-000019160000}"/>
    <cellStyle name="Normal 144 2 3" xfId="4239" xr:uid="{00000000-0005-0000-0000-00008F100000}"/>
    <cellStyle name="Normal 144 3" xfId="2157" xr:uid="{00000000-0005-0000-0000-00006D080000}"/>
    <cellStyle name="Normal 144 3 2" xfId="5017" xr:uid="{00000000-0005-0000-0000-000099130000}"/>
    <cellStyle name="Normal 144 4" xfId="3601" xr:uid="{00000000-0005-0000-0000-0000110E0000}"/>
    <cellStyle name="Normal 145" xfId="641" xr:uid="{00000000-0005-0000-0000-000081020000}"/>
    <cellStyle name="Normal 145 2" xfId="1355" xr:uid="{00000000-0005-0000-0000-00004B050000}"/>
    <cellStyle name="Normal 145 2 2" xfId="2803" xr:uid="{00000000-0005-0000-0000-0000F30A0000}"/>
    <cellStyle name="Normal 145 2 2 2" xfId="5659" xr:uid="{00000000-0005-0000-0000-00001B160000}"/>
    <cellStyle name="Normal 145 2 3" xfId="4241" xr:uid="{00000000-0005-0000-0000-000091100000}"/>
    <cellStyle name="Normal 145 3" xfId="2159" xr:uid="{00000000-0005-0000-0000-00006F080000}"/>
    <cellStyle name="Normal 145 3 2" xfId="5019" xr:uid="{00000000-0005-0000-0000-00009B130000}"/>
    <cellStyle name="Normal 145 4" xfId="3603" xr:uid="{00000000-0005-0000-0000-0000130E0000}"/>
    <cellStyle name="Normal 146" xfId="644" xr:uid="{00000000-0005-0000-0000-000084020000}"/>
    <cellStyle name="Normal 146 2" xfId="1358" xr:uid="{00000000-0005-0000-0000-00004E050000}"/>
    <cellStyle name="Normal 146 2 2" xfId="2806" xr:uid="{00000000-0005-0000-0000-0000F60A0000}"/>
    <cellStyle name="Normal 146 2 2 2" xfId="5662" xr:uid="{00000000-0005-0000-0000-00001E160000}"/>
    <cellStyle name="Normal 146 2 3" xfId="4244" xr:uid="{00000000-0005-0000-0000-000094100000}"/>
    <cellStyle name="Normal 146 3" xfId="2162" xr:uid="{00000000-0005-0000-0000-000072080000}"/>
    <cellStyle name="Normal 146 3 2" xfId="5022" xr:uid="{00000000-0005-0000-0000-00009E130000}"/>
    <cellStyle name="Normal 146 4" xfId="3606" xr:uid="{00000000-0005-0000-0000-0000160E0000}"/>
    <cellStyle name="Normal 147" xfId="646" xr:uid="{00000000-0005-0000-0000-000086020000}"/>
    <cellStyle name="Normal 148" xfId="658" xr:uid="{00000000-0005-0000-0000-000092020000}"/>
    <cellStyle name="Normal 148 2" xfId="1360" xr:uid="{00000000-0005-0000-0000-000050050000}"/>
    <cellStyle name="Normal 148 2 2" xfId="2808" xr:uid="{00000000-0005-0000-0000-0000F80A0000}"/>
    <cellStyle name="Normal 148 2 2 2" xfId="5664" xr:uid="{00000000-0005-0000-0000-000020160000}"/>
    <cellStyle name="Normal 148 2 3" xfId="4246" xr:uid="{00000000-0005-0000-0000-000096100000}"/>
    <cellStyle name="Normal 148 3" xfId="1492" xr:uid="{00000000-0005-0000-0000-0000D4050000}"/>
    <cellStyle name="Normal 148 3 2" xfId="2920" xr:uid="{00000000-0005-0000-0000-0000680B0000}"/>
    <cellStyle name="Normal 148 3 2 2" xfId="5774" xr:uid="{00000000-0005-0000-0000-00008E160000}"/>
    <cellStyle name="Normal 148 3 3" xfId="4353" xr:uid="{00000000-0005-0000-0000-000001110000}"/>
    <cellStyle name="Normal 148 4" xfId="2164" xr:uid="{00000000-0005-0000-0000-000074080000}"/>
    <cellStyle name="Normal 148 4 2" xfId="5024" xr:uid="{00000000-0005-0000-0000-0000A0130000}"/>
    <cellStyle name="Normal 148 5" xfId="3608" xr:uid="{00000000-0005-0000-0000-0000180E0000}"/>
    <cellStyle name="Normal 149" xfId="663" xr:uid="{00000000-0005-0000-0000-000097020000}"/>
    <cellStyle name="Normal 149 2" xfId="1364" xr:uid="{00000000-0005-0000-0000-000054050000}"/>
    <cellStyle name="Normal 149 2 2" xfId="2812" xr:uid="{00000000-0005-0000-0000-0000FC0A0000}"/>
    <cellStyle name="Normal 149 2 2 2" xfId="5668" xr:uid="{00000000-0005-0000-0000-000024160000}"/>
    <cellStyle name="Normal 149 2 3" xfId="4250" xr:uid="{00000000-0005-0000-0000-00009A100000}"/>
    <cellStyle name="Normal 149 3" xfId="2168" xr:uid="{00000000-0005-0000-0000-000078080000}"/>
    <cellStyle name="Normal 149 3 2" xfId="5028" xr:uid="{00000000-0005-0000-0000-0000A4130000}"/>
    <cellStyle name="Normal 149 4" xfId="3612" xr:uid="{00000000-0005-0000-0000-00001C0E0000}"/>
    <cellStyle name="Normal 15" xfId="53" xr:uid="{00000000-0005-0000-0000-000035000000}"/>
    <cellStyle name="Normal 15 2" xfId="785" xr:uid="{00000000-0005-0000-0000-000011030000}"/>
    <cellStyle name="Normal 15 2 2" xfId="2237" xr:uid="{00000000-0005-0000-0000-0000BD080000}"/>
    <cellStyle name="Normal 15 2 2 2" xfId="5093" xr:uid="{00000000-0005-0000-0000-0000E5130000}"/>
    <cellStyle name="Normal 15 2 3" xfId="3675" xr:uid="{00000000-0005-0000-0000-00005B0E0000}"/>
    <cellStyle name="Normal 15 3" xfId="1589" xr:uid="{00000000-0005-0000-0000-000035060000}"/>
    <cellStyle name="Normal 15 3 2" xfId="4449" xr:uid="{00000000-0005-0000-0000-000061110000}"/>
    <cellStyle name="Normal 15 4" xfId="3034" xr:uid="{00000000-0005-0000-0000-0000DA0B0000}"/>
    <cellStyle name="Normal 150" xfId="669" xr:uid="{00000000-0005-0000-0000-00009D020000}"/>
    <cellStyle name="Normal 150 2" xfId="1368" xr:uid="{00000000-0005-0000-0000-000058050000}"/>
    <cellStyle name="Normal 150 2 2" xfId="2816" xr:uid="{00000000-0005-0000-0000-0000000B0000}"/>
    <cellStyle name="Normal 150 2 2 2" xfId="5671" xr:uid="{00000000-0005-0000-0000-000027160000}"/>
    <cellStyle name="Normal 150 2 3" xfId="4253" xr:uid="{00000000-0005-0000-0000-00009D100000}"/>
    <cellStyle name="Normal 150 3" xfId="2172" xr:uid="{00000000-0005-0000-0000-00007C080000}"/>
    <cellStyle name="Normal 150 3 2" xfId="5032" xr:uid="{00000000-0005-0000-0000-0000A8130000}"/>
    <cellStyle name="Normal 150 4" xfId="3616" xr:uid="{00000000-0005-0000-0000-0000200E0000}"/>
    <cellStyle name="Normal 151" xfId="674" xr:uid="{00000000-0005-0000-0000-0000A2020000}"/>
    <cellStyle name="Normal 151 2" xfId="1371" xr:uid="{00000000-0005-0000-0000-00005B050000}"/>
    <cellStyle name="Normal 152" xfId="676" xr:uid="{00000000-0005-0000-0000-0000A4020000}"/>
    <cellStyle name="Normal 152 2" xfId="682" xr:uid="{00000000-0005-0000-0000-0000AA020000}"/>
    <cellStyle name="Normal 152 2 2" xfId="687" xr:uid="{00000000-0005-0000-0000-0000AF020000}"/>
    <cellStyle name="Normal 152 2 2 2" xfId="696" xr:uid="{00000000-0005-0000-0000-0000B8020000}"/>
    <cellStyle name="Normal 152 2 2 2 2" xfId="702" xr:uid="{00000000-0005-0000-0000-0000BE020000}"/>
    <cellStyle name="Normal 152 2 2 2 2 2" xfId="1385" xr:uid="{00000000-0005-0000-0000-000069050000}"/>
    <cellStyle name="Normal 152 2 2 2 2 2 2" xfId="2832" xr:uid="{00000000-0005-0000-0000-0000100B0000}"/>
    <cellStyle name="Normal 152 2 2 2 2 2 2 2" xfId="5687" xr:uid="{00000000-0005-0000-0000-000037160000}"/>
    <cellStyle name="Normal 152 2 2 2 2 2 3" xfId="4269" xr:uid="{00000000-0005-0000-0000-0000AD100000}"/>
    <cellStyle name="Normal 152 2 2 2 2 3" xfId="2190" xr:uid="{00000000-0005-0000-0000-00008E080000}"/>
    <cellStyle name="Normal 152 2 2 2 2 3 2" xfId="5048" xr:uid="{00000000-0005-0000-0000-0000B8130000}"/>
    <cellStyle name="Normal 152 2 2 2 2 4" xfId="3632" xr:uid="{00000000-0005-0000-0000-0000300E0000}"/>
    <cellStyle name="Normal 152 2 2 2 3" xfId="709" xr:uid="{00000000-0005-0000-0000-0000C5020000}"/>
    <cellStyle name="Normal 152 2 2 2 3 2" xfId="1390" xr:uid="{00000000-0005-0000-0000-00006E050000}"/>
    <cellStyle name="Normal 152 2 2 2 3 2 2" xfId="2837" xr:uid="{00000000-0005-0000-0000-0000150B0000}"/>
    <cellStyle name="Normal 152 2 2 2 3 2 2 2" xfId="5692" xr:uid="{00000000-0005-0000-0000-00003C160000}"/>
    <cellStyle name="Normal 152 2 2 2 3 2 3" xfId="4274" xr:uid="{00000000-0005-0000-0000-0000B2100000}"/>
    <cellStyle name="Normal 152 2 2 2 3 3" xfId="2196" xr:uid="{00000000-0005-0000-0000-000094080000}"/>
    <cellStyle name="Normal 152 2 2 2 3 3 2" xfId="5053" xr:uid="{00000000-0005-0000-0000-0000BD130000}"/>
    <cellStyle name="Normal 152 2 2 2 3 4" xfId="3637" xr:uid="{00000000-0005-0000-0000-0000350E0000}"/>
    <cellStyle name="Normal 152 2 2 2 3 5" xfId="5996" xr:uid="{00000000-0005-0000-0000-00006C170000}"/>
    <cellStyle name="Normal 152 2 2 2 4" xfId="715" xr:uid="{00000000-0005-0000-0000-0000CB020000}"/>
    <cellStyle name="Normal 152 2 2 2 4 2" xfId="728" xr:uid="{00000000-0005-0000-0000-0000D8020000}"/>
    <cellStyle name="Normal 152 2 2 2 4 2 2" xfId="735" xr:uid="{00000000-0005-0000-0000-0000DF020000}"/>
    <cellStyle name="Normal 152 2 2 2 4 2 2 2" xfId="1407" xr:uid="{00000000-0005-0000-0000-00007F050000}"/>
    <cellStyle name="Normal 152 2 2 2 4 2 2 2 2" xfId="2854" xr:uid="{00000000-0005-0000-0000-0000260B0000}"/>
    <cellStyle name="Normal 152 2 2 2 4 2 2 2 2 2" xfId="5709" xr:uid="{00000000-0005-0000-0000-00004D160000}"/>
    <cellStyle name="Normal 152 2 2 2 4 2 2 2 3" xfId="4291" xr:uid="{00000000-0005-0000-0000-0000C3100000}"/>
    <cellStyle name="Normal 152 2 2 2 4 2 2 3" xfId="2214" xr:uid="{00000000-0005-0000-0000-0000A6080000}"/>
    <cellStyle name="Normal 152 2 2 2 4 2 2 3 2" xfId="5070" xr:uid="{00000000-0005-0000-0000-0000CE130000}"/>
    <cellStyle name="Normal 152 2 2 2 4 2 2 4" xfId="3654" xr:uid="{00000000-0005-0000-0000-0000460E0000}"/>
    <cellStyle name="Normal 152 2 2 2 4 2 3" xfId="744" xr:uid="{00000000-0005-0000-0000-0000E8020000}"/>
    <cellStyle name="Normal 152 2 2 2 4 2 3 2" xfId="751" xr:uid="{00000000-0005-0000-0000-0000EF020000}"/>
    <cellStyle name="Normal 152 2 2 2 4 2 3 2 2" xfId="761" xr:uid="{00000000-0005-0000-0000-0000F9020000}"/>
    <cellStyle name="Normal 152 2 2 2 4 2 3 2 2 2" xfId="1418" xr:uid="{00000000-0005-0000-0000-00008A050000}"/>
    <cellStyle name="Normal 152 2 2 2 4 2 3 2 2 2 2" xfId="1429" xr:uid="{00000000-0005-0000-0000-000095050000}"/>
    <cellStyle name="Normal 152 2 2 2 4 2 3 2 2 2 2 10" xfId="5949" xr:uid="{00000000-0005-0000-0000-00003D170000}"/>
    <cellStyle name="Normal 152 2 2 2 4 2 3 2 2 2 2 11" xfId="5965" xr:uid="{00000000-0005-0000-0000-00004D170000}"/>
    <cellStyle name="Normal 152 2 2 2 4 2 3 2 2 2 2 12" xfId="5983" xr:uid="{00000000-0005-0000-0000-00005F170000}"/>
    <cellStyle name="Normal 152 2 2 2 4 2 3 2 2 2 2 2" xfId="1454" xr:uid="{00000000-0005-0000-0000-0000AE050000}"/>
    <cellStyle name="Normal 152 2 2 2 4 2 3 2 2 2 2 2 2" xfId="2882" xr:uid="{00000000-0005-0000-0000-0000420B0000}"/>
    <cellStyle name="Normal 152 2 2 2 4 2 3 2 2 2 2 2 2 2" xfId="5736" xr:uid="{00000000-0005-0000-0000-000068160000}"/>
    <cellStyle name="Normal 152 2 2 2 4 2 3 2 2 2 2 2 3" xfId="4315" xr:uid="{00000000-0005-0000-0000-0000DB100000}"/>
    <cellStyle name="Normal 152 2 2 2 4 2 3 2 2 2 2 3" xfId="1471" xr:uid="{00000000-0005-0000-0000-0000BF050000}"/>
    <cellStyle name="Normal 152 2 2 2 4 2 3 2 2 2 2 3 2" xfId="1486" xr:uid="{00000000-0005-0000-0000-0000CE050000}"/>
    <cellStyle name="Normal 152 2 2 2 4 2 3 2 2 2 2 3 2 2" xfId="1506" xr:uid="{00000000-0005-0000-0000-0000E2050000}"/>
    <cellStyle name="Normal 152 2 2 2 4 2 3 2 2 2 2 3 2 2 2" xfId="1536" xr:uid="{00000000-0005-0000-0000-000000060000}"/>
    <cellStyle name="Normal 152 2 2 2 4 2 3 2 2 2 2 3 2 2 2 2" xfId="2964" xr:uid="{00000000-0005-0000-0000-0000940B0000}"/>
    <cellStyle name="Normal 152 2 2 2 4 2 3 2 2 2 2 3 2 2 2 2 2" xfId="5817" xr:uid="{00000000-0005-0000-0000-0000B9160000}"/>
    <cellStyle name="Normal 152 2 2 2 4 2 3 2 2 2 2 3 2 2 2 3" xfId="4396" xr:uid="{00000000-0005-0000-0000-00002C110000}"/>
    <cellStyle name="Normal 152 2 2 2 4 2 3 2 2 2 2 3 2 2 3" xfId="2934" xr:uid="{00000000-0005-0000-0000-0000760B0000}"/>
    <cellStyle name="Normal 152 2 2 2 4 2 3 2 2 2 2 3 2 2 3 2" xfId="5787" xr:uid="{00000000-0005-0000-0000-00009B160000}"/>
    <cellStyle name="Normal 152 2 2 2 4 2 3 2 2 2 2 3 2 2 4" xfId="4366" xr:uid="{00000000-0005-0000-0000-00000E110000}"/>
    <cellStyle name="Normal 152 2 2 2 4 2 3 2 2 2 2 3 2 3" xfId="2914" xr:uid="{00000000-0005-0000-0000-0000620B0000}"/>
    <cellStyle name="Normal 152 2 2 2 4 2 3 2 2 2 2 3 2 3 2" xfId="5768" xr:uid="{00000000-0005-0000-0000-000088160000}"/>
    <cellStyle name="Normal 152 2 2 2 4 2 3 2 2 2 2 3 2 4" xfId="4347" xr:uid="{00000000-0005-0000-0000-0000FB100000}"/>
    <cellStyle name="Normal 152 2 2 2 4 2 3 2 2 2 2 3 3" xfId="2899" xr:uid="{00000000-0005-0000-0000-0000530B0000}"/>
    <cellStyle name="Normal 152 2 2 2 4 2 3 2 2 2 2 3 3 2" xfId="5753" xr:uid="{00000000-0005-0000-0000-000079160000}"/>
    <cellStyle name="Normal 152 2 2 2 4 2 3 2 2 2 2 3 4" xfId="4332" xr:uid="{00000000-0005-0000-0000-0000EC100000}"/>
    <cellStyle name="Normal 152 2 2 2 4 2 3 2 2 2 2 4" xfId="1484" xr:uid="{00000000-0005-0000-0000-0000CC050000}"/>
    <cellStyle name="Normal 152 2 2 2 4 2 3 2 2 2 2 4 2" xfId="1504" xr:uid="{00000000-0005-0000-0000-0000E0050000}"/>
    <cellStyle name="Normal 152 2 2 2 4 2 3 2 2 2 2 4 2 2" xfId="1534" xr:uid="{00000000-0005-0000-0000-0000FE050000}"/>
    <cellStyle name="Normal 152 2 2 2 4 2 3 2 2 2 2 4 2 2 2" xfId="2962" xr:uid="{00000000-0005-0000-0000-0000920B0000}"/>
    <cellStyle name="Normal 152 2 2 2 4 2 3 2 2 2 2 4 2 2 2 2" xfId="5815" xr:uid="{00000000-0005-0000-0000-0000B7160000}"/>
    <cellStyle name="Normal 152 2 2 2 4 2 3 2 2 2 2 4 2 2 3" xfId="4394" xr:uid="{00000000-0005-0000-0000-00002A110000}"/>
    <cellStyle name="Normal 152 2 2 2 4 2 3 2 2 2 2 4 2 3" xfId="2932" xr:uid="{00000000-0005-0000-0000-0000740B0000}"/>
    <cellStyle name="Normal 152 2 2 2 4 2 3 2 2 2 2 4 2 3 2" xfId="5785" xr:uid="{00000000-0005-0000-0000-000099160000}"/>
    <cellStyle name="Normal 152 2 2 2 4 2 3 2 2 2 2 4 2 3 2 2" xfId="5917" xr:uid="{00000000-0005-0000-0000-00001D170000}"/>
    <cellStyle name="Normal 152 2 2 2 4 2 3 2 2 2 2 4 2 4" xfId="4364" xr:uid="{00000000-0005-0000-0000-00000C110000}"/>
    <cellStyle name="Normal 152 2 2 2 4 2 3 2 2 2 2 4 3" xfId="2912" xr:uid="{00000000-0005-0000-0000-0000600B0000}"/>
    <cellStyle name="Normal 152 2 2 2 4 2 3 2 2 2 2 4 3 2" xfId="5766" xr:uid="{00000000-0005-0000-0000-000086160000}"/>
    <cellStyle name="Normal 152 2 2 2 4 2 3 2 2 2 2 4 4" xfId="4345" xr:uid="{00000000-0005-0000-0000-0000F9100000}"/>
    <cellStyle name="Normal 152 2 2 2 4 2 3 2 2 2 2 5" xfId="1516" xr:uid="{00000000-0005-0000-0000-0000EC050000}"/>
    <cellStyle name="Normal 152 2 2 2 4 2 3 2 2 2 2 5 2" xfId="2944" xr:uid="{00000000-0005-0000-0000-0000800B0000}"/>
    <cellStyle name="Normal 152 2 2 2 4 2 3 2 2 2 2 5 2 2" xfId="5797" xr:uid="{00000000-0005-0000-0000-0000A5160000}"/>
    <cellStyle name="Normal 152 2 2 2 4 2 3 2 2 2 2 5 3" xfId="4376" xr:uid="{00000000-0005-0000-0000-000018110000}"/>
    <cellStyle name="Normal 152 2 2 2 4 2 3 2 2 2 2 6" xfId="1552" xr:uid="{00000000-0005-0000-0000-000010060000}"/>
    <cellStyle name="Normal 152 2 2 2 4 2 3 2 2 2 2 6 2" xfId="2980" xr:uid="{00000000-0005-0000-0000-0000A40B0000}"/>
    <cellStyle name="Normal 152 2 2 2 4 2 3 2 2 2 2 6 2 2" xfId="5833" xr:uid="{00000000-0005-0000-0000-0000C9160000}"/>
    <cellStyle name="Normal 152 2 2 2 4 2 3 2 2 2 2 6 3" xfId="4412" xr:uid="{00000000-0005-0000-0000-00003C110000}"/>
    <cellStyle name="Normal 152 2 2 2 4 2 3 2 2 2 2 7" xfId="1568" xr:uid="{00000000-0005-0000-0000-000020060000}"/>
    <cellStyle name="Normal 152 2 2 2 4 2 3 2 2 2 2 7 2" xfId="4428" xr:uid="{00000000-0005-0000-0000-00004C110000}"/>
    <cellStyle name="Normal 152 2 2 2 4 2 3 2 2 2 2 8" xfId="3010" xr:uid="{00000000-0005-0000-0000-0000C20B0000}"/>
    <cellStyle name="Normal 152 2 2 2 4 2 3 2 2 2 2 8 2" xfId="5922" xr:uid="{00000000-0005-0000-0000-000022170000}"/>
    <cellStyle name="Normal 152 2 2 2 4 2 3 2 2 2 2 9" xfId="5938" xr:uid="{00000000-0005-0000-0000-000032170000}"/>
    <cellStyle name="Normal 152 2 2 2 4 2 3 2 3" xfId="1439" xr:uid="{00000000-0005-0000-0000-00009F050000}"/>
    <cellStyle name="Normal 152 2 2 2 4 2 3 2 3 2" xfId="2868" xr:uid="{00000000-0005-0000-0000-0000340B0000}"/>
    <cellStyle name="Normal 152 2 2 2 4 2 3 2 3 2 2" xfId="5723" xr:uid="{00000000-0005-0000-0000-00005B160000}"/>
    <cellStyle name="Normal 152 2 2 2 4 2 3 2 3 3" xfId="4303" xr:uid="{00000000-0005-0000-0000-0000CF100000}"/>
    <cellStyle name="Normal 152 2 2 2 4 2 3 2 4" xfId="1446" xr:uid="{00000000-0005-0000-0000-0000A6050000}"/>
    <cellStyle name="Normal 152 2 2 2 4 2 3 2 4 2" xfId="2875" xr:uid="{00000000-0005-0000-0000-00003B0B0000}"/>
    <cellStyle name="Normal 152 2 2 2 4 2 3 2 4 2 2" xfId="5729" xr:uid="{00000000-0005-0000-0000-000061160000}"/>
    <cellStyle name="Normal 152 2 2 2 4 2 3 2 4 3" xfId="4308" xr:uid="{00000000-0005-0000-0000-0000D4100000}"/>
    <cellStyle name="Normal 152 2 2 2 5" xfId="719" xr:uid="{00000000-0005-0000-0000-0000CF020000}"/>
    <cellStyle name="Normal 152 2 2 2 5 2" xfId="1398" xr:uid="{00000000-0005-0000-0000-000076050000}"/>
    <cellStyle name="Normal 152 2 2 2 5 2 2" xfId="2845" xr:uid="{00000000-0005-0000-0000-00001D0B0000}"/>
    <cellStyle name="Normal 152 2 2 2 5 2 2 2" xfId="5700" xr:uid="{00000000-0005-0000-0000-000044160000}"/>
    <cellStyle name="Normal 152 2 2 2 5 2 3" xfId="4282" xr:uid="{00000000-0005-0000-0000-0000BA100000}"/>
    <cellStyle name="Normal 152 2 2 2 5 3" xfId="2205" xr:uid="{00000000-0005-0000-0000-00009D080000}"/>
    <cellStyle name="Normal 152 2 2 2 5 3 2" xfId="5061" xr:uid="{00000000-0005-0000-0000-0000C5130000}"/>
    <cellStyle name="Normal 152 2 2 2 5 4" xfId="3645" xr:uid="{00000000-0005-0000-0000-00003D0E0000}"/>
    <cellStyle name="Normal 152 2 2 2 6" xfId="741" xr:uid="{00000000-0005-0000-0000-0000E5020000}"/>
    <cellStyle name="Normal 152 2 2 2 6 2" xfId="745" xr:uid="{00000000-0005-0000-0000-0000E9020000}"/>
    <cellStyle name="Normal 152 2 2 2 6 2 2" xfId="758" xr:uid="{00000000-0005-0000-0000-0000F6020000}"/>
    <cellStyle name="Normal 152 2 2 2 6 2 2 2" xfId="1414" xr:uid="{00000000-0005-0000-0000-000086050000}"/>
    <cellStyle name="Normal 152 2 2 2 6 2 2 2 2" xfId="1425" xr:uid="{00000000-0005-0000-0000-000091050000}"/>
    <cellStyle name="Normal 152 2 2 2 6 2 2 2 2 2" xfId="1450" xr:uid="{00000000-0005-0000-0000-0000AA050000}"/>
    <cellStyle name="Normal 152 2 2 2 6 2 2 2 2 2 2" xfId="2878" xr:uid="{00000000-0005-0000-0000-00003E0B0000}"/>
    <cellStyle name="Normal 152 2 2 2 6 2 2 2 2 2 2 2" xfId="5732" xr:uid="{00000000-0005-0000-0000-000064160000}"/>
    <cellStyle name="Normal 152 2 2 2 6 2 2 2 2 2 3" xfId="4311" xr:uid="{00000000-0005-0000-0000-0000D7100000}"/>
    <cellStyle name="Normal 152 2 2 2 6 2 2 2 2 3" xfId="1467" xr:uid="{00000000-0005-0000-0000-0000BB050000}"/>
    <cellStyle name="Normal 152 2 2 2 6 2 2 2 2 3 2" xfId="1500" xr:uid="{00000000-0005-0000-0000-0000DC050000}"/>
    <cellStyle name="Normal 152 2 2 2 6 2 2 2 2 3 2 2" xfId="1530" xr:uid="{00000000-0005-0000-0000-0000FA050000}"/>
    <cellStyle name="Normal 152 2 2 2 6 2 2 2 2 3 2 2 2" xfId="2958" xr:uid="{00000000-0005-0000-0000-00008E0B0000}"/>
    <cellStyle name="Normal 152 2 2 2 6 2 2 2 2 3 2 2 2 2" xfId="5811" xr:uid="{00000000-0005-0000-0000-0000B3160000}"/>
    <cellStyle name="Normal 152 2 2 2 6 2 2 2 2 3 2 2 2 2 2" xfId="5912" xr:uid="{00000000-0005-0000-0000-000018170000}"/>
    <cellStyle name="Normal 152 2 2 2 6 2 2 2 2 3 2 2 3" xfId="4390" xr:uid="{00000000-0005-0000-0000-000026110000}"/>
    <cellStyle name="Normal 152 2 2 2 6 2 2 2 2 3 2 3" xfId="2928" xr:uid="{00000000-0005-0000-0000-0000700B0000}"/>
    <cellStyle name="Normal 152 2 2 2 6 2 2 2 2 3 2 3 2" xfId="5781" xr:uid="{00000000-0005-0000-0000-000095160000}"/>
    <cellStyle name="Normal 152 2 2 2 6 2 2 2 2 3 2 3 2 2" xfId="5920" xr:uid="{00000000-0005-0000-0000-000020170000}"/>
    <cellStyle name="Normal 152 2 2 2 6 2 2 2 2 3 2 4" xfId="4360" xr:uid="{00000000-0005-0000-0000-000008110000}"/>
    <cellStyle name="Normal 152 2 2 2 6 2 2 2 2 3 3" xfId="2895" xr:uid="{00000000-0005-0000-0000-00004F0B0000}"/>
    <cellStyle name="Normal 152 2 2 2 6 2 2 2 2 3 3 2" xfId="5749" xr:uid="{00000000-0005-0000-0000-000075160000}"/>
    <cellStyle name="Normal 152 2 2 2 6 2 2 2 2 3 4" xfId="4328" xr:uid="{00000000-0005-0000-0000-0000E8100000}"/>
    <cellStyle name="Normal 152 2 2 2 6 2 2 2 2 4" xfId="1480" xr:uid="{00000000-0005-0000-0000-0000C8050000}"/>
    <cellStyle name="Normal 152 2 2 2 6 2 2 2 2 4 2" xfId="1498" xr:uid="{00000000-0005-0000-0000-0000DA050000}"/>
    <cellStyle name="Normal 152 2 2 2 6 2 2 2 2 4 2 2" xfId="1528" xr:uid="{00000000-0005-0000-0000-0000F8050000}"/>
    <cellStyle name="Normal 152 2 2 2 6 2 2 2 2 4 2 2 2" xfId="2956" xr:uid="{00000000-0005-0000-0000-00008C0B0000}"/>
    <cellStyle name="Normal 152 2 2 2 6 2 2 2 2 4 2 2 2 2" xfId="5809" xr:uid="{00000000-0005-0000-0000-0000B1160000}"/>
    <cellStyle name="Normal 152 2 2 2 6 2 2 2 2 4 2 2 2 2 2" xfId="5910" xr:uid="{00000000-0005-0000-0000-000016170000}"/>
    <cellStyle name="Normal 152 2 2 2 6 2 2 2 2 4 2 2 3" xfId="4388" xr:uid="{00000000-0005-0000-0000-000024110000}"/>
    <cellStyle name="Normal 152 2 2 2 6 2 2 2 2 4 2 3" xfId="2926" xr:uid="{00000000-0005-0000-0000-00006E0B0000}"/>
    <cellStyle name="Normal 152 2 2 2 6 2 2 2 2 4 2 3 2" xfId="5779" xr:uid="{00000000-0005-0000-0000-000093160000}"/>
    <cellStyle name="Normal 152 2 2 2 6 2 2 2 2 4 2 3 2 2" xfId="5918" xr:uid="{00000000-0005-0000-0000-00001E170000}"/>
    <cellStyle name="Normal 152 2 2 2 6 2 2 2 2 4 2 4" xfId="4358" xr:uid="{00000000-0005-0000-0000-000006110000}"/>
    <cellStyle name="Normal 152 2 2 2 6 2 2 2 2 4 3" xfId="2908" xr:uid="{00000000-0005-0000-0000-00005C0B0000}"/>
    <cellStyle name="Normal 152 2 2 2 6 2 2 2 2 4 3 2" xfId="5762" xr:uid="{00000000-0005-0000-0000-000082160000}"/>
    <cellStyle name="Normal 152 2 2 2 6 2 2 2 2 4 4" xfId="4341" xr:uid="{00000000-0005-0000-0000-0000F5100000}"/>
    <cellStyle name="Normal 152 2 2 2 6 2 2 2 2 5" xfId="1512" xr:uid="{00000000-0005-0000-0000-0000E8050000}"/>
    <cellStyle name="Normal 152 2 2 2 6 2 2 2 2 5 2" xfId="2940" xr:uid="{00000000-0005-0000-0000-00007C0B0000}"/>
    <cellStyle name="Normal 152 2 2 2 6 2 2 2 2 5 2 2" xfId="5793" xr:uid="{00000000-0005-0000-0000-0000A1160000}"/>
    <cellStyle name="Normal 152 2 2 2 6 2 2 2 2 5 3" xfId="4372" xr:uid="{00000000-0005-0000-0000-000014110000}"/>
    <cellStyle name="Normal 152 2 2 2 6 2 2 2 2 6" xfId="1548" xr:uid="{00000000-0005-0000-0000-00000C060000}"/>
    <cellStyle name="Normal 152 2 2 2 6 2 2 2 2 6 2" xfId="2976" xr:uid="{00000000-0005-0000-0000-0000A00B0000}"/>
    <cellStyle name="Normal 152 2 2 2 6 2 2 2 2 6 2 2" xfId="5829" xr:uid="{00000000-0005-0000-0000-0000C5160000}"/>
    <cellStyle name="Normal 152 2 2 2 6 2 2 2 2 6 3" xfId="4408" xr:uid="{00000000-0005-0000-0000-000038110000}"/>
    <cellStyle name="Normal 152 2 2 2 6 2 2 2 2 7" xfId="1564" xr:uid="{00000000-0005-0000-0000-00001C060000}"/>
    <cellStyle name="Normal 152 2 2 2 6 2 2 2 2 7 2" xfId="4424" xr:uid="{00000000-0005-0000-0000-000048110000}"/>
    <cellStyle name="Normal 152 2 2 2 6 2 2 2 2 8" xfId="3006" xr:uid="{00000000-0005-0000-0000-0000BE0B0000}"/>
    <cellStyle name="Normal 152 2 2 2 6 2 2 2 2 8 2" xfId="5909" xr:uid="{00000000-0005-0000-0000-000015170000}"/>
    <cellStyle name="Normal 152 2 2 2 6 2 2 2 2 8 2 2" xfId="5934" xr:uid="{00000000-0005-0000-0000-00002E170000}"/>
    <cellStyle name="Normal 152 2 2 2 6 2 2 2 2 8 2 2 2" xfId="5961" xr:uid="{00000000-0005-0000-0000-000049170000}"/>
    <cellStyle name="Normal 152 2 2 2 6 2 2 2 2 8 2 2 2 2" xfId="5979" xr:uid="{00000000-0005-0000-0000-00005B170000}"/>
    <cellStyle name="Normal 152 2 2 2 6 2 2 2 2 8 2 2 2 2 2" xfId="6005" xr:uid="{00000000-0005-0000-0000-000075170000}"/>
    <cellStyle name="Normal 152 2 2 2 6 2 2 2 2 9" xfId="5945" xr:uid="{00000000-0005-0000-0000-000039170000}"/>
    <cellStyle name="Normal 152 2 2 2 6 2 2 2 3" xfId="1466" xr:uid="{00000000-0005-0000-0000-0000BA050000}"/>
    <cellStyle name="Normal 152 2 2 2 6 2 2 2 3 2" xfId="2894" xr:uid="{00000000-0005-0000-0000-00004E0B0000}"/>
    <cellStyle name="Normal 152 2 2 2 6 2 2 2 3 2 2" xfId="5748" xr:uid="{00000000-0005-0000-0000-000074160000}"/>
    <cellStyle name="Normal 152 2 2 2 6 2 2 2 3 3" xfId="4327" xr:uid="{00000000-0005-0000-0000-0000E7100000}"/>
    <cellStyle name="Normal 152 2 2 2 6 2 2 2 4" xfId="1547" xr:uid="{00000000-0005-0000-0000-00000B060000}"/>
    <cellStyle name="Normal 152 2 2 2 6 2 2 2 4 2" xfId="2975" xr:uid="{00000000-0005-0000-0000-00009F0B0000}"/>
    <cellStyle name="Normal 152 2 2 2 6 2 2 2 4 2 2" xfId="5828" xr:uid="{00000000-0005-0000-0000-0000C4160000}"/>
    <cellStyle name="Normal 152 2 2 2 6 2 2 2 4 3" xfId="4407" xr:uid="{00000000-0005-0000-0000-000037110000}"/>
    <cellStyle name="Normal 152 2 2 2 6 2 2 2 5" xfId="1561" xr:uid="{00000000-0005-0000-0000-000019060000}"/>
    <cellStyle name="Normal 152 2 2 2 6 2 2 2 5 2" xfId="4421" xr:uid="{00000000-0005-0000-0000-000045110000}"/>
    <cellStyle name="Normal 152 2 2 2 6 2 3" xfId="1437" xr:uid="{00000000-0005-0000-0000-00009D050000}"/>
    <cellStyle name="Normal 152 2 2 2 6 2 3 2" xfId="2866" xr:uid="{00000000-0005-0000-0000-0000320B0000}"/>
    <cellStyle name="Normal 152 2 2 2 6 2 3 2 2" xfId="5721" xr:uid="{00000000-0005-0000-0000-000059160000}"/>
    <cellStyle name="Normal 152 2 2 2 6 2 3 3" xfId="4301" xr:uid="{00000000-0005-0000-0000-0000CD100000}"/>
    <cellStyle name="Normal 152 2 2 2 6 2 4" xfId="1444" xr:uid="{00000000-0005-0000-0000-0000A4050000}"/>
    <cellStyle name="Normal 152 2 2 2 6 2 4 2" xfId="2873" xr:uid="{00000000-0005-0000-0000-0000390B0000}"/>
    <cellStyle name="Normal 152 2 2 2 6 2 4 2 2" xfId="5727" xr:uid="{00000000-0005-0000-0000-00005F160000}"/>
    <cellStyle name="Normal 152 2 2 2 6 2 4 3" xfId="4306" xr:uid="{00000000-0005-0000-0000-0000D2100000}"/>
    <cellStyle name="Normal 152 2 2 2 7" xfId="1478" xr:uid="{00000000-0005-0000-0000-0000C6050000}"/>
    <cellStyle name="Normal 152 2 2 2 7 2" xfId="1497" xr:uid="{00000000-0005-0000-0000-0000D9050000}"/>
    <cellStyle name="Normal 152 2 2 2 7 2 2" xfId="2925" xr:uid="{00000000-0005-0000-0000-00006D0B0000}"/>
    <cellStyle name="Normal 152 2 2 2 7 2 2 2" xfId="5778" xr:uid="{00000000-0005-0000-0000-000092160000}"/>
    <cellStyle name="Normal 152 2 2 2 7 2 3" xfId="4357" xr:uid="{00000000-0005-0000-0000-000005110000}"/>
    <cellStyle name="Normal 152 2 2 2 7 3" xfId="2906" xr:uid="{00000000-0005-0000-0000-00005A0B0000}"/>
    <cellStyle name="Normal 152 2 2 2 7 3 2" xfId="5760" xr:uid="{00000000-0005-0000-0000-000080160000}"/>
    <cellStyle name="Normal 152 2 2 2 7 4" xfId="4339" xr:uid="{00000000-0005-0000-0000-0000F3100000}"/>
    <cellStyle name="Normal 152 2 3" xfId="692" xr:uid="{00000000-0005-0000-0000-0000B4020000}"/>
    <cellStyle name="Normal 152 2 3 2" xfId="1379" xr:uid="{00000000-0005-0000-0000-000063050000}"/>
    <cellStyle name="Normal 152 2 3 2 2" xfId="2826" xr:uid="{00000000-0005-0000-0000-00000A0B0000}"/>
    <cellStyle name="Normal 152 2 3 2 2 2" xfId="5681" xr:uid="{00000000-0005-0000-0000-000031160000}"/>
    <cellStyle name="Normal 152 2 3 2 3" xfId="4263" xr:uid="{00000000-0005-0000-0000-0000A7100000}"/>
    <cellStyle name="Normal 152 2 3 3" xfId="2183" xr:uid="{00000000-0005-0000-0000-000087080000}"/>
    <cellStyle name="Normal 152 2 3 3 2" xfId="5042" xr:uid="{00000000-0005-0000-0000-0000B2130000}"/>
    <cellStyle name="Normal 152 2 3 4" xfId="3626" xr:uid="{00000000-0005-0000-0000-00002A0E0000}"/>
    <cellStyle name="Normal 153" xfId="680" xr:uid="{00000000-0005-0000-0000-0000A8020000}"/>
    <cellStyle name="Normal 153 2" xfId="688" xr:uid="{00000000-0005-0000-0000-0000B0020000}"/>
    <cellStyle name="Normal 153 2 2" xfId="694" xr:uid="{00000000-0005-0000-0000-0000B6020000}"/>
    <cellStyle name="Normal 153 2 2 2" xfId="729" xr:uid="{00000000-0005-0000-0000-0000D9020000}"/>
    <cellStyle name="Normal 153 2 2 2 2" xfId="736" xr:uid="{00000000-0005-0000-0000-0000E0020000}"/>
    <cellStyle name="Normal 153 2 2 2 2 2" xfId="753" xr:uid="{00000000-0005-0000-0000-0000F1020000}"/>
    <cellStyle name="Normal 153 2 2 2 2 2 2" xfId="764" xr:uid="{00000000-0005-0000-0000-0000FC020000}"/>
    <cellStyle name="Normal 153 2 2 2 2 2 2 2" xfId="1421" xr:uid="{00000000-0005-0000-0000-00008D050000}"/>
    <cellStyle name="Normal 153 2 2 2 2 2 2 2 2" xfId="1432" xr:uid="{00000000-0005-0000-0000-000098050000}"/>
    <cellStyle name="Normal 153 2 2 2 2 2 2 2 2 10" xfId="5952" xr:uid="{00000000-0005-0000-0000-000040170000}"/>
    <cellStyle name="Normal 153 2 2 2 2 2 2 2 2 11" xfId="5968" xr:uid="{00000000-0005-0000-0000-000050170000}"/>
    <cellStyle name="Normal 153 2 2 2 2 2 2 2 2 12" xfId="5986" xr:uid="{00000000-0005-0000-0000-000062170000}"/>
    <cellStyle name="Normal 153 2 2 2 2 2 2 2 2 2" xfId="1457" xr:uid="{00000000-0005-0000-0000-0000B1050000}"/>
    <cellStyle name="Normal 153 2 2 2 2 2 2 2 2 2 2" xfId="2885" xr:uid="{00000000-0005-0000-0000-0000450B0000}"/>
    <cellStyle name="Normal 153 2 2 2 2 2 2 2 2 2 2 2" xfId="5739" xr:uid="{00000000-0005-0000-0000-00006B160000}"/>
    <cellStyle name="Normal 153 2 2 2 2 2 2 2 2 2 3" xfId="4318" xr:uid="{00000000-0005-0000-0000-0000DE100000}"/>
    <cellStyle name="Normal 153 2 2 2 2 2 2 2 2 3" xfId="1474" xr:uid="{00000000-0005-0000-0000-0000C2050000}"/>
    <cellStyle name="Normal 153 2 2 2 2 2 2 2 2 3 2" xfId="2902" xr:uid="{00000000-0005-0000-0000-0000560B0000}"/>
    <cellStyle name="Normal 153 2 2 2 2 2 2 2 2 3 2 2" xfId="5756" xr:uid="{00000000-0005-0000-0000-00007C160000}"/>
    <cellStyle name="Normal 153 2 2 2 2 2 2 2 2 3 3" xfId="4335" xr:uid="{00000000-0005-0000-0000-0000EF100000}"/>
    <cellStyle name="Normal 153 2 2 2 2 2 2 2 2 4" xfId="1488" xr:uid="{00000000-0005-0000-0000-0000D0050000}"/>
    <cellStyle name="Normal 153 2 2 2 2 2 2 2 2 4 2" xfId="1508" xr:uid="{00000000-0005-0000-0000-0000E4050000}"/>
    <cellStyle name="Normal 153 2 2 2 2 2 2 2 2 4 2 2" xfId="1538" xr:uid="{00000000-0005-0000-0000-000002060000}"/>
    <cellStyle name="Normal 153 2 2 2 2 2 2 2 2 4 2 2 2" xfId="2966" xr:uid="{00000000-0005-0000-0000-0000960B0000}"/>
    <cellStyle name="Normal 153 2 2 2 2 2 2 2 2 4 2 2 2 2" xfId="5819" xr:uid="{00000000-0005-0000-0000-0000BB160000}"/>
    <cellStyle name="Normal 153 2 2 2 2 2 2 2 2 4 2 2 3" xfId="4398" xr:uid="{00000000-0005-0000-0000-00002E110000}"/>
    <cellStyle name="Normal 153 2 2 2 2 2 2 2 2 4 2 3" xfId="2936" xr:uid="{00000000-0005-0000-0000-0000780B0000}"/>
    <cellStyle name="Normal 153 2 2 2 2 2 2 2 2 4 2 3 2" xfId="5789" xr:uid="{00000000-0005-0000-0000-00009D160000}"/>
    <cellStyle name="Normal 153 2 2 2 2 2 2 2 2 4 2 4" xfId="4368" xr:uid="{00000000-0005-0000-0000-000010110000}"/>
    <cellStyle name="Normal 153 2 2 2 2 2 2 2 2 4 3" xfId="2916" xr:uid="{00000000-0005-0000-0000-0000640B0000}"/>
    <cellStyle name="Normal 153 2 2 2 2 2 2 2 2 4 3 2" xfId="5770" xr:uid="{00000000-0005-0000-0000-00008A160000}"/>
    <cellStyle name="Normal 153 2 2 2 2 2 2 2 2 4 4" xfId="4349" xr:uid="{00000000-0005-0000-0000-0000FD100000}"/>
    <cellStyle name="Normal 153 2 2 2 2 2 2 2 2 5" xfId="1519" xr:uid="{00000000-0005-0000-0000-0000EF050000}"/>
    <cellStyle name="Normal 153 2 2 2 2 2 2 2 2 5 2" xfId="2947" xr:uid="{00000000-0005-0000-0000-0000830B0000}"/>
    <cellStyle name="Normal 153 2 2 2 2 2 2 2 2 5 2 2" xfId="5800" xr:uid="{00000000-0005-0000-0000-0000A8160000}"/>
    <cellStyle name="Normal 153 2 2 2 2 2 2 2 2 5 3" xfId="4379" xr:uid="{00000000-0005-0000-0000-00001B110000}"/>
    <cellStyle name="Normal 153 2 2 2 2 2 2 2 2 6" xfId="1555" xr:uid="{00000000-0005-0000-0000-000013060000}"/>
    <cellStyle name="Normal 153 2 2 2 2 2 2 2 2 6 2" xfId="2983" xr:uid="{00000000-0005-0000-0000-0000A70B0000}"/>
    <cellStyle name="Normal 153 2 2 2 2 2 2 2 2 6 2 2" xfId="5836" xr:uid="{00000000-0005-0000-0000-0000CC160000}"/>
    <cellStyle name="Normal 153 2 2 2 2 2 2 2 2 6 3" xfId="4415" xr:uid="{00000000-0005-0000-0000-00003F110000}"/>
    <cellStyle name="Normal 153 2 2 2 2 2 2 2 2 7" xfId="1571" xr:uid="{00000000-0005-0000-0000-000023060000}"/>
    <cellStyle name="Normal 153 2 2 2 2 2 2 2 2 7 2" xfId="4431" xr:uid="{00000000-0005-0000-0000-00004F110000}"/>
    <cellStyle name="Normal 153 2 2 2 2 2 2 2 2 8" xfId="3013" xr:uid="{00000000-0005-0000-0000-0000C50B0000}"/>
    <cellStyle name="Normal 153 2 2 2 2 2 2 2 2 8 2" xfId="5925" xr:uid="{00000000-0005-0000-0000-000025170000}"/>
    <cellStyle name="Normal 153 2 2 2 2 2 2 2 2 9" xfId="5941" xr:uid="{00000000-0005-0000-0000-000035170000}"/>
    <cellStyle name="Normal 154" xfId="686" xr:uid="{00000000-0005-0000-0000-0000AE020000}"/>
    <cellStyle name="Normal 154 2" xfId="1376" xr:uid="{00000000-0005-0000-0000-000060050000}"/>
    <cellStyle name="Normal 154 2 2" xfId="2823" xr:uid="{00000000-0005-0000-0000-0000070B0000}"/>
    <cellStyle name="Normal 154 2 2 2" xfId="5678" xr:uid="{00000000-0005-0000-0000-00002E160000}"/>
    <cellStyle name="Normal 154 2 3" xfId="4260" xr:uid="{00000000-0005-0000-0000-0000A4100000}"/>
    <cellStyle name="Normal 154 3" xfId="2180" xr:uid="{00000000-0005-0000-0000-000084080000}"/>
    <cellStyle name="Normal 154 3 2" xfId="5039" xr:uid="{00000000-0005-0000-0000-0000AF130000}"/>
    <cellStyle name="Normal 154 4" xfId="3623" xr:uid="{00000000-0005-0000-0000-0000270E0000}"/>
    <cellStyle name="Normal 155" xfId="690" xr:uid="{00000000-0005-0000-0000-0000B2020000}"/>
    <cellStyle name="Normal 155 2" xfId="1377" xr:uid="{00000000-0005-0000-0000-000061050000}"/>
    <cellStyle name="Normal 155 2 2" xfId="2824" xr:uid="{00000000-0005-0000-0000-0000080B0000}"/>
    <cellStyle name="Normal 155 2 2 2" xfId="5679" xr:uid="{00000000-0005-0000-0000-00002F160000}"/>
    <cellStyle name="Normal 155 2 3" xfId="4261" xr:uid="{00000000-0005-0000-0000-0000A5100000}"/>
    <cellStyle name="Normal 155 3" xfId="2181" xr:uid="{00000000-0005-0000-0000-000085080000}"/>
    <cellStyle name="Normal 155 3 2" xfId="5040" xr:uid="{00000000-0005-0000-0000-0000B0130000}"/>
    <cellStyle name="Normal 155 4" xfId="3624" xr:uid="{00000000-0005-0000-0000-0000280E0000}"/>
    <cellStyle name="Normal 156" xfId="699" xr:uid="{00000000-0005-0000-0000-0000BB020000}"/>
    <cellStyle name="Normal 156 2" xfId="1383" xr:uid="{00000000-0005-0000-0000-000067050000}"/>
    <cellStyle name="Normal 156 2 2" xfId="2830" xr:uid="{00000000-0005-0000-0000-00000E0B0000}"/>
    <cellStyle name="Normal 156 2 2 2" xfId="5685" xr:uid="{00000000-0005-0000-0000-000035160000}"/>
    <cellStyle name="Normal 156 2 3" xfId="4267" xr:uid="{00000000-0005-0000-0000-0000AB100000}"/>
    <cellStyle name="Normal 156 3" xfId="2187" xr:uid="{00000000-0005-0000-0000-00008B080000}"/>
    <cellStyle name="Normal 156 3 2" xfId="5046" xr:uid="{00000000-0005-0000-0000-0000B6130000}"/>
    <cellStyle name="Normal 156 4" xfId="3630" xr:uid="{00000000-0005-0000-0000-00002E0E0000}"/>
    <cellStyle name="Normal 157" xfId="707" xr:uid="{00000000-0005-0000-0000-0000C3020000}"/>
    <cellStyle name="Normal 157 2" xfId="1388" xr:uid="{00000000-0005-0000-0000-00006C050000}"/>
    <cellStyle name="Normal 157 2 2" xfId="2835" xr:uid="{00000000-0005-0000-0000-0000130B0000}"/>
    <cellStyle name="Normal 157 2 2 2" xfId="5690" xr:uid="{00000000-0005-0000-0000-00003A160000}"/>
    <cellStyle name="Normal 157 2 3" xfId="4272" xr:uid="{00000000-0005-0000-0000-0000B0100000}"/>
    <cellStyle name="Normal 157 3" xfId="1494" xr:uid="{00000000-0005-0000-0000-0000D6050000}"/>
    <cellStyle name="Normal 157 3 2" xfId="2922" xr:uid="{00000000-0005-0000-0000-00006A0B0000}"/>
    <cellStyle name="Normal 157 3 2 2" xfId="5775" xr:uid="{00000000-0005-0000-0000-00008F160000}"/>
    <cellStyle name="Normal 157 3 3" xfId="4354" xr:uid="{00000000-0005-0000-0000-000002110000}"/>
    <cellStyle name="Normal 157 4" xfId="2194" xr:uid="{00000000-0005-0000-0000-000092080000}"/>
    <cellStyle name="Normal 157 4 2" xfId="5051" xr:uid="{00000000-0005-0000-0000-0000BB130000}"/>
    <cellStyle name="Normal 157 5" xfId="3635" xr:uid="{00000000-0005-0000-0000-0000330E0000}"/>
    <cellStyle name="Normal 158" xfId="714" xr:uid="{00000000-0005-0000-0000-0000CA020000}"/>
    <cellStyle name="Normal 158 2" xfId="1395" xr:uid="{00000000-0005-0000-0000-000073050000}"/>
    <cellStyle name="Normal 158 2 2" xfId="2842" xr:uid="{00000000-0005-0000-0000-00001A0B0000}"/>
    <cellStyle name="Normal 158 2 2 2" xfId="5697" xr:uid="{00000000-0005-0000-0000-000041160000}"/>
    <cellStyle name="Normal 158 2 3" xfId="4279" xr:uid="{00000000-0005-0000-0000-0000B7100000}"/>
    <cellStyle name="Normal 158 3" xfId="2201" xr:uid="{00000000-0005-0000-0000-000099080000}"/>
    <cellStyle name="Normal 158 3 2" xfId="5058" xr:uid="{00000000-0005-0000-0000-0000C2130000}"/>
    <cellStyle name="Normal 158 4" xfId="3642" xr:uid="{00000000-0005-0000-0000-00003A0E0000}"/>
    <cellStyle name="Normal 159" xfId="717" xr:uid="{00000000-0005-0000-0000-0000CD020000}"/>
    <cellStyle name="Normal 159 2" xfId="1396" xr:uid="{00000000-0005-0000-0000-000074050000}"/>
    <cellStyle name="Normal 159 2 2" xfId="2843" xr:uid="{00000000-0005-0000-0000-00001B0B0000}"/>
    <cellStyle name="Normal 159 2 2 2" xfId="5698" xr:uid="{00000000-0005-0000-0000-000042160000}"/>
    <cellStyle name="Normal 159 2 3" xfId="4280" xr:uid="{00000000-0005-0000-0000-0000B8100000}"/>
    <cellStyle name="Normal 159 3" xfId="2203" xr:uid="{00000000-0005-0000-0000-00009B080000}"/>
    <cellStyle name="Normal 159 3 2" xfId="5059" xr:uid="{00000000-0005-0000-0000-0000C3130000}"/>
    <cellStyle name="Normal 159 4" xfId="3643" xr:uid="{00000000-0005-0000-0000-00003B0E0000}"/>
    <cellStyle name="Normal 16" xfId="54" xr:uid="{00000000-0005-0000-0000-000036000000}"/>
    <cellStyle name="Normal 160" xfId="720" xr:uid="{00000000-0005-0000-0000-0000D0020000}"/>
    <cellStyle name="Normal 160 2" xfId="1399" xr:uid="{00000000-0005-0000-0000-000077050000}"/>
    <cellStyle name="Normal 160 2 2" xfId="2846" xr:uid="{00000000-0005-0000-0000-00001E0B0000}"/>
    <cellStyle name="Normal 160 2 2 2" xfId="5701" xr:uid="{00000000-0005-0000-0000-000045160000}"/>
    <cellStyle name="Normal 160 2 3" xfId="4283" xr:uid="{00000000-0005-0000-0000-0000BB100000}"/>
    <cellStyle name="Normal 160 3" xfId="2206" xr:uid="{00000000-0005-0000-0000-00009E080000}"/>
    <cellStyle name="Normal 160 3 2" xfId="5062" xr:uid="{00000000-0005-0000-0000-0000C6130000}"/>
    <cellStyle name="Normal 160 4" xfId="3646" xr:uid="{00000000-0005-0000-0000-00003E0E0000}"/>
    <cellStyle name="Normal 161" xfId="726" xr:uid="{00000000-0005-0000-0000-0000D6020000}"/>
    <cellStyle name="Normal 161 2" xfId="733" xr:uid="{00000000-0005-0000-0000-0000DD020000}"/>
    <cellStyle name="Normal 161 2 2" xfId="752" xr:uid="{00000000-0005-0000-0000-0000F0020000}"/>
    <cellStyle name="Normal 161 2 2 2" xfId="763" xr:uid="{00000000-0005-0000-0000-0000FB020000}"/>
    <cellStyle name="Normal 161 2 2 2 2" xfId="1420" xr:uid="{00000000-0005-0000-0000-00008C050000}"/>
    <cellStyle name="Normal 161 2 2 2 2 2" xfId="1431" xr:uid="{00000000-0005-0000-0000-000097050000}"/>
    <cellStyle name="Normal 161 2 2 2 2 2 10" xfId="5951" xr:uid="{00000000-0005-0000-0000-00003F170000}"/>
    <cellStyle name="Normal 161 2 2 2 2 2 11" xfId="5967" xr:uid="{00000000-0005-0000-0000-00004F170000}"/>
    <cellStyle name="Normal 161 2 2 2 2 2 12" xfId="5985" xr:uid="{00000000-0005-0000-0000-000061170000}"/>
    <cellStyle name="Normal 161 2 2 2 2 2 2" xfId="1456" xr:uid="{00000000-0005-0000-0000-0000B0050000}"/>
    <cellStyle name="Normal 161 2 2 2 2 2 2 2" xfId="2884" xr:uid="{00000000-0005-0000-0000-0000440B0000}"/>
    <cellStyle name="Normal 161 2 2 2 2 2 2 2 2" xfId="5738" xr:uid="{00000000-0005-0000-0000-00006A160000}"/>
    <cellStyle name="Normal 161 2 2 2 2 2 2 3" xfId="4317" xr:uid="{00000000-0005-0000-0000-0000DD100000}"/>
    <cellStyle name="Normal 161 2 2 2 2 2 3" xfId="1473" xr:uid="{00000000-0005-0000-0000-0000C1050000}"/>
    <cellStyle name="Normal 161 2 2 2 2 2 3 2" xfId="2901" xr:uid="{00000000-0005-0000-0000-0000550B0000}"/>
    <cellStyle name="Normal 161 2 2 2 2 2 3 2 2" xfId="5755" xr:uid="{00000000-0005-0000-0000-00007B160000}"/>
    <cellStyle name="Normal 161 2 2 2 2 2 3 3" xfId="4334" xr:uid="{00000000-0005-0000-0000-0000EE100000}"/>
    <cellStyle name="Normal 161 2 2 2 2 2 4" xfId="1487" xr:uid="{00000000-0005-0000-0000-0000CF050000}"/>
    <cellStyle name="Normal 161 2 2 2 2 2 4 2" xfId="1507" xr:uid="{00000000-0005-0000-0000-0000E3050000}"/>
    <cellStyle name="Normal 161 2 2 2 2 2 4 2 2" xfId="1537" xr:uid="{00000000-0005-0000-0000-000001060000}"/>
    <cellStyle name="Normal 161 2 2 2 2 2 4 2 2 2" xfId="2965" xr:uid="{00000000-0005-0000-0000-0000950B0000}"/>
    <cellStyle name="Normal 161 2 2 2 2 2 4 2 2 2 2" xfId="5818" xr:uid="{00000000-0005-0000-0000-0000BA160000}"/>
    <cellStyle name="Normal 161 2 2 2 2 2 4 2 2 3" xfId="4397" xr:uid="{00000000-0005-0000-0000-00002D110000}"/>
    <cellStyle name="Normal 161 2 2 2 2 2 4 2 3" xfId="2935" xr:uid="{00000000-0005-0000-0000-0000770B0000}"/>
    <cellStyle name="Normal 161 2 2 2 2 2 4 2 3 2" xfId="5788" xr:uid="{00000000-0005-0000-0000-00009C160000}"/>
    <cellStyle name="Normal 161 2 2 2 2 2 4 2 4" xfId="4367" xr:uid="{00000000-0005-0000-0000-00000F110000}"/>
    <cellStyle name="Normal 161 2 2 2 2 2 4 3" xfId="2915" xr:uid="{00000000-0005-0000-0000-0000630B0000}"/>
    <cellStyle name="Normal 161 2 2 2 2 2 4 3 2" xfId="5769" xr:uid="{00000000-0005-0000-0000-000089160000}"/>
    <cellStyle name="Normal 161 2 2 2 2 2 4 4" xfId="4348" xr:uid="{00000000-0005-0000-0000-0000FC100000}"/>
    <cellStyle name="Normal 161 2 2 2 2 2 5" xfId="1518" xr:uid="{00000000-0005-0000-0000-0000EE050000}"/>
    <cellStyle name="Normal 161 2 2 2 2 2 5 2" xfId="2946" xr:uid="{00000000-0005-0000-0000-0000820B0000}"/>
    <cellStyle name="Normal 161 2 2 2 2 2 5 2 2" xfId="5799" xr:uid="{00000000-0005-0000-0000-0000A7160000}"/>
    <cellStyle name="Normal 161 2 2 2 2 2 5 3" xfId="4378" xr:uid="{00000000-0005-0000-0000-00001A110000}"/>
    <cellStyle name="Normal 161 2 2 2 2 2 6" xfId="1554" xr:uid="{00000000-0005-0000-0000-000012060000}"/>
    <cellStyle name="Normal 161 2 2 2 2 2 6 2" xfId="2982" xr:uid="{00000000-0005-0000-0000-0000A60B0000}"/>
    <cellStyle name="Normal 161 2 2 2 2 2 6 2 2" xfId="5835" xr:uid="{00000000-0005-0000-0000-0000CB160000}"/>
    <cellStyle name="Normal 161 2 2 2 2 2 6 3" xfId="4414" xr:uid="{00000000-0005-0000-0000-00003E110000}"/>
    <cellStyle name="Normal 161 2 2 2 2 2 7" xfId="1570" xr:uid="{00000000-0005-0000-0000-000022060000}"/>
    <cellStyle name="Normal 161 2 2 2 2 2 7 2" xfId="4430" xr:uid="{00000000-0005-0000-0000-00004E110000}"/>
    <cellStyle name="Normal 161 2 2 2 2 2 8" xfId="3012" xr:uid="{00000000-0005-0000-0000-0000C40B0000}"/>
    <cellStyle name="Normal 161 2 2 2 2 2 8 2" xfId="5924" xr:uid="{00000000-0005-0000-0000-000024170000}"/>
    <cellStyle name="Normal 161 2 2 2 2 2 9" xfId="5940" xr:uid="{00000000-0005-0000-0000-000034170000}"/>
    <cellStyle name="Normal 161 3" xfId="742" xr:uid="{00000000-0005-0000-0000-0000E6020000}"/>
    <cellStyle name="Normal 161 3 2" xfId="748" xr:uid="{00000000-0005-0000-0000-0000EC020000}"/>
    <cellStyle name="Normal 161 3 2 2" xfId="759" xr:uid="{00000000-0005-0000-0000-0000F7020000}"/>
    <cellStyle name="Normal 161 3 2 2 2" xfId="1416" xr:uid="{00000000-0005-0000-0000-000088050000}"/>
    <cellStyle name="Normal 161 3 2 2 2 2" xfId="1427" xr:uid="{00000000-0005-0000-0000-000093050000}"/>
    <cellStyle name="Normal 161 3 2 2 2 2 10" xfId="5947" xr:uid="{00000000-0005-0000-0000-00003B170000}"/>
    <cellStyle name="Normal 161 3 2 2 2 2 11" xfId="5963" xr:uid="{00000000-0005-0000-0000-00004B170000}"/>
    <cellStyle name="Normal 161 3 2 2 2 2 12" xfId="5981" xr:uid="{00000000-0005-0000-0000-00005D170000}"/>
    <cellStyle name="Normal 161 3 2 2 2 2 2" xfId="1452" xr:uid="{00000000-0005-0000-0000-0000AC050000}"/>
    <cellStyle name="Normal 161 3 2 2 2 2 2 2" xfId="2880" xr:uid="{00000000-0005-0000-0000-0000400B0000}"/>
    <cellStyle name="Normal 161 3 2 2 2 2 2 2 2" xfId="5734" xr:uid="{00000000-0005-0000-0000-000066160000}"/>
    <cellStyle name="Normal 161 3 2 2 2 2 2 3" xfId="4313" xr:uid="{00000000-0005-0000-0000-0000D9100000}"/>
    <cellStyle name="Normal 161 3 2 2 2 2 3" xfId="1469" xr:uid="{00000000-0005-0000-0000-0000BD050000}"/>
    <cellStyle name="Normal 161 3 2 2 2 2 3 2" xfId="2897" xr:uid="{00000000-0005-0000-0000-0000510B0000}"/>
    <cellStyle name="Normal 161 3 2 2 2 2 3 2 2" xfId="5751" xr:uid="{00000000-0005-0000-0000-000077160000}"/>
    <cellStyle name="Normal 161 3 2 2 2 2 3 3" xfId="4330" xr:uid="{00000000-0005-0000-0000-0000EA100000}"/>
    <cellStyle name="Normal 161 3 2 2 2 2 4" xfId="1482" xr:uid="{00000000-0005-0000-0000-0000CA050000}"/>
    <cellStyle name="Normal 161 3 2 2 2 2 4 2" xfId="1501" xr:uid="{00000000-0005-0000-0000-0000DD050000}"/>
    <cellStyle name="Normal 161 3 2 2 2 2 4 2 2" xfId="1531" xr:uid="{00000000-0005-0000-0000-0000FB050000}"/>
    <cellStyle name="Normal 161 3 2 2 2 2 4 2 2 2" xfId="2959" xr:uid="{00000000-0005-0000-0000-00008F0B0000}"/>
    <cellStyle name="Normal 161 3 2 2 2 2 4 2 2 2 2" xfId="5812" xr:uid="{00000000-0005-0000-0000-0000B4160000}"/>
    <cellStyle name="Normal 161 3 2 2 2 2 4 2 2 2 2 2" xfId="5913" xr:uid="{00000000-0005-0000-0000-000019170000}"/>
    <cellStyle name="Normal 161 3 2 2 2 2 4 2 2 3" xfId="4391" xr:uid="{00000000-0005-0000-0000-000027110000}"/>
    <cellStyle name="Normal 161 3 2 2 2 2 4 2 3" xfId="2929" xr:uid="{00000000-0005-0000-0000-0000710B0000}"/>
    <cellStyle name="Normal 161 3 2 2 2 2 4 2 3 2" xfId="5782" xr:uid="{00000000-0005-0000-0000-000096160000}"/>
    <cellStyle name="Normal 161 3 2 2 2 2 4 2 4" xfId="4361" xr:uid="{00000000-0005-0000-0000-000009110000}"/>
    <cellStyle name="Normal 161 3 2 2 2 2 4 3" xfId="2910" xr:uid="{00000000-0005-0000-0000-00005E0B0000}"/>
    <cellStyle name="Normal 161 3 2 2 2 2 4 3 2" xfId="5764" xr:uid="{00000000-0005-0000-0000-000084160000}"/>
    <cellStyle name="Normal 161 3 2 2 2 2 4 4" xfId="4343" xr:uid="{00000000-0005-0000-0000-0000F7100000}"/>
    <cellStyle name="Normal 161 3 2 2 2 2 5" xfId="1514" xr:uid="{00000000-0005-0000-0000-0000EA050000}"/>
    <cellStyle name="Normal 161 3 2 2 2 2 5 2" xfId="2942" xr:uid="{00000000-0005-0000-0000-00007E0B0000}"/>
    <cellStyle name="Normal 161 3 2 2 2 2 5 2 2" xfId="5795" xr:uid="{00000000-0005-0000-0000-0000A3160000}"/>
    <cellStyle name="Normal 161 3 2 2 2 2 5 3" xfId="4374" xr:uid="{00000000-0005-0000-0000-000016110000}"/>
    <cellStyle name="Normal 161 3 2 2 2 2 6" xfId="1550" xr:uid="{00000000-0005-0000-0000-00000E060000}"/>
    <cellStyle name="Normal 161 3 2 2 2 2 6 2" xfId="2978" xr:uid="{00000000-0005-0000-0000-0000A20B0000}"/>
    <cellStyle name="Normal 161 3 2 2 2 2 6 2 2" xfId="5831" xr:uid="{00000000-0005-0000-0000-0000C7160000}"/>
    <cellStyle name="Normal 161 3 2 2 2 2 6 3" xfId="4410" xr:uid="{00000000-0005-0000-0000-00003A110000}"/>
    <cellStyle name="Normal 161 3 2 2 2 2 7" xfId="1566" xr:uid="{00000000-0005-0000-0000-00001E060000}"/>
    <cellStyle name="Normal 161 3 2 2 2 2 7 2" xfId="4426" xr:uid="{00000000-0005-0000-0000-00004A110000}"/>
    <cellStyle name="Normal 161 3 2 2 2 2 8" xfId="3008" xr:uid="{00000000-0005-0000-0000-0000C00B0000}"/>
    <cellStyle name="Normal 161 3 2 2 2 2 9" xfId="5936" xr:uid="{00000000-0005-0000-0000-000030170000}"/>
    <cellStyle name="Normal 161 3 2 3" xfId="1436" xr:uid="{00000000-0005-0000-0000-00009C050000}"/>
    <cellStyle name="Normal 161 3 2 3 2" xfId="2865" xr:uid="{00000000-0005-0000-0000-0000310B0000}"/>
    <cellStyle name="Normal 161 3 2 3 2 2" xfId="5720" xr:uid="{00000000-0005-0000-0000-000058160000}"/>
    <cellStyle name="Normal 161 3 2 3 3" xfId="4300" xr:uid="{00000000-0005-0000-0000-0000CC100000}"/>
    <cellStyle name="Normal 161 3 2 4" xfId="1443" xr:uid="{00000000-0005-0000-0000-0000A3050000}"/>
    <cellStyle name="Normal 161 3 2 4 2" xfId="2872" xr:uid="{00000000-0005-0000-0000-0000380B0000}"/>
    <cellStyle name="Normal 161 3 2 4 2 2" xfId="5726" xr:uid="{00000000-0005-0000-0000-00005E160000}"/>
    <cellStyle name="Normal 161 3 2 4 3" xfId="4305" xr:uid="{00000000-0005-0000-0000-0000D1100000}"/>
    <cellStyle name="Normal 162" xfId="731" xr:uid="{00000000-0005-0000-0000-0000DB020000}"/>
    <cellStyle name="Normal 162 2" xfId="749" xr:uid="{00000000-0005-0000-0000-0000ED020000}"/>
    <cellStyle name="Normal 162 2 2" xfId="762" xr:uid="{00000000-0005-0000-0000-0000FA020000}"/>
    <cellStyle name="Normal 162 2 2 2" xfId="1417" xr:uid="{00000000-0005-0000-0000-000089050000}"/>
    <cellStyle name="Normal 162 2 2 2 2" xfId="1428" xr:uid="{00000000-0005-0000-0000-000094050000}"/>
    <cellStyle name="Normal 162 2 2 2 2 10" xfId="5948" xr:uid="{00000000-0005-0000-0000-00003C170000}"/>
    <cellStyle name="Normal 162 2 2 2 2 11" xfId="5964" xr:uid="{00000000-0005-0000-0000-00004C170000}"/>
    <cellStyle name="Normal 162 2 2 2 2 12" xfId="5982" xr:uid="{00000000-0005-0000-0000-00005E170000}"/>
    <cellStyle name="Normal 162 2 2 2 2 2" xfId="1453" xr:uid="{00000000-0005-0000-0000-0000AD050000}"/>
    <cellStyle name="Normal 162 2 2 2 2 2 2" xfId="2881" xr:uid="{00000000-0005-0000-0000-0000410B0000}"/>
    <cellStyle name="Normal 162 2 2 2 2 2 2 2" xfId="5735" xr:uid="{00000000-0005-0000-0000-000067160000}"/>
    <cellStyle name="Normal 162 2 2 2 2 2 3" xfId="4314" xr:uid="{00000000-0005-0000-0000-0000DA100000}"/>
    <cellStyle name="Normal 162 2 2 2 2 3" xfId="1470" xr:uid="{00000000-0005-0000-0000-0000BE050000}"/>
    <cellStyle name="Normal 162 2 2 2 2 3 2" xfId="2898" xr:uid="{00000000-0005-0000-0000-0000520B0000}"/>
    <cellStyle name="Normal 162 2 2 2 2 3 2 2" xfId="5752" xr:uid="{00000000-0005-0000-0000-000078160000}"/>
    <cellStyle name="Normal 162 2 2 2 2 3 3" xfId="4331" xr:uid="{00000000-0005-0000-0000-0000EB100000}"/>
    <cellStyle name="Normal 162 2 2 2 2 4" xfId="1483" xr:uid="{00000000-0005-0000-0000-0000CB050000}"/>
    <cellStyle name="Normal 162 2 2 2 2 4 2" xfId="1502" xr:uid="{00000000-0005-0000-0000-0000DE050000}"/>
    <cellStyle name="Normal 162 2 2 2 2 4 2 2" xfId="1532" xr:uid="{00000000-0005-0000-0000-0000FC050000}"/>
    <cellStyle name="Normal 162 2 2 2 2 4 2 2 2" xfId="2960" xr:uid="{00000000-0005-0000-0000-0000900B0000}"/>
    <cellStyle name="Normal 162 2 2 2 2 4 2 2 2 2" xfId="5813" xr:uid="{00000000-0005-0000-0000-0000B5160000}"/>
    <cellStyle name="Normal 162 2 2 2 2 4 2 2 2 2 2" xfId="5914" xr:uid="{00000000-0005-0000-0000-00001A170000}"/>
    <cellStyle name="Normal 162 2 2 2 2 4 2 2 3" xfId="4392" xr:uid="{00000000-0005-0000-0000-000028110000}"/>
    <cellStyle name="Normal 162 2 2 2 2 4 2 3" xfId="2930" xr:uid="{00000000-0005-0000-0000-0000720B0000}"/>
    <cellStyle name="Normal 162 2 2 2 2 4 2 3 2" xfId="5783" xr:uid="{00000000-0005-0000-0000-000097160000}"/>
    <cellStyle name="Normal 162 2 2 2 2 4 2 4" xfId="4362" xr:uid="{00000000-0005-0000-0000-00000A110000}"/>
    <cellStyle name="Normal 162 2 2 2 2 4 3" xfId="2911" xr:uid="{00000000-0005-0000-0000-00005F0B0000}"/>
    <cellStyle name="Normal 162 2 2 2 2 4 3 2" xfId="5765" xr:uid="{00000000-0005-0000-0000-000085160000}"/>
    <cellStyle name="Normal 162 2 2 2 2 4 4" xfId="4344" xr:uid="{00000000-0005-0000-0000-0000F8100000}"/>
    <cellStyle name="Normal 162 2 2 2 2 5" xfId="1515" xr:uid="{00000000-0005-0000-0000-0000EB050000}"/>
    <cellStyle name="Normal 162 2 2 2 2 5 2" xfId="2943" xr:uid="{00000000-0005-0000-0000-00007F0B0000}"/>
    <cellStyle name="Normal 162 2 2 2 2 5 2 2" xfId="5796" xr:uid="{00000000-0005-0000-0000-0000A4160000}"/>
    <cellStyle name="Normal 162 2 2 2 2 5 3" xfId="4375" xr:uid="{00000000-0005-0000-0000-000017110000}"/>
    <cellStyle name="Normal 162 2 2 2 2 6" xfId="1551" xr:uid="{00000000-0005-0000-0000-00000F060000}"/>
    <cellStyle name="Normal 162 2 2 2 2 6 2" xfId="2979" xr:uid="{00000000-0005-0000-0000-0000A30B0000}"/>
    <cellStyle name="Normal 162 2 2 2 2 6 2 2" xfId="5832" xr:uid="{00000000-0005-0000-0000-0000C8160000}"/>
    <cellStyle name="Normal 162 2 2 2 2 6 3" xfId="4411" xr:uid="{00000000-0005-0000-0000-00003B110000}"/>
    <cellStyle name="Normal 162 2 2 2 2 7" xfId="1567" xr:uid="{00000000-0005-0000-0000-00001F060000}"/>
    <cellStyle name="Normal 162 2 2 2 2 7 2" xfId="4427" xr:uid="{00000000-0005-0000-0000-00004B110000}"/>
    <cellStyle name="Normal 162 2 2 2 2 8" xfId="3009" xr:uid="{00000000-0005-0000-0000-0000C10B0000}"/>
    <cellStyle name="Normal 162 2 2 2 2 8 2" xfId="5916" xr:uid="{00000000-0005-0000-0000-00001C170000}"/>
    <cellStyle name="Normal 162 2 2 2 2 9" xfId="5937" xr:uid="{00000000-0005-0000-0000-000031170000}"/>
    <cellStyle name="Normal 163" xfId="740" xr:uid="{00000000-0005-0000-0000-0000E4020000}"/>
    <cellStyle name="Normal 163 2" xfId="757" xr:uid="{00000000-0005-0000-0000-0000F5020000}"/>
    <cellStyle name="Normal 163 2 2" xfId="1415" xr:uid="{00000000-0005-0000-0000-000087050000}"/>
    <cellStyle name="Normal 163 2 2 10" xfId="5955" xr:uid="{00000000-0005-0000-0000-000043170000}"/>
    <cellStyle name="Normal 163 2 2 2" xfId="1460" xr:uid="{00000000-0005-0000-0000-0000B4050000}"/>
    <cellStyle name="Normal 163 2 2 2 2" xfId="2888" xr:uid="{00000000-0005-0000-0000-0000480B0000}"/>
    <cellStyle name="Normal 163 2 2 2 2 2" xfId="5742" xr:uid="{00000000-0005-0000-0000-00006E160000}"/>
    <cellStyle name="Normal 163 2 2 2 3" xfId="4321" xr:uid="{00000000-0005-0000-0000-0000E1100000}"/>
    <cellStyle name="Normal 163 2 2 3" xfId="1464" xr:uid="{00000000-0005-0000-0000-0000B8050000}"/>
    <cellStyle name="Normal 163 2 2 3 2" xfId="2892" xr:uid="{00000000-0005-0000-0000-00004C0B0000}"/>
    <cellStyle name="Normal 163 2 2 3 2 2" xfId="5746" xr:uid="{00000000-0005-0000-0000-000072160000}"/>
    <cellStyle name="Normal 163 2 2 3 3" xfId="4325" xr:uid="{00000000-0005-0000-0000-0000E5100000}"/>
    <cellStyle name="Normal 163 2 2 4" xfId="1522" xr:uid="{00000000-0005-0000-0000-0000F2050000}"/>
    <cellStyle name="Normal 163 2 2 4 2" xfId="2950" xr:uid="{00000000-0005-0000-0000-0000860B0000}"/>
    <cellStyle name="Normal 163 2 2 4 2 2" xfId="5803" xr:uid="{00000000-0005-0000-0000-0000AB160000}"/>
    <cellStyle name="Normal 163 2 2 4 3" xfId="4382" xr:uid="{00000000-0005-0000-0000-00001E110000}"/>
    <cellStyle name="Normal 163 2 2 5" xfId="1541" xr:uid="{00000000-0005-0000-0000-000005060000}"/>
    <cellStyle name="Normal 163 2 2 5 2" xfId="2969" xr:uid="{00000000-0005-0000-0000-0000990B0000}"/>
    <cellStyle name="Normal 163 2 2 5 2 2" xfId="5822" xr:uid="{00000000-0005-0000-0000-0000BE160000}"/>
    <cellStyle name="Normal 163 2 2 5 3" xfId="4401" xr:uid="{00000000-0005-0000-0000-000031110000}"/>
    <cellStyle name="Normal 163 2 2 6" xfId="1545" xr:uid="{00000000-0005-0000-0000-000009060000}"/>
    <cellStyle name="Normal 163 2 2 6 2" xfId="2973" xr:uid="{00000000-0005-0000-0000-00009D0B0000}"/>
    <cellStyle name="Normal 163 2 2 6 2 2" xfId="5826" xr:uid="{00000000-0005-0000-0000-0000C2160000}"/>
    <cellStyle name="Normal 163 2 2 6 3" xfId="4405" xr:uid="{00000000-0005-0000-0000-000035110000}"/>
    <cellStyle name="Normal 163 2 2 7" xfId="1559" xr:uid="{00000000-0005-0000-0000-000017060000}"/>
    <cellStyle name="Normal 163 2 2 7 2" xfId="4419" xr:uid="{00000000-0005-0000-0000-000043110000}"/>
    <cellStyle name="Normal 163 2 2 8" xfId="2860" xr:uid="{00000000-0005-0000-0000-00002C0B0000}"/>
    <cellStyle name="Normal 163 2 2 8 2" xfId="5715" xr:uid="{00000000-0005-0000-0000-000053160000}"/>
    <cellStyle name="Normal 163 2 2 9" xfId="3016" xr:uid="{00000000-0005-0000-0000-0000C80B0000}"/>
    <cellStyle name="Normal 163 2 2 9 2" xfId="5907" xr:uid="{00000000-0005-0000-0000-000013170000}"/>
    <cellStyle name="Normal 163 2 2 9 2 2" xfId="5932" xr:uid="{00000000-0005-0000-0000-00002C170000}"/>
    <cellStyle name="Normal 163 2 2 9 2 2 2" xfId="5959" xr:uid="{00000000-0005-0000-0000-000047170000}"/>
    <cellStyle name="Normal 163 2 2 9 2 2 2 2" xfId="5977" xr:uid="{00000000-0005-0000-0000-000059170000}"/>
    <cellStyle name="Normal 163 2 2 9 2 2 2 2 2" xfId="6003" xr:uid="{00000000-0005-0000-0000-000073170000}"/>
    <cellStyle name="Normal 163 2 3" xfId="2221" xr:uid="{00000000-0005-0000-0000-0000AD080000}"/>
    <cellStyle name="Normal 163 2 3 2" xfId="5077" xr:uid="{00000000-0005-0000-0000-0000D5130000}"/>
    <cellStyle name="Normal 163 3" xfId="2217" xr:uid="{00000000-0005-0000-0000-0000A9080000}"/>
    <cellStyle name="Normal 163 3 2" xfId="5073" xr:uid="{00000000-0005-0000-0000-0000D1130000}"/>
    <cellStyle name="Normal 164" xfId="756" xr:uid="{00000000-0005-0000-0000-0000F4020000}"/>
    <cellStyle name="Normal 164 2" xfId="1413" xr:uid="{00000000-0005-0000-0000-000085050000}"/>
    <cellStyle name="Normal 164 2 10" xfId="5956" xr:uid="{00000000-0005-0000-0000-000044170000}"/>
    <cellStyle name="Normal 164 2 2" xfId="1461" xr:uid="{00000000-0005-0000-0000-0000B5050000}"/>
    <cellStyle name="Normal 164 2 2 2" xfId="2889" xr:uid="{00000000-0005-0000-0000-0000490B0000}"/>
    <cellStyle name="Normal 164 2 2 2 2" xfId="5743" xr:uid="{00000000-0005-0000-0000-00006F160000}"/>
    <cellStyle name="Normal 164 2 2 3" xfId="4322" xr:uid="{00000000-0005-0000-0000-0000E2100000}"/>
    <cellStyle name="Normal 164 2 3" xfId="1465" xr:uid="{00000000-0005-0000-0000-0000B9050000}"/>
    <cellStyle name="Normal 164 2 3 2" xfId="2893" xr:uid="{00000000-0005-0000-0000-00004D0B0000}"/>
    <cellStyle name="Normal 164 2 3 2 2" xfId="5747" xr:uid="{00000000-0005-0000-0000-000073160000}"/>
    <cellStyle name="Normal 164 2 3 3" xfId="4326" xr:uid="{00000000-0005-0000-0000-0000E6100000}"/>
    <cellStyle name="Normal 164 2 4" xfId="1523" xr:uid="{00000000-0005-0000-0000-0000F3050000}"/>
    <cellStyle name="Normal 164 2 4 2" xfId="2951" xr:uid="{00000000-0005-0000-0000-0000870B0000}"/>
    <cellStyle name="Normal 164 2 4 2 2" xfId="5804" xr:uid="{00000000-0005-0000-0000-0000AC160000}"/>
    <cellStyle name="Normal 164 2 4 3" xfId="4383" xr:uid="{00000000-0005-0000-0000-00001F110000}"/>
    <cellStyle name="Normal 164 2 5" xfId="1542" xr:uid="{00000000-0005-0000-0000-000006060000}"/>
    <cellStyle name="Normal 164 2 5 2" xfId="2970" xr:uid="{00000000-0005-0000-0000-00009A0B0000}"/>
    <cellStyle name="Normal 164 2 5 2 2" xfId="5823" xr:uid="{00000000-0005-0000-0000-0000BF160000}"/>
    <cellStyle name="Normal 164 2 5 3" xfId="4402" xr:uid="{00000000-0005-0000-0000-000032110000}"/>
    <cellStyle name="Normal 164 2 6" xfId="1546" xr:uid="{00000000-0005-0000-0000-00000A060000}"/>
    <cellStyle name="Normal 164 2 6 2" xfId="2974" xr:uid="{00000000-0005-0000-0000-00009E0B0000}"/>
    <cellStyle name="Normal 164 2 6 2 2" xfId="5827" xr:uid="{00000000-0005-0000-0000-0000C3160000}"/>
    <cellStyle name="Normal 164 2 6 3" xfId="4406" xr:uid="{00000000-0005-0000-0000-000036110000}"/>
    <cellStyle name="Normal 164 2 7" xfId="1560" xr:uid="{00000000-0005-0000-0000-000018060000}"/>
    <cellStyle name="Normal 164 2 7 2" xfId="4420" xr:uid="{00000000-0005-0000-0000-000044110000}"/>
    <cellStyle name="Normal 164 2 8" xfId="2859" xr:uid="{00000000-0005-0000-0000-00002B0B0000}"/>
    <cellStyle name="Normal 164 2 8 2" xfId="5714" xr:uid="{00000000-0005-0000-0000-000052160000}"/>
    <cellStyle name="Normal 164 2 9" xfId="3017" xr:uid="{00000000-0005-0000-0000-0000C90B0000}"/>
    <cellStyle name="Normal 164 2 9 2" xfId="5908" xr:uid="{00000000-0005-0000-0000-000014170000}"/>
    <cellStyle name="Normal 164 2 9 2 2" xfId="5933" xr:uid="{00000000-0005-0000-0000-00002D170000}"/>
    <cellStyle name="Normal 164 2 9 2 2 2" xfId="5960" xr:uid="{00000000-0005-0000-0000-000048170000}"/>
    <cellStyle name="Normal 164 2 9 2 2 2 2" xfId="5978" xr:uid="{00000000-0005-0000-0000-00005A170000}"/>
    <cellStyle name="Normal 164 2 9 2 2 2 2 2" xfId="6004" xr:uid="{00000000-0005-0000-0000-000074170000}"/>
    <cellStyle name="Normal 164 3" xfId="2220" xr:uid="{00000000-0005-0000-0000-0000AC080000}"/>
    <cellStyle name="Normal 164 3 2" xfId="5076" xr:uid="{00000000-0005-0000-0000-0000D4130000}"/>
    <cellStyle name="Normal 165" xfId="766" xr:uid="{00000000-0005-0000-0000-0000FE020000}"/>
    <cellStyle name="Normal 166" xfId="1424" xr:uid="{00000000-0005-0000-0000-000090050000}"/>
    <cellStyle name="Normal 166 2" xfId="2862" xr:uid="{00000000-0005-0000-0000-00002E0B0000}"/>
    <cellStyle name="Normal 166 2 2" xfId="5717" xr:uid="{00000000-0005-0000-0000-000055160000}"/>
    <cellStyle name="Normal 166 3" xfId="4297" xr:uid="{00000000-0005-0000-0000-0000C9100000}"/>
    <cellStyle name="Normal 167" xfId="1434" xr:uid="{00000000-0005-0000-0000-00009A050000}"/>
    <cellStyle name="Normal 167 2" xfId="2863" xr:uid="{00000000-0005-0000-0000-00002F0B0000}"/>
    <cellStyle name="Normal 167 2 2" xfId="5718" xr:uid="{00000000-0005-0000-0000-000056160000}"/>
    <cellStyle name="Normal 167 3" xfId="4298" xr:uid="{00000000-0005-0000-0000-0000CA100000}"/>
    <cellStyle name="Normal 168" xfId="1441" xr:uid="{00000000-0005-0000-0000-0000A1050000}"/>
    <cellStyle name="Normal 168 2" xfId="2870" xr:uid="{00000000-0005-0000-0000-0000360B0000}"/>
    <cellStyle name="Normal 168 2 2" xfId="5725" xr:uid="{00000000-0005-0000-0000-00005D160000}"/>
    <cellStyle name="Normal 168 3" xfId="4304" xr:uid="{00000000-0005-0000-0000-0000D0100000}"/>
    <cellStyle name="Normal 169" xfId="1447" xr:uid="{00000000-0005-0000-0000-0000A7050000}"/>
    <cellStyle name="Normal 169 2" xfId="2876" xr:uid="{00000000-0005-0000-0000-00003C0B0000}"/>
    <cellStyle name="Normal 169 2 2" xfId="5730" xr:uid="{00000000-0005-0000-0000-000062160000}"/>
    <cellStyle name="Normal 169 3" xfId="4309" xr:uid="{00000000-0005-0000-0000-0000D5100000}"/>
    <cellStyle name="Normal 17" xfId="56" xr:uid="{00000000-0005-0000-0000-000038000000}"/>
    <cellStyle name="Normal 17 2" xfId="786" xr:uid="{00000000-0005-0000-0000-000012030000}"/>
    <cellStyle name="Normal 170" xfId="1463" xr:uid="{00000000-0005-0000-0000-0000B7050000}"/>
    <cellStyle name="Normal 170 2" xfId="2891" xr:uid="{00000000-0005-0000-0000-00004B0B0000}"/>
    <cellStyle name="Normal 170 2 2" xfId="5745" xr:uid="{00000000-0005-0000-0000-000071160000}"/>
    <cellStyle name="Normal 170 3" xfId="4324" xr:uid="{00000000-0005-0000-0000-0000E4100000}"/>
    <cellStyle name="Normal 171" xfId="1477" xr:uid="{00000000-0005-0000-0000-0000C5050000}"/>
    <cellStyle name="Normal 171 2" xfId="1496" xr:uid="{00000000-0005-0000-0000-0000D8050000}"/>
    <cellStyle name="Normal 171 2 2" xfId="2924" xr:uid="{00000000-0005-0000-0000-00006C0B0000}"/>
    <cellStyle name="Normal 171 2 2 2" xfId="5777" xr:uid="{00000000-0005-0000-0000-000091160000}"/>
    <cellStyle name="Normal 171 2 3" xfId="4356" xr:uid="{00000000-0005-0000-0000-000004110000}"/>
    <cellStyle name="Normal 171 3" xfId="2905" xr:uid="{00000000-0005-0000-0000-0000590B0000}"/>
    <cellStyle name="Normal 171 3 2" xfId="5759" xr:uid="{00000000-0005-0000-0000-00007F160000}"/>
    <cellStyle name="Normal 171 4" xfId="4338" xr:uid="{00000000-0005-0000-0000-0000F2100000}"/>
    <cellStyle name="Normal 172" xfId="1510" xr:uid="{00000000-0005-0000-0000-0000E6050000}"/>
    <cellStyle name="Normal 172 2" xfId="1526" xr:uid="{00000000-0005-0000-0000-0000F6050000}"/>
    <cellStyle name="Normal 172 2 2" xfId="2954" xr:uid="{00000000-0005-0000-0000-00008A0B0000}"/>
    <cellStyle name="Normal 172 2 2 2" xfId="5807" xr:uid="{00000000-0005-0000-0000-0000AF160000}"/>
    <cellStyle name="Normal 172 2 3" xfId="4386" xr:uid="{00000000-0005-0000-0000-000022110000}"/>
    <cellStyle name="Normal 172 3" xfId="2938" xr:uid="{00000000-0005-0000-0000-00007A0B0000}"/>
    <cellStyle name="Normal 172 3 2" xfId="5791" xr:uid="{00000000-0005-0000-0000-00009F160000}"/>
    <cellStyle name="Normal 172 4" xfId="4370" xr:uid="{00000000-0005-0000-0000-000012110000}"/>
    <cellStyle name="Normal 173" xfId="1524" xr:uid="{00000000-0005-0000-0000-0000F4050000}"/>
    <cellStyle name="Normal 173 2" xfId="2952" xr:uid="{00000000-0005-0000-0000-0000880B0000}"/>
    <cellStyle name="Normal 173 2 2" xfId="5805" xr:uid="{00000000-0005-0000-0000-0000AD160000}"/>
    <cellStyle name="Normal 173 3" xfId="4384" xr:uid="{00000000-0005-0000-0000-000020110000}"/>
    <cellStyle name="Normal 174" xfId="1544" xr:uid="{00000000-0005-0000-0000-000008060000}"/>
    <cellStyle name="Normal 174 2" xfId="2972" xr:uid="{00000000-0005-0000-0000-00009C0B0000}"/>
    <cellStyle name="Normal 174 2 2" xfId="5825" xr:uid="{00000000-0005-0000-0000-0000C1160000}"/>
    <cellStyle name="Normal 174 3" xfId="4404" xr:uid="{00000000-0005-0000-0000-000034110000}"/>
    <cellStyle name="Normal 175" xfId="1558" xr:uid="{00000000-0005-0000-0000-000016060000}"/>
    <cellStyle name="Normal 175 2" xfId="4418" xr:uid="{00000000-0005-0000-0000-000042110000}"/>
    <cellStyle name="Normal 176" xfId="1562" xr:uid="{00000000-0005-0000-0000-00001A060000}"/>
    <cellStyle name="Normal 176 2" xfId="4422" xr:uid="{00000000-0005-0000-0000-000046110000}"/>
    <cellStyle name="Normal 177" xfId="3004" xr:uid="{00000000-0005-0000-0000-0000BC0B0000}"/>
    <cellStyle name="Normal 178" xfId="5906" xr:uid="{00000000-0005-0000-0000-000012170000}"/>
    <cellStyle name="Normal 179" xfId="5928" xr:uid="{00000000-0005-0000-0000-000028170000}"/>
    <cellStyle name="Normal 18" xfId="60" xr:uid="{00000000-0005-0000-0000-00003C000000}"/>
    <cellStyle name="Normal 18 2" xfId="788" xr:uid="{00000000-0005-0000-0000-000014030000}"/>
    <cellStyle name="Normal 18 2 2" xfId="2239" xr:uid="{00000000-0005-0000-0000-0000BF080000}"/>
    <cellStyle name="Normal 18 2 2 2" xfId="5095" xr:uid="{00000000-0005-0000-0000-0000E7130000}"/>
    <cellStyle name="Normal 18 2 3" xfId="3677" xr:uid="{00000000-0005-0000-0000-00005D0E0000}"/>
    <cellStyle name="Normal 18 3" xfId="1591" xr:uid="{00000000-0005-0000-0000-000037060000}"/>
    <cellStyle name="Normal 18 3 2" xfId="4451" xr:uid="{00000000-0005-0000-0000-000063110000}"/>
    <cellStyle name="Normal 18 4" xfId="3036" xr:uid="{00000000-0005-0000-0000-0000DC0B0000}"/>
    <cellStyle name="Normal 180" xfId="5943" xr:uid="{00000000-0005-0000-0000-000037170000}"/>
    <cellStyle name="Normal 181" xfId="5958" xr:uid="{00000000-0005-0000-0000-000046170000}"/>
    <cellStyle name="Normal 182" xfId="5970" xr:uid="{00000000-0005-0000-0000-000052170000}"/>
    <cellStyle name="Normal 183" xfId="5976" xr:uid="{00000000-0005-0000-0000-000058170000}"/>
    <cellStyle name="Normal 184" xfId="5988" xr:uid="{00000000-0005-0000-0000-000064170000}"/>
    <cellStyle name="Normal 184 2" xfId="6009" xr:uid="{00000000-0005-0000-0000-000079170000}"/>
    <cellStyle name="Normal 185" xfId="5992" xr:uid="{00000000-0005-0000-0000-000068170000}"/>
    <cellStyle name="Normal 186" xfId="5997" xr:uid="{00000000-0005-0000-0000-00006D170000}"/>
    <cellStyle name="Normal 187" xfId="6002" xr:uid="{00000000-0005-0000-0000-000072170000}"/>
    <cellStyle name="Normal 188" xfId="6012" xr:uid="{00000000-0005-0000-0000-00007C170000}"/>
    <cellStyle name="Normal 189" xfId="6017" xr:uid="{00000000-0005-0000-0000-000081170000}"/>
    <cellStyle name="Normal 19" xfId="68" xr:uid="{00000000-0005-0000-0000-000044000000}"/>
    <cellStyle name="Normal 19 2" xfId="796" xr:uid="{00000000-0005-0000-0000-00001C030000}"/>
    <cellStyle name="Normal 19 2 2" xfId="2247" xr:uid="{00000000-0005-0000-0000-0000C7080000}"/>
    <cellStyle name="Normal 19 2 2 2" xfId="5103" xr:uid="{00000000-0005-0000-0000-0000EF130000}"/>
    <cellStyle name="Normal 19 2 3" xfId="3685" xr:uid="{00000000-0005-0000-0000-0000650E0000}"/>
    <cellStyle name="Normal 19 3" xfId="1599" xr:uid="{00000000-0005-0000-0000-00003F060000}"/>
    <cellStyle name="Normal 19 3 2" xfId="4459" xr:uid="{00000000-0005-0000-0000-00006B110000}"/>
    <cellStyle name="Normal 19 4" xfId="3044" xr:uid="{00000000-0005-0000-0000-0000E40B0000}"/>
    <cellStyle name="Normal 190" xfId="6020" xr:uid="{00000000-0005-0000-0000-000084170000}"/>
    <cellStyle name="Normal 191" xfId="6024" xr:uid="{00000000-0005-0000-0000-000088170000}"/>
    <cellStyle name="Normal 192" xfId="6026" xr:uid="{00000000-0005-0000-0000-00008A170000}"/>
    <cellStyle name="Normal 193" xfId="6031" xr:uid="{00000000-0005-0000-0000-00008F170000}"/>
    <cellStyle name="Normal 2" xfId="16" xr:uid="{00000000-0005-0000-0000-000010000000}"/>
    <cellStyle name="Normal 2 10" xfId="6000" xr:uid="{00000000-0005-0000-0000-000070170000}"/>
    <cellStyle name="Normal 2 2" xfId="17" xr:uid="{00000000-0005-0000-0000-000011000000}"/>
    <cellStyle name="Normal 2 2 2" xfId="129" xr:uid="{00000000-0005-0000-0000-000081000000}"/>
    <cellStyle name="Normal 2 2 3" xfId="629" xr:uid="{00000000-0005-0000-0000-000075020000}"/>
    <cellStyle name="Normal 2 3" xfId="154" xr:uid="{00000000-0005-0000-0000-00009A000000}"/>
    <cellStyle name="Normal 2 4" xfId="654" xr:uid="{00000000-0005-0000-0000-00008E020000}"/>
    <cellStyle name="Normal 2 4 2" xfId="668" xr:uid="{00000000-0005-0000-0000-00009C020000}"/>
    <cellStyle name="Normal 2 4 2 2" xfId="679" xr:uid="{00000000-0005-0000-0000-0000A7020000}"/>
    <cellStyle name="Normal 2 4 2 2 2" xfId="684" xr:uid="{00000000-0005-0000-0000-0000AC020000}"/>
    <cellStyle name="Normal 2 4 2 2 2 2" xfId="697" xr:uid="{00000000-0005-0000-0000-0000B9020000}"/>
    <cellStyle name="Normal 2 4 2 2 2 2 2" xfId="1381" xr:uid="{00000000-0005-0000-0000-000065050000}"/>
    <cellStyle name="Normal 2 4 2 2 2 2 2 2" xfId="2828" xr:uid="{00000000-0005-0000-0000-00000C0B0000}"/>
    <cellStyle name="Normal 2 4 2 2 2 2 2 2 2" xfId="5683" xr:uid="{00000000-0005-0000-0000-000033160000}"/>
    <cellStyle name="Normal 2 4 2 2 2 2 2 3" xfId="4265" xr:uid="{00000000-0005-0000-0000-0000A9100000}"/>
    <cellStyle name="Normal 2 4 2 2 2 2 3" xfId="2185" xr:uid="{00000000-0005-0000-0000-000089080000}"/>
    <cellStyle name="Normal 2 4 2 2 2 2 3 2" xfId="5044" xr:uid="{00000000-0005-0000-0000-0000B4130000}"/>
    <cellStyle name="Normal 2 4 2 2 2 2 4" xfId="3628" xr:uid="{00000000-0005-0000-0000-00002C0E0000}"/>
    <cellStyle name="Normal 2 4 2 2 2 3" xfId="1374" xr:uid="{00000000-0005-0000-0000-00005E050000}"/>
    <cellStyle name="Normal 2 4 2 2 2 3 2" xfId="2821" xr:uid="{00000000-0005-0000-0000-0000050B0000}"/>
    <cellStyle name="Normal 2 4 2 2 2 3 2 2" xfId="5676" xr:uid="{00000000-0005-0000-0000-00002C160000}"/>
    <cellStyle name="Normal 2 4 2 2 2 3 3" xfId="4258" xr:uid="{00000000-0005-0000-0000-0000A2100000}"/>
    <cellStyle name="Normal 2 4 2 2 2 4" xfId="2178" xr:uid="{00000000-0005-0000-0000-000082080000}"/>
    <cellStyle name="Normal 2 4 2 2 2 4 2" xfId="5037" xr:uid="{00000000-0005-0000-0000-0000AD130000}"/>
    <cellStyle name="Normal 2 4 2 2 2 5" xfId="3621" xr:uid="{00000000-0005-0000-0000-0000250E0000}"/>
    <cellStyle name="Normal 2 4 2 2 3" xfId="1372" xr:uid="{00000000-0005-0000-0000-00005C050000}"/>
    <cellStyle name="Normal 2 4 2 2 3 2" xfId="2819" xr:uid="{00000000-0005-0000-0000-0000030B0000}"/>
    <cellStyle name="Normal 2 4 2 2 3 2 2" xfId="5674" xr:uid="{00000000-0005-0000-0000-00002A160000}"/>
    <cellStyle name="Normal 2 4 2 2 3 3" xfId="4256" xr:uid="{00000000-0005-0000-0000-0000A0100000}"/>
    <cellStyle name="Normal 2 4 2 2 4" xfId="2176" xr:uid="{00000000-0005-0000-0000-000080080000}"/>
    <cellStyle name="Normal 2 4 2 2 4 2" xfId="5035" xr:uid="{00000000-0005-0000-0000-0000AB130000}"/>
    <cellStyle name="Normal 2 4 2 2 5" xfId="3619" xr:uid="{00000000-0005-0000-0000-0000230E0000}"/>
    <cellStyle name="Normal 2 4 2 3" xfId="1367" xr:uid="{00000000-0005-0000-0000-000057050000}"/>
    <cellStyle name="Normal 2 4 2 3 2" xfId="2815" xr:uid="{00000000-0005-0000-0000-0000FF0A0000}"/>
    <cellStyle name="Normal 2 4 2 3 2 2" xfId="5670" xr:uid="{00000000-0005-0000-0000-000026160000}"/>
    <cellStyle name="Normal 2 4 2 3 3" xfId="4252" xr:uid="{00000000-0005-0000-0000-00009C100000}"/>
    <cellStyle name="Normal 2 4 2 4" xfId="2171" xr:uid="{00000000-0005-0000-0000-00007B080000}"/>
    <cellStyle name="Normal 2 4 2 4 2" xfId="5031" xr:uid="{00000000-0005-0000-0000-0000A7130000}"/>
    <cellStyle name="Normal 2 4 2 5" xfId="3615" xr:uid="{00000000-0005-0000-0000-00001F0E0000}"/>
    <cellStyle name="Normal 2 4 3" xfId="5973" xr:uid="{00000000-0005-0000-0000-000055170000}"/>
    <cellStyle name="Normal 2 4 4" xfId="6015" xr:uid="{00000000-0005-0000-0000-00007F170000}"/>
    <cellStyle name="Normal 2 4 5" xfId="6028" xr:uid="{00000000-0005-0000-0000-00008C170000}"/>
    <cellStyle name="Normal 2 5" xfId="670" xr:uid="{00000000-0005-0000-0000-00009E020000}"/>
    <cellStyle name="Normal 2 6" xfId="738" xr:uid="{00000000-0005-0000-0000-0000E2020000}"/>
    <cellStyle name="Normal 2 6 2" xfId="1408" xr:uid="{00000000-0005-0000-0000-000080050000}"/>
    <cellStyle name="Normal 2 6 2 2" xfId="2855" xr:uid="{00000000-0005-0000-0000-0000270B0000}"/>
    <cellStyle name="Normal 2 6 2 2 2" xfId="5710" xr:uid="{00000000-0005-0000-0000-00004E160000}"/>
    <cellStyle name="Normal 2 6 2 3" xfId="4292" xr:uid="{00000000-0005-0000-0000-0000C4100000}"/>
    <cellStyle name="Normal 2 6 3" xfId="2215" xr:uid="{00000000-0005-0000-0000-0000A7080000}"/>
    <cellStyle name="Normal 2 6 3 2" xfId="5071" xr:uid="{00000000-0005-0000-0000-0000CF130000}"/>
    <cellStyle name="Normal 2 6 4" xfId="3655" xr:uid="{00000000-0005-0000-0000-0000470E0000}"/>
    <cellStyle name="Normal 2 7" xfId="5972" xr:uid="{00000000-0005-0000-0000-000054170000}"/>
    <cellStyle name="Normal 20" xfId="69" xr:uid="{00000000-0005-0000-0000-000045000000}"/>
    <cellStyle name="Normal 20 2" xfId="797" xr:uid="{00000000-0005-0000-0000-00001D030000}"/>
    <cellStyle name="Normal 20 2 2" xfId="2248" xr:uid="{00000000-0005-0000-0000-0000C8080000}"/>
    <cellStyle name="Normal 20 2 2 2" xfId="5104" xr:uid="{00000000-0005-0000-0000-0000F0130000}"/>
    <cellStyle name="Normal 20 2 3" xfId="3686" xr:uid="{00000000-0005-0000-0000-0000660E0000}"/>
    <cellStyle name="Normal 20 3" xfId="1600" xr:uid="{00000000-0005-0000-0000-000040060000}"/>
    <cellStyle name="Normal 20 3 2" xfId="4460" xr:uid="{00000000-0005-0000-0000-00006C110000}"/>
    <cellStyle name="Normal 20 4" xfId="3045" xr:uid="{00000000-0005-0000-0000-0000E50B0000}"/>
    <cellStyle name="Normal 21" xfId="70" xr:uid="{00000000-0005-0000-0000-000046000000}"/>
    <cellStyle name="Normal 22" xfId="72" xr:uid="{00000000-0005-0000-0000-000048000000}"/>
    <cellStyle name="Normal 22 2" xfId="798" xr:uid="{00000000-0005-0000-0000-00001E030000}"/>
    <cellStyle name="Normal 22 2 2" xfId="2249" xr:uid="{00000000-0005-0000-0000-0000C9080000}"/>
    <cellStyle name="Normal 22 2 2 2" xfId="5105" xr:uid="{00000000-0005-0000-0000-0000F1130000}"/>
    <cellStyle name="Normal 22 2 3" xfId="3687" xr:uid="{00000000-0005-0000-0000-0000670E0000}"/>
    <cellStyle name="Normal 22 3" xfId="1602" xr:uid="{00000000-0005-0000-0000-000042060000}"/>
    <cellStyle name="Normal 22 3 2" xfId="4462" xr:uid="{00000000-0005-0000-0000-00006E110000}"/>
    <cellStyle name="Normal 22 4" xfId="3046" xr:uid="{00000000-0005-0000-0000-0000E60B0000}"/>
    <cellStyle name="Normal 23" xfId="74" xr:uid="{00000000-0005-0000-0000-00004A000000}"/>
    <cellStyle name="Normal 23 2" xfId="800" xr:uid="{00000000-0005-0000-0000-000020030000}"/>
    <cellStyle name="Normal 23 2 2" xfId="2251" xr:uid="{00000000-0005-0000-0000-0000CB080000}"/>
    <cellStyle name="Normal 23 2 2 2" xfId="5107" xr:uid="{00000000-0005-0000-0000-0000F3130000}"/>
    <cellStyle name="Normal 23 2 3" xfId="3689" xr:uid="{00000000-0005-0000-0000-0000690E0000}"/>
    <cellStyle name="Normal 23 3" xfId="1604" xr:uid="{00000000-0005-0000-0000-000044060000}"/>
    <cellStyle name="Normal 23 3 2" xfId="4464" xr:uid="{00000000-0005-0000-0000-000070110000}"/>
    <cellStyle name="Normal 23 4" xfId="3048" xr:uid="{00000000-0005-0000-0000-0000E80B0000}"/>
    <cellStyle name="Normal 24" xfId="75" xr:uid="{00000000-0005-0000-0000-00004B000000}"/>
    <cellStyle name="Normal 24 2" xfId="801" xr:uid="{00000000-0005-0000-0000-000021030000}"/>
    <cellStyle name="Normal 24 2 2" xfId="2252" xr:uid="{00000000-0005-0000-0000-0000CC080000}"/>
    <cellStyle name="Normal 24 2 2 2" xfId="5108" xr:uid="{00000000-0005-0000-0000-0000F4130000}"/>
    <cellStyle name="Normal 24 2 3" xfId="3690" xr:uid="{00000000-0005-0000-0000-00006A0E0000}"/>
    <cellStyle name="Normal 24 3" xfId="1605" xr:uid="{00000000-0005-0000-0000-000045060000}"/>
    <cellStyle name="Normal 24 3 2" xfId="4465" xr:uid="{00000000-0005-0000-0000-000071110000}"/>
    <cellStyle name="Normal 24 4" xfId="3049" xr:uid="{00000000-0005-0000-0000-0000E90B0000}"/>
    <cellStyle name="Normal 25" xfId="85" xr:uid="{00000000-0005-0000-0000-000055000000}"/>
    <cellStyle name="Normal 25 2" xfId="811" xr:uid="{00000000-0005-0000-0000-00002B030000}"/>
    <cellStyle name="Normal 25 2 2" xfId="2262" xr:uid="{00000000-0005-0000-0000-0000D6080000}"/>
    <cellStyle name="Normal 25 2 2 2" xfId="5118" xr:uid="{00000000-0005-0000-0000-0000FE130000}"/>
    <cellStyle name="Normal 25 2 3" xfId="3700" xr:uid="{00000000-0005-0000-0000-0000740E0000}"/>
    <cellStyle name="Normal 25 3" xfId="1615" xr:uid="{00000000-0005-0000-0000-00004F060000}"/>
    <cellStyle name="Normal 25 3 2" xfId="4475" xr:uid="{00000000-0005-0000-0000-00007B110000}"/>
    <cellStyle name="Normal 25 4" xfId="3059" xr:uid="{00000000-0005-0000-0000-0000F30B0000}"/>
    <cellStyle name="Normal 26" xfId="87" xr:uid="{00000000-0005-0000-0000-000057000000}"/>
    <cellStyle name="Normal 26 2" xfId="813" xr:uid="{00000000-0005-0000-0000-00002D030000}"/>
    <cellStyle name="Normal 26 2 2" xfId="2264" xr:uid="{00000000-0005-0000-0000-0000D8080000}"/>
    <cellStyle name="Normal 26 2 2 2" xfId="5120" xr:uid="{00000000-0005-0000-0000-000000140000}"/>
    <cellStyle name="Normal 26 2 3" xfId="3702" xr:uid="{00000000-0005-0000-0000-0000760E0000}"/>
    <cellStyle name="Normal 26 3" xfId="1617" xr:uid="{00000000-0005-0000-0000-000051060000}"/>
    <cellStyle name="Normal 26 3 2" xfId="4477" xr:uid="{00000000-0005-0000-0000-00007D110000}"/>
    <cellStyle name="Normal 26 4" xfId="3061" xr:uid="{00000000-0005-0000-0000-0000F50B0000}"/>
    <cellStyle name="Normal 27" xfId="89" xr:uid="{00000000-0005-0000-0000-000059000000}"/>
    <cellStyle name="Normal 27 2" xfId="815" xr:uid="{00000000-0005-0000-0000-00002F030000}"/>
    <cellStyle name="Normal 28" xfId="91" xr:uid="{00000000-0005-0000-0000-00005B000000}"/>
    <cellStyle name="Normal 28 2" xfId="817" xr:uid="{00000000-0005-0000-0000-000031030000}"/>
    <cellStyle name="Normal 28 2 2" xfId="2267" xr:uid="{00000000-0005-0000-0000-0000DB080000}"/>
    <cellStyle name="Normal 28 2 2 2" xfId="5123" xr:uid="{00000000-0005-0000-0000-000003140000}"/>
    <cellStyle name="Normal 28 2 3" xfId="3705" xr:uid="{00000000-0005-0000-0000-0000790E0000}"/>
    <cellStyle name="Normal 28 3" xfId="1620" xr:uid="{00000000-0005-0000-0000-000054060000}"/>
    <cellStyle name="Normal 28 3 2" xfId="4480" xr:uid="{00000000-0005-0000-0000-000080110000}"/>
    <cellStyle name="Normal 28 4" xfId="3064" xr:uid="{00000000-0005-0000-0000-0000F80B0000}"/>
    <cellStyle name="Normal 29" xfId="92" xr:uid="{00000000-0005-0000-0000-00005C000000}"/>
    <cellStyle name="Normal 29 2" xfId="818" xr:uid="{00000000-0005-0000-0000-000032030000}"/>
    <cellStyle name="Normal 29 2 2" xfId="2268" xr:uid="{00000000-0005-0000-0000-0000DC080000}"/>
    <cellStyle name="Normal 29 2 2 2" xfId="5124" xr:uid="{00000000-0005-0000-0000-000004140000}"/>
    <cellStyle name="Normal 29 2 3" xfId="3706" xr:uid="{00000000-0005-0000-0000-00007A0E0000}"/>
    <cellStyle name="Normal 29 3" xfId="1621" xr:uid="{00000000-0005-0000-0000-000055060000}"/>
    <cellStyle name="Normal 29 3 2" xfId="4481" xr:uid="{00000000-0005-0000-0000-000081110000}"/>
    <cellStyle name="Normal 29 4" xfId="3065" xr:uid="{00000000-0005-0000-0000-0000F90B0000}"/>
    <cellStyle name="Normal 3" xfId="18" xr:uid="{00000000-0005-0000-0000-000012000000}"/>
    <cellStyle name="Normal 3 10" xfId="111" xr:uid="{00000000-0005-0000-0000-00006F000000}"/>
    <cellStyle name="Normal 3 10 2" xfId="837" xr:uid="{00000000-0005-0000-0000-000045030000}"/>
    <cellStyle name="Normal 3 10 2 2" xfId="2286" xr:uid="{00000000-0005-0000-0000-0000EE080000}"/>
    <cellStyle name="Normal 3 10 2 2 2" xfId="5142" xr:uid="{00000000-0005-0000-0000-000016140000}"/>
    <cellStyle name="Normal 3 10 2 3" xfId="3724" xr:uid="{00000000-0005-0000-0000-00008C0E0000}"/>
    <cellStyle name="Normal 3 10 3" xfId="1639" xr:uid="{00000000-0005-0000-0000-000067060000}"/>
    <cellStyle name="Normal 3 10 3 2" xfId="4499" xr:uid="{00000000-0005-0000-0000-000093110000}"/>
    <cellStyle name="Normal 3 10 4" xfId="3083" xr:uid="{00000000-0005-0000-0000-00000B0C0000}"/>
    <cellStyle name="Normal 3 11" xfId="115" xr:uid="{00000000-0005-0000-0000-000073000000}"/>
    <cellStyle name="Normal 3 11 2" xfId="841" xr:uid="{00000000-0005-0000-0000-000049030000}"/>
    <cellStyle name="Normal 3 11 2 2" xfId="2290" xr:uid="{00000000-0005-0000-0000-0000F2080000}"/>
    <cellStyle name="Normal 3 11 2 2 2" xfId="5146" xr:uid="{00000000-0005-0000-0000-00001A140000}"/>
    <cellStyle name="Normal 3 11 2 3" xfId="3728" xr:uid="{00000000-0005-0000-0000-0000900E0000}"/>
    <cellStyle name="Normal 3 11 3" xfId="1643" xr:uid="{00000000-0005-0000-0000-00006B060000}"/>
    <cellStyle name="Normal 3 11 3 2" xfId="4503" xr:uid="{00000000-0005-0000-0000-000097110000}"/>
    <cellStyle name="Normal 3 11 4" xfId="3087" xr:uid="{00000000-0005-0000-0000-00000F0C0000}"/>
    <cellStyle name="Normal 3 12" xfId="122" xr:uid="{00000000-0005-0000-0000-00007A000000}"/>
    <cellStyle name="Normal 3 12 2" xfId="848" xr:uid="{00000000-0005-0000-0000-000050030000}"/>
    <cellStyle name="Normal 3 12 2 2" xfId="2296" xr:uid="{00000000-0005-0000-0000-0000F8080000}"/>
    <cellStyle name="Normal 3 12 2 2 2" xfId="5152" xr:uid="{00000000-0005-0000-0000-000020140000}"/>
    <cellStyle name="Normal 3 12 2 3" xfId="3734" xr:uid="{00000000-0005-0000-0000-0000960E0000}"/>
    <cellStyle name="Normal 3 12 3" xfId="1649" xr:uid="{00000000-0005-0000-0000-000071060000}"/>
    <cellStyle name="Normal 3 12 3 2" xfId="4509" xr:uid="{00000000-0005-0000-0000-00009D110000}"/>
    <cellStyle name="Normal 3 12 4" xfId="3093" xr:uid="{00000000-0005-0000-0000-0000150C0000}"/>
    <cellStyle name="Normal 3 13" xfId="130" xr:uid="{00000000-0005-0000-0000-000082000000}"/>
    <cellStyle name="Normal 3 13 2" xfId="855" xr:uid="{00000000-0005-0000-0000-000057030000}"/>
    <cellStyle name="Normal 3 13 2 2" xfId="2303" xr:uid="{00000000-0005-0000-0000-0000FF080000}"/>
    <cellStyle name="Normal 3 13 2 2 2" xfId="5159" xr:uid="{00000000-0005-0000-0000-000027140000}"/>
    <cellStyle name="Normal 3 13 2 3" xfId="3741" xr:uid="{00000000-0005-0000-0000-00009D0E0000}"/>
    <cellStyle name="Normal 3 13 3" xfId="1656" xr:uid="{00000000-0005-0000-0000-000078060000}"/>
    <cellStyle name="Normal 3 13 3 2" xfId="4516" xr:uid="{00000000-0005-0000-0000-0000A4110000}"/>
    <cellStyle name="Normal 3 13 4" xfId="3100" xr:uid="{00000000-0005-0000-0000-00001C0C0000}"/>
    <cellStyle name="Normal 3 14" xfId="140" xr:uid="{00000000-0005-0000-0000-00008C000000}"/>
    <cellStyle name="Normal 3 14 2" xfId="865" xr:uid="{00000000-0005-0000-0000-000061030000}"/>
    <cellStyle name="Normal 3 14 2 2" xfId="2313" xr:uid="{00000000-0005-0000-0000-000009090000}"/>
    <cellStyle name="Normal 3 14 2 2 2" xfId="5169" xr:uid="{00000000-0005-0000-0000-000031140000}"/>
    <cellStyle name="Normal 3 14 2 3" xfId="3751" xr:uid="{00000000-0005-0000-0000-0000A70E0000}"/>
    <cellStyle name="Normal 3 14 3" xfId="1666" xr:uid="{00000000-0005-0000-0000-000082060000}"/>
    <cellStyle name="Normal 3 14 3 2" xfId="4526" xr:uid="{00000000-0005-0000-0000-0000AE110000}"/>
    <cellStyle name="Normal 3 14 4" xfId="3110" xr:uid="{00000000-0005-0000-0000-0000260C0000}"/>
    <cellStyle name="Normal 3 15" xfId="146" xr:uid="{00000000-0005-0000-0000-000092000000}"/>
    <cellStyle name="Normal 3 15 2" xfId="871" xr:uid="{00000000-0005-0000-0000-000067030000}"/>
    <cellStyle name="Normal 3 15 2 2" xfId="2319" xr:uid="{00000000-0005-0000-0000-00000F090000}"/>
    <cellStyle name="Normal 3 15 2 2 2" xfId="5175" xr:uid="{00000000-0005-0000-0000-000037140000}"/>
    <cellStyle name="Normal 3 15 2 3" xfId="3757" xr:uid="{00000000-0005-0000-0000-0000AD0E0000}"/>
    <cellStyle name="Normal 3 15 3" xfId="1672" xr:uid="{00000000-0005-0000-0000-000088060000}"/>
    <cellStyle name="Normal 3 15 3 2" xfId="4532" xr:uid="{00000000-0005-0000-0000-0000B4110000}"/>
    <cellStyle name="Normal 3 15 4" xfId="3116" xr:uid="{00000000-0005-0000-0000-00002C0C0000}"/>
    <cellStyle name="Normal 3 16" xfId="155" xr:uid="{00000000-0005-0000-0000-00009B000000}"/>
    <cellStyle name="Normal 3 16 2" xfId="878" xr:uid="{00000000-0005-0000-0000-00006E030000}"/>
    <cellStyle name="Normal 3 16 2 2" xfId="2326" xr:uid="{00000000-0005-0000-0000-000016090000}"/>
    <cellStyle name="Normal 3 16 2 2 2" xfId="5182" xr:uid="{00000000-0005-0000-0000-00003E140000}"/>
    <cellStyle name="Normal 3 16 2 3" xfId="3764" xr:uid="{00000000-0005-0000-0000-0000B40E0000}"/>
    <cellStyle name="Normal 3 16 3" xfId="1679" xr:uid="{00000000-0005-0000-0000-00008F060000}"/>
    <cellStyle name="Normal 3 16 3 2" xfId="4539" xr:uid="{00000000-0005-0000-0000-0000BB110000}"/>
    <cellStyle name="Normal 3 16 4" xfId="3123" xr:uid="{00000000-0005-0000-0000-0000330C0000}"/>
    <cellStyle name="Normal 3 17" xfId="162" xr:uid="{00000000-0005-0000-0000-0000A2000000}"/>
    <cellStyle name="Normal 3 17 2" xfId="885" xr:uid="{00000000-0005-0000-0000-000075030000}"/>
    <cellStyle name="Normal 3 17 2 2" xfId="2333" xr:uid="{00000000-0005-0000-0000-00001D090000}"/>
    <cellStyle name="Normal 3 17 2 2 2" xfId="5189" xr:uid="{00000000-0005-0000-0000-000045140000}"/>
    <cellStyle name="Normal 3 17 2 3" xfId="3771" xr:uid="{00000000-0005-0000-0000-0000BB0E0000}"/>
    <cellStyle name="Normal 3 17 3" xfId="1686" xr:uid="{00000000-0005-0000-0000-000096060000}"/>
    <cellStyle name="Normal 3 17 3 2" xfId="4546" xr:uid="{00000000-0005-0000-0000-0000C2110000}"/>
    <cellStyle name="Normal 3 17 4" xfId="3130" xr:uid="{00000000-0005-0000-0000-00003A0C0000}"/>
    <cellStyle name="Normal 3 18" xfId="176" xr:uid="{00000000-0005-0000-0000-0000B0000000}"/>
    <cellStyle name="Normal 3 18 2" xfId="898" xr:uid="{00000000-0005-0000-0000-000082030000}"/>
    <cellStyle name="Normal 3 18 2 2" xfId="2346" xr:uid="{00000000-0005-0000-0000-00002A090000}"/>
    <cellStyle name="Normal 3 18 2 2 2" xfId="5202" xr:uid="{00000000-0005-0000-0000-000052140000}"/>
    <cellStyle name="Normal 3 18 2 3" xfId="3784" xr:uid="{00000000-0005-0000-0000-0000C80E0000}"/>
    <cellStyle name="Normal 3 18 3" xfId="1699" xr:uid="{00000000-0005-0000-0000-0000A3060000}"/>
    <cellStyle name="Normal 3 18 3 2" xfId="4559" xr:uid="{00000000-0005-0000-0000-0000CF110000}"/>
    <cellStyle name="Normal 3 18 4" xfId="3143" xr:uid="{00000000-0005-0000-0000-0000470C0000}"/>
    <cellStyle name="Normal 3 19" xfId="189" xr:uid="{00000000-0005-0000-0000-0000BD000000}"/>
    <cellStyle name="Normal 3 19 2" xfId="911" xr:uid="{00000000-0005-0000-0000-00008F030000}"/>
    <cellStyle name="Normal 3 19 2 2" xfId="2359" xr:uid="{00000000-0005-0000-0000-000037090000}"/>
    <cellStyle name="Normal 3 19 2 2 2" xfId="5215" xr:uid="{00000000-0005-0000-0000-00005F140000}"/>
    <cellStyle name="Normal 3 19 2 3" xfId="3797" xr:uid="{00000000-0005-0000-0000-0000D50E0000}"/>
    <cellStyle name="Normal 3 19 3" xfId="1712" xr:uid="{00000000-0005-0000-0000-0000B0060000}"/>
    <cellStyle name="Normal 3 19 3 2" xfId="4572" xr:uid="{00000000-0005-0000-0000-0000DC110000}"/>
    <cellStyle name="Normal 3 19 4" xfId="3156" xr:uid="{00000000-0005-0000-0000-0000540C0000}"/>
    <cellStyle name="Normal 3 2" xfId="19" xr:uid="{00000000-0005-0000-0000-000013000000}"/>
    <cellStyle name="Normal 3 2 2 2" xfId="36" xr:uid="{00000000-0005-0000-0000-000024000000}"/>
    <cellStyle name="Normal 3 2 2 2 10" xfId="207" xr:uid="{00000000-0005-0000-0000-0000CF000000}"/>
    <cellStyle name="Normal 3 2 2 2 10 2" xfId="929" xr:uid="{00000000-0005-0000-0000-0000A1030000}"/>
    <cellStyle name="Normal 3 2 2 2 10 2 2" xfId="2377" xr:uid="{00000000-0005-0000-0000-000049090000}"/>
    <cellStyle name="Normal 3 2 2 2 10 2 2 2" xfId="5233" xr:uid="{00000000-0005-0000-0000-000071140000}"/>
    <cellStyle name="Normal 3 2 2 2 10 2 3" xfId="3815" xr:uid="{00000000-0005-0000-0000-0000E70E0000}"/>
    <cellStyle name="Normal 3 2 2 2 10 3" xfId="1730" xr:uid="{00000000-0005-0000-0000-0000C2060000}"/>
    <cellStyle name="Normal 3 2 2 2 10 3 2" xfId="4590" xr:uid="{00000000-0005-0000-0000-0000EE110000}"/>
    <cellStyle name="Normal 3 2 2 2 10 4" xfId="3174" xr:uid="{00000000-0005-0000-0000-0000660C0000}"/>
    <cellStyle name="Normal 3 2 2 2 11" xfId="210" xr:uid="{00000000-0005-0000-0000-0000D2000000}"/>
    <cellStyle name="Normal 3 2 2 2 11 2" xfId="932" xr:uid="{00000000-0005-0000-0000-0000A4030000}"/>
    <cellStyle name="Normal 3 2 2 2 11 2 2" xfId="2380" xr:uid="{00000000-0005-0000-0000-00004C090000}"/>
    <cellStyle name="Normal 3 2 2 2 11 2 2 2" xfId="5236" xr:uid="{00000000-0005-0000-0000-000074140000}"/>
    <cellStyle name="Normal 3 2 2 2 11 2 3" xfId="3818" xr:uid="{00000000-0005-0000-0000-0000EA0E0000}"/>
    <cellStyle name="Normal 3 2 2 2 11 3" xfId="1733" xr:uid="{00000000-0005-0000-0000-0000C5060000}"/>
    <cellStyle name="Normal 3 2 2 2 11 3 2" xfId="4593" xr:uid="{00000000-0005-0000-0000-0000F1110000}"/>
    <cellStyle name="Normal 3 2 2 2 11 4" xfId="3177" xr:uid="{00000000-0005-0000-0000-0000690C0000}"/>
    <cellStyle name="Normal 3 2 2 2 12" xfId="215" xr:uid="{00000000-0005-0000-0000-0000D7000000}"/>
    <cellStyle name="Normal 3 2 2 2 12 2" xfId="937" xr:uid="{00000000-0005-0000-0000-0000A9030000}"/>
    <cellStyle name="Normal 3 2 2 2 12 2 2" xfId="2385" xr:uid="{00000000-0005-0000-0000-000051090000}"/>
    <cellStyle name="Normal 3 2 2 2 12 2 2 2" xfId="5241" xr:uid="{00000000-0005-0000-0000-000079140000}"/>
    <cellStyle name="Normal 3 2 2 2 12 2 3" xfId="3823" xr:uid="{00000000-0005-0000-0000-0000EF0E0000}"/>
    <cellStyle name="Normal 3 2 2 2 12 3" xfId="1738" xr:uid="{00000000-0005-0000-0000-0000CA060000}"/>
    <cellStyle name="Normal 3 2 2 2 12 3 2" xfId="4598" xr:uid="{00000000-0005-0000-0000-0000F6110000}"/>
    <cellStyle name="Normal 3 2 2 2 12 4" xfId="3182" xr:uid="{00000000-0005-0000-0000-00006E0C0000}"/>
    <cellStyle name="Normal 3 2 2 2 13" xfId="221" xr:uid="{00000000-0005-0000-0000-0000DD000000}"/>
    <cellStyle name="Normal 3 2 2 2 13 2" xfId="943" xr:uid="{00000000-0005-0000-0000-0000AF030000}"/>
    <cellStyle name="Normal 3 2 2 2 13 2 2" xfId="2391" xr:uid="{00000000-0005-0000-0000-000057090000}"/>
    <cellStyle name="Normal 3 2 2 2 13 2 2 2" xfId="5247" xr:uid="{00000000-0005-0000-0000-00007F140000}"/>
    <cellStyle name="Normal 3 2 2 2 13 2 3" xfId="3829" xr:uid="{00000000-0005-0000-0000-0000F50E0000}"/>
    <cellStyle name="Normal 3 2 2 2 13 3" xfId="1744" xr:uid="{00000000-0005-0000-0000-0000D0060000}"/>
    <cellStyle name="Normal 3 2 2 2 13 3 2" xfId="4604" xr:uid="{00000000-0005-0000-0000-0000FC110000}"/>
    <cellStyle name="Normal 3 2 2 2 13 4" xfId="3188" xr:uid="{00000000-0005-0000-0000-0000740C0000}"/>
    <cellStyle name="Normal 3 2 2 2 14" xfId="225" xr:uid="{00000000-0005-0000-0000-0000E1000000}"/>
    <cellStyle name="Normal 3 2 2 2 14 2" xfId="947" xr:uid="{00000000-0005-0000-0000-0000B3030000}"/>
    <cellStyle name="Normal 3 2 2 2 14 2 2" xfId="2395" xr:uid="{00000000-0005-0000-0000-00005B090000}"/>
    <cellStyle name="Normal 3 2 2 2 14 2 2 2" xfId="5251" xr:uid="{00000000-0005-0000-0000-000083140000}"/>
    <cellStyle name="Normal 3 2 2 2 14 2 3" xfId="3833" xr:uid="{00000000-0005-0000-0000-0000F90E0000}"/>
    <cellStyle name="Normal 3 2 2 2 14 3" xfId="1748" xr:uid="{00000000-0005-0000-0000-0000D4060000}"/>
    <cellStyle name="Normal 3 2 2 2 14 3 2" xfId="4608" xr:uid="{00000000-0005-0000-0000-000000120000}"/>
    <cellStyle name="Normal 3 2 2 2 14 4" xfId="3192" xr:uid="{00000000-0005-0000-0000-0000780C0000}"/>
    <cellStyle name="Normal 3 2 2 2 15" xfId="232" xr:uid="{00000000-0005-0000-0000-0000E8000000}"/>
    <cellStyle name="Normal 3 2 2 2 15 2" xfId="954" xr:uid="{00000000-0005-0000-0000-0000BA030000}"/>
    <cellStyle name="Normal 3 2 2 2 15 2 2" xfId="2402" xr:uid="{00000000-0005-0000-0000-000062090000}"/>
    <cellStyle name="Normal 3 2 2 2 15 2 2 2" xfId="5258" xr:uid="{00000000-0005-0000-0000-00008A140000}"/>
    <cellStyle name="Normal 3 2 2 2 15 2 3" xfId="3840" xr:uid="{00000000-0005-0000-0000-0000000F0000}"/>
    <cellStyle name="Normal 3 2 2 2 15 3" xfId="1755" xr:uid="{00000000-0005-0000-0000-0000DB060000}"/>
    <cellStyle name="Normal 3 2 2 2 15 3 2" xfId="4615" xr:uid="{00000000-0005-0000-0000-000007120000}"/>
    <cellStyle name="Normal 3 2 2 2 15 4" xfId="3199" xr:uid="{00000000-0005-0000-0000-00007F0C0000}"/>
    <cellStyle name="Normal 3 2 2 2 16" xfId="236" xr:uid="{00000000-0005-0000-0000-0000EC000000}"/>
    <cellStyle name="Normal 3 2 2 2 16 2" xfId="958" xr:uid="{00000000-0005-0000-0000-0000BE030000}"/>
    <cellStyle name="Normal 3 2 2 2 16 2 2" xfId="2406" xr:uid="{00000000-0005-0000-0000-000066090000}"/>
    <cellStyle name="Normal 3 2 2 2 16 2 2 2" xfId="5262" xr:uid="{00000000-0005-0000-0000-00008E140000}"/>
    <cellStyle name="Normal 3 2 2 2 16 2 3" xfId="3844" xr:uid="{00000000-0005-0000-0000-0000040F0000}"/>
    <cellStyle name="Normal 3 2 2 2 16 3" xfId="1759" xr:uid="{00000000-0005-0000-0000-0000DF060000}"/>
    <cellStyle name="Normal 3 2 2 2 16 3 2" xfId="4619" xr:uid="{00000000-0005-0000-0000-00000B120000}"/>
    <cellStyle name="Normal 3 2 2 2 16 4" xfId="3203" xr:uid="{00000000-0005-0000-0000-0000830C0000}"/>
    <cellStyle name="Normal 3 2 2 2 17" xfId="239" xr:uid="{00000000-0005-0000-0000-0000EF000000}"/>
    <cellStyle name="Normal 3 2 2 2 17 2" xfId="961" xr:uid="{00000000-0005-0000-0000-0000C1030000}"/>
    <cellStyle name="Normal 3 2 2 2 17 2 2" xfId="2409" xr:uid="{00000000-0005-0000-0000-000069090000}"/>
    <cellStyle name="Normal 3 2 2 2 17 2 2 2" xfId="5265" xr:uid="{00000000-0005-0000-0000-000091140000}"/>
    <cellStyle name="Normal 3 2 2 2 17 2 3" xfId="3847" xr:uid="{00000000-0005-0000-0000-0000070F0000}"/>
    <cellStyle name="Normal 3 2 2 2 17 3" xfId="1762" xr:uid="{00000000-0005-0000-0000-0000E2060000}"/>
    <cellStyle name="Normal 3 2 2 2 17 3 2" xfId="4622" xr:uid="{00000000-0005-0000-0000-00000E120000}"/>
    <cellStyle name="Normal 3 2 2 2 17 4" xfId="3206" xr:uid="{00000000-0005-0000-0000-0000860C0000}"/>
    <cellStyle name="Normal 3 2 2 2 18" xfId="245" xr:uid="{00000000-0005-0000-0000-0000F5000000}"/>
    <cellStyle name="Normal 3 2 2 2 18 2" xfId="967" xr:uid="{00000000-0005-0000-0000-0000C7030000}"/>
    <cellStyle name="Normal 3 2 2 2 18 2 2" xfId="2415" xr:uid="{00000000-0005-0000-0000-00006F090000}"/>
    <cellStyle name="Normal 3 2 2 2 18 2 2 2" xfId="5271" xr:uid="{00000000-0005-0000-0000-000097140000}"/>
    <cellStyle name="Normal 3 2 2 2 18 2 3" xfId="3853" xr:uid="{00000000-0005-0000-0000-00000D0F0000}"/>
    <cellStyle name="Normal 3 2 2 2 18 3" xfId="1768" xr:uid="{00000000-0005-0000-0000-0000E8060000}"/>
    <cellStyle name="Normal 3 2 2 2 18 3 2" xfId="4628" xr:uid="{00000000-0005-0000-0000-000014120000}"/>
    <cellStyle name="Normal 3 2 2 2 18 4" xfId="3212" xr:uid="{00000000-0005-0000-0000-00008C0C0000}"/>
    <cellStyle name="Normal 3 2 2 2 19" xfId="249" xr:uid="{00000000-0005-0000-0000-0000F9000000}"/>
    <cellStyle name="Normal 3 2 2 2 19 2" xfId="971" xr:uid="{00000000-0005-0000-0000-0000CB030000}"/>
    <cellStyle name="Normal 3 2 2 2 19 2 2" xfId="2419" xr:uid="{00000000-0005-0000-0000-000073090000}"/>
    <cellStyle name="Normal 3 2 2 2 19 2 2 2" xfId="5275" xr:uid="{00000000-0005-0000-0000-00009B140000}"/>
    <cellStyle name="Normal 3 2 2 2 19 2 3" xfId="3857" xr:uid="{00000000-0005-0000-0000-0000110F0000}"/>
    <cellStyle name="Normal 3 2 2 2 19 3" xfId="1772" xr:uid="{00000000-0005-0000-0000-0000EC060000}"/>
    <cellStyle name="Normal 3 2 2 2 19 3 2" xfId="4632" xr:uid="{00000000-0005-0000-0000-000018120000}"/>
    <cellStyle name="Normal 3 2 2 2 19 4" xfId="3216" xr:uid="{00000000-0005-0000-0000-0000900C0000}"/>
    <cellStyle name="Normal 3 2 2 2 2" xfId="167" xr:uid="{00000000-0005-0000-0000-0000A7000000}"/>
    <cellStyle name="Normal 3 2 2 2 2 2" xfId="889" xr:uid="{00000000-0005-0000-0000-000079030000}"/>
    <cellStyle name="Normal 3 2 2 2 2 2 2" xfId="2337" xr:uid="{00000000-0005-0000-0000-000021090000}"/>
    <cellStyle name="Normal 3 2 2 2 2 2 2 2" xfId="5193" xr:uid="{00000000-0005-0000-0000-000049140000}"/>
    <cellStyle name="Normal 3 2 2 2 2 2 3" xfId="3775" xr:uid="{00000000-0005-0000-0000-0000BF0E0000}"/>
    <cellStyle name="Normal 3 2 2 2 2 3" xfId="1690" xr:uid="{00000000-0005-0000-0000-00009A060000}"/>
    <cellStyle name="Normal 3 2 2 2 2 3 2" xfId="4550" xr:uid="{00000000-0005-0000-0000-0000C6110000}"/>
    <cellStyle name="Normal 3 2 2 2 2 4" xfId="3134" xr:uid="{00000000-0005-0000-0000-00003E0C0000}"/>
    <cellStyle name="Normal 3 2 2 2 20" xfId="257" xr:uid="{00000000-0005-0000-0000-000001010000}"/>
    <cellStyle name="Normal 3 2 2 2 20 2" xfId="979" xr:uid="{00000000-0005-0000-0000-0000D3030000}"/>
    <cellStyle name="Normal 3 2 2 2 20 2 2" xfId="2427" xr:uid="{00000000-0005-0000-0000-00007B090000}"/>
    <cellStyle name="Normal 3 2 2 2 20 2 2 2" xfId="5283" xr:uid="{00000000-0005-0000-0000-0000A3140000}"/>
    <cellStyle name="Normal 3 2 2 2 20 2 3" xfId="3865" xr:uid="{00000000-0005-0000-0000-0000190F0000}"/>
    <cellStyle name="Normal 3 2 2 2 20 3" xfId="1780" xr:uid="{00000000-0005-0000-0000-0000F4060000}"/>
    <cellStyle name="Normal 3 2 2 2 20 3 2" xfId="4640" xr:uid="{00000000-0005-0000-0000-000020120000}"/>
    <cellStyle name="Normal 3 2 2 2 20 4" xfId="3224" xr:uid="{00000000-0005-0000-0000-0000980C0000}"/>
    <cellStyle name="Normal 3 2 2 2 21" xfId="261" xr:uid="{00000000-0005-0000-0000-000005010000}"/>
    <cellStyle name="Normal 3 2 2 2 21 2" xfId="983" xr:uid="{00000000-0005-0000-0000-0000D7030000}"/>
    <cellStyle name="Normal 3 2 2 2 21 2 2" xfId="2431" xr:uid="{00000000-0005-0000-0000-00007F090000}"/>
    <cellStyle name="Normal 3 2 2 2 21 2 2 2" xfId="5287" xr:uid="{00000000-0005-0000-0000-0000A7140000}"/>
    <cellStyle name="Normal 3 2 2 2 21 2 3" xfId="3869" xr:uid="{00000000-0005-0000-0000-00001D0F0000}"/>
    <cellStyle name="Normal 3 2 2 2 21 3" xfId="1784" xr:uid="{00000000-0005-0000-0000-0000F8060000}"/>
    <cellStyle name="Normal 3 2 2 2 21 3 2" xfId="4644" xr:uid="{00000000-0005-0000-0000-000024120000}"/>
    <cellStyle name="Normal 3 2 2 2 21 4" xfId="3228" xr:uid="{00000000-0005-0000-0000-00009C0C0000}"/>
    <cellStyle name="Normal 3 2 2 2 22" xfId="267" xr:uid="{00000000-0005-0000-0000-00000B010000}"/>
    <cellStyle name="Normal 3 2 2 2 22 2" xfId="989" xr:uid="{00000000-0005-0000-0000-0000DD030000}"/>
    <cellStyle name="Normal 3 2 2 2 22 2 2" xfId="2437" xr:uid="{00000000-0005-0000-0000-000085090000}"/>
    <cellStyle name="Normal 3 2 2 2 22 2 2 2" xfId="5293" xr:uid="{00000000-0005-0000-0000-0000AD140000}"/>
    <cellStyle name="Normal 3 2 2 2 22 2 3" xfId="3875" xr:uid="{00000000-0005-0000-0000-0000230F0000}"/>
    <cellStyle name="Normal 3 2 2 2 22 3" xfId="1790" xr:uid="{00000000-0005-0000-0000-0000FE060000}"/>
    <cellStyle name="Normal 3 2 2 2 22 3 2" xfId="4650" xr:uid="{00000000-0005-0000-0000-00002A120000}"/>
    <cellStyle name="Normal 3 2 2 2 22 4" xfId="3234" xr:uid="{00000000-0005-0000-0000-0000A20C0000}"/>
    <cellStyle name="Normal 3 2 2 2 23" xfId="272" xr:uid="{00000000-0005-0000-0000-000010010000}"/>
    <cellStyle name="Normal 3 2 2 2 23 2" xfId="994" xr:uid="{00000000-0005-0000-0000-0000E2030000}"/>
    <cellStyle name="Normal 3 2 2 2 23 2 2" xfId="2442" xr:uid="{00000000-0005-0000-0000-00008A090000}"/>
    <cellStyle name="Normal 3 2 2 2 23 2 2 2" xfId="5298" xr:uid="{00000000-0005-0000-0000-0000B2140000}"/>
    <cellStyle name="Normal 3 2 2 2 23 2 3" xfId="3880" xr:uid="{00000000-0005-0000-0000-0000280F0000}"/>
    <cellStyle name="Normal 3 2 2 2 23 3" xfId="1795" xr:uid="{00000000-0005-0000-0000-000003070000}"/>
    <cellStyle name="Normal 3 2 2 2 23 3 2" xfId="4655" xr:uid="{00000000-0005-0000-0000-00002F120000}"/>
    <cellStyle name="Normal 3 2 2 2 23 4" xfId="3239" xr:uid="{00000000-0005-0000-0000-0000A70C0000}"/>
    <cellStyle name="Normal 3 2 2 2 24" xfId="275" xr:uid="{00000000-0005-0000-0000-000013010000}"/>
    <cellStyle name="Normal 3 2 2 2 24 2" xfId="997" xr:uid="{00000000-0005-0000-0000-0000E5030000}"/>
    <cellStyle name="Normal 3 2 2 2 24 2 2" xfId="2445" xr:uid="{00000000-0005-0000-0000-00008D090000}"/>
    <cellStyle name="Normal 3 2 2 2 24 2 2 2" xfId="5301" xr:uid="{00000000-0005-0000-0000-0000B5140000}"/>
    <cellStyle name="Normal 3 2 2 2 24 2 3" xfId="3883" xr:uid="{00000000-0005-0000-0000-00002B0F0000}"/>
    <cellStyle name="Normal 3 2 2 2 24 3" xfId="1798" xr:uid="{00000000-0005-0000-0000-000006070000}"/>
    <cellStyle name="Normal 3 2 2 2 24 3 2" xfId="4658" xr:uid="{00000000-0005-0000-0000-000032120000}"/>
    <cellStyle name="Normal 3 2 2 2 24 4" xfId="3242" xr:uid="{00000000-0005-0000-0000-0000AA0C0000}"/>
    <cellStyle name="Normal 3 2 2 2 25" xfId="283" xr:uid="{00000000-0005-0000-0000-00001B010000}"/>
    <cellStyle name="Normal 3 2 2 2 25 2" xfId="633" xr:uid="{00000000-0005-0000-0000-000079020000}"/>
    <cellStyle name="Normal 3 2 2 2 25 2 2" xfId="1347" xr:uid="{00000000-0005-0000-0000-000043050000}"/>
    <cellStyle name="Normal 3 2 2 2 25 2 2 2" xfId="2795" xr:uid="{00000000-0005-0000-0000-0000EB0A0000}"/>
    <cellStyle name="Normal 3 2 2 2 25 2 2 2 2" xfId="5651" xr:uid="{00000000-0005-0000-0000-000013160000}"/>
    <cellStyle name="Normal 3 2 2 2 25 2 2 3" xfId="4233" xr:uid="{00000000-0005-0000-0000-000089100000}"/>
    <cellStyle name="Normal 3 2 2 2 25 2 3" xfId="2151" xr:uid="{00000000-0005-0000-0000-000067080000}"/>
    <cellStyle name="Normal 3 2 2 2 25 2 3 2" xfId="5011" xr:uid="{00000000-0005-0000-0000-000093130000}"/>
    <cellStyle name="Normal 3 2 2 2 25 2 4" xfId="3595" xr:uid="{00000000-0005-0000-0000-00000B0E0000}"/>
    <cellStyle name="Normal 3 2 2 2 25 3" xfId="693" xr:uid="{00000000-0005-0000-0000-0000B5020000}"/>
    <cellStyle name="Normal 3 2 2 2 25 3 2" xfId="1380" xr:uid="{00000000-0005-0000-0000-000064050000}"/>
    <cellStyle name="Normal 3 2 2 2 25 3 2 2" xfId="2827" xr:uid="{00000000-0005-0000-0000-00000B0B0000}"/>
    <cellStyle name="Normal 3 2 2 2 25 3 2 2 2" xfId="5682" xr:uid="{00000000-0005-0000-0000-000032160000}"/>
    <cellStyle name="Normal 3 2 2 2 25 3 2 3" xfId="4264" xr:uid="{00000000-0005-0000-0000-0000A8100000}"/>
    <cellStyle name="Normal 3 2 2 2 25 3 3" xfId="2184" xr:uid="{00000000-0005-0000-0000-000088080000}"/>
    <cellStyle name="Normal 3 2 2 2 25 3 3 2" xfId="5043" xr:uid="{00000000-0005-0000-0000-0000B3130000}"/>
    <cellStyle name="Normal 3 2 2 2 25 3 4" xfId="3627" xr:uid="{00000000-0005-0000-0000-00002B0E0000}"/>
    <cellStyle name="Normal 3 2 2 2 25 4" xfId="1005" xr:uid="{00000000-0005-0000-0000-0000ED030000}"/>
    <cellStyle name="Normal 3 2 2 2 25 4 2" xfId="2453" xr:uid="{00000000-0005-0000-0000-000095090000}"/>
    <cellStyle name="Normal 3 2 2 2 25 4 2 2" xfId="5309" xr:uid="{00000000-0005-0000-0000-0000BD140000}"/>
    <cellStyle name="Normal 3 2 2 2 25 4 3" xfId="3891" xr:uid="{00000000-0005-0000-0000-0000330F0000}"/>
    <cellStyle name="Normal 3 2 2 2 25 5" xfId="1806" xr:uid="{00000000-0005-0000-0000-00000E070000}"/>
    <cellStyle name="Normal 3 2 2 2 25 5 2" xfId="4666" xr:uid="{00000000-0005-0000-0000-00003A120000}"/>
    <cellStyle name="Normal 3 2 2 2 25 6" xfId="3250" xr:uid="{00000000-0005-0000-0000-0000B20C0000}"/>
    <cellStyle name="Normal 3 2 2 2 25 7" xfId="6022" xr:uid="{00000000-0005-0000-0000-000086170000}"/>
    <cellStyle name="Normal 3 2 2 2 26" xfId="285" xr:uid="{00000000-0005-0000-0000-00001D010000}"/>
    <cellStyle name="Normal 3 2 2 2 26 2" xfId="1007" xr:uid="{00000000-0005-0000-0000-0000EF030000}"/>
    <cellStyle name="Normal 3 2 2 2 26 2 2" xfId="2455" xr:uid="{00000000-0005-0000-0000-000097090000}"/>
    <cellStyle name="Normal 3 2 2 2 26 2 2 2" xfId="5311" xr:uid="{00000000-0005-0000-0000-0000BF140000}"/>
    <cellStyle name="Normal 3 2 2 2 26 2 3" xfId="3893" xr:uid="{00000000-0005-0000-0000-0000350F0000}"/>
    <cellStyle name="Normal 3 2 2 2 26 3" xfId="1808" xr:uid="{00000000-0005-0000-0000-000010070000}"/>
    <cellStyle name="Normal 3 2 2 2 26 3 2" xfId="4668" xr:uid="{00000000-0005-0000-0000-00003C120000}"/>
    <cellStyle name="Normal 3 2 2 2 26 4" xfId="3252" xr:uid="{00000000-0005-0000-0000-0000B40C0000}"/>
    <cellStyle name="Normal 3 2 2 2 27" xfId="290" xr:uid="{00000000-0005-0000-0000-000022010000}"/>
    <cellStyle name="Normal 3 2 2 2 27 2" xfId="1012" xr:uid="{00000000-0005-0000-0000-0000F4030000}"/>
    <cellStyle name="Normal 3 2 2 2 27 2 2" xfId="2460" xr:uid="{00000000-0005-0000-0000-00009C090000}"/>
    <cellStyle name="Normal 3 2 2 2 27 2 2 2" xfId="5316" xr:uid="{00000000-0005-0000-0000-0000C4140000}"/>
    <cellStyle name="Normal 3 2 2 2 27 2 3" xfId="3898" xr:uid="{00000000-0005-0000-0000-00003A0F0000}"/>
    <cellStyle name="Normal 3 2 2 2 27 3" xfId="1813" xr:uid="{00000000-0005-0000-0000-000015070000}"/>
    <cellStyle name="Normal 3 2 2 2 27 3 2" xfId="4673" xr:uid="{00000000-0005-0000-0000-000041120000}"/>
    <cellStyle name="Normal 3 2 2 2 27 4" xfId="3257" xr:uid="{00000000-0005-0000-0000-0000B90C0000}"/>
    <cellStyle name="Normal 3 2 2 2 28" xfId="299" xr:uid="{00000000-0005-0000-0000-00002B010000}"/>
    <cellStyle name="Normal 3 2 2 2 28 2" xfId="1020" xr:uid="{00000000-0005-0000-0000-0000FC030000}"/>
    <cellStyle name="Normal 3 2 2 2 28 2 2" xfId="2468" xr:uid="{00000000-0005-0000-0000-0000A4090000}"/>
    <cellStyle name="Normal 3 2 2 2 28 2 2 2" xfId="5324" xr:uid="{00000000-0005-0000-0000-0000CC140000}"/>
    <cellStyle name="Normal 3 2 2 2 28 2 3" xfId="3906" xr:uid="{00000000-0005-0000-0000-0000420F0000}"/>
    <cellStyle name="Normal 3 2 2 2 28 3" xfId="1822" xr:uid="{00000000-0005-0000-0000-00001E070000}"/>
    <cellStyle name="Normal 3 2 2 2 28 3 2" xfId="4682" xr:uid="{00000000-0005-0000-0000-00004A120000}"/>
    <cellStyle name="Normal 3 2 2 2 28 4" xfId="3266" xr:uid="{00000000-0005-0000-0000-0000C20C0000}"/>
    <cellStyle name="Normal 3 2 2 2 29" xfId="302" xr:uid="{00000000-0005-0000-0000-00002E010000}"/>
    <cellStyle name="Normal 3 2 2 2 29 2" xfId="1023" xr:uid="{00000000-0005-0000-0000-0000FF030000}"/>
    <cellStyle name="Normal 3 2 2 2 29 2 2" xfId="2471" xr:uid="{00000000-0005-0000-0000-0000A7090000}"/>
    <cellStyle name="Normal 3 2 2 2 29 2 2 2" xfId="5327" xr:uid="{00000000-0005-0000-0000-0000CF140000}"/>
    <cellStyle name="Normal 3 2 2 2 29 2 3" xfId="3909" xr:uid="{00000000-0005-0000-0000-0000450F0000}"/>
    <cellStyle name="Normal 3 2 2 2 29 3" xfId="1825" xr:uid="{00000000-0005-0000-0000-000021070000}"/>
    <cellStyle name="Normal 3 2 2 2 29 3 2" xfId="4685" xr:uid="{00000000-0005-0000-0000-00004D120000}"/>
    <cellStyle name="Normal 3 2 2 2 29 4" xfId="3269" xr:uid="{00000000-0005-0000-0000-0000C50C0000}"/>
    <cellStyle name="Normal 3 2 2 2 3" xfId="169" xr:uid="{00000000-0005-0000-0000-0000A9000000}"/>
    <cellStyle name="Normal 3 2 2 2 3 2" xfId="891" xr:uid="{00000000-0005-0000-0000-00007B030000}"/>
    <cellStyle name="Normal 3 2 2 2 3 2 2" xfId="2339" xr:uid="{00000000-0005-0000-0000-000023090000}"/>
    <cellStyle name="Normal 3 2 2 2 3 2 2 2" xfId="5195" xr:uid="{00000000-0005-0000-0000-00004B140000}"/>
    <cellStyle name="Normal 3 2 2 2 3 2 3" xfId="3777" xr:uid="{00000000-0005-0000-0000-0000C10E0000}"/>
    <cellStyle name="Normal 3 2 2 2 3 3" xfId="1692" xr:uid="{00000000-0005-0000-0000-00009C060000}"/>
    <cellStyle name="Normal 3 2 2 2 3 3 2" xfId="4552" xr:uid="{00000000-0005-0000-0000-0000C8110000}"/>
    <cellStyle name="Normal 3 2 2 2 3 4" xfId="3136" xr:uid="{00000000-0005-0000-0000-0000400C0000}"/>
    <cellStyle name="Normal 3 2 2 2 30" xfId="309" xr:uid="{00000000-0005-0000-0000-000035010000}"/>
    <cellStyle name="Normal 3 2 2 2 30 2" xfId="1030" xr:uid="{00000000-0005-0000-0000-000006040000}"/>
    <cellStyle name="Normal 3 2 2 2 30 2 2" xfId="2478" xr:uid="{00000000-0005-0000-0000-0000AE090000}"/>
    <cellStyle name="Normal 3 2 2 2 30 2 2 2" xfId="5334" xr:uid="{00000000-0005-0000-0000-0000D6140000}"/>
    <cellStyle name="Normal 3 2 2 2 30 2 3" xfId="3916" xr:uid="{00000000-0005-0000-0000-00004C0F0000}"/>
    <cellStyle name="Normal 3 2 2 2 30 3" xfId="1832" xr:uid="{00000000-0005-0000-0000-000028070000}"/>
    <cellStyle name="Normal 3 2 2 2 30 3 2" xfId="4692" xr:uid="{00000000-0005-0000-0000-000054120000}"/>
    <cellStyle name="Normal 3 2 2 2 30 4" xfId="3276" xr:uid="{00000000-0005-0000-0000-0000CC0C0000}"/>
    <cellStyle name="Normal 3 2 2 2 31" xfId="315" xr:uid="{00000000-0005-0000-0000-00003B010000}"/>
    <cellStyle name="Normal 3 2 2 2 31 2" xfId="1036" xr:uid="{00000000-0005-0000-0000-00000C040000}"/>
    <cellStyle name="Normal 3 2 2 2 31 2 2" xfId="2484" xr:uid="{00000000-0005-0000-0000-0000B4090000}"/>
    <cellStyle name="Normal 3 2 2 2 31 2 2 2" xfId="5340" xr:uid="{00000000-0005-0000-0000-0000DC140000}"/>
    <cellStyle name="Normal 3 2 2 2 31 2 3" xfId="3922" xr:uid="{00000000-0005-0000-0000-0000520F0000}"/>
    <cellStyle name="Normal 3 2 2 2 31 3" xfId="1838" xr:uid="{00000000-0005-0000-0000-00002E070000}"/>
    <cellStyle name="Normal 3 2 2 2 31 3 2" xfId="4698" xr:uid="{00000000-0005-0000-0000-00005A120000}"/>
    <cellStyle name="Normal 3 2 2 2 31 4" xfId="3282" xr:uid="{00000000-0005-0000-0000-0000D20C0000}"/>
    <cellStyle name="Normal 3 2 2 2 32" xfId="324" xr:uid="{00000000-0005-0000-0000-000044010000}"/>
    <cellStyle name="Normal 3 2 2 2 32 2" xfId="1045" xr:uid="{00000000-0005-0000-0000-000015040000}"/>
    <cellStyle name="Normal 3 2 2 2 32 2 2" xfId="2493" xr:uid="{00000000-0005-0000-0000-0000BD090000}"/>
    <cellStyle name="Normal 3 2 2 2 32 2 2 2" xfId="5349" xr:uid="{00000000-0005-0000-0000-0000E5140000}"/>
    <cellStyle name="Normal 3 2 2 2 32 2 3" xfId="3931" xr:uid="{00000000-0005-0000-0000-00005B0F0000}"/>
    <cellStyle name="Normal 3 2 2 2 32 3" xfId="1847" xr:uid="{00000000-0005-0000-0000-000037070000}"/>
    <cellStyle name="Normal 3 2 2 2 32 3 2" xfId="4707" xr:uid="{00000000-0005-0000-0000-000063120000}"/>
    <cellStyle name="Normal 3 2 2 2 32 4" xfId="3291" xr:uid="{00000000-0005-0000-0000-0000DB0C0000}"/>
    <cellStyle name="Normal 3 2 2 2 33" xfId="326" xr:uid="{00000000-0005-0000-0000-000046010000}"/>
    <cellStyle name="Normal 3 2 2 2 33 2" xfId="1047" xr:uid="{00000000-0005-0000-0000-000017040000}"/>
    <cellStyle name="Normal 3 2 2 2 33 2 2" xfId="2495" xr:uid="{00000000-0005-0000-0000-0000BF090000}"/>
    <cellStyle name="Normal 3 2 2 2 33 2 2 2" xfId="5351" xr:uid="{00000000-0005-0000-0000-0000E7140000}"/>
    <cellStyle name="Normal 3 2 2 2 33 2 3" xfId="3933" xr:uid="{00000000-0005-0000-0000-00005D0F0000}"/>
    <cellStyle name="Normal 3 2 2 2 33 3" xfId="1849" xr:uid="{00000000-0005-0000-0000-000039070000}"/>
    <cellStyle name="Normal 3 2 2 2 33 3 2" xfId="4709" xr:uid="{00000000-0005-0000-0000-000065120000}"/>
    <cellStyle name="Normal 3 2 2 2 33 4" xfId="3293" xr:uid="{00000000-0005-0000-0000-0000DD0C0000}"/>
    <cellStyle name="Normal 3 2 2 2 34" xfId="329" xr:uid="{00000000-0005-0000-0000-000049010000}"/>
    <cellStyle name="Normal 3 2 2 2 34 2" xfId="1050" xr:uid="{00000000-0005-0000-0000-00001A040000}"/>
    <cellStyle name="Normal 3 2 2 2 34 2 2" xfId="2498" xr:uid="{00000000-0005-0000-0000-0000C2090000}"/>
    <cellStyle name="Normal 3 2 2 2 34 2 2 2" xfId="5354" xr:uid="{00000000-0005-0000-0000-0000EA140000}"/>
    <cellStyle name="Normal 3 2 2 2 34 2 3" xfId="3936" xr:uid="{00000000-0005-0000-0000-0000600F0000}"/>
    <cellStyle name="Normal 3 2 2 2 34 3" xfId="1852" xr:uid="{00000000-0005-0000-0000-00003C070000}"/>
    <cellStyle name="Normal 3 2 2 2 34 3 2" xfId="4712" xr:uid="{00000000-0005-0000-0000-000068120000}"/>
    <cellStyle name="Normal 3 2 2 2 34 4" xfId="3296" xr:uid="{00000000-0005-0000-0000-0000E00C0000}"/>
    <cellStyle name="Normal 3 2 2 2 35" xfId="333" xr:uid="{00000000-0005-0000-0000-00004D010000}"/>
    <cellStyle name="Normal 3 2 2 2 35 2" xfId="1054" xr:uid="{00000000-0005-0000-0000-00001E040000}"/>
    <cellStyle name="Normal 3 2 2 2 35 2 2" xfId="2502" xr:uid="{00000000-0005-0000-0000-0000C6090000}"/>
    <cellStyle name="Normal 3 2 2 2 35 2 2 2" xfId="5358" xr:uid="{00000000-0005-0000-0000-0000EE140000}"/>
    <cellStyle name="Normal 3 2 2 2 35 2 3" xfId="3940" xr:uid="{00000000-0005-0000-0000-0000640F0000}"/>
    <cellStyle name="Normal 3 2 2 2 35 3" xfId="1856" xr:uid="{00000000-0005-0000-0000-000040070000}"/>
    <cellStyle name="Normal 3 2 2 2 35 3 2" xfId="4716" xr:uid="{00000000-0005-0000-0000-00006C120000}"/>
    <cellStyle name="Normal 3 2 2 2 35 4" xfId="3300" xr:uid="{00000000-0005-0000-0000-0000E40C0000}"/>
    <cellStyle name="Normal 3 2 2 2 36" xfId="341" xr:uid="{00000000-0005-0000-0000-000055010000}"/>
    <cellStyle name="Normal 3 2 2 2 36 2" xfId="1062" xr:uid="{00000000-0005-0000-0000-000026040000}"/>
    <cellStyle name="Normal 3 2 2 2 36 2 2" xfId="2510" xr:uid="{00000000-0005-0000-0000-0000CE090000}"/>
    <cellStyle name="Normal 3 2 2 2 36 2 2 2" xfId="5366" xr:uid="{00000000-0005-0000-0000-0000F6140000}"/>
    <cellStyle name="Normal 3 2 2 2 36 2 3" xfId="3948" xr:uid="{00000000-0005-0000-0000-00006C0F0000}"/>
    <cellStyle name="Normal 3 2 2 2 36 3" xfId="1864" xr:uid="{00000000-0005-0000-0000-000048070000}"/>
    <cellStyle name="Normal 3 2 2 2 36 3 2" xfId="4724" xr:uid="{00000000-0005-0000-0000-000074120000}"/>
    <cellStyle name="Normal 3 2 2 2 36 4" xfId="3308" xr:uid="{00000000-0005-0000-0000-0000EC0C0000}"/>
    <cellStyle name="Normal 3 2 2 2 37" xfId="345" xr:uid="{00000000-0005-0000-0000-000059010000}"/>
    <cellStyle name="Normal 3 2 2 2 37 2" xfId="1066" xr:uid="{00000000-0005-0000-0000-00002A040000}"/>
    <cellStyle name="Normal 3 2 2 2 37 2 2" xfId="2514" xr:uid="{00000000-0005-0000-0000-0000D2090000}"/>
    <cellStyle name="Normal 3 2 2 2 37 2 2 2" xfId="5370" xr:uid="{00000000-0005-0000-0000-0000FA140000}"/>
    <cellStyle name="Normal 3 2 2 2 37 2 3" xfId="3952" xr:uid="{00000000-0005-0000-0000-0000700F0000}"/>
    <cellStyle name="Normal 3 2 2 2 37 3" xfId="1868" xr:uid="{00000000-0005-0000-0000-00004C070000}"/>
    <cellStyle name="Normal 3 2 2 2 37 3 2" xfId="4728" xr:uid="{00000000-0005-0000-0000-000078120000}"/>
    <cellStyle name="Normal 3 2 2 2 37 4" xfId="3312" xr:uid="{00000000-0005-0000-0000-0000F00C0000}"/>
    <cellStyle name="Normal 3 2 2 2 38" xfId="352" xr:uid="{00000000-0005-0000-0000-000060010000}"/>
    <cellStyle name="Normal 3 2 2 2 38 2" xfId="1073" xr:uid="{00000000-0005-0000-0000-000031040000}"/>
    <cellStyle name="Normal 3 2 2 2 38 2 2" xfId="2521" xr:uid="{00000000-0005-0000-0000-0000D9090000}"/>
    <cellStyle name="Normal 3 2 2 2 38 2 2 2" xfId="5377" xr:uid="{00000000-0005-0000-0000-000001150000}"/>
    <cellStyle name="Normal 3 2 2 2 38 2 3" xfId="3959" xr:uid="{00000000-0005-0000-0000-0000770F0000}"/>
    <cellStyle name="Normal 3 2 2 2 38 3" xfId="1875" xr:uid="{00000000-0005-0000-0000-000053070000}"/>
    <cellStyle name="Normal 3 2 2 2 38 3 2" xfId="4735" xr:uid="{00000000-0005-0000-0000-00007F120000}"/>
    <cellStyle name="Normal 3 2 2 2 38 4" xfId="3319" xr:uid="{00000000-0005-0000-0000-0000F70C0000}"/>
    <cellStyle name="Normal 3 2 2 2 39" xfId="357" xr:uid="{00000000-0005-0000-0000-000065010000}"/>
    <cellStyle name="Normal 3 2 2 2 39 2" xfId="1078" xr:uid="{00000000-0005-0000-0000-000036040000}"/>
    <cellStyle name="Normal 3 2 2 2 39 2 2" xfId="2526" xr:uid="{00000000-0005-0000-0000-0000DE090000}"/>
    <cellStyle name="Normal 3 2 2 2 39 2 2 2" xfId="5382" xr:uid="{00000000-0005-0000-0000-000006150000}"/>
    <cellStyle name="Normal 3 2 2 2 39 2 3" xfId="3964" xr:uid="{00000000-0005-0000-0000-00007C0F0000}"/>
    <cellStyle name="Normal 3 2 2 2 39 3" xfId="1880" xr:uid="{00000000-0005-0000-0000-000058070000}"/>
    <cellStyle name="Normal 3 2 2 2 39 3 2" xfId="4740" xr:uid="{00000000-0005-0000-0000-000084120000}"/>
    <cellStyle name="Normal 3 2 2 2 39 4" xfId="3324" xr:uid="{00000000-0005-0000-0000-0000FC0C0000}"/>
    <cellStyle name="Normal 3 2 2 2 4" xfId="174" xr:uid="{00000000-0005-0000-0000-0000AE000000}"/>
    <cellStyle name="Normal 3 2 2 2 4 2" xfId="896" xr:uid="{00000000-0005-0000-0000-000080030000}"/>
    <cellStyle name="Normal 3 2 2 2 4 2 2" xfId="2344" xr:uid="{00000000-0005-0000-0000-000028090000}"/>
    <cellStyle name="Normal 3 2 2 2 4 2 2 2" xfId="5200" xr:uid="{00000000-0005-0000-0000-000050140000}"/>
    <cellStyle name="Normal 3 2 2 2 4 2 3" xfId="3782" xr:uid="{00000000-0005-0000-0000-0000C60E0000}"/>
    <cellStyle name="Normal 3 2 2 2 4 2 4" xfId="5929" xr:uid="{00000000-0005-0000-0000-000029170000}"/>
    <cellStyle name="Normal 3 2 2 2 4 3" xfId="1697" xr:uid="{00000000-0005-0000-0000-0000A1060000}"/>
    <cellStyle name="Normal 3 2 2 2 4 3 2" xfId="4557" xr:uid="{00000000-0005-0000-0000-0000CD110000}"/>
    <cellStyle name="Normal 3 2 2 2 4 4" xfId="3141" xr:uid="{00000000-0005-0000-0000-0000450C0000}"/>
    <cellStyle name="Normal 3 2 2 2 40" xfId="368" xr:uid="{00000000-0005-0000-0000-000070010000}"/>
    <cellStyle name="Normal 3 2 2 2 40 2" xfId="1089" xr:uid="{00000000-0005-0000-0000-000041040000}"/>
    <cellStyle name="Normal 3 2 2 2 40 2 2" xfId="2537" xr:uid="{00000000-0005-0000-0000-0000E9090000}"/>
    <cellStyle name="Normal 3 2 2 2 40 2 2 2" xfId="5393" xr:uid="{00000000-0005-0000-0000-000011150000}"/>
    <cellStyle name="Normal 3 2 2 2 40 2 3" xfId="3975" xr:uid="{00000000-0005-0000-0000-0000870F0000}"/>
    <cellStyle name="Normal 3 2 2 2 40 3" xfId="1891" xr:uid="{00000000-0005-0000-0000-000063070000}"/>
    <cellStyle name="Normal 3 2 2 2 40 3 2" xfId="4751" xr:uid="{00000000-0005-0000-0000-00008F120000}"/>
    <cellStyle name="Normal 3 2 2 2 40 4" xfId="3335" xr:uid="{00000000-0005-0000-0000-0000070D0000}"/>
    <cellStyle name="Normal 3 2 2 2 41" xfId="370" xr:uid="{00000000-0005-0000-0000-000072010000}"/>
    <cellStyle name="Normal 3 2 2 2 41 2" xfId="1091" xr:uid="{00000000-0005-0000-0000-000043040000}"/>
    <cellStyle name="Normal 3 2 2 2 41 2 2" xfId="2539" xr:uid="{00000000-0005-0000-0000-0000EB090000}"/>
    <cellStyle name="Normal 3 2 2 2 41 2 2 2" xfId="5395" xr:uid="{00000000-0005-0000-0000-000013150000}"/>
    <cellStyle name="Normal 3 2 2 2 41 2 3" xfId="3977" xr:uid="{00000000-0005-0000-0000-0000890F0000}"/>
    <cellStyle name="Normal 3 2 2 2 41 3" xfId="1893" xr:uid="{00000000-0005-0000-0000-000065070000}"/>
    <cellStyle name="Normal 3 2 2 2 41 3 2" xfId="4753" xr:uid="{00000000-0005-0000-0000-000091120000}"/>
    <cellStyle name="Normal 3 2 2 2 41 4" xfId="3337" xr:uid="{00000000-0005-0000-0000-0000090D0000}"/>
    <cellStyle name="Normal 3 2 2 2 42" xfId="380" xr:uid="{00000000-0005-0000-0000-00007C010000}"/>
    <cellStyle name="Normal 3 2 2 2 42 2" xfId="1101" xr:uid="{00000000-0005-0000-0000-00004D040000}"/>
    <cellStyle name="Normal 3 2 2 2 42 2 2" xfId="2549" xr:uid="{00000000-0005-0000-0000-0000F5090000}"/>
    <cellStyle name="Normal 3 2 2 2 42 2 2 2" xfId="5405" xr:uid="{00000000-0005-0000-0000-00001D150000}"/>
    <cellStyle name="Normal 3 2 2 2 42 2 3" xfId="3987" xr:uid="{00000000-0005-0000-0000-0000930F0000}"/>
    <cellStyle name="Normal 3 2 2 2 42 3" xfId="1903" xr:uid="{00000000-0005-0000-0000-00006F070000}"/>
    <cellStyle name="Normal 3 2 2 2 42 3 2" xfId="4763" xr:uid="{00000000-0005-0000-0000-00009B120000}"/>
    <cellStyle name="Normal 3 2 2 2 42 4" xfId="3347" xr:uid="{00000000-0005-0000-0000-0000130D0000}"/>
    <cellStyle name="Normal 3 2 2 2 43" xfId="382" xr:uid="{00000000-0005-0000-0000-00007E010000}"/>
    <cellStyle name="Normal 3 2 2 2 43 2" xfId="1103" xr:uid="{00000000-0005-0000-0000-00004F040000}"/>
    <cellStyle name="Normal 3 2 2 2 43 2 2" xfId="2551" xr:uid="{00000000-0005-0000-0000-0000F7090000}"/>
    <cellStyle name="Normal 3 2 2 2 43 2 2 2" xfId="5407" xr:uid="{00000000-0005-0000-0000-00001F150000}"/>
    <cellStyle name="Normal 3 2 2 2 43 2 3" xfId="3989" xr:uid="{00000000-0005-0000-0000-0000950F0000}"/>
    <cellStyle name="Normal 3 2 2 2 43 3" xfId="1905" xr:uid="{00000000-0005-0000-0000-000071070000}"/>
    <cellStyle name="Normal 3 2 2 2 43 3 2" xfId="4765" xr:uid="{00000000-0005-0000-0000-00009D120000}"/>
    <cellStyle name="Normal 3 2 2 2 43 4" xfId="3349" xr:uid="{00000000-0005-0000-0000-0000150D0000}"/>
    <cellStyle name="Normal 3 2 2 2 44" xfId="389" xr:uid="{00000000-0005-0000-0000-000085010000}"/>
    <cellStyle name="Normal 3 2 2 2 44 2" xfId="1110" xr:uid="{00000000-0005-0000-0000-000056040000}"/>
    <cellStyle name="Normal 3 2 2 2 44 2 2" xfId="2558" xr:uid="{00000000-0005-0000-0000-0000FE090000}"/>
    <cellStyle name="Normal 3 2 2 2 44 2 2 2" xfId="5414" xr:uid="{00000000-0005-0000-0000-000026150000}"/>
    <cellStyle name="Normal 3 2 2 2 44 2 3" xfId="3996" xr:uid="{00000000-0005-0000-0000-00009C0F0000}"/>
    <cellStyle name="Normal 3 2 2 2 44 3" xfId="1912" xr:uid="{00000000-0005-0000-0000-000078070000}"/>
    <cellStyle name="Normal 3 2 2 2 44 3 2" xfId="4772" xr:uid="{00000000-0005-0000-0000-0000A4120000}"/>
    <cellStyle name="Normal 3 2 2 2 44 4" xfId="3356" xr:uid="{00000000-0005-0000-0000-00001C0D0000}"/>
    <cellStyle name="Normal 3 2 2 2 45" xfId="393" xr:uid="{00000000-0005-0000-0000-000089010000}"/>
    <cellStyle name="Normal 3 2 2 2 45 2" xfId="1114" xr:uid="{00000000-0005-0000-0000-00005A040000}"/>
    <cellStyle name="Normal 3 2 2 2 45 2 2" xfId="2562" xr:uid="{00000000-0005-0000-0000-0000020A0000}"/>
    <cellStyle name="Normal 3 2 2 2 45 2 2 2" xfId="5418" xr:uid="{00000000-0005-0000-0000-00002A150000}"/>
    <cellStyle name="Normal 3 2 2 2 45 2 3" xfId="4000" xr:uid="{00000000-0005-0000-0000-0000A00F0000}"/>
    <cellStyle name="Normal 3 2 2 2 45 3" xfId="1916" xr:uid="{00000000-0005-0000-0000-00007C070000}"/>
    <cellStyle name="Normal 3 2 2 2 45 3 2" xfId="4776" xr:uid="{00000000-0005-0000-0000-0000A8120000}"/>
    <cellStyle name="Normal 3 2 2 2 45 4" xfId="3360" xr:uid="{00000000-0005-0000-0000-0000200D0000}"/>
    <cellStyle name="Normal 3 2 2 2 46" xfId="398" xr:uid="{00000000-0005-0000-0000-00008E010000}"/>
    <cellStyle name="Normal 3 2 2 2 46 2" xfId="1119" xr:uid="{00000000-0005-0000-0000-00005F040000}"/>
    <cellStyle name="Normal 3 2 2 2 46 2 2" xfId="2567" xr:uid="{00000000-0005-0000-0000-0000070A0000}"/>
    <cellStyle name="Normal 3 2 2 2 46 2 2 2" xfId="5423" xr:uid="{00000000-0005-0000-0000-00002F150000}"/>
    <cellStyle name="Normal 3 2 2 2 46 2 3" xfId="4005" xr:uid="{00000000-0005-0000-0000-0000A50F0000}"/>
    <cellStyle name="Normal 3 2 2 2 46 3" xfId="1921" xr:uid="{00000000-0005-0000-0000-000081070000}"/>
    <cellStyle name="Normal 3 2 2 2 46 3 2" xfId="4781" xr:uid="{00000000-0005-0000-0000-0000AD120000}"/>
    <cellStyle name="Normal 3 2 2 2 46 4" xfId="3365" xr:uid="{00000000-0005-0000-0000-0000250D0000}"/>
    <cellStyle name="Normal 3 2 2 2 47" xfId="407" xr:uid="{00000000-0005-0000-0000-000097010000}"/>
    <cellStyle name="Normal 3 2 2 2 47 2" xfId="1128" xr:uid="{00000000-0005-0000-0000-000068040000}"/>
    <cellStyle name="Normal 3 2 2 2 47 2 2" xfId="2576" xr:uid="{00000000-0005-0000-0000-0000100A0000}"/>
    <cellStyle name="Normal 3 2 2 2 47 2 2 2" xfId="5432" xr:uid="{00000000-0005-0000-0000-000038150000}"/>
    <cellStyle name="Normal 3 2 2 2 47 2 3" xfId="4014" xr:uid="{00000000-0005-0000-0000-0000AE0F0000}"/>
    <cellStyle name="Normal 3 2 2 2 47 3" xfId="1930" xr:uid="{00000000-0005-0000-0000-00008A070000}"/>
    <cellStyle name="Normal 3 2 2 2 47 3 2" xfId="4790" xr:uid="{00000000-0005-0000-0000-0000B6120000}"/>
    <cellStyle name="Normal 3 2 2 2 47 4" xfId="3374" xr:uid="{00000000-0005-0000-0000-00002E0D0000}"/>
    <cellStyle name="Normal 3 2 2 2 48" xfId="409" xr:uid="{00000000-0005-0000-0000-000099010000}"/>
    <cellStyle name="Normal 3 2 2 2 48 2" xfId="1130" xr:uid="{00000000-0005-0000-0000-00006A040000}"/>
    <cellStyle name="Normal 3 2 2 2 48 2 2" xfId="2578" xr:uid="{00000000-0005-0000-0000-0000120A0000}"/>
    <cellStyle name="Normal 3 2 2 2 48 2 2 2" xfId="5434" xr:uid="{00000000-0005-0000-0000-00003A150000}"/>
    <cellStyle name="Normal 3 2 2 2 48 2 3" xfId="4016" xr:uid="{00000000-0005-0000-0000-0000B00F0000}"/>
    <cellStyle name="Normal 3 2 2 2 48 3" xfId="1932" xr:uid="{00000000-0005-0000-0000-00008C070000}"/>
    <cellStyle name="Normal 3 2 2 2 48 3 2" xfId="4792" xr:uid="{00000000-0005-0000-0000-0000B8120000}"/>
    <cellStyle name="Normal 3 2 2 2 48 4" xfId="3376" xr:uid="{00000000-0005-0000-0000-0000300D0000}"/>
    <cellStyle name="Normal 3 2 2 2 49" xfId="416" xr:uid="{00000000-0005-0000-0000-0000A0010000}"/>
    <cellStyle name="Normal 3 2 2 2 49 2" xfId="1137" xr:uid="{00000000-0005-0000-0000-000071040000}"/>
    <cellStyle name="Normal 3 2 2 2 49 2 2" xfId="2585" xr:uid="{00000000-0005-0000-0000-0000190A0000}"/>
    <cellStyle name="Normal 3 2 2 2 49 2 2 2" xfId="5441" xr:uid="{00000000-0005-0000-0000-000041150000}"/>
    <cellStyle name="Normal 3 2 2 2 49 2 3" xfId="4023" xr:uid="{00000000-0005-0000-0000-0000B70F0000}"/>
    <cellStyle name="Normal 3 2 2 2 49 3" xfId="1939" xr:uid="{00000000-0005-0000-0000-000093070000}"/>
    <cellStyle name="Normal 3 2 2 2 49 3 2" xfId="4799" xr:uid="{00000000-0005-0000-0000-0000BF120000}"/>
    <cellStyle name="Normal 3 2 2 2 49 4" xfId="3383" xr:uid="{00000000-0005-0000-0000-0000370D0000}"/>
    <cellStyle name="Normal 3 2 2 2 5" xfId="180" xr:uid="{00000000-0005-0000-0000-0000B4000000}"/>
    <cellStyle name="Normal 3 2 2 2 5 2" xfId="902" xr:uid="{00000000-0005-0000-0000-000086030000}"/>
    <cellStyle name="Normal 3 2 2 2 5 2 2" xfId="2350" xr:uid="{00000000-0005-0000-0000-00002E090000}"/>
    <cellStyle name="Normal 3 2 2 2 5 2 2 2" xfId="5206" xr:uid="{00000000-0005-0000-0000-000056140000}"/>
    <cellStyle name="Normal 3 2 2 2 5 2 3" xfId="3788" xr:uid="{00000000-0005-0000-0000-0000CC0E0000}"/>
    <cellStyle name="Normal 3 2 2 2 5 3" xfId="1703" xr:uid="{00000000-0005-0000-0000-0000A7060000}"/>
    <cellStyle name="Normal 3 2 2 2 5 3 2" xfId="4563" xr:uid="{00000000-0005-0000-0000-0000D3110000}"/>
    <cellStyle name="Normal 3 2 2 2 5 4" xfId="3147" xr:uid="{00000000-0005-0000-0000-00004B0C0000}"/>
    <cellStyle name="Normal 3 2 2 2 50" xfId="421" xr:uid="{00000000-0005-0000-0000-0000A5010000}"/>
    <cellStyle name="Normal 3 2 2 2 50 2" xfId="1142" xr:uid="{00000000-0005-0000-0000-000076040000}"/>
    <cellStyle name="Normal 3 2 2 2 50 2 2" xfId="2590" xr:uid="{00000000-0005-0000-0000-00001E0A0000}"/>
    <cellStyle name="Normal 3 2 2 2 50 2 2 2" xfId="5446" xr:uid="{00000000-0005-0000-0000-000046150000}"/>
    <cellStyle name="Normal 3 2 2 2 50 2 3" xfId="4028" xr:uid="{00000000-0005-0000-0000-0000BC0F0000}"/>
    <cellStyle name="Normal 3 2 2 2 50 3" xfId="1944" xr:uid="{00000000-0005-0000-0000-000098070000}"/>
    <cellStyle name="Normal 3 2 2 2 50 3 2" xfId="4804" xr:uid="{00000000-0005-0000-0000-0000C4120000}"/>
    <cellStyle name="Normal 3 2 2 2 50 4" xfId="3388" xr:uid="{00000000-0005-0000-0000-00003C0D0000}"/>
    <cellStyle name="Normal 3 2 2 2 51" xfId="430" xr:uid="{00000000-0005-0000-0000-0000AE010000}"/>
    <cellStyle name="Normal 3 2 2 2 51 2" xfId="1151" xr:uid="{00000000-0005-0000-0000-00007F040000}"/>
    <cellStyle name="Normal 3 2 2 2 51 2 2" xfId="2599" xr:uid="{00000000-0005-0000-0000-0000270A0000}"/>
    <cellStyle name="Normal 3 2 2 2 51 2 2 2" xfId="5455" xr:uid="{00000000-0005-0000-0000-00004F150000}"/>
    <cellStyle name="Normal 3 2 2 2 51 2 3" xfId="4037" xr:uid="{00000000-0005-0000-0000-0000C50F0000}"/>
    <cellStyle name="Normal 3 2 2 2 51 3" xfId="1953" xr:uid="{00000000-0005-0000-0000-0000A1070000}"/>
    <cellStyle name="Normal 3 2 2 2 51 3 2" xfId="4813" xr:uid="{00000000-0005-0000-0000-0000CD120000}"/>
    <cellStyle name="Normal 3 2 2 2 51 4" xfId="3397" xr:uid="{00000000-0005-0000-0000-0000450D0000}"/>
    <cellStyle name="Normal 3 2 2 2 52" xfId="437" xr:uid="{00000000-0005-0000-0000-0000B5010000}"/>
    <cellStyle name="Normal 3 2 2 2 52 2" xfId="1158" xr:uid="{00000000-0005-0000-0000-000086040000}"/>
    <cellStyle name="Normal 3 2 2 2 52 2 2" xfId="2606" xr:uid="{00000000-0005-0000-0000-00002E0A0000}"/>
    <cellStyle name="Normal 3 2 2 2 52 2 2 2" xfId="5462" xr:uid="{00000000-0005-0000-0000-000056150000}"/>
    <cellStyle name="Normal 3 2 2 2 52 2 3" xfId="4044" xr:uid="{00000000-0005-0000-0000-0000CC0F0000}"/>
    <cellStyle name="Normal 3 2 2 2 52 3" xfId="1960" xr:uid="{00000000-0005-0000-0000-0000A8070000}"/>
    <cellStyle name="Normal 3 2 2 2 52 3 2" xfId="4820" xr:uid="{00000000-0005-0000-0000-0000D4120000}"/>
    <cellStyle name="Normal 3 2 2 2 52 4" xfId="3404" xr:uid="{00000000-0005-0000-0000-00004C0D0000}"/>
    <cellStyle name="Normal 3 2 2 2 53" xfId="443" xr:uid="{00000000-0005-0000-0000-0000BB010000}"/>
    <cellStyle name="Normal 3 2 2 2 53 2" xfId="1164" xr:uid="{00000000-0005-0000-0000-00008C040000}"/>
    <cellStyle name="Normal 3 2 2 2 53 2 2" xfId="2612" xr:uid="{00000000-0005-0000-0000-0000340A0000}"/>
    <cellStyle name="Normal 3 2 2 2 53 2 2 2" xfId="5468" xr:uid="{00000000-0005-0000-0000-00005C150000}"/>
    <cellStyle name="Normal 3 2 2 2 53 2 3" xfId="4050" xr:uid="{00000000-0005-0000-0000-0000D20F0000}"/>
    <cellStyle name="Normal 3 2 2 2 53 3" xfId="1966" xr:uid="{00000000-0005-0000-0000-0000AE070000}"/>
    <cellStyle name="Normal 3 2 2 2 53 3 2" xfId="4826" xr:uid="{00000000-0005-0000-0000-0000DA120000}"/>
    <cellStyle name="Normal 3 2 2 2 53 4" xfId="3410" xr:uid="{00000000-0005-0000-0000-0000520D0000}"/>
    <cellStyle name="Normal 3 2 2 2 54" xfId="446" xr:uid="{00000000-0005-0000-0000-0000BE010000}"/>
    <cellStyle name="Normal 3 2 2 2 54 2" xfId="1167" xr:uid="{00000000-0005-0000-0000-00008F040000}"/>
    <cellStyle name="Normal 3 2 2 2 54 2 2" xfId="2615" xr:uid="{00000000-0005-0000-0000-0000370A0000}"/>
    <cellStyle name="Normal 3 2 2 2 54 2 2 2" xfId="5471" xr:uid="{00000000-0005-0000-0000-00005F150000}"/>
    <cellStyle name="Normal 3 2 2 2 54 2 3" xfId="4053" xr:uid="{00000000-0005-0000-0000-0000D50F0000}"/>
    <cellStyle name="Normal 3 2 2 2 54 3" xfId="1969" xr:uid="{00000000-0005-0000-0000-0000B1070000}"/>
    <cellStyle name="Normal 3 2 2 2 54 3 2" xfId="4829" xr:uid="{00000000-0005-0000-0000-0000DD120000}"/>
    <cellStyle name="Normal 3 2 2 2 54 4" xfId="3413" xr:uid="{00000000-0005-0000-0000-0000550D0000}"/>
    <cellStyle name="Normal 3 2 2 2 55" xfId="456" xr:uid="{00000000-0005-0000-0000-0000C8010000}"/>
    <cellStyle name="Normal 3 2 2 2 55 2" xfId="1176" xr:uid="{00000000-0005-0000-0000-000098040000}"/>
    <cellStyle name="Normal 3 2 2 2 55 2 2" xfId="2624" xr:uid="{00000000-0005-0000-0000-0000400A0000}"/>
    <cellStyle name="Normal 3 2 2 2 55 2 2 2" xfId="5480" xr:uid="{00000000-0005-0000-0000-000068150000}"/>
    <cellStyle name="Normal 3 2 2 2 55 2 3" xfId="4062" xr:uid="{00000000-0005-0000-0000-0000DE0F0000}"/>
    <cellStyle name="Normal 3 2 2 2 55 3" xfId="1979" xr:uid="{00000000-0005-0000-0000-0000BB070000}"/>
    <cellStyle name="Normal 3 2 2 2 55 3 2" xfId="4839" xr:uid="{00000000-0005-0000-0000-0000E7120000}"/>
    <cellStyle name="Normal 3 2 2 2 55 4" xfId="3423" xr:uid="{00000000-0005-0000-0000-00005F0D0000}"/>
    <cellStyle name="Normal 3 2 2 2 56" xfId="460" xr:uid="{00000000-0005-0000-0000-0000CC010000}"/>
    <cellStyle name="Normal 3 2 2 2 56 2" xfId="1180" xr:uid="{00000000-0005-0000-0000-00009C040000}"/>
    <cellStyle name="Normal 3 2 2 2 56 2 2" xfId="2628" xr:uid="{00000000-0005-0000-0000-0000440A0000}"/>
    <cellStyle name="Normal 3 2 2 2 56 2 2 2" xfId="5484" xr:uid="{00000000-0005-0000-0000-00006C150000}"/>
    <cellStyle name="Normal 3 2 2 2 56 2 3" xfId="4066" xr:uid="{00000000-0005-0000-0000-0000E20F0000}"/>
    <cellStyle name="Normal 3 2 2 2 56 3" xfId="1983" xr:uid="{00000000-0005-0000-0000-0000BF070000}"/>
    <cellStyle name="Normal 3 2 2 2 56 3 2" xfId="4843" xr:uid="{00000000-0005-0000-0000-0000EB120000}"/>
    <cellStyle name="Normal 3 2 2 2 56 4" xfId="3427" xr:uid="{00000000-0005-0000-0000-0000630D0000}"/>
    <cellStyle name="Normal 3 2 2 2 57" xfId="464" xr:uid="{00000000-0005-0000-0000-0000D0010000}"/>
    <cellStyle name="Normal 3 2 2 2 57 2" xfId="1184" xr:uid="{00000000-0005-0000-0000-0000A0040000}"/>
    <cellStyle name="Normal 3 2 2 2 57 2 2" xfId="2632" xr:uid="{00000000-0005-0000-0000-0000480A0000}"/>
    <cellStyle name="Normal 3 2 2 2 57 2 2 2" xfId="5488" xr:uid="{00000000-0005-0000-0000-000070150000}"/>
    <cellStyle name="Normal 3 2 2 2 57 2 3" xfId="4070" xr:uid="{00000000-0005-0000-0000-0000E60F0000}"/>
    <cellStyle name="Normal 3 2 2 2 57 3" xfId="1987" xr:uid="{00000000-0005-0000-0000-0000C3070000}"/>
    <cellStyle name="Normal 3 2 2 2 57 3 2" xfId="4847" xr:uid="{00000000-0005-0000-0000-0000EF120000}"/>
    <cellStyle name="Normal 3 2 2 2 57 4" xfId="3431" xr:uid="{00000000-0005-0000-0000-0000670D0000}"/>
    <cellStyle name="Normal 3 2 2 2 58" xfId="471" xr:uid="{00000000-0005-0000-0000-0000D7010000}"/>
    <cellStyle name="Normal 3 2 2 2 58 2" xfId="1191" xr:uid="{00000000-0005-0000-0000-0000A7040000}"/>
    <cellStyle name="Normal 3 2 2 2 58 2 2" xfId="2639" xr:uid="{00000000-0005-0000-0000-00004F0A0000}"/>
    <cellStyle name="Normal 3 2 2 2 58 2 2 2" xfId="5495" xr:uid="{00000000-0005-0000-0000-000077150000}"/>
    <cellStyle name="Normal 3 2 2 2 58 2 3" xfId="4077" xr:uid="{00000000-0005-0000-0000-0000ED0F0000}"/>
    <cellStyle name="Normal 3 2 2 2 58 3" xfId="1994" xr:uid="{00000000-0005-0000-0000-0000CA070000}"/>
    <cellStyle name="Normal 3 2 2 2 58 3 2" xfId="4854" xr:uid="{00000000-0005-0000-0000-0000F6120000}"/>
    <cellStyle name="Normal 3 2 2 2 58 4" xfId="3438" xr:uid="{00000000-0005-0000-0000-00006E0D0000}"/>
    <cellStyle name="Normal 3 2 2 2 59" xfId="473" xr:uid="{00000000-0005-0000-0000-0000D9010000}"/>
    <cellStyle name="Normal 3 2 2 2 59 2" xfId="1193" xr:uid="{00000000-0005-0000-0000-0000A9040000}"/>
    <cellStyle name="Normal 3 2 2 2 59 2 2" xfId="2641" xr:uid="{00000000-0005-0000-0000-0000510A0000}"/>
    <cellStyle name="Normal 3 2 2 2 59 2 2 2" xfId="5497" xr:uid="{00000000-0005-0000-0000-000079150000}"/>
    <cellStyle name="Normal 3 2 2 2 59 2 3" xfId="4079" xr:uid="{00000000-0005-0000-0000-0000EF0F0000}"/>
    <cellStyle name="Normal 3 2 2 2 59 3" xfId="1996" xr:uid="{00000000-0005-0000-0000-0000CC070000}"/>
    <cellStyle name="Normal 3 2 2 2 59 3 2" xfId="4856" xr:uid="{00000000-0005-0000-0000-0000F8120000}"/>
    <cellStyle name="Normal 3 2 2 2 59 4" xfId="3440" xr:uid="{00000000-0005-0000-0000-0000700D0000}"/>
    <cellStyle name="Normal 3 2 2 2 6" xfId="185" xr:uid="{00000000-0005-0000-0000-0000B9000000}"/>
    <cellStyle name="Normal 3 2 2 2 6 2" xfId="907" xr:uid="{00000000-0005-0000-0000-00008B030000}"/>
    <cellStyle name="Normal 3 2 2 2 6 2 2" xfId="2355" xr:uid="{00000000-0005-0000-0000-000033090000}"/>
    <cellStyle name="Normal 3 2 2 2 6 2 2 2" xfId="5211" xr:uid="{00000000-0005-0000-0000-00005B140000}"/>
    <cellStyle name="Normal 3 2 2 2 6 2 3" xfId="3793" xr:uid="{00000000-0005-0000-0000-0000D10E0000}"/>
    <cellStyle name="Normal 3 2 2 2 6 3" xfId="1708" xr:uid="{00000000-0005-0000-0000-0000AC060000}"/>
    <cellStyle name="Normal 3 2 2 2 6 3 2" xfId="4568" xr:uid="{00000000-0005-0000-0000-0000D8110000}"/>
    <cellStyle name="Normal 3 2 2 2 6 4" xfId="3152" xr:uid="{00000000-0005-0000-0000-0000500C0000}"/>
    <cellStyle name="Normal 3 2 2 2 60" xfId="479" xr:uid="{00000000-0005-0000-0000-0000DF010000}"/>
    <cellStyle name="Normal 3 2 2 2 60 2" xfId="1199" xr:uid="{00000000-0005-0000-0000-0000AF040000}"/>
    <cellStyle name="Normal 3 2 2 2 60 2 2" xfId="2647" xr:uid="{00000000-0005-0000-0000-0000570A0000}"/>
    <cellStyle name="Normal 3 2 2 2 60 2 2 2" xfId="5503" xr:uid="{00000000-0005-0000-0000-00007F150000}"/>
    <cellStyle name="Normal 3 2 2 2 60 2 3" xfId="4085" xr:uid="{00000000-0005-0000-0000-0000F50F0000}"/>
    <cellStyle name="Normal 3 2 2 2 60 3" xfId="2002" xr:uid="{00000000-0005-0000-0000-0000D2070000}"/>
    <cellStyle name="Normal 3 2 2 2 60 3 2" xfId="4862" xr:uid="{00000000-0005-0000-0000-0000FE120000}"/>
    <cellStyle name="Normal 3 2 2 2 60 4" xfId="3446" xr:uid="{00000000-0005-0000-0000-0000760D0000}"/>
    <cellStyle name="Normal 3 2 2 2 61" xfId="489" xr:uid="{00000000-0005-0000-0000-0000E9010000}"/>
    <cellStyle name="Normal 3 2 2 2 61 2" xfId="1208" xr:uid="{00000000-0005-0000-0000-0000B8040000}"/>
    <cellStyle name="Normal 3 2 2 2 61 2 2" xfId="2656" xr:uid="{00000000-0005-0000-0000-0000600A0000}"/>
    <cellStyle name="Normal 3 2 2 2 61 2 2 2" xfId="5512" xr:uid="{00000000-0005-0000-0000-000088150000}"/>
    <cellStyle name="Normal 3 2 2 2 61 2 3" xfId="4094" xr:uid="{00000000-0005-0000-0000-0000FE0F0000}"/>
    <cellStyle name="Normal 3 2 2 2 61 3" xfId="2011" xr:uid="{00000000-0005-0000-0000-0000DB070000}"/>
    <cellStyle name="Normal 3 2 2 2 61 3 2" xfId="4871" xr:uid="{00000000-0005-0000-0000-000007130000}"/>
    <cellStyle name="Normal 3 2 2 2 61 4" xfId="3455" xr:uid="{00000000-0005-0000-0000-00007F0D0000}"/>
    <cellStyle name="Normal 3 2 2 2 62" xfId="493" xr:uid="{00000000-0005-0000-0000-0000ED010000}"/>
    <cellStyle name="Normal 3 2 2 2 62 2" xfId="1212" xr:uid="{00000000-0005-0000-0000-0000BC040000}"/>
    <cellStyle name="Normal 3 2 2 2 62 2 2" xfId="2660" xr:uid="{00000000-0005-0000-0000-0000640A0000}"/>
    <cellStyle name="Normal 3 2 2 2 62 2 2 2" xfId="5516" xr:uid="{00000000-0005-0000-0000-00008C150000}"/>
    <cellStyle name="Normal 3 2 2 2 62 2 3" xfId="4098" xr:uid="{00000000-0005-0000-0000-000002100000}"/>
    <cellStyle name="Normal 3 2 2 2 62 3" xfId="2015" xr:uid="{00000000-0005-0000-0000-0000DF070000}"/>
    <cellStyle name="Normal 3 2 2 2 62 3 2" xfId="4875" xr:uid="{00000000-0005-0000-0000-00000B130000}"/>
    <cellStyle name="Normal 3 2 2 2 62 4" xfId="3459" xr:uid="{00000000-0005-0000-0000-0000830D0000}"/>
    <cellStyle name="Normal 3 2 2 2 63" xfId="500" xr:uid="{00000000-0005-0000-0000-0000F4010000}"/>
    <cellStyle name="Normal 3 2 2 2 63 2" xfId="1219" xr:uid="{00000000-0005-0000-0000-0000C3040000}"/>
    <cellStyle name="Normal 3 2 2 2 63 2 2" xfId="2667" xr:uid="{00000000-0005-0000-0000-00006B0A0000}"/>
    <cellStyle name="Normal 3 2 2 2 63 2 2 2" xfId="5523" xr:uid="{00000000-0005-0000-0000-000093150000}"/>
    <cellStyle name="Normal 3 2 2 2 63 2 3" xfId="4105" xr:uid="{00000000-0005-0000-0000-000009100000}"/>
    <cellStyle name="Normal 3 2 2 2 63 3" xfId="2022" xr:uid="{00000000-0005-0000-0000-0000E6070000}"/>
    <cellStyle name="Normal 3 2 2 2 63 3 2" xfId="4882" xr:uid="{00000000-0005-0000-0000-000012130000}"/>
    <cellStyle name="Normal 3 2 2 2 63 4" xfId="3466" xr:uid="{00000000-0005-0000-0000-00008A0D0000}"/>
    <cellStyle name="Normal 3 2 2 2 64" xfId="504" xr:uid="{00000000-0005-0000-0000-0000F8010000}"/>
    <cellStyle name="Normal 3 2 2 2 64 2" xfId="1223" xr:uid="{00000000-0005-0000-0000-0000C7040000}"/>
    <cellStyle name="Normal 3 2 2 2 64 2 2" xfId="2671" xr:uid="{00000000-0005-0000-0000-00006F0A0000}"/>
    <cellStyle name="Normal 3 2 2 2 64 2 2 2" xfId="5527" xr:uid="{00000000-0005-0000-0000-000097150000}"/>
    <cellStyle name="Normal 3 2 2 2 64 2 3" xfId="4109" xr:uid="{00000000-0005-0000-0000-00000D100000}"/>
    <cellStyle name="Normal 3 2 2 2 64 3" xfId="2026" xr:uid="{00000000-0005-0000-0000-0000EA070000}"/>
    <cellStyle name="Normal 3 2 2 2 64 3 2" xfId="4886" xr:uid="{00000000-0005-0000-0000-000016130000}"/>
    <cellStyle name="Normal 3 2 2 2 64 4" xfId="3470" xr:uid="{00000000-0005-0000-0000-00008E0D0000}"/>
    <cellStyle name="Normal 3 2 2 2 65" xfId="511" xr:uid="{00000000-0005-0000-0000-0000FF010000}"/>
    <cellStyle name="Normal 3 2 2 2 65 2" xfId="1230" xr:uid="{00000000-0005-0000-0000-0000CE040000}"/>
    <cellStyle name="Normal 3 2 2 2 65 2 2" xfId="2678" xr:uid="{00000000-0005-0000-0000-0000760A0000}"/>
    <cellStyle name="Normal 3 2 2 2 65 2 2 2" xfId="5534" xr:uid="{00000000-0005-0000-0000-00009E150000}"/>
    <cellStyle name="Normal 3 2 2 2 65 2 3" xfId="4116" xr:uid="{00000000-0005-0000-0000-000014100000}"/>
    <cellStyle name="Normal 3 2 2 2 65 3" xfId="2033" xr:uid="{00000000-0005-0000-0000-0000F1070000}"/>
    <cellStyle name="Normal 3 2 2 2 65 3 2" xfId="4893" xr:uid="{00000000-0005-0000-0000-00001D130000}"/>
    <cellStyle name="Normal 3 2 2 2 65 4" xfId="3477" xr:uid="{00000000-0005-0000-0000-0000950D0000}"/>
    <cellStyle name="Normal 3 2 2 2 66" xfId="516" xr:uid="{00000000-0005-0000-0000-000004020000}"/>
    <cellStyle name="Normal 3 2 2 2 66 2" xfId="1235" xr:uid="{00000000-0005-0000-0000-0000D3040000}"/>
    <cellStyle name="Normal 3 2 2 2 66 2 2" xfId="2683" xr:uid="{00000000-0005-0000-0000-00007B0A0000}"/>
    <cellStyle name="Normal 3 2 2 2 66 2 2 2" xfId="5539" xr:uid="{00000000-0005-0000-0000-0000A3150000}"/>
    <cellStyle name="Normal 3 2 2 2 66 2 3" xfId="4121" xr:uid="{00000000-0005-0000-0000-000019100000}"/>
    <cellStyle name="Normal 3 2 2 2 66 3" xfId="2038" xr:uid="{00000000-0005-0000-0000-0000F6070000}"/>
    <cellStyle name="Normal 3 2 2 2 66 3 2" xfId="4898" xr:uid="{00000000-0005-0000-0000-000022130000}"/>
    <cellStyle name="Normal 3 2 2 2 66 4" xfId="3482" xr:uid="{00000000-0005-0000-0000-00009A0D0000}"/>
    <cellStyle name="Normal 3 2 2 2 67" xfId="523" xr:uid="{00000000-0005-0000-0000-00000B020000}"/>
    <cellStyle name="Normal 3 2 2 2 67 2" xfId="1242" xr:uid="{00000000-0005-0000-0000-0000DA040000}"/>
    <cellStyle name="Normal 3 2 2 2 67 2 2" xfId="2690" xr:uid="{00000000-0005-0000-0000-0000820A0000}"/>
    <cellStyle name="Normal 3 2 2 2 67 2 2 2" xfId="5546" xr:uid="{00000000-0005-0000-0000-0000AA150000}"/>
    <cellStyle name="Normal 3 2 2 2 67 2 3" xfId="4128" xr:uid="{00000000-0005-0000-0000-000020100000}"/>
    <cellStyle name="Normal 3 2 2 2 67 3" xfId="2045" xr:uid="{00000000-0005-0000-0000-0000FD070000}"/>
    <cellStyle name="Normal 3 2 2 2 67 3 2" xfId="4905" xr:uid="{00000000-0005-0000-0000-000029130000}"/>
    <cellStyle name="Normal 3 2 2 2 67 4" xfId="3489" xr:uid="{00000000-0005-0000-0000-0000A10D0000}"/>
    <cellStyle name="Normal 3 2 2 2 68" xfId="527" xr:uid="{00000000-0005-0000-0000-00000F020000}"/>
    <cellStyle name="Normal 3 2 2 2 68 2" xfId="1246" xr:uid="{00000000-0005-0000-0000-0000DE040000}"/>
    <cellStyle name="Normal 3 2 2 2 68 2 2" xfId="2694" xr:uid="{00000000-0005-0000-0000-0000860A0000}"/>
    <cellStyle name="Normal 3 2 2 2 68 2 2 2" xfId="5550" xr:uid="{00000000-0005-0000-0000-0000AE150000}"/>
    <cellStyle name="Normal 3 2 2 2 68 2 3" xfId="4132" xr:uid="{00000000-0005-0000-0000-000024100000}"/>
    <cellStyle name="Normal 3 2 2 2 68 3" xfId="2049" xr:uid="{00000000-0005-0000-0000-000001080000}"/>
    <cellStyle name="Normal 3 2 2 2 68 3 2" xfId="4909" xr:uid="{00000000-0005-0000-0000-00002D130000}"/>
    <cellStyle name="Normal 3 2 2 2 68 4" xfId="3493" xr:uid="{00000000-0005-0000-0000-0000A50D0000}"/>
    <cellStyle name="Normal 3 2 2 2 69" xfId="534" xr:uid="{00000000-0005-0000-0000-000016020000}"/>
    <cellStyle name="Normal 3 2 2 2 69 2" xfId="1253" xr:uid="{00000000-0005-0000-0000-0000E5040000}"/>
    <cellStyle name="Normal 3 2 2 2 69 2 2" xfId="2701" xr:uid="{00000000-0005-0000-0000-00008D0A0000}"/>
    <cellStyle name="Normal 3 2 2 2 69 2 2 2" xfId="5557" xr:uid="{00000000-0005-0000-0000-0000B5150000}"/>
    <cellStyle name="Normal 3 2 2 2 69 2 3" xfId="4139" xr:uid="{00000000-0005-0000-0000-00002B100000}"/>
    <cellStyle name="Normal 3 2 2 2 69 3" xfId="2056" xr:uid="{00000000-0005-0000-0000-000008080000}"/>
    <cellStyle name="Normal 3 2 2 2 69 3 2" xfId="4916" xr:uid="{00000000-0005-0000-0000-000034130000}"/>
    <cellStyle name="Normal 3 2 2 2 69 4" xfId="3500" xr:uid="{00000000-0005-0000-0000-0000AC0D0000}"/>
    <cellStyle name="Normal 3 2 2 2 7" xfId="193" xr:uid="{00000000-0005-0000-0000-0000C1000000}"/>
    <cellStyle name="Normal 3 2 2 2 7 2" xfId="915" xr:uid="{00000000-0005-0000-0000-000093030000}"/>
    <cellStyle name="Normal 3 2 2 2 7 2 2" xfId="2363" xr:uid="{00000000-0005-0000-0000-00003B090000}"/>
    <cellStyle name="Normal 3 2 2 2 7 2 2 2" xfId="5219" xr:uid="{00000000-0005-0000-0000-000063140000}"/>
    <cellStyle name="Normal 3 2 2 2 7 2 3" xfId="3801" xr:uid="{00000000-0005-0000-0000-0000D90E0000}"/>
    <cellStyle name="Normal 3 2 2 2 7 3" xfId="1716" xr:uid="{00000000-0005-0000-0000-0000B4060000}"/>
    <cellStyle name="Normal 3 2 2 2 7 3 2" xfId="4576" xr:uid="{00000000-0005-0000-0000-0000E0110000}"/>
    <cellStyle name="Normal 3 2 2 2 7 4" xfId="3160" xr:uid="{00000000-0005-0000-0000-0000580C0000}"/>
    <cellStyle name="Normal 3 2 2 2 70" xfId="541" xr:uid="{00000000-0005-0000-0000-00001D020000}"/>
    <cellStyle name="Normal 3 2 2 2 70 2" xfId="1260" xr:uid="{00000000-0005-0000-0000-0000EC040000}"/>
    <cellStyle name="Normal 3 2 2 2 70 2 2" xfId="2708" xr:uid="{00000000-0005-0000-0000-0000940A0000}"/>
    <cellStyle name="Normal 3 2 2 2 70 2 2 2" xfId="5564" xr:uid="{00000000-0005-0000-0000-0000BC150000}"/>
    <cellStyle name="Normal 3 2 2 2 70 2 3" xfId="4146" xr:uid="{00000000-0005-0000-0000-000032100000}"/>
    <cellStyle name="Normal 3 2 2 2 70 3" xfId="2063" xr:uid="{00000000-0005-0000-0000-00000F080000}"/>
    <cellStyle name="Normal 3 2 2 2 70 3 2" xfId="4923" xr:uid="{00000000-0005-0000-0000-00003B130000}"/>
    <cellStyle name="Normal 3 2 2 2 70 4" xfId="3507" xr:uid="{00000000-0005-0000-0000-0000B30D0000}"/>
    <cellStyle name="Normal 3 2 2 2 71" xfId="543" xr:uid="{00000000-0005-0000-0000-00001F020000}"/>
    <cellStyle name="Normal 3 2 2 2 71 2" xfId="1262" xr:uid="{00000000-0005-0000-0000-0000EE040000}"/>
    <cellStyle name="Normal 3 2 2 2 71 2 2" xfId="2710" xr:uid="{00000000-0005-0000-0000-0000960A0000}"/>
    <cellStyle name="Normal 3 2 2 2 71 2 2 2" xfId="5566" xr:uid="{00000000-0005-0000-0000-0000BE150000}"/>
    <cellStyle name="Normal 3 2 2 2 71 2 3" xfId="4148" xr:uid="{00000000-0005-0000-0000-000034100000}"/>
    <cellStyle name="Normal 3 2 2 2 71 3" xfId="2065" xr:uid="{00000000-0005-0000-0000-000011080000}"/>
    <cellStyle name="Normal 3 2 2 2 71 3 2" xfId="4925" xr:uid="{00000000-0005-0000-0000-00003D130000}"/>
    <cellStyle name="Normal 3 2 2 2 71 4" xfId="3509" xr:uid="{00000000-0005-0000-0000-0000B50D0000}"/>
    <cellStyle name="Normal 3 2 2 2 72" xfId="552" xr:uid="{00000000-0005-0000-0000-000028020000}"/>
    <cellStyle name="Normal 3 2 2 2 72 2" xfId="1271" xr:uid="{00000000-0005-0000-0000-0000F7040000}"/>
    <cellStyle name="Normal 3 2 2 2 72 2 2" xfId="2719" xr:uid="{00000000-0005-0000-0000-00009F0A0000}"/>
    <cellStyle name="Normal 3 2 2 2 72 2 2 2" xfId="5575" xr:uid="{00000000-0005-0000-0000-0000C7150000}"/>
    <cellStyle name="Normal 3 2 2 2 72 2 3" xfId="4157" xr:uid="{00000000-0005-0000-0000-00003D100000}"/>
    <cellStyle name="Normal 3 2 2 2 72 3" xfId="2074" xr:uid="{00000000-0005-0000-0000-00001A080000}"/>
    <cellStyle name="Normal 3 2 2 2 72 3 2" xfId="4934" xr:uid="{00000000-0005-0000-0000-000046130000}"/>
    <cellStyle name="Normal 3 2 2 2 72 4" xfId="3518" xr:uid="{00000000-0005-0000-0000-0000BE0D0000}"/>
    <cellStyle name="Normal 3 2 2 2 73" xfId="554" xr:uid="{00000000-0005-0000-0000-00002A020000}"/>
    <cellStyle name="Normal 3 2 2 2 73 2" xfId="1273" xr:uid="{00000000-0005-0000-0000-0000F9040000}"/>
    <cellStyle name="Normal 3 2 2 2 73 2 2" xfId="2721" xr:uid="{00000000-0005-0000-0000-0000A10A0000}"/>
    <cellStyle name="Normal 3 2 2 2 73 2 2 2" xfId="5577" xr:uid="{00000000-0005-0000-0000-0000C9150000}"/>
    <cellStyle name="Normal 3 2 2 2 73 2 3" xfId="4159" xr:uid="{00000000-0005-0000-0000-00003F100000}"/>
    <cellStyle name="Normal 3 2 2 2 73 3" xfId="2076" xr:uid="{00000000-0005-0000-0000-00001C080000}"/>
    <cellStyle name="Normal 3 2 2 2 73 3 2" xfId="4936" xr:uid="{00000000-0005-0000-0000-000048130000}"/>
    <cellStyle name="Normal 3 2 2 2 73 4" xfId="3520" xr:uid="{00000000-0005-0000-0000-0000C00D0000}"/>
    <cellStyle name="Normal 3 2 2 2 74" xfId="559" xr:uid="{00000000-0005-0000-0000-00002F020000}"/>
    <cellStyle name="Normal 3 2 2 2 74 2" xfId="1278" xr:uid="{00000000-0005-0000-0000-0000FE040000}"/>
    <cellStyle name="Normal 3 2 2 2 74 2 2" xfId="2726" xr:uid="{00000000-0005-0000-0000-0000A60A0000}"/>
    <cellStyle name="Normal 3 2 2 2 74 2 2 2" xfId="5582" xr:uid="{00000000-0005-0000-0000-0000CE150000}"/>
    <cellStyle name="Normal 3 2 2 2 74 2 3" xfId="4164" xr:uid="{00000000-0005-0000-0000-000044100000}"/>
    <cellStyle name="Normal 3 2 2 2 74 3" xfId="2081" xr:uid="{00000000-0005-0000-0000-000021080000}"/>
    <cellStyle name="Normal 3 2 2 2 74 3 2" xfId="4941" xr:uid="{00000000-0005-0000-0000-00004D130000}"/>
    <cellStyle name="Normal 3 2 2 2 74 4" xfId="3525" xr:uid="{00000000-0005-0000-0000-0000C50D0000}"/>
    <cellStyle name="Normal 3 2 2 2 75" xfId="568" xr:uid="{00000000-0005-0000-0000-000038020000}"/>
    <cellStyle name="Normal 3 2 2 2 75 2" xfId="1287" xr:uid="{00000000-0005-0000-0000-000007050000}"/>
    <cellStyle name="Normal 3 2 2 2 75 2 2" xfId="2735" xr:uid="{00000000-0005-0000-0000-0000AF0A0000}"/>
    <cellStyle name="Normal 3 2 2 2 75 2 2 2" xfId="5591" xr:uid="{00000000-0005-0000-0000-0000D7150000}"/>
    <cellStyle name="Normal 3 2 2 2 75 2 3" xfId="4173" xr:uid="{00000000-0005-0000-0000-00004D100000}"/>
    <cellStyle name="Normal 3 2 2 2 75 3" xfId="2090" xr:uid="{00000000-0005-0000-0000-00002A080000}"/>
    <cellStyle name="Normal 3 2 2 2 75 3 2" xfId="4950" xr:uid="{00000000-0005-0000-0000-000056130000}"/>
    <cellStyle name="Normal 3 2 2 2 75 4" xfId="3534" xr:uid="{00000000-0005-0000-0000-0000CE0D0000}"/>
    <cellStyle name="Normal 3 2 2 2 76" xfId="572" xr:uid="{00000000-0005-0000-0000-00003C020000}"/>
    <cellStyle name="Normal 3 2 2 2 76 2" xfId="1291" xr:uid="{00000000-0005-0000-0000-00000B050000}"/>
    <cellStyle name="Normal 3 2 2 2 76 2 2" xfId="2739" xr:uid="{00000000-0005-0000-0000-0000B30A0000}"/>
    <cellStyle name="Normal 3 2 2 2 76 2 2 2" xfId="5595" xr:uid="{00000000-0005-0000-0000-0000DB150000}"/>
    <cellStyle name="Normal 3 2 2 2 76 2 3" xfId="4177" xr:uid="{00000000-0005-0000-0000-000051100000}"/>
    <cellStyle name="Normal 3 2 2 2 76 3" xfId="2094" xr:uid="{00000000-0005-0000-0000-00002E080000}"/>
    <cellStyle name="Normal 3 2 2 2 76 3 2" xfId="4954" xr:uid="{00000000-0005-0000-0000-00005A130000}"/>
    <cellStyle name="Normal 3 2 2 2 76 4" xfId="3538" xr:uid="{00000000-0005-0000-0000-0000D20D0000}"/>
    <cellStyle name="Normal 3 2 2 2 77" xfId="576" xr:uid="{00000000-0005-0000-0000-000040020000}"/>
    <cellStyle name="Normal 3 2 2 2 77 2" xfId="1295" xr:uid="{00000000-0005-0000-0000-00000F050000}"/>
    <cellStyle name="Normal 3 2 2 2 77 2 2" xfId="2743" xr:uid="{00000000-0005-0000-0000-0000B70A0000}"/>
    <cellStyle name="Normal 3 2 2 2 77 2 2 2" xfId="5599" xr:uid="{00000000-0005-0000-0000-0000DF150000}"/>
    <cellStyle name="Normal 3 2 2 2 77 2 3" xfId="4181" xr:uid="{00000000-0005-0000-0000-000055100000}"/>
    <cellStyle name="Normal 3 2 2 2 77 3" xfId="2098" xr:uid="{00000000-0005-0000-0000-000032080000}"/>
    <cellStyle name="Normal 3 2 2 2 77 3 2" xfId="4958" xr:uid="{00000000-0005-0000-0000-00005E130000}"/>
    <cellStyle name="Normal 3 2 2 2 77 4" xfId="3542" xr:uid="{00000000-0005-0000-0000-0000D60D0000}"/>
    <cellStyle name="Normal 3 2 2 2 78" xfId="587" xr:uid="{00000000-0005-0000-0000-00004B020000}"/>
    <cellStyle name="Normal 3 2 2 2 78 2" xfId="1306" xr:uid="{00000000-0005-0000-0000-00001A050000}"/>
    <cellStyle name="Normal 3 2 2 2 78 2 2" xfId="2754" xr:uid="{00000000-0005-0000-0000-0000C20A0000}"/>
    <cellStyle name="Normal 3 2 2 2 78 2 2 2" xfId="5610" xr:uid="{00000000-0005-0000-0000-0000EA150000}"/>
    <cellStyle name="Normal 3 2 2 2 78 2 3" xfId="4192" xr:uid="{00000000-0005-0000-0000-000060100000}"/>
    <cellStyle name="Normal 3 2 2 2 78 3" xfId="2109" xr:uid="{00000000-0005-0000-0000-00003D080000}"/>
    <cellStyle name="Normal 3 2 2 2 78 3 2" xfId="4969" xr:uid="{00000000-0005-0000-0000-000069130000}"/>
    <cellStyle name="Normal 3 2 2 2 78 4" xfId="3553" xr:uid="{00000000-0005-0000-0000-0000E10D0000}"/>
    <cellStyle name="Normal 3 2 2 2 79" xfId="589" xr:uid="{00000000-0005-0000-0000-00004D020000}"/>
    <cellStyle name="Normal 3 2 2 2 79 2" xfId="1307" xr:uid="{00000000-0005-0000-0000-00001B050000}"/>
    <cellStyle name="Normal 3 2 2 2 79 2 2" xfId="2755" xr:uid="{00000000-0005-0000-0000-0000C30A0000}"/>
    <cellStyle name="Normal 3 2 2 2 79 2 2 2" xfId="5611" xr:uid="{00000000-0005-0000-0000-0000EB150000}"/>
    <cellStyle name="Normal 3 2 2 2 79 2 3" xfId="4193" xr:uid="{00000000-0005-0000-0000-000061100000}"/>
    <cellStyle name="Normal 3 2 2 2 79 3" xfId="2110" xr:uid="{00000000-0005-0000-0000-00003E080000}"/>
    <cellStyle name="Normal 3 2 2 2 79 3 2" xfId="4970" xr:uid="{00000000-0005-0000-0000-00006A130000}"/>
    <cellStyle name="Normal 3 2 2 2 79 4" xfId="3554" xr:uid="{00000000-0005-0000-0000-0000E20D0000}"/>
    <cellStyle name="Normal 3 2 2 2 8" xfId="196" xr:uid="{00000000-0005-0000-0000-0000C4000000}"/>
    <cellStyle name="Normal 3 2 2 2 8 2" xfId="918" xr:uid="{00000000-0005-0000-0000-000096030000}"/>
    <cellStyle name="Normal 3 2 2 2 8 2 2" xfId="2366" xr:uid="{00000000-0005-0000-0000-00003E090000}"/>
    <cellStyle name="Normal 3 2 2 2 8 2 2 2" xfId="5222" xr:uid="{00000000-0005-0000-0000-000066140000}"/>
    <cellStyle name="Normal 3 2 2 2 8 2 3" xfId="3804" xr:uid="{00000000-0005-0000-0000-0000DC0E0000}"/>
    <cellStyle name="Normal 3 2 2 2 8 3" xfId="1719" xr:uid="{00000000-0005-0000-0000-0000B7060000}"/>
    <cellStyle name="Normal 3 2 2 2 8 3 2" xfId="4579" xr:uid="{00000000-0005-0000-0000-0000E3110000}"/>
    <cellStyle name="Normal 3 2 2 2 8 4" xfId="3163" xr:uid="{00000000-0005-0000-0000-00005B0C0000}"/>
    <cellStyle name="Normal 3 2 2 2 80" xfId="594" xr:uid="{00000000-0005-0000-0000-000052020000}"/>
    <cellStyle name="Normal 3 2 2 2 80 2" xfId="1312" xr:uid="{00000000-0005-0000-0000-000020050000}"/>
    <cellStyle name="Normal 3 2 2 2 80 2 2" xfId="2760" xr:uid="{00000000-0005-0000-0000-0000C80A0000}"/>
    <cellStyle name="Normal 3 2 2 2 80 2 2 2" xfId="5616" xr:uid="{00000000-0005-0000-0000-0000F0150000}"/>
    <cellStyle name="Normal 3 2 2 2 80 2 3" xfId="4198" xr:uid="{00000000-0005-0000-0000-000066100000}"/>
    <cellStyle name="Normal 3 2 2 2 80 3" xfId="2115" xr:uid="{00000000-0005-0000-0000-000043080000}"/>
    <cellStyle name="Normal 3 2 2 2 80 3 2" xfId="4975" xr:uid="{00000000-0005-0000-0000-00006F130000}"/>
    <cellStyle name="Normal 3 2 2 2 80 4" xfId="3559" xr:uid="{00000000-0005-0000-0000-0000E70D0000}"/>
    <cellStyle name="Normal 3 2 2 2 81" xfId="605" xr:uid="{00000000-0005-0000-0000-00005D020000}"/>
    <cellStyle name="Normal 3 2 2 2 81 2" xfId="1323" xr:uid="{00000000-0005-0000-0000-00002B050000}"/>
    <cellStyle name="Normal 3 2 2 2 81 2 2" xfId="2771" xr:uid="{00000000-0005-0000-0000-0000D30A0000}"/>
    <cellStyle name="Normal 3 2 2 2 81 2 2 2" xfId="5627" xr:uid="{00000000-0005-0000-0000-0000FB150000}"/>
    <cellStyle name="Normal 3 2 2 2 81 2 3" xfId="4209" xr:uid="{00000000-0005-0000-0000-000071100000}"/>
    <cellStyle name="Normal 3 2 2 2 81 3" xfId="2126" xr:uid="{00000000-0005-0000-0000-00004E080000}"/>
    <cellStyle name="Normal 3 2 2 2 81 3 2" xfId="4986" xr:uid="{00000000-0005-0000-0000-00007A130000}"/>
    <cellStyle name="Normal 3 2 2 2 81 4" xfId="3570" xr:uid="{00000000-0005-0000-0000-0000F20D0000}"/>
    <cellStyle name="Normal 3 2 2 2 82" xfId="613" xr:uid="{00000000-0005-0000-0000-000065020000}"/>
    <cellStyle name="Normal 3 2 2 2 82 2" xfId="1331" xr:uid="{00000000-0005-0000-0000-000033050000}"/>
    <cellStyle name="Normal 3 2 2 2 82 2 2" xfId="2779" xr:uid="{00000000-0005-0000-0000-0000DB0A0000}"/>
    <cellStyle name="Normal 3 2 2 2 82 2 2 2" xfId="5635" xr:uid="{00000000-0005-0000-0000-000003160000}"/>
    <cellStyle name="Normal 3 2 2 2 82 2 3" xfId="4217" xr:uid="{00000000-0005-0000-0000-000079100000}"/>
    <cellStyle name="Normal 3 2 2 2 82 3" xfId="2134" xr:uid="{00000000-0005-0000-0000-000056080000}"/>
    <cellStyle name="Normal 3 2 2 2 82 3 2" xfId="4994" xr:uid="{00000000-0005-0000-0000-000082130000}"/>
    <cellStyle name="Normal 3 2 2 2 82 4" xfId="3578" xr:uid="{00000000-0005-0000-0000-0000FA0D0000}"/>
    <cellStyle name="Normal 3 2 2 2 83" xfId="619" xr:uid="{00000000-0005-0000-0000-00006B020000}"/>
    <cellStyle name="Normal 3 2 2 2 83 2" xfId="623" xr:uid="{00000000-0005-0000-0000-00006F020000}"/>
    <cellStyle name="Normal 3 2 2 2 83 2 2" xfId="1340" xr:uid="{00000000-0005-0000-0000-00003C050000}"/>
    <cellStyle name="Normal 3 2 2 2 83 2 2 2" xfId="2788" xr:uid="{00000000-0005-0000-0000-0000E40A0000}"/>
    <cellStyle name="Normal 3 2 2 2 83 2 2 2 2" xfId="5644" xr:uid="{00000000-0005-0000-0000-00000C160000}"/>
    <cellStyle name="Normal 3 2 2 2 83 2 2 3" xfId="4226" xr:uid="{00000000-0005-0000-0000-000082100000}"/>
    <cellStyle name="Normal 3 2 2 2 83 2 3" xfId="2144" xr:uid="{00000000-0005-0000-0000-000060080000}"/>
    <cellStyle name="Normal 3 2 2 2 83 2 3 2" xfId="5004" xr:uid="{00000000-0005-0000-0000-00008C130000}"/>
    <cellStyle name="Normal 3 2 2 2 83 2 4" xfId="3588" xr:uid="{00000000-0005-0000-0000-0000040E0000}"/>
    <cellStyle name="Normal 3 2 2 2 83 3" xfId="1336" xr:uid="{00000000-0005-0000-0000-000038050000}"/>
    <cellStyle name="Normal 3 2 2 2 83 3 2" xfId="2784" xr:uid="{00000000-0005-0000-0000-0000E00A0000}"/>
    <cellStyle name="Normal 3 2 2 2 83 3 2 2" xfId="5640" xr:uid="{00000000-0005-0000-0000-000008160000}"/>
    <cellStyle name="Normal 3 2 2 2 83 3 3" xfId="4222" xr:uid="{00000000-0005-0000-0000-00007E100000}"/>
    <cellStyle name="Normal 3 2 2 2 83 4" xfId="2140" xr:uid="{00000000-0005-0000-0000-00005C080000}"/>
    <cellStyle name="Normal 3 2 2 2 83 4 2" xfId="5000" xr:uid="{00000000-0005-0000-0000-000088130000}"/>
    <cellStyle name="Normal 3 2 2 2 83 5" xfId="3584" xr:uid="{00000000-0005-0000-0000-0000000E0000}"/>
    <cellStyle name="Normal 3 2 2 2 84" xfId="636" xr:uid="{00000000-0005-0000-0000-00007C020000}"/>
    <cellStyle name="Normal 3 2 2 2 84 2" xfId="1350" xr:uid="{00000000-0005-0000-0000-000046050000}"/>
    <cellStyle name="Normal 3 2 2 2 84 2 2" xfId="2798" xr:uid="{00000000-0005-0000-0000-0000EE0A0000}"/>
    <cellStyle name="Normal 3 2 2 2 84 2 2 2" xfId="5654" xr:uid="{00000000-0005-0000-0000-000016160000}"/>
    <cellStyle name="Normal 3 2 2 2 84 2 3" xfId="4236" xr:uid="{00000000-0005-0000-0000-00008C100000}"/>
    <cellStyle name="Normal 3 2 2 2 84 3" xfId="2154" xr:uid="{00000000-0005-0000-0000-00006A080000}"/>
    <cellStyle name="Normal 3 2 2 2 84 3 2" xfId="5014" xr:uid="{00000000-0005-0000-0000-000096130000}"/>
    <cellStyle name="Normal 3 2 2 2 84 4" xfId="3598" xr:uid="{00000000-0005-0000-0000-00000E0E0000}"/>
    <cellStyle name="Normal 3 2 2 2 85" xfId="642" xr:uid="{00000000-0005-0000-0000-000082020000}"/>
    <cellStyle name="Normal 3 2 2 2 85 2" xfId="1356" xr:uid="{00000000-0005-0000-0000-00004C050000}"/>
    <cellStyle name="Normal 3 2 2 2 85 2 2" xfId="2804" xr:uid="{00000000-0005-0000-0000-0000F40A0000}"/>
    <cellStyle name="Normal 3 2 2 2 85 2 2 2" xfId="5660" xr:uid="{00000000-0005-0000-0000-00001C160000}"/>
    <cellStyle name="Normal 3 2 2 2 85 2 3" xfId="4242" xr:uid="{00000000-0005-0000-0000-000092100000}"/>
    <cellStyle name="Normal 3 2 2 2 85 3" xfId="2160" xr:uid="{00000000-0005-0000-0000-000070080000}"/>
    <cellStyle name="Normal 3 2 2 2 85 3 2" xfId="5020" xr:uid="{00000000-0005-0000-0000-00009C130000}"/>
    <cellStyle name="Normal 3 2 2 2 85 4" xfId="3604" xr:uid="{00000000-0005-0000-0000-0000140E0000}"/>
    <cellStyle name="Normal 3 2 2 2 86" xfId="656" xr:uid="{00000000-0005-0000-0000-000090020000}"/>
    <cellStyle name="Normal 3 2 2 2 87" xfId="660" xr:uid="{00000000-0005-0000-0000-000094020000}"/>
    <cellStyle name="Normal 3 2 2 2 87 2" xfId="1362" xr:uid="{00000000-0005-0000-0000-000052050000}"/>
    <cellStyle name="Normal 3 2 2 2 87 2 2" xfId="2810" xr:uid="{00000000-0005-0000-0000-0000FA0A0000}"/>
    <cellStyle name="Normal 3 2 2 2 87 2 2 2" xfId="5666" xr:uid="{00000000-0005-0000-0000-000022160000}"/>
    <cellStyle name="Normal 3 2 2 2 87 2 3" xfId="4248" xr:uid="{00000000-0005-0000-0000-000098100000}"/>
    <cellStyle name="Normal 3 2 2 2 87 3" xfId="2166" xr:uid="{00000000-0005-0000-0000-000076080000}"/>
    <cellStyle name="Normal 3 2 2 2 87 3 2" xfId="5026" xr:uid="{00000000-0005-0000-0000-0000A2130000}"/>
    <cellStyle name="Normal 3 2 2 2 87 4" xfId="3610" xr:uid="{00000000-0005-0000-0000-00001A0E0000}"/>
    <cellStyle name="Normal 3 2 2 2 88" xfId="725" xr:uid="{00000000-0005-0000-0000-0000D5020000}"/>
    <cellStyle name="Normal 3 2 2 2 88 2" xfId="1404" xr:uid="{00000000-0005-0000-0000-00007C050000}"/>
    <cellStyle name="Normal 3 2 2 2 88 2 2" xfId="2851" xr:uid="{00000000-0005-0000-0000-0000230B0000}"/>
    <cellStyle name="Normal 3 2 2 2 88 2 2 2" xfId="5706" xr:uid="{00000000-0005-0000-0000-00004A160000}"/>
    <cellStyle name="Normal 3 2 2 2 88 2 3" xfId="4288" xr:uid="{00000000-0005-0000-0000-0000C0100000}"/>
    <cellStyle name="Normal 3 2 2 2 88 3" xfId="2211" xr:uid="{00000000-0005-0000-0000-0000A3080000}"/>
    <cellStyle name="Normal 3 2 2 2 88 3 2" xfId="5067" xr:uid="{00000000-0005-0000-0000-0000CB130000}"/>
    <cellStyle name="Normal 3 2 2 2 88 4" xfId="3651" xr:uid="{00000000-0005-0000-0000-0000430E0000}"/>
    <cellStyle name="Normal 3 2 2 2 89" xfId="776" xr:uid="{00000000-0005-0000-0000-000008030000}"/>
    <cellStyle name="Normal 3 2 2 2 89 2" xfId="2228" xr:uid="{00000000-0005-0000-0000-0000B4080000}"/>
    <cellStyle name="Normal 3 2 2 2 89 2 2" xfId="5084" xr:uid="{00000000-0005-0000-0000-0000DC130000}"/>
    <cellStyle name="Normal 3 2 2 2 89 3" xfId="3666" xr:uid="{00000000-0005-0000-0000-0000520E0000}"/>
    <cellStyle name="Normal 3 2 2 2 9" xfId="201" xr:uid="{00000000-0005-0000-0000-0000C9000000}"/>
    <cellStyle name="Normal 3 2 2 2 9 2" xfId="923" xr:uid="{00000000-0005-0000-0000-00009B030000}"/>
    <cellStyle name="Normal 3 2 2 2 9 2 2" xfId="2371" xr:uid="{00000000-0005-0000-0000-000043090000}"/>
    <cellStyle name="Normal 3 2 2 2 9 2 2 2" xfId="5227" xr:uid="{00000000-0005-0000-0000-00006B140000}"/>
    <cellStyle name="Normal 3 2 2 2 9 2 3" xfId="3809" xr:uid="{00000000-0005-0000-0000-0000E10E0000}"/>
    <cellStyle name="Normal 3 2 2 2 9 3" xfId="1724" xr:uid="{00000000-0005-0000-0000-0000BC060000}"/>
    <cellStyle name="Normal 3 2 2 2 9 3 2" xfId="4584" xr:uid="{00000000-0005-0000-0000-0000E8110000}"/>
    <cellStyle name="Normal 3 2 2 2 9 4" xfId="3168" xr:uid="{00000000-0005-0000-0000-0000600C0000}"/>
    <cellStyle name="Normal 3 2 2 2 90" xfId="1580" xr:uid="{00000000-0005-0000-0000-00002C060000}"/>
    <cellStyle name="Normal 3 2 2 2 90 2" xfId="4440" xr:uid="{00000000-0005-0000-0000-000058110000}"/>
    <cellStyle name="Normal 3 2 2 2 91" xfId="3025" xr:uid="{00000000-0005-0000-0000-0000D10B0000}"/>
    <cellStyle name="Normal 3 20" xfId="203" xr:uid="{00000000-0005-0000-0000-0000CB000000}"/>
    <cellStyle name="Normal 3 20 2" xfId="925" xr:uid="{00000000-0005-0000-0000-00009D030000}"/>
    <cellStyle name="Normal 3 20 2 2" xfId="2373" xr:uid="{00000000-0005-0000-0000-000045090000}"/>
    <cellStyle name="Normal 3 20 2 2 2" xfId="5229" xr:uid="{00000000-0005-0000-0000-00006D140000}"/>
    <cellStyle name="Normal 3 20 2 3" xfId="3811" xr:uid="{00000000-0005-0000-0000-0000E30E0000}"/>
    <cellStyle name="Normal 3 20 3" xfId="1726" xr:uid="{00000000-0005-0000-0000-0000BE060000}"/>
    <cellStyle name="Normal 3 20 3 2" xfId="4586" xr:uid="{00000000-0005-0000-0000-0000EA110000}"/>
    <cellStyle name="Normal 3 20 4" xfId="3170" xr:uid="{00000000-0005-0000-0000-0000620C0000}"/>
    <cellStyle name="Normal 3 21" xfId="217" xr:uid="{00000000-0005-0000-0000-0000D9000000}"/>
    <cellStyle name="Normal 3 21 2" xfId="939" xr:uid="{00000000-0005-0000-0000-0000AB030000}"/>
    <cellStyle name="Normal 3 21 2 2" xfId="2387" xr:uid="{00000000-0005-0000-0000-000053090000}"/>
    <cellStyle name="Normal 3 21 2 2 2" xfId="5243" xr:uid="{00000000-0005-0000-0000-00007B140000}"/>
    <cellStyle name="Normal 3 21 2 3" xfId="3825" xr:uid="{00000000-0005-0000-0000-0000F10E0000}"/>
    <cellStyle name="Normal 3 21 3" xfId="1740" xr:uid="{00000000-0005-0000-0000-0000CC060000}"/>
    <cellStyle name="Normal 3 21 3 2" xfId="4600" xr:uid="{00000000-0005-0000-0000-0000F8110000}"/>
    <cellStyle name="Normal 3 21 4" xfId="3184" xr:uid="{00000000-0005-0000-0000-0000700C0000}"/>
    <cellStyle name="Normal 3 22" xfId="228" xr:uid="{00000000-0005-0000-0000-0000E4000000}"/>
    <cellStyle name="Normal 3 22 2" xfId="950" xr:uid="{00000000-0005-0000-0000-0000B6030000}"/>
    <cellStyle name="Normal 3 22 2 2" xfId="2398" xr:uid="{00000000-0005-0000-0000-00005E090000}"/>
    <cellStyle name="Normal 3 22 2 2 2" xfId="5254" xr:uid="{00000000-0005-0000-0000-000086140000}"/>
    <cellStyle name="Normal 3 22 2 3" xfId="3836" xr:uid="{00000000-0005-0000-0000-0000FC0E0000}"/>
    <cellStyle name="Normal 3 22 3" xfId="1751" xr:uid="{00000000-0005-0000-0000-0000D7060000}"/>
    <cellStyle name="Normal 3 22 3 2" xfId="4611" xr:uid="{00000000-0005-0000-0000-000003120000}"/>
    <cellStyle name="Normal 3 22 4" xfId="3195" xr:uid="{00000000-0005-0000-0000-00007B0C0000}"/>
    <cellStyle name="Normal 3 23" xfId="241" xr:uid="{00000000-0005-0000-0000-0000F1000000}"/>
    <cellStyle name="Normal 3 23 2" xfId="963" xr:uid="{00000000-0005-0000-0000-0000C3030000}"/>
    <cellStyle name="Normal 3 23 2 2" xfId="2411" xr:uid="{00000000-0005-0000-0000-00006B090000}"/>
    <cellStyle name="Normal 3 23 2 2 2" xfId="5267" xr:uid="{00000000-0005-0000-0000-000093140000}"/>
    <cellStyle name="Normal 3 23 2 3" xfId="3849" xr:uid="{00000000-0005-0000-0000-0000090F0000}"/>
    <cellStyle name="Normal 3 23 3" xfId="1764" xr:uid="{00000000-0005-0000-0000-0000E4060000}"/>
    <cellStyle name="Normal 3 23 3 2" xfId="4624" xr:uid="{00000000-0005-0000-0000-000010120000}"/>
    <cellStyle name="Normal 3 23 4" xfId="3208" xr:uid="{00000000-0005-0000-0000-0000880C0000}"/>
    <cellStyle name="Normal 3 24" xfId="253" xr:uid="{00000000-0005-0000-0000-0000FD000000}"/>
    <cellStyle name="Normal 3 24 2" xfId="975" xr:uid="{00000000-0005-0000-0000-0000CF030000}"/>
    <cellStyle name="Normal 3 24 2 2" xfId="2423" xr:uid="{00000000-0005-0000-0000-000077090000}"/>
    <cellStyle name="Normal 3 24 2 2 2" xfId="5279" xr:uid="{00000000-0005-0000-0000-00009F140000}"/>
    <cellStyle name="Normal 3 24 2 3" xfId="3861" xr:uid="{00000000-0005-0000-0000-0000150F0000}"/>
    <cellStyle name="Normal 3 24 3" xfId="1776" xr:uid="{00000000-0005-0000-0000-0000F0060000}"/>
    <cellStyle name="Normal 3 24 3 2" xfId="4636" xr:uid="{00000000-0005-0000-0000-00001C120000}"/>
    <cellStyle name="Normal 3 24 4" xfId="3220" xr:uid="{00000000-0005-0000-0000-0000940C0000}"/>
    <cellStyle name="Normal 3 25" xfId="263" xr:uid="{00000000-0005-0000-0000-000007010000}"/>
    <cellStyle name="Normal 3 25 2" xfId="985" xr:uid="{00000000-0005-0000-0000-0000D9030000}"/>
    <cellStyle name="Normal 3 25 2 2" xfId="2433" xr:uid="{00000000-0005-0000-0000-000081090000}"/>
    <cellStyle name="Normal 3 25 2 2 2" xfId="5289" xr:uid="{00000000-0005-0000-0000-0000A9140000}"/>
    <cellStyle name="Normal 3 25 2 3" xfId="3871" xr:uid="{00000000-0005-0000-0000-00001F0F0000}"/>
    <cellStyle name="Normal 3 25 3" xfId="1786" xr:uid="{00000000-0005-0000-0000-0000FA060000}"/>
    <cellStyle name="Normal 3 25 3 2" xfId="4646" xr:uid="{00000000-0005-0000-0000-000026120000}"/>
    <cellStyle name="Normal 3 25 4" xfId="3230" xr:uid="{00000000-0005-0000-0000-00009E0C0000}"/>
    <cellStyle name="Normal 3 26" xfId="279" xr:uid="{00000000-0005-0000-0000-000017010000}"/>
    <cellStyle name="Normal 3 26 2" xfId="1001" xr:uid="{00000000-0005-0000-0000-0000E9030000}"/>
    <cellStyle name="Normal 3 26 2 2" xfId="2449" xr:uid="{00000000-0005-0000-0000-000091090000}"/>
    <cellStyle name="Normal 3 26 2 2 2" xfId="5305" xr:uid="{00000000-0005-0000-0000-0000B9140000}"/>
    <cellStyle name="Normal 3 26 2 3" xfId="3887" xr:uid="{00000000-0005-0000-0000-00002F0F0000}"/>
    <cellStyle name="Normal 3 26 3" xfId="1802" xr:uid="{00000000-0005-0000-0000-00000A070000}"/>
    <cellStyle name="Normal 3 26 3 2" xfId="4662" xr:uid="{00000000-0005-0000-0000-000036120000}"/>
    <cellStyle name="Normal 3 26 4" xfId="3246" xr:uid="{00000000-0005-0000-0000-0000AE0C0000}"/>
    <cellStyle name="Normal 3 27" xfId="295" xr:uid="{00000000-0005-0000-0000-000027010000}"/>
    <cellStyle name="Normal 3 27 2" xfId="1016" xr:uid="{00000000-0005-0000-0000-0000F8030000}"/>
    <cellStyle name="Normal 3 27 2 2" xfId="2464" xr:uid="{00000000-0005-0000-0000-0000A0090000}"/>
    <cellStyle name="Normal 3 27 2 2 2" xfId="5320" xr:uid="{00000000-0005-0000-0000-0000C8140000}"/>
    <cellStyle name="Normal 3 27 2 3" xfId="3902" xr:uid="{00000000-0005-0000-0000-00003E0F0000}"/>
    <cellStyle name="Normal 3 27 3" xfId="1818" xr:uid="{00000000-0005-0000-0000-00001A070000}"/>
    <cellStyle name="Normal 3 27 3 2" xfId="4678" xr:uid="{00000000-0005-0000-0000-000046120000}"/>
    <cellStyle name="Normal 3 27 4" xfId="3262" xr:uid="{00000000-0005-0000-0000-0000BE0C0000}"/>
    <cellStyle name="Normal 3 28" xfId="305" xr:uid="{00000000-0005-0000-0000-000031010000}"/>
    <cellStyle name="Normal 3 28 2" xfId="1026" xr:uid="{00000000-0005-0000-0000-000002040000}"/>
    <cellStyle name="Normal 3 28 2 2" xfId="2474" xr:uid="{00000000-0005-0000-0000-0000AA090000}"/>
    <cellStyle name="Normal 3 28 2 2 2" xfId="5330" xr:uid="{00000000-0005-0000-0000-0000D2140000}"/>
    <cellStyle name="Normal 3 28 2 3" xfId="3912" xr:uid="{00000000-0005-0000-0000-0000480F0000}"/>
    <cellStyle name="Normal 3 28 3" xfId="1828" xr:uid="{00000000-0005-0000-0000-000024070000}"/>
    <cellStyle name="Normal 3 28 3 2" xfId="4688" xr:uid="{00000000-0005-0000-0000-000050120000}"/>
    <cellStyle name="Normal 3 28 4" xfId="3272" xr:uid="{00000000-0005-0000-0000-0000C80C0000}"/>
    <cellStyle name="Normal 3 29" xfId="320" xr:uid="{00000000-0005-0000-0000-000040010000}"/>
    <cellStyle name="Normal 3 29 2" xfId="1041" xr:uid="{00000000-0005-0000-0000-000011040000}"/>
    <cellStyle name="Normal 3 29 2 2" xfId="2489" xr:uid="{00000000-0005-0000-0000-0000B9090000}"/>
    <cellStyle name="Normal 3 29 2 2 2" xfId="5345" xr:uid="{00000000-0005-0000-0000-0000E1140000}"/>
    <cellStyle name="Normal 3 29 2 3" xfId="3927" xr:uid="{00000000-0005-0000-0000-0000570F0000}"/>
    <cellStyle name="Normal 3 29 3" xfId="1843" xr:uid="{00000000-0005-0000-0000-000033070000}"/>
    <cellStyle name="Normal 3 29 3 2" xfId="4703" xr:uid="{00000000-0005-0000-0000-00005F120000}"/>
    <cellStyle name="Normal 3 29 4" xfId="3287" xr:uid="{00000000-0005-0000-0000-0000D70C0000}"/>
    <cellStyle name="Normal 3 3" xfId="20" xr:uid="{00000000-0005-0000-0000-000014000000}"/>
    <cellStyle name="Normal 3 3 10" xfId="125" xr:uid="{00000000-0005-0000-0000-00007D000000}"/>
    <cellStyle name="Normal 3 3 10 2" xfId="851" xr:uid="{00000000-0005-0000-0000-000053030000}"/>
    <cellStyle name="Normal 3 3 10 2 2" xfId="2299" xr:uid="{00000000-0005-0000-0000-0000FB080000}"/>
    <cellStyle name="Normal 3 3 10 2 2 2" xfId="5155" xr:uid="{00000000-0005-0000-0000-000023140000}"/>
    <cellStyle name="Normal 3 3 10 2 3" xfId="3737" xr:uid="{00000000-0005-0000-0000-0000990E0000}"/>
    <cellStyle name="Normal 3 3 10 3" xfId="1652" xr:uid="{00000000-0005-0000-0000-000074060000}"/>
    <cellStyle name="Normal 3 3 10 3 2" xfId="4512" xr:uid="{00000000-0005-0000-0000-0000A0110000}"/>
    <cellStyle name="Normal 3 3 10 4" xfId="3096" xr:uid="{00000000-0005-0000-0000-0000180C0000}"/>
    <cellStyle name="Normal 3 3 11" xfId="133" xr:uid="{00000000-0005-0000-0000-000085000000}"/>
    <cellStyle name="Normal 3 3 11 2" xfId="858" xr:uid="{00000000-0005-0000-0000-00005A030000}"/>
    <cellStyle name="Normal 3 3 11 2 2" xfId="2306" xr:uid="{00000000-0005-0000-0000-000002090000}"/>
    <cellStyle name="Normal 3 3 11 2 2 2" xfId="5162" xr:uid="{00000000-0005-0000-0000-00002A140000}"/>
    <cellStyle name="Normal 3 3 11 2 3" xfId="3744" xr:uid="{00000000-0005-0000-0000-0000A00E0000}"/>
    <cellStyle name="Normal 3 3 11 3" xfId="1659" xr:uid="{00000000-0005-0000-0000-00007B060000}"/>
    <cellStyle name="Normal 3 3 11 3 2" xfId="4519" xr:uid="{00000000-0005-0000-0000-0000A7110000}"/>
    <cellStyle name="Normal 3 3 11 4" xfId="3103" xr:uid="{00000000-0005-0000-0000-00001F0C0000}"/>
    <cellStyle name="Normal 3 3 12" xfId="143" xr:uid="{00000000-0005-0000-0000-00008F000000}"/>
    <cellStyle name="Normal 3 3 12 2" xfId="868" xr:uid="{00000000-0005-0000-0000-000064030000}"/>
    <cellStyle name="Normal 3 3 12 2 2" xfId="2316" xr:uid="{00000000-0005-0000-0000-00000C090000}"/>
    <cellStyle name="Normal 3 3 12 2 2 2" xfId="5172" xr:uid="{00000000-0005-0000-0000-000034140000}"/>
    <cellStyle name="Normal 3 3 12 2 3" xfId="3754" xr:uid="{00000000-0005-0000-0000-0000AA0E0000}"/>
    <cellStyle name="Normal 3 3 12 3" xfId="1669" xr:uid="{00000000-0005-0000-0000-000085060000}"/>
    <cellStyle name="Normal 3 3 12 3 2" xfId="4529" xr:uid="{00000000-0005-0000-0000-0000B1110000}"/>
    <cellStyle name="Normal 3 3 12 4" xfId="3113" xr:uid="{00000000-0005-0000-0000-0000290C0000}"/>
    <cellStyle name="Normal 3 3 13" xfId="149" xr:uid="{00000000-0005-0000-0000-000095000000}"/>
    <cellStyle name="Normal 3 3 13 2" xfId="874" xr:uid="{00000000-0005-0000-0000-00006A030000}"/>
    <cellStyle name="Normal 3 3 13 2 2" xfId="2322" xr:uid="{00000000-0005-0000-0000-000012090000}"/>
    <cellStyle name="Normal 3 3 13 2 2 2" xfId="5178" xr:uid="{00000000-0005-0000-0000-00003A140000}"/>
    <cellStyle name="Normal 3 3 13 2 3" xfId="3760" xr:uid="{00000000-0005-0000-0000-0000B00E0000}"/>
    <cellStyle name="Normal 3 3 13 3" xfId="1675" xr:uid="{00000000-0005-0000-0000-00008B060000}"/>
    <cellStyle name="Normal 3 3 13 3 2" xfId="4535" xr:uid="{00000000-0005-0000-0000-0000B7110000}"/>
    <cellStyle name="Normal 3 3 13 4" xfId="3119" xr:uid="{00000000-0005-0000-0000-00002F0C0000}"/>
    <cellStyle name="Normal 3 3 14" xfId="158" xr:uid="{00000000-0005-0000-0000-00009E000000}"/>
    <cellStyle name="Normal 3 3 14 2" xfId="881" xr:uid="{00000000-0005-0000-0000-000071030000}"/>
    <cellStyle name="Normal 3 3 14 2 2" xfId="2329" xr:uid="{00000000-0005-0000-0000-000019090000}"/>
    <cellStyle name="Normal 3 3 14 2 2 2" xfId="5185" xr:uid="{00000000-0005-0000-0000-000041140000}"/>
    <cellStyle name="Normal 3 3 14 2 3" xfId="3767" xr:uid="{00000000-0005-0000-0000-0000B70E0000}"/>
    <cellStyle name="Normal 3 3 14 3" xfId="1682" xr:uid="{00000000-0005-0000-0000-000092060000}"/>
    <cellStyle name="Normal 3 3 14 3 2" xfId="4542" xr:uid="{00000000-0005-0000-0000-0000BE110000}"/>
    <cellStyle name="Normal 3 3 14 4" xfId="3126" xr:uid="{00000000-0005-0000-0000-0000360C0000}"/>
    <cellStyle name="Normal 3 3 15" xfId="165" xr:uid="{00000000-0005-0000-0000-0000A5000000}"/>
    <cellStyle name="Normal 3 3 15 2" xfId="888" xr:uid="{00000000-0005-0000-0000-000078030000}"/>
    <cellStyle name="Normal 3 3 15 2 2" xfId="2336" xr:uid="{00000000-0005-0000-0000-000020090000}"/>
    <cellStyle name="Normal 3 3 15 2 2 2" xfId="5192" xr:uid="{00000000-0005-0000-0000-000048140000}"/>
    <cellStyle name="Normal 3 3 15 2 3" xfId="3774" xr:uid="{00000000-0005-0000-0000-0000BE0E0000}"/>
    <cellStyle name="Normal 3 3 15 3" xfId="1689" xr:uid="{00000000-0005-0000-0000-000099060000}"/>
    <cellStyle name="Normal 3 3 15 3 2" xfId="4549" xr:uid="{00000000-0005-0000-0000-0000C5110000}"/>
    <cellStyle name="Normal 3 3 15 4" xfId="3133" xr:uid="{00000000-0005-0000-0000-00003D0C0000}"/>
    <cellStyle name="Normal 3 3 16" xfId="179" xr:uid="{00000000-0005-0000-0000-0000B3000000}"/>
    <cellStyle name="Normal 3 3 16 2" xfId="901" xr:uid="{00000000-0005-0000-0000-000085030000}"/>
    <cellStyle name="Normal 3 3 16 2 2" xfId="2349" xr:uid="{00000000-0005-0000-0000-00002D090000}"/>
    <cellStyle name="Normal 3 3 16 2 2 2" xfId="5205" xr:uid="{00000000-0005-0000-0000-000055140000}"/>
    <cellStyle name="Normal 3 3 16 2 3" xfId="3787" xr:uid="{00000000-0005-0000-0000-0000CB0E0000}"/>
    <cellStyle name="Normal 3 3 16 3" xfId="1702" xr:uid="{00000000-0005-0000-0000-0000A6060000}"/>
    <cellStyle name="Normal 3 3 16 3 2" xfId="4562" xr:uid="{00000000-0005-0000-0000-0000D2110000}"/>
    <cellStyle name="Normal 3 3 16 4" xfId="3146" xr:uid="{00000000-0005-0000-0000-00004A0C0000}"/>
    <cellStyle name="Normal 3 3 17" xfId="192" xr:uid="{00000000-0005-0000-0000-0000C0000000}"/>
    <cellStyle name="Normal 3 3 17 2" xfId="914" xr:uid="{00000000-0005-0000-0000-000092030000}"/>
    <cellStyle name="Normal 3 3 17 2 2" xfId="2362" xr:uid="{00000000-0005-0000-0000-00003A090000}"/>
    <cellStyle name="Normal 3 3 17 2 2 2" xfId="5218" xr:uid="{00000000-0005-0000-0000-000062140000}"/>
    <cellStyle name="Normal 3 3 17 2 3" xfId="3800" xr:uid="{00000000-0005-0000-0000-0000D80E0000}"/>
    <cellStyle name="Normal 3 3 17 3" xfId="1715" xr:uid="{00000000-0005-0000-0000-0000B3060000}"/>
    <cellStyle name="Normal 3 3 17 3 2" xfId="4575" xr:uid="{00000000-0005-0000-0000-0000DF110000}"/>
    <cellStyle name="Normal 3 3 17 4" xfId="3159" xr:uid="{00000000-0005-0000-0000-0000570C0000}"/>
    <cellStyle name="Normal 3 3 18" xfId="206" xr:uid="{00000000-0005-0000-0000-0000CE000000}"/>
    <cellStyle name="Normal 3 3 18 2" xfId="928" xr:uid="{00000000-0005-0000-0000-0000A0030000}"/>
    <cellStyle name="Normal 3 3 18 2 2" xfId="2376" xr:uid="{00000000-0005-0000-0000-000048090000}"/>
    <cellStyle name="Normal 3 3 18 2 2 2" xfId="5232" xr:uid="{00000000-0005-0000-0000-000070140000}"/>
    <cellStyle name="Normal 3 3 18 2 3" xfId="3814" xr:uid="{00000000-0005-0000-0000-0000E60E0000}"/>
    <cellStyle name="Normal 3 3 18 3" xfId="1729" xr:uid="{00000000-0005-0000-0000-0000C1060000}"/>
    <cellStyle name="Normal 3 3 18 3 2" xfId="4589" xr:uid="{00000000-0005-0000-0000-0000ED110000}"/>
    <cellStyle name="Normal 3 3 18 4" xfId="3173" xr:uid="{00000000-0005-0000-0000-0000650C0000}"/>
    <cellStyle name="Normal 3 3 19" xfId="220" xr:uid="{00000000-0005-0000-0000-0000DC000000}"/>
    <cellStyle name="Normal 3 3 19 2" xfId="942" xr:uid="{00000000-0005-0000-0000-0000AE030000}"/>
    <cellStyle name="Normal 3 3 19 2 2" xfId="2390" xr:uid="{00000000-0005-0000-0000-000056090000}"/>
    <cellStyle name="Normal 3 3 19 2 2 2" xfId="5246" xr:uid="{00000000-0005-0000-0000-00007E140000}"/>
    <cellStyle name="Normal 3 3 19 2 3" xfId="3828" xr:uid="{00000000-0005-0000-0000-0000F40E0000}"/>
    <cellStyle name="Normal 3 3 19 3" xfId="1743" xr:uid="{00000000-0005-0000-0000-0000CF060000}"/>
    <cellStyle name="Normal 3 3 19 3 2" xfId="4603" xr:uid="{00000000-0005-0000-0000-0000FB110000}"/>
    <cellStyle name="Normal 3 3 19 4" xfId="3187" xr:uid="{00000000-0005-0000-0000-0000730C0000}"/>
    <cellStyle name="Normal 3 3 2" xfId="34" xr:uid="{00000000-0005-0000-0000-000022000000}"/>
    <cellStyle name="Normal 3 3 2 10" xfId="411" xr:uid="{00000000-0005-0000-0000-00009B010000}"/>
    <cellStyle name="Normal 3 3 2 10 2" xfId="1132" xr:uid="{00000000-0005-0000-0000-00006C040000}"/>
    <cellStyle name="Normal 3 3 2 10 2 2" xfId="2580" xr:uid="{00000000-0005-0000-0000-0000140A0000}"/>
    <cellStyle name="Normal 3 3 2 10 2 2 2" xfId="5436" xr:uid="{00000000-0005-0000-0000-00003C150000}"/>
    <cellStyle name="Normal 3 3 2 10 2 3" xfId="4018" xr:uid="{00000000-0005-0000-0000-0000B20F0000}"/>
    <cellStyle name="Normal 3 3 2 10 3" xfId="1934" xr:uid="{00000000-0005-0000-0000-00008E070000}"/>
    <cellStyle name="Normal 3 3 2 10 3 2" xfId="4794" xr:uid="{00000000-0005-0000-0000-0000BA120000}"/>
    <cellStyle name="Normal 3 3 2 10 4" xfId="3378" xr:uid="{00000000-0005-0000-0000-0000320D0000}"/>
    <cellStyle name="Normal 3 3 2 11" xfId="423" xr:uid="{00000000-0005-0000-0000-0000A7010000}"/>
    <cellStyle name="Normal 3 3 2 11 2" xfId="1144" xr:uid="{00000000-0005-0000-0000-000078040000}"/>
    <cellStyle name="Normal 3 3 2 11 2 2" xfId="2592" xr:uid="{00000000-0005-0000-0000-0000200A0000}"/>
    <cellStyle name="Normal 3 3 2 11 2 2 2" xfId="5448" xr:uid="{00000000-0005-0000-0000-000048150000}"/>
    <cellStyle name="Normal 3 3 2 11 2 3" xfId="4030" xr:uid="{00000000-0005-0000-0000-0000BE0F0000}"/>
    <cellStyle name="Normal 3 3 2 11 3" xfId="1946" xr:uid="{00000000-0005-0000-0000-00009A070000}"/>
    <cellStyle name="Normal 3 3 2 11 3 2" xfId="4806" xr:uid="{00000000-0005-0000-0000-0000C6120000}"/>
    <cellStyle name="Normal 3 3 2 11 4" xfId="3390" xr:uid="{00000000-0005-0000-0000-00003E0D0000}"/>
    <cellStyle name="Normal 3 3 2 12" xfId="432" xr:uid="{00000000-0005-0000-0000-0000B0010000}"/>
    <cellStyle name="Normal 3 3 2 12 2" xfId="1153" xr:uid="{00000000-0005-0000-0000-000081040000}"/>
    <cellStyle name="Normal 3 3 2 12 2 2" xfId="2601" xr:uid="{00000000-0005-0000-0000-0000290A0000}"/>
    <cellStyle name="Normal 3 3 2 12 2 2 2" xfId="5457" xr:uid="{00000000-0005-0000-0000-000051150000}"/>
    <cellStyle name="Normal 3 3 2 12 2 3" xfId="4039" xr:uid="{00000000-0005-0000-0000-0000C70F0000}"/>
    <cellStyle name="Normal 3 3 2 12 3" xfId="1955" xr:uid="{00000000-0005-0000-0000-0000A3070000}"/>
    <cellStyle name="Normal 3 3 2 12 3 2" xfId="4815" xr:uid="{00000000-0005-0000-0000-0000CF120000}"/>
    <cellStyle name="Normal 3 3 2 12 4" xfId="3399" xr:uid="{00000000-0005-0000-0000-0000470D0000}"/>
    <cellStyle name="Normal 3 3 2 13" xfId="448" xr:uid="{00000000-0005-0000-0000-0000C0010000}"/>
    <cellStyle name="Normal 3 3 2 13 2" xfId="1169" xr:uid="{00000000-0005-0000-0000-000091040000}"/>
    <cellStyle name="Normal 3 3 2 13 2 2" xfId="2617" xr:uid="{00000000-0005-0000-0000-0000390A0000}"/>
    <cellStyle name="Normal 3 3 2 13 2 2 2" xfId="5473" xr:uid="{00000000-0005-0000-0000-000061150000}"/>
    <cellStyle name="Normal 3 3 2 13 2 3" xfId="4055" xr:uid="{00000000-0005-0000-0000-0000D70F0000}"/>
    <cellStyle name="Normal 3 3 2 13 3" xfId="1971" xr:uid="{00000000-0005-0000-0000-0000B3070000}"/>
    <cellStyle name="Normal 3 3 2 13 3 2" xfId="4831" xr:uid="{00000000-0005-0000-0000-0000DF120000}"/>
    <cellStyle name="Normal 3 3 2 13 4" xfId="3415" xr:uid="{00000000-0005-0000-0000-0000570D0000}"/>
    <cellStyle name="Normal 3 3 2 14" xfId="466" xr:uid="{00000000-0005-0000-0000-0000D2010000}"/>
    <cellStyle name="Normal 3 3 2 14 2" xfId="1186" xr:uid="{00000000-0005-0000-0000-0000A2040000}"/>
    <cellStyle name="Normal 3 3 2 14 2 2" xfId="2634" xr:uid="{00000000-0005-0000-0000-00004A0A0000}"/>
    <cellStyle name="Normal 3 3 2 14 2 2 2" xfId="5490" xr:uid="{00000000-0005-0000-0000-000072150000}"/>
    <cellStyle name="Normal 3 3 2 14 2 3" xfId="4072" xr:uid="{00000000-0005-0000-0000-0000E80F0000}"/>
    <cellStyle name="Normal 3 3 2 14 3" xfId="1989" xr:uid="{00000000-0005-0000-0000-0000C5070000}"/>
    <cellStyle name="Normal 3 3 2 14 3 2" xfId="4849" xr:uid="{00000000-0005-0000-0000-0000F1120000}"/>
    <cellStyle name="Normal 3 3 2 14 4" xfId="3433" xr:uid="{00000000-0005-0000-0000-0000690D0000}"/>
    <cellStyle name="Normal 3 3 2 15" xfId="481" xr:uid="{00000000-0005-0000-0000-0000E1010000}"/>
    <cellStyle name="Normal 3 3 2 15 2" xfId="1201" xr:uid="{00000000-0005-0000-0000-0000B1040000}"/>
    <cellStyle name="Normal 3 3 2 15 2 2" xfId="2649" xr:uid="{00000000-0005-0000-0000-0000590A0000}"/>
    <cellStyle name="Normal 3 3 2 15 2 2 2" xfId="5505" xr:uid="{00000000-0005-0000-0000-000081150000}"/>
    <cellStyle name="Normal 3 3 2 15 2 3" xfId="4087" xr:uid="{00000000-0005-0000-0000-0000F70F0000}"/>
    <cellStyle name="Normal 3 3 2 15 3" xfId="2004" xr:uid="{00000000-0005-0000-0000-0000D4070000}"/>
    <cellStyle name="Normal 3 3 2 15 3 2" xfId="4864" xr:uid="{00000000-0005-0000-0000-000000130000}"/>
    <cellStyle name="Normal 3 3 2 15 4" xfId="3448" xr:uid="{00000000-0005-0000-0000-0000780D0000}"/>
    <cellStyle name="Normal 3 3 2 16" xfId="495" xr:uid="{00000000-0005-0000-0000-0000EF010000}"/>
    <cellStyle name="Normal 3 3 2 16 2" xfId="1214" xr:uid="{00000000-0005-0000-0000-0000BE040000}"/>
    <cellStyle name="Normal 3 3 2 16 2 2" xfId="2662" xr:uid="{00000000-0005-0000-0000-0000660A0000}"/>
    <cellStyle name="Normal 3 3 2 16 2 2 2" xfId="5518" xr:uid="{00000000-0005-0000-0000-00008E150000}"/>
    <cellStyle name="Normal 3 3 2 16 2 3" xfId="4100" xr:uid="{00000000-0005-0000-0000-000004100000}"/>
    <cellStyle name="Normal 3 3 2 16 3" xfId="2017" xr:uid="{00000000-0005-0000-0000-0000E1070000}"/>
    <cellStyle name="Normal 3 3 2 16 3 2" xfId="4877" xr:uid="{00000000-0005-0000-0000-00000D130000}"/>
    <cellStyle name="Normal 3 3 2 16 4" xfId="3461" xr:uid="{00000000-0005-0000-0000-0000850D0000}"/>
    <cellStyle name="Normal 3 3 2 17" xfId="506" xr:uid="{00000000-0005-0000-0000-0000FA010000}"/>
    <cellStyle name="Normal 3 3 2 17 2" xfId="1225" xr:uid="{00000000-0005-0000-0000-0000C9040000}"/>
    <cellStyle name="Normal 3 3 2 17 2 2" xfId="2673" xr:uid="{00000000-0005-0000-0000-0000710A0000}"/>
    <cellStyle name="Normal 3 3 2 17 2 2 2" xfId="5529" xr:uid="{00000000-0005-0000-0000-000099150000}"/>
    <cellStyle name="Normal 3 3 2 17 2 3" xfId="4111" xr:uid="{00000000-0005-0000-0000-00000F100000}"/>
    <cellStyle name="Normal 3 3 2 17 3" xfId="2028" xr:uid="{00000000-0005-0000-0000-0000EC070000}"/>
    <cellStyle name="Normal 3 3 2 17 3 2" xfId="4888" xr:uid="{00000000-0005-0000-0000-000018130000}"/>
    <cellStyle name="Normal 3 3 2 17 4" xfId="3472" xr:uid="{00000000-0005-0000-0000-0000900D0000}"/>
    <cellStyle name="Normal 3 3 2 18" xfId="518" xr:uid="{00000000-0005-0000-0000-000006020000}"/>
    <cellStyle name="Normal 3 3 2 18 2" xfId="1237" xr:uid="{00000000-0005-0000-0000-0000D5040000}"/>
    <cellStyle name="Normal 3 3 2 18 2 2" xfId="2685" xr:uid="{00000000-0005-0000-0000-00007D0A0000}"/>
    <cellStyle name="Normal 3 3 2 18 2 2 2" xfId="5541" xr:uid="{00000000-0005-0000-0000-0000A5150000}"/>
    <cellStyle name="Normal 3 3 2 18 2 3" xfId="4123" xr:uid="{00000000-0005-0000-0000-00001B100000}"/>
    <cellStyle name="Normal 3 3 2 18 3" xfId="2040" xr:uid="{00000000-0005-0000-0000-0000F8070000}"/>
    <cellStyle name="Normal 3 3 2 18 3 2" xfId="4900" xr:uid="{00000000-0005-0000-0000-000024130000}"/>
    <cellStyle name="Normal 3 3 2 18 4" xfId="3484" xr:uid="{00000000-0005-0000-0000-00009C0D0000}"/>
    <cellStyle name="Normal 3 3 2 19" xfId="529" xr:uid="{00000000-0005-0000-0000-000011020000}"/>
    <cellStyle name="Normal 3 3 2 19 2" xfId="537" xr:uid="{00000000-0005-0000-0000-000019020000}"/>
    <cellStyle name="Normal 3 3 2 19 2 2" xfId="1256" xr:uid="{00000000-0005-0000-0000-0000E8040000}"/>
    <cellStyle name="Normal 3 3 2 19 2 2 2" xfId="2704" xr:uid="{00000000-0005-0000-0000-0000900A0000}"/>
    <cellStyle name="Normal 3 3 2 19 2 2 2 2" xfId="5560" xr:uid="{00000000-0005-0000-0000-0000B8150000}"/>
    <cellStyle name="Normal 3 3 2 19 2 2 3" xfId="4142" xr:uid="{00000000-0005-0000-0000-00002E100000}"/>
    <cellStyle name="Normal 3 3 2 19 2 3" xfId="2059" xr:uid="{00000000-0005-0000-0000-00000B080000}"/>
    <cellStyle name="Normal 3 3 2 19 2 3 2" xfId="4919" xr:uid="{00000000-0005-0000-0000-000037130000}"/>
    <cellStyle name="Normal 3 3 2 19 2 4" xfId="3503" xr:uid="{00000000-0005-0000-0000-0000AF0D0000}"/>
    <cellStyle name="Normal 3 3 2 19 3" xfId="1248" xr:uid="{00000000-0005-0000-0000-0000E0040000}"/>
    <cellStyle name="Normal 3 3 2 19 3 2" xfId="2696" xr:uid="{00000000-0005-0000-0000-0000880A0000}"/>
    <cellStyle name="Normal 3 3 2 19 3 2 2" xfId="5552" xr:uid="{00000000-0005-0000-0000-0000B0150000}"/>
    <cellStyle name="Normal 3 3 2 19 3 3" xfId="4134" xr:uid="{00000000-0005-0000-0000-000026100000}"/>
    <cellStyle name="Normal 3 3 2 19 4" xfId="2051" xr:uid="{00000000-0005-0000-0000-000003080000}"/>
    <cellStyle name="Normal 3 3 2 19 4 2" xfId="4911" xr:uid="{00000000-0005-0000-0000-00002F130000}"/>
    <cellStyle name="Normal 3 3 2 19 5" xfId="3495" xr:uid="{00000000-0005-0000-0000-0000A70D0000}"/>
    <cellStyle name="Normal 3 3 2 2" xfId="303" xr:uid="{00000000-0005-0000-0000-00002F010000}"/>
    <cellStyle name="Normal 3 3 2 2 2" xfId="1024" xr:uid="{00000000-0005-0000-0000-000000040000}"/>
    <cellStyle name="Normal 3 3 2 2 2 2" xfId="2472" xr:uid="{00000000-0005-0000-0000-0000A8090000}"/>
    <cellStyle name="Normal 3 3 2 2 2 2 2" xfId="5328" xr:uid="{00000000-0005-0000-0000-0000D0140000}"/>
    <cellStyle name="Normal 3 3 2 2 2 3" xfId="3910" xr:uid="{00000000-0005-0000-0000-0000460F0000}"/>
    <cellStyle name="Normal 3 3 2 2 3" xfId="1826" xr:uid="{00000000-0005-0000-0000-000022070000}"/>
    <cellStyle name="Normal 3 3 2 2 3 2" xfId="4686" xr:uid="{00000000-0005-0000-0000-00004E120000}"/>
    <cellStyle name="Normal 3 3 2 2 4" xfId="3270" xr:uid="{00000000-0005-0000-0000-0000C60C0000}"/>
    <cellStyle name="Normal 3 3 2 20" xfId="545" xr:uid="{00000000-0005-0000-0000-000021020000}"/>
    <cellStyle name="Normal 3 3 2 20 2" xfId="1264" xr:uid="{00000000-0005-0000-0000-0000F0040000}"/>
    <cellStyle name="Normal 3 3 2 20 2 2" xfId="2712" xr:uid="{00000000-0005-0000-0000-0000980A0000}"/>
    <cellStyle name="Normal 3 3 2 20 2 2 2" xfId="5568" xr:uid="{00000000-0005-0000-0000-0000C0150000}"/>
    <cellStyle name="Normal 3 3 2 20 2 3" xfId="4150" xr:uid="{00000000-0005-0000-0000-000036100000}"/>
    <cellStyle name="Normal 3 3 2 20 3" xfId="2067" xr:uid="{00000000-0005-0000-0000-000013080000}"/>
    <cellStyle name="Normal 3 3 2 20 3 2" xfId="4927" xr:uid="{00000000-0005-0000-0000-00003F130000}"/>
    <cellStyle name="Normal 3 3 2 20 4" xfId="3511" xr:uid="{00000000-0005-0000-0000-0000B70D0000}"/>
    <cellStyle name="Normal 3 3 2 21" xfId="561" xr:uid="{00000000-0005-0000-0000-000031020000}"/>
    <cellStyle name="Normal 3 3 2 21 2" xfId="1280" xr:uid="{00000000-0005-0000-0000-000000050000}"/>
    <cellStyle name="Normal 3 3 2 21 2 2" xfId="2728" xr:uid="{00000000-0005-0000-0000-0000A80A0000}"/>
    <cellStyle name="Normal 3 3 2 21 2 2 2" xfId="5584" xr:uid="{00000000-0005-0000-0000-0000D0150000}"/>
    <cellStyle name="Normal 3 3 2 21 2 3" xfId="4166" xr:uid="{00000000-0005-0000-0000-000046100000}"/>
    <cellStyle name="Normal 3 3 2 21 3" xfId="2083" xr:uid="{00000000-0005-0000-0000-000023080000}"/>
    <cellStyle name="Normal 3 3 2 21 3 2" xfId="4943" xr:uid="{00000000-0005-0000-0000-00004F130000}"/>
    <cellStyle name="Normal 3 3 2 21 4" xfId="3527" xr:uid="{00000000-0005-0000-0000-0000C70D0000}"/>
    <cellStyle name="Normal 3 3 2 22" xfId="574" xr:uid="{00000000-0005-0000-0000-00003E020000}"/>
    <cellStyle name="Normal 3 3 2 22 2" xfId="600" xr:uid="{00000000-0005-0000-0000-000058020000}"/>
    <cellStyle name="Normal 3 3 2 22 2 2" xfId="1318" xr:uid="{00000000-0005-0000-0000-000026050000}"/>
    <cellStyle name="Normal 3 3 2 22 2 2 2" xfId="2766" xr:uid="{00000000-0005-0000-0000-0000CE0A0000}"/>
    <cellStyle name="Normal 3 3 2 22 2 2 2 2" xfId="5622" xr:uid="{00000000-0005-0000-0000-0000F6150000}"/>
    <cellStyle name="Normal 3 3 2 22 2 2 3" xfId="4204" xr:uid="{00000000-0005-0000-0000-00006C100000}"/>
    <cellStyle name="Normal 3 3 2 22 2 3" xfId="2121" xr:uid="{00000000-0005-0000-0000-000049080000}"/>
    <cellStyle name="Normal 3 3 2 22 2 3 2" xfId="4981" xr:uid="{00000000-0005-0000-0000-000075130000}"/>
    <cellStyle name="Normal 3 3 2 22 2 4" xfId="3565" xr:uid="{00000000-0005-0000-0000-0000ED0D0000}"/>
    <cellStyle name="Normal 3 3 2 22 3" xfId="1293" xr:uid="{00000000-0005-0000-0000-00000D050000}"/>
    <cellStyle name="Normal 3 3 2 22 3 2" xfId="2741" xr:uid="{00000000-0005-0000-0000-0000B50A0000}"/>
    <cellStyle name="Normal 3 3 2 22 3 2 2" xfId="5597" xr:uid="{00000000-0005-0000-0000-0000DD150000}"/>
    <cellStyle name="Normal 3 3 2 22 3 3" xfId="4179" xr:uid="{00000000-0005-0000-0000-000053100000}"/>
    <cellStyle name="Normal 3 3 2 22 4" xfId="2096" xr:uid="{00000000-0005-0000-0000-000030080000}"/>
    <cellStyle name="Normal 3 3 2 22 4 2" xfId="4956" xr:uid="{00000000-0005-0000-0000-00005C130000}"/>
    <cellStyle name="Normal 3 3 2 22 5" xfId="3540" xr:uid="{00000000-0005-0000-0000-0000D40D0000}"/>
    <cellStyle name="Normal 3 3 2 23" xfId="578" xr:uid="{00000000-0005-0000-0000-000042020000}"/>
    <cellStyle name="Normal 3 3 2 23 2" xfId="1297" xr:uid="{00000000-0005-0000-0000-000011050000}"/>
    <cellStyle name="Normal 3 3 2 23 2 2" xfId="2745" xr:uid="{00000000-0005-0000-0000-0000B90A0000}"/>
    <cellStyle name="Normal 3 3 2 23 2 2 2" xfId="5601" xr:uid="{00000000-0005-0000-0000-0000E1150000}"/>
    <cellStyle name="Normal 3 3 2 23 2 3" xfId="4183" xr:uid="{00000000-0005-0000-0000-000057100000}"/>
    <cellStyle name="Normal 3 3 2 23 3" xfId="2100" xr:uid="{00000000-0005-0000-0000-000034080000}"/>
    <cellStyle name="Normal 3 3 2 23 3 2" xfId="4960" xr:uid="{00000000-0005-0000-0000-000060130000}"/>
    <cellStyle name="Normal 3 3 2 23 4" xfId="3544" xr:uid="{00000000-0005-0000-0000-0000D80D0000}"/>
    <cellStyle name="Normal 3 3 2 24" xfId="592" xr:uid="{00000000-0005-0000-0000-000050020000}"/>
    <cellStyle name="Normal 3 3 2 24 2" xfId="1310" xr:uid="{00000000-0005-0000-0000-00001E050000}"/>
    <cellStyle name="Normal 3 3 2 24 2 2" xfId="2758" xr:uid="{00000000-0005-0000-0000-0000C60A0000}"/>
    <cellStyle name="Normal 3 3 2 24 2 2 2" xfId="5614" xr:uid="{00000000-0005-0000-0000-0000EE150000}"/>
    <cellStyle name="Normal 3 3 2 24 2 3" xfId="4196" xr:uid="{00000000-0005-0000-0000-000064100000}"/>
    <cellStyle name="Normal 3 3 2 24 3" xfId="2113" xr:uid="{00000000-0005-0000-0000-000041080000}"/>
    <cellStyle name="Normal 3 3 2 24 3 2" xfId="4973" xr:uid="{00000000-0005-0000-0000-00006D130000}"/>
    <cellStyle name="Normal 3 3 2 24 4" xfId="3557" xr:uid="{00000000-0005-0000-0000-0000E50D0000}"/>
    <cellStyle name="Normal 3 3 2 25" xfId="598" xr:uid="{00000000-0005-0000-0000-000056020000}"/>
    <cellStyle name="Normal 3 3 2 25 2" xfId="1316" xr:uid="{00000000-0005-0000-0000-000024050000}"/>
    <cellStyle name="Normal 3 3 2 25 2 2" xfId="2764" xr:uid="{00000000-0005-0000-0000-0000CC0A0000}"/>
    <cellStyle name="Normal 3 3 2 25 2 2 2" xfId="5620" xr:uid="{00000000-0005-0000-0000-0000F4150000}"/>
    <cellStyle name="Normal 3 3 2 25 2 3" xfId="4202" xr:uid="{00000000-0005-0000-0000-00006A100000}"/>
    <cellStyle name="Normal 3 3 2 25 3" xfId="2119" xr:uid="{00000000-0005-0000-0000-000047080000}"/>
    <cellStyle name="Normal 3 3 2 25 3 2" xfId="4979" xr:uid="{00000000-0005-0000-0000-000073130000}"/>
    <cellStyle name="Normal 3 3 2 25 4" xfId="3563" xr:uid="{00000000-0005-0000-0000-0000EB0D0000}"/>
    <cellStyle name="Normal 3 3 2 26" xfId="607" xr:uid="{00000000-0005-0000-0000-00005F020000}"/>
    <cellStyle name="Normal 3 3 2 26 2" xfId="1325" xr:uid="{00000000-0005-0000-0000-00002D050000}"/>
    <cellStyle name="Normal 3 3 2 26 2 2" xfId="2773" xr:uid="{00000000-0005-0000-0000-0000D50A0000}"/>
    <cellStyle name="Normal 3 3 2 26 2 2 2" xfId="5629" xr:uid="{00000000-0005-0000-0000-0000FD150000}"/>
    <cellStyle name="Normal 3 3 2 26 2 3" xfId="4211" xr:uid="{00000000-0005-0000-0000-000073100000}"/>
    <cellStyle name="Normal 3 3 2 26 3" xfId="2128" xr:uid="{00000000-0005-0000-0000-000050080000}"/>
    <cellStyle name="Normal 3 3 2 26 3 2" xfId="4988" xr:uid="{00000000-0005-0000-0000-00007C130000}"/>
    <cellStyle name="Normal 3 3 2 26 4" xfId="3572" xr:uid="{00000000-0005-0000-0000-0000F40D0000}"/>
    <cellStyle name="Normal 3 3 2 27" xfId="615" xr:uid="{00000000-0005-0000-0000-000067020000}"/>
    <cellStyle name="Normal 3 3 2 27 2" xfId="1333" xr:uid="{00000000-0005-0000-0000-000035050000}"/>
    <cellStyle name="Normal 3 3 2 27 2 2" xfId="2781" xr:uid="{00000000-0005-0000-0000-0000DD0A0000}"/>
    <cellStyle name="Normal 3 3 2 27 2 2 2" xfId="5637" xr:uid="{00000000-0005-0000-0000-000005160000}"/>
    <cellStyle name="Normal 3 3 2 27 2 3" xfId="4219" xr:uid="{00000000-0005-0000-0000-00007B100000}"/>
    <cellStyle name="Normal 3 3 2 27 3" xfId="2136" xr:uid="{00000000-0005-0000-0000-000058080000}"/>
    <cellStyle name="Normal 3 3 2 27 3 2" xfId="4996" xr:uid="{00000000-0005-0000-0000-000084130000}"/>
    <cellStyle name="Normal 3 3 2 27 4" xfId="3580" xr:uid="{00000000-0005-0000-0000-0000FC0D0000}"/>
    <cellStyle name="Normal 3 3 2 28" xfId="622" xr:uid="{00000000-0005-0000-0000-00006E020000}"/>
    <cellStyle name="Normal 3 3 2 28 2" xfId="627" xr:uid="{00000000-0005-0000-0000-000073020000}"/>
    <cellStyle name="Normal 3 3 2 28 2 2" xfId="638" xr:uid="{00000000-0005-0000-0000-00007E020000}"/>
    <cellStyle name="Normal 3 3 2 28 2 2 2" xfId="1352" xr:uid="{00000000-0005-0000-0000-000048050000}"/>
    <cellStyle name="Normal 3 3 2 28 2 2 2 2" xfId="2800" xr:uid="{00000000-0005-0000-0000-0000F00A0000}"/>
    <cellStyle name="Normal 3 3 2 28 2 2 2 2 2" xfId="5656" xr:uid="{00000000-0005-0000-0000-000018160000}"/>
    <cellStyle name="Normal 3 3 2 28 2 2 2 3" xfId="4238" xr:uid="{00000000-0005-0000-0000-00008E100000}"/>
    <cellStyle name="Normal 3 3 2 28 2 2 3" xfId="2156" xr:uid="{00000000-0005-0000-0000-00006C080000}"/>
    <cellStyle name="Normal 3 3 2 28 2 2 3 2" xfId="5016" xr:uid="{00000000-0005-0000-0000-000098130000}"/>
    <cellStyle name="Normal 3 3 2 28 2 2 4" xfId="3600" xr:uid="{00000000-0005-0000-0000-0000100E0000}"/>
    <cellStyle name="Normal 3 3 2 28 2 3" xfId="1343" xr:uid="{00000000-0005-0000-0000-00003F050000}"/>
    <cellStyle name="Normal 3 3 2 28 2 3 2" xfId="2791" xr:uid="{00000000-0005-0000-0000-0000E70A0000}"/>
    <cellStyle name="Normal 3 3 2 28 2 3 2 2" xfId="5647" xr:uid="{00000000-0005-0000-0000-00000F160000}"/>
    <cellStyle name="Normal 3 3 2 28 2 3 3" xfId="4229" xr:uid="{00000000-0005-0000-0000-000085100000}"/>
    <cellStyle name="Normal 3 3 2 28 2 4" xfId="2147" xr:uid="{00000000-0005-0000-0000-000063080000}"/>
    <cellStyle name="Normal 3 3 2 28 2 4 2" xfId="5007" xr:uid="{00000000-0005-0000-0000-00008F130000}"/>
    <cellStyle name="Normal 3 3 2 28 2 5" xfId="3591" xr:uid="{00000000-0005-0000-0000-0000070E0000}"/>
    <cellStyle name="Normal 3 3 2 28 3" xfId="1339" xr:uid="{00000000-0005-0000-0000-00003B050000}"/>
    <cellStyle name="Normal 3 3 2 28 3 2" xfId="2787" xr:uid="{00000000-0005-0000-0000-0000E30A0000}"/>
    <cellStyle name="Normal 3 3 2 28 3 2 2" xfId="5643" xr:uid="{00000000-0005-0000-0000-00000B160000}"/>
    <cellStyle name="Normal 3 3 2 28 3 3" xfId="4225" xr:uid="{00000000-0005-0000-0000-000081100000}"/>
    <cellStyle name="Normal 3 3 2 28 4" xfId="2143" xr:uid="{00000000-0005-0000-0000-00005F080000}"/>
    <cellStyle name="Normal 3 3 2 28 4 2" xfId="5003" xr:uid="{00000000-0005-0000-0000-00008B130000}"/>
    <cellStyle name="Normal 3 3 2 28 5" xfId="3587" xr:uid="{00000000-0005-0000-0000-0000030E0000}"/>
    <cellStyle name="Normal 3 3 2 29" xfId="632" xr:uid="{00000000-0005-0000-0000-000078020000}"/>
    <cellStyle name="Normal 3 3 2 29 2" xfId="1346" xr:uid="{00000000-0005-0000-0000-000042050000}"/>
    <cellStyle name="Normal 3 3 2 29 2 2" xfId="2794" xr:uid="{00000000-0005-0000-0000-0000EA0A0000}"/>
    <cellStyle name="Normal 3 3 2 29 2 2 2" xfId="5650" xr:uid="{00000000-0005-0000-0000-000012160000}"/>
    <cellStyle name="Normal 3 3 2 29 2 3" xfId="4232" xr:uid="{00000000-0005-0000-0000-000088100000}"/>
    <cellStyle name="Normal 3 3 2 29 3" xfId="2150" xr:uid="{00000000-0005-0000-0000-000066080000}"/>
    <cellStyle name="Normal 3 3 2 29 3 2" xfId="5010" xr:uid="{00000000-0005-0000-0000-000092130000}"/>
    <cellStyle name="Normal 3 3 2 29 4" xfId="3594" xr:uid="{00000000-0005-0000-0000-00000A0E0000}"/>
    <cellStyle name="Normal 3 3 2 3" xfId="316" xr:uid="{00000000-0005-0000-0000-00003C010000}"/>
    <cellStyle name="Normal 3 3 2 3 2" xfId="1037" xr:uid="{00000000-0005-0000-0000-00000D040000}"/>
    <cellStyle name="Normal 3 3 2 3 2 2" xfId="2485" xr:uid="{00000000-0005-0000-0000-0000B5090000}"/>
    <cellStyle name="Normal 3 3 2 3 2 2 2" xfId="5341" xr:uid="{00000000-0005-0000-0000-0000DD140000}"/>
    <cellStyle name="Normal 3 3 2 3 2 3" xfId="3923" xr:uid="{00000000-0005-0000-0000-0000530F0000}"/>
    <cellStyle name="Normal 3 3 2 3 3" xfId="1839" xr:uid="{00000000-0005-0000-0000-00002F070000}"/>
    <cellStyle name="Normal 3 3 2 3 3 2" xfId="4699" xr:uid="{00000000-0005-0000-0000-00005B120000}"/>
    <cellStyle name="Normal 3 3 2 3 4" xfId="3283" xr:uid="{00000000-0005-0000-0000-0000D30C0000}"/>
    <cellStyle name="Normal 3 3 2 30" xfId="775" xr:uid="{00000000-0005-0000-0000-000007030000}"/>
    <cellStyle name="Normal 3 3 2 30 2" xfId="2227" xr:uid="{00000000-0005-0000-0000-0000B3080000}"/>
    <cellStyle name="Normal 3 3 2 30 2 2" xfId="5083" xr:uid="{00000000-0005-0000-0000-0000DB130000}"/>
    <cellStyle name="Normal 3 3 2 30 3" xfId="3665" xr:uid="{00000000-0005-0000-0000-0000510E0000}"/>
    <cellStyle name="Normal 3 3 2 31" xfId="1579" xr:uid="{00000000-0005-0000-0000-00002B060000}"/>
    <cellStyle name="Normal 3 3 2 31 2" xfId="4439" xr:uid="{00000000-0005-0000-0000-000057110000}"/>
    <cellStyle name="Normal 3 3 2 32" xfId="3024" xr:uid="{00000000-0005-0000-0000-0000D00B0000}"/>
    <cellStyle name="Normal 3 3 2 4" xfId="330" xr:uid="{00000000-0005-0000-0000-00004A010000}"/>
    <cellStyle name="Normal 3 3 2 4 2" xfId="1051" xr:uid="{00000000-0005-0000-0000-00001B040000}"/>
    <cellStyle name="Normal 3 3 2 4 2 2" xfId="2499" xr:uid="{00000000-0005-0000-0000-0000C3090000}"/>
    <cellStyle name="Normal 3 3 2 4 2 2 2" xfId="5355" xr:uid="{00000000-0005-0000-0000-0000EB140000}"/>
    <cellStyle name="Normal 3 3 2 4 2 3" xfId="3937" xr:uid="{00000000-0005-0000-0000-0000610F0000}"/>
    <cellStyle name="Normal 3 3 2 4 3" xfId="1853" xr:uid="{00000000-0005-0000-0000-00003D070000}"/>
    <cellStyle name="Normal 3 3 2 4 3 2" xfId="4713" xr:uid="{00000000-0005-0000-0000-000069120000}"/>
    <cellStyle name="Normal 3 3 2 4 4" xfId="3297" xr:uid="{00000000-0005-0000-0000-0000E10C0000}"/>
    <cellStyle name="Normal 3 3 2 5" xfId="347" xr:uid="{00000000-0005-0000-0000-00005B010000}"/>
    <cellStyle name="Normal 3 3 2 5 2" xfId="1068" xr:uid="{00000000-0005-0000-0000-00002C040000}"/>
    <cellStyle name="Normal 3 3 2 5 2 2" xfId="2516" xr:uid="{00000000-0005-0000-0000-0000D4090000}"/>
    <cellStyle name="Normal 3 3 2 5 2 2 2" xfId="5372" xr:uid="{00000000-0005-0000-0000-0000FC140000}"/>
    <cellStyle name="Normal 3 3 2 5 2 3" xfId="3954" xr:uid="{00000000-0005-0000-0000-0000720F0000}"/>
    <cellStyle name="Normal 3 3 2 5 3" xfId="1870" xr:uid="{00000000-0005-0000-0000-00004E070000}"/>
    <cellStyle name="Normal 3 3 2 5 3 2" xfId="4730" xr:uid="{00000000-0005-0000-0000-00007A120000}"/>
    <cellStyle name="Normal 3 3 2 5 4" xfId="3314" xr:uid="{00000000-0005-0000-0000-0000F20C0000}"/>
    <cellStyle name="Normal 3 3 2 6" xfId="358" xr:uid="{00000000-0005-0000-0000-000066010000}"/>
    <cellStyle name="Normal 3 3 2 6 2" xfId="1079" xr:uid="{00000000-0005-0000-0000-000037040000}"/>
    <cellStyle name="Normal 3 3 2 6 2 2" xfId="2527" xr:uid="{00000000-0005-0000-0000-0000DF090000}"/>
    <cellStyle name="Normal 3 3 2 6 2 2 2" xfId="5383" xr:uid="{00000000-0005-0000-0000-000007150000}"/>
    <cellStyle name="Normal 3 3 2 6 2 3" xfId="3965" xr:uid="{00000000-0005-0000-0000-00007D0F0000}"/>
    <cellStyle name="Normal 3 3 2 6 3" xfId="1881" xr:uid="{00000000-0005-0000-0000-000059070000}"/>
    <cellStyle name="Normal 3 3 2 6 3 2" xfId="4741" xr:uid="{00000000-0005-0000-0000-000085120000}"/>
    <cellStyle name="Normal 3 3 2 6 4" xfId="3325" xr:uid="{00000000-0005-0000-0000-0000FD0C0000}"/>
    <cellStyle name="Normal 3 3 2 7" xfId="372" xr:uid="{00000000-0005-0000-0000-000074010000}"/>
    <cellStyle name="Normal 3 3 2 7 2" xfId="1093" xr:uid="{00000000-0005-0000-0000-000045040000}"/>
    <cellStyle name="Normal 3 3 2 7 2 2" xfId="2541" xr:uid="{00000000-0005-0000-0000-0000ED090000}"/>
    <cellStyle name="Normal 3 3 2 7 2 2 2" xfId="5397" xr:uid="{00000000-0005-0000-0000-000015150000}"/>
    <cellStyle name="Normal 3 3 2 7 2 3" xfId="3979" xr:uid="{00000000-0005-0000-0000-00008B0F0000}"/>
    <cellStyle name="Normal 3 3 2 7 3" xfId="1895" xr:uid="{00000000-0005-0000-0000-000067070000}"/>
    <cellStyle name="Normal 3 3 2 7 3 2" xfId="4755" xr:uid="{00000000-0005-0000-0000-000093120000}"/>
    <cellStyle name="Normal 3 3 2 7 4" xfId="3339" xr:uid="{00000000-0005-0000-0000-00000B0D0000}"/>
    <cellStyle name="Normal 3 3 2 8" xfId="384" xr:uid="{00000000-0005-0000-0000-000080010000}"/>
    <cellStyle name="Normal 3 3 2 8 2" xfId="1105" xr:uid="{00000000-0005-0000-0000-000051040000}"/>
    <cellStyle name="Normal 3 3 2 8 2 2" xfId="2553" xr:uid="{00000000-0005-0000-0000-0000F9090000}"/>
    <cellStyle name="Normal 3 3 2 8 2 2 2" xfId="5409" xr:uid="{00000000-0005-0000-0000-000021150000}"/>
    <cellStyle name="Normal 3 3 2 8 2 3" xfId="3991" xr:uid="{00000000-0005-0000-0000-0000970F0000}"/>
    <cellStyle name="Normal 3 3 2 8 3" xfId="1907" xr:uid="{00000000-0005-0000-0000-000073070000}"/>
    <cellStyle name="Normal 3 3 2 8 3 2" xfId="4767" xr:uid="{00000000-0005-0000-0000-00009F120000}"/>
    <cellStyle name="Normal 3 3 2 8 4" xfId="3351" xr:uid="{00000000-0005-0000-0000-0000170D0000}"/>
    <cellStyle name="Normal 3 3 2 9" xfId="395" xr:uid="{00000000-0005-0000-0000-00008B010000}"/>
    <cellStyle name="Normal 3 3 2 9 2" xfId="1116" xr:uid="{00000000-0005-0000-0000-00005C040000}"/>
    <cellStyle name="Normal 3 3 2 9 2 2" xfId="2564" xr:uid="{00000000-0005-0000-0000-0000040A0000}"/>
    <cellStyle name="Normal 3 3 2 9 2 2 2" xfId="5420" xr:uid="{00000000-0005-0000-0000-00002C150000}"/>
    <cellStyle name="Normal 3 3 2 9 2 3" xfId="4002" xr:uid="{00000000-0005-0000-0000-0000A20F0000}"/>
    <cellStyle name="Normal 3 3 2 9 3" xfId="1918" xr:uid="{00000000-0005-0000-0000-00007E070000}"/>
    <cellStyle name="Normal 3 3 2 9 3 2" xfId="4778" xr:uid="{00000000-0005-0000-0000-0000AA120000}"/>
    <cellStyle name="Normal 3 3 2 9 4" xfId="3362" xr:uid="{00000000-0005-0000-0000-0000220D0000}"/>
    <cellStyle name="Normal 3 3 20" xfId="231" xr:uid="{00000000-0005-0000-0000-0000E7000000}"/>
    <cellStyle name="Normal 3 3 20 2" xfId="953" xr:uid="{00000000-0005-0000-0000-0000B9030000}"/>
    <cellStyle name="Normal 3 3 20 2 2" xfId="2401" xr:uid="{00000000-0005-0000-0000-000061090000}"/>
    <cellStyle name="Normal 3 3 20 2 2 2" xfId="5257" xr:uid="{00000000-0005-0000-0000-000089140000}"/>
    <cellStyle name="Normal 3 3 20 2 3" xfId="3839" xr:uid="{00000000-0005-0000-0000-0000FF0E0000}"/>
    <cellStyle name="Normal 3 3 20 3" xfId="1754" xr:uid="{00000000-0005-0000-0000-0000DA060000}"/>
    <cellStyle name="Normal 3 3 20 3 2" xfId="4614" xr:uid="{00000000-0005-0000-0000-000006120000}"/>
    <cellStyle name="Normal 3 3 20 4" xfId="3198" xr:uid="{00000000-0005-0000-0000-00007E0C0000}"/>
    <cellStyle name="Normal 3 3 21" xfId="244" xr:uid="{00000000-0005-0000-0000-0000F4000000}"/>
    <cellStyle name="Normal 3 3 21 2" xfId="966" xr:uid="{00000000-0005-0000-0000-0000C6030000}"/>
    <cellStyle name="Normal 3 3 21 2 2" xfId="2414" xr:uid="{00000000-0005-0000-0000-00006E090000}"/>
    <cellStyle name="Normal 3 3 21 2 2 2" xfId="5270" xr:uid="{00000000-0005-0000-0000-000096140000}"/>
    <cellStyle name="Normal 3 3 21 2 3" xfId="3852" xr:uid="{00000000-0005-0000-0000-00000C0F0000}"/>
    <cellStyle name="Normal 3 3 21 3" xfId="1767" xr:uid="{00000000-0005-0000-0000-0000E7060000}"/>
    <cellStyle name="Normal 3 3 21 3 2" xfId="4627" xr:uid="{00000000-0005-0000-0000-000013120000}"/>
    <cellStyle name="Normal 3 3 21 4" xfId="3211" xr:uid="{00000000-0005-0000-0000-00008B0C0000}"/>
    <cellStyle name="Normal 3 3 22" xfId="256" xr:uid="{00000000-0005-0000-0000-000000010000}"/>
    <cellStyle name="Normal 3 3 22 2" xfId="978" xr:uid="{00000000-0005-0000-0000-0000D2030000}"/>
    <cellStyle name="Normal 3 3 22 2 2" xfId="2426" xr:uid="{00000000-0005-0000-0000-00007A090000}"/>
    <cellStyle name="Normal 3 3 22 2 2 2" xfId="5282" xr:uid="{00000000-0005-0000-0000-0000A2140000}"/>
    <cellStyle name="Normal 3 3 22 2 3" xfId="3864" xr:uid="{00000000-0005-0000-0000-0000180F0000}"/>
    <cellStyle name="Normal 3 3 22 3" xfId="1779" xr:uid="{00000000-0005-0000-0000-0000F3060000}"/>
    <cellStyle name="Normal 3 3 22 3 2" xfId="4639" xr:uid="{00000000-0005-0000-0000-00001F120000}"/>
    <cellStyle name="Normal 3 3 22 4" xfId="3223" xr:uid="{00000000-0005-0000-0000-0000970C0000}"/>
    <cellStyle name="Normal 3 3 23" xfId="266" xr:uid="{00000000-0005-0000-0000-00000A010000}"/>
    <cellStyle name="Normal 3 3 23 2" xfId="988" xr:uid="{00000000-0005-0000-0000-0000DC030000}"/>
    <cellStyle name="Normal 3 3 23 2 2" xfId="2436" xr:uid="{00000000-0005-0000-0000-000084090000}"/>
    <cellStyle name="Normal 3 3 23 2 2 2" xfId="5292" xr:uid="{00000000-0005-0000-0000-0000AC140000}"/>
    <cellStyle name="Normal 3 3 23 2 3" xfId="3874" xr:uid="{00000000-0005-0000-0000-0000220F0000}"/>
    <cellStyle name="Normal 3 3 23 3" xfId="1789" xr:uid="{00000000-0005-0000-0000-0000FD060000}"/>
    <cellStyle name="Normal 3 3 23 3 2" xfId="4649" xr:uid="{00000000-0005-0000-0000-000029120000}"/>
    <cellStyle name="Normal 3 3 23 4" xfId="3233" xr:uid="{00000000-0005-0000-0000-0000A10C0000}"/>
    <cellStyle name="Normal 3 3 24" xfId="282" xr:uid="{00000000-0005-0000-0000-00001A010000}"/>
    <cellStyle name="Normal 3 3 24 2" xfId="1004" xr:uid="{00000000-0005-0000-0000-0000EC030000}"/>
    <cellStyle name="Normal 3 3 24 2 2" xfId="2452" xr:uid="{00000000-0005-0000-0000-000094090000}"/>
    <cellStyle name="Normal 3 3 24 2 2 2" xfId="5308" xr:uid="{00000000-0005-0000-0000-0000BC140000}"/>
    <cellStyle name="Normal 3 3 24 2 3" xfId="3890" xr:uid="{00000000-0005-0000-0000-0000320F0000}"/>
    <cellStyle name="Normal 3 3 24 3" xfId="1805" xr:uid="{00000000-0005-0000-0000-00000D070000}"/>
    <cellStyle name="Normal 3 3 24 3 2" xfId="4665" xr:uid="{00000000-0005-0000-0000-000039120000}"/>
    <cellStyle name="Normal 3 3 24 4" xfId="3249" xr:uid="{00000000-0005-0000-0000-0000B10C0000}"/>
    <cellStyle name="Normal 3 3 25" xfId="298" xr:uid="{00000000-0005-0000-0000-00002A010000}"/>
    <cellStyle name="Normal 3 3 25 2" xfId="1019" xr:uid="{00000000-0005-0000-0000-0000FB030000}"/>
    <cellStyle name="Normal 3 3 25 2 2" xfId="2467" xr:uid="{00000000-0005-0000-0000-0000A3090000}"/>
    <cellStyle name="Normal 3 3 25 2 2 2" xfId="5323" xr:uid="{00000000-0005-0000-0000-0000CB140000}"/>
    <cellStyle name="Normal 3 3 25 2 3" xfId="3905" xr:uid="{00000000-0005-0000-0000-0000410F0000}"/>
    <cellStyle name="Normal 3 3 25 3" xfId="1821" xr:uid="{00000000-0005-0000-0000-00001D070000}"/>
    <cellStyle name="Normal 3 3 25 3 2" xfId="4681" xr:uid="{00000000-0005-0000-0000-000049120000}"/>
    <cellStyle name="Normal 3 3 25 4" xfId="3265" xr:uid="{00000000-0005-0000-0000-0000C10C0000}"/>
    <cellStyle name="Normal 3 3 26" xfId="308" xr:uid="{00000000-0005-0000-0000-000034010000}"/>
    <cellStyle name="Normal 3 3 26 2" xfId="1029" xr:uid="{00000000-0005-0000-0000-000005040000}"/>
    <cellStyle name="Normal 3 3 26 2 2" xfId="2477" xr:uid="{00000000-0005-0000-0000-0000AD090000}"/>
    <cellStyle name="Normal 3 3 26 2 2 2" xfId="5333" xr:uid="{00000000-0005-0000-0000-0000D5140000}"/>
    <cellStyle name="Normal 3 3 26 2 3" xfId="3915" xr:uid="{00000000-0005-0000-0000-00004B0F0000}"/>
    <cellStyle name="Normal 3 3 26 3" xfId="1831" xr:uid="{00000000-0005-0000-0000-000027070000}"/>
    <cellStyle name="Normal 3 3 26 3 2" xfId="4691" xr:uid="{00000000-0005-0000-0000-000053120000}"/>
    <cellStyle name="Normal 3 3 26 4" xfId="3275" xr:uid="{00000000-0005-0000-0000-0000CB0C0000}"/>
    <cellStyle name="Normal 3 3 27" xfId="323" xr:uid="{00000000-0005-0000-0000-000043010000}"/>
    <cellStyle name="Normal 3 3 27 2" xfId="1044" xr:uid="{00000000-0005-0000-0000-000014040000}"/>
    <cellStyle name="Normal 3 3 27 2 2" xfId="2492" xr:uid="{00000000-0005-0000-0000-0000BC090000}"/>
    <cellStyle name="Normal 3 3 27 2 2 2" xfId="5348" xr:uid="{00000000-0005-0000-0000-0000E4140000}"/>
    <cellStyle name="Normal 3 3 27 2 3" xfId="3930" xr:uid="{00000000-0005-0000-0000-00005A0F0000}"/>
    <cellStyle name="Normal 3 3 27 3" xfId="1846" xr:uid="{00000000-0005-0000-0000-000036070000}"/>
    <cellStyle name="Normal 3 3 27 3 2" xfId="4706" xr:uid="{00000000-0005-0000-0000-000062120000}"/>
    <cellStyle name="Normal 3 3 27 4" xfId="3290" xr:uid="{00000000-0005-0000-0000-0000DA0C0000}"/>
    <cellStyle name="Normal 3 3 28" xfId="340" xr:uid="{00000000-0005-0000-0000-000054010000}"/>
    <cellStyle name="Normal 3 3 28 2" xfId="1061" xr:uid="{00000000-0005-0000-0000-000025040000}"/>
    <cellStyle name="Normal 3 3 28 2 2" xfId="2509" xr:uid="{00000000-0005-0000-0000-0000CD090000}"/>
    <cellStyle name="Normal 3 3 28 2 2 2" xfId="5365" xr:uid="{00000000-0005-0000-0000-0000F5140000}"/>
    <cellStyle name="Normal 3 3 28 2 3" xfId="3947" xr:uid="{00000000-0005-0000-0000-00006B0F0000}"/>
    <cellStyle name="Normal 3 3 28 3" xfId="1863" xr:uid="{00000000-0005-0000-0000-000047070000}"/>
    <cellStyle name="Normal 3 3 28 3 2" xfId="4723" xr:uid="{00000000-0005-0000-0000-000073120000}"/>
    <cellStyle name="Normal 3 3 28 4" xfId="3307" xr:uid="{00000000-0005-0000-0000-0000EB0C0000}"/>
    <cellStyle name="Normal 3 3 29" xfId="351" xr:uid="{00000000-0005-0000-0000-00005F010000}"/>
    <cellStyle name="Normal 3 3 29 2" xfId="1072" xr:uid="{00000000-0005-0000-0000-000030040000}"/>
    <cellStyle name="Normal 3 3 29 2 2" xfId="2520" xr:uid="{00000000-0005-0000-0000-0000D8090000}"/>
    <cellStyle name="Normal 3 3 29 2 2 2" xfId="5376" xr:uid="{00000000-0005-0000-0000-000000150000}"/>
    <cellStyle name="Normal 3 3 29 2 3" xfId="3958" xr:uid="{00000000-0005-0000-0000-0000760F0000}"/>
    <cellStyle name="Normal 3 3 29 3" xfId="1874" xr:uid="{00000000-0005-0000-0000-000052070000}"/>
    <cellStyle name="Normal 3 3 29 3 2" xfId="4734" xr:uid="{00000000-0005-0000-0000-00007E120000}"/>
    <cellStyle name="Normal 3 3 29 4" xfId="3318" xr:uid="{00000000-0005-0000-0000-0000F60C0000}"/>
    <cellStyle name="Normal 3 3 3" xfId="67" xr:uid="{00000000-0005-0000-0000-000043000000}"/>
    <cellStyle name="Normal 3 3 3 2" xfId="795" xr:uid="{00000000-0005-0000-0000-00001B030000}"/>
    <cellStyle name="Normal 3 3 3 2 2" xfId="2246" xr:uid="{00000000-0005-0000-0000-0000C6080000}"/>
    <cellStyle name="Normal 3 3 3 2 2 2" xfId="5102" xr:uid="{00000000-0005-0000-0000-0000EE130000}"/>
    <cellStyle name="Normal 3 3 3 2 3" xfId="3684" xr:uid="{00000000-0005-0000-0000-0000640E0000}"/>
    <cellStyle name="Normal 3 3 3 3" xfId="1598" xr:uid="{00000000-0005-0000-0000-00003E060000}"/>
    <cellStyle name="Normal 3 3 3 3 2" xfId="4458" xr:uid="{00000000-0005-0000-0000-00006A110000}"/>
    <cellStyle name="Normal 3 3 3 4" xfId="3043" xr:uid="{00000000-0005-0000-0000-0000E30B0000}"/>
    <cellStyle name="Normal 3 3 30" xfId="367" xr:uid="{00000000-0005-0000-0000-00006F010000}"/>
    <cellStyle name="Normal 3 3 30 2" xfId="1088" xr:uid="{00000000-0005-0000-0000-000040040000}"/>
    <cellStyle name="Normal 3 3 30 2 2" xfId="2536" xr:uid="{00000000-0005-0000-0000-0000E8090000}"/>
    <cellStyle name="Normal 3 3 30 2 2 2" xfId="5392" xr:uid="{00000000-0005-0000-0000-000010150000}"/>
    <cellStyle name="Normal 3 3 30 2 3" xfId="3974" xr:uid="{00000000-0005-0000-0000-0000860F0000}"/>
    <cellStyle name="Normal 3 3 30 3" xfId="1890" xr:uid="{00000000-0005-0000-0000-000062070000}"/>
    <cellStyle name="Normal 3 3 30 3 2" xfId="4750" xr:uid="{00000000-0005-0000-0000-00008E120000}"/>
    <cellStyle name="Normal 3 3 30 4" xfId="3334" xr:uid="{00000000-0005-0000-0000-0000060D0000}"/>
    <cellStyle name="Normal 3 3 31" xfId="379" xr:uid="{00000000-0005-0000-0000-00007B010000}"/>
    <cellStyle name="Normal 3 3 31 2" xfId="1100" xr:uid="{00000000-0005-0000-0000-00004C040000}"/>
    <cellStyle name="Normal 3 3 31 2 2" xfId="2548" xr:uid="{00000000-0005-0000-0000-0000F4090000}"/>
    <cellStyle name="Normal 3 3 31 2 2 2" xfId="5404" xr:uid="{00000000-0005-0000-0000-00001C150000}"/>
    <cellStyle name="Normal 3 3 31 2 3" xfId="3986" xr:uid="{00000000-0005-0000-0000-0000920F0000}"/>
    <cellStyle name="Normal 3 3 31 3" xfId="1902" xr:uid="{00000000-0005-0000-0000-00006E070000}"/>
    <cellStyle name="Normal 3 3 31 3 2" xfId="4762" xr:uid="{00000000-0005-0000-0000-00009A120000}"/>
    <cellStyle name="Normal 3 3 31 4" xfId="3346" xr:uid="{00000000-0005-0000-0000-0000120D0000}"/>
    <cellStyle name="Normal 3 3 32" xfId="388" xr:uid="{00000000-0005-0000-0000-000084010000}"/>
    <cellStyle name="Normal 3 3 32 2" xfId="1109" xr:uid="{00000000-0005-0000-0000-000055040000}"/>
    <cellStyle name="Normal 3 3 32 2 2" xfId="2557" xr:uid="{00000000-0005-0000-0000-0000FD090000}"/>
    <cellStyle name="Normal 3 3 32 2 2 2" xfId="5413" xr:uid="{00000000-0005-0000-0000-000025150000}"/>
    <cellStyle name="Normal 3 3 32 2 3" xfId="3995" xr:uid="{00000000-0005-0000-0000-00009B0F0000}"/>
    <cellStyle name="Normal 3 3 32 3" xfId="1911" xr:uid="{00000000-0005-0000-0000-000077070000}"/>
    <cellStyle name="Normal 3 3 32 3 2" xfId="4771" xr:uid="{00000000-0005-0000-0000-0000A3120000}"/>
    <cellStyle name="Normal 3 3 32 4" xfId="3355" xr:uid="{00000000-0005-0000-0000-00001B0D0000}"/>
    <cellStyle name="Normal 3 3 33" xfId="406" xr:uid="{00000000-0005-0000-0000-000096010000}"/>
    <cellStyle name="Normal 3 3 33 2" xfId="1127" xr:uid="{00000000-0005-0000-0000-000067040000}"/>
    <cellStyle name="Normal 3 3 33 2 2" xfId="2575" xr:uid="{00000000-0005-0000-0000-00000F0A0000}"/>
    <cellStyle name="Normal 3 3 33 2 2 2" xfId="5431" xr:uid="{00000000-0005-0000-0000-000037150000}"/>
    <cellStyle name="Normal 3 3 33 2 3" xfId="4013" xr:uid="{00000000-0005-0000-0000-0000AD0F0000}"/>
    <cellStyle name="Normal 3 3 33 3" xfId="1929" xr:uid="{00000000-0005-0000-0000-000089070000}"/>
    <cellStyle name="Normal 3 3 33 3 2" xfId="4789" xr:uid="{00000000-0005-0000-0000-0000B5120000}"/>
    <cellStyle name="Normal 3 3 33 4" xfId="3373" xr:uid="{00000000-0005-0000-0000-00002D0D0000}"/>
    <cellStyle name="Normal 3 3 34" xfId="415" xr:uid="{00000000-0005-0000-0000-00009F010000}"/>
    <cellStyle name="Normal 3 3 34 2" xfId="1136" xr:uid="{00000000-0005-0000-0000-000070040000}"/>
    <cellStyle name="Normal 3 3 34 2 2" xfId="2584" xr:uid="{00000000-0005-0000-0000-0000180A0000}"/>
    <cellStyle name="Normal 3 3 34 2 2 2" xfId="5440" xr:uid="{00000000-0005-0000-0000-000040150000}"/>
    <cellStyle name="Normal 3 3 34 2 3" xfId="4022" xr:uid="{00000000-0005-0000-0000-0000B60F0000}"/>
    <cellStyle name="Normal 3 3 34 3" xfId="1938" xr:uid="{00000000-0005-0000-0000-000092070000}"/>
    <cellStyle name="Normal 3 3 34 3 2" xfId="4798" xr:uid="{00000000-0005-0000-0000-0000BE120000}"/>
    <cellStyle name="Normal 3 3 34 4" xfId="3382" xr:uid="{00000000-0005-0000-0000-0000360D0000}"/>
    <cellStyle name="Normal 3 3 35" xfId="429" xr:uid="{00000000-0005-0000-0000-0000AD010000}"/>
    <cellStyle name="Normal 3 3 35 2" xfId="1150" xr:uid="{00000000-0005-0000-0000-00007E040000}"/>
    <cellStyle name="Normal 3 3 35 2 2" xfId="2598" xr:uid="{00000000-0005-0000-0000-0000260A0000}"/>
    <cellStyle name="Normal 3 3 35 2 2 2" xfId="5454" xr:uid="{00000000-0005-0000-0000-00004E150000}"/>
    <cellStyle name="Normal 3 3 35 2 3" xfId="4036" xr:uid="{00000000-0005-0000-0000-0000C40F0000}"/>
    <cellStyle name="Normal 3 3 35 3" xfId="1952" xr:uid="{00000000-0005-0000-0000-0000A0070000}"/>
    <cellStyle name="Normal 3 3 35 3 2" xfId="4812" xr:uid="{00000000-0005-0000-0000-0000CC120000}"/>
    <cellStyle name="Normal 3 3 35 4" xfId="3396" xr:uid="{00000000-0005-0000-0000-0000440D0000}"/>
    <cellStyle name="Normal 3 3 36" xfId="436" xr:uid="{00000000-0005-0000-0000-0000B4010000}"/>
    <cellStyle name="Normal 3 3 36 2" xfId="1157" xr:uid="{00000000-0005-0000-0000-000085040000}"/>
    <cellStyle name="Normal 3 3 36 2 2" xfId="2605" xr:uid="{00000000-0005-0000-0000-00002D0A0000}"/>
    <cellStyle name="Normal 3 3 36 2 2 2" xfId="5461" xr:uid="{00000000-0005-0000-0000-000055150000}"/>
    <cellStyle name="Normal 3 3 36 2 3" xfId="4043" xr:uid="{00000000-0005-0000-0000-0000CB0F0000}"/>
    <cellStyle name="Normal 3 3 36 3" xfId="1959" xr:uid="{00000000-0005-0000-0000-0000A7070000}"/>
    <cellStyle name="Normal 3 3 36 3 2" xfId="4819" xr:uid="{00000000-0005-0000-0000-0000D3120000}"/>
    <cellStyle name="Normal 3 3 36 4" xfId="3403" xr:uid="{00000000-0005-0000-0000-00004B0D0000}"/>
    <cellStyle name="Normal 3 3 37" xfId="455" xr:uid="{00000000-0005-0000-0000-0000C7010000}"/>
    <cellStyle name="Normal 3 3 37 2" xfId="1175" xr:uid="{00000000-0005-0000-0000-000097040000}"/>
    <cellStyle name="Normal 3 3 37 2 2" xfId="2623" xr:uid="{00000000-0005-0000-0000-00003F0A0000}"/>
    <cellStyle name="Normal 3 3 37 2 2 2" xfId="5479" xr:uid="{00000000-0005-0000-0000-000067150000}"/>
    <cellStyle name="Normal 3 3 37 2 3" xfId="4061" xr:uid="{00000000-0005-0000-0000-0000DD0F0000}"/>
    <cellStyle name="Normal 3 3 37 3" xfId="1978" xr:uid="{00000000-0005-0000-0000-0000BA070000}"/>
    <cellStyle name="Normal 3 3 37 3 2" xfId="4838" xr:uid="{00000000-0005-0000-0000-0000E6120000}"/>
    <cellStyle name="Normal 3 3 37 4" xfId="3422" xr:uid="{00000000-0005-0000-0000-00005E0D0000}"/>
    <cellStyle name="Normal 3 3 38" xfId="470" xr:uid="{00000000-0005-0000-0000-0000D6010000}"/>
    <cellStyle name="Normal 3 3 38 2" xfId="1190" xr:uid="{00000000-0005-0000-0000-0000A6040000}"/>
    <cellStyle name="Normal 3 3 38 2 2" xfId="2638" xr:uid="{00000000-0005-0000-0000-00004E0A0000}"/>
    <cellStyle name="Normal 3 3 38 2 2 2" xfId="5494" xr:uid="{00000000-0005-0000-0000-000076150000}"/>
    <cellStyle name="Normal 3 3 38 2 3" xfId="4076" xr:uid="{00000000-0005-0000-0000-0000EC0F0000}"/>
    <cellStyle name="Normal 3 3 38 3" xfId="1993" xr:uid="{00000000-0005-0000-0000-0000C9070000}"/>
    <cellStyle name="Normal 3 3 38 3 2" xfId="4853" xr:uid="{00000000-0005-0000-0000-0000F5120000}"/>
    <cellStyle name="Normal 3 3 38 4" xfId="3437" xr:uid="{00000000-0005-0000-0000-00006D0D0000}"/>
    <cellStyle name="Normal 3 3 39" xfId="488" xr:uid="{00000000-0005-0000-0000-0000E8010000}"/>
    <cellStyle name="Normal 3 3 39 2" xfId="1207" xr:uid="{00000000-0005-0000-0000-0000B7040000}"/>
    <cellStyle name="Normal 3 3 39 2 2" xfId="2655" xr:uid="{00000000-0005-0000-0000-00005F0A0000}"/>
    <cellStyle name="Normal 3 3 39 2 2 2" xfId="5511" xr:uid="{00000000-0005-0000-0000-000087150000}"/>
    <cellStyle name="Normal 3 3 39 2 3" xfId="4093" xr:uid="{00000000-0005-0000-0000-0000FD0F0000}"/>
    <cellStyle name="Normal 3 3 39 3" xfId="2010" xr:uid="{00000000-0005-0000-0000-0000DA070000}"/>
    <cellStyle name="Normal 3 3 39 3 2" xfId="4870" xr:uid="{00000000-0005-0000-0000-000006130000}"/>
    <cellStyle name="Normal 3 3 39 4" xfId="3454" xr:uid="{00000000-0005-0000-0000-00007E0D0000}"/>
    <cellStyle name="Normal 3 3 4" xfId="80" xr:uid="{00000000-0005-0000-0000-000050000000}"/>
    <cellStyle name="Normal 3 3 4 2" xfId="806" xr:uid="{00000000-0005-0000-0000-000026030000}"/>
    <cellStyle name="Normal 3 3 4 2 2" xfId="2257" xr:uid="{00000000-0005-0000-0000-0000D1080000}"/>
    <cellStyle name="Normal 3 3 4 2 2 2" xfId="5113" xr:uid="{00000000-0005-0000-0000-0000F9130000}"/>
    <cellStyle name="Normal 3 3 4 2 3" xfId="3695" xr:uid="{00000000-0005-0000-0000-00006F0E0000}"/>
    <cellStyle name="Normal 3 3 4 3" xfId="1610" xr:uid="{00000000-0005-0000-0000-00004A060000}"/>
    <cellStyle name="Normal 3 3 4 3 2" xfId="4470" xr:uid="{00000000-0005-0000-0000-000076110000}"/>
    <cellStyle name="Normal 3 3 4 4" xfId="3054" xr:uid="{00000000-0005-0000-0000-0000EE0B0000}"/>
    <cellStyle name="Normal 3 3 40" xfId="499" xr:uid="{00000000-0005-0000-0000-0000F3010000}"/>
    <cellStyle name="Normal 3 3 40 2" xfId="1218" xr:uid="{00000000-0005-0000-0000-0000C2040000}"/>
    <cellStyle name="Normal 3 3 40 2 2" xfId="2666" xr:uid="{00000000-0005-0000-0000-00006A0A0000}"/>
    <cellStyle name="Normal 3 3 40 2 2 2" xfId="5522" xr:uid="{00000000-0005-0000-0000-000092150000}"/>
    <cellStyle name="Normal 3 3 40 2 3" xfId="4104" xr:uid="{00000000-0005-0000-0000-000008100000}"/>
    <cellStyle name="Normal 3 3 40 3" xfId="2021" xr:uid="{00000000-0005-0000-0000-0000E5070000}"/>
    <cellStyle name="Normal 3 3 40 3 2" xfId="4881" xr:uid="{00000000-0005-0000-0000-000011130000}"/>
    <cellStyle name="Normal 3 3 40 4" xfId="3465" xr:uid="{00000000-0005-0000-0000-0000890D0000}"/>
    <cellStyle name="Normal 3 3 41" xfId="510" xr:uid="{00000000-0005-0000-0000-0000FE010000}"/>
    <cellStyle name="Normal 3 3 41 2" xfId="1229" xr:uid="{00000000-0005-0000-0000-0000CD040000}"/>
    <cellStyle name="Normal 3 3 41 2 2" xfId="2677" xr:uid="{00000000-0005-0000-0000-0000750A0000}"/>
    <cellStyle name="Normal 3 3 41 2 2 2" xfId="5533" xr:uid="{00000000-0005-0000-0000-00009D150000}"/>
    <cellStyle name="Normal 3 3 41 2 3" xfId="4115" xr:uid="{00000000-0005-0000-0000-000013100000}"/>
    <cellStyle name="Normal 3 3 41 3" xfId="2032" xr:uid="{00000000-0005-0000-0000-0000F0070000}"/>
    <cellStyle name="Normal 3 3 41 3 2" xfId="4892" xr:uid="{00000000-0005-0000-0000-00001C130000}"/>
    <cellStyle name="Normal 3 3 41 4" xfId="3476" xr:uid="{00000000-0005-0000-0000-0000940D0000}"/>
    <cellStyle name="Normal 3 3 42" xfId="522" xr:uid="{00000000-0005-0000-0000-00000A020000}"/>
    <cellStyle name="Normal 3 3 42 2" xfId="1241" xr:uid="{00000000-0005-0000-0000-0000D9040000}"/>
    <cellStyle name="Normal 3 3 42 2 2" xfId="2689" xr:uid="{00000000-0005-0000-0000-0000810A0000}"/>
    <cellStyle name="Normal 3 3 42 2 2 2" xfId="5545" xr:uid="{00000000-0005-0000-0000-0000A9150000}"/>
    <cellStyle name="Normal 3 3 42 2 3" xfId="4127" xr:uid="{00000000-0005-0000-0000-00001F100000}"/>
    <cellStyle name="Normal 3 3 42 3" xfId="2044" xr:uid="{00000000-0005-0000-0000-0000FC070000}"/>
    <cellStyle name="Normal 3 3 42 3 2" xfId="4904" xr:uid="{00000000-0005-0000-0000-000028130000}"/>
    <cellStyle name="Normal 3 3 42 4" xfId="3488" xr:uid="{00000000-0005-0000-0000-0000A00D0000}"/>
    <cellStyle name="Normal 3 3 43" xfId="533" xr:uid="{00000000-0005-0000-0000-000015020000}"/>
    <cellStyle name="Normal 3 3 43 2" xfId="1252" xr:uid="{00000000-0005-0000-0000-0000E4040000}"/>
    <cellStyle name="Normal 3 3 43 2 2" xfId="2700" xr:uid="{00000000-0005-0000-0000-00008C0A0000}"/>
    <cellStyle name="Normal 3 3 43 2 2 2" xfId="5556" xr:uid="{00000000-0005-0000-0000-0000B4150000}"/>
    <cellStyle name="Normal 3 3 43 2 3" xfId="4138" xr:uid="{00000000-0005-0000-0000-00002A100000}"/>
    <cellStyle name="Normal 3 3 43 3" xfId="2055" xr:uid="{00000000-0005-0000-0000-000007080000}"/>
    <cellStyle name="Normal 3 3 43 3 2" xfId="4915" xr:uid="{00000000-0005-0000-0000-000033130000}"/>
    <cellStyle name="Normal 3 3 43 4" xfId="3499" xr:uid="{00000000-0005-0000-0000-0000AB0D0000}"/>
    <cellStyle name="Normal 3 3 44" xfId="551" xr:uid="{00000000-0005-0000-0000-000027020000}"/>
    <cellStyle name="Normal 3 3 44 2" xfId="1270" xr:uid="{00000000-0005-0000-0000-0000F6040000}"/>
    <cellStyle name="Normal 3 3 44 2 2" xfId="2718" xr:uid="{00000000-0005-0000-0000-00009E0A0000}"/>
    <cellStyle name="Normal 3 3 44 2 2 2" xfId="5574" xr:uid="{00000000-0005-0000-0000-0000C6150000}"/>
    <cellStyle name="Normal 3 3 44 2 3" xfId="4156" xr:uid="{00000000-0005-0000-0000-00003C100000}"/>
    <cellStyle name="Normal 3 3 44 3" xfId="2073" xr:uid="{00000000-0005-0000-0000-000019080000}"/>
    <cellStyle name="Normal 3 3 44 3 2" xfId="4933" xr:uid="{00000000-0005-0000-0000-000045130000}"/>
    <cellStyle name="Normal 3 3 44 4" xfId="3517" xr:uid="{00000000-0005-0000-0000-0000BD0D0000}"/>
    <cellStyle name="Normal 3 3 45" xfId="567" xr:uid="{00000000-0005-0000-0000-000037020000}"/>
    <cellStyle name="Normal 3 3 45 2" xfId="1286" xr:uid="{00000000-0005-0000-0000-000006050000}"/>
    <cellStyle name="Normal 3 3 45 2 2" xfId="2734" xr:uid="{00000000-0005-0000-0000-0000AE0A0000}"/>
    <cellStyle name="Normal 3 3 45 2 2 2" xfId="5590" xr:uid="{00000000-0005-0000-0000-0000D6150000}"/>
    <cellStyle name="Normal 3 3 45 2 3" xfId="4172" xr:uid="{00000000-0005-0000-0000-00004C100000}"/>
    <cellStyle name="Normal 3 3 45 3" xfId="2089" xr:uid="{00000000-0005-0000-0000-000029080000}"/>
    <cellStyle name="Normal 3 3 45 3 2" xfId="4949" xr:uid="{00000000-0005-0000-0000-000055130000}"/>
    <cellStyle name="Normal 3 3 45 4" xfId="3533" xr:uid="{00000000-0005-0000-0000-0000CD0D0000}"/>
    <cellStyle name="Normal 3 3 46" xfId="586" xr:uid="{00000000-0005-0000-0000-00004A020000}"/>
    <cellStyle name="Normal 3 3 46 2" xfId="1305" xr:uid="{00000000-0005-0000-0000-000019050000}"/>
    <cellStyle name="Normal 3 3 46 2 2" xfId="2753" xr:uid="{00000000-0005-0000-0000-0000C10A0000}"/>
    <cellStyle name="Normal 3 3 46 2 2 2" xfId="5609" xr:uid="{00000000-0005-0000-0000-0000E9150000}"/>
    <cellStyle name="Normal 3 3 46 2 3" xfId="4191" xr:uid="{00000000-0005-0000-0000-00005F100000}"/>
    <cellStyle name="Normal 3 3 46 3" xfId="2108" xr:uid="{00000000-0005-0000-0000-00003C080000}"/>
    <cellStyle name="Normal 3 3 46 3 2" xfId="4968" xr:uid="{00000000-0005-0000-0000-000068130000}"/>
    <cellStyle name="Normal 3 3 46 4" xfId="3552" xr:uid="{00000000-0005-0000-0000-0000E00D0000}"/>
    <cellStyle name="Normal 3 3 47" xfId="724" xr:uid="{00000000-0005-0000-0000-0000D4020000}"/>
    <cellStyle name="Normal 3 3 47 2" xfId="1403" xr:uid="{00000000-0005-0000-0000-00007B050000}"/>
    <cellStyle name="Normal 3 3 47 2 2" xfId="2850" xr:uid="{00000000-0005-0000-0000-0000220B0000}"/>
    <cellStyle name="Normal 3 3 47 2 2 2" xfId="5705" xr:uid="{00000000-0005-0000-0000-000049160000}"/>
    <cellStyle name="Normal 3 3 47 2 3" xfId="4287" xr:uid="{00000000-0005-0000-0000-0000BF100000}"/>
    <cellStyle name="Normal 3 3 47 3" xfId="2210" xr:uid="{00000000-0005-0000-0000-0000A2080000}"/>
    <cellStyle name="Normal 3 3 47 3 2" xfId="5066" xr:uid="{00000000-0005-0000-0000-0000CA130000}"/>
    <cellStyle name="Normal 3 3 47 4" xfId="3650" xr:uid="{00000000-0005-0000-0000-0000420E0000}"/>
    <cellStyle name="Normal 3 3 5" xfId="84" xr:uid="{00000000-0005-0000-0000-000054000000}"/>
    <cellStyle name="Normal 3 3 5 2" xfId="810" xr:uid="{00000000-0005-0000-0000-00002A030000}"/>
    <cellStyle name="Normal 3 3 5 2 2" xfId="2261" xr:uid="{00000000-0005-0000-0000-0000D5080000}"/>
    <cellStyle name="Normal 3 3 5 2 2 2" xfId="5117" xr:uid="{00000000-0005-0000-0000-0000FD130000}"/>
    <cellStyle name="Normal 3 3 5 2 3" xfId="3699" xr:uid="{00000000-0005-0000-0000-0000730E0000}"/>
    <cellStyle name="Normal 3 3 5 3" xfId="1614" xr:uid="{00000000-0005-0000-0000-00004E060000}"/>
    <cellStyle name="Normal 3 3 5 3 2" xfId="4474" xr:uid="{00000000-0005-0000-0000-00007A110000}"/>
    <cellStyle name="Normal 3 3 5 4" xfId="3058" xr:uid="{00000000-0005-0000-0000-0000F20B0000}"/>
    <cellStyle name="Normal 3 3 6" xfId="99" xr:uid="{00000000-0005-0000-0000-000063000000}"/>
    <cellStyle name="Normal 3 3 6 2" xfId="825" xr:uid="{00000000-0005-0000-0000-000039030000}"/>
    <cellStyle name="Normal 3 3 6 2 2" xfId="2275" xr:uid="{00000000-0005-0000-0000-0000E3080000}"/>
    <cellStyle name="Normal 3 3 6 2 2 2" xfId="5131" xr:uid="{00000000-0005-0000-0000-00000B140000}"/>
    <cellStyle name="Normal 3 3 6 2 3" xfId="3713" xr:uid="{00000000-0005-0000-0000-0000810E0000}"/>
    <cellStyle name="Normal 3 3 6 3" xfId="1628" xr:uid="{00000000-0005-0000-0000-00005C060000}"/>
    <cellStyle name="Normal 3 3 6 3 2" xfId="4488" xr:uid="{00000000-0005-0000-0000-000088110000}"/>
    <cellStyle name="Normal 3 3 6 4" xfId="3072" xr:uid="{00000000-0005-0000-0000-0000000C0000}"/>
    <cellStyle name="Normal 3 3 7" xfId="108" xr:uid="{00000000-0005-0000-0000-00006C000000}"/>
    <cellStyle name="Normal 3 3 7 2" xfId="834" xr:uid="{00000000-0005-0000-0000-000042030000}"/>
    <cellStyle name="Normal 3 3 7 2 2" xfId="2283" xr:uid="{00000000-0005-0000-0000-0000EB080000}"/>
    <cellStyle name="Normal 3 3 7 2 2 2" xfId="5139" xr:uid="{00000000-0005-0000-0000-000013140000}"/>
    <cellStyle name="Normal 3 3 7 2 3" xfId="3721" xr:uid="{00000000-0005-0000-0000-0000890E0000}"/>
    <cellStyle name="Normal 3 3 7 3" xfId="1636" xr:uid="{00000000-0005-0000-0000-000064060000}"/>
    <cellStyle name="Normal 3 3 7 3 2" xfId="4496" xr:uid="{00000000-0005-0000-0000-000090110000}"/>
    <cellStyle name="Normal 3 3 7 4" xfId="3080" xr:uid="{00000000-0005-0000-0000-0000080C0000}"/>
    <cellStyle name="Normal 3 3 8" xfId="114" xr:uid="{00000000-0005-0000-0000-000072000000}"/>
    <cellStyle name="Normal 3 3 8 2" xfId="840" xr:uid="{00000000-0005-0000-0000-000048030000}"/>
    <cellStyle name="Normal 3 3 8 2 2" xfId="2289" xr:uid="{00000000-0005-0000-0000-0000F1080000}"/>
    <cellStyle name="Normal 3 3 8 2 2 2" xfId="5145" xr:uid="{00000000-0005-0000-0000-000019140000}"/>
    <cellStyle name="Normal 3 3 8 2 3" xfId="3727" xr:uid="{00000000-0005-0000-0000-00008F0E0000}"/>
    <cellStyle name="Normal 3 3 8 3" xfId="1642" xr:uid="{00000000-0005-0000-0000-00006A060000}"/>
    <cellStyle name="Normal 3 3 8 3 2" xfId="4502" xr:uid="{00000000-0005-0000-0000-000096110000}"/>
    <cellStyle name="Normal 3 3 8 4" xfId="3086" xr:uid="{00000000-0005-0000-0000-00000E0C0000}"/>
    <cellStyle name="Normal 3 3 9" xfId="118" xr:uid="{00000000-0005-0000-0000-000076000000}"/>
    <cellStyle name="Normal 3 3 9 2" xfId="844" xr:uid="{00000000-0005-0000-0000-00004C030000}"/>
    <cellStyle name="Normal 3 3 9 2 2" xfId="2293" xr:uid="{00000000-0005-0000-0000-0000F5080000}"/>
    <cellStyle name="Normal 3 3 9 2 2 2" xfId="5149" xr:uid="{00000000-0005-0000-0000-00001D140000}"/>
    <cellStyle name="Normal 3 3 9 2 3" xfId="3731" xr:uid="{00000000-0005-0000-0000-0000930E0000}"/>
    <cellStyle name="Normal 3 3 9 3" xfId="1646" xr:uid="{00000000-0005-0000-0000-00006E060000}"/>
    <cellStyle name="Normal 3 3 9 3 2" xfId="4506" xr:uid="{00000000-0005-0000-0000-00009A110000}"/>
    <cellStyle name="Normal 3 3 9 4" xfId="3090" xr:uid="{00000000-0005-0000-0000-0000120C0000}"/>
    <cellStyle name="Normal 3 30" xfId="337" xr:uid="{00000000-0005-0000-0000-000051010000}"/>
    <cellStyle name="Normal 3 30 2" xfId="1058" xr:uid="{00000000-0005-0000-0000-000022040000}"/>
    <cellStyle name="Normal 3 30 2 2" xfId="2506" xr:uid="{00000000-0005-0000-0000-0000CA090000}"/>
    <cellStyle name="Normal 3 30 2 2 2" xfId="5362" xr:uid="{00000000-0005-0000-0000-0000F2140000}"/>
    <cellStyle name="Normal 3 30 2 3" xfId="3944" xr:uid="{00000000-0005-0000-0000-0000680F0000}"/>
    <cellStyle name="Normal 3 30 3" xfId="1860" xr:uid="{00000000-0005-0000-0000-000044070000}"/>
    <cellStyle name="Normal 3 30 3 2" xfId="4720" xr:uid="{00000000-0005-0000-0000-000070120000}"/>
    <cellStyle name="Normal 3 30 4" xfId="3304" xr:uid="{00000000-0005-0000-0000-0000E80C0000}"/>
    <cellStyle name="Normal 3 31" xfId="348" xr:uid="{00000000-0005-0000-0000-00005C010000}"/>
    <cellStyle name="Normal 3 31 2" xfId="1069" xr:uid="{00000000-0005-0000-0000-00002D040000}"/>
    <cellStyle name="Normal 3 31 2 2" xfId="2517" xr:uid="{00000000-0005-0000-0000-0000D5090000}"/>
    <cellStyle name="Normal 3 31 2 2 2" xfId="5373" xr:uid="{00000000-0005-0000-0000-0000FD140000}"/>
    <cellStyle name="Normal 3 31 2 3" xfId="3955" xr:uid="{00000000-0005-0000-0000-0000730F0000}"/>
    <cellStyle name="Normal 3 31 3" xfId="1871" xr:uid="{00000000-0005-0000-0000-00004F070000}"/>
    <cellStyle name="Normal 3 31 3 2" xfId="4731" xr:uid="{00000000-0005-0000-0000-00007B120000}"/>
    <cellStyle name="Normal 3 31 4" xfId="3315" xr:uid="{00000000-0005-0000-0000-0000F30C0000}"/>
    <cellStyle name="Normal 3 32" xfId="364" xr:uid="{00000000-0005-0000-0000-00006C010000}"/>
    <cellStyle name="Normal 3 32 2" xfId="1085" xr:uid="{00000000-0005-0000-0000-00003D040000}"/>
    <cellStyle name="Normal 3 32 2 2" xfId="2533" xr:uid="{00000000-0005-0000-0000-0000E5090000}"/>
    <cellStyle name="Normal 3 32 2 2 2" xfId="5389" xr:uid="{00000000-0005-0000-0000-00000D150000}"/>
    <cellStyle name="Normal 3 32 2 3" xfId="3971" xr:uid="{00000000-0005-0000-0000-0000830F0000}"/>
    <cellStyle name="Normal 3 32 3" xfId="1887" xr:uid="{00000000-0005-0000-0000-00005F070000}"/>
    <cellStyle name="Normal 3 32 3 2" xfId="4747" xr:uid="{00000000-0005-0000-0000-00008B120000}"/>
    <cellStyle name="Normal 3 32 4" xfId="3331" xr:uid="{00000000-0005-0000-0000-0000030D0000}"/>
    <cellStyle name="Normal 3 33" xfId="376" xr:uid="{00000000-0005-0000-0000-000078010000}"/>
    <cellStyle name="Normal 3 33 2" xfId="1097" xr:uid="{00000000-0005-0000-0000-000049040000}"/>
    <cellStyle name="Normal 3 33 2 2" xfId="2545" xr:uid="{00000000-0005-0000-0000-0000F1090000}"/>
    <cellStyle name="Normal 3 33 2 2 2" xfId="5401" xr:uid="{00000000-0005-0000-0000-000019150000}"/>
    <cellStyle name="Normal 3 33 2 3" xfId="3983" xr:uid="{00000000-0005-0000-0000-00008F0F0000}"/>
    <cellStyle name="Normal 3 33 3" xfId="1899" xr:uid="{00000000-0005-0000-0000-00006B070000}"/>
    <cellStyle name="Normal 3 33 3 2" xfId="4759" xr:uid="{00000000-0005-0000-0000-000097120000}"/>
    <cellStyle name="Normal 3 33 4" xfId="3343" xr:uid="{00000000-0005-0000-0000-00000F0D0000}"/>
    <cellStyle name="Normal 3 34" xfId="385" xr:uid="{00000000-0005-0000-0000-000081010000}"/>
    <cellStyle name="Normal 3 34 2" xfId="1106" xr:uid="{00000000-0005-0000-0000-000052040000}"/>
    <cellStyle name="Normal 3 34 2 2" xfId="2554" xr:uid="{00000000-0005-0000-0000-0000FA090000}"/>
    <cellStyle name="Normal 3 34 2 2 2" xfId="5410" xr:uid="{00000000-0005-0000-0000-000022150000}"/>
    <cellStyle name="Normal 3 34 2 3" xfId="3992" xr:uid="{00000000-0005-0000-0000-0000980F0000}"/>
    <cellStyle name="Normal 3 34 3" xfId="1908" xr:uid="{00000000-0005-0000-0000-000074070000}"/>
    <cellStyle name="Normal 3 34 3 2" xfId="4768" xr:uid="{00000000-0005-0000-0000-0000A0120000}"/>
    <cellStyle name="Normal 3 34 4" xfId="3352" xr:uid="{00000000-0005-0000-0000-0000180D0000}"/>
    <cellStyle name="Normal 3 35" xfId="403" xr:uid="{00000000-0005-0000-0000-000093010000}"/>
    <cellStyle name="Normal 3 35 2" xfId="1124" xr:uid="{00000000-0005-0000-0000-000064040000}"/>
    <cellStyle name="Normal 3 35 2 2" xfId="2572" xr:uid="{00000000-0005-0000-0000-00000C0A0000}"/>
    <cellStyle name="Normal 3 35 2 2 2" xfId="5428" xr:uid="{00000000-0005-0000-0000-000034150000}"/>
    <cellStyle name="Normal 3 35 2 3" xfId="4010" xr:uid="{00000000-0005-0000-0000-0000AA0F0000}"/>
    <cellStyle name="Normal 3 35 3" xfId="1926" xr:uid="{00000000-0005-0000-0000-000086070000}"/>
    <cellStyle name="Normal 3 35 3 2" xfId="4786" xr:uid="{00000000-0005-0000-0000-0000B2120000}"/>
    <cellStyle name="Normal 3 35 4" xfId="3370" xr:uid="{00000000-0005-0000-0000-00002A0D0000}"/>
    <cellStyle name="Normal 3 36" xfId="412" xr:uid="{00000000-0005-0000-0000-00009C010000}"/>
    <cellStyle name="Normal 3 36 2" xfId="1133" xr:uid="{00000000-0005-0000-0000-00006D040000}"/>
    <cellStyle name="Normal 3 36 2 2" xfId="2581" xr:uid="{00000000-0005-0000-0000-0000150A0000}"/>
    <cellStyle name="Normal 3 36 2 2 2" xfId="5437" xr:uid="{00000000-0005-0000-0000-00003D150000}"/>
    <cellStyle name="Normal 3 36 2 3" xfId="4019" xr:uid="{00000000-0005-0000-0000-0000B30F0000}"/>
    <cellStyle name="Normal 3 36 3" xfId="1935" xr:uid="{00000000-0005-0000-0000-00008F070000}"/>
    <cellStyle name="Normal 3 36 3 2" xfId="4795" xr:uid="{00000000-0005-0000-0000-0000BB120000}"/>
    <cellStyle name="Normal 3 36 4" xfId="3379" xr:uid="{00000000-0005-0000-0000-0000330D0000}"/>
    <cellStyle name="Normal 3 37" xfId="426" xr:uid="{00000000-0005-0000-0000-0000AA010000}"/>
    <cellStyle name="Normal 3 37 2" xfId="1147" xr:uid="{00000000-0005-0000-0000-00007B040000}"/>
    <cellStyle name="Normal 3 37 2 2" xfId="2595" xr:uid="{00000000-0005-0000-0000-0000230A0000}"/>
    <cellStyle name="Normal 3 37 2 2 2" xfId="5451" xr:uid="{00000000-0005-0000-0000-00004B150000}"/>
    <cellStyle name="Normal 3 37 2 3" xfId="4033" xr:uid="{00000000-0005-0000-0000-0000C10F0000}"/>
    <cellStyle name="Normal 3 37 3" xfId="1949" xr:uid="{00000000-0005-0000-0000-00009D070000}"/>
    <cellStyle name="Normal 3 37 3 2" xfId="4809" xr:uid="{00000000-0005-0000-0000-0000C9120000}"/>
    <cellStyle name="Normal 3 37 4" xfId="3393" xr:uid="{00000000-0005-0000-0000-0000410D0000}"/>
    <cellStyle name="Normal 3 38" xfId="433" xr:uid="{00000000-0005-0000-0000-0000B1010000}"/>
    <cellStyle name="Normal 3 38 2" xfId="1154" xr:uid="{00000000-0005-0000-0000-000082040000}"/>
    <cellStyle name="Normal 3 38 2 2" xfId="2602" xr:uid="{00000000-0005-0000-0000-00002A0A0000}"/>
    <cellStyle name="Normal 3 38 2 2 2" xfId="5458" xr:uid="{00000000-0005-0000-0000-000052150000}"/>
    <cellStyle name="Normal 3 38 2 3" xfId="4040" xr:uid="{00000000-0005-0000-0000-0000C80F0000}"/>
    <cellStyle name="Normal 3 38 3" xfId="1956" xr:uid="{00000000-0005-0000-0000-0000A4070000}"/>
    <cellStyle name="Normal 3 38 3 2" xfId="4816" xr:uid="{00000000-0005-0000-0000-0000D0120000}"/>
    <cellStyle name="Normal 3 38 4" xfId="3400" xr:uid="{00000000-0005-0000-0000-0000480D0000}"/>
    <cellStyle name="Normal 3 39" xfId="452" xr:uid="{00000000-0005-0000-0000-0000C4010000}"/>
    <cellStyle name="Normal 3 39 2" xfId="1172" xr:uid="{00000000-0005-0000-0000-000094040000}"/>
    <cellStyle name="Normal 3 39 2 2" xfId="2620" xr:uid="{00000000-0005-0000-0000-00003C0A0000}"/>
    <cellStyle name="Normal 3 39 2 2 2" xfId="5476" xr:uid="{00000000-0005-0000-0000-000064150000}"/>
    <cellStyle name="Normal 3 39 2 3" xfId="4058" xr:uid="{00000000-0005-0000-0000-0000DA0F0000}"/>
    <cellStyle name="Normal 3 39 3" xfId="1975" xr:uid="{00000000-0005-0000-0000-0000B7070000}"/>
    <cellStyle name="Normal 3 39 3 2" xfId="4835" xr:uid="{00000000-0005-0000-0000-0000E3120000}"/>
    <cellStyle name="Normal 3 39 4" xfId="3419" xr:uid="{00000000-0005-0000-0000-00005B0D0000}"/>
    <cellStyle name="Normal 3 4" xfId="37" xr:uid="{00000000-0005-0000-0000-000025000000}"/>
    <cellStyle name="Normal 3 4 2" xfId="184" xr:uid="{00000000-0005-0000-0000-0000B8000000}"/>
    <cellStyle name="Normal 3 4 2 2" xfId="906" xr:uid="{00000000-0005-0000-0000-00008A030000}"/>
    <cellStyle name="Normal 3 4 2 2 2" xfId="2354" xr:uid="{00000000-0005-0000-0000-000032090000}"/>
    <cellStyle name="Normal 3 4 2 2 2 2" xfId="5210" xr:uid="{00000000-0005-0000-0000-00005A140000}"/>
    <cellStyle name="Normal 3 4 2 2 3" xfId="3792" xr:uid="{00000000-0005-0000-0000-0000D00E0000}"/>
    <cellStyle name="Normal 3 4 2 3" xfId="1707" xr:uid="{00000000-0005-0000-0000-0000AB060000}"/>
    <cellStyle name="Normal 3 4 2 3 2" xfId="4567" xr:uid="{00000000-0005-0000-0000-0000D7110000}"/>
    <cellStyle name="Normal 3 4 2 4" xfId="3151" xr:uid="{00000000-0005-0000-0000-00004F0C0000}"/>
    <cellStyle name="Normal 3 4 3" xfId="626" xr:uid="{00000000-0005-0000-0000-000072020000}"/>
    <cellStyle name="Normal 3 4 4" xfId="777" xr:uid="{00000000-0005-0000-0000-000009030000}"/>
    <cellStyle name="Normal 3 4 4 2" xfId="2229" xr:uid="{00000000-0005-0000-0000-0000B5080000}"/>
    <cellStyle name="Normal 3 4 4 2 2" xfId="5085" xr:uid="{00000000-0005-0000-0000-0000DD130000}"/>
    <cellStyle name="Normal 3 4 4 3" xfId="3667" xr:uid="{00000000-0005-0000-0000-0000530E0000}"/>
    <cellStyle name="Normal 3 4 5" xfId="1581" xr:uid="{00000000-0005-0000-0000-00002D060000}"/>
    <cellStyle name="Normal 3 4 5 2" xfId="4441" xr:uid="{00000000-0005-0000-0000-000059110000}"/>
    <cellStyle name="Normal 3 4 6" xfId="3026" xr:uid="{00000000-0005-0000-0000-0000D20B0000}"/>
    <cellStyle name="Normal 3 40" xfId="467" xr:uid="{00000000-0005-0000-0000-0000D3010000}"/>
    <cellStyle name="Normal 3 40 2" xfId="1187" xr:uid="{00000000-0005-0000-0000-0000A3040000}"/>
    <cellStyle name="Normal 3 40 2 2" xfId="2635" xr:uid="{00000000-0005-0000-0000-00004B0A0000}"/>
    <cellStyle name="Normal 3 40 2 2 2" xfId="5491" xr:uid="{00000000-0005-0000-0000-000073150000}"/>
    <cellStyle name="Normal 3 40 2 3" xfId="4073" xr:uid="{00000000-0005-0000-0000-0000E90F0000}"/>
    <cellStyle name="Normal 3 40 3" xfId="1990" xr:uid="{00000000-0005-0000-0000-0000C6070000}"/>
    <cellStyle name="Normal 3 40 3 2" xfId="4850" xr:uid="{00000000-0005-0000-0000-0000F2120000}"/>
    <cellStyle name="Normal 3 40 4" xfId="3434" xr:uid="{00000000-0005-0000-0000-00006A0D0000}"/>
    <cellStyle name="Normal 3 41" xfId="485" xr:uid="{00000000-0005-0000-0000-0000E5010000}"/>
    <cellStyle name="Normal 3 41 2" xfId="1204" xr:uid="{00000000-0005-0000-0000-0000B4040000}"/>
    <cellStyle name="Normal 3 41 2 2" xfId="2652" xr:uid="{00000000-0005-0000-0000-00005C0A0000}"/>
    <cellStyle name="Normal 3 41 2 2 2" xfId="5508" xr:uid="{00000000-0005-0000-0000-000084150000}"/>
    <cellStyle name="Normal 3 41 2 3" xfId="4090" xr:uid="{00000000-0005-0000-0000-0000FA0F0000}"/>
    <cellStyle name="Normal 3 41 3" xfId="2007" xr:uid="{00000000-0005-0000-0000-0000D7070000}"/>
    <cellStyle name="Normal 3 41 3 2" xfId="4867" xr:uid="{00000000-0005-0000-0000-000003130000}"/>
    <cellStyle name="Normal 3 41 4" xfId="3451" xr:uid="{00000000-0005-0000-0000-00007B0D0000}"/>
    <cellStyle name="Normal 3 42" xfId="496" xr:uid="{00000000-0005-0000-0000-0000F0010000}"/>
    <cellStyle name="Normal 3 42 2" xfId="1215" xr:uid="{00000000-0005-0000-0000-0000BF040000}"/>
    <cellStyle name="Normal 3 42 2 2" xfId="2663" xr:uid="{00000000-0005-0000-0000-0000670A0000}"/>
    <cellStyle name="Normal 3 42 2 2 2" xfId="5519" xr:uid="{00000000-0005-0000-0000-00008F150000}"/>
    <cellStyle name="Normal 3 42 2 3" xfId="4101" xr:uid="{00000000-0005-0000-0000-000005100000}"/>
    <cellStyle name="Normal 3 42 3" xfId="2018" xr:uid="{00000000-0005-0000-0000-0000E2070000}"/>
    <cellStyle name="Normal 3 42 3 2" xfId="4878" xr:uid="{00000000-0005-0000-0000-00000E130000}"/>
    <cellStyle name="Normal 3 42 4" xfId="3462" xr:uid="{00000000-0005-0000-0000-0000860D0000}"/>
    <cellStyle name="Normal 3 43" xfId="507" xr:uid="{00000000-0005-0000-0000-0000FB010000}"/>
    <cellStyle name="Normal 3 43 2" xfId="1226" xr:uid="{00000000-0005-0000-0000-0000CA040000}"/>
    <cellStyle name="Normal 3 43 2 2" xfId="2674" xr:uid="{00000000-0005-0000-0000-0000720A0000}"/>
    <cellStyle name="Normal 3 43 2 2 2" xfId="5530" xr:uid="{00000000-0005-0000-0000-00009A150000}"/>
    <cellStyle name="Normal 3 43 2 3" xfId="4112" xr:uid="{00000000-0005-0000-0000-000010100000}"/>
    <cellStyle name="Normal 3 43 3" xfId="2029" xr:uid="{00000000-0005-0000-0000-0000ED070000}"/>
    <cellStyle name="Normal 3 43 3 2" xfId="4889" xr:uid="{00000000-0005-0000-0000-000019130000}"/>
    <cellStyle name="Normal 3 43 4" xfId="3473" xr:uid="{00000000-0005-0000-0000-0000910D0000}"/>
    <cellStyle name="Normal 3 44" xfId="519" xr:uid="{00000000-0005-0000-0000-000007020000}"/>
    <cellStyle name="Normal 3 44 2" xfId="1238" xr:uid="{00000000-0005-0000-0000-0000D6040000}"/>
    <cellStyle name="Normal 3 44 2 2" xfId="2686" xr:uid="{00000000-0005-0000-0000-00007E0A0000}"/>
    <cellStyle name="Normal 3 44 2 2 2" xfId="5542" xr:uid="{00000000-0005-0000-0000-0000A6150000}"/>
    <cellStyle name="Normal 3 44 2 3" xfId="4124" xr:uid="{00000000-0005-0000-0000-00001C100000}"/>
    <cellStyle name="Normal 3 44 3" xfId="2041" xr:uid="{00000000-0005-0000-0000-0000F9070000}"/>
    <cellStyle name="Normal 3 44 3 2" xfId="4901" xr:uid="{00000000-0005-0000-0000-000025130000}"/>
    <cellStyle name="Normal 3 44 4" xfId="3485" xr:uid="{00000000-0005-0000-0000-00009D0D0000}"/>
    <cellStyle name="Normal 3 45" xfId="530" xr:uid="{00000000-0005-0000-0000-000012020000}"/>
    <cellStyle name="Normal 3 45 2" xfId="1249" xr:uid="{00000000-0005-0000-0000-0000E1040000}"/>
    <cellStyle name="Normal 3 45 2 2" xfId="2697" xr:uid="{00000000-0005-0000-0000-0000890A0000}"/>
    <cellStyle name="Normal 3 45 2 2 2" xfId="5553" xr:uid="{00000000-0005-0000-0000-0000B1150000}"/>
    <cellStyle name="Normal 3 45 2 3" xfId="4135" xr:uid="{00000000-0005-0000-0000-000027100000}"/>
    <cellStyle name="Normal 3 45 3" xfId="2052" xr:uid="{00000000-0005-0000-0000-000004080000}"/>
    <cellStyle name="Normal 3 45 3 2" xfId="4912" xr:uid="{00000000-0005-0000-0000-000030130000}"/>
    <cellStyle name="Normal 3 45 4" xfId="3496" xr:uid="{00000000-0005-0000-0000-0000A80D0000}"/>
    <cellStyle name="Normal 3 46" xfId="548" xr:uid="{00000000-0005-0000-0000-000024020000}"/>
    <cellStyle name="Normal 3 46 2" xfId="1267" xr:uid="{00000000-0005-0000-0000-0000F3040000}"/>
    <cellStyle name="Normal 3 46 2 2" xfId="2715" xr:uid="{00000000-0005-0000-0000-00009B0A0000}"/>
    <cellStyle name="Normal 3 46 2 2 2" xfId="5571" xr:uid="{00000000-0005-0000-0000-0000C3150000}"/>
    <cellStyle name="Normal 3 46 2 3" xfId="4153" xr:uid="{00000000-0005-0000-0000-000039100000}"/>
    <cellStyle name="Normal 3 46 3" xfId="2070" xr:uid="{00000000-0005-0000-0000-000016080000}"/>
    <cellStyle name="Normal 3 46 3 2" xfId="4930" xr:uid="{00000000-0005-0000-0000-000042130000}"/>
    <cellStyle name="Normal 3 46 4" xfId="3514" xr:uid="{00000000-0005-0000-0000-0000BA0D0000}"/>
    <cellStyle name="Normal 3 47" xfId="564" xr:uid="{00000000-0005-0000-0000-000034020000}"/>
    <cellStyle name="Normal 3 47 2" xfId="1283" xr:uid="{00000000-0005-0000-0000-000003050000}"/>
    <cellStyle name="Normal 3 47 2 2" xfId="2731" xr:uid="{00000000-0005-0000-0000-0000AB0A0000}"/>
    <cellStyle name="Normal 3 47 2 2 2" xfId="5587" xr:uid="{00000000-0005-0000-0000-0000D3150000}"/>
    <cellStyle name="Normal 3 47 2 3" xfId="4169" xr:uid="{00000000-0005-0000-0000-000049100000}"/>
    <cellStyle name="Normal 3 47 3" xfId="2086" xr:uid="{00000000-0005-0000-0000-000026080000}"/>
    <cellStyle name="Normal 3 47 3 2" xfId="4946" xr:uid="{00000000-0005-0000-0000-000052130000}"/>
    <cellStyle name="Normal 3 47 4" xfId="3530" xr:uid="{00000000-0005-0000-0000-0000CA0D0000}"/>
    <cellStyle name="Normal 3 48" xfId="583" xr:uid="{00000000-0005-0000-0000-000047020000}"/>
    <cellStyle name="Normal 3 48 2" xfId="710" xr:uid="{00000000-0005-0000-0000-0000C6020000}"/>
    <cellStyle name="Normal 3 48 2 2" xfId="1391" xr:uid="{00000000-0005-0000-0000-00006F050000}"/>
    <cellStyle name="Normal 3 48 2 2 2" xfId="2838" xr:uid="{00000000-0005-0000-0000-0000160B0000}"/>
    <cellStyle name="Normal 3 48 2 2 2 2" xfId="5693" xr:uid="{00000000-0005-0000-0000-00003D160000}"/>
    <cellStyle name="Normal 3 48 2 2 3" xfId="4275" xr:uid="{00000000-0005-0000-0000-0000B3100000}"/>
    <cellStyle name="Normal 3 48 2 3" xfId="2197" xr:uid="{00000000-0005-0000-0000-000095080000}"/>
    <cellStyle name="Normal 3 48 2 3 2" xfId="5054" xr:uid="{00000000-0005-0000-0000-0000BE130000}"/>
    <cellStyle name="Normal 3 48 2 4" xfId="3638" xr:uid="{00000000-0005-0000-0000-0000360E0000}"/>
    <cellStyle name="Normal 3 48 3" xfId="1302" xr:uid="{00000000-0005-0000-0000-000016050000}"/>
    <cellStyle name="Normal 3 48 3 2" xfId="2750" xr:uid="{00000000-0005-0000-0000-0000BE0A0000}"/>
    <cellStyle name="Normal 3 48 3 2 2" xfId="5606" xr:uid="{00000000-0005-0000-0000-0000E6150000}"/>
    <cellStyle name="Normal 3 48 3 3" xfId="4188" xr:uid="{00000000-0005-0000-0000-00005C100000}"/>
    <cellStyle name="Normal 3 48 4" xfId="2105" xr:uid="{00000000-0005-0000-0000-000039080000}"/>
    <cellStyle name="Normal 3 48 4 2" xfId="4965" xr:uid="{00000000-0005-0000-0000-000065130000}"/>
    <cellStyle name="Normal 3 48 5" xfId="3549" xr:uid="{00000000-0005-0000-0000-0000DD0D0000}"/>
    <cellStyle name="Normal 3 49" xfId="655" xr:uid="{00000000-0005-0000-0000-00008F020000}"/>
    <cellStyle name="Normal 3 5" xfId="64" xr:uid="{00000000-0005-0000-0000-000040000000}"/>
    <cellStyle name="Normal 3 5 2" xfId="792" xr:uid="{00000000-0005-0000-0000-000018030000}"/>
    <cellStyle name="Normal 3 5 2 2" xfId="2243" xr:uid="{00000000-0005-0000-0000-0000C3080000}"/>
    <cellStyle name="Normal 3 5 2 2 2" xfId="5099" xr:uid="{00000000-0005-0000-0000-0000EB130000}"/>
    <cellStyle name="Normal 3 5 2 3" xfId="3681" xr:uid="{00000000-0005-0000-0000-0000610E0000}"/>
    <cellStyle name="Normal 3 5 3" xfId="1595" xr:uid="{00000000-0005-0000-0000-00003B060000}"/>
    <cellStyle name="Normal 3 5 3 2" xfId="4455" xr:uid="{00000000-0005-0000-0000-000067110000}"/>
    <cellStyle name="Normal 3 5 4" xfId="3040" xr:uid="{00000000-0005-0000-0000-0000E00B0000}"/>
    <cellStyle name="Normal 3 5 5" xfId="6016" xr:uid="{00000000-0005-0000-0000-000080170000}"/>
    <cellStyle name="Normal 3 50" xfId="721" xr:uid="{00000000-0005-0000-0000-0000D1020000}"/>
    <cellStyle name="Normal 3 50 2" xfId="1400" xr:uid="{00000000-0005-0000-0000-000078050000}"/>
    <cellStyle name="Normal 3 50 2 2" xfId="2847" xr:uid="{00000000-0005-0000-0000-00001F0B0000}"/>
    <cellStyle name="Normal 3 50 2 2 2" xfId="5702" xr:uid="{00000000-0005-0000-0000-000046160000}"/>
    <cellStyle name="Normal 3 50 2 3" xfId="4284" xr:uid="{00000000-0005-0000-0000-0000BC100000}"/>
    <cellStyle name="Normal 3 50 3" xfId="2207" xr:uid="{00000000-0005-0000-0000-00009F080000}"/>
    <cellStyle name="Normal 3 50 3 2" xfId="5063" xr:uid="{00000000-0005-0000-0000-0000C7130000}"/>
    <cellStyle name="Normal 3 50 4" xfId="3647" xr:uid="{00000000-0005-0000-0000-00003F0E0000}"/>
    <cellStyle name="Normal 3 6" xfId="77" xr:uid="{00000000-0005-0000-0000-00004D000000}"/>
    <cellStyle name="Normal 3 6 2" xfId="803" xr:uid="{00000000-0005-0000-0000-000023030000}"/>
    <cellStyle name="Normal 3 6 2 2" xfId="2254" xr:uid="{00000000-0005-0000-0000-0000CE080000}"/>
    <cellStyle name="Normal 3 6 2 2 2" xfId="5110" xr:uid="{00000000-0005-0000-0000-0000F6130000}"/>
    <cellStyle name="Normal 3 6 2 3" xfId="3692" xr:uid="{00000000-0005-0000-0000-00006C0E0000}"/>
    <cellStyle name="Normal 3 6 3" xfId="1607" xr:uid="{00000000-0005-0000-0000-000047060000}"/>
    <cellStyle name="Normal 3 6 3 2" xfId="4467" xr:uid="{00000000-0005-0000-0000-000073110000}"/>
    <cellStyle name="Normal 3 6 4" xfId="3051" xr:uid="{00000000-0005-0000-0000-0000EB0B0000}"/>
    <cellStyle name="Normal 3 7" xfId="81" xr:uid="{00000000-0005-0000-0000-000051000000}"/>
    <cellStyle name="Normal 3 7 2" xfId="807" xr:uid="{00000000-0005-0000-0000-000027030000}"/>
    <cellStyle name="Normal 3 7 2 2" xfId="2258" xr:uid="{00000000-0005-0000-0000-0000D2080000}"/>
    <cellStyle name="Normal 3 7 2 2 2" xfId="5114" xr:uid="{00000000-0005-0000-0000-0000FA130000}"/>
    <cellStyle name="Normal 3 7 2 3" xfId="3696" xr:uid="{00000000-0005-0000-0000-0000700E0000}"/>
    <cellStyle name="Normal 3 7 3" xfId="1611" xr:uid="{00000000-0005-0000-0000-00004B060000}"/>
    <cellStyle name="Normal 3 7 3 2" xfId="4471" xr:uid="{00000000-0005-0000-0000-000077110000}"/>
    <cellStyle name="Normal 3 7 4" xfId="3055" xr:uid="{00000000-0005-0000-0000-0000EF0B0000}"/>
    <cellStyle name="Normal 3 8" xfId="96" xr:uid="{00000000-0005-0000-0000-000060000000}"/>
    <cellStyle name="Normal 3 8 2" xfId="822" xr:uid="{00000000-0005-0000-0000-000036030000}"/>
    <cellStyle name="Normal 3 8 2 2" xfId="2272" xr:uid="{00000000-0005-0000-0000-0000E0080000}"/>
    <cellStyle name="Normal 3 8 2 2 2" xfId="5128" xr:uid="{00000000-0005-0000-0000-000008140000}"/>
    <cellStyle name="Normal 3 8 2 3" xfId="3710" xr:uid="{00000000-0005-0000-0000-00007E0E0000}"/>
    <cellStyle name="Normal 3 8 3" xfId="1625" xr:uid="{00000000-0005-0000-0000-000059060000}"/>
    <cellStyle name="Normal 3 8 3 2" xfId="4485" xr:uid="{00000000-0005-0000-0000-000085110000}"/>
    <cellStyle name="Normal 3 8 4" xfId="3069" xr:uid="{00000000-0005-0000-0000-0000FD0B0000}"/>
    <cellStyle name="Normal 3 9" xfId="105" xr:uid="{00000000-0005-0000-0000-000069000000}"/>
    <cellStyle name="Normal 3 9 2" xfId="831" xr:uid="{00000000-0005-0000-0000-00003F030000}"/>
    <cellStyle name="Normal 3 9 2 2" xfId="2280" xr:uid="{00000000-0005-0000-0000-0000E8080000}"/>
    <cellStyle name="Normal 3 9 2 2 2" xfId="5136" xr:uid="{00000000-0005-0000-0000-000010140000}"/>
    <cellStyle name="Normal 3 9 2 3" xfId="3718" xr:uid="{00000000-0005-0000-0000-0000860E0000}"/>
    <cellStyle name="Normal 3 9 3" xfId="1633" xr:uid="{00000000-0005-0000-0000-000061060000}"/>
    <cellStyle name="Normal 3 9 3 2" xfId="4493" xr:uid="{00000000-0005-0000-0000-00008D110000}"/>
    <cellStyle name="Normal 3 9 4" xfId="3077" xr:uid="{00000000-0005-0000-0000-0000050C0000}"/>
    <cellStyle name="Normal 30" xfId="94" xr:uid="{00000000-0005-0000-0000-00005E000000}"/>
    <cellStyle name="Normal 30 2" xfId="820" xr:uid="{00000000-0005-0000-0000-000034030000}"/>
    <cellStyle name="Normal 30 2 2" xfId="2270" xr:uid="{00000000-0005-0000-0000-0000DE080000}"/>
    <cellStyle name="Normal 30 2 2 2" xfId="5126" xr:uid="{00000000-0005-0000-0000-000006140000}"/>
    <cellStyle name="Normal 30 2 3" xfId="3708" xr:uid="{00000000-0005-0000-0000-00007C0E0000}"/>
    <cellStyle name="Normal 30 3" xfId="1623" xr:uid="{00000000-0005-0000-0000-000057060000}"/>
    <cellStyle name="Normal 30 3 2" xfId="4483" xr:uid="{00000000-0005-0000-0000-000083110000}"/>
    <cellStyle name="Normal 30 4" xfId="3067" xr:uid="{00000000-0005-0000-0000-0000FB0B0000}"/>
    <cellStyle name="Normal 31" xfId="100" xr:uid="{00000000-0005-0000-0000-000064000000}"/>
    <cellStyle name="Normal 31 2" xfId="826" xr:uid="{00000000-0005-0000-0000-00003A030000}"/>
    <cellStyle name="Normal 32" xfId="102" xr:uid="{00000000-0005-0000-0000-000066000000}"/>
    <cellStyle name="Normal 32 2" xfId="828" xr:uid="{00000000-0005-0000-0000-00003C030000}"/>
    <cellStyle name="Normal 32 2 2" xfId="2277" xr:uid="{00000000-0005-0000-0000-0000E5080000}"/>
    <cellStyle name="Normal 32 2 2 2" xfId="5133" xr:uid="{00000000-0005-0000-0000-00000D140000}"/>
    <cellStyle name="Normal 32 2 3" xfId="3715" xr:uid="{00000000-0005-0000-0000-0000830E0000}"/>
    <cellStyle name="Normal 32 3" xfId="1630" xr:uid="{00000000-0005-0000-0000-00005E060000}"/>
    <cellStyle name="Normal 32 3 2" xfId="4490" xr:uid="{00000000-0005-0000-0000-00008A110000}"/>
    <cellStyle name="Normal 32 4" xfId="3074" xr:uid="{00000000-0005-0000-0000-0000020C0000}"/>
    <cellStyle name="Normal 33" xfId="103" xr:uid="{00000000-0005-0000-0000-000067000000}"/>
    <cellStyle name="Normal 33 2" xfId="829" xr:uid="{00000000-0005-0000-0000-00003D030000}"/>
    <cellStyle name="Normal 33 2 2" xfId="2278" xr:uid="{00000000-0005-0000-0000-0000E6080000}"/>
    <cellStyle name="Normal 33 2 2 2" xfId="5134" xr:uid="{00000000-0005-0000-0000-00000E140000}"/>
    <cellStyle name="Normal 33 2 3" xfId="3716" xr:uid="{00000000-0005-0000-0000-0000840E0000}"/>
    <cellStyle name="Normal 33 3" xfId="1631" xr:uid="{00000000-0005-0000-0000-00005F060000}"/>
    <cellStyle name="Normal 33 3 2" xfId="4491" xr:uid="{00000000-0005-0000-0000-00008B110000}"/>
    <cellStyle name="Normal 33 4" xfId="3075" xr:uid="{00000000-0005-0000-0000-0000030C0000}"/>
    <cellStyle name="Normal 34" xfId="109" xr:uid="{00000000-0005-0000-0000-00006D000000}"/>
    <cellStyle name="Normal 34 2" xfId="835" xr:uid="{00000000-0005-0000-0000-000043030000}"/>
    <cellStyle name="Normal 34 2 2" xfId="2284" xr:uid="{00000000-0005-0000-0000-0000EC080000}"/>
    <cellStyle name="Normal 34 2 2 2" xfId="5140" xr:uid="{00000000-0005-0000-0000-000014140000}"/>
    <cellStyle name="Normal 34 2 3" xfId="3722" xr:uid="{00000000-0005-0000-0000-00008A0E0000}"/>
    <cellStyle name="Normal 34 3" xfId="1637" xr:uid="{00000000-0005-0000-0000-000065060000}"/>
    <cellStyle name="Normal 34 3 2" xfId="4497" xr:uid="{00000000-0005-0000-0000-000091110000}"/>
    <cellStyle name="Normal 34 4" xfId="3081" xr:uid="{00000000-0005-0000-0000-0000090C0000}"/>
    <cellStyle name="Normal 35" xfId="110" xr:uid="{00000000-0005-0000-0000-00006E000000}"/>
    <cellStyle name="Normal 35 2" xfId="836" xr:uid="{00000000-0005-0000-0000-000044030000}"/>
    <cellStyle name="Normal 35 2 2" xfId="2285" xr:uid="{00000000-0005-0000-0000-0000ED080000}"/>
    <cellStyle name="Normal 35 2 2 2" xfId="5141" xr:uid="{00000000-0005-0000-0000-000015140000}"/>
    <cellStyle name="Normal 35 2 3" xfId="3723" xr:uid="{00000000-0005-0000-0000-00008B0E0000}"/>
    <cellStyle name="Normal 35 3" xfId="1638" xr:uid="{00000000-0005-0000-0000-000066060000}"/>
    <cellStyle name="Normal 35 3 2" xfId="4498" xr:uid="{00000000-0005-0000-0000-000092110000}"/>
    <cellStyle name="Normal 35 4" xfId="3082" xr:uid="{00000000-0005-0000-0000-00000A0C0000}"/>
    <cellStyle name="Normal 36" xfId="119" xr:uid="{00000000-0005-0000-0000-000077000000}"/>
    <cellStyle name="Normal 36 2" xfId="845" xr:uid="{00000000-0005-0000-0000-00004D030000}"/>
    <cellStyle name="Normal 36 2 2" xfId="2294" xr:uid="{00000000-0005-0000-0000-0000F6080000}"/>
    <cellStyle name="Normal 36 2 2 2" xfId="5150" xr:uid="{00000000-0005-0000-0000-00001E140000}"/>
    <cellStyle name="Normal 36 2 3" xfId="3732" xr:uid="{00000000-0005-0000-0000-0000940E0000}"/>
    <cellStyle name="Normal 36 3" xfId="1647" xr:uid="{00000000-0005-0000-0000-00006F060000}"/>
    <cellStyle name="Normal 36 3 2" xfId="4507" xr:uid="{00000000-0005-0000-0000-00009B110000}"/>
    <cellStyle name="Normal 36 4" xfId="3091" xr:uid="{00000000-0005-0000-0000-0000130C0000}"/>
    <cellStyle name="Normal 37" xfId="121" xr:uid="{00000000-0005-0000-0000-000079000000}"/>
    <cellStyle name="Normal 37 2" xfId="847" xr:uid="{00000000-0005-0000-0000-00004F030000}"/>
    <cellStyle name="Normal 38" xfId="126" xr:uid="{00000000-0005-0000-0000-00007E000000}"/>
    <cellStyle name="Normal 38 2" xfId="852" xr:uid="{00000000-0005-0000-0000-000054030000}"/>
    <cellStyle name="Normal 38 2 2" xfId="2300" xr:uid="{00000000-0005-0000-0000-0000FC080000}"/>
    <cellStyle name="Normal 38 2 2 2" xfId="5156" xr:uid="{00000000-0005-0000-0000-000024140000}"/>
    <cellStyle name="Normal 38 2 3" xfId="3738" xr:uid="{00000000-0005-0000-0000-00009A0E0000}"/>
    <cellStyle name="Normal 38 3" xfId="1653" xr:uid="{00000000-0005-0000-0000-000075060000}"/>
    <cellStyle name="Normal 38 3 2" xfId="4513" xr:uid="{00000000-0005-0000-0000-0000A1110000}"/>
    <cellStyle name="Normal 38 4" xfId="3097" xr:uid="{00000000-0005-0000-0000-0000190C0000}"/>
    <cellStyle name="Normal 39" xfId="127" xr:uid="{00000000-0005-0000-0000-00007F000000}"/>
    <cellStyle name="Normal 39 2" xfId="853" xr:uid="{00000000-0005-0000-0000-000055030000}"/>
    <cellStyle name="Normal 39 2 2" xfId="2301" xr:uid="{00000000-0005-0000-0000-0000FD080000}"/>
    <cellStyle name="Normal 39 2 2 2" xfId="5157" xr:uid="{00000000-0005-0000-0000-000025140000}"/>
    <cellStyle name="Normal 39 2 3" xfId="3739" xr:uid="{00000000-0005-0000-0000-00009B0E0000}"/>
    <cellStyle name="Normal 39 3" xfId="1654" xr:uid="{00000000-0005-0000-0000-000076060000}"/>
    <cellStyle name="Normal 39 3 2" xfId="4514" xr:uid="{00000000-0005-0000-0000-0000A2110000}"/>
    <cellStyle name="Normal 39 4" xfId="3098" xr:uid="{00000000-0005-0000-0000-00001A0C0000}"/>
    <cellStyle name="Normal 4" xfId="21" xr:uid="{00000000-0005-0000-0000-000015000000}"/>
    <cellStyle name="Normal 4 2" xfId="22" xr:uid="{00000000-0005-0000-0000-000016000000}"/>
    <cellStyle name="Normal 4 3" xfId="30" xr:uid="{00000000-0005-0000-0000-00001E000000}"/>
    <cellStyle name="Normal 4 3 2" xfId="771" xr:uid="{00000000-0005-0000-0000-000003030000}"/>
    <cellStyle name="Normal 4 4" xfId="57" xr:uid="{00000000-0005-0000-0000-000039000000}"/>
    <cellStyle name="Normal 4 5" xfId="657" xr:uid="{00000000-0005-0000-0000-000091020000}"/>
    <cellStyle name="Normal 40" xfId="134" xr:uid="{00000000-0005-0000-0000-000086000000}"/>
    <cellStyle name="Normal 40 2" xfId="859" xr:uid="{00000000-0005-0000-0000-00005B030000}"/>
    <cellStyle name="Normal 40 2 2" xfId="2307" xr:uid="{00000000-0005-0000-0000-000003090000}"/>
    <cellStyle name="Normal 40 2 2 2" xfId="5163" xr:uid="{00000000-0005-0000-0000-00002B140000}"/>
    <cellStyle name="Normal 40 2 3" xfId="3745" xr:uid="{00000000-0005-0000-0000-0000A10E0000}"/>
    <cellStyle name="Normal 40 3" xfId="1660" xr:uid="{00000000-0005-0000-0000-00007C060000}"/>
    <cellStyle name="Normal 40 3 2" xfId="4520" xr:uid="{00000000-0005-0000-0000-0000A8110000}"/>
    <cellStyle name="Normal 40 4" xfId="3104" xr:uid="{00000000-0005-0000-0000-0000200C0000}"/>
    <cellStyle name="Normal 41" xfId="137" xr:uid="{00000000-0005-0000-0000-000089000000}"/>
    <cellStyle name="Normal 41 2" xfId="862" xr:uid="{00000000-0005-0000-0000-00005E030000}"/>
    <cellStyle name="Normal 41 2 2" xfId="2310" xr:uid="{00000000-0005-0000-0000-000006090000}"/>
    <cellStyle name="Normal 41 2 2 2" xfId="5166" xr:uid="{00000000-0005-0000-0000-00002E140000}"/>
    <cellStyle name="Normal 41 2 3" xfId="3748" xr:uid="{00000000-0005-0000-0000-0000A40E0000}"/>
    <cellStyle name="Normal 41 3" xfId="1663" xr:uid="{00000000-0005-0000-0000-00007F060000}"/>
    <cellStyle name="Normal 41 3 2" xfId="4523" xr:uid="{00000000-0005-0000-0000-0000AB110000}"/>
    <cellStyle name="Normal 41 4" xfId="3107" xr:uid="{00000000-0005-0000-0000-0000230C0000}"/>
    <cellStyle name="Normal 42" xfId="138" xr:uid="{00000000-0005-0000-0000-00008A000000}"/>
    <cellStyle name="Normal 42 2" xfId="863" xr:uid="{00000000-0005-0000-0000-00005F030000}"/>
    <cellStyle name="Normal 42 2 2" xfId="2311" xr:uid="{00000000-0005-0000-0000-000007090000}"/>
    <cellStyle name="Normal 42 2 2 2" xfId="5167" xr:uid="{00000000-0005-0000-0000-00002F140000}"/>
    <cellStyle name="Normal 42 2 3" xfId="3749" xr:uid="{00000000-0005-0000-0000-0000A50E0000}"/>
    <cellStyle name="Normal 42 3" xfId="1664" xr:uid="{00000000-0005-0000-0000-000080060000}"/>
    <cellStyle name="Normal 42 3 2" xfId="4524" xr:uid="{00000000-0005-0000-0000-0000AC110000}"/>
    <cellStyle name="Normal 42 4" xfId="3108" xr:uid="{00000000-0005-0000-0000-0000240C0000}"/>
    <cellStyle name="Normal 43" xfId="144" xr:uid="{00000000-0005-0000-0000-000090000000}"/>
    <cellStyle name="Normal 43 2" xfId="869" xr:uid="{00000000-0005-0000-0000-000065030000}"/>
    <cellStyle name="Normal 43 2 2" xfId="2317" xr:uid="{00000000-0005-0000-0000-00000D090000}"/>
    <cellStyle name="Normal 43 2 2 2" xfId="5173" xr:uid="{00000000-0005-0000-0000-000035140000}"/>
    <cellStyle name="Normal 43 2 3" xfId="3755" xr:uid="{00000000-0005-0000-0000-0000AB0E0000}"/>
    <cellStyle name="Normal 43 3" xfId="1670" xr:uid="{00000000-0005-0000-0000-000086060000}"/>
    <cellStyle name="Normal 43 3 2" xfId="4530" xr:uid="{00000000-0005-0000-0000-0000B2110000}"/>
    <cellStyle name="Normal 43 4" xfId="3114" xr:uid="{00000000-0005-0000-0000-00002A0C0000}"/>
    <cellStyle name="Normal 44" xfId="151" xr:uid="{00000000-0005-0000-0000-000097000000}"/>
    <cellStyle name="Normal 44 2" xfId="875" xr:uid="{00000000-0005-0000-0000-00006B030000}"/>
    <cellStyle name="Normal 44 2 2" xfId="2323" xr:uid="{00000000-0005-0000-0000-000013090000}"/>
    <cellStyle name="Normal 44 2 2 2" xfId="5179" xr:uid="{00000000-0005-0000-0000-00003B140000}"/>
    <cellStyle name="Normal 44 2 3" xfId="3761" xr:uid="{00000000-0005-0000-0000-0000B10E0000}"/>
    <cellStyle name="Normal 44 3" xfId="1676" xr:uid="{00000000-0005-0000-0000-00008C060000}"/>
    <cellStyle name="Normal 44 3 2" xfId="4536" xr:uid="{00000000-0005-0000-0000-0000B8110000}"/>
    <cellStyle name="Normal 44 4" xfId="3120" xr:uid="{00000000-0005-0000-0000-0000300C0000}"/>
    <cellStyle name="Normal 45" xfId="153" xr:uid="{00000000-0005-0000-0000-000099000000}"/>
    <cellStyle name="Normal 45 2" xfId="877" xr:uid="{00000000-0005-0000-0000-00006D030000}"/>
    <cellStyle name="Normal 45 2 2" xfId="2325" xr:uid="{00000000-0005-0000-0000-000015090000}"/>
    <cellStyle name="Normal 45 2 2 2" xfId="5181" xr:uid="{00000000-0005-0000-0000-00003D140000}"/>
    <cellStyle name="Normal 45 2 3" xfId="3763" xr:uid="{00000000-0005-0000-0000-0000B30E0000}"/>
    <cellStyle name="Normal 45 3" xfId="1678" xr:uid="{00000000-0005-0000-0000-00008E060000}"/>
    <cellStyle name="Normal 45 3 2" xfId="4538" xr:uid="{00000000-0005-0000-0000-0000BA110000}"/>
    <cellStyle name="Normal 45 4" xfId="3122" xr:uid="{00000000-0005-0000-0000-0000320C0000}"/>
    <cellStyle name="Normal 46" xfId="159" xr:uid="{00000000-0005-0000-0000-00009F000000}"/>
    <cellStyle name="Normal 46 2" xfId="882" xr:uid="{00000000-0005-0000-0000-000072030000}"/>
    <cellStyle name="Normal 46 2 2" xfId="2330" xr:uid="{00000000-0005-0000-0000-00001A090000}"/>
    <cellStyle name="Normal 46 2 2 2" xfId="5186" xr:uid="{00000000-0005-0000-0000-000042140000}"/>
    <cellStyle name="Normal 46 2 3" xfId="3768" xr:uid="{00000000-0005-0000-0000-0000B80E0000}"/>
    <cellStyle name="Normal 46 3" xfId="1683" xr:uid="{00000000-0005-0000-0000-000093060000}"/>
    <cellStyle name="Normal 46 3 2" xfId="4543" xr:uid="{00000000-0005-0000-0000-0000BF110000}"/>
    <cellStyle name="Normal 46 4" xfId="3127" xr:uid="{00000000-0005-0000-0000-0000370C0000}"/>
    <cellStyle name="Normal 47" xfId="161" xr:uid="{00000000-0005-0000-0000-0000A1000000}"/>
    <cellStyle name="Normal 47 2" xfId="884" xr:uid="{00000000-0005-0000-0000-000074030000}"/>
    <cellStyle name="Normal 47 2 2" xfId="2332" xr:uid="{00000000-0005-0000-0000-00001C090000}"/>
    <cellStyle name="Normal 47 2 2 2" xfId="5188" xr:uid="{00000000-0005-0000-0000-000044140000}"/>
    <cellStyle name="Normal 47 2 3" xfId="3770" xr:uid="{00000000-0005-0000-0000-0000BA0E0000}"/>
    <cellStyle name="Normal 47 3" xfId="1685" xr:uid="{00000000-0005-0000-0000-000095060000}"/>
    <cellStyle name="Normal 47 3 2" xfId="4545" xr:uid="{00000000-0005-0000-0000-0000C1110000}"/>
    <cellStyle name="Normal 47 4" xfId="3129" xr:uid="{00000000-0005-0000-0000-0000390C0000}"/>
    <cellStyle name="Normal 48" xfId="168" xr:uid="{00000000-0005-0000-0000-0000A8000000}"/>
    <cellStyle name="Normal 48 2" xfId="890" xr:uid="{00000000-0005-0000-0000-00007A030000}"/>
    <cellStyle name="Normal 48 2 2" xfId="2338" xr:uid="{00000000-0005-0000-0000-000022090000}"/>
    <cellStyle name="Normal 48 2 2 2" xfId="5194" xr:uid="{00000000-0005-0000-0000-00004A140000}"/>
    <cellStyle name="Normal 48 2 3" xfId="3776" xr:uid="{00000000-0005-0000-0000-0000C00E0000}"/>
    <cellStyle name="Normal 48 3" xfId="1691" xr:uid="{00000000-0005-0000-0000-00009B060000}"/>
    <cellStyle name="Normal 48 3 2" xfId="4551" xr:uid="{00000000-0005-0000-0000-0000C7110000}"/>
    <cellStyle name="Normal 48 4" xfId="3135" xr:uid="{00000000-0005-0000-0000-00003F0C0000}"/>
    <cellStyle name="Normal 49" xfId="171" xr:uid="{00000000-0005-0000-0000-0000AB000000}"/>
    <cellStyle name="Normal 49 2" xfId="893" xr:uid="{00000000-0005-0000-0000-00007D030000}"/>
    <cellStyle name="Normal 49 2 2" xfId="2341" xr:uid="{00000000-0005-0000-0000-000025090000}"/>
    <cellStyle name="Normal 49 2 2 2" xfId="5197" xr:uid="{00000000-0005-0000-0000-00004D140000}"/>
    <cellStyle name="Normal 49 2 3" xfId="3779" xr:uid="{00000000-0005-0000-0000-0000C30E0000}"/>
    <cellStyle name="Normal 49 3" xfId="1694" xr:uid="{00000000-0005-0000-0000-00009E060000}"/>
    <cellStyle name="Normal 49 3 2" xfId="4554" xr:uid="{00000000-0005-0000-0000-0000CA110000}"/>
    <cellStyle name="Normal 49 4" xfId="3138" xr:uid="{00000000-0005-0000-0000-0000420C0000}"/>
    <cellStyle name="Normal 5" xfId="23" xr:uid="{00000000-0005-0000-0000-000017000000}"/>
    <cellStyle name="Normal 5 2" xfId="35" xr:uid="{00000000-0005-0000-0000-000023000000}"/>
    <cellStyle name="Normal 5 2 2" xfId="484" xr:uid="{00000000-0005-0000-0000-0000E4010000}"/>
    <cellStyle name="Normal 50" xfId="173" xr:uid="{00000000-0005-0000-0000-0000AD000000}"/>
    <cellStyle name="Normal 50 2" xfId="895" xr:uid="{00000000-0005-0000-0000-00007F030000}"/>
    <cellStyle name="Normal 50 2 2" xfId="2343" xr:uid="{00000000-0005-0000-0000-000027090000}"/>
    <cellStyle name="Normal 50 2 2 2" xfId="5199" xr:uid="{00000000-0005-0000-0000-00004F140000}"/>
    <cellStyle name="Normal 50 2 3" xfId="3781" xr:uid="{00000000-0005-0000-0000-0000C50E0000}"/>
    <cellStyle name="Normal 50 3" xfId="1696" xr:uid="{00000000-0005-0000-0000-0000A0060000}"/>
    <cellStyle name="Normal 50 3 2" xfId="4556" xr:uid="{00000000-0005-0000-0000-0000CC110000}"/>
    <cellStyle name="Normal 50 4" xfId="3140" xr:uid="{00000000-0005-0000-0000-0000440C0000}"/>
    <cellStyle name="Normal 51" xfId="181" xr:uid="{00000000-0005-0000-0000-0000B5000000}"/>
    <cellStyle name="Normal 51 2" xfId="903" xr:uid="{00000000-0005-0000-0000-000087030000}"/>
    <cellStyle name="Normal 51 2 2" xfId="2351" xr:uid="{00000000-0005-0000-0000-00002F090000}"/>
    <cellStyle name="Normal 51 2 2 2" xfId="5207" xr:uid="{00000000-0005-0000-0000-000057140000}"/>
    <cellStyle name="Normal 51 2 3" xfId="3789" xr:uid="{00000000-0005-0000-0000-0000CD0E0000}"/>
    <cellStyle name="Normal 51 3" xfId="1704" xr:uid="{00000000-0005-0000-0000-0000A8060000}"/>
    <cellStyle name="Normal 51 3 2" xfId="4564" xr:uid="{00000000-0005-0000-0000-0000D4110000}"/>
    <cellStyle name="Normal 51 4" xfId="3148" xr:uid="{00000000-0005-0000-0000-00004C0C0000}"/>
    <cellStyle name="Normal 52" xfId="187" xr:uid="{00000000-0005-0000-0000-0000BB000000}"/>
    <cellStyle name="Normal 52 2" xfId="909" xr:uid="{00000000-0005-0000-0000-00008D030000}"/>
    <cellStyle name="Normal 52 2 2" xfId="2357" xr:uid="{00000000-0005-0000-0000-000035090000}"/>
    <cellStyle name="Normal 52 2 2 2" xfId="5213" xr:uid="{00000000-0005-0000-0000-00005D140000}"/>
    <cellStyle name="Normal 52 2 3" xfId="3795" xr:uid="{00000000-0005-0000-0000-0000D30E0000}"/>
    <cellStyle name="Normal 52 3" xfId="1710" xr:uid="{00000000-0005-0000-0000-0000AE060000}"/>
    <cellStyle name="Normal 52 3 2" xfId="4570" xr:uid="{00000000-0005-0000-0000-0000DA110000}"/>
    <cellStyle name="Normal 52 4" xfId="3154" xr:uid="{00000000-0005-0000-0000-0000520C0000}"/>
    <cellStyle name="Normal 53" xfId="188" xr:uid="{00000000-0005-0000-0000-0000BC000000}"/>
    <cellStyle name="Normal 53 2" xfId="910" xr:uid="{00000000-0005-0000-0000-00008E030000}"/>
    <cellStyle name="Normal 53 2 2" xfId="2358" xr:uid="{00000000-0005-0000-0000-000036090000}"/>
    <cellStyle name="Normal 53 2 2 2" xfId="5214" xr:uid="{00000000-0005-0000-0000-00005E140000}"/>
    <cellStyle name="Normal 53 2 3" xfId="3796" xr:uid="{00000000-0005-0000-0000-0000D40E0000}"/>
    <cellStyle name="Normal 53 3" xfId="1711" xr:uid="{00000000-0005-0000-0000-0000AF060000}"/>
    <cellStyle name="Normal 53 3 2" xfId="4571" xr:uid="{00000000-0005-0000-0000-0000DB110000}"/>
    <cellStyle name="Normal 53 4" xfId="3155" xr:uid="{00000000-0005-0000-0000-0000530C0000}"/>
    <cellStyle name="Normal 54" xfId="194" xr:uid="{00000000-0005-0000-0000-0000C2000000}"/>
    <cellStyle name="Normal 54 2" xfId="916" xr:uid="{00000000-0005-0000-0000-000094030000}"/>
    <cellStyle name="Normal 54 2 2" xfId="2364" xr:uid="{00000000-0005-0000-0000-00003C090000}"/>
    <cellStyle name="Normal 54 2 2 2" xfId="5220" xr:uid="{00000000-0005-0000-0000-000064140000}"/>
    <cellStyle name="Normal 54 2 3" xfId="3802" xr:uid="{00000000-0005-0000-0000-0000DA0E0000}"/>
    <cellStyle name="Normal 54 3" xfId="1717" xr:uid="{00000000-0005-0000-0000-0000B5060000}"/>
    <cellStyle name="Normal 54 3 2" xfId="4577" xr:uid="{00000000-0005-0000-0000-0000E1110000}"/>
    <cellStyle name="Normal 54 4" xfId="3161" xr:uid="{00000000-0005-0000-0000-0000590C0000}"/>
    <cellStyle name="Normal 55" xfId="195" xr:uid="{00000000-0005-0000-0000-0000C3000000}"/>
    <cellStyle name="Normal 55 2" xfId="917" xr:uid="{00000000-0005-0000-0000-000095030000}"/>
    <cellStyle name="Normal 55 2 2" xfId="2365" xr:uid="{00000000-0005-0000-0000-00003D090000}"/>
    <cellStyle name="Normal 55 2 2 2" xfId="5221" xr:uid="{00000000-0005-0000-0000-000065140000}"/>
    <cellStyle name="Normal 55 2 3" xfId="3803" xr:uid="{00000000-0005-0000-0000-0000DB0E0000}"/>
    <cellStyle name="Normal 55 3" xfId="1718" xr:uid="{00000000-0005-0000-0000-0000B6060000}"/>
    <cellStyle name="Normal 55 3 2" xfId="4578" xr:uid="{00000000-0005-0000-0000-0000E2110000}"/>
    <cellStyle name="Normal 55 4" xfId="3162" xr:uid="{00000000-0005-0000-0000-00005A0C0000}"/>
    <cellStyle name="Normal 56" xfId="198" xr:uid="{00000000-0005-0000-0000-0000C6000000}"/>
    <cellStyle name="Normal 56 2" xfId="920" xr:uid="{00000000-0005-0000-0000-000098030000}"/>
    <cellStyle name="Normal 56 2 2" xfId="2368" xr:uid="{00000000-0005-0000-0000-000040090000}"/>
    <cellStyle name="Normal 56 2 2 2" xfId="5224" xr:uid="{00000000-0005-0000-0000-000068140000}"/>
    <cellStyle name="Normal 56 2 3" xfId="3806" xr:uid="{00000000-0005-0000-0000-0000DE0E0000}"/>
    <cellStyle name="Normal 56 3" xfId="1721" xr:uid="{00000000-0005-0000-0000-0000B9060000}"/>
    <cellStyle name="Normal 56 3 2" xfId="4581" xr:uid="{00000000-0005-0000-0000-0000E5110000}"/>
    <cellStyle name="Normal 56 4" xfId="3165" xr:uid="{00000000-0005-0000-0000-00005D0C0000}"/>
    <cellStyle name="Normal 57" xfId="200" xr:uid="{00000000-0005-0000-0000-0000C8000000}"/>
    <cellStyle name="Normal 57 2" xfId="922" xr:uid="{00000000-0005-0000-0000-00009A030000}"/>
    <cellStyle name="Normal 57 2 2" xfId="2370" xr:uid="{00000000-0005-0000-0000-000042090000}"/>
    <cellStyle name="Normal 57 2 2 2" xfId="5226" xr:uid="{00000000-0005-0000-0000-00006A140000}"/>
    <cellStyle name="Normal 57 2 3" xfId="3808" xr:uid="{00000000-0005-0000-0000-0000E00E0000}"/>
    <cellStyle name="Normal 57 3" xfId="1723" xr:uid="{00000000-0005-0000-0000-0000BB060000}"/>
    <cellStyle name="Normal 57 3 2" xfId="4583" xr:uid="{00000000-0005-0000-0000-0000E7110000}"/>
    <cellStyle name="Normal 57 4" xfId="3167" xr:uid="{00000000-0005-0000-0000-00005F0C0000}"/>
    <cellStyle name="Normal 58" xfId="208" xr:uid="{00000000-0005-0000-0000-0000D0000000}"/>
    <cellStyle name="Normal 58 2" xfId="930" xr:uid="{00000000-0005-0000-0000-0000A2030000}"/>
    <cellStyle name="Normal 58 2 2" xfId="2378" xr:uid="{00000000-0005-0000-0000-00004A090000}"/>
    <cellStyle name="Normal 58 2 2 2" xfId="5234" xr:uid="{00000000-0005-0000-0000-000072140000}"/>
    <cellStyle name="Normal 58 2 3" xfId="3816" xr:uid="{00000000-0005-0000-0000-0000E80E0000}"/>
    <cellStyle name="Normal 58 3" xfId="1731" xr:uid="{00000000-0005-0000-0000-0000C3060000}"/>
    <cellStyle name="Normal 58 3 2" xfId="4591" xr:uid="{00000000-0005-0000-0000-0000EF110000}"/>
    <cellStyle name="Normal 58 4" xfId="3175" xr:uid="{00000000-0005-0000-0000-0000670C0000}"/>
    <cellStyle name="Normal 59" xfId="209" xr:uid="{00000000-0005-0000-0000-0000D1000000}"/>
    <cellStyle name="Normal 59 2" xfId="931" xr:uid="{00000000-0005-0000-0000-0000A3030000}"/>
    <cellStyle name="Normal 59 2 2" xfId="2379" xr:uid="{00000000-0005-0000-0000-00004B090000}"/>
    <cellStyle name="Normal 59 2 2 2" xfId="5235" xr:uid="{00000000-0005-0000-0000-000073140000}"/>
    <cellStyle name="Normal 59 2 3" xfId="3817" xr:uid="{00000000-0005-0000-0000-0000E90E0000}"/>
    <cellStyle name="Normal 59 3" xfId="1732" xr:uid="{00000000-0005-0000-0000-0000C4060000}"/>
    <cellStyle name="Normal 59 3 2" xfId="4592" xr:uid="{00000000-0005-0000-0000-0000F0110000}"/>
    <cellStyle name="Normal 59 4" xfId="3176" xr:uid="{00000000-0005-0000-0000-0000680C0000}"/>
    <cellStyle name="Normal 6" xfId="24" xr:uid="{00000000-0005-0000-0000-000018000000}"/>
    <cellStyle name="Normal 60" xfId="212" xr:uid="{00000000-0005-0000-0000-0000D4000000}"/>
    <cellStyle name="Normal 60 2" xfId="934" xr:uid="{00000000-0005-0000-0000-0000A6030000}"/>
    <cellStyle name="Normal 60 2 2" xfId="2382" xr:uid="{00000000-0005-0000-0000-00004E090000}"/>
    <cellStyle name="Normal 60 2 2 2" xfId="5238" xr:uid="{00000000-0005-0000-0000-000076140000}"/>
    <cellStyle name="Normal 60 2 3" xfId="3820" xr:uid="{00000000-0005-0000-0000-0000EC0E0000}"/>
    <cellStyle name="Normal 60 3" xfId="1735" xr:uid="{00000000-0005-0000-0000-0000C7060000}"/>
    <cellStyle name="Normal 60 3 2" xfId="4595" xr:uid="{00000000-0005-0000-0000-0000F3110000}"/>
    <cellStyle name="Normal 60 4" xfId="3179" xr:uid="{00000000-0005-0000-0000-00006B0C0000}"/>
    <cellStyle name="Normal 61" xfId="214" xr:uid="{00000000-0005-0000-0000-0000D6000000}"/>
    <cellStyle name="Normal 61 2" xfId="936" xr:uid="{00000000-0005-0000-0000-0000A8030000}"/>
    <cellStyle name="Normal 61 2 2" xfId="2384" xr:uid="{00000000-0005-0000-0000-000050090000}"/>
    <cellStyle name="Normal 61 2 2 2" xfId="5240" xr:uid="{00000000-0005-0000-0000-000078140000}"/>
    <cellStyle name="Normal 61 2 3" xfId="3822" xr:uid="{00000000-0005-0000-0000-0000EE0E0000}"/>
    <cellStyle name="Normal 61 3" xfId="1737" xr:uid="{00000000-0005-0000-0000-0000C9060000}"/>
    <cellStyle name="Normal 61 3 2" xfId="4597" xr:uid="{00000000-0005-0000-0000-0000F5110000}"/>
    <cellStyle name="Normal 61 4" xfId="3181" xr:uid="{00000000-0005-0000-0000-00006D0C0000}"/>
    <cellStyle name="Normal 62" xfId="222" xr:uid="{00000000-0005-0000-0000-0000DE000000}"/>
    <cellStyle name="Normal 62 2" xfId="944" xr:uid="{00000000-0005-0000-0000-0000B0030000}"/>
    <cellStyle name="Normal 62 2 2" xfId="2392" xr:uid="{00000000-0005-0000-0000-000058090000}"/>
    <cellStyle name="Normal 62 2 2 2" xfId="5248" xr:uid="{00000000-0005-0000-0000-000080140000}"/>
    <cellStyle name="Normal 62 2 3" xfId="3830" xr:uid="{00000000-0005-0000-0000-0000F60E0000}"/>
    <cellStyle name="Normal 62 3" xfId="1745" xr:uid="{00000000-0005-0000-0000-0000D1060000}"/>
    <cellStyle name="Normal 62 3 2" xfId="4605" xr:uid="{00000000-0005-0000-0000-0000FD110000}"/>
    <cellStyle name="Normal 62 4" xfId="3189" xr:uid="{00000000-0005-0000-0000-0000750C0000}"/>
    <cellStyle name="Normal 63" xfId="224" xr:uid="{00000000-0005-0000-0000-0000E0000000}"/>
    <cellStyle name="Normal 63 2" xfId="946" xr:uid="{00000000-0005-0000-0000-0000B2030000}"/>
    <cellStyle name="Normal 63 2 2" xfId="2394" xr:uid="{00000000-0005-0000-0000-00005A090000}"/>
    <cellStyle name="Normal 63 2 2 2" xfId="5250" xr:uid="{00000000-0005-0000-0000-000082140000}"/>
    <cellStyle name="Normal 63 2 3" xfId="3832" xr:uid="{00000000-0005-0000-0000-0000F80E0000}"/>
    <cellStyle name="Normal 63 3" xfId="1747" xr:uid="{00000000-0005-0000-0000-0000D3060000}"/>
    <cellStyle name="Normal 63 3 2" xfId="4607" xr:uid="{00000000-0005-0000-0000-0000FF110000}"/>
    <cellStyle name="Normal 63 4" xfId="3191" xr:uid="{00000000-0005-0000-0000-0000770C0000}"/>
    <cellStyle name="Normal 64" xfId="227" xr:uid="{00000000-0005-0000-0000-0000E3000000}"/>
    <cellStyle name="Normal 64 2" xfId="949" xr:uid="{00000000-0005-0000-0000-0000B5030000}"/>
    <cellStyle name="Normal 64 2 2" xfId="2397" xr:uid="{00000000-0005-0000-0000-00005D090000}"/>
    <cellStyle name="Normal 64 2 2 2" xfId="5253" xr:uid="{00000000-0005-0000-0000-000085140000}"/>
    <cellStyle name="Normal 64 2 3" xfId="3835" xr:uid="{00000000-0005-0000-0000-0000FB0E0000}"/>
    <cellStyle name="Normal 64 3" xfId="1750" xr:uid="{00000000-0005-0000-0000-0000D6060000}"/>
    <cellStyle name="Normal 64 3 2" xfId="4610" xr:uid="{00000000-0005-0000-0000-000002120000}"/>
    <cellStyle name="Normal 64 4" xfId="3194" xr:uid="{00000000-0005-0000-0000-00007A0C0000}"/>
    <cellStyle name="Normal 65" xfId="233" xr:uid="{00000000-0005-0000-0000-0000E9000000}"/>
    <cellStyle name="Normal 65 2" xfId="955" xr:uid="{00000000-0005-0000-0000-0000BB030000}"/>
    <cellStyle name="Normal 65 2 2" xfId="2403" xr:uid="{00000000-0005-0000-0000-000063090000}"/>
    <cellStyle name="Normal 65 2 2 2" xfId="5259" xr:uid="{00000000-0005-0000-0000-00008B140000}"/>
    <cellStyle name="Normal 65 2 3" xfId="3841" xr:uid="{00000000-0005-0000-0000-0000010F0000}"/>
    <cellStyle name="Normal 65 3" xfId="1756" xr:uid="{00000000-0005-0000-0000-0000DC060000}"/>
    <cellStyle name="Normal 65 3 2" xfId="4616" xr:uid="{00000000-0005-0000-0000-000008120000}"/>
    <cellStyle name="Normal 65 4" xfId="3200" xr:uid="{00000000-0005-0000-0000-0000800C0000}"/>
    <cellStyle name="Normal 66" xfId="235" xr:uid="{00000000-0005-0000-0000-0000EB000000}"/>
    <cellStyle name="Normal 66 2" xfId="957" xr:uid="{00000000-0005-0000-0000-0000BD030000}"/>
    <cellStyle name="Normal 66 2 2" xfId="2405" xr:uid="{00000000-0005-0000-0000-000065090000}"/>
    <cellStyle name="Normal 66 2 2 2" xfId="5261" xr:uid="{00000000-0005-0000-0000-00008D140000}"/>
    <cellStyle name="Normal 66 2 3" xfId="3843" xr:uid="{00000000-0005-0000-0000-0000030F0000}"/>
    <cellStyle name="Normal 66 3" xfId="1758" xr:uid="{00000000-0005-0000-0000-0000DE060000}"/>
    <cellStyle name="Normal 66 3 2" xfId="4618" xr:uid="{00000000-0005-0000-0000-00000A120000}"/>
    <cellStyle name="Normal 66 4" xfId="3202" xr:uid="{00000000-0005-0000-0000-0000820C0000}"/>
    <cellStyle name="Normal 67" xfId="238" xr:uid="{00000000-0005-0000-0000-0000EE000000}"/>
    <cellStyle name="Normal 67 2" xfId="960" xr:uid="{00000000-0005-0000-0000-0000C0030000}"/>
    <cellStyle name="Normal 67 2 2" xfId="2408" xr:uid="{00000000-0005-0000-0000-000068090000}"/>
    <cellStyle name="Normal 67 2 2 2" xfId="5264" xr:uid="{00000000-0005-0000-0000-000090140000}"/>
    <cellStyle name="Normal 67 2 3" xfId="3846" xr:uid="{00000000-0005-0000-0000-0000060F0000}"/>
    <cellStyle name="Normal 67 3" xfId="1761" xr:uid="{00000000-0005-0000-0000-0000E1060000}"/>
    <cellStyle name="Normal 67 3 2" xfId="4621" xr:uid="{00000000-0005-0000-0000-00000D120000}"/>
    <cellStyle name="Normal 67 4" xfId="3205" xr:uid="{00000000-0005-0000-0000-0000850C0000}"/>
    <cellStyle name="Normal 68" xfId="247" xr:uid="{00000000-0005-0000-0000-0000F7000000}"/>
    <cellStyle name="Normal 68 2" xfId="969" xr:uid="{00000000-0005-0000-0000-0000C9030000}"/>
    <cellStyle name="Normal 68 2 2" xfId="2417" xr:uid="{00000000-0005-0000-0000-000071090000}"/>
    <cellStyle name="Normal 68 2 2 2" xfId="5273" xr:uid="{00000000-0005-0000-0000-000099140000}"/>
    <cellStyle name="Normal 68 2 3" xfId="3855" xr:uid="{00000000-0005-0000-0000-00000F0F0000}"/>
    <cellStyle name="Normal 68 3" xfId="1770" xr:uid="{00000000-0005-0000-0000-0000EA060000}"/>
    <cellStyle name="Normal 68 3 2" xfId="4630" xr:uid="{00000000-0005-0000-0000-000016120000}"/>
    <cellStyle name="Normal 68 4" xfId="3214" xr:uid="{00000000-0005-0000-0000-00008E0C0000}"/>
    <cellStyle name="Normal 69" xfId="248" xr:uid="{00000000-0005-0000-0000-0000F8000000}"/>
    <cellStyle name="Normal 69 2" xfId="970" xr:uid="{00000000-0005-0000-0000-0000CA030000}"/>
    <cellStyle name="Normal 69 2 2" xfId="2418" xr:uid="{00000000-0005-0000-0000-000072090000}"/>
    <cellStyle name="Normal 69 2 2 2" xfId="5274" xr:uid="{00000000-0005-0000-0000-00009A140000}"/>
    <cellStyle name="Normal 69 2 3" xfId="3856" xr:uid="{00000000-0005-0000-0000-0000100F0000}"/>
    <cellStyle name="Normal 69 3" xfId="1771" xr:uid="{00000000-0005-0000-0000-0000EB060000}"/>
    <cellStyle name="Normal 69 3 2" xfId="4631" xr:uid="{00000000-0005-0000-0000-000017120000}"/>
    <cellStyle name="Normal 69 4" xfId="3215" xr:uid="{00000000-0005-0000-0000-00008F0C0000}"/>
    <cellStyle name="Normal 7" xfId="25" xr:uid="{00000000-0005-0000-0000-000019000000}"/>
    <cellStyle name="Normal 7 2" xfId="634" xr:uid="{00000000-0005-0000-0000-00007A020000}"/>
    <cellStyle name="Normal 7 2 2" xfId="1348" xr:uid="{00000000-0005-0000-0000-000044050000}"/>
    <cellStyle name="Normal 7 2 2 2" xfId="2796" xr:uid="{00000000-0005-0000-0000-0000EC0A0000}"/>
    <cellStyle name="Normal 7 2 2 2 2" xfId="5652" xr:uid="{00000000-0005-0000-0000-000014160000}"/>
    <cellStyle name="Normal 7 2 2 3" xfId="4234" xr:uid="{00000000-0005-0000-0000-00008A100000}"/>
    <cellStyle name="Normal 7 2 3" xfId="2152" xr:uid="{00000000-0005-0000-0000-000068080000}"/>
    <cellStyle name="Normal 7 2 3 2" xfId="5012" xr:uid="{00000000-0005-0000-0000-000094130000}"/>
    <cellStyle name="Normal 7 2 4" xfId="3596" xr:uid="{00000000-0005-0000-0000-00000C0E0000}"/>
    <cellStyle name="Normal 70" xfId="251" xr:uid="{00000000-0005-0000-0000-0000FB000000}"/>
    <cellStyle name="Normal 70 2" xfId="973" xr:uid="{00000000-0005-0000-0000-0000CD030000}"/>
    <cellStyle name="Normal 70 2 2" xfId="2421" xr:uid="{00000000-0005-0000-0000-000075090000}"/>
    <cellStyle name="Normal 70 2 2 2" xfId="5277" xr:uid="{00000000-0005-0000-0000-00009D140000}"/>
    <cellStyle name="Normal 70 2 3" xfId="3859" xr:uid="{00000000-0005-0000-0000-0000130F0000}"/>
    <cellStyle name="Normal 70 3" xfId="1774" xr:uid="{00000000-0005-0000-0000-0000EE060000}"/>
    <cellStyle name="Normal 70 3 2" xfId="4634" xr:uid="{00000000-0005-0000-0000-00001A120000}"/>
    <cellStyle name="Normal 70 4" xfId="3218" xr:uid="{00000000-0005-0000-0000-0000920C0000}"/>
    <cellStyle name="Normal 71" xfId="258" xr:uid="{00000000-0005-0000-0000-000002010000}"/>
    <cellStyle name="Normal 71 2" xfId="980" xr:uid="{00000000-0005-0000-0000-0000D4030000}"/>
    <cellStyle name="Normal 71 2 2" xfId="2428" xr:uid="{00000000-0005-0000-0000-00007C090000}"/>
    <cellStyle name="Normal 71 2 2 2" xfId="5284" xr:uid="{00000000-0005-0000-0000-0000A4140000}"/>
    <cellStyle name="Normal 71 2 3" xfId="3866" xr:uid="{00000000-0005-0000-0000-00001A0F0000}"/>
    <cellStyle name="Normal 71 3" xfId="1781" xr:uid="{00000000-0005-0000-0000-0000F5060000}"/>
    <cellStyle name="Normal 71 3 2" xfId="4641" xr:uid="{00000000-0005-0000-0000-000021120000}"/>
    <cellStyle name="Normal 71 4" xfId="3225" xr:uid="{00000000-0005-0000-0000-0000990C0000}"/>
    <cellStyle name="Normal 72" xfId="260" xr:uid="{00000000-0005-0000-0000-000004010000}"/>
    <cellStyle name="Normal 72 2" xfId="982" xr:uid="{00000000-0005-0000-0000-0000D6030000}"/>
    <cellStyle name="Normal 72 2 2" xfId="2430" xr:uid="{00000000-0005-0000-0000-00007E090000}"/>
    <cellStyle name="Normal 72 2 2 2" xfId="5286" xr:uid="{00000000-0005-0000-0000-0000A6140000}"/>
    <cellStyle name="Normal 72 2 3" xfId="3868" xr:uid="{00000000-0005-0000-0000-00001C0F0000}"/>
    <cellStyle name="Normal 72 3" xfId="1783" xr:uid="{00000000-0005-0000-0000-0000F7060000}"/>
    <cellStyle name="Normal 72 3 2" xfId="4643" xr:uid="{00000000-0005-0000-0000-000023120000}"/>
    <cellStyle name="Normal 72 4" xfId="3227" xr:uid="{00000000-0005-0000-0000-00009B0C0000}"/>
    <cellStyle name="Normal 73" xfId="269" xr:uid="{00000000-0005-0000-0000-00000D010000}"/>
    <cellStyle name="Normal 73 2" xfId="991" xr:uid="{00000000-0005-0000-0000-0000DF030000}"/>
    <cellStyle name="Normal 73 2 2" xfId="2439" xr:uid="{00000000-0005-0000-0000-000087090000}"/>
    <cellStyle name="Normal 73 2 2 2" xfId="5295" xr:uid="{00000000-0005-0000-0000-0000AF140000}"/>
    <cellStyle name="Normal 73 2 3" xfId="3877" xr:uid="{00000000-0005-0000-0000-0000250F0000}"/>
    <cellStyle name="Normal 73 3" xfId="1792" xr:uid="{00000000-0005-0000-0000-000000070000}"/>
    <cellStyle name="Normal 73 3 2" xfId="4652" xr:uid="{00000000-0005-0000-0000-00002C120000}"/>
    <cellStyle name="Normal 73 4" xfId="3236" xr:uid="{00000000-0005-0000-0000-0000A40C0000}"/>
    <cellStyle name="Normal 74" xfId="271" xr:uid="{00000000-0005-0000-0000-00000F010000}"/>
    <cellStyle name="Normal 74 2" xfId="993" xr:uid="{00000000-0005-0000-0000-0000E1030000}"/>
    <cellStyle name="Normal 74 2 2" xfId="2441" xr:uid="{00000000-0005-0000-0000-000089090000}"/>
    <cellStyle name="Normal 74 2 2 2" xfId="5297" xr:uid="{00000000-0005-0000-0000-0000B1140000}"/>
    <cellStyle name="Normal 74 2 3" xfId="3879" xr:uid="{00000000-0005-0000-0000-0000270F0000}"/>
    <cellStyle name="Normal 74 3" xfId="1794" xr:uid="{00000000-0005-0000-0000-000002070000}"/>
    <cellStyle name="Normal 74 3 2" xfId="4654" xr:uid="{00000000-0005-0000-0000-00002E120000}"/>
    <cellStyle name="Normal 74 4" xfId="3238" xr:uid="{00000000-0005-0000-0000-0000A60C0000}"/>
    <cellStyle name="Normal 75" xfId="274" xr:uid="{00000000-0005-0000-0000-000012010000}"/>
    <cellStyle name="Normal 75 2" xfId="996" xr:uid="{00000000-0005-0000-0000-0000E4030000}"/>
    <cellStyle name="Normal 75 2 2" xfId="2444" xr:uid="{00000000-0005-0000-0000-00008C090000}"/>
    <cellStyle name="Normal 75 2 2 2" xfId="5300" xr:uid="{00000000-0005-0000-0000-0000B4140000}"/>
    <cellStyle name="Normal 75 2 3" xfId="3882" xr:uid="{00000000-0005-0000-0000-00002A0F0000}"/>
    <cellStyle name="Normal 75 3" xfId="1797" xr:uid="{00000000-0005-0000-0000-000005070000}"/>
    <cellStyle name="Normal 75 3 2" xfId="4657" xr:uid="{00000000-0005-0000-0000-000031120000}"/>
    <cellStyle name="Normal 75 4" xfId="3241" xr:uid="{00000000-0005-0000-0000-0000A90C0000}"/>
    <cellStyle name="Normal 76" xfId="277" xr:uid="{00000000-0005-0000-0000-000015010000}"/>
    <cellStyle name="Normal 76 2" xfId="999" xr:uid="{00000000-0005-0000-0000-0000E7030000}"/>
    <cellStyle name="Normal 76 2 2" xfId="2447" xr:uid="{00000000-0005-0000-0000-00008F090000}"/>
    <cellStyle name="Normal 76 2 2 2" xfId="5303" xr:uid="{00000000-0005-0000-0000-0000B7140000}"/>
    <cellStyle name="Normal 76 2 3" xfId="3885" xr:uid="{00000000-0005-0000-0000-00002D0F0000}"/>
    <cellStyle name="Normal 76 3" xfId="1800" xr:uid="{00000000-0005-0000-0000-000008070000}"/>
    <cellStyle name="Normal 76 3 2" xfId="4660" xr:uid="{00000000-0005-0000-0000-000034120000}"/>
    <cellStyle name="Normal 76 4" xfId="3244" xr:uid="{00000000-0005-0000-0000-0000AC0C0000}"/>
    <cellStyle name="Normal 77" xfId="284" xr:uid="{00000000-0005-0000-0000-00001C010000}"/>
    <cellStyle name="Normal 77 2" xfId="1006" xr:uid="{00000000-0005-0000-0000-0000EE030000}"/>
    <cellStyle name="Normal 77 2 2" xfId="2454" xr:uid="{00000000-0005-0000-0000-000096090000}"/>
    <cellStyle name="Normal 77 2 2 2" xfId="5310" xr:uid="{00000000-0005-0000-0000-0000BE140000}"/>
    <cellStyle name="Normal 77 2 3" xfId="3892" xr:uid="{00000000-0005-0000-0000-0000340F0000}"/>
    <cellStyle name="Normal 77 3" xfId="1807" xr:uid="{00000000-0005-0000-0000-00000F070000}"/>
    <cellStyle name="Normal 77 3 2" xfId="4667" xr:uid="{00000000-0005-0000-0000-00003B120000}"/>
    <cellStyle name="Normal 77 4" xfId="3251" xr:uid="{00000000-0005-0000-0000-0000B30C0000}"/>
    <cellStyle name="Normal 78" xfId="287" xr:uid="{00000000-0005-0000-0000-00001F010000}"/>
    <cellStyle name="Normal 78 2" xfId="1009" xr:uid="{00000000-0005-0000-0000-0000F1030000}"/>
    <cellStyle name="Normal 78 2 2" xfId="2457" xr:uid="{00000000-0005-0000-0000-000099090000}"/>
    <cellStyle name="Normal 78 2 2 2" xfId="5313" xr:uid="{00000000-0005-0000-0000-0000C1140000}"/>
    <cellStyle name="Normal 78 2 3" xfId="3895" xr:uid="{00000000-0005-0000-0000-0000370F0000}"/>
    <cellStyle name="Normal 78 3" xfId="1810" xr:uid="{00000000-0005-0000-0000-000012070000}"/>
    <cellStyle name="Normal 78 3 2" xfId="4670" xr:uid="{00000000-0005-0000-0000-00003E120000}"/>
    <cellStyle name="Normal 78 4" xfId="3254" xr:uid="{00000000-0005-0000-0000-0000B60C0000}"/>
    <cellStyle name="Normal 79" xfId="289" xr:uid="{00000000-0005-0000-0000-000021010000}"/>
    <cellStyle name="Normal 79 2" xfId="1011" xr:uid="{00000000-0005-0000-0000-0000F3030000}"/>
    <cellStyle name="Normal 79 2 2" xfId="2459" xr:uid="{00000000-0005-0000-0000-00009B090000}"/>
    <cellStyle name="Normal 79 2 2 2" xfId="5315" xr:uid="{00000000-0005-0000-0000-0000C3140000}"/>
    <cellStyle name="Normal 79 2 3" xfId="3897" xr:uid="{00000000-0005-0000-0000-0000390F0000}"/>
    <cellStyle name="Normal 79 3" xfId="1812" xr:uid="{00000000-0005-0000-0000-000014070000}"/>
    <cellStyle name="Normal 79 3 2" xfId="4672" xr:uid="{00000000-0005-0000-0000-000040120000}"/>
    <cellStyle name="Normal 79 4" xfId="3256" xr:uid="{00000000-0005-0000-0000-0000B80C0000}"/>
    <cellStyle name="Normal 8" xfId="27" xr:uid="{00000000-0005-0000-0000-00001B000000}"/>
    <cellStyle name="Normal 8 2" xfId="769" xr:uid="{00000000-0005-0000-0000-000001030000}"/>
    <cellStyle name="Normal 8 2 2" xfId="2223" xr:uid="{00000000-0005-0000-0000-0000AF080000}"/>
    <cellStyle name="Normal 8 2 2 2" xfId="5079" xr:uid="{00000000-0005-0000-0000-0000D7130000}"/>
    <cellStyle name="Normal 8 2 3" xfId="3660" xr:uid="{00000000-0005-0000-0000-00004C0E0000}"/>
    <cellStyle name="Normal 8 3" xfId="1575" xr:uid="{00000000-0005-0000-0000-000027060000}"/>
    <cellStyle name="Normal 8 3 2" xfId="4435" xr:uid="{00000000-0005-0000-0000-000053110000}"/>
    <cellStyle name="Normal 8 4" xfId="3020" xr:uid="{00000000-0005-0000-0000-0000CC0B0000}"/>
    <cellStyle name="Normal 80" xfId="292" xr:uid="{00000000-0005-0000-0000-000024010000}"/>
    <cellStyle name="Normal 80 2" xfId="449" xr:uid="{00000000-0005-0000-0000-0000C1010000}"/>
    <cellStyle name="Normal 80 2 2" xfId="616" xr:uid="{00000000-0005-0000-0000-000068020000}"/>
    <cellStyle name="Normal 80 2 2 2" xfId="703" xr:uid="{00000000-0005-0000-0000-0000BF020000}"/>
    <cellStyle name="Normal 80 2 2 2 2" xfId="1386" xr:uid="{00000000-0005-0000-0000-00006A050000}"/>
    <cellStyle name="Normal 80 2 2 2 2 2" xfId="2833" xr:uid="{00000000-0005-0000-0000-0000110B0000}"/>
    <cellStyle name="Normal 80 2 2 2 2 2 2" xfId="5688" xr:uid="{00000000-0005-0000-0000-000038160000}"/>
    <cellStyle name="Normal 80 2 2 2 2 3" xfId="4270" xr:uid="{00000000-0005-0000-0000-0000AE100000}"/>
    <cellStyle name="Normal 80 2 2 2 3" xfId="1490" xr:uid="{00000000-0005-0000-0000-0000D2050000}"/>
    <cellStyle name="Normal 80 2 2 2 3 2" xfId="2918" xr:uid="{00000000-0005-0000-0000-0000660B0000}"/>
    <cellStyle name="Normal 80 2 2 2 3 2 2" xfId="5772" xr:uid="{00000000-0005-0000-0000-00008C160000}"/>
    <cellStyle name="Normal 80 2 2 2 3 3" xfId="4351" xr:uid="{00000000-0005-0000-0000-0000FF100000}"/>
    <cellStyle name="Normal 80 2 2 2 4" xfId="2191" xr:uid="{00000000-0005-0000-0000-00008F080000}"/>
    <cellStyle name="Normal 80 2 2 2 4 2" xfId="5049" xr:uid="{00000000-0005-0000-0000-0000B9130000}"/>
    <cellStyle name="Normal 80 2 2 2 5" xfId="3633" xr:uid="{00000000-0005-0000-0000-0000310E0000}"/>
    <cellStyle name="Normal 80 2 2 3" xfId="1334" xr:uid="{00000000-0005-0000-0000-000036050000}"/>
    <cellStyle name="Normal 80 2 2 3 2" xfId="2782" xr:uid="{00000000-0005-0000-0000-0000DE0A0000}"/>
    <cellStyle name="Normal 80 2 2 3 2 2" xfId="5638" xr:uid="{00000000-0005-0000-0000-000006160000}"/>
    <cellStyle name="Normal 80 2 2 3 3" xfId="4220" xr:uid="{00000000-0005-0000-0000-00007C100000}"/>
    <cellStyle name="Normal 80 2 2 4" xfId="2137" xr:uid="{00000000-0005-0000-0000-000059080000}"/>
    <cellStyle name="Normal 80 2 2 4 2" xfId="4997" xr:uid="{00000000-0005-0000-0000-000085130000}"/>
    <cellStyle name="Normal 80 2 2 5" xfId="3581" xr:uid="{00000000-0005-0000-0000-0000FD0D0000}"/>
    <cellStyle name="Normal 80 2 3" xfId="1170" xr:uid="{00000000-0005-0000-0000-000092040000}"/>
    <cellStyle name="Normal 80 2 3 2" xfId="2618" xr:uid="{00000000-0005-0000-0000-00003A0A0000}"/>
    <cellStyle name="Normal 80 2 3 2 2" xfId="5474" xr:uid="{00000000-0005-0000-0000-000062150000}"/>
    <cellStyle name="Normal 80 2 3 3" xfId="4056" xr:uid="{00000000-0005-0000-0000-0000D80F0000}"/>
    <cellStyle name="Normal 80 2 4" xfId="1972" xr:uid="{00000000-0005-0000-0000-0000B4070000}"/>
    <cellStyle name="Normal 80 2 4 2" xfId="4832" xr:uid="{00000000-0005-0000-0000-0000E0120000}"/>
    <cellStyle name="Normal 80 2 5" xfId="3416" xr:uid="{00000000-0005-0000-0000-0000580D0000}"/>
    <cellStyle name="Normal 80 3" xfId="1014" xr:uid="{00000000-0005-0000-0000-0000F6030000}"/>
    <cellStyle name="Normal 80 3 2" xfId="2462" xr:uid="{00000000-0005-0000-0000-00009E090000}"/>
    <cellStyle name="Normal 80 3 2 2" xfId="5318" xr:uid="{00000000-0005-0000-0000-0000C6140000}"/>
    <cellStyle name="Normal 80 3 3" xfId="3900" xr:uid="{00000000-0005-0000-0000-00003C0F0000}"/>
    <cellStyle name="Normal 80 4" xfId="1815" xr:uid="{00000000-0005-0000-0000-000017070000}"/>
    <cellStyle name="Normal 80 4 2" xfId="4675" xr:uid="{00000000-0005-0000-0000-000043120000}"/>
    <cellStyle name="Normal 80 5" xfId="3259" xr:uid="{00000000-0005-0000-0000-0000BB0C0000}"/>
    <cellStyle name="Normal 81" xfId="301" xr:uid="{00000000-0005-0000-0000-00002D010000}"/>
    <cellStyle name="Normal 81 2" xfId="1022" xr:uid="{00000000-0005-0000-0000-0000FE030000}"/>
    <cellStyle name="Normal 81 2 2" xfId="2470" xr:uid="{00000000-0005-0000-0000-0000A6090000}"/>
    <cellStyle name="Normal 81 2 2 2" xfId="5326" xr:uid="{00000000-0005-0000-0000-0000CE140000}"/>
    <cellStyle name="Normal 81 2 3" xfId="3908" xr:uid="{00000000-0005-0000-0000-0000440F0000}"/>
    <cellStyle name="Normal 81 3" xfId="1824" xr:uid="{00000000-0005-0000-0000-000020070000}"/>
    <cellStyle name="Normal 81 3 2" xfId="4684" xr:uid="{00000000-0005-0000-0000-00004C120000}"/>
    <cellStyle name="Normal 81 4" xfId="3268" xr:uid="{00000000-0005-0000-0000-0000C40C0000}"/>
    <cellStyle name="Normal 82" xfId="310" xr:uid="{00000000-0005-0000-0000-000036010000}"/>
    <cellStyle name="Normal 82 2" xfId="1031" xr:uid="{00000000-0005-0000-0000-000007040000}"/>
    <cellStyle name="Normal 82 2 2" xfId="2479" xr:uid="{00000000-0005-0000-0000-0000AF090000}"/>
    <cellStyle name="Normal 82 2 2 2" xfId="5335" xr:uid="{00000000-0005-0000-0000-0000D7140000}"/>
    <cellStyle name="Normal 82 2 3" xfId="3917" xr:uid="{00000000-0005-0000-0000-00004D0F0000}"/>
    <cellStyle name="Normal 82 3" xfId="1833" xr:uid="{00000000-0005-0000-0000-000029070000}"/>
    <cellStyle name="Normal 82 3 2" xfId="4693" xr:uid="{00000000-0005-0000-0000-000055120000}"/>
    <cellStyle name="Normal 82 4" xfId="3277" xr:uid="{00000000-0005-0000-0000-0000CD0C0000}"/>
    <cellStyle name="Normal 83" xfId="312" xr:uid="{00000000-0005-0000-0000-000038010000}"/>
    <cellStyle name="Normal 83 2" xfId="1033" xr:uid="{00000000-0005-0000-0000-000009040000}"/>
    <cellStyle name="Normal 83 2 2" xfId="2481" xr:uid="{00000000-0005-0000-0000-0000B1090000}"/>
    <cellStyle name="Normal 83 2 2 2" xfId="5337" xr:uid="{00000000-0005-0000-0000-0000D9140000}"/>
    <cellStyle name="Normal 83 2 3" xfId="3919" xr:uid="{00000000-0005-0000-0000-00004F0F0000}"/>
    <cellStyle name="Normal 83 3" xfId="1835" xr:uid="{00000000-0005-0000-0000-00002B070000}"/>
    <cellStyle name="Normal 83 3 2" xfId="4695" xr:uid="{00000000-0005-0000-0000-000057120000}"/>
    <cellStyle name="Normal 83 4" xfId="3279" xr:uid="{00000000-0005-0000-0000-0000CF0C0000}"/>
    <cellStyle name="Normal 84" xfId="314" xr:uid="{00000000-0005-0000-0000-00003A010000}"/>
    <cellStyle name="Normal 84 2" xfId="1035" xr:uid="{00000000-0005-0000-0000-00000B040000}"/>
    <cellStyle name="Normal 84 2 2" xfId="2483" xr:uid="{00000000-0005-0000-0000-0000B3090000}"/>
    <cellStyle name="Normal 84 2 2 2" xfId="5339" xr:uid="{00000000-0005-0000-0000-0000DB140000}"/>
    <cellStyle name="Normal 84 2 3" xfId="3921" xr:uid="{00000000-0005-0000-0000-0000510F0000}"/>
    <cellStyle name="Normal 84 3" xfId="1837" xr:uid="{00000000-0005-0000-0000-00002D070000}"/>
    <cellStyle name="Normal 84 3 2" xfId="4697" xr:uid="{00000000-0005-0000-0000-000059120000}"/>
    <cellStyle name="Normal 84 4" xfId="3281" xr:uid="{00000000-0005-0000-0000-0000D10C0000}"/>
    <cellStyle name="Normal 85" xfId="318" xr:uid="{00000000-0005-0000-0000-00003E010000}"/>
    <cellStyle name="Normal 85 2" xfId="1039" xr:uid="{00000000-0005-0000-0000-00000F040000}"/>
    <cellStyle name="Normal 85 2 2" xfId="2487" xr:uid="{00000000-0005-0000-0000-0000B7090000}"/>
    <cellStyle name="Normal 85 2 2 2" xfId="5343" xr:uid="{00000000-0005-0000-0000-0000DF140000}"/>
    <cellStyle name="Normal 85 2 3" xfId="3925" xr:uid="{00000000-0005-0000-0000-0000550F0000}"/>
    <cellStyle name="Normal 85 3" xfId="1841" xr:uid="{00000000-0005-0000-0000-000031070000}"/>
    <cellStyle name="Normal 85 3 2" xfId="4701" xr:uid="{00000000-0005-0000-0000-00005D120000}"/>
    <cellStyle name="Normal 85 4" xfId="3285" xr:uid="{00000000-0005-0000-0000-0000D50C0000}"/>
    <cellStyle name="Normal 86" xfId="325" xr:uid="{00000000-0005-0000-0000-000045010000}"/>
    <cellStyle name="Normal 86 2" xfId="1046" xr:uid="{00000000-0005-0000-0000-000016040000}"/>
    <cellStyle name="Normal 86 2 2" xfId="2494" xr:uid="{00000000-0005-0000-0000-0000BE090000}"/>
    <cellStyle name="Normal 86 2 2 2" xfId="5350" xr:uid="{00000000-0005-0000-0000-0000E6140000}"/>
    <cellStyle name="Normal 86 2 3" xfId="3932" xr:uid="{00000000-0005-0000-0000-00005C0F0000}"/>
    <cellStyle name="Normal 86 3" xfId="1848" xr:uid="{00000000-0005-0000-0000-000038070000}"/>
    <cellStyle name="Normal 86 3 2" xfId="4708" xr:uid="{00000000-0005-0000-0000-000064120000}"/>
    <cellStyle name="Normal 86 4" xfId="3292" xr:uid="{00000000-0005-0000-0000-0000DC0C0000}"/>
    <cellStyle name="Normal 87" xfId="328" xr:uid="{00000000-0005-0000-0000-000048010000}"/>
    <cellStyle name="Normal 87 2" xfId="1049" xr:uid="{00000000-0005-0000-0000-000019040000}"/>
    <cellStyle name="Normal 87 2 2" xfId="2497" xr:uid="{00000000-0005-0000-0000-0000C1090000}"/>
    <cellStyle name="Normal 87 2 2 2" xfId="5353" xr:uid="{00000000-0005-0000-0000-0000E9140000}"/>
    <cellStyle name="Normal 87 2 3" xfId="3935" xr:uid="{00000000-0005-0000-0000-00005F0F0000}"/>
    <cellStyle name="Normal 87 3" xfId="1851" xr:uid="{00000000-0005-0000-0000-00003B070000}"/>
    <cellStyle name="Normal 87 3 2" xfId="4711" xr:uid="{00000000-0005-0000-0000-000067120000}"/>
    <cellStyle name="Normal 87 4" xfId="3295" xr:uid="{00000000-0005-0000-0000-0000DF0C0000}"/>
    <cellStyle name="Normal 88" xfId="332" xr:uid="{00000000-0005-0000-0000-00004C010000}"/>
    <cellStyle name="Normal 88 2" xfId="1053" xr:uid="{00000000-0005-0000-0000-00001D040000}"/>
    <cellStyle name="Normal 88 2 2" xfId="2501" xr:uid="{00000000-0005-0000-0000-0000C5090000}"/>
    <cellStyle name="Normal 88 2 2 2" xfId="5357" xr:uid="{00000000-0005-0000-0000-0000ED140000}"/>
    <cellStyle name="Normal 88 2 3" xfId="3939" xr:uid="{00000000-0005-0000-0000-0000630F0000}"/>
    <cellStyle name="Normal 88 3" xfId="1855" xr:uid="{00000000-0005-0000-0000-00003F070000}"/>
    <cellStyle name="Normal 88 3 2" xfId="4715" xr:uid="{00000000-0005-0000-0000-00006B120000}"/>
    <cellStyle name="Normal 88 4" xfId="3299" xr:uid="{00000000-0005-0000-0000-0000E30C0000}"/>
    <cellStyle name="Normal 89" xfId="335" xr:uid="{00000000-0005-0000-0000-00004F010000}"/>
    <cellStyle name="Normal 89 2" xfId="1056" xr:uid="{00000000-0005-0000-0000-000020040000}"/>
    <cellStyle name="Normal 89 2 2" xfId="2504" xr:uid="{00000000-0005-0000-0000-0000C8090000}"/>
    <cellStyle name="Normal 89 2 2 2" xfId="5360" xr:uid="{00000000-0005-0000-0000-0000F0140000}"/>
    <cellStyle name="Normal 89 2 3" xfId="3942" xr:uid="{00000000-0005-0000-0000-0000660F0000}"/>
    <cellStyle name="Normal 89 3" xfId="1858" xr:uid="{00000000-0005-0000-0000-000042070000}"/>
    <cellStyle name="Normal 89 3 2" xfId="4718" xr:uid="{00000000-0005-0000-0000-00006E120000}"/>
    <cellStyle name="Normal 89 4" xfId="3302" xr:uid="{00000000-0005-0000-0000-0000E60C0000}"/>
    <cellStyle name="Normal 9" xfId="29" xr:uid="{00000000-0005-0000-0000-00001D000000}"/>
    <cellStyle name="Normal 90" xfId="342" xr:uid="{00000000-0005-0000-0000-000056010000}"/>
    <cellStyle name="Normal 90 2" xfId="1063" xr:uid="{00000000-0005-0000-0000-000027040000}"/>
    <cellStyle name="Normal 90 2 2" xfId="2511" xr:uid="{00000000-0005-0000-0000-0000CF090000}"/>
    <cellStyle name="Normal 90 2 2 2" xfId="5367" xr:uid="{00000000-0005-0000-0000-0000F7140000}"/>
    <cellStyle name="Normal 90 2 3" xfId="3949" xr:uid="{00000000-0005-0000-0000-00006D0F0000}"/>
    <cellStyle name="Normal 90 3" xfId="1865" xr:uid="{00000000-0005-0000-0000-000049070000}"/>
    <cellStyle name="Normal 90 3 2" xfId="4725" xr:uid="{00000000-0005-0000-0000-000075120000}"/>
    <cellStyle name="Normal 90 4" xfId="3309" xr:uid="{00000000-0005-0000-0000-0000ED0C0000}"/>
    <cellStyle name="Normal 91" xfId="344" xr:uid="{00000000-0005-0000-0000-000058010000}"/>
    <cellStyle name="Normal 91 2" xfId="1065" xr:uid="{00000000-0005-0000-0000-000029040000}"/>
    <cellStyle name="Normal 91 2 2" xfId="2513" xr:uid="{00000000-0005-0000-0000-0000D1090000}"/>
    <cellStyle name="Normal 91 2 2 2" xfId="5369" xr:uid="{00000000-0005-0000-0000-0000F9140000}"/>
    <cellStyle name="Normal 91 2 3" xfId="3951" xr:uid="{00000000-0005-0000-0000-00006F0F0000}"/>
    <cellStyle name="Normal 91 3" xfId="1867" xr:uid="{00000000-0005-0000-0000-00004B070000}"/>
    <cellStyle name="Normal 91 3 2" xfId="4727" xr:uid="{00000000-0005-0000-0000-000077120000}"/>
    <cellStyle name="Normal 91 4" xfId="3311" xr:uid="{00000000-0005-0000-0000-0000EF0C0000}"/>
    <cellStyle name="Normal 92" xfId="354" xr:uid="{00000000-0005-0000-0000-000062010000}"/>
    <cellStyle name="Normal 92 2" xfId="1075" xr:uid="{00000000-0005-0000-0000-000033040000}"/>
    <cellStyle name="Normal 92 2 2" xfId="2523" xr:uid="{00000000-0005-0000-0000-0000DB090000}"/>
    <cellStyle name="Normal 92 2 2 2" xfId="5379" xr:uid="{00000000-0005-0000-0000-000003150000}"/>
    <cellStyle name="Normal 92 2 3" xfId="3961" xr:uid="{00000000-0005-0000-0000-0000790F0000}"/>
    <cellStyle name="Normal 92 3" xfId="1877" xr:uid="{00000000-0005-0000-0000-000055070000}"/>
    <cellStyle name="Normal 92 3 2" xfId="4737" xr:uid="{00000000-0005-0000-0000-000081120000}"/>
    <cellStyle name="Normal 92 4" xfId="3321" xr:uid="{00000000-0005-0000-0000-0000F90C0000}"/>
    <cellStyle name="Normal 93" xfId="356" xr:uid="{00000000-0005-0000-0000-000064010000}"/>
    <cellStyle name="Normal 93 2" xfId="1077" xr:uid="{00000000-0005-0000-0000-000035040000}"/>
    <cellStyle name="Normal 93 2 2" xfId="2525" xr:uid="{00000000-0005-0000-0000-0000DD090000}"/>
    <cellStyle name="Normal 93 2 2 2" xfId="5381" xr:uid="{00000000-0005-0000-0000-000005150000}"/>
    <cellStyle name="Normal 93 2 3" xfId="3963" xr:uid="{00000000-0005-0000-0000-00007B0F0000}"/>
    <cellStyle name="Normal 93 3" xfId="1879" xr:uid="{00000000-0005-0000-0000-000057070000}"/>
    <cellStyle name="Normal 93 3 2" xfId="4739" xr:uid="{00000000-0005-0000-0000-000083120000}"/>
    <cellStyle name="Normal 93 4" xfId="3323" xr:uid="{00000000-0005-0000-0000-0000FB0C0000}"/>
    <cellStyle name="Normal 94" xfId="360" xr:uid="{00000000-0005-0000-0000-000068010000}"/>
    <cellStyle name="Normal 94 2" xfId="1081" xr:uid="{00000000-0005-0000-0000-000039040000}"/>
    <cellStyle name="Normal 94 2 2" xfId="2529" xr:uid="{00000000-0005-0000-0000-0000E1090000}"/>
    <cellStyle name="Normal 94 2 2 2" xfId="5385" xr:uid="{00000000-0005-0000-0000-000009150000}"/>
    <cellStyle name="Normal 94 2 3" xfId="3967" xr:uid="{00000000-0005-0000-0000-00007F0F0000}"/>
    <cellStyle name="Normal 94 3" xfId="1883" xr:uid="{00000000-0005-0000-0000-00005B070000}"/>
    <cellStyle name="Normal 94 3 2" xfId="4743" xr:uid="{00000000-0005-0000-0000-000087120000}"/>
    <cellStyle name="Normal 94 4" xfId="3327" xr:uid="{00000000-0005-0000-0000-0000FF0C0000}"/>
    <cellStyle name="Normal 95" xfId="362" xr:uid="{00000000-0005-0000-0000-00006A010000}"/>
    <cellStyle name="Normal 95 2" xfId="1083" xr:uid="{00000000-0005-0000-0000-00003B040000}"/>
    <cellStyle name="Normal 95 2 2" xfId="2531" xr:uid="{00000000-0005-0000-0000-0000E3090000}"/>
    <cellStyle name="Normal 95 2 2 2" xfId="5387" xr:uid="{00000000-0005-0000-0000-00000B150000}"/>
    <cellStyle name="Normal 95 2 3" xfId="3969" xr:uid="{00000000-0005-0000-0000-0000810F0000}"/>
    <cellStyle name="Normal 95 3" xfId="1885" xr:uid="{00000000-0005-0000-0000-00005D070000}"/>
    <cellStyle name="Normal 95 3 2" xfId="4745" xr:uid="{00000000-0005-0000-0000-000089120000}"/>
    <cellStyle name="Normal 95 4" xfId="3329" xr:uid="{00000000-0005-0000-0000-0000010D0000}"/>
    <cellStyle name="Normal 96" xfId="369" xr:uid="{00000000-0005-0000-0000-000071010000}"/>
    <cellStyle name="Normal 96 2" xfId="1090" xr:uid="{00000000-0005-0000-0000-000042040000}"/>
    <cellStyle name="Normal 96 2 2" xfId="2538" xr:uid="{00000000-0005-0000-0000-0000EA090000}"/>
    <cellStyle name="Normal 96 2 2 2" xfId="5394" xr:uid="{00000000-0005-0000-0000-000012150000}"/>
    <cellStyle name="Normal 96 2 3" xfId="3976" xr:uid="{00000000-0005-0000-0000-0000880F0000}"/>
    <cellStyle name="Normal 96 3" xfId="1892" xr:uid="{00000000-0005-0000-0000-000064070000}"/>
    <cellStyle name="Normal 96 3 2" xfId="4752" xr:uid="{00000000-0005-0000-0000-000090120000}"/>
    <cellStyle name="Normal 96 4" xfId="3336" xr:uid="{00000000-0005-0000-0000-0000080D0000}"/>
    <cellStyle name="Normal 97" xfId="373" xr:uid="{00000000-0005-0000-0000-000075010000}"/>
    <cellStyle name="Normal 97 2" xfId="1094" xr:uid="{00000000-0005-0000-0000-000046040000}"/>
    <cellStyle name="Normal 97 2 2" xfId="2542" xr:uid="{00000000-0005-0000-0000-0000EE090000}"/>
    <cellStyle name="Normal 97 2 2 2" xfId="5398" xr:uid="{00000000-0005-0000-0000-000016150000}"/>
    <cellStyle name="Normal 97 2 3" xfId="3980" xr:uid="{00000000-0005-0000-0000-00008C0F0000}"/>
    <cellStyle name="Normal 97 3" xfId="1896" xr:uid="{00000000-0005-0000-0000-000068070000}"/>
    <cellStyle name="Normal 97 3 2" xfId="4756" xr:uid="{00000000-0005-0000-0000-000094120000}"/>
    <cellStyle name="Normal 97 4" xfId="3340" xr:uid="{00000000-0005-0000-0000-00000C0D0000}"/>
    <cellStyle name="Normal 98" xfId="381" xr:uid="{00000000-0005-0000-0000-00007D010000}"/>
    <cellStyle name="Normal 98 2" xfId="1102" xr:uid="{00000000-0005-0000-0000-00004E040000}"/>
    <cellStyle name="Normal 98 2 2" xfId="2550" xr:uid="{00000000-0005-0000-0000-0000F6090000}"/>
    <cellStyle name="Normal 98 2 2 2" xfId="5406" xr:uid="{00000000-0005-0000-0000-00001E150000}"/>
    <cellStyle name="Normal 98 2 3" xfId="3988" xr:uid="{00000000-0005-0000-0000-0000940F0000}"/>
    <cellStyle name="Normal 98 3" xfId="1904" xr:uid="{00000000-0005-0000-0000-000070070000}"/>
    <cellStyle name="Normal 98 3 2" xfId="4764" xr:uid="{00000000-0005-0000-0000-00009C120000}"/>
    <cellStyle name="Normal 98 4" xfId="3348" xr:uid="{00000000-0005-0000-0000-0000140D0000}"/>
    <cellStyle name="Normal 99" xfId="390" xr:uid="{00000000-0005-0000-0000-000086010000}"/>
    <cellStyle name="Normal 99 2" xfId="1111" xr:uid="{00000000-0005-0000-0000-000057040000}"/>
    <cellStyle name="Normal 99 2 2" xfId="2559" xr:uid="{00000000-0005-0000-0000-0000FF090000}"/>
    <cellStyle name="Normal 99 2 2 2" xfId="5415" xr:uid="{00000000-0005-0000-0000-000027150000}"/>
    <cellStyle name="Normal 99 2 3" xfId="3997" xr:uid="{00000000-0005-0000-0000-00009D0F0000}"/>
    <cellStyle name="Normal 99 3" xfId="1913" xr:uid="{00000000-0005-0000-0000-000079070000}"/>
    <cellStyle name="Normal 99 3 2" xfId="4773" xr:uid="{00000000-0005-0000-0000-0000A5120000}"/>
    <cellStyle name="Normal 99 4" xfId="3357" xr:uid="{00000000-0005-0000-0000-00001D0D0000}"/>
    <cellStyle name="Percent 2" xfId="1479" xr:uid="{00000000-0005-0000-0000-0000C7050000}"/>
    <cellStyle name="Percent 2 2" xfId="2907" xr:uid="{00000000-0005-0000-0000-00005B0B0000}"/>
    <cellStyle name="Percent 2 2 2" xfId="5761" xr:uid="{00000000-0005-0000-0000-000081160000}"/>
    <cellStyle name="Percent 2 3" xfId="4340" xr:uid="{00000000-0005-0000-0000-0000F4100000}"/>
    <cellStyle name="Percent 3" xfId="5974" xr:uid="{00000000-0005-0000-0000-000056170000}"/>
    <cellStyle name="Percent 4" xfId="5991" xr:uid="{00000000-0005-0000-0000-000067170000}"/>
    <cellStyle name="Percent 5" xfId="5994" xr:uid="{00000000-0005-0000-0000-00006A170000}"/>
    <cellStyle name="Percent 6" xfId="6007" xr:uid="{00000000-0005-0000-0000-000077170000}"/>
    <cellStyle name="Percent 7" xfId="6019" xr:uid="{00000000-0005-0000-0000-000083170000}"/>
    <cellStyle name="Percent 8" xfId="6025" xr:uid="{00000000-0005-0000-0000-000089170000}"/>
    <cellStyle name="Percent 9" xfId="6033" xr:uid="{00000000-0005-0000-0000-000091170000}"/>
    <cellStyle name="표준_해외점포 인원현황 2010.01(수정)" xfId="26" xr:uid="{00000000-0005-0000-0000-00001A000000}"/>
  </cellStyles>
  <dxfs count="5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Z23"/>
  <sheetViews>
    <sheetView tabSelected="1" zoomScale="150" zoomScaleNormal="150" zoomScaleSheetLayoutView="80" workbookViewId="0">
      <pane xSplit="4" ySplit="2" topLeftCell="BO3" activePane="bottomRight" state="frozen"/>
      <selection pane="topRight" activeCell="E1" sqref="E1"/>
      <selection pane="bottomLeft" activeCell="A20" sqref="A20"/>
      <selection pane="bottomRight" activeCell="D1" sqref="D1"/>
    </sheetView>
  </sheetViews>
  <sheetFormatPr baseColWidth="10" defaultColWidth="9.33203125" defaultRowHeight="14" outlineLevelCol="1"/>
  <cols>
    <col min="1" max="1" width="5.6640625" style="315" customWidth="1"/>
    <col min="2" max="2" width="14.1640625" style="315" customWidth="1"/>
    <col min="3" max="3" width="12.5" style="315" customWidth="1" outlineLevel="1"/>
    <col min="4" max="4" width="19.5" style="368" customWidth="1"/>
    <col min="5" max="5" width="15.6640625" style="315" customWidth="1"/>
    <col min="6" max="6" width="30.83203125" style="315" customWidth="1" outlineLevel="1"/>
    <col min="7" max="7" width="26.1640625" style="315" customWidth="1"/>
    <col min="8" max="8" width="13" style="315" customWidth="1"/>
    <col min="9" max="9" width="15.33203125" style="315" customWidth="1" outlineLevel="1"/>
    <col min="10" max="12" width="15.83203125" style="315" customWidth="1"/>
    <col min="13" max="14" width="9.5" style="315" customWidth="1"/>
    <col min="15" max="15" width="9.33203125" style="315" customWidth="1" outlineLevel="1"/>
    <col min="16" max="16" width="13.33203125" style="315" customWidth="1" outlineLevel="1"/>
    <col min="17" max="17" width="17.1640625" style="315" customWidth="1" outlineLevel="1"/>
    <col min="18" max="18" width="17.6640625" style="315" customWidth="1"/>
    <col min="19" max="19" width="12.83203125" style="315" customWidth="1" outlineLevel="1"/>
    <col min="20" max="20" width="14.5" style="315" customWidth="1" outlineLevel="1"/>
    <col min="21" max="21" width="16.5" style="315" customWidth="1"/>
    <col min="22" max="22" width="15" style="349" customWidth="1" outlineLevel="1"/>
    <col min="23" max="23" width="14.83203125" style="349" customWidth="1" outlineLevel="1"/>
    <col min="24" max="24" width="12.5" style="349" customWidth="1" outlineLevel="1"/>
    <col min="25" max="25" width="13.33203125" style="315" customWidth="1"/>
    <col min="26" max="26" width="13.5" style="315" customWidth="1" outlineLevel="1"/>
    <col min="27" max="27" width="12.6640625" style="315" customWidth="1"/>
    <col min="28" max="28" width="12.5" style="315" customWidth="1"/>
    <col min="29" max="29" width="12" style="315" customWidth="1" outlineLevel="1"/>
    <col min="30" max="30" width="12.33203125" style="315" customWidth="1"/>
    <col min="31" max="31" width="8.5" style="315" customWidth="1"/>
    <col min="32" max="33" width="13.5" style="315" customWidth="1"/>
    <col min="34" max="34" width="12.5" style="315" customWidth="1"/>
    <col min="35" max="35" width="11.83203125" style="315" customWidth="1"/>
    <col min="36" max="37" width="14.6640625" style="315" customWidth="1"/>
    <col min="38" max="38" width="13.5" style="315" customWidth="1"/>
    <col min="39" max="39" width="13" style="315" customWidth="1"/>
    <col min="40" max="40" width="15.1640625" style="315" customWidth="1"/>
    <col min="41" max="41" width="6" style="314" customWidth="1"/>
    <col min="42" max="42" width="14.5" style="315" customWidth="1"/>
    <col min="43" max="43" width="14.5" style="315" customWidth="1" outlineLevel="1"/>
    <col min="44" max="44" width="12.5" style="315" customWidth="1" outlineLevel="1"/>
    <col min="45" max="45" width="13.6640625" style="315" customWidth="1" outlineLevel="1"/>
    <col min="46" max="46" width="15.5" style="315" customWidth="1"/>
    <col min="47" max="49" width="13" style="315" customWidth="1"/>
    <col min="50" max="50" width="9.1640625" style="315" customWidth="1"/>
    <col min="51" max="51" width="11.5" style="315" customWidth="1"/>
    <col min="52" max="52" width="14" style="315" customWidth="1"/>
    <col min="53" max="53" width="12.5" style="315" customWidth="1" outlineLevel="1"/>
    <col min="54" max="54" width="12.33203125" style="315" customWidth="1" outlineLevel="1"/>
    <col min="55" max="55" width="12.5" style="315" customWidth="1" outlineLevel="1"/>
    <col min="56" max="56" width="15.33203125" style="315" customWidth="1" outlineLevel="1"/>
    <col min="57" max="57" width="15" style="315" customWidth="1"/>
    <col min="58" max="60" width="12.1640625" style="315" customWidth="1"/>
    <col min="61" max="61" width="11" style="315" customWidth="1"/>
    <col min="62" max="62" width="13" style="315" customWidth="1"/>
    <col min="63" max="63" width="14" style="315" customWidth="1"/>
    <col min="64" max="64" width="12.1640625" style="315" customWidth="1"/>
    <col min="65" max="65" width="18.6640625" style="315" customWidth="1"/>
    <col min="66" max="66" width="13.83203125" style="315" customWidth="1"/>
    <col min="67" max="67" width="14.5" style="315" customWidth="1" outlineLevel="1"/>
    <col min="68" max="68" width="14.33203125" style="315" customWidth="1" outlineLevel="1"/>
    <col min="69" max="69" width="15.6640625" style="315" customWidth="1" outlineLevel="1"/>
    <col min="70" max="75" width="13.6640625" style="315" customWidth="1" outlineLevel="1"/>
    <col min="76" max="76" width="15.5" style="315" customWidth="1" outlineLevel="1"/>
    <col min="77" max="79" width="9.33203125" style="315" customWidth="1"/>
    <col min="80" max="16384" width="9.33203125" style="315"/>
  </cols>
  <sheetData>
    <row r="1" spans="1:78" s="316" customFormat="1" ht="48" customHeight="1">
      <c r="A1" s="271"/>
      <c r="B1" s="271"/>
      <c r="C1" s="271"/>
      <c r="D1" s="285"/>
      <c r="E1" s="271"/>
      <c r="F1" s="271"/>
      <c r="G1" s="271"/>
      <c r="H1" s="271"/>
      <c r="I1" s="271"/>
      <c r="J1" s="270"/>
      <c r="K1" s="271"/>
      <c r="M1" s="271"/>
      <c r="N1" s="272"/>
      <c r="O1" s="270"/>
      <c r="P1" s="270"/>
      <c r="Q1" s="270"/>
      <c r="R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J1" s="271"/>
      <c r="AK1" s="281"/>
      <c r="AL1" s="281"/>
      <c r="AN1" s="281"/>
      <c r="AO1" s="281"/>
      <c r="AP1" s="439">
        <v>6200000</v>
      </c>
      <c r="AQ1" s="445">
        <v>0.08</v>
      </c>
      <c r="AR1" s="445">
        <v>1.4999999999999999E-2</v>
      </c>
      <c r="AS1" s="445">
        <v>0.01</v>
      </c>
      <c r="AT1" s="282"/>
      <c r="AU1" s="281"/>
      <c r="AV1" s="281"/>
      <c r="AW1" s="281"/>
      <c r="AX1" s="281"/>
      <c r="AY1" s="283"/>
      <c r="AZ1" s="281"/>
      <c r="BA1" s="445">
        <v>0.17</v>
      </c>
      <c r="BB1" s="445">
        <v>0.03</v>
      </c>
      <c r="BC1" s="445">
        <v>0.01</v>
      </c>
      <c r="BD1" s="445">
        <v>5.0000000000000001E-3</v>
      </c>
      <c r="BE1" s="282"/>
      <c r="BF1" s="281">
        <f>2340000*20</f>
        <v>46800000</v>
      </c>
      <c r="BG1" s="281">
        <f>4960000*20</f>
        <v>99200000</v>
      </c>
      <c r="BH1" s="281" t="s">
        <v>0</v>
      </c>
      <c r="BI1" s="281" t="s">
        <v>1</v>
      </c>
      <c r="BJ1" s="281"/>
      <c r="BK1" s="281"/>
      <c r="BM1" s="283"/>
      <c r="BN1" s="281"/>
      <c r="BO1" s="281"/>
      <c r="BP1" s="281"/>
      <c r="BQ1" s="281"/>
      <c r="BR1" s="281"/>
      <c r="BS1" s="281"/>
      <c r="BT1" s="281"/>
      <c r="BU1" s="281"/>
      <c r="BV1" s="281"/>
      <c r="BW1" s="281"/>
      <c r="BX1" s="281"/>
      <c r="BY1" s="384"/>
    </row>
    <row r="2" spans="1:78" s="319" customFormat="1" ht="75.75" customHeight="1">
      <c r="A2" s="278" t="s">
        <v>2</v>
      </c>
      <c r="B2" s="278" t="s">
        <v>3</v>
      </c>
      <c r="C2" s="278" t="s">
        <v>4</v>
      </c>
      <c r="D2" s="366" t="s">
        <v>5</v>
      </c>
      <c r="E2" s="278" t="s">
        <v>6</v>
      </c>
      <c r="F2" s="278" t="s">
        <v>7</v>
      </c>
      <c r="G2" s="278" t="s">
        <v>8</v>
      </c>
      <c r="H2" s="278" t="s">
        <v>9</v>
      </c>
      <c r="I2" s="278" t="s">
        <v>10</v>
      </c>
      <c r="J2" s="278" t="s">
        <v>11</v>
      </c>
      <c r="K2" s="278" t="s">
        <v>12</v>
      </c>
      <c r="L2" s="278" t="s">
        <v>13</v>
      </c>
      <c r="M2" s="278" t="s">
        <v>14</v>
      </c>
      <c r="N2" s="397" t="s">
        <v>15</v>
      </c>
      <c r="O2" s="397" t="s">
        <v>16</v>
      </c>
      <c r="P2" s="278" t="s">
        <v>17</v>
      </c>
      <c r="Q2" s="278" t="s">
        <v>18</v>
      </c>
      <c r="R2" s="396" t="s">
        <v>19</v>
      </c>
      <c r="S2" s="278" t="s">
        <v>20</v>
      </c>
      <c r="T2" s="278" t="s">
        <v>21</v>
      </c>
      <c r="U2" s="278" t="s">
        <v>22</v>
      </c>
      <c r="V2" s="278" t="s">
        <v>23</v>
      </c>
      <c r="W2" s="278" t="s">
        <v>24</v>
      </c>
      <c r="X2" s="278" t="s">
        <v>25</v>
      </c>
      <c r="Y2" s="278" t="s">
        <v>26</v>
      </c>
      <c r="Z2" s="278" t="s">
        <v>27</v>
      </c>
      <c r="AA2" s="278" t="s">
        <v>28</v>
      </c>
      <c r="AB2" s="278" t="s">
        <v>29</v>
      </c>
      <c r="AC2" s="278" t="s">
        <v>30</v>
      </c>
      <c r="AD2" s="278" t="s">
        <v>31</v>
      </c>
      <c r="AE2" s="278" t="s">
        <v>32</v>
      </c>
      <c r="AF2" s="278" t="s">
        <v>33</v>
      </c>
      <c r="AG2" s="278" t="s">
        <v>34</v>
      </c>
      <c r="AH2" s="278" t="s">
        <v>35</v>
      </c>
      <c r="AI2" s="278" t="s">
        <v>36</v>
      </c>
      <c r="AJ2" s="273" t="s">
        <v>37</v>
      </c>
      <c r="AK2" s="273" t="s">
        <v>38</v>
      </c>
      <c r="AL2" s="273" t="s">
        <v>39</v>
      </c>
      <c r="AM2" s="273" t="s">
        <v>40</v>
      </c>
      <c r="AN2" s="273" t="s">
        <v>41</v>
      </c>
      <c r="AO2" s="273" t="s">
        <v>42</v>
      </c>
      <c r="AP2" s="273" t="s">
        <v>43</v>
      </c>
      <c r="AQ2" s="317" t="s">
        <v>44</v>
      </c>
      <c r="AR2" s="317" t="s">
        <v>45</v>
      </c>
      <c r="AS2" s="317" t="s">
        <v>46</v>
      </c>
      <c r="AT2" s="317" t="s">
        <v>47</v>
      </c>
      <c r="AU2" s="273" t="s">
        <v>48</v>
      </c>
      <c r="AV2" s="273" t="s">
        <v>49</v>
      </c>
      <c r="AW2" s="273" t="s">
        <v>50</v>
      </c>
      <c r="AX2" s="273" t="s">
        <v>51</v>
      </c>
      <c r="AY2" s="273" t="s">
        <v>52</v>
      </c>
      <c r="AZ2" s="273" t="s">
        <v>53</v>
      </c>
      <c r="BA2" s="317" t="s">
        <v>54</v>
      </c>
      <c r="BB2" s="317" t="s">
        <v>55</v>
      </c>
      <c r="BC2" s="317" t="s">
        <v>46</v>
      </c>
      <c r="BD2" s="317" t="s">
        <v>56</v>
      </c>
      <c r="BE2" s="317" t="s">
        <v>57</v>
      </c>
      <c r="BF2" s="373" t="s">
        <v>58</v>
      </c>
      <c r="BG2" s="373" t="s">
        <v>59</v>
      </c>
      <c r="BH2" s="373" t="s">
        <v>60</v>
      </c>
      <c r="BI2" s="373" t="s">
        <v>61</v>
      </c>
      <c r="BJ2" s="273" t="s">
        <v>62</v>
      </c>
      <c r="BK2" s="273" t="s">
        <v>63</v>
      </c>
      <c r="BL2" s="273" t="s">
        <v>64</v>
      </c>
      <c r="BM2" s="273" t="s">
        <v>65</v>
      </c>
      <c r="BN2" s="273" t="s">
        <v>66</v>
      </c>
      <c r="BO2" s="273" t="s">
        <v>67</v>
      </c>
      <c r="BP2" s="273" t="s">
        <v>68</v>
      </c>
      <c r="BQ2" s="273" t="s">
        <v>69</v>
      </c>
      <c r="BR2" s="273" t="s">
        <v>70</v>
      </c>
      <c r="BS2" s="387" t="s">
        <v>71</v>
      </c>
      <c r="BT2" s="387" t="s">
        <v>72</v>
      </c>
      <c r="BU2" s="387" t="s">
        <v>73</v>
      </c>
      <c r="BV2" s="387" t="s">
        <v>74</v>
      </c>
      <c r="BW2" s="387" t="s">
        <v>75</v>
      </c>
      <c r="BX2" s="388" t="s">
        <v>76</v>
      </c>
      <c r="BY2" s="385"/>
      <c r="BZ2" s="318"/>
    </row>
    <row r="3" spans="1:78" s="338" customFormat="1" ht="22.5" customHeight="1">
      <c r="A3" s="320">
        <v>1</v>
      </c>
      <c r="B3" s="320" t="s">
        <v>78</v>
      </c>
      <c r="C3" s="320"/>
      <c r="D3" s="372" t="s">
        <v>79</v>
      </c>
      <c r="E3" s="321" t="s">
        <v>80</v>
      </c>
      <c r="F3" s="321" t="s">
        <v>81</v>
      </c>
      <c r="G3" s="322" t="s">
        <v>77</v>
      </c>
      <c r="H3" s="323" t="s">
        <v>82</v>
      </c>
      <c r="I3" s="323" t="s">
        <v>83</v>
      </c>
      <c r="J3" s="447">
        <v>47000000</v>
      </c>
      <c r="K3" s="324">
        <v>10870000</v>
      </c>
      <c r="L3" s="324">
        <f>J3-K3</f>
        <v>36130000</v>
      </c>
      <c r="M3" s="324">
        <v>26</v>
      </c>
      <c r="N3" s="325">
        <f>IFERROR(VLOOKUP(B3,' TimeTB 1'!$C$4:$AU$5,45,0),0)</f>
        <v>0</v>
      </c>
      <c r="O3" s="325">
        <f>VLOOKUP(B3,'TimeTB 2'!$C$4:$AU$11,45,0)</f>
        <v>26</v>
      </c>
      <c r="P3" s="326">
        <f>ROUND(K3/M3*N3,0)</f>
        <v>0</v>
      </c>
      <c r="Q3" s="326">
        <f>ROUND(K3/M3*O3,0)</f>
        <v>10870000</v>
      </c>
      <c r="R3" s="327">
        <f>SUM(P3:Q3)</f>
        <v>10870000</v>
      </c>
      <c r="S3" s="326">
        <f>ROUND(L3/26*N3,0)</f>
        <v>0</v>
      </c>
      <c r="T3" s="326">
        <f>ROUND(L3/26*O3,0)</f>
        <v>36130000</v>
      </c>
      <c r="U3" s="327">
        <f>SUM(S3:T3)</f>
        <v>36130000</v>
      </c>
      <c r="V3" s="324">
        <v>0</v>
      </c>
      <c r="W3" s="324">
        <v>0</v>
      </c>
      <c r="X3" s="324">
        <v>0</v>
      </c>
      <c r="Y3" s="324">
        <f>VLOOKUP(B3,'PC cơm '!$B$3:$L$11,11,0)</f>
        <v>1000000</v>
      </c>
      <c r="Z3" s="327">
        <f>SUM(V3:Y3)</f>
        <v>1000000</v>
      </c>
      <c r="AA3" s="324">
        <f>VLOOKUP(B3,'OT '!$B$4:$R$11,17,0)</f>
        <v>0</v>
      </c>
      <c r="AB3" s="328">
        <f>VLOOKUP(B3,NS!$B$9:$G$16,6,0)</f>
        <v>135577</v>
      </c>
      <c r="AC3" s="328">
        <v>0</v>
      </c>
      <c r="AD3" s="324">
        <v>0</v>
      </c>
      <c r="AE3" s="325">
        <v>0</v>
      </c>
      <c r="AF3" s="329">
        <f>ROUND(J3/26*AE3,0)</f>
        <v>0</v>
      </c>
      <c r="AG3" s="329">
        <f>IFERROR(VLOOKUP(B3,Incentive!$B$9:$H$11,7,0),0)</f>
        <v>0</v>
      </c>
      <c r="AH3" s="329">
        <f>SUMIF(Others!$B$8:$B$15,$B3,Others!$F$8:$F$15)</f>
        <v>0</v>
      </c>
      <c r="AI3" s="329">
        <v>0</v>
      </c>
      <c r="AJ3" s="324">
        <f>AI3+AH3+AG3+AF3+AD3+AC3+AB3+AA3+Z3+U3+R3+BN3</f>
        <v>48335577</v>
      </c>
      <c r="AK3" s="324">
        <f>VLOOKUP(B3,'OT '!$B$4:$T$11,19,0)</f>
        <v>0</v>
      </c>
      <c r="AL3" s="328">
        <f>VLOOKUP(B3,NS!$B$9:$I$16,8,0)</f>
        <v>135577</v>
      </c>
      <c r="AM3" s="328">
        <f>AI3</f>
        <v>0</v>
      </c>
      <c r="AN3" s="324">
        <f>IF(BT3=1,0,15500000)</f>
        <v>15500000</v>
      </c>
      <c r="AO3" s="325">
        <v>4</v>
      </c>
      <c r="AP3" s="330">
        <f>AO3*$AP$1</f>
        <v>24800000</v>
      </c>
      <c r="AQ3" s="330">
        <f>BF3*$AQ$1</f>
        <v>869600</v>
      </c>
      <c r="AR3" s="330">
        <f>BF3*$AR$1</f>
        <v>163050</v>
      </c>
      <c r="AS3" s="330">
        <f>BG3*$AS$1</f>
        <v>108700</v>
      </c>
      <c r="AT3" s="331">
        <f>+AS3+AR3+AQ3</f>
        <v>1141350</v>
      </c>
      <c r="AU3" s="332">
        <f>IF(BT3=1,0,MIN(Y3,730000))</f>
        <v>730000</v>
      </c>
      <c r="AV3" s="333">
        <f>AJ3-AK3-AL3-AM3-AU3</f>
        <v>47470000</v>
      </c>
      <c r="AW3" s="333">
        <f>MAX(AV3-AN3-AP3-AT3,0)</f>
        <v>6028650</v>
      </c>
      <c r="AX3" s="334">
        <f>IF(BT3=1,10%,IF(AW3&gt;0,IF(AW3&gt;80000000,0.35,IF(AW3&gt;52000000,0.3,IF(AW3&gt;32000000,0.25,IF(AW3&gt;18000000,0.2,IF(AW3&gt;10000000,0.15,IF(AW3&gt;5000000,0.1,0.05)))))),0))</f>
        <v>0.1</v>
      </c>
      <c r="AY3" s="444">
        <f>IF(BT3=1,0,IF(AW3&gt;80000000,9850000,IF(AW3&gt;52000000,5850000,IF(AW3&gt;32000000,3250000,IF(AW3&gt;18000000,1650000,IF(AW3&gt;10000000,750000,IF(AW3&gt;5000000,250000,0)))))))</f>
        <v>250000</v>
      </c>
      <c r="AZ3" s="335">
        <f>ROUND(AW3*AX3-AY3,0)</f>
        <v>352865</v>
      </c>
      <c r="BA3" s="324">
        <f>BF3*$BA$1</f>
        <v>1847900.0000000002</v>
      </c>
      <c r="BB3" s="324">
        <f>BF3*$BB$1</f>
        <v>326100</v>
      </c>
      <c r="BC3" s="324">
        <f>BG3*$BC$1</f>
        <v>108700</v>
      </c>
      <c r="BD3" s="324">
        <f>BG3*$BD$1</f>
        <v>54350</v>
      </c>
      <c r="BE3" s="324">
        <f>SUM(BA3:BD3)</f>
        <v>2337050</v>
      </c>
      <c r="BF3" s="330">
        <f>MIN((IF(BS3=1,K3,0)),$BF$1)</f>
        <v>10870000</v>
      </c>
      <c r="BG3" s="330">
        <f>MIN((IF(BS3=1,K3,0)),$BG$1)</f>
        <v>10870000</v>
      </c>
      <c r="BH3" s="330">
        <v>0</v>
      </c>
      <c r="BI3" s="330">
        <v>0</v>
      </c>
      <c r="BJ3" s="330">
        <f>IF(BS3=1,BF3*2%,0)</f>
        <v>217400</v>
      </c>
      <c r="BK3" s="330">
        <f>IF(BU3=1,40000,0)</f>
        <v>40000</v>
      </c>
      <c r="BL3" s="330">
        <f>IF(BV3=0,0,IF(J3&lt;11000000,5000,IF(J3&lt;25000000,10000,IF(J3&lt;40000000,15000,20000)))*BW3)</f>
        <v>0</v>
      </c>
      <c r="BM3" s="336">
        <f>AJ3-AT3-AZ3-BK3-BL3-BN3-BO3-BP3</f>
        <v>46601362</v>
      </c>
      <c r="BN3" s="333">
        <f>IFERROR(VLOOKUP(B3,'Benefit tính thuế'!$B$2:$H$5,7,0),0)</f>
        <v>200000</v>
      </c>
      <c r="BO3" s="336">
        <v>0</v>
      </c>
      <c r="BP3" s="336">
        <v>0</v>
      </c>
      <c r="BQ3" s="337">
        <f>AN3+AP3+AU3</f>
        <v>41030000</v>
      </c>
      <c r="BR3" s="337">
        <f>+AZ3+AT3</f>
        <v>1494215</v>
      </c>
      <c r="BS3" s="337">
        <v>1</v>
      </c>
      <c r="BT3" s="443">
        <v>0</v>
      </c>
      <c r="BU3" s="337">
        <v>1</v>
      </c>
      <c r="BV3" s="337">
        <v>0</v>
      </c>
      <c r="BW3" s="337">
        <v>20</v>
      </c>
      <c r="BX3" s="274"/>
      <c r="BY3" s="340"/>
    </row>
    <row r="4" spans="1:78" s="351" customFormat="1" ht="22.5" customHeight="1">
      <c r="A4" s="483" t="s">
        <v>84</v>
      </c>
      <c r="B4" s="484"/>
      <c r="C4" s="484"/>
      <c r="D4" s="482"/>
      <c r="E4" s="481"/>
      <c r="F4" s="482"/>
      <c r="G4" s="352">
        <v>1</v>
      </c>
      <c r="H4" s="353"/>
      <c r="I4" s="353"/>
      <c r="J4" s="354">
        <f t="shared" ref="J4:AO4" si="0">SUM(J5:J5)</f>
        <v>31000000</v>
      </c>
      <c r="K4" s="354">
        <f t="shared" si="0"/>
        <v>8350000</v>
      </c>
      <c r="L4" s="354">
        <f t="shared" si="0"/>
        <v>22650000</v>
      </c>
      <c r="M4" s="354">
        <f t="shared" si="0"/>
        <v>26</v>
      </c>
      <c r="N4" s="355">
        <f t="shared" si="0"/>
        <v>0</v>
      </c>
      <c r="O4" s="355">
        <f t="shared" si="0"/>
        <v>26</v>
      </c>
      <c r="P4" s="356">
        <f t="shared" si="0"/>
        <v>0</v>
      </c>
      <c r="Q4" s="356">
        <f t="shared" si="0"/>
        <v>8350000</v>
      </c>
      <c r="R4" s="354">
        <f t="shared" si="0"/>
        <v>8350000</v>
      </c>
      <c r="S4" s="356">
        <f t="shared" si="0"/>
        <v>0</v>
      </c>
      <c r="T4" s="356">
        <f t="shared" si="0"/>
        <v>22650000</v>
      </c>
      <c r="U4" s="354">
        <f t="shared" si="0"/>
        <v>22650000</v>
      </c>
      <c r="V4" s="354">
        <f t="shared" si="0"/>
        <v>0</v>
      </c>
      <c r="W4" s="354">
        <f t="shared" si="0"/>
        <v>0</v>
      </c>
      <c r="X4" s="354">
        <f t="shared" si="0"/>
        <v>0</v>
      </c>
      <c r="Y4" s="354">
        <f t="shared" si="0"/>
        <v>1120000</v>
      </c>
      <c r="Z4" s="354">
        <f t="shared" si="0"/>
        <v>1120000</v>
      </c>
      <c r="AA4" s="354">
        <f t="shared" si="0"/>
        <v>5827403</v>
      </c>
      <c r="AB4" s="357">
        <f t="shared" si="0"/>
        <v>134135</v>
      </c>
      <c r="AC4" s="357">
        <f t="shared" si="0"/>
        <v>0</v>
      </c>
      <c r="AD4" s="354">
        <f t="shared" si="0"/>
        <v>0</v>
      </c>
      <c r="AE4" s="355">
        <f t="shared" si="0"/>
        <v>0</v>
      </c>
      <c r="AF4" s="358">
        <f t="shared" si="0"/>
        <v>0</v>
      </c>
      <c r="AG4" s="358">
        <f t="shared" si="0"/>
        <v>0</v>
      </c>
      <c r="AH4" s="358">
        <f t="shared" si="0"/>
        <v>0</v>
      </c>
      <c r="AI4" s="358">
        <f t="shared" si="0"/>
        <v>0</v>
      </c>
      <c r="AJ4" s="354">
        <f t="shared" si="0"/>
        <v>40081538</v>
      </c>
      <c r="AK4" s="354">
        <f t="shared" si="0"/>
        <v>3740865</v>
      </c>
      <c r="AL4" s="357">
        <f t="shared" si="0"/>
        <v>134135</v>
      </c>
      <c r="AM4" s="357">
        <f t="shared" si="0"/>
        <v>0</v>
      </c>
      <c r="AN4" s="324">
        <f t="shared" ref="AN4:AN15" si="1">IF(BT4=1,0,15500000)</f>
        <v>15500000</v>
      </c>
      <c r="AO4" s="355">
        <f t="shared" si="0"/>
        <v>1</v>
      </c>
      <c r="AP4" s="359">
        <f t="shared" ref="AP4:BU4" si="2">SUM(AP5:AP5)</f>
        <v>6200000</v>
      </c>
      <c r="AQ4" s="359">
        <f t="shared" si="2"/>
        <v>668000</v>
      </c>
      <c r="AR4" s="359">
        <f t="shared" si="2"/>
        <v>125250</v>
      </c>
      <c r="AS4" s="359">
        <f t="shared" si="2"/>
        <v>83500</v>
      </c>
      <c r="AT4" s="360">
        <f t="shared" si="2"/>
        <v>876750</v>
      </c>
      <c r="AU4" s="361">
        <f t="shared" si="2"/>
        <v>730000</v>
      </c>
      <c r="AV4" s="361">
        <f t="shared" si="2"/>
        <v>35476538</v>
      </c>
      <c r="AW4" s="361">
        <f t="shared" si="2"/>
        <v>12899788</v>
      </c>
      <c r="AX4" s="362">
        <f t="shared" si="2"/>
        <v>0.15</v>
      </c>
      <c r="AY4" s="354">
        <f t="shared" si="2"/>
        <v>750000</v>
      </c>
      <c r="AZ4" s="363">
        <f t="shared" si="2"/>
        <v>1184968</v>
      </c>
      <c r="BA4" s="354">
        <f t="shared" si="2"/>
        <v>1419500</v>
      </c>
      <c r="BB4" s="354">
        <f t="shared" si="2"/>
        <v>250500</v>
      </c>
      <c r="BC4" s="354">
        <f t="shared" si="2"/>
        <v>83500</v>
      </c>
      <c r="BD4" s="354">
        <f t="shared" si="2"/>
        <v>41750</v>
      </c>
      <c r="BE4" s="354">
        <f t="shared" si="2"/>
        <v>1795250</v>
      </c>
      <c r="BF4" s="359">
        <f t="shared" si="2"/>
        <v>8350000</v>
      </c>
      <c r="BG4" s="359">
        <f t="shared" si="2"/>
        <v>8350000</v>
      </c>
      <c r="BH4" s="359">
        <f t="shared" si="2"/>
        <v>0</v>
      </c>
      <c r="BI4" s="359">
        <f t="shared" si="2"/>
        <v>0</v>
      </c>
      <c r="BJ4" s="359">
        <f t="shared" si="2"/>
        <v>167000</v>
      </c>
      <c r="BK4" s="359">
        <f t="shared" si="2"/>
        <v>40000</v>
      </c>
      <c r="BL4" s="359">
        <f t="shared" si="2"/>
        <v>300000</v>
      </c>
      <c r="BM4" s="364">
        <f t="shared" si="2"/>
        <v>35679820</v>
      </c>
      <c r="BN4" s="364">
        <f t="shared" si="2"/>
        <v>2000000</v>
      </c>
      <c r="BO4" s="364">
        <f t="shared" si="2"/>
        <v>0</v>
      </c>
      <c r="BP4" s="364">
        <f t="shared" si="2"/>
        <v>0</v>
      </c>
      <c r="BQ4" s="365">
        <f t="shared" si="2"/>
        <v>22430000</v>
      </c>
      <c r="BR4" s="365">
        <f t="shared" si="2"/>
        <v>2061718</v>
      </c>
      <c r="BS4" s="365">
        <f t="shared" si="2"/>
        <v>1</v>
      </c>
      <c r="BT4" s="365">
        <f t="shared" si="2"/>
        <v>0</v>
      </c>
      <c r="BU4" s="365">
        <f t="shared" si="2"/>
        <v>1</v>
      </c>
      <c r="BV4" s="365">
        <f t="shared" ref="BV4" si="3">SUM(BV5:BV5)</f>
        <v>1</v>
      </c>
      <c r="BW4" s="365"/>
      <c r="BX4" s="365">
        <f>SUM(BX5:BX5)</f>
        <v>0</v>
      </c>
      <c r="BY4" s="315"/>
    </row>
    <row r="5" spans="1:78" s="338" customFormat="1" ht="22.5" customHeight="1">
      <c r="A5" s="320">
        <v>1</v>
      </c>
      <c r="B5" s="320" t="s">
        <v>85</v>
      </c>
      <c r="C5" s="320"/>
      <c r="D5" s="372" t="s">
        <v>86</v>
      </c>
      <c r="E5" s="321" t="s">
        <v>87</v>
      </c>
      <c r="F5" s="321" t="s">
        <v>88</v>
      </c>
      <c r="G5" s="322" t="s">
        <v>84</v>
      </c>
      <c r="H5" s="323" t="s">
        <v>82</v>
      </c>
      <c r="I5" s="323" t="s">
        <v>89</v>
      </c>
      <c r="J5" s="324">
        <v>31000000</v>
      </c>
      <c r="K5" s="324">
        <v>8350000</v>
      </c>
      <c r="L5" s="324">
        <f>J5-K5</f>
        <v>22650000</v>
      </c>
      <c r="M5" s="324">
        <v>26</v>
      </c>
      <c r="N5" s="325">
        <f>IFERROR(VLOOKUP(B5,' TimeTB 1'!$C$4:$AU$5,45,0),0)</f>
        <v>0</v>
      </c>
      <c r="O5" s="325">
        <f>VLOOKUP(B5,'TimeTB 2'!$C$4:$AU$11,45,0)</f>
        <v>26</v>
      </c>
      <c r="P5" s="326">
        <f>ROUND((K5/M5*N5),0)</f>
        <v>0</v>
      </c>
      <c r="Q5" s="326">
        <f>ROUND(K5/M5*O5,0)</f>
        <v>8350000</v>
      </c>
      <c r="R5" s="327">
        <f>SUM(P5:Q5)</f>
        <v>8350000</v>
      </c>
      <c r="S5" s="326">
        <f>ROUND(L5/26*N5,0)</f>
        <v>0</v>
      </c>
      <c r="T5" s="326">
        <f>ROUND(L5/26*O5,0)</f>
        <v>22650000</v>
      </c>
      <c r="U5" s="327">
        <f>SUM(S5:T5)</f>
        <v>22650000</v>
      </c>
      <c r="V5" s="324">
        <v>0</v>
      </c>
      <c r="W5" s="324">
        <v>0</v>
      </c>
      <c r="X5" s="324">
        <v>0</v>
      </c>
      <c r="Y5" s="324">
        <f>VLOOKUP(B5,'PC cơm '!$B$3:$L$11,11,0)</f>
        <v>1120000</v>
      </c>
      <c r="Z5" s="327">
        <f>SUM(V5:Y5)</f>
        <v>1120000</v>
      </c>
      <c r="AA5" s="324">
        <f>VLOOKUP(B5,'OT '!$B$4:$R$11,17,0)</f>
        <v>5827403</v>
      </c>
      <c r="AB5" s="328">
        <f>VLOOKUP(B5,NS!$B$9:$G$16,6,0)</f>
        <v>134135</v>
      </c>
      <c r="AC5" s="328">
        <v>0</v>
      </c>
      <c r="AD5" s="324">
        <v>0</v>
      </c>
      <c r="AE5" s="325">
        <v>0</v>
      </c>
      <c r="AF5" s="329">
        <f>ROUND(J5/26*AE5,0)</f>
        <v>0</v>
      </c>
      <c r="AG5" s="329">
        <f>IFERROR(VLOOKUP(B5,Incentive!$B$9:$H$11,7,0),0)</f>
        <v>0</v>
      </c>
      <c r="AH5" s="329">
        <f>SUMIF(Others!$B$8:$B$15,$B5,Others!$F$8:$F$15)</f>
        <v>0</v>
      </c>
      <c r="AI5" s="329">
        <v>0</v>
      </c>
      <c r="AJ5" s="324">
        <f>AI5+AH5+AG5+AF5+AD5+AC5+AB5+AA5+Z5+U5+R5+BN5</f>
        <v>40081538</v>
      </c>
      <c r="AK5" s="324">
        <f>VLOOKUP(B5,'OT '!$B$4:$T$11,19,0)</f>
        <v>3740865</v>
      </c>
      <c r="AL5" s="328">
        <f>VLOOKUP(B5,NS!$B$9:$I$16,8,0)</f>
        <v>134135</v>
      </c>
      <c r="AM5" s="328">
        <f>AI5</f>
        <v>0</v>
      </c>
      <c r="AN5" s="324">
        <f t="shared" si="1"/>
        <v>15500000</v>
      </c>
      <c r="AO5" s="325">
        <v>1</v>
      </c>
      <c r="AP5" s="330">
        <f>AO5*$AP$1</f>
        <v>6200000</v>
      </c>
      <c r="AQ5" s="330">
        <f>BF5*$AQ$1</f>
        <v>668000</v>
      </c>
      <c r="AR5" s="330">
        <f>BF5*$AR$1</f>
        <v>125250</v>
      </c>
      <c r="AS5" s="330">
        <f>BG5*$AS$1</f>
        <v>83500</v>
      </c>
      <c r="AT5" s="331">
        <f>+AS5+AR5+AQ5</f>
        <v>876750</v>
      </c>
      <c r="AU5" s="332">
        <f>IF(BT5=1,0,MIN(Y5,730000))</f>
        <v>730000</v>
      </c>
      <c r="AV5" s="333">
        <f>AJ5-AK5-AL5-AM5-AU5</f>
        <v>35476538</v>
      </c>
      <c r="AW5" s="333">
        <f>MAX(AV5-AN5-AP5-AT5,0)</f>
        <v>12899788</v>
      </c>
      <c r="AX5" s="334">
        <f>IF(BT5=1,10%,IF(AW5&gt;0,IF(AW5&gt;80000000,0.35,IF(AW5&gt;52000000,0.3,IF(AW5&gt;32000000,0.25,IF(AW5&gt;18000000,0.2,IF(AW5&gt;10000000,0.15,IF(AW5&gt;5000000,0.1,0.05)))))),0))</f>
        <v>0.15</v>
      </c>
      <c r="AY5" s="444">
        <f>IF(BT5=1,0,IF(AW5&gt;80000000,9850000,IF(AW5&gt;52000000,5850000,IF(AW5&gt;32000000,3250000,IF(AW5&gt;18000000,1650000,IF(AW5&gt;10000000,750000,IF(AW5&gt;5000000,250000,0)))))))</f>
        <v>750000</v>
      </c>
      <c r="AZ5" s="335">
        <f>ROUND(AW5*AX5-AY5,0)</f>
        <v>1184968</v>
      </c>
      <c r="BA5" s="324">
        <f>BF5*$BA$1</f>
        <v>1419500</v>
      </c>
      <c r="BB5" s="324">
        <f>BF5*$BB$1</f>
        <v>250500</v>
      </c>
      <c r="BC5" s="324">
        <f>BG5*$BC$1</f>
        <v>83500</v>
      </c>
      <c r="BD5" s="324">
        <f>BG5*$BD$1</f>
        <v>41750</v>
      </c>
      <c r="BE5" s="324">
        <f>SUM(BA5:BD5)</f>
        <v>1795250</v>
      </c>
      <c r="BF5" s="330">
        <f>MIN((IF(BS5=1,K5,0)),$BF$1)</f>
        <v>8350000</v>
      </c>
      <c r="BG5" s="330">
        <f>MIN((IF(BS5=1,K5,0)),$BG$1)</f>
        <v>8350000</v>
      </c>
      <c r="BH5" s="330">
        <v>0</v>
      </c>
      <c r="BI5" s="330">
        <v>0</v>
      </c>
      <c r="BJ5" s="330">
        <f>IF(BS5=1,BF5*2%,0)</f>
        <v>167000</v>
      </c>
      <c r="BK5" s="330">
        <f>IF(BU5=1,40000,0)</f>
        <v>40000</v>
      </c>
      <c r="BL5" s="330">
        <f>IF(BV5=0,0,IF(J5&lt;11000000,5000,IF(J5&lt;25000000,10000,IF(J5&lt;40000000,15000,20000)))*BW5)</f>
        <v>300000</v>
      </c>
      <c r="BM5" s="336">
        <f>AJ5-AT5-AZ5-BK5-BL5-BN5-BO5-BP5</f>
        <v>35679820</v>
      </c>
      <c r="BN5" s="333">
        <f>IFERROR(VLOOKUP(B5,'Benefit tính thuế'!$B$2:$H$5,7,0),0)</f>
        <v>2000000</v>
      </c>
      <c r="BO5" s="336">
        <v>0</v>
      </c>
      <c r="BP5" s="336">
        <v>0</v>
      </c>
      <c r="BQ5" s="337">
        <f>AN5+AP5+AU5</f>
        <v>22430000</v>
      </c>
      <c r="BR5" s="337">
        <f>+AZ5+AT5</f>
        <v>2061718</v>
      </c>
      <c r="BS5" s="337">
        <v>1</v>
      </c>
      <c r="BT5" s="443">
        <v>0</v>
      </c>
      <c r="BU5" s="337">
        <v>1</v>
      </c>
      <c r="BV5" s="443">
        <v>1</v>
      </c>
      <c r="BW5" s="337">
        <v>20</v>
      </c>
      <c r="BX5" s="274"/>
      <c r="BY5" s="340"/>
    </row>
    <row r="6" spans="1:78" s="351" customFormat="1" ht="22.5" customHeight="1">
      <c r="A6" s="483" t="s">
        <v>90</v>
      </c>
      <c r="B6" s="484"/>
      <c r="C6" s="484"/>
      <c r="D6" s="482"/>
      <c r="E6" s="481"/>
      <c r="F6" s="482"/>
      <c r="G6" s="352">
        <v>2</v>
      </c>
      <c r="H6" s="353"/>
      <c r="I6" s="353"/>
      <c r="J6" s="354">
        <f t="shared" ref="J6:AO6" si="4">SUM(J7:J8)</f>
        <v>16500000</v>
      </c>
      <c r="K6" s="354">
        <f t="shared" si="4"/>
        <v>10620000</v>
      </c>
      <c r="L6" s="354">
        <f t="shared" si="4"/>
        <v>5880000</v>
      </c>
      <c r="M6" s="354">
        <f t="shared" si="4"/>
        <v>52</v>
      </c>
      <c r="N6" s="355">
        <f t="shared" si="4"/>
        <v>2</v>
      </c>
      <c r="O6" s="355">
        <f t="shared" si="4"/>
        <v>42</v>
      </c>
      <c r="P6" s="356">
        <f t="shared" si="4"/>
        <v>408462</v>
      </c>
      <c r="Q6" s="356">
        <f t="shared" si="4"/>
        <v>8577692</v>
      </c>
      <c r="R6" s="354">
        <f t="shared" si="4"/>
        <v>8986154</v>
      </c>
      <c r="S6" s="356">
        <f t="shared" si="4"/>
        <v>245385</v>
      </c>
      <c r="T6" s="356">
        <f t="shared" si="4"/>
        <v>4845385</v>
      </c>
      <c r="U6" s="354">
        <f t="shared" si="4"/>
        <v>5090770</v>
      </c>
      <c r="V6" s="354">
        <f t="shared" si="4"/>
        <v>0</v>
      </c>
      <c r="W6" s="354">
        <f t="shared" si="4"/>
        <v>0</v>
      </c>
      <c r="X6" s="354">
        <f t="shared" si="4"/>
        <v>0</v>
      </c>
      <c r="Y6" s="354">
        <f t="shared" si="4"/>
        <v>1840000</v>
      </c>
      <c r="Z6" s="354">
        <f t="shared" si="4"/>
        <v>1840000</v>
      </c>
      <c r="AA6" s="354">
        <f t="shared" si="4"/>
        <v>1946153</v>
      </c>
      <c r="AB6" s="357">
        <f t="shared" si="4"/>
        <v>23438</v>
      </c>
      <c r="AC6" s="357">
        <f t="shared" si="4"/>
        <v>0</v>
      </c>
      <c r="AD6" s="354">
        <f t="shared" si="4"/>
        <v>0</v>
      </c>
      <c r="AE6" s="355">
        <f t="shared" si="4"/>
        <v>4</v>
      </c>
      <c r="AF6" s="358">
        <f t="shared" si="4"/>
        <v>1230769</v>
      </c>
      <c r="AG6" s="358">
        <f t="shared" si="4"/>
        <v>0</v>
      </c>
      <c r="AH6" s="358">
        <f t="shared" si="4"/>
        <v>1000000</v>
      </c>
      <c r="AI6" s="358">
        <f t="shared" si="4"/>
        <v>0</v>
      </c>
      <c r="AJ6" s="354">
        <f t="shared" si="4"/>
        <v>21367284</v>
      </c>
      <c r="AK6" s="354">
        <f t="shared" si="4"/>
        <v>657692</v>
      </c>
      <c r="AL6" s="357">
        <f t="shared" si="4"/>
        <v>17308</v>
      </c>
      <c r="AM6" s="357">
        <f t="shared" si="4"/>
        <v>0</v>
      </c>
      <c r="AN6" s="324">
        <f t="shared" si="1"/>
        <v>0</v>
      </c>
      <c r="AO6" s="355">
        <f t="shared" si="4"/>
        <v>0</v>
      </c>
      <c r="AP6" s="359">
        <f t="shared" ref="AP6:BU6" si="5">SUM(AP7:AP8)</f>
        <v>0</v>
      </c>
      <c r="AQ6" s="359">
        <f t="shared" si="5"/>
        <v>0</v>
      </c>
      <c r="AR6" s="359">
        <f t="shared" si="5"/>
        <v>0</v>
      </c>
      <c r="AS6" s="359">
        <f t="shared" si="5"/>
        <v>0</v>
      </c>
      <c r="AT6" s="360">
        <f t="shared" si="5"/>
        <v>0</v>
      </c>
      <c r="AU6" s="361">
        <f t="shared" si="5"/>
        <v>720000</v>
      </c>
      <c r="AV6" s="361">
        <f t="shared" si="5"/>
        <v>19972284</v>
      </c>
      <c r="AW6" s="361">
        <f t="shared" si="5"/>
        <v>11760746</v>
      </c>
      <c r="AX6" s="362">
        <f t="shared" si="5"/>
        <v>0.1</v>
      </c>
      <c r="AY6" s="354">
        <f t="shared" si="5"/>
        <v>0</v>
      </c>
      <c r="AZ6" s="363">
        <f t="shared" si="5"/>
        <v>1176075</v>
      </c>
      <c r="BA6" s="354">
        <f t="shared" si="5"/>
        <v>0</v>
      </c>
      <c r="BB6" s="354">
        <f t="shared" si="5"/>
        <v>0</v>
      </c>
      <c r="BC6" s="354">
        <f t="shared" si="5"/>
        <v>0</v>
      </c>
      <c r="BD6" s="354">
        <f t="shared" si="5"/>
        <v>0</v>
      </c>
      <c r="BE6" s="354">
        <f t="shared" si="5"/>
        <v>0</v>
      </c>
      <c r="BF6" s="359">
        <f t="shared" si="5"/>
        <v>0</v>
      </c>
      <c r="BG6" s="359">
        <f t="shared" si="5"/>
        <v>0</v>
      </c>
      <c r="BH6" s="359">
        <f t="shared" si="5"/>
        <v>0</v>
      </c>
      <c r="BI6" s="359">
        <f t="shared" si="5"/>
        <v>0</v>
      </c>
      <c r="BJ6" s="359">
        <f t="shared" si="5"/>
        <v>0</v>
      </c>
      <c r="BK6" s="359">
        <f t="shared" si="5"/>
        <v>0</v>
      </c>
      <c r="BL6" s="359">
        <f t="shared" si="5"/>
        <v>0</v>
      </c>
      <c r="BM6" s="364">
        <f t="shared" si="5"/>
        <v>18941209</v>
      </c>
      <c r="BN6" s="364">
        <f t="shared" si="5"/>
        <v>1250000</v>
      </c>
      <c r="BO6" s="364">
        <f t="shared" si="5"/>
        <v>0</v>
      </c>
      <c r="BP6" s="364">
        <f t="shared" si="5"/>
        <v>0</v>
      </c>
      <c r="BQ6" s="365">
        <f t="shared" si="5"/>
        <v>16220000</v>
      </c>
      <c r="BR6" s="365">
        <f t="shared" si="5"/>
        <v>1176075</v>
      </c>
      <c r="BS6" s="365">
        <f t="shared" si="5"/>
        <v>0</v>
      </c>
      <c r="BT6" s="365">
        <f t="shared" si="5"/>
        <v>1</v>
      </c>
      <c r="BU6" s="365">
        <f t="shared" si="5"/>
        <v>0</v>
      </c>
      <c r="BV6" s="365">
        <f t="shared" ref="BV6" si="6">SUM(BV7:BV8)</f>
        <v>0</v>
      </c>
      <c r="BW6" s="365"/>
      <c r="BX6" s="365">
        <f>SUM(BX7:BX8)</f>
        <v>0</v>
      </c>
      <c r="BY6" s="315"/>
    </row>
    <row r="7" spans="1:78" s="338" customFormat="1" ht="22.5" customHeight="1">
      <c r="A7" s="320">
        <v>2</v>
      </c>
      <c r="B7" s="320" t="s">
        <v>91</v>
      </c>
      <c r="C7" s="320"/>
      <c r="D7" s="440" t="s">
        <v>92</v>
      </c>
      <c r="E7" s="441">
        <v>44562</v>
      </c>
      <c r="F7" s="321" t="s">
        <v>93</v>
      </c>
      <c r="G7" s="322" t="s">
        <v>90</v>
      </c>
      <c r="H7" s="323" t="s">
        <v>94</v>
      </c>
      <c r="I7" s="323" t="s">
        <v>95</v>
      </c>
      <c r="J7" s="324">
        <v>8000000</v>
      </c>
      <c r="K7" s="324">
        <v>5310000</v>
      </c>
      <c r="L7" s="324">
        <f>J7-K7</f>
        <v>2690000</v>
      </c>
      <c r="M7" s="324">
        <v>26</v>
      </c>
      <c r="N7" s="325">
        <f>IFERROR(VLOOKUP(B7,' TimeTB 1'!$C$4:$AU$5,45,0),0)</f>
        <v>0</v>
      </c>
      <c r="O7" s="325">
        <f>VLOOKUP(B7,'TimeTB 2'!$C$4:$AU$11,45,0)</f>
        <v>16</v>
      </c>
      <c r="P7" s="326">
        <f>ROUND((K7/M7*N7),0)</f>
        <v>0</v>
      </c>
      <c r="Q7" s="326">
        <f>ROUND(K7/M7*O7,0)</f>
        <v>3267692</v>
      </c>
      <c r="R7" s="327">
        <f>SUM(P7:Q7)</f>
        <v>3267692</v>
      </c>
      <c r="S7" s="326">
        <f>ROUND(L7/26*N7,0)</f>
        <v>0</v>
      </c>
      <c r="T7" s="326">
        <f>ROUND(L7/26*O7,0)</f>
        <v>1655385</v>
      </c>
      <c r="U7" s="327">
        <f>SUM(S7:T7)</f>
        <v>1655385</v>
      </c>
      <c r="V7" s="324">
        <v>0</v>
      </c>
      <c r="W7" s="324">
        <v>0</v>
      </c>
      <c r="X7" s="324">
        <v>0</v>
      </c>
      <c r="Y7" s="324">
        <f>VLOOKUP(B7,'PC cơm '!$B$3:$L$11,11,0)</f>
        <v>720000</v>
      </c>
      <c r="Z7" s="327">
        <f>SUM(V7:Y7)</f>
        <v>720000</v>
      </c>
      <c r="AA7" s="324">
        <f>VLOOKUP(B7,'OT '!$B$4:$R$11,17,0)</f>
        <v>965384</v>
      </c>
      <c r="AB7" s="328">
        <f>VLOOKUP(B7,NS!$B$9:$G$16,6,0)</f>
        <v>17308</v>
      </c>
      <c r="AC7" s="328">
        <v>0</v>
      </c>
      <c r="AD7" s="324">
        <v>0</v>
      </c>
      <c r="AE7" s="325">
        <v>4</v>
      </c>
      <c r="AF7" s="329">
        <f>ROUND(J7/26*AE7,0)</f>
        <v>1230769</v>
      </c>
      <c r="AG7" s="329">
        <f>IFERROR(VLOOKUP(B7,Incentive!$B$9:$H$11,7,0),0)</f>
        <v>0</v>
      </c>
      <c r="AH7" s="329">
        <f>SUMIF(Others!$B$8:$B$15,$B7,Others!$F$8:$F$15)</f>
        <v>500000</v>
      </c>
      <c r="AI7" s="329">
        <v>0</v>
      </c>
      <c r="AJ7" s="324">
        <f>AI7+AH7+AG7+AF7+AD7+AC7+AB7+AA7+Z7+U7+R7+BN7</f>
        <v>9606538</v>
      </c>
      <c r="AK7" s="324">
        <f>VLOOKUP(B7,'OT '!$B$4:$T$11,19,0)</f>
        <v>657692</v>
      </c>
      <c r="AL7" s="328">
        <f>VLOOKUP(B7,NS!$B$9:$I$16,8,0)</f>
        <v>17308</v>
      </c>
      <c r="AM7" s="328">
        <f>AI7</f>
        <v>0</v>
      </c>
      <c r="AN7" s="324">
        <f t="shared" si="1"/>
        <v>15500000</v>
      </c>
      <c r="AO7" s="325">
        <v>0</v>
      </c>
      <c r="AP7" s="330">
        <f>AO7*$AP$1</f>
        <v>0</v>
      </c>
      <c r="AQ7" s="330">
        <f>BF7*$AQ$1</f>
        <v>0</v>
      </c>
      <c r="AR7" s="330">
        <f>BF7*$AR$1</f>
        <v>0</v>
      </c>
      <c r="AS7" s="330">
        <f>BG7*$AS$1</f>
        <v>0</v>
      </c>
      <c r="AT7" s="331">
        <f>+AS7+AR7+AQ7</f>
        <v>0</v>
      </c>
      <c r="AU7" s="332">
        <f>IF(BT7=1,0,MIN(Y7,730000))</f>
        <v>720000</v>
      </c>
      <c r="AV7" s="333">
        <f>AJ7-AK7-AL7-AM7-AU7</f>
        <v>8211538</v>
      </c>
      <c r="AW7" s="333">
        <f>MAX(AV7-AN7-AP7-AT7,0)</f>
        <v>0</v>
      </c>
      <c r="AX7" s="334">
        <f>IF(BT7=1,10%,IF(AW7&gt;0,IF(AW7&gt;80000000,0.35,IF(AW7&gt;52000000,0.3,IF(AW7&gt;32000000,0.25,IF(AW7&gt;18000000,0.2,IF(AW7&gt;10000000,0.15,IF(AW7&gt;5000000,0.1,0.05)))))),0))</f>
        <v>0</v>
      </c>
      <c r="AY7" s="444">
        <f>IF(BT7=1,0,IF(AW7&gt;80000000,9850000,IF(AW7&gt;52000000,5850000,IF(AW7&gt;32000000,3250000,IF(AW7&gt;18000000,1650000,IF(AW7&gt;10000000,750000,IF(AW7&gt;5000000,250000,0)))))))</f>
        <v>0</v>
      </c>
      <c r="AZ7" s="335">
        <f>ROUND(AW7*AX7-AY7,0)</f>
        <v>0</v>
      </c>
      <c r="BA7" s="324">
        <f>BF7*$BA$1</f>
        <v>0</v>
      </c>
      <c r="BB7" s="324">
        <f>BF7*$BB$1</f>
        <v>0</v>
      </c>
      <c r="BC7" s="324">
        <f>BG7*$BC$1</f>
        <v>0</v>
      </c>
      <c r="BD7" s="324">
        <f>BG7*$BD$1</f>
        <v>0</v>
      </c>
      <c r="BE7" s="324">
        <f>SUM(BA7:BD7)</f>
        <v>0</v>
      </c>
      <c r="BF7" s="330">
        <f>MIN((IF(BS7=1,K7,0)),$BF$1)</f>
        <v>0</v>
      </c>
      <c r="BG7" s="330">
        <f>MIN((IF(BS7=1,K7,0)),$BG$1)</f>
        <v>0</v>
      </c>
      <c r="BH7" s="330">
        <v>0</v>
      </c>
      <c r="BI7" s="330">
        <v>0</v>
      </c>
      <c r="BJ7" s="330">
        <f>IF(BS7=1,BF7*2%,0)</f>
        <v>0</v>
      </c>
      <c r="BK7" s="330">
        <f>IF(BU7=1,40000,0)</f>
        <v>0</v>
      </c>
      <c r="BL7" s="330">
        <f>IF(BV7=0,0,IF(J7&lt;11000000,5000,IF(J7&lt;25000000,10000,IF(J7&lt;40000000,15000,20000)))*BW7)</f>
        <v>0</v>
      </c>
      <c r="BM7" s="336">
        <f>AJ7-AT7-AZ7-BK7-BL7-BN7-BO7-BP7</f>
        <v>8356538</v>
      </c>
      <c r="BN7" s="333">
        <f>IFERROR(VLOOKUP(B7,'Benefit tính thuế'!$B$2:$H$5,7,0),0)</f>
        <v>1250000</v>
      </c>
      <c r="BO7" s="336">
        <v>0</v>
      </c>
      <c r="BP7" s="336">
        <v>0</v>
      </c>
      <c r="BQ7" s="337">
        <f>AN7+AP7+AU7</f>
        <v>16220000</v>
      </c>
      <c r="BR7" s="337">
        <f>+AZ7+AT7</f>
        <v>0</v>
      </c>
      <c r="BS7" s="443">
        <v>0</v>
      </c>
      <c r="BT7" s="443">
        <v>0</v>
      </c>
      <c r="BU7" s="443">
        <v>0</v>
      </c>
      <c r="BV7" s="443">
        <v>0</v>
      </c>
      <c r="BW7" s="337">
        <v>20</v>
      </c>
      <c r="BX7" s="274"/>
      <c r="BY7" s="340"/>
    </row>
    <row r="8" spans="1:78" s="338" customFormat="1" ht="22.5" customHeight="1">
      <c r="A8" s="320">
        <v>3</v>
      </c>
      <c r="B8" s="320" t="s">
        <v>96</v>
      </c>
      <c r="C8" s="320"/>
      <c r="D8" s="442" t="s">
        <v>97</v>
      </c>
      <c r="E8" s="441">
        <v>45740</v>
      </c>
      <c r="F8" s="321" t="s">
        <v>93</v>
      </c>
      <c r="G8" s="322" t="s">
        <v>90</v>
      </c>
      <c r="H8" s="323" t="s">
        <v>94</v>
      </c>
      <c r="I8" s="323" t="s">
        <v>95</v>
      </c>
      <c r="J8" s="324">
        <v>8500000</v>
      </c>
      <c r="K8" s="324">
        <v>5310000</v>
      </c>
      <c r="L8" s="324">
        <f>J8-K8</f>
        <v>3190000</v>
      </c>
      <c r="M8" s="324">
        <v>26</v>
      </c>
      <c r="N8" s="325">
        <f>IFERROR(VLOOKUP(B8,' TimeTB 1'!$C$4:$AU$5,45,0),0)</f>
        <v>2</v>
      </c>
      <c r="O8" s="325">
        <f>VLOOKUP(B8,'TimeTB 2'!$C$4:$AU$11,45,0)</f>
        <v>26</v>
      </c>
      <c r="P8" s="326">
        <f>ROUND((K8/M8*N8),0)</f>
        <v>408462</v>
      </c>
      <c r="Q8" s="326">
        <f>ROUND(K8/M8*O8,0)</f>
        <v>5310000</v>
      </c>
      <c r="R8" s="327">
        <f>SUM(P8:Q8)</f>
        <v>5718462</v>
      </c>
      <c r="S8" s="326">
        <f>ROUND(L8/26*N8,0)</f>
        <v>245385</v>
      </c>
      <c r="T8" s="326">
        <f>ROUND(L8/26*O8,0)</f>
        <v>3190000</v>
      </c>
      <c r="U8" s="327">
        <f>SUM(S8:T8)</f>
        <v>3435385</v>
      </c>
      <c r="V8" s="324">
        <v>0</v>
      </c>
      <c r="W8" s="324">
        <v>0</v>
      </c>
      <c r="X8" s="324">
        <v>0</v>
      </c>
      <c r="Y8" s="324">
        <f>VLOOKUP(B8,'PC cơm '!$B$3:$L$11,11,0)</f>
        <v>1120000</v>
      </c>
      <c r="Z8" s="327">
        <f>SUM(V8:Y8)</f>
        <v>1120000</v>
      </c>
      <c r="AA8" s="324">
        <f>VLOOKUP(B8,'OT '!$B$4:$R$11,17,0)</f>
        <v>980769</v>
      </c>
      <c r="AB8" s="328">
        <f>VLOOKUP(B8,NS!$B$9:$G$16,6,0)</f>
        <v>6130</v>
      </c>
      <c r="AC8" s="328">
        <v>0</v>
      </c>
      <c r="AD8" s="324">
        <v>0</v>
      </c>
      <c r="AE8" s="325">
        <v>0</v>
      </c>
      <c r="AF8" s="329">
        <f>ROUND(J8/26*AE8,0)</f>
        <v>0</v>
      </c>
      <c r="AG8" s="329">
        <f>IFERROR(VLOOKUP(B8,Incentive!$B$9:$H$11,7,0),0)</f>
        <v>0</v>
      </c>
      <c r="AH8" s="329">
        <f>SUMIF(Others!$B$8:$B$15,$B8,Others!$F$8:$F$15)</f>
        <v>500000</v>
      </c>
      <c r="AI8" s="329">
        <v>0</v>
      </c>
      <c r="AJ8" s="324">
        <f>AI8+AH8+AG8+AF8+AD8+AC8+AB8+AA8+Z8+U8+R8+BN8</f>
        <v>11760746</v>
      </c>
      <c r="AK8" s="324">
        <f>VLOOKUP(B8,'OT '!$B$4:$T$11,19,0)</f>
        <v>0</v>
      </c>
      <c r="AL8" s="328">
        <f>VLOOKUP(B8,NS!$B$9:$I$16,8,0)</f>
        <v>0</v>
      </c>
      <c r="AM8" s="328">
        <f>AI8</f>
        <v>0</v>
      </c>
      <c r="AN8" s="324">
        <f t="shared" si="1"/>
        <v>0</v>
      </c>
      <c r="AO8" s="325">
        <v>0</v>
      </c>
      <c r="AP8" s="330">
        <f>AO8*$AP$1</f>
        <v>0</v>
      </c>
      <c r="AQ8" s="330">
        <f>BF8*$AQ$1</f>
        <v>0</v>
      </c>
      <c r="AR8" s="330">
        <f>BF8*$AR$1</f>
        <v>0</v>
      </c>
      <c r="AS8" s="330">
        <f>BG8*$AS$1</f>
        <v>0</v>
      </c>
      <c r="AT8" s="331">
        <f>+AS8+AR8+AQ8</f>
        <v>0</v>
      </c>
      <c r="AU8" s="332">
        <f>IF(BT8=1,0,MIN(Y8,730000))</f>
        <v>0</v>
      </c>
      <c r="AV8" s="333">
        <f>AJ8-AK8-AL8-AM8-AU8</f>
        <v>11760746</v>
      </c>
      <c r="AW8" s="333">
        <f>MAX(AV8-AN8-AP8-AT8,0)</f>
        <v>11760746</v>
      </c>
      <c r="AX8" s="334">
        <f>IF(BT8=1,10%,IF(AW8&gt;0,IF(AW8&gt;80000000,0.35,IF(AW8&gt;52000000,0.3,IF(AW8&gt;32000000,0.25,IF(AW8&gt;18000000,0.2,IF(AW8&gt;10000000,0.15,IF(AW8&gt;5000000,0.1,0.05)))))),0))</f>
        <v>0.1</v>
      </c>
      <c r="AY8" s="444">
        <f>IF(BT8=1,0,IF(AW8&gt;80000000,9850000,IF(AW8&gt;52000000,5850000,IF(AW8&gt;32000000,3250000,IF(AW8&gt;18000000,1650000,IF(AW8&gt;10000000,750000,IF(AW8&gt;5000000,250000,0)))))))</f>
        <v>0</v>
      </c>
      <c r="AZ8" s="335">
        <f>ROUND(AW8*AX8-AY8,0)</f>
        <v>1176075</v>
      </c>
      <c r="BA8" s="324">
        <f>BF8*$BA$1</f>
        <v>0</v>
      </c>
      <c r="BB8" s="324">
        <f>BF8*$BB$1</f>
        <v>0</v>
      </c>
      <c r="BC8" s="324">
        <f>BG8*$BC$1</f>
        <v>0</v>
      </c>
      <c r="BD8" s="324">
        <f>BG8*$BD$1</f>
        <v>0</v>
      </c>
      <c r="BE8" s="324">
        <f>SUM(BA8:BD8)</f>
        <v>0</v>
      </c>
      <c r="BF8" s="330">
        <f>MIN((IF(BS8=1,K8,0)),$BF$1)</f>
        <v>0</v>
      </c>
      <c r="BG8" s="330">
        <f>MIN((IF(BS8=1,K8,0)),$BG$1)</f>
        <v>0</v>
      </c>
      <c r="BH8" s="330">
        <v>0</v>
      </c>
      <c r="BI8" s="330">
        <v>0</v>
      </c>
      <c r="BJ8" s="330">
        <f>IF(BS8=1,BF8*2%,0)</f>
        <v>0</v>
      </c>
      <c r="BK8" s="330">
        <f>IF(BU8=1,40000,0)</f>
        <v>0</v>
      </c>
      <c r="BL8" s="330">
        <f>IF(BV8=0,0,IF(J8&lt;11000000,5000,IF(J8&lt;25000000,10000,IF(J8&lt;40000000,15000,20000)))*BW8)</f>
        <v>0</v>
      </c>
      <c r="BM8" s="336">
        <f>AJ8-AT8-AZ8-BK8-BL8-BN8-BO8-BP8</f>
        <v>10584671</v>
      </c>
      <c r="BN8" s="333">
        <f>IFERROR(VLOOKUP(B8,'Benefit tính thuế'!$B$2:$H$5,7,0),0)</f>
        <v>0</v>
      </c>
      <c r="BO8" s="336">
        <v>0</v>
      </c>
      <c r="BP8" s="336">
        <v>0</v>
      </c>
      <c r="BQ8" s="337">
        <f>AN8+AP8+AU8</f>
        <v>0</v>
      </c>
      <c r="BR8" s="337">
        <f>+AZ8+AT8</f>
        <v>1176075</v>
      </c>
      <c r="BS8" s="443">
        <v>0</v>
      </c>
      <c r="BT8" s="337">
        <v>1</v>
      </c>
      <c r="BU8" s="443">
        <v>0</v>
      </c>
      <c r="BV8" s="443">
        <v>0</v>
      </c>
      <c r="BW8" s="337">
        <v>20</v>
      </c>
      <c r="BX8" s="274"/>
      <c r="BY8" s="340"/>
    </row>
    <row r="9" spans="1:78" s="351" customFormat="1" ht="22.5" customHeight="1">
      <c r="A9" s="483" t="s">
        <v>98</v>
      </c>
      <c r="B9" s="484"/>
      <c r="C9" s="484"/>
      <c r="D9" s="482"/>
      <c r="E9" s="481"/>
      <c r="F9" s="482"/>
      <c r="G9" s="352">
        <v>1</v>
      </c>
      <c r="H9" s="353"/>
      <c r="I9" s="353"/>
      <c r="J9" s="354">
        <f t="shared" ref="J9:AO9" si="7">SUM(J10:J10)</f>
        <v>7056000</v>
      </c>
      <c r="K9" s="354">
        <f t="shared" si="7"/>
        <v>5310000</v>
      </c>
      <c r="L9" s="354">
        <f t="shared" si="7"/>
        <v>1746000</v>
      </c>
      <c r="M9" s="354">
        <f t="shared" si="7"/>
        <v>26</v>
      </c>
      <c r="N9" s="355">
        <f t="shared" si="7"/>
        <v>0</v>
      </c>
      <c r="O9" s="355">
        <f t="shared" si="7"/>
        <v>26</v>
      </c>
      <c r="P9" s="356">
        <f t="shared" si="7"/>
        <v>0</v>
      </c>
      <c r="Q9" s="356">
        <f t="shared" si="7"/>
        <v>5310000</v>
      </c>
      <c r="R9" s="354">
        <f t="shared" si="7"/>
        <v>5310000</v>
      </c>
      <c r="S9" s="356">
        <f t="shared" si="7"/>
        <v>0</v>
      </c>
      <c r="T9" s="356">
        <f t="shared" si="7"/>
        <v>1746000</v>
      </c>
      <c r="U9" s="354">
        <f t="shared" si="7"/>
        <v>1746000</v>
      </c>
      <c r="V9" s="354">
        <f t="shared" si="7"/>
        <v>0</v>
      </c>
      <c r="W9" s="354">
        <f t="shared" si="7"/>
        <v>0</v>
      </c>
      <c r="X9" s="354">
        <f t="shared" si="7"/>
        <v>0</v>
      </c>
      <c r="Y9" s="354">
        <f t="shared" si="7"/>
        <v>1120000</v>
      </c>
      <c r="Z9" s="354">
        <f t="shared" si="7"/>
        <v>1120000</v>
      </c>
      <c r="AA9" s="354">
        <f t="shared" si="7"/>
        <v>1596081</v>
      </c>
      <c r="AB9" s="357">
        <f t="shared" si="7"/>
        <v>10177</v>
      </c>
      <c r="AC9" s="357">
        <f t="shared" si="7"/>
        <v>0</v>
      </c>
      <c r="AD9" s="354">
        <f t="shared" si="7"/>
        <v>0</v>
      </c>
      <c r="AE9" s="355">
        <f t="shared" si="7"/>
        <v>0</v>
      </c>
      <c r="AF9" s="358">
        <f t="shared" si="7"/>
        <v>0</v>
      </c>
      <c r="AG9" s="358">
        <f t="shared" si="7"/>
        <v>2000000</v>
      </c>
      <c r="AH9" s="358">
        <f t="shared" si="7"/>
        <v>0</v>
      </c>
      <c r="AI9" s="358">
        <f t="shared" si="7"/>
        <v>0</v>
      </c>
      <c r="AJ9" s="354">
        <f t="shared" si="7"/>
        <v>11782258</v>
      </c>
      <c r="AK9" s="354">
        <f t="shared" si="7"/>
        <v>985466</v>
      </c>
      <c r="AL9" s="357">
        <f t="shared" si="7"/>
        <v>10177</v>
      </c>
      <c r="AM9" s="357">
        <f t="shared" si="7"/>
        <v>0</v>
      </c>
      <c r="AN9" s="324">
        <f t="shared" si="1"/>
        <v>15500000</v>
      </c>
      <c r="AO9" s="355">
        <f t="shared" si="7"/>
        <v>0</v>
      </c>
      <c r="AP9" s="359">
        <f t="shared" ref="AP9:BU9" si="8">SUM(AP10:AP10)</f>
        <v>0</v>
      </c>
      <c r="AQ9" s="359">
        <f t="shared" si="8"/>
        <v>424800</v>
      </c>
      <c r="AR9" s="359">
        <f t="shared" si="8"/>
        <v>79650</v>
      </c>
      <c r="AS9" s="359">
        <f t="shared" si="8"/>
        <v>53100</v>
      </c>
      <c r="AT9" s="360">
        <f t="shared" si="8"/>
        <v>557550</v>
      </c>
      <c r="AU9" s="361">
        <f t="shared" si="8"/>
        <v>730000</v>
      </c>
      <c r="AV9" s="361">
        <f t="shared" si="8"/>
        <v>10056615</v>
      </c>
      <c r="AW9" s="361">
        <f t="shared" si="8"/>
        <v>0</v>
      </c>
      <c r="AX9" s="362">
        <f t="shared" si="8"/>
        <v>0</v>
      </c>
      <c r="AY9" s="354">
        <f t="shared" si="8"/>
        <v>0</v>
      </c>
      <c r="AZ9" s="363">
        <f t="shared" si="8"/>
        <v>0</v>
      </c>
      <c r="BA9" s="354">
        <f t="shared" si="8"/>
        <v>902700.00000000012</v>
      </c>
      <c r="BB9" s="354">
        <f t="shared" si="8"/>
        <v>159300</v>
      </c>
      <c r="BC9" s="354">
        <f t="shared" si="8"/>
        <v>53100</v>
      </c>
      <c r="BD9" s="354">
        <f t="shared" si="8"/>
        <v>26550</v>
      </c>
      <c r="BE9" s="354">
        <f t="shared" si="8"/>
        <v>1141650</v>
      </c>
      <c r="BF9" s="359">
        <f t="shared" si="8"/>
        <v>5310000</v>
      </c>
      <c r="BG9" s="359">
        <f t="shared" si="8"/>
        <v>5310000</v>
      </c>
      <c r="BH9" s="359">
        <f t="shared" si="8"/>
        <v>0</v>
      </c>
      <c r="BI9" s="359">
        <f t="shared" si="8"/>
        <v>0</v>
      </c>
      <c r="BJ9" s="359">
        <f t="shared" si="8"/>
        <v>106200</v>
      </c>
      <c r="BK9" s="359">
        <f t="shared" si="8"/>
        <v>40000</v>
      </c>
      <c r="BL9" s="359">
        <f t="shared" si="8"/>
        <v>100000</v>
      </c>
      <c r="BM9" s="364">
        <f t="shared" si="8"/>
        <v>11084708</v>
      </c>
      <c r="BN9" s="364">
        <f t="shared" si="8"/>
        <v>0</v>
      </c>
      <c r="BO9" s="364">
        <f t="shared" si="8"/>
        <v>0</v>
      </c>
      <c r="BP9" s="364">
        <f t="shared" si="8"/>
        <v>0</v>
      </c>
      <c r="BQ9" s="365">
        <f t="shared" si="8"/>
        <v>16230000</v>
      </c>
      <c r="BR9" s="365">
        <f t="shared" si="8"/>
        <v>557550</v>
      </c>
      <c r="BS9" s="365">
        <f t="shared" si="8"/>
        <v>1</v>
      </c>
      <c r="BT9" s="365">
        <f t="shared" si="8"/>
        <v>0</v>
      </c>
      <c r="BU9" s="365">
        <f t="shared" si="8"/>
        <v>1</v>
      </c>
      <c r="BV9" s="365">
        <f t="shared" ref="BV9" si="9">SUM(BV10:BV10)</f>
        <v>1</v>
      </c>
      <c r="BW9" s="365"/>
      <c r="BX9" s="365">
        <f>SUM(BX10:BX10)</f>
        <v>0</v>
      </c>
      <c r="BY9" s="315"/>
    </row>
    <row r="10" spans="1:78" s="338" customFormat="1" ht="22.5" customHeight="1">
      <c r="A10" s="320">
        <v>1</v>
      </c>
      <c r="B10" s="320" t="s">
        <v>99</v>
      </c>
      <c r="C10" s="320"/>
      <c r="D10" s="372" t="s">
        <v>100</v>
      </c>
      <c r="E10" s="321" t="s">
        <v>101</v>
      </c>
      <c r="F10" s="321" t="s">
        <v>102</v>
      </c>
      <c r="G10" s="322" t="s">
        <v>98</v>
      </c>
      <c r="H10" s="323" t="s">
        <v>103</v>
      </c>
      <c r="I10" s="178" t="s">
        <v>104</v>
      </c>
      <c r="J10" s="324">
        <v>7056000</v>
      </c>
      <c r="K10" s="324">
        <v>5310000</v>
      </c>
      <c r="L10" s="324">
        <f>J10-K10</f>
        <v>1746000</v>
      </c>
      <c r="M10" s="324">
        <v>26</v>
      </c>
      <c r="N10" s="325">
        <f>IFERROR(VLOOKUP(B10,' TimeTB 1'!$C$4:$AU$5,45,0),0)</f>
        <v>0</v>
      </c>
      <c r="O10" s="325">
        <f>VLOOKUP(B10,'TimeTB 2'!$C$4:$AU$11,45,0)</f>
        <v>26</v>
      </c>
      <c r="P10" s="326">
        <f>ROUND((K10/M10*N10),0)</f>
        <v>0</v>
      </c>
      <c r="Q10" s="326">
        <f>ROUND(K10/M10*O10,0)</f>
        <v>5310000</v>
      </c>
      <c r="R10" s="327">
        <f>SUM(P10:Q10)</f>
        <v>5310000</v>
      </c>
      <c r="S10" s="326">
        <f>ROUND(L10/26*N10,0)</f>
        <v>0</v>
      </c>
      <c r="T10" s="326">
        <f>ROUND(L10/26*O10,0)</f>
        <v>1746000</v>
      </c>
      <c r="U10" s="327">
        <f>SUM(S10:T10)</f>
        <v>1746000</v>
      </c>
      <c r="V10" s="324">
        <v>0</v>
      </c>
      <c r="W10" s="324">
        <v>0</v>
      </c>
      <c r="X10" s="324">
        <v>0</v>
      </c>
      <c r="Y10" s="324">
        <f>VLOOKUP(B10,'PC cơm '!$B$3:$L$11,11,0)</f>
        <v>1120000</v>
      </c>
      <c r="Z10" s="327">
        <f>SUM(V10:Y10)</f>
        <v>1120000</v>
      </c>
      <c r="AA10" s="324">
        <f>VLOOKUP(B10,'OT '!$B$4:$R$11,17,0)</f>
        <v>1596081</v>
      </c>
      <c r="AB10" s="328">
        <f>VLOOKUP(B10,NS!$B$9:$G$16,6,0)</f>
        <v>10177</v>
      </c>
      <c r="AC10" s="328">
        <v>0</v>
      </c>
      <c r="AD10" s="324">
        <v>0</v>
      </c>
      <c r="AE10" s="325">
        <v>0</v>
      </c>
      <c r="AF10" s="329">
        <f>ROUND(J10/26*AE10,0)</f>
        <v>0</v>
      </c>
      <c r="AG10" s="329">
        <f>IFERROR(VLOOKUP(B10,Incentive!$B$9:$H$11,7,0),0)</f>
        <v>2000000</v>
      </c>
      <c r="AH10" s="329">
        <f>SUMIF(Others!$B$8:$B$15,$B10,Others!$F$8:$F$15)</f>
        <v>0</v>
      </c>
      <c r="AI10" s="329">
        <v>0</v>
      </c>
      <c r="AJ10" s="324">
        <f>AI10+AH10+AG10+AF10+AD10+AC10+AB10+AA10+Z10+U10+R10+BN10</f>
        <v>11782258</v>
      </c>
      <c r="AK10" s="324">
        <f>VLOOKUP(B10,'OT '!$B$4:$T$11,19,0)</f>
        <v>985466</v>
      </c>
      <c r="AL10" s="328">
        <f>VLOOKUP(B10,NS!$B$9:$I$16,8,0)</f>
        <v>10177</v>
      </c>
      <c r="AM10" s="328">
        <f>AI10</f>
        <v>0</v>
      </c>
      <c r="AN10" s="324">
        <f t="shared" si="1"/>
        <v>15500000</v>
      </c>
      <c r="AO10" s="325">
        <v>0</v>
      </c>
      <c r="AP10" s="330">
        <f>AO10*$AP$1</f>
        <v>0</v>
      </c>
      <c r="AQ10" s="330">
        <f>BF10*$AQ$1</f>
        <v>424800</v>
      </c>
      <c r="AR10" s="330">
        <f>BF10*$AR$1</f>
        <v>79650</v>
      </c>
      <c r="AS10" s="330">
        <f>BG10*$AS$1</f>
        <v>53100</v>
      </c>
      <c r="AT10" s="331">
        <f>+AS10+AR10+AQ10</f>
        <v>557550</v>
      </c>
      <c r="AU10" s="332">
        <f>IF(BT10=1,0,MIN(Y10,730000))</f>
        <v>730000</v>
      </c>
      <c r="AV10" s="333">
        <f>AJ10-AK10-AL10-AM10-AU10</f>
        <v>10056615</v>
      </c>
      <c r="AW10" s="333">
        <f>MAX(AV10-AN10-AP10-AT10,0)</f>
        <v>0</v>
      </c>
      <c r="AX10" s="334">
        <f>IF(BT10=1,10%,IF(AW10&gt;0,IF(AW10&gt;80000000,0.35,IF(AW10&gt;52000000,0.3,IF(AW10&gt;32000000,0.25,IF(AW10&gt;18000000,0.2,IF(AW10&gt;10000000,0.15,IF(AW10&gt;5000000,0.1,0.05)))))),0))</f>
        <v>0</v>
      </c>
      <c r="AY10" s="444">
        <f>IF(BT10=1,0,IF(AW10&gt;80000000,9850000,IF(AW10&gt;52000000,5850000,IF(AW10&gt;32000000,3250000,IF(AW10&gt;18000000,1650000,IF(AW10&gt;10000000,750000,IF(AW10&gt;5000000,250000,0)))))))</f>
        <v>0</v>
      </c>
      <c r="AZ10" s="335">
        <f>ROUND(AW10*AX10-AY10,0)</f>
        <v>0</v>
      </c>
      <c r="BA10" s="324">
        <f>BF10*$BA$1</f>
        <v>902700.00000000012</v>
      </c>
      <c r="BB10" s="324">
        <f>BF10*$BB$1</f>
        <v>159300</v>
      </c>
      <c r="BC10" s="324">
        <f>BG10*$BC$1</f>
        <v>53100</v>
      </c>
      <c r="BD10" s="324">
        <f>BG10*$BD$1</f>
        <v>26550</v>
      </c>
      <c r="BE10" s="324">
        <f>SUM(BA10:BD10)</f>
        <v>1141650</v>
      </c>
      <c r="BF10" s="330">
        <f>MIN((IF(BS10=1,K10,0)),$BF$1)</f>
        <v>5310000</v>
      </c>
      <c r="BG10" s="330">
        <f>MIN((IF(BS10=1,K10,0)),$BG$1)</f>
        <v>5310000</v>
      </c>
      <c r="BH10" s="330">
        <v>0</v>
      </c>
      <c r="BI10" s="330">
        <v>0</v>
      </c>
      <c r="BJ10" s="330">
        <f>IF(BS10=1,BF10*2%,0)</f>
        <v>106200</v>
      </c>
      <c r="BK10" s="330">
        <f>IF(BU10=1,40000,0)</f>
        <v>40000</v>
      </c>
      <c r="BL10" s="330">
        <f>IF(BV10=0,0,IF(J10&lt;11000000,5000,IF(J10&lt;25000000,10000,IF(J10&lt;40000000,15000,20000)))*BW10)</f>
        <v>100000</v>
      </c>
      <c r="BM10" s="336">
        <f>AJ10-AT10-AZ10-BK10-BL10-BN10-BO10-BP10</f>
        <v>11084708</v>
      </c>
      <c r="BN10" s="333">
        <f>IFERROR(VLOOKUP(B10,'Benefit tính thuế'!$B$2:$H$5,7,0),0)</f>
        <v>0</v>
      </c>
      <c r="BO10" s="336">
        <v>0</v>
      </c>
      <c r="BP10" s="336">
        <v>0</v>
      </c>
      <c r="BQ10" s="337">
        <f>AN10+AP10+AU10</f>
        <v>16230000</v>
      </c>
      <c r="BR10" s="337">
        <f>+AZ10+AT10</f>
        <v>557550</v>
      </c>
      <c r="BS10" s="337">
        <v>1</v>
      </c>
      <c r="BT10" s="443">
        <v>0</v>
      </c>
      <c r="BU10" s="337">
        <v>1</v>
      </c>
      <c r="BV10" s="337">
        <v>1</v>
      </c>
      <c r="BW10" s="337">
        <v>20</v>
      </c>
      <c r="BX10" s="274"/>
      <c r="BY10" s="340"/>
    </row>
    <row r="11" spans="1:78" s="351" customFormat="1" ht="22.5" customHeight="1">
      <c r="A11" s="483" t="s">
        <v>105</v>
      </c>
      <c r="B11" s="484"/>
      <c r="C11" s="484"/>
      <c r="D11" s="482"/>
      <c r="E11" s="481"/>
      <c r="F11" s="482"/>
      <c r="G11" s="352">
        <v>1</v>
      </c>
      <c r="H11" s="353"/>
      <c r="I11" s="353"/>
      <c r="J11" s="354">
        <f t="shared" ref="J11:AO11" si="10">SUM(J12:J12)</f>
        <v>6841000</v>
      </c>
      <c r="K11" s="354">
        <f t="shared" si="10"/>
        <v>5310000</v>
      </c>
      <c r="L11" s="354">
        <f t="shared" si="10"/>
        <v>1531000</v>
      </c>
      <c r="M11" s="354">
        <f t="shared" si="10"/>
        <v>26</v>
      </c>
      <c r="N11" s="355">
        <f t="shared" si="10"/>
        <v>0</v>
      </c>
      <c r="O11" s="355">
        <f t="shared" si="10"/>
        <v>26</v>
      </c>
      <c r="P11" s="356">
        <f t="shared" si="10"/>
        <v>0</v>
      </c>
      <c r="Q11" s="356">
        <f t="shared" si="10"/>
        <v>5310000</v>
      </c>
      <c r="R11" s="354">
        <f t="shared" si="10"/>
        <v>5310000</v>
      </c>
      <c r="S11" s="356">
        <f t="shared" si="10"/>
        <v>0</v>
      </c>
      <c r="T11" s="356">
        <f t="shared" si="10"/>
        <v>1531000</v>
      </c>
      <c r="U11" s="354">
        <f t="shared" si="10"/>
        <v>1531000</v>
      </c>
      <c r="V11" s="354">
        <f t="shared" si="10"/>
        <v>0</v>
      </c>
      <c r="W11" s="354">
        <f t="shared" si="10"/>
        <v>0</v>
      </c>
      <c r="X11" s="354">
        <f t="shared" si="10"/>
        <v>0</v>
      </c>
      <c r="Y11" s="354">
        <f t="shared" si="10"/>
        <v>960000</v>
      </c>
      <c r="Z11" s="354">
        <f t="shared" si="10"/>
        <v>960000</v>
      </c>
      <c r="AA11" s="354">
        <f t="shared" si="10"/>
        <v>0</v>
      </c>
      <c r="AB11" s="357">
        <f t="shared" si="10"/>
        <v>49334</v>
      </c>
      <c r="AC11" s="357">
        <f t="shared" si="10"/>
        <v>0</v>
      </c>
      <c r="AD11" s="354">
        <f t="shared" si="10"/>
        <v>0</v>
      </c>
      <c r="AE11" s="355">
        <f t="shared" si="10"/>
        <v>0</v>
      </c>
      <c r="AF11" s="358">
        <f t="shared" si="10"/>
        <v>0</v>
      </c>
      <c r="AG11" s="358">
        <f t="shared" si="10"/>
        <v>2600000</v>
      </c>
      <c r="AH11" s="358">
        <f t="shared" si="10"/>
        <v>0</v>
      </c>
      <c r="AI11" s="358">
        <f t="shared" si="10"/>
        <v>0</v>
      </c>
      <c r="AJ11" s="354">
        <f t="shared" si="10"/>
        <v>10450334</v>
      </c>
      <c r="AK11" s="354">
        <f t="shared" si="10"/>
        <v>0</v>
      </c>
      <c r="AL11" s="357">
        <f t="shared" si="10"/>
        <v>49334</v>
      </c>
      <c r="AM11" s="357">
        <f t="shared" si="10"/>
        <v>0</v>
      </c>
      <c r="AN11" s="324">
        <f t="shared" si="1"/>
        <v>15500000</v>
      </c>
      <c r="AO11" s="355">
        <f t="shared" si="10"/>
        <v>0</v>
      </c>
      <c r="AP11" s="359">
        <f t="shared" ref="AP11:BU11" si="11">SUM(AP12:AP12)</f>
        <v>0</v>
      </c>
      <c r="AQ11" s="359">
        <f t="shared" si="11"/>
        <v>424800</v>
      </c>
      <c r="AR11" s="359">
        <f t="shared" si="11"/>
        <v>79650</v>
      </c>
      <c r="AS11" s="359">
        <f t="shared" si="11"/>
        <v>53100</v>
      </c>
      <c r="AT11" s="360">
        <f t="shared" si="11"/>
        <v>557550</v>
      </c>
      <c r="AU11" s="361">
        <f t="shared" si="11"/>
        <v>730000</v>
      </c>
      <c r="AV11" s="361">
        <f t="shared" si="11"/>
        <v>9671000</v>
      </c>
      <c r="AW11" s="361">
        <f t="shared" si="11"/>
        <v>0</v>
      </c>
      <c r="AX11" s="362">
        <f t="shared" si="11"/>
        <v>0</v>
      </c>
      <c r="AY11" s="354">
        <f t="shared" si="11"/>
        <v>0</v>
      </c>
      <c r="AZ11" s="363">
        <f t="shared" si="11"/>
        <v>0</v>
      </c>
      <c r="BA11" s="354">
        <f t="shared" si="11"/>
        <v>902700.00000000012</v>
      </c>
      <c r="BB11" s="354">
        <f t="shared" si="11"/>
        <v>159300</v>
      </c>
      <c r="BC11" s="354">
        <f t="shared" si="11"/>
        <v>53100</v>
      </c>
      <c r="BD11" s="354">
        <f t="shared" si="11"/>
        <v>26550</v>
      </c>
      <c r="BE11" s="354">
        <f t="shared" si="11"/>
        <v>1141650</v>
      </c>
      <c r="BF11" s="359">
        <f t="shared" si="11"/>
        <v>5310000</v>
      </c>
      <c r="BG11" s="359">
        <f t="shared" si="11"/>
        <v>5310000</v>
      </c>
      <c r="BH11" s="359">
        <f t="shared" si="11"/>
        <v>0</v>
      </c>
      <c r="BI11" s="359">
        <f t="shared" si="11"/>
        <v>0</v>
      </c>
      <c r="BJ11" s="359">
        <f t="shared" si="11"/>
        <v>106200</v>
      </c>
      <c r="BK11" s="359">
        <f t="shared" si="11"/>
        <v>40000</v>
      </c>
      <c r="BL11" s="359">
        <f t="shared" si="11"/>
        <v>0</v>
      </c>
      <c r="BM11" s="364">
        <f t="shared" si="11"/>
        <v>9852784</v>
      </c>
      <c r="BN11" s="364">
        <f t="shared" si="11"/>
        <v>0</v>
      </c>
      <c r="BO11" s="364">
        <f t="shared" si="11"/>
        <v>0</v>
      </c>
      <c r="BP11" s="364">
        <f t="shared" si="11"/>
        <v>0</v>
      </c>
      <c r="BQ11" s="365">
        <f t="shared" si="11"/>
        <v>16230000</v>
      </c>
      <c r="BR11" s="365">
        <f t="shared" si="11"/>
        <v>557550</v>
      </c>
      <c r="BS11" s="365">
        <f t="shared" si="11"/>
        <v>1</v>
      </c>
      <c r="BT11" s="365">
        <f t="shared" si="11"/>
        <v>0</v>
      </c>
      <c r="BU11" s="365">
        <f t="shared" si="11"/>
        <v>1</v>
      </c>
      <c r="BV11" s="365">
        <f t="shared" ref="BV11" si="12">SUM(BV12:BV12)</f>
        <v>0</v>
      </c>
      <c r="BW11" s="365"/>
      <c r="BX11" s="365">
        <f>SUM(BX12:BX12)</f>
        <v>0</v>
      </c>
      <c r="BY11" s="315"/>
    </row>
    <row r="12" spans="1:78" s="338" customFormat="1" ht="22.5" customHeight="1">
      <c r="A12" s="320">
        <v>1</v>
      </c>
      <c r="B12" s="320" t="s">
        <v>106</v>
      </c>
      <c r="C12" s="320"/>
      <c r="D12" s="372" t="s">
        <v>107</v>
      </c>
      <c r="E12" s="321" t="s">
        <v>108</v>
      </c>
      <c r="F12" s="321" t="s">
        <v>109</v>
      </c>
      <c r="G12" s="322" t="s">
        <v>110</v>
      </c>
      <c r="H12" s="323" t="s">
        <v>94</v>
      </c>
      <c r="I12" s="178" t="s">
        <v>111</v>
      </c>
      <c r="J12" s="324">
        <v>6841000</v>
      </c>
      <c r="K12" s="324">
        <v>5310000</v>
      </c>
      <c r="L12" s="324">
        <f>J12-K12</f>
        <v>1531000</v>
      </c>
      <c r="M12" s="324">
        <v>26</v>
      </c>
      <c r="N12" s="325">
        <f>IFERROR(VLOOKUP(B12,' TimeTB 1'!$C$4:$AU$5,45,0),0)</f>
        <v>0</v>
      </c>
      <c r="O12" s="325">
        <f>VLOOKUP(B12,'TimeTB 2'!$C$4:$AU$11,45,0)</f>
        <v>26</v>
      </c>
      <c r="P12" s="326">
        <f>ROUND((K12/M12*N12),0)</f>
        <v>0</v>
      </c>
      <c r="Q12" s="326">
        <f>ROUND(K12/M12*O12,0)</f>
        <v>5310000</v>
      </c>
      <c r="R12" s="327">
        <f>SUM(P12:Q12)</f>
        <v>5310000</v>
      </c>
      <c r="S12" s="326">
        <f>ROUND(L12/26*N12,0)</f>
        <v>0</v>
      </c>
      <c r="T12" s="326">
        <f>ROUND(L12/26*O12,0)</f>
        <v>1531000</v>
      </c>
      <c r="U12" s="327">
        <f>SUM(S12:T12)</f>
        <v>1531000</v>
      </c>
      <c r="V12" s="324">
        <v>0</v>
      </c>
      <c r="W12" s="324">
        <v>0</v>
      </c>
      <c r="X12" s="324">
        <v>0</v>
      </c>
      <c r="Y12" s="324">
        <f>VLOOKUP(B12,'PC cơm '!$B$3:$L$11,11,0)</f>
        <v>960000</v>
      </c>
      <c r="Z12" s="327">
        <f>SUM(V12:Y12)</f>
        <v>960000</v>
      </c>
      <c r="AA12" s="324">
        <f>VLOOKUP(B12,'OT '!$B$4:$R$11,17,0)</f>
        <v>0</v>
      </c>
      <c r="AB12" s="328">
        <f>VLOOKUP(B12,NS!$B$9:$G$16,6,0)</f>
        <v>49334</v>
      </c>
      <c r="AC12" s="328">
        <v>0</v>
      </c>
      <c r="AD12" s="324">
        <v>0</v>
      </c>
      <c r="AE12" s="325">
        <v>0</v>
      </c>
      <c r="AF12" s="329">
        <f>ROUND(J12/26*AE12,0)</f>
        <v>0</v>
      </c>
      <c r="AG12" s="329">
        <f>IFERROR(VLOOKUP(B12,Incentive!$B$9:$H$11,7,0),0)</f>
        <v>2600000</v>
      </c>
      <c r="AH12" s="329">
        <f>SUMIF(Others!$B$8:$B$15,$B12,Others!$F$8:$F$15)</f>
        <v>0</v>
      </c>
      <c r="AI12" s="329">
        <v>0</v>
      </c>
      <c r="AJ12" s="324">
        <f>AI12+AH12+AG12+AF12+AD12+AC12+AB12+AA12+Z12+U12+R12+BN12</f>
        <v>10450334</v>
      </c>
      <c r="AK12" s="324">
        <f>VLOOKUP(B12,'OT '!$B$4:$T$11,19,0)</f>
        <v>0</v>
      </c>
      <c r="AL12" s="328">
        <f>VLOOKUP(B12,NS!$B$9:$I$16,8,0)</f>
        <v>49334</v>
      </c>
      <c r="AM12" s="328">
        <f>AI12</f>
        <v>0</v>
      </c>
      <c r="AN12" s="324">
        <f t="shared" si="1"/>
        <v>15500000</v>
      </c>
      <c r="AO12" s="325">
        <v>0</v>
      </c>
      <c r="AP12" s="330">
        <f>AO12*$AP$1</f>
        <v>0</v>
      </c>
      <c r="AQ12" s="330">
        <f>BF12*$AQ$1</f>
        <v>424800</v>
      </c>
      <c r="AR12" s="330">
        <f>BF12*$AR$1</f>
        <v>79650</v>
      </c>
      <c r="AS12" s="330">
        <f>BG12*$AS$1</f>
        <v>53100</v>
      </c>
      <c r="AT12" s="331">
        <f>+AS12+AR12+AQ12</f>
        <v>557550</v>
      </c>
      <c r="AU12" s="332">
        <f>IF(BT12=1,0,MIN(Y12,730000))</f>
        <v>730000</v>
      </c>
      <c r="AV12" s="333">
        <f>AJ12-AK12-AL12-AM12-AU12</f>
        <v>9671000</v>
      </c>
      <c r="AW12" s="333">
        <f>MAX(AV12-AN12-AP12-AT12,0)</f>
        <v>0</v>
      </c>
      <c r="AX12" s="334">
        <f>IF(BT12=1,10%,IF(AW12&gt;0,IF(AW12&gt;80000000,0.35,IF(AW12&gt;52000000,0.3,IF(AW12&gt;32000000,0.25,IF(AW12&gt;18000000,0.2,IF(AW12&gt;10000000,0.15,IF(AW12&gt;5000000,0.1,0.05)))))),0))</f>
        <v>0</v>
      </c>
      <c r="AY12" s="444">
        <f>IF(BT12=1,0,IF(AW12&gt;80000000,9850000,IF(AW12&gt;52000000,5850000,IF(AW12&gt;32000000,3250000,IF(AW12&gt;18000000,1650000,IF(AW12&gt;10000000,750000,IF(AW12&gt;5000000,250000,0)))))))</f>
        <v>0</v>
      </c>
      <c r="AZ12" s="335">
        <f>ROUND(AW12*AX12-AY12,0)</f>
        <v>0</v>
      </c>
      <c r="BA12" s="324">
        <f>BF12*$BA$1</f>
        <v>902700.00000000012</v>
      </c>
      <c r="BB12" s="324">
        <f>BF12*$BB$1</f>
        <v>159300</v>
      </c>
      <c r="BC12" s="324">
        <f>BG12*$BC$1</f>
        <v>53100</v>
      </c>
      <c r="BD12" s="324">
        <f>BG12*$BD$1</f>
        <v>26550</v>
      </c>
      <c r="BE12" s="324">
        <f>SUM(BA12:BD12)</f>
        <v>1141650</v>
      </c>
      <c r="BF12" s="330">
        <f>MIN((IF(BS12=1,K12,0)),$BF$1)</f>
        <v>5310000</v>
      </c>
      <c r="BG12" s="330">
        <f>MIN((IF(BS12=1,K12,0)),$BG$1)</f>
        <v>5310000</v>
      </c>
      <c r="BH12" s="330">
        <v>0</v>
      </c>
      <c r="BI12" s="330">
        <v>0</v>
      </c>
      <c r="BJ12" s="330">
        <f>IF(BS12=1,BF12*2%,0)</f>
        <v>106200</v>
      </c>
      <c r="BK12" s="330">
        <f>IF(BU12=1,40000,0)</f>
        <v>40000</v>
      </c>
      <c r="BL12" s="330">
        <f>IF(BV12=0,0,IF(J12&lt;11000000,5000,IF(J12&lt;25000000,10000,IF(J12&lt;40000000,15000,20000)))*BW12)</f>
        <v>0</v>
      </c>
      <c r="BM12" s="336">
        <f>AJ12-AT12-AZ12-BK12-BL12-BN12-BO12-BP12</f>
        <v>9852784</v>
      </c>
      <c r="BN12" s="333">
        <f>IFERROR(VLOOKUP(B12,'Benefit tính thuế'!$B$2:$H$5,7,0),0)</f>
        <v>0</v>
      </c>
      <c r="BO12" s="336">
        <v>0</v>
      </c>
      <c r="BP12" s="336">
        <v>0</v>
      </c>
      <c r="BQ12" s="337">
        <f>AN12+AP12+AU12</f>
        <v>16230000</v>
      </c>
      <c r="BR12" s="337">
        <f>+AZ12+AT12</f>
        <v>557550</v>
      </c>
      <c r="BS12" s="337">
        <v>1</v>
      </c>
      <c r="BT12" s="443">
        <v>0</v>
      </c>
      <c r="BU12" s="337">
        <v>1</v>
      </c>
      <c r="BV12" s="443">
        <v>0</v>
      </c>
      <c r="BW12" s="337">
        <v>20</v>
      </c>
      <c r="BX12" s="274"/>
      <c r="BY12" s="340"/>
    </row>
    <row r="13" spans="1:78" s="351" customFormat="1" ht="22.5" customHeight="1">
      <c r="A13" s="483" t="s">
        <v>112</v>
      </c>
      <c r="B13" s="484"/>
      <c r="C13" s="484"/>
      <c r="D13" s="482"/>
      <c r="E13" s="481"/>
      <c r="F13" s="482"/>
      <c r="G13" s="352">
        <v>2</v>
      </c>
      <c r="H13" s="353"/>
      <c r="I13" s="353"/>
      <c r="J13" s="354">
        <f t="shared" ref="J13:AO13" si="13">SUM(J14:J15)</f>
        <v>21448000</v>
      </c>
      <c r="K13" s="354">
        <f t="shared" si="13"/>
        <v>13370000</v>
      </c>
      <c r="L13" s="354">
        <f t="shared" si="13"/>
        <v>8078000</v>
      </c>
      <c r="M13" s="354">
        <f t="shared" si="13"/>
        <v>52</v>
      </c>
      <c r="N13" s="354">
        <f t="shared" si="13"/>
        <v>4</v>
      </c>
      <c r="O13" s="354">
        <f t="shared" si="13"/>
        <v>51</v>
      </c>
      <c r="P13" s="354">
        <f t="shared" si="13"/>
        <v>892308</v>
      </c>
      <c r="Q13" s="354">
        <f t="shared" si="13"/>
        <v>13078846</v>
      </c>
      <c r="R13" s="354">
        <f t="shared" si="13"/>
        <v>13971154</v>
      </c>
      <c r="S13" s="354">
        <f t="shared" si="13"/>
        <v>800000</v>
      </c>
      <c r="T13" s="354">
        <f t="shared" si="13"/>
        <v>7967308</v>
      </c>
      <c r="U13" s="354">
        <f t="shared" si="13"/>
        <v>8767308</v>
      </c>
      <c r="V13" s="354">
        <f t="shared" si="13"/>
        <v>0</v>
      </c>
      <c r="W13" s="354">
        <f t="shared" si="13"/>
        <v>0</v>
      </c>
      <c r="X13" s="354">
        <f t="shared" si="13"/>
        <v>0</v>
      </c>
      <c r="Y13" s="354">
        <f t="shared" si="13"/>
        <v>2080000</v>
      </c>
      <c r="Z13" s="354">
        <f t="shared" si="13"/>
        <v>2080000</v>
      </c>
      <c r="AA13" s="354">
        <f t="shared" si="13"/>
        <v>2795884</v>
      </c>
      <c r="AB13" s="354">
        <f t="shared" si="13"/>
        <v>95192</v>
      </c>
      <c r="AC13" s="354">
        <f t="shared" si="13"/>
        <v>0</v>
      </c>
      <c r="AD13" s="354">
        <f t="shared" si="13"/>
        <v>0</v>
      </c>
      <c r="AE13" s="354">
        <f t="shared" si="13"/>
        <v>0</v>
      </c>
      <c r="AF13" s="354">
        <f t="shared" si="13"/>
        <v>0</v>
      </c>
      <c r="AG13" s="354">
        <f t="shared" si="13"/>
        <v>5610000</v>
      </c>
      <c r="AH13" s="354">
        <f t="shared" si="13"/>
        <v>1923076.923076923</v>
      </c>
      <c r="AI13" s="354">
        <f t="shared" si="13"/>
        <v>0</v>
      </c>
      <c r="AJ13" s="354">
        <f t="shared" si="13"/>
        <v>36242614.923076928</v>
      </c>
      <c r="AK13" s="354">
        <f t="shared" si="13"/>
        <v>156971</v>
      </c>
      <c r="AL13" s="354">
        <f t="shared" si="13"/>
        <v>0</v>
      </c>
      <c r="AM13" s="354">
        <f t="shared" si="13"/>
        <v>0</v>
      </c>
      <c r="AN13" s="324">
        <f t="shared" si="1"/>
        <v>0</v>
      </c>
      <c r="AO13" s="354">
        <f t="shared" si="13"/>
        <v>0</v>
      </c>
      <c r="AP13" s="354">
        <f t="shared" ref="AP13:BU13" si="14">SUM(AP14:AP15)</f>
        <v>0</v>
      </c>
      <c r="AQ13" s="354">
        <f t="shared" si="14"/>
        <v>605600</v>
      </c>
      <c r="AR13" s="354">
        <f t="shared" si="14"/>
        <v>113550</v>
      </c>
      <c r="AS13" s="354">
        <f t="shared" si="14"/>
        <v>75700</v>
      </c>
      <c r="AT13" s="354">
        <f t="shared" si="14"/>
        <v>794850</v>
      </c>
      <c r="AU13" s="354">
        <f t="shared" si="14"/>
        <v>730000</v>
      </c>
      <c r="AV13" s="354">
        <f t="shared" si="14"/>
        <v>35355643.923076928</v>
      </c>
      <c r="AW13" s="354">
        <f t="shared" si="14"/>
        <v>22005721</v>
      </c>
      <c r="AX13" s="354">
        <f t="shared" si="14"/>
        <v>0.1</v>
      </c>
      <c r="AY13" s="354">
        <f t="shared" si="14"/>
        <v>0</v>
      </c>
      <c r="AZ13" s="354">
        <f t="shared" si="14"/>
        <v>2200572</v>
      </c>
      <c r="BA13" s="354">
        <f t="shared" si="14"/>
        <v>1286900</v>
      </c>
      <c r="BB13" s="354">
        <f t="shared" si="14"/>
        <v>227100</v>
      </c>
      <c r="BC13" s="354">
        <f t="shared" si="14"/>
        <v>75700</v>
      </c>
      <c r="BD13" s="354">
        <f t="shared" si="14"/>
        <v>37850</v>
      </c>
      <c r="BE13" s="354">
        <f t="shared" si="14"/>
        <v>1627550</v>
      </c>
      <c r="BF13" s="354">
        <f t="shared" si="14"/>
        <v>7570000</v>
      </c>
      <c r="BG13" s="354">
        <f t="shared" si="14"/>
        <v>7570000</v>
      </c>
      <c r="BH13" s="354">
        <f t="shared" si="14"/>
        <v>0</v>
      </c>
      <c r="BI13" s="354">
        <f t="shared" si="14"/>
        <v>0</v>
      </c>
      <c r="BJ13" s="354">
        <f t="shared" si="14"/>
        <v>151400</v>
      </c>
      <c r="BK13" s="354">
        <f t="shared" si="14"/>
        <v>40000</v>
      </c>
      <c r="BL13" s="354">
        <f t="shared" si="14"/>
        <v>0</v>
      </c>
      <c r="BM13" s="354">
        <f t="shared" si="14"/>
        <v>32207192.923076924</v>
      </c>
      <c r="BN13" s="354">
        <f t="shared" si="14"/>
        <v>1000000</v>
      </c>
      <c r="BO13" s="354">
        <f t="shared" si="14"/>
        <v>0</v>
      </c>
      <c r="BP13" s="354">
        <f t="shared" si="14"/>
        <v>0</v>
      </c>
      <c r="BQ13" s="354">
        <f t="shared" si="14"/>
        <v>16230000</v>
      </c>
      <c r="BR13" s="354">
        <f t="shared" si="14"/>
        <v>2995422</v>
      </c>
      <c r="BS13" s="354">
        <f t="shared" si="14"/>
        <v>1</v>
      </c>
      <c r="BT13" s="354">
        <f t="shared" si="14"/>
        <v>1</v>
      </c>
      <c r="BU13" s="354">
        <f t="shared" si="14"/>
        <v>1</v>
      </c>
      <c r="BV13" s="354">
        <f t="shared" ref="BV13" si="15">SUM(BV14:BV15)</f>
        <v>0</v>
      </c>
      <c r="BW13" s="354"/>
      <c r="BX13" s="354">
        <f>SUM(BX14:BX15)</f>
        <v>0</v>
      </c>
      <c r="BY13" s="315"/>
    </row>
    <row r="14" spans="1:78" s="338" customFormat="1" ht="22.5" customHeight="1">
      <c r="A14" s="320">
        <v>1</v>
      </c>
      <c r="B14" s="320" t="s">
        <v>113</v>
      </c>
      <c r="C14" s="320"/>
      <c r="D14" s="372" t="s">
        <v>114</v>
      </c>
      <c r="E14" s="321" t="s">
        <v>115</v>
      </c>
      <c r="F14" s="321" t="s">
        <v>116</v>
      </c>
      <c r="G14" s="322" t="s">
        <v>117</v>
      </c>
      <c r="H14" s="323" t="s">
        <v>94</v>
      </c>
      <c r="I14" s="323" t="s">
        <v>118</v>
      </c>
      <c r="J14" s="324">
        <v>10448000</v>
      </c>
      <c r="K14" s="324">
        <v>7570000</v>
      </c>
      <c r="L14" s="324">
        <f>J14-K14</f>
        <v>2878000</v>
      </c>
      <c r="M14" s="324">
        <v>26</v>
      </c>
      <c r="N14" s="325">
        <f>IFERROR(VLOOKUP(B14,' TimeTB 1'!$C$4:$AU$5,45,0),0)</f>
        <v>0</v>
      </c>
      <c r="O14" s="325">
        <f>VLOOKUP(B14,'TimeTB 2'!$C$4:$AU$11,45,0)</f>
        <v>25</v>
      </c>
      <c r="P14" s="326">
        <f>ROUND((K14/M14*N14),0)</f>
        <v>0</v>
      </c>
      <c r="Q14" s="326">
        <f>ROUND(K14/M14*O14,0)</f>
        <v>7278846</v>
      </c>
      <c r="R14" s="327">
        <f>SUM(P14:Q14)</f>
        <v>7278846</v>
      </c>
      <c r="S14" s="326">
        <f>ROUND(L14/26*N14,0)</f>
        <v>0</v>
      </c>
      <c r="T14" s="326">
        <f>ROUND(L14/26*O14,0)</f>
        <v>2767308</v>
      </c>
      <c r="U14" s="327">
        <f>SUM(S14:T14)</f>
        <v>2767308</v>
      </c>
      <c r="V14" s="324">
        <v>0</v>
      </c>
      <c r="W14" s="324">
        <v>0</v>
      </c>
      <c r="X14" s="324">
        <v>0</v>
      </c>
      <c r="Y14" s="324">
        <f>VLOOKUP(B14,'PC cơm '!$B$3:$L$11,11,0)</f>
        <v>960000</v>
      </c>
      <c r="Z14" s="327">
        <f>SUM(V14:Y14)</f>
        <v>960000</v>
      </c>
      <c r="AA14" s="324">
        <f>VLOOKUP(B14,'OT '!$B$4:$R$11,17,0)</f>
        <v>307663</v>
      </c>
      <c r="AB14" s="328">
        <f>VLOOKUP(B14,NS!$B$9:$G$16,6,0)</f>
        <v>0</v>
      </c>
      <c r="AC14" s="328">
        <v>0</v>
      </c>
      <c r="AD14" s="324">
        <v>0</v>
      </c>
      <c r="AE14" s="325">
        <v>0</v>
      </c>
      <c r="AF14" s="329">
        <f>ROUND(J14/26*AE14,0)</f>
        <v>0</v>
      </c>
      <c r="AG14" s="329">
        <f>IFERROR(VLOOKUP(B14,Incentive!$B$9:$H$11,7,0),0)</f>
        <v>0</v>
      </c>
      <c r="AH14" s="329">
        <f>SUMIF(Others!$B$8:$B$15,$B14,Others!$F$8:$F$15)</f>
        <v>1923076.923076923</v>
      </c>
      <c r="AI14" s="329">
        <v>0</v>
      </c>
      <c r="AJ14" s="324">
        <f>AI14+AH14+AG14+AF14+AD14+AC14+AB14+AA14+Z14+U14+R14+BN14</f>
        <v>14236893.923076924</v>
      </c>
      <c r="AK14" s="324">
        <f>VLOOKUP(B14,'OT '!$B$4:$T$11,19,0)</f>
        <v>156971</v>
      </c>
      <c r="AL14" s="328">
        <f>VLOOKUP(B14,NS!$B$9:$I$16,8,0)</f>
        <v>0</v>
      </c>
      <c r="AM14" s="328">
        <f>AI14</f>
        <v>0</v>
      </c>
      <c r="AN14" s="324">
        <f t="shared" si="1"/>
        <v>15500000</v>
      </c>
      <c r="AO14" s="325">
        <v>0</v>
      </c>
      <c r="AP14" s="330">
        <f>AO14*$AP$1</f>
        <v>0</v>
      </c>
      <c r="AQ14" s="330">
        <f>BF14*$AQ$1</f>
        <v>605600</v>
      </c>
      <c r="AR14" s="330">
        <f>BF14*$AR$1</f>
        <v>113550</v>
      </c>
      <c r="AS14" s="330">
        <f>BG14*$AS$1</f>
        <v>75700</v>
      </c>
      <c r="AT14" s="331">
        <f>+AS14+AR14+AQ14</f>
        <v>794850</v>
      </c>
      <c r="AU14" s="332">
        <f>IF(BT14=1,0,MIN(Y14,730000))</f>
        <v>730000</v>
      </c>
      <c r="AV14" s="333">
        <f>AJ14-AK14-AL14-AM14-AU14</f>
        <v>13349922.923076924</v>
      </c>
      <c r="AW14" s="333">
        <f>MAX(AV14-AN14-AP14-AT14,0)</f>
        <v>0</v>
      </c>
      <c r="AX14" s="334">
        <f>IF(BT14=1,10%,IF(AW14&gt;0,IF(AW14&gt;80000000,0.35,IF(AW14&gt;52000000,0.3,IF(AW14&gt;32000000,0.25,IF(AW14&gt;18000000,0.2,IF(AW14&gt;10000000,0.15,IF(AW14&gt;5000000,0.1,0.05)))))),0))</f>
        <v>0</v>
      </c>
      <c r="AY14" s="444">
        <f>IF(BT14=1,0,IF(AW14&gt;80000000,9850000,IF(AW14&gt;52000000,5850000,IF(AW14&gt;32000000,3250000,IF(AW14&gt;18000000,1650000,IF(AW14&gt;10000000,750000,IF(AW14&gt;5000000,250000,0)))))))</f>
        <v>0</v>
      </c>
      <c r="AZ14" s="335">
        <f>ROUND(AW14*AX14-AY14,0)</f>
        <v>0</v>
      </c>
      <c r="BA14" s="324">
        <f>BF14*$BA$1</f>
        <v>1286900</v>
      </c>
      <c r="BB14" s="324">
        <f>BF14*$BB$1</f>
        <v>227100</v>
      </c>
      <c r="BC14" s="324">
        <f>BG14*$BC$1</f>
        <v>75700</v>
      </c>
      <c r="BD14" s="324">
        <f>BG14*$BD$1</f>
        <v>37850</v>
      </c>
      <c r="BE14" s="324">
        <f>SUM(BA14:BD14)</f>
        <v>1627550</v>
      </c>
      <c r="BF14" s="330">
        <f>MIN((IF(BS14=1,K14,0)),$BF$1)</f>
        <v>7570000</v>
      </c>
      <c r="BG14" s="330">
        <f>MIN((IF(BS14=1,K14,0)),$BG$1)</f>
        <v>7570000</v>
      </c>
      <c r="BH14" s="330">
        <v>0</v>
      </c>
      <c r="BI14" s="330">
        <v>0</v>
      </c>
      <c r="BJ14" s="330">
        <f>IF(BS14=1,BF14*2%,0)</f>
        <v>151400</v>
      </c>
      <c r="BK14" s="330">
        <f>IF(BU14=1,40000,0)</f>
        <v>40000</v>
      </c>
      <c r="BL14" s="330">
        <f>IF(BV14=0,0,IF(J14&lt;11000000,5000,IF(J14&lt;25000000,10000,IF(J14&lt;40000000,15000,20000)))*BW14)</f>
        <v>0</v>
      </c>
      <c r="BM14" s="336">
        <f>AJ14-AT14-AZ14-BK14-BL14-BN14-BO14-BP14</f>
        <v>12402043.923076924</v>
      </c>
      <c r="BN14" s="333">
        <f>IFERROR(VLOOKUP(B14,'Benefit tính thuế'!$B$2:$H$5,7,0),0)</f>
        <v>1000000</v>
      </c>
      <c r="BO14" s="336">
        <v>0</v>
      </c>
      <c r="BP14" s="336">
        <v>0</v>
      </c>
      <c r="BQ14" s="337">
        <f>AN14+AP14+AU14</f>
        <v>16230000</v>
      </c>
      <c r="BR14" s="337">
        <f>+AZ14+AT14</f>
        <v>794850</v>
      </c>
      <c r="BS14" s="337">
        <v>1</v>
      </c>
      <c r="BT14" s="443">
        <v>0</v>
      </c>
      <c r="BU14" s="337">
        <v>1</v>
      </c>
      <c r="BV14" s="443">
        <v>0</v>
      </c>
      <c r="BW14" s="337">
        <v>20</v>
      </c>
      <c r="BX14" s="274"/>
      <c r="BY14" s="340"/>
    </row>
    <row r="15" spans="1:78" s="338" customFormat="1" ht="22.5" customHeight="1">
      <c r="A15" s="320">
        <v>1</v>
      </c>
      <c r="B15" s="320" t="s">
        <v>119</v>
      </c>
      <c r="C15" s="320"/>
      <c r="D15" s="440" t="s">
        <v>120</v>
      </c>
      <c r="E15" s="441">
        <v>45738</v>
      </c>
      <c r="F15" s="321" t="s">
        <v>116</v>
      </c>
      <c r="G15" s="322" t="s">
        <v>117</v>
      </c>
      <c r="H15" s="323" t="s">
        <v>94</v>
      </c>
      <c r="I15" s="323" t="s">
        <v>118</v>
      </c>
      <c r="J15" s="324">
        <v>11000000</v>
      </c>
      <c r="K15" s="324">
        <v>5800000</v>
      </c>
      <c r="L15" s="324">
        <f>J15-K15</f>
        <v>5200000</v>
      </c>
      <c r="M15" s="324">
        <v>26</v>
      </c>
      <c r="N15" s="325">
        <f>IFERROR(VLOOKUP(B15,' TimeTB 1'!$C$4:$AU$5,45,0),0)</f>
        <v>4</v>
      </c>
      <c r="O15" s="325">
        <f>VLOOKUP(B15,'TimeTB 2'!$C$4:$AU$11,45,0)</f>
        <v>26</v>
      </c>
      <c r="P15" s="326">
        <f>ROUND((K15/M15*N15),0)</f>
        <v>892308</v>
      </c>
      <c r="Q15" s="326">
        <f>ROUND(K15/M15*O15,0)</f>
        <v>5800000</v>
      </c>
      <c r="R15" s="327">
        <f>SUM(P15:Q15)</f>
        <v>6692308</v>
      </c>
      <c r="S15" s="326">
        <f>ROUND(L15/26*N15,0)</f>
        <v>800000</v>
      </c>
      <c r="T15" s="326">
        <f>ROUND(L15/26*O15,0)</f>
        <v>5200000</v>
      </c>
      <c r="U15" s="327">
        <f>SUM(S15:T15)</f>
        <v>6000000</v>
      </c>
      <c r="V15" s="324">
        <v>0</v>
      </c>
      <c r="W15" s="324">
        <v>0</v>
      </c>
      <c r="X15" s="324">
        <v>0</v>
      </c>
      <c r="Y15" s="324">
        <f>VLOOKUP(B15,'PC cơm '!$B$3:$L$11,11,0)</f>
        <v>1120000</v>
      </c>
      <c r="Z15" s="327">
        <f>SUM(V15:Y15)</f>
        <v>1120000</v>
      </c>
      <c r="AA15" s="324">
        <f>VLOOKUP(B15,'OT '!$B$4:$R$11,17,0)</f>
        <v>2488221</v>
      </c>
      <c r="AB15" s="328">
        <f>VLOOKUP(B15,NS!$B$9:$G$16,6,0)</f>
        <v>95192</v>
      </c>
      <c r="AC15" s="328">
        <v>0</v>
      </c>
      <c r="AD15" s="324">
        <v>0</v>
      </c>
      <c r="AE15" s="325">
        <v>0</v>
      </c>
      <c r="AF15" s="329">
        <f>ROUND(J15/26*AE15,0)</f>
        <v>0</v>
      </c>
      <c r="AG15" s="329">
        <f>IFERROR(VLOOKUP(B15,Incentive!$B$9:$H$11,7,0),0)</f>
        <v>5610000</v>
      </c>
      <c r="AH15" s="329">
        <f>SUMIF(Others!$B$8:$B$15,$B15,Others!$F$8:$F$15)</f>
        <v>0</v>
      </c>
      <c r="AI15" s="329">
        <v>0</v>
      </c>
      <c r="AJ15" s="324">
        <f>AI15+AH15+AG15+AF15+AD15+AC15+AB15+AA15+Z15+U15+R15+BN15</f>
        <v>22005721</v>
      </c>
      <c r="AK15" s="324">
        <f>VLOOKUP(B15,'OT '!$B$4:$T$11,19,0)</f>
        <v>0</v>
      </c>
      <c r="AL15" s="328">
        <f>VLOOKUP(B15,NS!$B$9:$I$16,8,0)</f>
        <v>0</v>
      </c>
      <c r="AM15" s="328">
        <f>AI15</f>
        <v>0</v>
      </c>
      <c r="AN15" s="324">
        <f t="shared" si="1"/>
        <v>0</v>
      </c>
      <c r="AO15" s="325">
        <v>0</v>
      </c>
      <c r="AP15" s="330">
        <f>AO15*$AP$1</f>
        <v>0</v>
      </c>
      <c r="AQ15" s="330">
        <f>BF15*$AQ$1</f>
        <v>0</v>
      </c>
      <c r="AR15" s="330">
        <f>BF15*$AR$1</f>
        <v>0</v>
      </c>
      <c r="AS15" s="330">
        <f>BG15*$AS$1</f>
        <v>0</v>
      </c>
      <c r="AT15" s="331">
        <f>+AS15+AR15+AQ15</f>
        <v>0</v>
      </c>
      <c r="AU15" s="332">
        <f>IF(BT15=1,0,MIN(Y15,730000))</f>
        <v>0</v>
      </c>
      <c r="AV15" s="333">
        <f>AJ15-AK15-AL15-AM15-AU15</f>
        <v>22005721</v>
      </c>
      <c r="AW15" s="333">
        <f>MAX(AV15-AN15-AP15-AT15,0)</f>
        <v>22005721</v>
      </c>
      <c r="AX15" s="334">
        <f>IF(BT15=1,10%,IF(AW15&gt;0,IF(AW15&gt;80000000,0.35,IF(AW15&gt;52000000,0.3,IF(AW15&gt;32000000,0.25,IF(AW15&gt;18000000,0.2,IF(AW15&gt;10000000,0.15,IF(AW15&gt;5000000,0.1,0.05)))))),0))</f>
        <v>0.1</v>
      </c>
      <c r="AY15" s="444">
        <f>IF(BT15=1,0,IF(AW15&gt;80000000,9850000,IF(AW15&gt;52000000,5850000,IF(AW15&gt;32000000,3250000,IF(AW15&gt;18000000,1650000,IF(AW15&gt;10000000,750000,IF(AW15&gt;5000000,250000,0)))))))</f>
        <v>0</v>
      </c>
      <c r="AZ15" s="335">
        <f>ROUND(AW15*AX15-AY15,0)</f>
        <v>2200572</v>
      </c>
      <c r="BA15" s="324">
        <f>BF15*$BA$1</f>
        <v>0</v>
      </c>
      <c r="BB15" s="324">
        <f>BF15*$BB$1</f>
        <v>0</v>
      </c>
      <c r="BC15" s="324">
        <f>BG15*$BC$1</f>
        <v>0</v>
      </c>
      <c r="BD15" s="324">
        <f>BG15*$BD$1</f>
        <v>0</v>
      </c>
      <c r="BE15" s="324">
        <f>SUM(BA15:BD15)</f>
        <v>0</v>
      </c>
      <c r="BF15" s="330">
        <f>MIN((IF(BS15=1,K15,0)),$BF$1)</f>
        <v>0</v>
      </c>
      <c r="BG15" s="330">
        <f>MIN((IF(BS15=1,K15,0)),$BG$1)</f>
        <v>0</v>
      </c>
      <c r="BH15" s="330">
        <v>0</v>
      </c>
      <c r="BI15" s="330">
        <v>0</v>
      </c>
      <c r="BJ15" s="330">
        <f>IF(BS15=1,BF15*2%,0)</f>
        <v>0</v>
      </c>
      <c r="BK15" s="330">
        <f>IF(BU15=1,40000,0)</f>
        <v>0</v>
      </c>
      <c r="BL15" s="330">
        <f>IF(BV15=0,0,IF(J15&lt;11000000,5000,IF(J15&lt;25000000,10000,IF(J15&lt;40000000,15000,20000)))*BW15)</f>
        <v>0</v>
      </c>
      <c r="BM15" s="336">
        <f>AJ15-AT15-AZ15-BK15-BL15-BN15-BO15-BP15</f>
        <v>19805149</v>
      </c>
      <c r="BN15" s="333">
        <f>IFERROR(VLOOKUP(B15,'Benefit tính thuế'!$B$2:$H$5,7,0),0)</f>
        <v>0</v>
      </c>
      <c r="BO15" s="336">
        <v>0</v>
      </c>
      <c r="BP15" s="336">
        <v>0</v>
      </c>
      <c r="BQ15" s="337">
        <f>AN15+AP15+AU15</f>
        <v>0</v>
      </c>
      <c r="BR15" s="337">
        <f>+AZ15+AT15</f>
        <v>2200572</v>
      </c>
      <c r="BS15" s="443">
        <v>0</v>
      </c>
      <c r="BT15" s="337">
        <v>1</v>
      </c>
      <c r="BU15" s="443">
        <v>0</v>
      </c>
      <c r="BV15" s="443">
        <v>0</v>
      </c>
      <c r="BW15" s="337">
        <v>20</v>
      </c>
      <c r="BX15" s="274"/>
      <c r="BY15" s="340"/>
    </row>
    <row r="16" spans="1:78" s="340" customFormat="1" ht="22.5" customHeight="1">
      <c r="A16" s="485" t="s">
        <v>121</v>
      </c>
      <c r="B16" s="484"/>
      <c r="C16" s="484"/>
      <c r="D16" s="484"/>
      <c r="E16" s="482"/>
      <c r="F16" s="350"/>
      <c r="G16" s="350" t="s">
        <v>122</v>
      </c>
      <c r="H16" s="339"/>
      <c r="I16" s="339"/>
      <c r="J16" s="369">
        <f t="shared" ref="J16:AO16" si="16">SUM(J3:J15)/2</f>
        <v>106345000</v>
      </c>
      <c r="K16" s="369">
        <f t="shared" si="16"/>
        <v>48395000</v>
      </c>
      <c r="L16" s="369">
        <f t="shared" si="16"/>
        <v>57950000</v>
      </c>
      <c r="M16" s="369">
        <f t="shared" si="16"/>
        <v>195</v>
      </c>
      <c r="N16" s="369">
        <f t="shared" si="16"/>
        <v>6</v>
      </c>
      <c r="O16" s="369">
        <f t="shared" si="16"/>
        <v>184</v>
      </c>
      <c r="P16" s="369">
        <f t="shared" si="16"/>
        <v>1300770</v>
      </c>
      <c r="Q16" s="369">
        <f t="shared" si="16"/>
        <v>46061538</v>
      </c>
      <c r="R16" s="369">
        <f t="shared" si="16"/>
        <v>47362308</v>
      </c>
      <c r="S16" s="369">
        <f t="shared" si="16"/>
        <v>1045385</v>
      </c>
      <c r="T16" s="369">
        <f t="shared" si="16"/>
        <v>56804693</v>
      </c>
      <c r="U16" s="369">
        <f t="shared" si="16"/>
        <v>57850078</v>
      </c>
      <c r="V16" s="369">
        <f t="shared" si="16"/>
        <v>0</v>
      </c>
      <c r="W16" s="369">
        <f t="shared" si="16"/>
        <v>0</v>
      </c>
      <c r="X16" s="369">
        <f t="shared" si="16"/>
        <v>0</v>
      </c>
      <c r="Y16" s="369">
        <f t="shared" si="16"/>
        <v>7620000</v>
      </c>
      <c r="Z16" s="369">
        <f t="shared" si="16"/>
        <v>7620000</v>
      </c>
      <c r="AA16" s="369">
        <f t="shared" si="16"/>
        <v>12165521</v>
      </c>
      <c r="AB16" s="369">
        <f t="shared" si="16"/>
        <v>380064.5</v>
      </c>
      <c r="AC16" s="369">
        <f t="shared" si="16"/>
        <v>0</v>
      </c>
      <c r="AD16" s="369">
        <f t="shared" si="16"/>
        <v>0</v>
      </c>
      <c r="AE16" s="369">
        <f t="shared" si="16"/>
        <v>4</v>
      </c>
      <c r="AF16" s="369">
        <f t="shared" si="16"/>
        <v>1230769</v>
      </c>
      <c r="AG16" s="369">
        <f t="shared" si="16"/>
        <v>10210000</v>
      </c>
      <c r="AH16" s="369">
        <f t="shared" si="16"/>
        <v>2923076.923076923</v>
      </c>
      <c r="AI16" s="369">
        <f t="shared" si="16"/>
        <v>0</v>
      </c>
      <c r="AJ16" s="369">
        <f t="shared" si="16"/>
        <v>144091817.42307693</v>
      </c>
      <c r="AK16" s="369">
        <f t="shared" si="16"/>
        <v>5540994</v>
      </c>
      <c r="AL16" s="369">
        <f t="shared" si="16"/>
        <v>278742.5</v>
      </c>
      <c r="AM16" s="369">
        <f t="shared" si="16"/>
        <v>0</v>
      </c>
      <c r="AN16" s="369">
        <f t="shared" si="16"/>
        <v>69750000</v>
      </c>
      <c r="AO16" s="369">
        <f t="shared" si="16"/>
        <v>3</v>
      </c>
      <c r="AP16" s="369">
        <f t="shared" ref="AP16:BU16" si="17">SUM(AP3:AP15)/2</f>
        <v>18600000</v>
      </c>
      <c r="AQ16" s="369">
        <f t="shared" si="17"/>
        <v>2558000</v>
      </c>
      <c r="AR16" s="369">
        <f t="shared" si="17"/>
        <v>479625</v>
      </c>
      <c r="AS16" s="369">
        <f t="shared" si="17"/>
        <v>319750</v>
      </c>
      <c r="AT16" s="369">
        <f t="shared" si="17"/>
        <v>3357375</v>
      </c>
      <c r="AU16" s="369">
        <f t="shared" si="17"/>
        <v>4005000</v>
      </c>
      <c r="AV16" s="369">
        <f t="shared" si="17"/>
        <v>134267080.92307693</v>
      </c>
      <c r="AW16" s="369">
        <f t="shared" si="17"/>
        <v>49680580</v>
      </c>
      <c r="AX16" s="369">
        <f t="shared" si="17"/>
        <v>0.39999999999999997</v>
      </c>
      <c r="AY16" s="369">
        <f t="shared" si="17"/>
        <v>875000</v>
      </c>
      <c r="AZ16" s="369">
        <f t="shared" si="17"/>
        <v>4738047.5</v>
      </c>
      <c r="BA16" s="369">
        <f t="shared" si="17"/>
        <v>5435750</v>
      </c>
      <c r="BB16" s="369">
        <f t="shared" si="17"/>
        <v>959250</v>
      </c>
      <c r="BC16" s="369">
        <f t="shared" si="17"/>
        <v>319750</v>
      </c>
      <c r="BD16" s="369">
        <f t="shared" si="17"/>
        <v>159875</v>
      </c>
      <c r="BE16" s="369">
        <f t="shared" si="17"/>
        <v>6874625</v>
      </c>
      <c r="BF16" s="369">
        <f t="shared" si="17"/>
        <v>31975000</v>
      </c>
      <c r="BG16" s="369">
        <f t="shared" si="17"/>
        <v>31975000</v>
      </c>
      <c r="BH16" s="369">
        <f t="shared" si="17"/>
        <v>0</v>
      </c>
      <c r="BI16" s="370">
        <f t="shared" si="17"/>
        <v>0</v>
      </c>
      <c r="BJ16" s="370">
        <f t="shared" si="17"/>
        <v>639500</v>
      </c>
      <c r="BK16" s="369">
        <f t="shared" si="17"/>
        <v>180000</v>
      </c>
      <c r="BL16" s="369">
        <f t="shared" si="17"/>
        <v>400000</v>
      </c>
      <c r="BM16" s="371">
        <f t="shared" si="17"/>
        <v>131066394.92307693</v>
      </c>
      <c r="BN16" s="369">
        <f t="shared" si="17"/>
        <v>4350000</v>
      </c>
      <c r="BO16" s="339">
        <f t="shared" si="17"/>
        <v>0</v>
      </c>
      <c r="BP16" s="339">
        <f t="shared" si="17"/>
        <v>0</v>
      </c>
      <c r="BQ16" s="339">
        <f t="shared" si="17"/>
        <v>107855000</v>
      </c>
      <c r="BR16" s="339">
        <f t="shared" si="17"/>
        <v>8095422.5</v>
      </c>
      <c r="BS16" s="339">
        <f t="shared" si="17"/>
        <v>4.5</v>
      </c>
      <c r="BT16" s="339">
        <f t="shared" si="17"/>
        <v>2</v>
      </c>
      <c r="BU16" s="339">
        <f t="shared" si="17"/>
        <v>4.5</v>
      </c>
      <c r="BV16" s="339">
        <f t="shared" ref="BV16:DA16" si="18">SUM(BV3:BV15)/2</f>
        <v>2</v>
      </c>
      <c r="BW16" s="339"/>
      <c r="BX16" s="339"/>
    </row>
    <row r="17" spans="1:77" s="341" customFormat="1" ht="18.75" customHeight="1">
      <c r="D17" s="367"/>
      <c r="H17" s="342"/>
      <c r="I17" s="342"/>
      <c r="J17" s="342"/>
      <c r="K17" s="342"/>
      <c r="L17" s="343"/>
      <c r="M17" s="342"/>
      <c r="N17" s="342" t="s">
        <v>287</v>
      </c>
      <c r="O17" s="342" t="s">
        <v>288</v>
      </c>
      <c r="P17" s="342"/>
      <c r="Q17" s="342"/>
      <c r="R17" s="342"/>
      <c r="S17" s="344"/>
      <c r="T17" s="344"/>
      <c r="U17" s="342"/>
      <c r="V17" s="342"/>
      <c r="W17" s="342"/>
      <c r="X17" s="342"/>
      <c r="Y17" s="345" t="s">
        <v>289</v>
      </c>
      <c r="Z17" s="380"/>
      <c r="AA17" s="342" t="s">
        <v>290</v>
      </c>
      <c r="AB17" s="342" t="s">
        <v>292</v>
      </c>
      <c r="AC17" s="342"/>
      <c r="AD17" s="342"/>
      <c r="AE17" s="342"/>
      <c r="AF17" s="342"/>
      <c r="AG17" s="342" t="s">
        <v>291</v>
      </c>
      <c r="AH17" s="342" t="s">
        <v>293</v>
      </c>
      <c r="AI17" s="343"/>
      <c r="AJ17" s="346"/>
      <c r="AK17" s="342" t="s">
        <v>290</v>
      </c>
      <c r="AL17" s="342" t="s">
        <v>292</v>
      </c>
      <c r="AM17" s="347"/>
      <c r="AN17" s="342"/>
      <c r="AO17" s="342"/>
      <c r="AP17" s="342"/>
      <c r="AQ17" s="342"/>
      <c r="AR17" s="342"/>
      <c r="AS17" s="342"/>
      <c r="AT17" s="342"/>
      <c r="AU17" s="348"/>
      <c r="AV17" s="343"/>
      <c r="AW17" s="343"/>
      <c r="AX17" s="342"/>
      <c r="AY17" s="342"/>
      <c r="AZ17" s="342"/>
      <c r="BA17" s="342"/>
      <c r="BB17" s="342"/>
      <c r="BC17" s="342"/>
      <c r="BD17" s="342"/>
      <c r="BE17" s="342"/>
      <c r="BF17" s="342"/>
      <c r="BG17" s="342"/>
      <c r="BH17" s="342"/>
      <c r="BI17" s="342"/>
      <c r="BJ17" s="342"/>
      <c r="BK17" s="342"/>
      <c r="BL17" s="347"/>
      <c r="BM17" s="347"/>
      <c r="BN17" s="342" t="s">
        <v>294</v>
      </c>
      <c r="BO17" s="342"/>
      <c r="BP17" s="342"/>
      <c r="BQ17" s="342"/>
      <c r="BR17" s="342"/>
      <c r="BS17" s="342"/>
      <c r="BT17" s="342"/>
      <c r="BU17" s="342"/>
      <c r="BV17" s="342"/>
      <c r="BW17" s="342"/>
      <c r="BX17" s="342"/>
      <c r="BY17" s="386"/>
    </row>
    <row r="18" spans="1:77" s="457" customFormat="1" ht="42.75" customHeight="1">
      <c r="A18" s="448"/>
      <c r="B18" s="449" t="s">
        <v>123</v>
      </c>
      <c r="C18" s="450"/>
      <c r="D18" s="451"/>
      <c r="E18" s="450"/>
      <c r="F18" s="452"/>
      <c r="G18" s="452"/>
      <c r="H18" s="451"/>
      <c r="I18" s="450"/>
      <c r="J18" s="453"/>
      <c r="K18" s="450"/>
      <c r="L18" s="450"/>
      <c r="M18" s="453" t="s">
        <v>124</v>
      </c>
      <c r="N18" s="449"/>
      <c r="O18" s="450"/>
      <c r="P18" s="450"/>
      <c r="Q18" s="449"/>
      <c r="R18" s="449"/>
      <c r="S18" s="450"/>
      <c r="T18" s="449"/>
      <c r="U18" s="450"/>
      <c r="V18" s="454"/>
      <c r="W18" s="455"/>
      <c r="X18" s="454"/>
      <c r="Y18" s="449"/>
      <c r="Z18" s="453"/>
      <c r="AA18" s="449"/>
      <c r="AB18" s="453"/>
      <c r="AC18" s="449"/>
      <c r="AD18" s="449"/>
      <c r="AE18" s="453" t="s">
        <v>124</v>
      </c>
      <c r="AF18" s="449"/>
      <c r="AG18" s="449"/>
      <c r="AH18" s="449"/>
      <c r="AI18" s="449"/>
      <c r="AJ18" s="450"/>
      <c r="AK18" s="449"/>
      <c r="AL18" s="449"/>
      <c r="AM18" s="449"/>
      <c r="AN18" s="449"/>
      <c r="AO18" s="456"/>
      <c r="AP18" s="449"/>
      <c r="AQ18" s="449"/>
      <c r="AR18" s="450"/>
      <c r="AS18" s="450"/>
      <c r="AT18" s="453"/>
      <c r="AU18" s="450"/>
      <c r="AV18" s="450"/>
      <c r="AW18" s="449"/>
      <c r="AX18" s="450"/>
      <c r="AY18" s="450"/>
      <c r="AZ18" s="453" t="s">
        <v>125</v>
      </c>
      <c r="BA18" s="450"/>
      <c r="BB18" s="450"/>
      <c r="BC18" s="450"/>
      <c r="BD18" s="450"/>
      <c r="BE18" s="450"/>
      <c r="BF18" s="450"/>
      <c r="BG18" s="450"/>
      <c r="BH18" s="450"/>
      <c r="BN18" s="458"/>
    </row>
    <row r="23" spans="1:77" ht="33">
      <c r="B23" s="475" t="s">
        <v>274</v>
      </c>
    </row>
  </sheetData>
  <autoFilter ref="A2:CG16" xr:uid="{00000000-0009-0000-0000-000000000000}"/>
  <mergeCells count="11">
    <mergeCell ref="E4:F4"/>
    <mergeCell ref="A9:D9"/>
    <mergeCell ref="A16:E16"/>
    <mergeCell ref="A4:D4"/>
    <mergeCell ref="E11:F11"/>
    <mergeCell ref="A13:D13"/>
    <mergeCell ref="E6:F6"/>
    <mergeCell ref="A11:D11"/>
    <mergeCell ref="E9:F9"/>
    <mergeCell ref="A6:D6"/>
    <mergeCell ref="E13:F13"/>
  </mergeCells>
  <dataValidations count="1">
    <dataValidation allowBlank="1" showErrorMessage="1" sqref="A1:K1 A2:XFD2 A7:A13 A15:A1048576 B7:F7 B8:E15 B17:E17 B18:U1048576 D4:D6 F8 F9:G9 F10:F17 G7:I8 G10:G11 G12:H17 I13:I17 J4:J7 J12:M17 K8:K11 L7:L8 L9:M9 L10 M1:R1 N7:N13 N15:N17 O7:Q8 O10:Q10 O12:U12 AO7:BX12 O14:U17 R7:T7 S8:U11 V1:AH1 V15:AI1048576 Z5:Z6 AJ1:AL1 AN3:AN12 AJ19:BP1048576 AK18:BP18 AN1:BK1 BM1 BQ1:XFD1 BQ14:BX1048576 BY7:XFD1048576 A3:C6 Z3 K3:Y6 E3:I6 AA3:AM6 AO3:XFD6 AJ15:BP17 V7:AM12 O13:BX13 A14:BP14" xr:uid="{00000000-0002-0000-0000-000000000000}"/>
  </dataValidations>
  <pageMargins left="0.2" right="0.1" top="0.45" bottom="0.45" header="0.1" footer="0.1"/>
  <pageSetup paperSize="8" scale="4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E3" sqref="E3"/>
    </sheetView>
  </sheetViews>
  <sheetFormatPr baseColWidth="10" defaultColWidth="9.1640625" defaultRowHeight="15"/>
  <cols>
    <col min="1" max="1" width="33" style="287" bestFit="1" customWidth="1"/>
    <col min="2" max="2" width="12" style="287" bestFit="1" customWidth="1"/>
    <col min="3" max="3" width="19.5" style="287" bestFit="1" customWidth="1"/>
    <col min="4" max="4" width="17.83203125" style="287" customWidth="1"/>
    <col min="5" max="5" width="23.1640625" style="287" customWidth="1"/>
    <col min="6" max="6" width="18.6640625" style="287" bestFit="1" customWidth="1"/>
    <col min="7" max="7" width="23.33203125" style="287" bestFit="1" customWidth="1"/>
    <col min="8" max="8" width="28.5" style="287" customWidth="1"/>
    <col min="9" max="9" width="30.33203125" style="287" bestFit="1" customWidth="1"/>
    <col min="10" max="10" width="29.1640625" style="287" bestFit="1" customWidth="1"/>
    <col min="11" max="11" width="13.83203125" style="287" bestFit="1" customWidth="1"/>
    <col min="12" max="12" width="11.6640625" style="287" bestFit="1" customWidth="1"/>
    <col min="13" max="13" width="8" style="287" bestFit="1" customWidth="1"/>
    <col min="14" max="14" width="9.1640625" style="287" customWidth="1"/>
    <col min="15" max="16384" width="9.1640625" style="287"/>
  </cols>
  <sheetData>
    <row r="1" spans="1:13" ht="63.75" customHeight="1">
      <c r="A1" s="493" t="s">
        <v>2</v>
      </c>
      <c r="B1" s="493" t="s">
        <v>3</v>
      </c>
      <c r="C1" s="490" t="s">
        <v>143</v>
      </c>
      <c r="D1" s="490" t="s">
        <v>275</v>
      </c>
      <c r="E1" s="490" t="s">
        <v>295</v>
      </c>
      <c r="F1" s="492" t="s">
        <v>277</v>
      </c>
      <c r="G1" s="497" t="s">
        <v>278</v>
      </c>
      <c r="H1" s="497" t="s">
        <v>279</v>
      </c>
      <c r="I1" s="477" t="s">
        <v>280</v>
      </c>
      <c r="J1" s="477" t="s">
        <v>281</v>
      </c>
      <c r="K1" s="477" t="s">
        <v>282</v>
      </c>
      <c r="L1" s="495" t="s">
        <v>283</v>
      </c>
      <c r="M1" s="486" t="s">
        <v>284</v>
      </c>
    </row>
    <row r="2" spans="1:13" ht="15.75" customHeight="1">
      <c r="A2" s="494"/>
      <c r="B2" s="494"/>
      <c r="C2" s="491"/>
      <c r="D2" s="491"/>
      <c r="E2" s="491"/>
      <c r="F2" s="491"/>
      <c r="G2" s="498"/>
      <c r="H2" s="498"/>
      <c r="I2" s="479">
        <v>40000</v>
      </c>
      <c r="J2" s="479">
        <v>40000</v>
      </c>
      <c r="K2" s="479">
        <v>80000</v>
      </c>
      <c r="L2" s="496"/>
      <c r="M2" s="487"/>
    </row>
    <row r="3" spans="1:13" ht="15.75" customHeight="1">
      <c r="A3" s="288">
        <f t="shared" ref="A3:A10" si="0">ROW()-6</f>
        <v>-3</v>
      </c>
      <c r="B3" s="289" t="s">
        <v>78</v>
      </c>
      <c r="C3" s="289" t="s">
        <v>126</v>
      </c>
      <c r="D3" s="419">
        <v>43466</v>
      </c>
      <c r="E3" s="309" t="s">
        <v>77</v>
      </c>
      <c r="F3" s="308">
        <f>VLOOKUP($B3,'TimeTB 2'!$C$4:$AX$11,46,0)</f>
        <v>25</v>
      </c>
      <c r="G3" s="308">
        <f>VLOOKUP($B3,'TimeTB 2'!$C$4:$AX$11,48,0)</f>
        <v>0</v>
      </c>
      <c r="H3" s="308">
        <f>VLOOKUP($B3,'TimeTB 2'!$C$4:$AX$11,47,0)</f>
        <v>0</v>
      </c>
      <c r="I3" s="290">
        <f t="shared" ref="I3:I10" si="1">F3*$I$2</f>
        <v>1000000</v>
      </c>
      <c r="J3" s="290">
        <f t="shared" ref="J3:J10" si="2">G3*$J$2</f>
        <v>0</v>
      </c>
      <c r="K3" s="290">
        <f t="shared" ref="K3:K10" si="3">H3*$K$2</f>
        <v>0</v>
      </c>
      <c r="L3" s="291">
        <f t="shared" ref="L3:L10" si="4">SUM(I3:K3)</f>
        <v>1000000</v>
      </c>
      <c r="M3" s="289"/>
    </row>
    <row r="4" spans="1:13" ht="15.75" customHeight="1">
      <c r="A4" s="288">
        <f t="shared" si="0"/>
        <v>-2</v>
      </c>
      <c r="B4" s="289" t="s">
        <v>85</v>
      </c>
      <c r="C4" s="289" t="s">
        <v>127</v>
      </c>
      <c r="D4" s="419">
        <v>43831</v>
      </c>
      <c r="E4" s="309" t="s">
        <v>84</v>
      </c>
      <c r="F4" s="308">
        <f>VLOOKUP(B4,'TimeTB 2'!$C$4:$AX$11,46,0)</f>
        <v>26</v>
      </c>
      <c r="G4" s="308">
        <f>VLOOKUP($B4,'TimeTB 2'!$C$4:$AX$11,48,0)</f>
        <v>0</v>
      </c>
      <c r="H4" s="308">
        <f>VLOOKUP($B4,'TimeTB 2'!$C$4:$AX$11,47,0)</f>
        <v>1</v>
      </c>
      <c r="I4" s="290">
        <f t="shared" si="1"/>
        <v>1040000</v>
      </c>
      <c r="J4" s="290">
        <f t="shared" si="2"/>
        <v>0</v>
      </c>
      <c r="K4" s="290">
        <f t="shared" si="3"/>
        <v>80000</v>
      </c>
      <c r="L4" s="291">
        <f t="shared" si="4"/>
        <v>1120000</v>
      </c>
      <c r="M4" s="289"/>
    </row>
    <row r="5" spans="1:13" ht="15.75" customHeight="1">
      <c r="A5" s="288">
        <f t="shared" si="0"/>
        <v>-1</v>
      </c>
      <c r="B5" s="289" t="s">
        <v>113</v>
      </c>
      <c r="C5" s="289" t="s">
        <v>128</v>
      </c>
      <c r="D5" s="419">
        <v>44197</v>
      </c>
      <c r="E5" s="309" t="s">
        <v>117</v>
      </c>
      <c r="F5" s="308">
        <f>VLOOKUP(B5,'TimeTB 2'!$C$4:$AX$11,46,0)</f>
        <v>24</v>
      </c>
      <c r="G5" s="308">
        <f>VLOOKUP($B5,'TimeTB 2'!$C$4:$AX$11,48,0)</f>
        <v>0</v>
      </c>
      <c r="H5" s="308">
        <f>VLOOKUP($B5,'TimeTB 2'!$C$4:$AX$11,47,0)</f>
        <v>0</v>
      </c>
      <c r="I5" s="290">
        <f t="shared" si="1"/>
        <v>960000</v>
      </c>
      <c r="J5" s="290">
        <f t="shared" si="2"/>
        <v>0</v>
      </c>
      <c r="K5" s="290">
        <f t="shared" si="3"/>
        <v>0</v>
      </c>
      <c r="L5" s="291">
        <f t="shared" si="4"/>
        <v>960000</v>
      </c>
      <c r="M5" s="289"/>
    </row>
    <row r="6" spans="1:13" ht="15.75" customHeight="1">
      <c r="A6" s="288">
        <f t="shared" si="0"/>
        <v>0</v>
      </c>
      <c r="B6" s="289" t="s">
        <v>91</v>
      </c>
      <c r="C6" s="289" t="s">
        <v>129</v>
      </c>
      <c r="D6" s="419">
        <v>44562</v>
      </c>
      <c r="E6" s="309" t="s">
        <v>130</v>
      </c>
      <c r="F6" s="308">
        <f>VLOOKUP(B6,'TimeTB 2'!$C$4:$AX$11,46,0)</f>
        <v>16</v>
      </c>
      <c r="G6" s="308">
        <f>VLOOKUP($B6,'TimeTB 2'!$C$4:$AX$11,48,0)</f>
        <v>0</v>
      </c>
      <c r="H6" s="308">
        <f>VLOOKUP($B6,'TimeTB 2'!$C$4:$AX$11,47,0)</f>
        <v>1</v>
      </c>
      <c r="I6" s="290">
        <f t="shared" si="1"/>
        <v>640000</v>
      </c>
      <c r="J6" s="290">
        <f t="shared" si="2"/>
        <v>0</v>
      </c>
      <c r="K6" s="290">
        <f t="shared" si="3"/>
        <v>80000</v>
      </c>
      <c r="L6" s="291">
        <f t="shared" si="4"/>
        <v>720000</v>
      </c>
      <c r="M6" s="289"/>
    </row>
    <row r="7" spans="1:13" ht="15.75" customHeight="1">
      <c r="A7" s="288">
        <f t="shared" si="0"/>
        <v>1</v>
      </c>
      <c r="B7" s="289" t="s">
        <v>96</v>
      </c>
      <c r="C7" s="289" t="s">
        <v>131</v>
      </c>
      <c r="D7" s="419">
        <v>45740</v>
      </c>
      <c r="E7" s="309" t="s">
        <v>130</v>
      </c>
      <c r="F7" s="308">
        <f>VLOOKUP(B7,'TimeTB 2'!$C$4:$AX$11,46,0)</f>
        <v>26</v>
      </c>
      <c r="G7" s="308">
        <f>VLOOKUP($B7,'TimeTB 2'!$C$4:$AX$11,48,0)</f>
        <v>0</v>
      </c>
      <c r="H7" s="308">
        <f>VLOOKUP($B7,'TimeTB 2'!$C$4:$AX$11,47,0)</f>
        <v>1</v>
      </c>
      <c r="I7" s="290">
        <f t="shared" si="1"/>
        <v>1040000</v>
      </c>
      <c r="J7" s="290">
        <f t="shared" si="2"/>
        <v>0</v>
      </c>
      <c r="K7" s="290">
        <f t="shared" si="3"/>
        <v>80000</v>
      </c>
      <c r="L7" s="291">
        <f t="shared" si="4"/>
        <v>1120000</v>
      </c>
      <c r="M7" s="289"/>
    </row>
    <row r="8" spans="1:13" ht="15.75" customHeight="1">
      <c r="A8" s="288">
        <f t="shared" si="0"/>
        <v>2</v>
      </c>
      <c r="B8" s="289" t="s">
        <v>99</v>
      </c>
      <c r="C8" s="289" t="s">
        <v>132</v>
      </c>
      <c r="D8" s="419">
        <v>44927</v>
      </c>
      <c r="E8" s="309" t="s">
        <v>90</v>
      </c>
      <c r="F8" s="308">
        <f>VLOOKUP(B8,'TimeTB 2'!$C$4:$AX$11,46,0)</f>
        <v>26</v>
      </c>
      <c r="G8" s="308">
        <f>VLOOKUP($B8,'TimeTB 2'!$C$4:$AX$11,48,0)</f>
        <v>0</v>
      </c>
      <c r="H8" s="308">
        <f>VLOOKUP($B8,'TimeTB 2'!$C$4:$AX$11,47,0)</f>
        <v>1</v>
      </c>
      <c r="I8" s="290">
        <f t="shared" si="1"/>
        <v>1040000</v>
      </c>
      <c r="J8" s="290">
        <f t="shared" si="2"/>
        <v>0</v>
      </c>
      <c r="K8" s="290">
        <f t="shared" si="3"/>
        <v>80000</v>
      </c>
      <c r="L8" s="291">
        <f t="shared" si="4"/>
        <v>1120000</v>
      </c>
      <c r="M8" s="289"/>
    </row>
    <row r="9" spans="1:13" ht="15.75" customHeight="1">
      <c r="A9" s="288">
        <f t="shared" si="0"/>
        <v>3</v>
      </c>
      <c r="B9" s="289" t="s">
        <v>106</v>
      </c>
      <c r="C9" s="289" t="s">
        <v>133</v>
      </c>
      <c r="D9" s="419">
        <v>45292</v>
      </c>
      <c r="E9" s="309" t="s">
        <v>90</v>
      </c>
      <c r="F9" s="308">
        <f>VLOOKUP(B9,'TimeTB 2'!$C$4:$AX$11,46,0)</f>
        <v>24</v>
      </c>
      <c r="G9" s="308">
        <f>VLOOKUP($B9,'TimeTB 2'!$C$4:$AX$11,48,0)</f>
        <v>0</v>
      </c>
      <c r="H9" s="308">
        <f>VLOOKUP($B9,'TimeTB 2'!$C$4:$AX$11,47,0)</f>
        <v>0</v>
      </c>
      <c r="I9" s="290">
        <f t="shared" si="1"/>
        <v>960000</v>
      </c>
      <c r="J9" s="290">
        <f t="shared" si="2"/>
        <v>0</v>
      </c>
      <c r="K9" s="290">
        <f t="shared" si="3"/>
        <v>0</v>
      </c>
      <c r="L9" s="291">
        <f t="shared" si="4"/>
        <v>960000</v>
      </c>
      <c r="M9" s="289"/>
    </row>
    <row r="10" spans="1:13" ht="15.75" customHeight="1">
      <c r="A10" s="288">
        <f t="shared" si="0"/>
        <v>4</v>
      </c>
      <c r="B10" s="289" t="s">
        <v>119</v>
      </c>
      <c r="C10" s="289" t="s">
        <v>134</v>
      </c>
      <c r="D10" s="419">
        <v>45738</v>
      </c>
      <c r="E10" s="309" t="s">
        <v>117</v>
      </c>
      <c r="F10" s="308">
        <f>VLOOKUP(B10,'TimeTB 2'!$C$4:$AX$11,46,0)</f>
        <v>26</v>
      </c>
      <c r="G10" s="308">
        <f>VLOOKUP($B10,'TimeTB 2'!$C$4:$AX$11,48,0)</f>
        <v>0</v>
      </c>
      <c r="H10" s="308">
        <f>VLOOKUP($B10,'TimeTB 2'!$C$4:$AX$11,47,0)</f>
        <v>1</v>
      </c>
      <c r="I10" s="290">
        <f t="shared" si="1"/>
        <v>1040000</v>
      </c>
      <c r="J10" s="290">
        <f t="shared" si="2"/>
        <v>0</v>
      </c>
      <c r="K10" s="290">
        <f t="shared" si="3"/>
        <v>80000</v>
      </c>
      <c r="L10" s="291">
        <f t="shared" si="4"/>
        <v>1120000</v>
      </c>
      <c r="M10" s="289"/>
    </row>
    <row r="11" spans="1:13" ht="15.75" customHeight="1">
      <c r="A11" s="488" t="s">
        <v>135</v>
      </c>
      <c r="B11" s="489"/>
      <c r="C11" s="289"/>
      <c r="D11" s="289"/>
      <c r="E11" s="289"/>
      <c r="F11" s="292">
        <f t="shared" ref="F11:L11" si="5">SUM(F3:F10)</f>
        <v>193</v>
      </c>
      <c r="G11" s="292">
        <f t="shared" si="5"/>
        <v>0</v>
      </c>
      <c r="H11" s="292">
        <f t="shared" si="5"/>
        <v>5</v>
      </c>
      <c r="I11" s="292">
        <f t="shared" si="5"/>
        <v>7720000</v>
      </c>
      <c r="J11" s="292">
        <f t="shared" si="5"/>
        <v>0</v>
      </c>
      <c r="K11" s="292">
        <f t="shared" si="5"/>
        <v>400000</v>
      </c>
      <c r="L11" s="446">
        <f t="shared" si="5"/>
        <v>8120000</v>
      </c>
      <c r="M11" s="289"/>
    </row>
    <row r="12" spans="1:13">
      <c r="I12" s="310"/>
      <c r="J12" s="310"/>
      <c r="K12" s="310"/>
      <c r="L12" s="310"/>
    </row>
    <row r="13" spans="1:13">
      <c r="I13" s="374"/>
      <c r="J13" s="374"/>
      <c r="K13" s="374"/>
      <c r="L13" s="374"/>
    </row>
    <row r="14" spans="1:13" s="293" customFormat="1" ht="15.75" customHeight="1">
      <c r="A14" s="286"/>
      <c r="B14" s="286" t="s">
        <v>136</v>
      </c>
      <c r="C14" s="286"/>
      <c r="D14" s="286"/>
      <c r="E14" s="294" t="s">
        <v>137</v>
      </c>
      <c r="F14" s="286"/>
      <c r="G14" s="286"/>
      <c r="H14" s="286"/>
      <c r="I14" s="286"/>
      <c r="J14" s="286"/>
      <c r="K14" s="286"/>
      <c r="L14" s="286" t="s">
        <v>138</v>
      </c>
    </row>
    <row r="15" spans="1:13">
      <c r="E15" s="311"/>
    </row>
    <row r="16" spans="1:13" ht="18.75" customHeight="1">
      <c r="E16" s="311"/>
    </row>
    <row r="17" spans="1:6">
      <c r="E17" s="311"/>
    </row>
    <row r="21" spans="1:6" s="478" customFormat="1" ht="17">
      <c r="A21" s="477"/>
      <c r="B21" s="477"/>
      <c r="C21" s="477"/>
      <c r="D21" s="477"/>
      <c r="E21" s="477" t="s">
        <v>276</v>
      </c>
      <c r="F21" s="477"/>
    </row>
    <row r="34" spans="2:12">
      <c r="B34" s="476" t="s">
        <v>123</v>
      </c>
      <c r="E34" s="476" t="s">
        <v>285</v>
      </c>
      <c r="L34" s="476" t="s">
        <v>286</v>
      </c>
    </row>
  </sheetData>
  <autoFilter ref="A2:M14" xr:uid="{00000000-0009-0000-0000-000001000000}"/>
  <mergeCells count="11">
    <mergeCell ref="M1:M2"/>
    <mergeCell ref="A11:B11"/>
    <mergeCell ref="C1:C2"/>
    <mergeCell ref="F1:F2"/>
    <mergeCell ref="D1:D2"/>
    <mergeCell ref="B1:B2"/>
    <mergeCell ref="L1:L2"/>
    <mergeCell ref="A1:A2"/>
    <mergeCell ref="G1:G2"/>
    <mergeCell ref="E1:E2"/>
    <mergeCell ref="H1:H2"/>
  </mergeCells>
  <conditionalFormatting sqref="B1">
    <cfRule type="expression" dxfId="505" priority="1327699" stopIfTrue="1">
      <formula>AND(COUNTIF($B$18:$B$65496, B1)+COUNTIF(#REF!, B1)+COUNTIF($B$1:$B$1, B1)+COUNTIF($B$3:$B$10, B1)&gt;1,NOT(ISBLANK(B1)))</formula>
    </cfRule>
  </conditionalFormatting>
  <pageMargins left="0.2" right="0.2" top="0.5" bottom="0.5" header="0.3" footer="0.3"/>
  <pageSetup paperSize="9" scale="8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44"/>
  <sheetViews>
    <sheetView view="pageBreakPreview" topLeftCell="B1" zoomScaleNormal="85" zoomScaleSheetLayoutView="100" workbookViewId="0">
      <pane xSplit="3" ySplit="3" topLeftCell="E4" activePane="bottomRight" state="frozen"/>
      <selection activeCell="C13" sqref="C13"/>
      <selection pane="topRight" activeCell="C13" sqref="C13"/>
      <selection pane="bottomLeft" activeCell="C13" sqref="C13"/>
      <selection pane="bottomRight" activeCell="L23" sqref="L23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29.1640625" customWidth="1"/>
    <col min="5" max="5" width="15" customWidth="1" outlineLevel="1"/>
    <col min="6" max="6" width="15.5" hidden="1" customWidth="1" outlineLevel="1"/>
    <col min="7" max="7" width="22.83203125" style="213" hidden="1" customWidth="1" outlineLevel="1"/>
    <col min="8" max="8" width="21.5" customWidth="1" outlineLevel="1"/>
    <col min="9" max="9" width="12.5" style="279" customWidth="1" outlineLevel="1"/>
    <col min="10" max="10" width="4.83203125" style="60" customWidth="1"/>
    <col min="11" max="11" width="3.5" style="60" customWidth="1"/>
    <col min="12" max="12" width="5.1640625" style="60" customWidth="1"/>
    <col min="13" max="13" width="3.6640625" style="60" customWidth="1"/>
    <col min="14" max="15" width="3.5" style="65" customWidth="1"/>
    <col min="16" max="16" width="3.6640625" style="65" customWidth="1"/>
    <col min="17" max="17" width="3.6640625" style="60" customWidth="1"/>
    <col min="18" max="18" width="4.1640625" style="60" customWidth="1"/>
    <col min="19" max="19" width="3.6640625" style="60" customWidth="1"/>
    <col min="20" max="20" width="4.5" style="60" customWidth="1"/>
    <col min="21" max="21" width="3.6640625" style="60" customWidth="1"/>
    <col min="22" max="22" width="4.33203125" style="60" customWidth="1"/>
    <col min="23" max="23" width="3.6640625" style="60" customWidth="1"/>
    <col min="24" max="24" width="4.5" style="63" customWidth="1"/>
    <col min="25" max="25" width="5.1640625" style="60" customWidth="1"/>
    <col min="26" max="26" width="4.33203125" style="60" customWidth="1"/>
    <col min="27" max="27" width="3.6640625" style="60" customWidth="1"/>
    <col min="28" max="28" width="5" style="60" customWidth="1"/>
    <col min="29" max="31" width="3.6640625" style="60" customWidth="1"/>
    <col min="32" max="32" width="4.33203125" style="60" customWidth="1"/>
    <col min="33" max="33" width="5.33203125" style="60" customWidth="1"/>
    <col min="34" max="34" width="3.6640625" style="60" customWidth="1"/>
    <col min="35" max="35" width="5" style="60" customWidth="1"/>
    <col min="36" max="36" width="3.6640625" style="60" customWidth="1"/>
    <col min="37" max="37" width="4.5" style="60" customWidth="1"/>
    <col min="38" max="40" width="4.6640625" style="60" customWidth="1"/>
    <col min="41" max="42" width="8.5" customWidth="1"/>
    <col min="43" max="43" width="10.83203125" customWidth="1"/>
    <col min="44" max="44" width="11.5" style="61" customWidth="1"/>
    <col min="45" max="45" width="12.6640625" customWidth="1"/>
    <col min="46" max="46" width="7.1640625" customWidth="1"/>
    <col min="47" max="50" width="12.83203125" style="64" customWidth="1"/>
    <col min="51" max="51" width="12.6640625" style="39" customWidth="1"/>
    <col min="52" max="52" width="9.1640625" customWidth="1"/>
    <col min="53" max="53" width="22" customWidth="1"/>
  </cols>
  <sheetData>
    <row r="1" spans="1:51" ht="18.75" customHeight="1">
      <c r="B1" s="504" t="s">
        <v>141</v>
      </c>
      <c r="C1" s="516" t="s">
        <v>142</v>
      </c>
      <c r="D1" s="516" t="s">
        <v>143</v>
      </c>
      <c r="E1" s="502" t="s">
        <v>144</v>
      </c>
      <c r="F1" s="514" t="s">
        <v>145</v>
      </c>
      <c r="G1" s="502" t="s">
        <v>146</v>
      </c>
      <c r="H1" s="514" t="s">
        <v>147</v>
      </c>
      <c r="I1" s="519" t="s">
        <v>148</v>
      </c>
      <c r="J1" s="517">
        <v>45742</v>
      </c>
      <c r="K1" s="506"/>
      <c r="L1" s="506"/>
      <c r="M1" s="505">
        <f>EOMONTH(J1,0)+1</f>
        <v>45748</v>
      </c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7"/>
      <c r="AO1" s="499" t="s">
        <v>149</v>
      </c>
      <c r="AP1" s="499" t="s">
        <v>150</v>
      </c>
      <c r="AQ1" s="499" t="s">
        <v>151</v>
      </c>
      <c r="AR1" s="499" t="s">
        <v>152</v>
      </c>
      <c r="AS1" s="499" t="s">
        <v>153</v>
      </c>
      <c r="AT1" s="518" t="s">
        <v>154</v>
      </c>
      <c r="AU1" s="499" t="s">
        <v>155</v>
      </c>
      <c r="AV1" s="513" t="s">
        <v>156</v>
      </c>
      <c r="AW1" s="513" t="s">
        <v>157</v>
      </c>
      <c r="AX1" s="513" t="s">
        <v>158</v>
      </c>
      <c r="AY1" s="508" t="s">
        <v>159</v>
      </c>
    </row>
    <row r="2" spans="1:51" ht="45.75" customHeight="1">
      <c r="B2" s="503"/>
      <c r="C2" s="503"/>
      <c r="D2" s="503"/>
      <c r="E2" s="503"/>
      <c r="F2" s="515"/>
      <c r="G2" s="503"/>
      <c r="H2" s="515"/>
      <c r="I2" s="503"/>
      <c r="J2" s="127">
        <f>J1</f>
        <v>45742</v>
      </c>
      <c r="K2" s="127">
        <f t="shared" ref="K2:AN2" si="0">+J2+1</f>
        <v>45743</v>
      </c>
      <c r="L2" s="127">
        <f t="shared" si="0"/>
        <v>45744</v>
      </c>
      <c r="M2" s="127">
        <f t="shared" si="0"/>
        <v>45745</v>
      </c>
      <c r="N2" s="127">
        <f t="shared" si="0"/>
        <v>45746</v>
      </c>
      <c r="O2" s="127">
        <f t="shared" si="0"/>
        <v>45747</v>
      </c>
      <c r="P2" s="172">
        <f t="shared" si="0"/>
        <v>45748</v>
      </c>
      <c r="Q2" s="172">
        <f t="shared" si="0"/>
        <v>45749</v>
      </c>
      <c r="R2" s="172">
        <f t="shared" si="0"/>
        <v>45750</v>
      </c>
      <c r="S2" s="172">
        <f t="shared" si="0"/>
        <v>45751</v>
      </c>
      <c r="T2" s="172">
        <f t="shared" si="0"/>
        <v>45752</v>
      </c>
      <c r="U2" s="172">
        <f t="shared" si="0"/>
        <v>45753</v>
      </c>
      <c r="V2" s="172">
        <f t="shared" si="0"/>
        <v>45754</v>
      </c>
      <c r="W2" s="172">
        <f t="shared" si="0"/>
        <v>45755</v>
      </c>
      <c r="X2" s="172">
        <f t="shared" si="0"/>
        <v>45756</v>
      </c>
      <c r="Y2" s="172">
        <f t="shared" si="0"/>
        <v>45757</v>
      </c>
      <c r="Z2" s="172">
        <f t="shared" si="0"/>
        <v>45758</v>
      </c>
      <c r="AA2" s="172">
        <f t="shared" si="0"/>
        <v>45759</v>
      </c>
      <c r="AB2" s="172">
        <f t="shared" si="0"/>
        <v>45760</v>
      </c>
      <c r="AC2" s="172">
        <f t="shared" si="0"/>
        <v>45761</v>
      </c>
      <c r="AD2" s="172">
        <f t="shared" si="0"/>
        <v>45762</v>
      </c>
      <c r="AE2" s="172">
        <f t="shared" si="0"/>
        <v>45763</v>
      </c>
      <c r="AF2" s="172">
        <f t="shared" si="0"/>
        <v>45764</v>
      </c>
      <c r="AG2" s="172">
        <f t="shared" si="0"/>
        <v>45765</v>
      </c>
      <c r="AH2" s="172">
        <f t="shared" si="0"/>
        <v>45766</v>
      </c>
      <c r="AI2" s="172">
        <f t="shared" si="0"/>
        <v>45767</v>
      </c>
      <c r="AJ2" s="172">
        <f t="shared" si="0"/>
        <v>45768</v>
      </c>
      <c r="AK2" s="172">
        <f t="shared" si="0"/>
        <v>45769</v>
      </c>
      <c r="AL2" s="172">
        <f t="shared" si="0"/>
        <v>45770</v>
      </c>
      <c r="AM2" s="172">
        <f t="shared" si="0"/>
        <v>45771</v>
      </c>
      <c r="AN2" s="172">
        <f t="shared" si="0"/>
        <v>45772</v>
      </c>
      <c r="AO2" s="500"/>
      <c r="AP2" s="500"/>
      <c r="AQ2" s="500"/>
      <c r="AR2" s="500"/>
      <c r="AS2" s="500"/>
      <c r="AT2" s="503"/>
      <c r="AU2" s="500"/>
      <c r="AV2" s="500"/>
      <c r="AW2" s="500"/>
      <c r="AX2" s="500"/>
      <c r="AY2" s="509"/>
    </row>
    <row r="3" spans="1:51" ht="46.5" customHeight="1">
      <c r="B3" s="175"/>
      <c r="C3" s="176"/>
      <c r="D3" s="176"/>
      <c r="E3" s="124"/>
      <c r="F3" s="161"/>
      <c r="G3" s="210"/>
      <c r="H3" s="162"/>
      <c r="I3" s="509"/>
      <c r="J3" s="245" t="str">
        <f t="shared" ref="J3:AN3" si="1">TEXT(J2,"ddd")</f>
        <v>Wed</v>
      </c>
      <c r="K3" s="245" t="str">
        <f t="shared" si="1"/>
        <v>Thu</v>
      </c>
      <c r="L3" s="245" t="str">
        <f t="shared" si="1"/>
        <v>Fri</v>
      </c>
      <c r="M3" s="245" t="str">
        <f t="shared" si="1"/>
        <v>Sat</v>
      </c>
      <c r="N3" s="312" t="str">
        <f t="shared" si="1"/>
        <v>Sun</v>
      </c>
      <c r="O3" s="245" t="str">
        <f t="shared" si="1"/>
        <v>Mon</v>
      </c>
      <c r="P3" s="245" t="str">
        <f t="shared" si="1"/>
        <v>Tue</v>
      </c>
      <c r="Q3" s="245" t="str">
        <f t="shared" si="1"/>
        <v>Wed</v>
      </c>
      <c r="R3" s="245" t="str">
        <f t="shared" si="1"/>
        <v>Thu</v>
      </c>
      <c r="S3" s="245" t="str">
        <f t="shared" si="1"/>
        <v>Fri</v>
      </c>
      <c r="T3" s="245" t="str">
        <f t="shared" si="1"/>
        <v>Sat</v>
      </c>
      <c r="U3" s="312" t="str">
        <f t="shared" si="1"/>
        <v>Sun</v>
      </c>
      <c r="V3" s="245" t="str">
        <f t="shared" si="1"/>
        <v>Mon</v>
      </c>
      <c r="W3" s="245" t="str">
        <f t="shared" si="1"/>
        <v>Tue</v>
      </c>
      <c r="X3" s="245" t="str">
        <f t="shared" si="1"/>
        <v>Wed</v>
      </c>
      <c r="Y3" s="245" t="str">
        <f t="shared" si="1"/>
        <v>Thu</v>
      </c>
      <c r="Z3" s="245" t="str">
        <f t="shared" si="1"/>
        <v>Fri</v>
      </c>
      <c r="AA3" s="245" t="str">
        <f t="shared" si="1"/>
        <v>Sat</v>
      </c>
      <c r="AB3" s="312" t="str">
        <f t="shared" si="1"/>
        <v>Sun</v>
      </c>
      <c r="AC3" s="245" t="str">
        <f t="shared" si="1"/>
        <v>Mon</v>
      </c>
      <c r="AD3" s="245" t="str">
        <f t="shared" si="1"/>
        <v>Tue</v>
      </c>
      <c r="AE3" s="245" t="str">
        <f t="shared" si="1"/>
        <v>Wed</v>
      </c>
      <c r="AF3" s="245" t="str">
        <f t="shared" si="1"/>
        <v>Thu</v>
      </c>
      <c r="AG3" s="245" t="str">
        <f t="shared" si="1"/>
        <v>Fri</v>
      </c>
      <c r="AH3" s="245" t="str">
        <f t="shared" si="1"/>
        <v>Sat</v>
      </c>
      <c r="AI3" s="312" t="str">
        <f t="shared" si="1"/>
        <v>Sun</v>
      </c>
      <c r="AJ3" s="245" t="str">
        <f t="shared" si="1"/>
        <v>Mon</v>
      </c>
      <c r="AK3" s="245" t="str">
        <f t="shared" si="1"/>
        <v>Tue</v>
      </c>
      <c r="AL3" s="245" t="str">
        <f t="shared" si="1"/>
        <v>Wed</v>
      </c>
      <c r="AM3" s="245" t="str">
        <f t="shared" si="1"/>
        <v>Thu</v>
      </c>
      <c r="AN3" s="245" t="str">
        <f t="shared" si="1"/>
        <v>Fri</v>
      </c>
      <c r="AO3" s="501"/>
      <c r="AP3" s="501"/>
      <c r="AQ3" s="501"/>
      <c r="AR3" s="501"/>
      <c r="AS3" s="501"/>
      <c r="AT3" s="509"/>
      <c r="AU3" s="501"/>
      <c r="AV3" s="501"/>
      <c r="AW3" s="501"/>
      <c r="AX3" s="501"/>
    </row>
    <row r="4" spans="1:51" ht="29.25" customHeight="1">
      <c r="A4">
        <v>1</v>
      </c>
      <c r="B4" s="111">
        <f t="shared" ref="B4:B11" si="2">ROW()-10</f>
        <v>-6</v>
      </c>
      <c r="C4" s="240" t="s">
        <v>78</v>
      </c>
      <c r="D4" s="289" t="s">
        <v>79</v>
      </c>
      <c r="E4" s="178">
        <v>43466</v>
      </c>
      <c r="F4" s="301"/>
      <c r="G4" s="313"/>
      <c r="H4" s="178" t="s">
        <v>83</v>
      </c>
      <c r="I4" s="375"/>
      <c r="J4" s="302" t="s">
        <v>139</v>
      </c>
      <c r="K4" s="302" t="s">
        <v>139</v>
      </c>
      <c r="L4" s="302" t="s">
        <v>160</v>
      </c>
      <c r="M4" s="302" t="s">
        <v>139</v>
      </c>
      <c r="N4" s="304" t="s">
        <v>139</v>
      </c>
      <c r="O4" s="304" t="s">
        <v>139</v>
      </c>
      <c r="P4" s="304" t="s">
        <v>139</v>
      </c>
      <c r="Q4" s="304" t="s">
        <v>139</v>
      </c>
      <c r="R4" s="302" t="s">
        <v>139</v>
      </c>
      <c r="S4" s="302"/>
      <c r="T4" s="302" t="s">
        <v>160</v>
      </c>
      <c r="U4" s="302" t="s">
        <v>139</v>
      </c>
      <c r="V4" s="400" t="s">
        <v>161</v>
      </c>
      <c r="W4" s="302" t="s">
        <v>139</v>
      </c>
      <c r="X4" s="302" t="s">
        <v>139</v>
      </c>
      <c r="Y4" s="302" t="s">
        <v>139</v>
      </c>
      <c r="Z4" s="302" t="s">
        <v>160</v>
      </c>
      <c r="AA4" s="303" t="s">
        <v>139</v>
      </c>
      <c r="AB4" s="302" t="s">
        <v>139</v>
      </c>
      <c r="AC4" s="304" t="s">
        <v>139</v>
      </c>
      <c r="AD4" s="302" t="s">
        <v>139</v>
      </c>
      <c r="AE4" s="302" t="s">
        <v>139</v>
      </c>
      <c r="AF4" s="305" t="s">
        <v>139</v>
      </c>
      <c r="AG4" s="302" t="s">
        <v>139</v>
      </c>
      <c r="AH4" s="302" t="s">
        <v>139</v>
      </c>
      <c r="AI4" s="302" t="s">
        <v>160</v>
      </c>
      <c r="AJ4" s="302" t="s">
        <v>139</v>
      </c>
      <c r="AK4" s="302" t="s">
        <v>139</v>
      </c>
      <c r="AL4" s="305" t="s">
        <v>139</v>
      </c>
      <c r="AM4" s="302" t="s">
        <v>139</v>
      </c>
      <c r="AN4" s="302" t="s">
        <v>139</v>
      </c>
      <c r="AO4" s="160">
        <f t="shared" ref="AO4:AO11" si="3">COUNTIFS($J4:$AN4,"OFF ")+COUNTIFS($J4:$AN4,"OFF")</f>
        <v>4</v>
      </c>
      <c r="AP4" s="105">
        <f t="shared" ref="AP4:AP11" si="4">+COUNTIF(J4:AN4,"UP")+0.5*COUNTIF(J4:AN4,"1/2UP")+COUNTIFS(J4:AN4,"SL1")+COUNTIFS(J4:AN4,"ML")+COUNTIFS(J4:AN4,"CC")</f>
        <v>0</v>
      </c>
      <c r="AQ4" s="105">
        <f t="shared" ref="AQ4:AQ11" si="5">COUNTIF($J4:$AN4,"AL")+0.5*(COUNTIF($J4:$AN4,"1/2AL"))+COUNTIF($J4:$AN4,"CL")+0.5*(COUNTIF($J4:$AN4,"1/2CL"))+COUNTIF($J4:$AN4,"LS")+COUNTIF($J4:$AN4,"HL")</f>
        <v>1</v>
      </c>
      <c r="AR4" s="248">
        <f t="shared" ref="AR4:AR11" si="6">COUNTIF(J4:AN4,"X")+(COUNTIF(J4:AN4,"FP"))+COUNTIF(J4:AN4,"SL2")+(COUNTIF(J4:AN4,"LL"))+0.5*COUNTIF(J4:AN4,"1/2AL")+0.5*COUNTIF(J4:AN4,"1/2CL")+0.5*COUNTIF(J4:AN4,"1/2UP")</f>
        <v>25</v>
      </c>
      <c r="AS4" s="105">
        <f t="shared" ref="AS4:AS11" si="7">+AQ4+AR4</f>
        <v>26</v>
      </c>
      <c r="AT4" s="113"/>
      <c r="AU4" s="250">
        <f t="shared" ref="AU4:AU11" si="8">MIN((AS4+AT4),26)</f>
        <v>26</v>
      </c>
      <c r="AV4" s="248">
        <f t="shared" ref="AV4:AV11" si="9">COUNTIF(J4:AN4,"X")</f>
        <v>25</v>
      </c>
      <c r="AW4" s="248">
        <f t="shared" ref="AW4:AW11" si="10">COUNTIF(V4:V4,"X")</f>
        <v>0</v>
      </c>
      <c r="AX4" s="420">
        <v>0</v>
      </c>
      <c r="AY4" s="189"/>
    </row>
    <row r="5" spans="1:51" ht="29.25" customHeight="1">
      <c r="A5">
        <f>+A3+1</f>
        <v>1</v>
      </c>
      <c r="B5" s="111">
        <f t="shared" si="2"/>
        <v>-5</v>
      </c>
      <c r="C5" s="240" t="s">
        <v>85</v>
      </c>
      <c r="D5" s="289" t="s">
        <v>86</v>
      </c>
      <c r="E5" s="178">
        <v>43831</v>
      </c>
      <c r="F5" s="301"/>
      <c r="G5" s="313"/>
      <c r="H5" s="178" t="s">
        <v>89</v>
      </c>
      <c r="I5" s="375"/>
      <c r="J5" s="302" t="s">
        <v>139</v>
      </c>
      <c r="K5" s="302" t="s">
        <v>139</v>
      </c>
      <c r="L5" s="302" t="s">
        <v>139</v>
      </c>
      <c r="M5" s="302" t="s">
        <v>160</v>
      </c>
      <c r="N5" s="303" t="s">
        <v>139</v>
      </c>
      <c r="O5" s="304" t="s">
        <v>139</v>
      </c>
      <c r="P5" s="304" t="s">
        <v>139</v>
      </c>
      <c r="Q5" s="304" t="s">
        <v>139</v>
      </c>
      <c r="R5" s="304" t="s">
        <v>139</v>
      </c>
      <c r="S5" s="302" t="s">
        <v>139</v>
      </c>
      <c r="T5" s="302" t="s">
        <v>139</v>
      </c>
      <c r="U5" s="302" t="s">
        <v>160</v>
      </c>
      <c r="V5" s="302" t="s">
        <v>139</v>
      </c>
      <c r="W5" s="302" t="s">
        <v>139</v>
      </c>
      <c r="X5" s="302" t="s">
        <v>139</v>
      </c>
      <c r="Y5" s="302" t="s">
        <v>139</v>
      </c>
      <c r="Z5" s="302" t="s">
        <v>139</v>
      </c>
      <c r="AA5" s="303" t="s">
        <v>160</v>
      </c>
      <c r="AB5" s="302" t="s">
        <v>139</v>
      </c>
      <c r="AC5" s="302" t="s">
        <v>139</v>
      </c>
      <c r="AD5" s="304" t="s">
        <v>139</v>
      </c>
      <c r="AE5" s="302" t="s">
        <v>139</v>
      </c>
      <c r="AF5" s="305" t="s">
        <v>139</v>
      </c>
      <c r="AG5" s="302" t="s">
        <v>139</v>
      </c>
      <c r="AH5" s="302" t="s">
        <v>160</v>
      </c>
      <c r="AI5" s="302" t="s">
        <v>139</v>
      </c>
      <c r="AJ5" s="302" t="s">
        <v>139</v>
      </c>
      <c r="AK5" s="302" t="s">
        <v>139</v>
      </c>
      <c r="AL5" s="305" t="s">
        <v>139</v>
      </c>
      <c r="AM5" s="302" t="s">
        <v>139</v>
      </c>
      <c r="AN5" s="302" t="s">
        <v>160</v>
      </c>
      <c r="AO5" s="160">
        <f t="shared" si="3"/>
        <v>5</v>
      </c>
      <c r="AP5" s="105">
        <f t="shared" si="4"/>
        <v>0</v>
      </c>
      <c r="AQ5" s="105">
        <f t="shared" si="5"/>
        <v>0</v>
      </c>
      <c r="AR5" s="174">
        <f t="shared" si="6"/>
        <v>26</v>
      </c>
      <c r="AS5" s="105">
        <f t="shared" si="7"/>
        <v>26</v>
      </c>
      <c r="AT5" s="113"/>
      <c r="AU5" s="250">
        <f t="shared" si="8"/>
        <v>26</v>
      </c>
      <c r="AV5" s="248">
        <f t="shared" si="9"/>
        <v>26</v>
      </c>
      <c r="AW5" s="248">
        <f t="shared" si="10"/>
        <v>1</v>
      </c>
      <c r="AX5" s="420">
        <v>0</v>
      </c>
      <c r="AY5" s="189"/>
    </row>
    <row r="6" spans="1:51" ht="29.25" customHeight="1">
      <c r="A6">
        <f>+A4+1</f>
        <v>2</v>
      </c>
      <c r="B6" s="111">
        <f t="shared" si="2"/>
        <v>-4</v>
      </c>
      <c r="C6" s="240" t="s">
        <v>113</v>
      </c>
      <c r="D6" s="289" t="s">
        <v>92</v>
      </c>
      <c r="E6" s="178">
        <v>44197</v>
      </c>
      <c r="F6" s="301"/>
      <c r="G6" s="313"/>
      <c r="H6" s="178" t="s">
        <v>162</v>
      </c>
      <c r="I6" s="375"/>
      <c r="J6" s="302" t="s">
        <v>139</v>
      </c>
      <c r="K6" s="302"/>
      <c r="L6" s="302" t="s">
        <v>139</v>
      </c>
      <c r="M6" s="302" t="s">
        <v>139</v>
      </c>
      <c r="N6" s="303" t="s">
        <v>160</v>
      </c>
      <c r="O6" s="304" t="s">
        <v>139</v>
      </c>
      <c r="P6" s="304" t="s">
        <v>139</v>
      </c>
      <c r="Q6" s="304" t="s">
        <v>139</v>
      </c>
      <c r="R6" s="302" t="s">
        <v>139</v>
      </c>
      <c r="S6" s="302" t="s">
        <v>139</v>
      </c>
      <c r="T6" s="302" t="s">
        <v>160</v>
      </c>
      <c r="U6" s="302" t="s">
        <v>139</v>
      </c>
      <c r="V6" s="400" t="s">
        <v>161</v>
      </c>
      <c r="W6" s="302" t="s">
        <v>139</v>
      </c>
      <c r="X6" s="302" t="s">
        <v>160</v>
      </c>
      <c r="Y6" s="302" t="s">
        <v>139</v>
      </c>
      <c r="Z6" s="302" t="s">
        <v>139</v>
      </c>
      <c r="AA6" s="303" t="s">
        <v>139</v>
      </c>
      <c r="AB6" s="302" t="s">
        <v>139</v>
      </c>
      <c r="AC6" s="302" t="s">
        <v>139</v>
      </c>
      <c r="AD6" s="302" t="s">
        <v>139</v>
      </c>
      <c r="AE6" s="302" t="s">
        <v>163</v>
      </c>
      <c r="AF6" s="305" t="s">
        <v>139</v>
      </c>
      <c r="AG6" s="302" t="s">
        <v>139</v>
      </c>
      <c r="AH6" s="302" t="s">
        <v>139</v>
      </c>
      <c r="AI6" s="302" t="s">
        <v>160</v>
      </c>
      <c r="AJ6" s="302" t="s">
        <v>139</v>
      </c>
      <c r="AK6" s="302" t="s">
        <v>139</v>
      </c>
      <c r="AL6" s="305" t="s">
        <v>139</v>
      </c>
      <c r="AM6" s="302" t="s">
        <v>139</v>
      </c>
      <c r="AN6" s="302" t="s">
        <v>139</v>
      </c>
      <c r="AO6" s="160">
        <f t="shared" si="3"/>
        <v>4</v>
      </c>
      <c r="AP6" s="105">
        <f t="shared" si="4"/>
        <v>1</v>
      </c>
      <c r="AQ6" s="105">
        <f t="shared" si="5"/>
        <v>1</v>
      </c>
      <c r="AR6" s="174">
        <f t="shared" si="6"/>
        <v>24</v>
      </c>
      <c r="AS6" s="105">
        <f t="shared" si="7"/>
        <v>25</v>
      </c>
      <c r="AT6" s="113"/>
      <c r="AU6" s="250">
        <f t="shared" si="8"/>
        <v>25</v>
      </c>
      <c r="AV6" s="248">
        <f t="shared" si="9"/>
        <v>24</v>
      </c>
      <c r="AW6" s="248">
        <f t="shared" si="10"/>
        <v>0</v>
      </c>
      <c r="AX6" s="420">
        <v>0</v>
      </c>
      <c r="AY6" s="189"/>
    </row>
    <row r="7" spans="1:51" ht="29.25" customHeight="1">
      <c r="A7">
        <f>+A6+1</f>
        <v>3</v>
      </c>
      <c r="B7" s="111">
        <f t="shared" si="2"/>
        <v>-3</v>
      </c>
      <c r="C7" s="240" t="s">
        <v>91</v>
      </c>
      <c r="D7" s="289" t="s">
        <v>97</v>
      </c>
      <c r="E7" s="178">
        <v>44562</v>
      </c>
      <c r="F7" s="301"/>
      <c r="G7" s="313"/>
      <c r="H7" s="178" t="s">
        <v>164</v>
      </c>
      <c r="I7" s="375"/>
      <c r="J7" s="302" t="s">
        <v>139</v>
      </c>
      <c r="K7" s="302" t="s">
        <v>139</v>
      </c>
      <c r="L7" s="302" t="s">
        <v>139</v>
      </c>
      <c r="M7" s="302" t="s">
        <v>139</v>
      </c>
      <c r="N7" s="303" t="s">
        <v>160</v>
      </c>
      <c r="O7" s="304" t="s">
        <v>139</v>
      </c>
      <c r="P7" s="304" t="s">
        <v>139</v>
      </c>
      <c r="Q7" s="304" t="s">
        <v>139</v>
      </c>
      <c r="R7" s="302" t="s">
        <v>139</v>
      </c>
      <c r="S7" s="302" t="s">
        <v>139</v>
      </c>
      <c r="T7" s="302" t="s">
        <v>139</v>
      </c>
      <c r="U7" s="302" t="s">
        <v>160</v>
      </c>
      <c r="V7" s="302" t="s">
        <v>139</v>
      </c>
      <c r="W7" s="302" t="s">
        <v>139</v>
      </c>
      <c r="X7" s="302" t="s">
        <v>139</v>
      </c>
      <c r="Y7" s="302" t="s">
        <v>139</v>
      </c>
      <c r="Z7" s="302" t="s">
        <v>139</v>
      </c>
      <c r="AA7" s="303" t="s">
        <v>139</v>
      </c>
      <c r="AB7" s="398"/>
      <c r="AC7" s="398"/>
      <c r="AD7" s="398"/>
      <c r="AE7" s="398"/>
      <c r="AF7" s="399"/>
      <c r="AG7" s="398"/>
      <c r="AH7" s="398"/>
      <c r="AI7" s="398"/>
      <c r="AJ7" s="398"/>
      <c r="AK7" s="398"/>
      <c r="AL7" s="399"/>
      <c r="AM7" s="398"/>
      <c r="AN7" s="398"/>
      <c r="AO7" s="160">
        <f t="shared" si="3"/>
        <v>2</v>
      </c>
      <c r="AP7" s="105">
        <f t="shared" si="4"/>
        <v>0</v>
      </c>
      <c r="AQ7" s="105">
        <f t="shared" si="5"/>
        <v>0</v>
      </c>
      <c r="AR7" s="174">
        <f t="shared" si="6"/>
        <v>16</v>
      </c>
      <c r="AS7" s="105">
        <f t="shared" si="7"/>
        <v>16</v>
      </c>
      <c r="AT7" s="188"/>
      <c r="AU7" s="250">
        <f t="shared" si="8"/>
        <v>16</v>
      </c>
      <c r="AV7" s="248">
        <f t="shared" si="9"/>
        <v>16</v>
      </c>
      <c r="AW7" s="248">
        <f t="shared" si="10"/>
        <v>1</v>
      </c>
      <c r="AX7" s="420">
        <v>0</v>
      </c>
      <c r="AY7" s="189"/>
    </row>
    <row r="8" spans="1:51" ht="29.25" customHeight="1">
      <c r="A8">
        <f>+A7+1</f>
        <v>4</v>
      </c>
      <c r="B8" s="111">
        <f t="shared" si="2"/>
        <v>-2</v>
      </c>
      <c r="C8" s="240" t="s">
        <v>96</v>
      </c>
      <c r="D8" s="289" t="s">
        <v>100</v>
      </c>
      <c r="E8" s="178">
        <v>45740</v>
      </c>
      <c r="F8" s="301"/>
      <c r="G8" s="313"/>
      <c r="H8" s="178" t="s">
        <v>165</v>
      </c>
      <c r="I8" s="375"/>
      <c r="J8" s="302" t="s">
        <v>139</v>
      </c>
      <c r="K8" s="302" t="s">
        <v>160</v>
      </c>
      <c r="L8" s="302" t="s">
        <v>139</v>
      </c>
      <c r="M8" s="302" t="s">
        <v>139</v>
      </c>
      <c r="N8" s="303" t="s">
        <v>139</v>
      </c>
      <c r="O8" s="304" t="s">
        <v>139</v>
      </c>
      <c r="P8" s="304" t="s">
        <v>139</v>
      </c>
      <c r="Q8" s="304" t="s">
        <v>160</v>
      </c>
      <c r="R8" s="302" t="s">
        <v>139</v>
      </c>
      <c r="S8" s="302" t="s">
        <v>139</v>
      </c>
      <c r="T8" s="302" t="s">
        <v>139</v>
      </c>
      <c r="U8" s="302" t="s">
        <v>139</v>
      </c>
      <c r="V8" s="302" t="s">
        <v>139</v>
      </c>
      <c r="W8" s="302" t="s">
        <v>139</v>
      </c>
      <c r="X8" s="302" t="s">
        <v>139</v>
      </c>
      <c r="Y8" s="302" t="s">
        <v>160</v>
      </c>
      <c r="Z8" s="302" t="s">
        <v>139</v>
      </c>
      <c r="AA8" s="303" t="s">
        <v>139</v>
      </c>
      <c r="AB8" s="302" t="s">
        <v>139</v>
      </c>
      <c r="AC8" s="302" t="s">
        <v>139</v>
      </c>
      <c r="AD8" s="302" t="s">
        <v>139</v>
      </c>
      <c r="AE8" s="302" t="s">
        <v>166</v>
      </c>
      <c r="AF8" s="305" t="s">
        <v>139</v>
      </c>
      <c r="AG8" s="302" t="s">
        <v>139</v>
      </c>
      <c r="AH8" s="302" t="s">
        <v>139</v>
      </c>
      <c r="AI8" s="302" t="s">
        <v>160</v>
      </c>
      <c r="AJ8" s="302" t="s">
        <v>139</v>
      </c>
      <c r="AK8" s="302" t="s">
        <v>139</v>
      </c>
      <c r="AL8" s="305" t="s">
        <v>139</v>
      </c>
      <c r="AM8" s="302" t="s">
        <v>139</v>
      </c>
      <c r="AN8" s="302" t="s">
        <v>139</v>
      </c>
      <c r="AO8" s="160">
        <f t="shared" si="3"/>
        <v>4</v>
      </c>
      <c r="AP8" s="105">
        <f t="shared" si="4"/>
        <v>0</v>
      </c>
      <c r="AQ8" s="105">
        <f t="shared" si="5"/>
        <v>0.5</v>
      </c>
      <c r="AR8" s="174">
        <f t="shared" si="6"/>
        <v>26.5</v>
      </c>
      <c r="AS8" s="105">
        <f t="shared" si="7"/>
        <v>27</v>
      </c>
      <c r="AT8" s="113"/>
      <c r="AU8" s="250">
        <f t="shared" si="8"/>
        <v>26</v>
      </c>
      <c r="AV8" s="248">
        <f t="shared" si="9"/>
        <v>26</v>
      </c>
      <c r="AW8" s="248">
        <f t="shared" si="10"/>
        <v>1</v>
      </c>
      <c r="AX8" s="420">
        <v>0</v>
      </c>
      <c r="AY8" s="189"/>
    </row>
    <row r="9" spans="1:51" ht="29.25" customHeight="1">
      <c r="A9">
        <f>+A8+1</f>
        <v>5</v>
      </c>
      <c r="B9" s="111">
        <f t="shared" si="2"/>
        <v>-1</v>
      </c>
      <c r="C9" s="240" t="s">
        <v>99</v>
      </c>
      <c r="D9" s="289" t="s">
        <v>107</v>
      </c>
      <c r="E9" s="178">
        <v>44927</v>
      </c>
      <c r="F9" s="301"/>
      <c r="G9" s="313"/>
      <c r="H9" s="178" t="s">
        <v>104</v>
      </c>
      <c r="I9" s="375"/>
      <c r="J9" s="302" t="s">
        <v>139</v>
      </c>
      <c r="K9" s="302" t="s">
        <v>139</v>
      </c>
      <c r="L9" s="302" t="s">
        <v>139</v>
      </c>
      <c r="M9" s="302" t="s">
        <v>139</v>
      </c>
      <c r="N9" s="303" t="s">
        <v>160</v>
      </c>
      <c r="O9" s="304" t="s">
        <v>139</v>
      </c>
      <c r="P9" s="304" t="s">
        <v>160</v>
      </c>
      <c r="Q9" s="304" t="s">
        <v>139</v>
      </c>
      <c r="R9" s="302" t="s">
        <v>139</v>
      </c>
      <c r="S9" s="302" t="s">
        <v>139</v>
      </c>
      <c r="T9" s="302" t="s">
        <v>139</v>
      </c>
      <c r="U9" s="302" t="s">
        <v>139</v>
      </c>
      <c r="V9" s="302" t="s">
        <v>139</v>
      </c>
      <c r="W9" s="302" t="s">
        <v>139</v>
      </c>
      <c r="X9" s="302" t="s">
        <v>139</v>
      </c>
      <c r="Y9" s="302" t="s">
        <v>139</v>
      </c>
      <c r="Z9" s="302" t="s">
        <v>160</v>
      </c>
      <c r="AA9" s="303" t="s">
        <v>139</v>
      </c>
      <c r="AB9" s="303" t="s">
        <v>139</v>
      </c>
      <c r="AC9" s="302" t="s">
        <v>160</v>
      </c>
      <c r="AD9" s="302" t="s">
        <v>139</v>
      </c>
      <c r="AE9" s="302" t="s">
        <v>139</v>
      </c>
      <c r="AF9" s="305" t="s">
        <v>139</v>
      </c>
      <c r="AG9" s="302" t="s">
        <v>139</v>
      </c>
      <c r="AH9" s="302" t="s">
        <v>139</v>
      </c>
      <c r="AI9" s="302" t="s">
        <v>160</v>
      </c>
      <c r="AJ9" s="302" t="s">
        <v>139</v>
      </c>
      <c r="AK9" s="302" t="s">
        <v>139</v>
      </c>
      <c r="AL9" s="305" t="s">
        <v>139</v>
      </c>
      <c r="AM9" s="302" t="s">
        <v>139</v>
      </c>
      <c r="AN9" s="302" t="s">
        <v>139</v>
      </c>
      <c r="AO9" s="160">
        <f t="shared" si="3"/>
        <v>5</v>
      </c>
      <c r="AP9" s="105">
        <f t="shared" si="4"/>
        <v>0</v>
      </c>
      <c r="AQ9" s="105">
        <f t="shared" si="5"/>
        <v>0</v>
      </c>
      <c r="AR9" s="174">
        <f t="shared" si="6"/>
        <v>26</v>
      </c>
      <c r="AS9" s="105">
        <f t="shared" si="7"/>
        <v>26</v>
      </c>
      <c r="AT9" s="113"/>
      <c r="AU9" s="250">
        <f t="shared" si="8"/>
        <v>26</v>
      </c>
      <c r="AV9" s="248">
        <f t="shared" si="9"/>
        <v>26</v>
      </c>
      <c r="AW9" s="248">
        <f t="shared" si="10"/>
        <v>1</v>
      </c>
      <c r="AX9" s="420">
        <v>0</v>
      </c>
      <c r="AY9" s="189"/>
    </row>
    <row r="10" spans="1:51" ht="29.25" customHeight="1">
      <c r="A10">
        <f>+A9+1</f>
        <v>6</v>
      </c>
      <c r="B10" s="111">
        <f t="shared" si="2"/>
        <v>0</v>
      </c>
      <c r="C10" s="240" t="s">
        <v>106</v>
      </c>
      <c r="D10" s="289" t="s">
        <v>114</v>
      </c>
      <c r="E10" s="178">
        <v>45292</v>
      </c>
      <c r="F10" s="301"/>
      <c r="G10" s="313"/>
      <c r="H10" s="178" t="s">
        <v>111</v>
      </c>
      <c r="I10" s="307"/>
      <c r="J10" s="302" t="s">
        <v>139</v>
      </c>
      <c r="K10" s="302" t="s">
        <v>139</v>
      </c>
      <c r="L10" s="302" t="s">
        <v>139</v>
      </c>
      <c r="M10" s="302" t="s">
        <v>139</v>
      </c>
      <c r="N10" s="303" t="s">
        <v>139</v>
      </c>
      <c r="O10" s="304" t="s">
        <v>139</v>
      </c>
      <c r="P10" s="304" t="s">
        <v>139</v>
      </c>
      <c r="Q10" s="304" t="s">
        <v>139</v>
      </c>
      <c r="R10" s="302" t="s">
        <v>160</v>
      </c>
      <c r="S10" s="302" t="s">
        <v>139</v>
      </c>
      <c r="T10" s="302" t="s">
        <v>139</v>
      </c>
      <c r="U10" s="302" t="s">
        <v>139</v>
      </c>
      <c r="V10" s="400" t="s">
        <v>161</v>
      </c>
      <c r="W10" s="302" t="s">
        <v>139</v>
      </c>
      <c r="X10" s="302" t="s">
        <v>139</v>
      </c>
      <c r="Y10" s="302" t="s">
        <v>139</v>
      </c>
      <c r="Z10" s="302" t="s">
        <v>139</v>
      </c>
      <c r="AA10" s="303" t="s">
        <v>160</v>
      </c>
      <c r="AB10" s="302" t="s">
        <v>139</v>
      </c>
      <c r="AC10" s="302" t="s">
        <v>139</v>
      </c>
      <c r="AD10" s="302" t="s">
        <v>139</v>
      </c>
      <c r="AE10" s="302" t="s">
        <v>140</v>
      </c>
      <c r="AF10" s="305" t="s">
        <v>139</v>
      </c>
      <c r="AG10" s="302" t="s">
        <v>160</v>
      </c>
      <c r="AH10" s="302" t="s">
        <v>139</v>
      </c>
      <c r="AI10" s="302" t="s">
        <v>139</v>
      </c>
      <c r="AJ10" s="302" t="s">
        <v>139</v>
      </c>
      <c r="AK10" s="302" t="s">
        <v>139</v>
      </c>
      <c r="AL10" s="305" t="s">
        <v>167</v>
      </c>
      <c r="AM10" s="302" t="s">
        <v>139</v>
      </c>
      <c r="AN10" s="302" t="s">
        <v>160</v>
      </c>
      <c r="AO10" s="160">
        <f t="shared" si="3"/>
        <v>4</v>
      </c>
      <c r="AP10" s="105">
        <f t="shared" si="4"/>
        <v>1</v>
      </c>
      <c r="AQ10" s="105">
        <f t="shared" si="5"/>
        <v>2</v>
      </c>
      <c r="AR10" s="174">
        <f t="shared" si="6"/>
        <v>24</v>
      </c>
      <c r="AS10" s="105">
        <f t="shared" si="7"/>
        <v>26</v>
      </c>
      <c r="AT10" s="113"/>
      <c r="AU10" s="250">
        <f t="shared" si="8"/>
        <v>26</v>
      </c>
      <c r="AV10" s="248">
        <f t="shared" si="9"/>
        <v>24</v>
      </c>
      <c r="AW10" s="248">
        <f t="shared" si="10"/>
        <v>0</v>
      </c>
      <c r="AX10" s="420">
        <v>0</v>
      </c>
      <c r="AY10" s="189"/>
    </row>
    <row r="11" spans="1:51" ht="29.25" customHeight="1">
      <c r="A11">
        <f>+A10+1</f>
        <v>7</v>
      </c>
      <c r="B11" s="111">
        <f t="shared" si="2"/>
        <v>1</v>
      </c>
      <c r="C11" s="240" t="s">
        <v>119</v>
      </c>
      <c r="D11" s="289" t="s">
        <v>120</v>
      </c>
      <c r="E11" s="178">
        <v>45738</v>
      </c>
      <c r="F11" s="301"/>
      <c r="G11" s="313"/>
      <c r="H11" s="178" t="s">
        <v>168</v>
      </c>
      <c r="I11" s="375"/>
      <c r="J11" s="302" t="s">
        <v>139</v>
      </c>
      <c r="K11" s="302" t="s">
        <v>139</v>
      </c>
      <c r="L11" s="302" t="s">
        <v>139</v>
      </c>
      <c r="M11" s="302" t="s">
        <v>139</v>
      </c>
      <c r="N11" s="303" t="s">
        <v>160</v>
      </c>
      <c r="O11" s="304" t="s">
        <v>139</v>
      </c>
      <c r="P11" s="304" t="s">
        <v>139</v>
      </c>
      <c r="Q11" s="304" t="s">
        <v>139</v>
      </c>
      <c r="R11" s="302" t="s">
        <v>139</v>
      </c>
      <c r="S11" s="302" t="s">
        <v>139</v>
      </c>
      <c r="T11" s="302" t="s">
        <v>139</v>
      </c>
      <c r="U11" s="302" t="s">
        <v>160</v>
      </c>
      <c r="V11" s="302" t="s">
        <v>139</v>
      </c>
      <c r="W11" s="302" t="s">
        <v>139</v>
      </c>
      <c r="X11" s="302" t="s">
        <v>139</v>
      </c>
      <c r="Y11" s="302" t="s">
        <v>169</v>
      </c>
      <c r="Z11" s="302" t="s">
        <v>139</v>
      </c>
      <c r="AA11" s="303" t="s">
        <v>139</v>
      </c>
      <c r="AB11" s="302" t="s">
        <v>160</v>
      </c>
      <c r="AC11" s="302" t="s">
        <v>139</v>
      </c>
      <c r="AD11" s="302" t="s">
        <v>139</v>
      </c>
      <c r="AE11" s="302" t="s">
        <v>139</v>
      </c>
      <c r="AF11" s="305" t="s">
        <v>139</v>
      </c>
      <c r="AG11" s="302" t="s">
        <v>139</v>
      </c>
      <c r="AH11" s="302" t="s">
        <v>139</v>
      </c>
      <c r="AI11" s="302" t="s">
        <v>160</v>
      </c>
      <c r="AJ11" s="302" t="s">
        <v>139</v>
      </c>
      <c r="AK11" s="302" t="s">
        <v>139</v>
      </c>
      <c r="AL11" s="305" t="s">
        <v>139</v>
      </c>
      <c r="AM11" s="302" t="s">
        <v>139</v>
      </c>
      <c r="AN11" s="302" t="s">
        <v>139</v>
      </c>
      <c r="AO11" s="160">
        <f t="shared" si="3"/>
        <v>4</v>
      </c>
      <c r="AP11" s="105">
        <f t="shared" si="4"/>
        <v>0</v>
      </c>
      <c r="AQ11" s="105">
        <f t="shared" si="5"/>
        <v>0</v>
      </c>
      <c r="AR11" s="174">
        <f t="shared" si="6"/>
        <v>27</v>
      </c>
      <c r="AS11" s="105">
        <f t="shared" si="7"/>
        <v>27</v>
      </c>
      <c r="AT11" s="113"/>
      <c r="AU11" s="250">
        <f t="shared" si="8"/>
        <v>26</v>
      </c>
      <c r="AV11" s="248">
        <f t="shared" si="9"/>
        <v>26</v>
      </c>
      <c r="AW11" s="248">
        <f t="shared" si="10"/>
        <v>1</v>
      </c>
      <c r="AX11" s="420">
        <v>0</v>
      </c>
      <c r="AY11" s="189"/>
    </row>
    <row r="12" spans="1:51" ht="25.5" customHeight="1">
      <c r="B12" s="510" t="s">
        <v>153</v>
      </c>
      <c r="C12" s="511"/>
      <c r="D12" s="512"/>
      <c r="E12" s="126"/>
      <c r="F12" s="126"/>
      <c r="G12" s="211"/>
      <c r="H12" s="126"/>
      <c r="I12" s="376"/>
      <c r="J12" s="220"/>
      <c r="K12" s="220"/>
      <c r="L12" s="220"/>
      <c r="M12" s="220"/>
      <c r="N12" s="220"/>
      <c r="O12" s="220"/>
      <c r="P12" s="220"/>
      <c r="Q12" s="220"/>
      <c r="R12" s="221"/>
      <c r="S12" s="220"/>
      <c r="T12" s="220"/>
      <c r="U12" s="220"/>
      <c r="V12" s="221"/>
      <c r="W12" s="222"/>
      <c r="X12" s="222"/>
      <c r="Y12" s="220"/>
      <c r="Z12" s="220"/>
      <c r="AA12" s="220"/>
      <c r="AB12" s="220"/>
      <c r="AC12" s="221"/>
      <c r="AD12" s="220"/>
      <c r="AE12" s="220"/>
      <c r="AF12" s="220"/>
      <c r="AG12" s="223"/>
      <c r="AH12" s="220"/>
      <c r="AI12" s="220"/>
      <c r="AJ12" s="220"/>
      <c r="AK12" s="220"/>
      <c r="AL12" s="220"/>
      <c r="AM12" s="220"/>
      <c r="AN12" s="241"/>
      <c r="AO12" s="184">
        <f>SUM(AO4:AO11)</f>
        <v>32</v>
      </c>
      <c r="AP12" s="131">
        <f>SUM(AP4:AP11)</f>
        <v>2</v>
      </c>
      <c r="AQ12" s="131">
        <f>SUM(AQ4:AQ11)</f>
        <v>4.5</v>
      </c>
      <c r="AR12" s="131">
        <f>SUM(AR4:AR11)</f>
        <v>194.5</v>
      </c>
      <c r="AS12" s="131">
        <f>SUM(AS4:AS11)</f>
        <v>199</v>
      </c>
      <c r="AT12" s="184"/>
      <c r="AU12" s="131">
        <f>SUM(AU4:AU11)</f>
        <v>197</v>
      </c>
      <c r="AV12" s="131">
        <f>SUM(AV4:AV11)</f>
        <v>193</v>
      </c>
      <c r="AW12" s="131">
        <f>SUM(AW4:AW11)</f>
        <v>5</v>
      </c>
      <c r="AX12" s="131">
        <f>SUM(AX4:AX11)</f>
        <v>0</v>
      </c>
      <c r="AY12" s="189"/>
    </row>
    <row r="13" spans="1:51">
      <c r="G13" s="212"/>
      <c r="AN13" s="230"/>
      <c r="AR13" s="280"/>
      <c r="AY13" s="189"/>
    </row>
    <row r="14" spans="1:51">
      <c r="AN14" s="231"/>
    </row>
    <row r="15" spans="1:51" ht="28.5" customHeight="1">
      <c r="C15" s="266" t="s">
        <v>170</v>
      </c>
      <c r="D15" s="263"/>
      <c r="E15" s="263"/>
      <c r="F15" s="263"/>
      <c r="G15" s="264"/>
      <c r="H15" s="263"/>
      <c r="I15" s="377"/>
      <c r="J15" s="263"/>
      <c r="K15" s="263"/>
      <c r="T15" s="168"/>
      <c r="AN15" s="230"/>
    </row>
    <row r="16" spans="1:51">
      <c r="C16" s="265" t="s">
        <v>139</v>
      </c>
      <c r="D16" s="267" t="s">
        <v>171</v>
      </c>
      <c r="E16" s="268"/>
      <c r="F16" s="268"/>
      <c r="G16" s="268"/>
      <c r="H16" s="268"/>
      <c r="I16" s="378"/>
      <c r="J16" s="268"/>
      <c r="K16" s="269"/>
      <c r="T16" s="168"/>
      <c r="AN16" s="230"/>
    </row>
    <row r="17" spans="3:40">
      <c r="C17" s="265" t="s">
        <v>161</v>
      </c>
      <c r="D17" s="267" t="s">
        <v>172</v>
      </c>
      <c r="E17" s="268"/>
      <c r="F17" s="268"/>
      <c r="G17" s="268"/>
      <c r="H17" s="268"/>
      <c r="I17" s="378"/>
      <c r="J17" s="268"/>
      <c r="K17" s="269"/>
      <c r="AN17" s="230"/>
    </row>
    <row r="18" spans="3:40">
      <c r="C18" s="265" t="s">
        <v>160</v>
      </c>
      <c r="D18" s="267" t="s">
        <v>173</v>
      </c>
      <c r="E18" s="268"/>
      <c r="F18" s="268"/>
      <c r="G18" s="268"/>
      <c r="H18" s="268"/>
      <c r="I18" s="378"/>
      <c r="J18" s="268"/>
      <c r="K18" s="269"/>
      <c r="AN18" s="231"/>
    </row>
    <row r="19" spans="3:40">
      <c r="C19" s="265" t="s">
        <v>174</v>
      </c>
      <c r="D19" s="267" t="s">
        <v>175</v>
      </c>
      <c r="E19" s="268"/>
      <c r="F19" s="268"/>
      <c r="G19" s="268"/>
      <c r="H19" s="268"/>
      <c r="I19" s="378"/>
      <c r="J19" s="268"/>
      <c r="K19" s="269"/>
      <c r="AN19" s="230"/>
    </row>
    <row r="20" spans="3:40">
      <c r="C20" s="265" t="s">
        <v>166</v>
      </c>
      <c r="D20" s="267" t="s">
        <v>176</v>
      </c>
      <c r="E20" s="268"/>
      <c r="F20" s="268"/>
      <c r="G20" s="268"/>
      <c r="H20" s="268"/>
      <c r="I20" s="378"/>
      <c r="J20" s="268"/>
      <c r="K20" s="269"/>
      <c r="AN20" s="230"/>
    </row>
    <row r="21" spans="3:40">
      <c r="C21" s="265" t="s">
        <v>169</v>
      </c>
      <c r="D21" s="267" t="s">
        <v>177</v>
      </c>
      <c r="E21" s="268"/>
      <c r="F21" s="268"/>
      <c r="G21" s="268"/>
      <c r="H21" s="268"/>
      <c r="I21" s="378"/>
      <c r="J21" s="268"/>
      <c r="K21" s="269"/>
      <c r="AN21" s="230"/>
    </row>
    <row r="22" spans="3:40">
      <c r="C22" s="265" t="s">
        <v>163</v>
      </c>
      <c r="D22" s="267" t="s">
        <v>178</v>
      </c>
      <c r="E22" s="268"/>
      <c r="F22" s="268"/>
      <c r="G22" s="268"/>
      <c r="H22" s="268"/>
      <c r="I22" s="378"/>
      <c r="J22" s="268"/>
      <c r="K22" s="269"/>
      <c r="AN22" s="231"/>
    </row>
    <row r="23" spans="3:40">
      <c r="C23" s="265" t="s">
        <v>179</v>
      </c>
      <c r="D23" s="267" t="s">
        <v>180</v>
      </c>
      <c r="E23" s="268"/>
      <c r="F23" s="268"/>
      <c r="G23" s="268"/>
      <c r="H23" s="268"/>
      <c r="I23" s="378"/>
      <c r="J23" s="268"/>
      <c r="K23" s="269"/>
      <c r="AN23" s="230"/>
    </row>
    <row r="24" spans="3:40">
      <c r="C24" s="265" t="s">
        <v>167</v>
      </c>
      <c r="D24" s="267" t="s">
        <v>181</v>
      </c>
      <c r="E24" s="268"/>
      <c r="F24" s="268"/>
      <c r="G24" s="268"/>
      <c r="H24" s="268"/>
      <c r="I24" s="378"/>
      <c r="J24" s="268"/>
      <c r="K24" s="269"/>
      <c r="AN24" s="230"/>
    </row>
    <row r="25" spans="3:40">
      <c r="C25" s="265" t="s">
        <v>182</v>
      </c>
      <c r="D25" s="267" t="s">
        <v>183</v>
      </c>
      <c r="E25" s="268"/>
      <c r="F25" s="268"/>
      <c r="G25" s="268"/>
      <c r="H25" s="268"/>
      <c r="I25" s="378"/>
      <c r="J25" s="268"/>
      <c r="K25" s="269"/>
      <c r="AN25" s="231"/>
    </row>
    <row r="26" spans="3:40">
      <c r="C26" s="265" t="s">
        <v>184</v>
      </c>
      <c r="D26" s="267" t="s">
        <v>185</v>
      </c>
      <c r="E26" s="268"/>
      <c r="F26" s="268"/>
      <c r="G26" s="268"/>
      <c r="H26" s="268"/>
      <c r="I26" s="378"/>
      <c r="J26" s="268"/>
      <c r="K26" s="269"/>
      <c r="AN26" s="230"/>
    </row>
    <row r="27" spans="3:40" ht="22.5" customHeight="1">
      <c r="C27" s="265" t="s">
        <v>186</v>
      </c>
      <c r="D27" s="267" t="s">
        <v>187</v>
      </c>
      <c r="E27" s="268"/>
      <c r="F27" s="268"/>
      <c r="G27" s="268"/>
      <c r="H27" s="268"/>
      <c r="I27" s="378"/>
      <c r="J27" s="268"/>
      <c r="K27" s="269"/>
      <c r="AN27" s="230"/>
    </row>
    <row r="28" spans="3:40" ht="22.5" customHeight="1">
      <c r="C28" s="265" t="s">
        <v>188</v>
      </c>
      <c r="D28" s="267" t="s">
        <v>189</v>
      </c>
      <c r="E28" s="268"/>
      <c r="F28" s="268"/>
      <c r="G28" s="268"/>
      <c r="H28" s="268"/>
      <c r="I28" s="378"/>
      <c r="J28" s="268"/>
      <c r="K28" s="269"/>
      <c r="AN28" s="230"/>
    </row>
    <row r="29" spans="3:40" ht="22.5" customHeight="1">
      <c r="C29" s="265" t="s">
        <v>140</v>
      </c>
      <c r="D29" s="267" t="s">
        <v>190</v>
      </c>
      <c r="E29" s="268"/>
      <c r="F29" s="268"/>
      <c r="G29" s="268"/>
      <c r="H29" s="268"/>
      <c r="I29" s="378"/>
      <c r="J29" s="268"/>
      <c r="K29" s="269"/>
      <c r="AN29" s="231"/>
    </row>
    <row r="30" spans="3:40" ht="22.5" customHeight="1">
      <c r="C30" s="265" t="s">
        <v>191</v>
      </c>
      <c r="D30" s="267" t="s">
        <v>192</v>
      </c>
      <c r="E30" s="268"/>
      <c r="F30" s="268"/>
      <c r="G30" s="268"/>
      <c r="H30" s="268"/>
      <c r="I30" s="378"/>
      <c r="J30" s="268"/>
      <c r="K30" s="269"/>
      <c r="AN30" s="230"/>
    </row>
    <row r="31" spans="3:40">
      <c r="AN31" s="230"/>
    </row>
    <row r="32" spans="3:40">
      <c r="C32" s="154"/>
      <c r="H32" s="152"/>
      <c r="I32" s="379"/>
      <c r="AN32" s="230"/>
    </row>
    <row r="33" spans="8:40" ht="18" customHeight="1">
      <c r="H33" s="152"/>
      <c r="I33" s="379"/>
      <c r="AN33" s="230"/>
    </row>
    <row r="34" spans="8:40" ht="17.25" customHeight="1">
      <c r="H34" s="152"/>
      <c r="I34" s="379"/>
      <c r="AN34" s="230"/>
    </row>
    <row r="35" spans="8:40" ht="38.25" customHeight="1">
      <c r="H35" s="152"/>
      <c r="I35" s="379"/>
      <c r="AN35" s="230"/>
    </row>
    <row r="36" spans="8:40">
      <c r="H36" s="152"/>
      <c r="I36" s="379"/>
      <c r="AN36" s="231"/>
    </row>
    <row r="37" spans="8:40">
      <c r="H37" s="152"/>
      <c r="I37" s="379"/>
      <c r="AN37" s="230"/>
    </row>
    <row r="38" spans="8:40">
      <c r="H38" s="153"/>
      <c r="I38" s="379"/>
      <c r="AN38" s="230"/>
    </row>
    <row r="39" spans="8:40">
      <c r="H39" s="144"/>
      <c r="I39" s="379"/>
      <c r="AN39" s="230"/>
    </row>
    <row r="40" spans="8:40">
      <c r="H40" s="144"/>
      <c r="I40" s="379"/>
      <c r="AN40" s="231"/>
    </row>
    <row r="41" spans="8:40">
      <c r="AN41" s="230"/>
    </row>
    <row r="42" spans="8:40">
      <c r="AN42" s="230"/>
    </row>
    <row r="43" spans="8:40">
      <c r="AN43" s="230"/>
    </row>
    <row r="44" spans="8:40">
      <c r="AN44" s="230"/>
    </row>
  </sheetData>
  <autoFilter ref="A3:AY13" xr:uid="{00000000-0009-0000-0000-000002000000}"/>
  <mergeCells count="22">
    <mergeCell ref="AY1:AY2"/>
    <mergeCell ref="B12:D12"/>
    <mergeCell ref="AX1:AX3"/>
    <mergeCell ref="F1:F2"/>
    <mergeCell ref="AW1:AW3"/>
    <mergeCell ref="AR1:AR3"/>
    <mergeCell ref="AO1:AO3"/>
    <mergeCell ref="AU1:AU3"/>
    <mergeCell ref="C1:C2"/>
    <mergeCell ref="AP1:AP3"/>
    <mergeCell ref="D1:D2"/>
    <mergeCell ref="J1:L1"/>
    <mergeCell ref="AT1:AT3"/>
    <mergeCell ref="AV1:AV3"/>
    <mergeCell ref="H1:H2"/>
    <mergeCell ref="I1:I3"/>
    <mergeCell ref="AS1:AS3"/>
    <mergeCell ref="AQ1:AQ3"/>
    <mergeCell ref="E1:E2"/>
    <mergeCell ref="G1:G2"/>
    <mergeCell ref="B1:B2"/>
    <mergeCell ref="M1:AN1"/>
  </mergeCells>
  <conditionalFormatting sqref="C1:C1048576">
    <cfRule type="duplicateValues" dxfId="504" priority="1327274"/>
    <cfRule type="duplicateValues" dxfId="503" priority="19655"/>
  </conditionalFormatting>
  <conditionalFormatting sqref="C3:C11 C1 C13:C14 C31 C45:C1048576">
    <cfRule type="duplicateValues" dxfId="502" priority="575597"/>
  </conditionalFormatting>
  <conditionalFormatting sqref="C3:C11 C1 C13:C14 C31:C1048576">
    <cfRule type="duplicateValues" dxfId="501" priority="575570"/>
  </conditionalFormatting>
  <conditionalFormatting sqref="C3:C14 C1 C31:C1048576">
    <cfRule type="duplicateValues" dxfId="500" priority="575555"/>
    <cfRule type="duplicateValues" dxfId="499" priority="575587"/>
    <cfRule type="duplicateValues" dxfId="498" priority="575563"/>
    <cfRule type="duplicateValues" dxfId="497" priority="575577"/>
  </conditionalFormatting>
  <conditionalFormatting sqref="C3:C1048576 C1">
    <cfRule type="duplicateValues" dxfId="496" priority="1327266"/>
    <cfRule type="duplicateValues" dxfId="495" priority="1327267"/>
    <cfRule type="duplicateValues" dxfId="494" priority="249574"/>
  </conditionalFormatting>
  <conditionalFormatting sqref="C32">
    <cfRule type="duplicateValues" dxfId="493" priority="49106"/>
    <cfRule type="duplicateValues" dxfId="492" priority="49107"/>
  </conditionalFormatting>
  <conditionalFormatting sqref="C45:C1048576">
    <cfRule type="duplicateValues" dxfId="491" priority="575595"/>
  </conditionalFormatting>
  <conditionalFormatting sqref="D15:D30">
    <cfRule type="duplicateValues" dxfId="490" priority="1327695"/>
    <cfRule type="duplicateValues" dxfId="489" priority="1327696" stopIfTrue="1"/>
    <cfRule type="duplicateValues" dxfId="488" priority="1327697" stopIfTrue="1"/>
    <cfRule type="duplicateValues" dxfId="487" priority="1327691"/>
    <cfRule type="duplicateValues" dxfId="486" priority="1327692"/>
    <cfRule type="duplicateValues" dxfId="485" priority="1327693" stopIfTrue="1"/>
    <cfRule type="duplicateValues" dxfId="484" priority="1327694" stopIfTrue="1"/>
    <cfRule type="expression" dxfId="483" priority="1327698" stopIfTrue="1">
      <formula>AND(COUNTIF(#REF!, D15)+COUNTIF($B$1:$B$11, D15)&gt;1,NOT(ISBLANK(D15)))</formula>
    </cfRule>
  </conditionalFormatting>
  <conditionalFormatting sqref="E15">
    <cfRule type="duplicateValues" dxfId="482" priority="44884"/>
    <cfRule type="duplicateValues" dxfId="481" priority="44892"/>
    <cfRule type="duplicateValues" dxfId="480" priority="44891"/>
  </conditionalFormatting>
  <conditionalFormatting sqref="I10">
    <cfRule type="expression" dxfId="479" priority="2914">
      <formula>XDU1047220="1/2CL"</formula>
    </cfRule>
    <cfRule type="expression" dxfId="478" priority="2913">
      <formula>XDU1047220="LS"</formula>
    </cfRule>
    <cfRule type="expression" dxfId="477" priority="1299387">
      <formula>XDU1047220="1/2UP"</formula>
    </cfRule>
  </conditionalFormatting>
  <conditionalFormatting sqref="J4:K11 N4:O11">
    <cfRule type="expression" dxfId="476" priority="1821">
      <formula>J4="SL1"</formula>
    </cfRule>
    <cfRule type="expression" dxfId="475" priority="1822">
      <formula>J4="UP"</formula>
    </cfRule>
    <cfRule type="expression" dxfId="474" priority="1820">
      <formula>J4="ML"</formula>
    </cfRule>
    <cfRule type="expression" dxfId="473" priority="1819">
      <formula>J4="CC"</formula>
    </cfRule>
  </conditionalFormatting>
  <conditionalFormatting sqref="J4:K11 Q4:S4 Q5 S5 Q6:S11">
    <cfRule type="expression" dxfId="472" priority="1815">
      <formula>J4="1/2AL"</formula>
    </cfRule>
  </conditionalFormatting>
  <conditionalFormatting sqref="J4:K11">
    <cfRule type="expression" dxfId="471" priority="1797">
      <formula>XDV1047257="1/2UP"</formula>
    </cfRule>
    <cfRule type="expression" dxfId="470" priority="1798">
      <formula>J4="1/2UP"</formula>
    </cfRule>
    <cfRule type="expression" dxfId="469" priority="1799">
      <formula>J4="CL"</formula>
    </cfRule>
    <cfRule type="expression" dxfId="468" priority="1806">
      <formula>J4="1/2AL"</formula>
    </cfRule>
    <cfRule type="expression" dxfId="467" priority="1801">
      <formula>J4="CC"</formula>
    </cfRule>
    <cfRule type="expression" dxfId="466" priority="1802">
      <formula>J4="ML"</formula>
    </cfRule>
    <cfRule type="expression" dxfId="465" priority="1803">
      <formula>J4="SL1"</formula>
    </cfRule>
    <cfRule type="expression" dxfId="464" priority="1804">
      <formula>J4="FP"</formula>
    </cfRule>
    <cfRule type="expression" dxfId="463" priority="1805">
      <formula>J4="UP"</formula>
    </cfRule>
    <cfRule type="expression" dxfId="462" priority="1807">
      <formula>J4="AL"</formula>
    </cfRule>
    <cfRule type="expression" dxfId="461" priority="1808">
      <formula>J4="OFF"</formula>
    </cfRule>
    <cfRule type="expression" dxfId="460" priority="1809">
      <formula>XDV1047219="LS"</formula>
    </cfRule>
    <cfRule type="expression" dxfId="459" priority="1810">
      <formula>XDV1047219="1/2CL"</formula>
    </cfRule>
    <cfRule type="expression" dxfId="458" priority="1811">
      <formula>XDV1047219="1/2UP"</formula>
    </cfRule>
    <cfRule type="expression" dxfId="457" priority="1812">
      <formula>#REF!="1/2UP"</formula>
    </cfRule>
    <cfRule type="expression" dxfId="456" priority="1813">
      <formula>#REF!="LS"</formula>
    </cfRule>
    <cfRule type="expression" dxfId="455" priority="1814">
      <formula>#REF!="1/2CL"</formula>
    </cfRule>
  </conditionalFormatting>
  <conditionalFormatting sqref="J4:L11 N4:O11">
    <cfRule type="expression" dxfId="454" priority="1818">
      <formula>J4="FP"</formula>
    </cfRule>
  </conditionalFormatting>
  <conditionalFormatting sqref="J4:L11 Q4:S4 Q5 S5 Q6:S11">
    <cfRule type="expression" dxfId="453" priority="1816">
      <formula>J4="AL"</formula>
    </cfRule>
  </conditionalFormatting>
  <conditionalFormatting sqref="J4:L11">
    <cfRule type="expression" dxfId="452" priority="1800">
      <formula>J4="NOT"</formula>
    </cfRule>
  </conditionalFormatting>
  <conditionalFormatting sqref="K4:L11 N4:O11">
    <cfRule type="expression" dxfId="451" priority="1327354">
      <formula>$L$4:$P$11="HL"</formula>
    </cfRule>
  </conditionalFormatting>
  <conditionalFormatting sqref="L4:L11">
    <cfRule type="expression" dxfId="450" priority="1869">
      <formula>L4="CL"</formula>
    </cfRule>
    <cfRule type="expression" dxfId="449" priority="1796">
      <formula>XDX1047225="LS"</formula>
    </cfRule>
  </conditionalFormatting>
  <conditionalFormatting sqref="L4:M11">
    <cfRule type="expression" dxfId="448" priority="1727">
      <formula>XDX1047225="1/2UP"</formula>
    </cfRule>
    <cfRule type="expression" dxfId="447" priority="1725">
      <formula>XDX1047225="1/2CL"</formula>
    </cfRule>
  </conditionalFormatting>
  <conditionalFormatting sqref="M4:M11">
    <cfRule type="expression" dxfId="446" priority="1714">
      <formula>M4="NOT"</formula>
    </cfRule>
    <cfRule type="expression" dxfId="445" priority="1719">
      <formula>M4="SL1"</formula>
    </cfRule>
    <cfRule type="expression" dxfId="444" priority="1715">
      <formula>M4="CL"</formula>
    </cfRule>
    <cfRule type="expression" dxfId="443" priority="1726">
      <formula>M4="1/2UP"</formula>
    </cfRule>
    <cfRule type="expression" dxfId="442" priority="1724">
      <formula>XDY1047225="LS"</formula>
    </cfRule>
    <cfRule type="expression" dxfId="441" priority="1723">
      <formula>M4="OFF"</formula>
    </cfRule>
    <cfRule type="expression" dxfId="440" priority="1722">
      <formula>M4="AL"</formula>
    </cfRule>
    <cfRule type="expression" dxfId="439" priority="1721">
      <formula>M4="1/2AL"</formula>
    </cfRule>
    <cfRule type="expression" dxfId="438" priority="1720">
      <formula>M4="UP"</formula>
    </cfRule>
    <cfRule type="expression" dxfId="437" priority="1718">
      <formula>M4="ML"</formula>
    </cfRule>
    <cfRule type="expression" dxfId="436" priority="1717">
      <formula>M4="CC"</formula>
    </cfRule>
    <cfRule type="expression" dxfId="435" priority="1716">
      <formula>M4="FP"</formula>
    </cfRule>
  </conditionalFormatting>
  <conditionalFormatting sqref="N4">
    <cfRule type="expression" dxfId="434" priority="128">
      <formula>XDZ1047277="1/2UP"</formula>
    </cfRule>
    <cfRule type="expression" dxfId="433" priority="127">
      <formula>XDZ1047277="1/2CL"</formula>
    </cfRule>
    <cfRule type="expression" dxfId="432" priority="126">
      <formula>XDZ1047277="LS"</formula>
    </cfRule>
  </conditionalFormatting>
  <conditionalFormatting sqref="N4:N11">
    <cfRule type="expression" dxfId="431" priority="1841">
      <formula>#REF!="LS"</formula>
    </cfRule>
    <cfRule type="expression" dxfId="430" priority="1840">
      <formula>XDZ1047219="1/2UP"</formula>
    </cfRule>
    <cfRule type="expression" dxfId="429" priority="1842">
      <formula>#REF!="1/2CL"</formula>
    </cfRule>
    <cfRule type="expression" dxfId="428" priority="1838">
      <formula>XDZ1047219="LS"</formula>
    </cfRule>
    <cfRule type="expression" dxfId="427" priority="1835">
      <formula>#REF!="1/2UP"</formula>
    </cfRule>
    <cfRule type="expression" dxfId="426" priority="1839">
      <formula>XDZ1047219="1/2CL"</formula>
    </cfRule>
  </conditionalFormatting>
  <conditionalFormatting sqref="N4:O4">
    <cfRule type="expression" dxfId="425" priority="112">
      <formula>N4="ML"</formula>
    </cfRule>
    <cfRule type="expression" dxfId="424" priority="116">
      <formula>N4="1/2AL"</formula>
    </cfRule>
    <cfRule type="expression" dxfId="423" priority="113">
      <formula>N4="SL1"</formula>
    </cfRule>
    <cfRule type="expression" dxfId="422" priority="115">
      <formula>N4="OFF"</formula>
    </cfRule>
    <cfRule type="expression" dxfId="421" priority="114">
      <formula>N4="UP"</formula>
    </cfRule>
    <cfRule type="expression" dxfId="420" priority="111">
      <formula>N4="CC"</formula>
    </cfRule>
    <cfRule type="expression" dxfId="419" priority="110">
      <formula>N4="FP"</formula>
    </cfRule>
    <cfRule type="expression" dxfId="418" priority="117">
      <formula>N4="AL"</formula>
    </cfRule>
  </conditionalFormatting>
  <conditionalFormatting sqref="N4:O11">
    <cfRule type="expression" dxfId="417" priority="1790">
      <formula>N4="AL"</formula>
    </cfRule>
    <cfRule type="expression" dxfId="416" priority="1791">
      <formula>N4="OFF"</formula>
    </cfRule>
    <cfRule type="expression" dxfId="415" priority="1789">
      <formula>N4="1/2AL"</formula>
    </cfRule>
  </conditionalFormatting>
  <conditionalFormatting sqref="N4:Y4 N5:Q5 N6:Y11 S5:Y5">
    <cfRule type="expression" dxfId="414" priority="2800">
      <formula>XDZ1047257="1/2UP"</formula>
    </cfRule>
    <cfRule type="expression" dxfId="413" priority="1826">
      <formula>N4="NOT"</formula>
    </cfRule>
    <cfRule type="expression" dxfId="412" priority="2801">
      <formula>N4="1/2UP"</formula>
    </cfRule>
  </conditionalFormatting>
  <conditionalFormatting sqref="N4:Y4 N5:Q5 S5:Y5 N6:Y11 J4:K11">
    <cfRule type="expression" dxfId="411" priority="9411">
      <formula>XDV1047257="1/2CL"</formula>
    </cfRule>
    <cfRule type="expression" dxfId="410" priority="9410">
      <formula>XDV1047257="LS"</formula>
    </cfRule>
  </conditionalFormatting>
  <conditionalFormatting sqref="N4:Y4 N5:Q5 S5:Y5 N6:Y11">
    <cfRule type="expression" dxfId="409" priority="2811">
      <formula>N4="OFF"</formula>
    </cfRule>
    <cfRule type="expression" dxfId="408" priority="2808">
      <formula>N4="UP"</formula>
    </cfRule>
    <cfRule type="expression" dxfId="407" priority="1830">
      <formula>N4="FP"</formula>
    </cfRule>
    <cfRule type="expression" dxfId="406" priority="2810">
      <formula>N4="AL"</formula>
    </cfRule>
    <cfRule type="expression" dxfId="405" priority="2809">
      <formula>N4="1/2AL"</formula>
    </cfRule>
    <cfRule type="expression" dxfId="404" priority="2802">
      <formula>N4="CL"</formula>
    </cfRule>
    <cfRule type="expression" dxfId="403" priority="2806">
      <formula>N4="SL1"</formula>
    </cfRule>
    <cfRule type="expression" dxfId="402" priority="2805">
      <formula>N4="ML"</formula>
    </cfRule>
    <cfRule type="expression" dxfId="401" priority="2804">
      <formula>N4="CC"</formula>
    </cfRule>
  </conditionalFormatting>
  <conditionalFormatting sqref="O4:O11">
    <cfRule type="expression" dxfId="400" priority="1793">
      <formula>O4="NOT"</formula>
    </cfRule>
    <cfRule type="expression" dxfId="399" priority="1788">
      <formula>O4="1/2UP"</formula>
    </cfRule>
    <cfRule type="expression" dxfId="398" priority="1792">
      <formula>O4="CL"</formula>
    </cfRule>
  </conditionalFormatting>
  <conditionalFormatting sqref="O4:P11">
    <cfRule type="expression" dxfId="397" priority="9729">
      <formula>XEA1047277="1/2UP"</formula>
    </cfRule>
    <cfRule type="expression" dxfId="396" priority="9727">
      <formula>XEA1047277="LS"</formula>
    </cfRule>
    <cfRule type="expression" dxfId="395" priority="9728">
      <formula>XEA1047277="1/2CL"</formula>
    </cfRule>
  </conditionalFormatting>
  <conditionalFormatting sqref="P4:P11">
    <cfRule type="expression" dxfId="394" priority="1785">
      <formula>P4="OFF"</formula>
    </cfRule>
    <cfRule type="expression" dxfId="393" priority="1787">
      <formula>P4="AL"</formula>
    </cfRule>
    <cfRule type="expression" dxfId="392" priority="1786">
      <formula>P4="1/2AL"</formula>
    </cfRule>
  </conditionalFormatting>
  <conditionalFormatting sqref="P4:S4 P5:Q5 S5 P6:S11">
    <cfRule type="expression" dxfId="391" priority="1783">
      <formula>P4="SL1"</formula>
    </cfRule>
    <cfRule type="expression" dxfId="390" priority="1784">
      <formula>P4="UP"</formula>
    </cfRule>
    <cfRule type="expression" dxfId="389" priority="1782">
      <formula>P4="ML"</formula>
    </cfRule>
    <cfRule type="expression" dxfId="388" priority="1780">
      <formula>P4="FP"</formula>
    </cfRule>
    <cfRule type="expression" dxfId="387" priority="1781">
      <formula>P4="CC"</formula>
    </cfRule>
  </conditionalFormatting>
  <conditionalFormatting sqref="Q4:S4 J4:K11 Q5 S5 Q6:S11">
    <cfRule type="expression" dxfId="386" priority="1817">
      <formula>J4="OFF"</formula>
    </cfRule>
  </conditionalFormatting>
  <conditionalFormatting sqref="Q4:S4 Q5 S5 Q6:S11">
    <cfRule type="expression" dxfId="385" priority="1779">
      <formula>#REF!="1/2UP"</formula>
    </cfRule>
    <cfRule type="expression" dxfId="384" priority="1778">
      <formula>#REF!="1/2CL"</formula>
    </cfRule>
    <cfRule type="expression" dxfId="383" priority="1777">
      <formula>#REF!="LS"</formula>
    </cfRule>
  </conditionalFormatting>
  <conditionalFormatting sqref="Q4:T4 Q5 S5:T5 Q6:T11">
    <cfRule type="expression" dxfId="382" priority="1776">
      <formula>XEC1047219="1/2UP"</formula>
    </cfRule>
  </conditionalFormatting>
  <conditionalFormatting sqref="Q4:T4 S5:T5 Q6:T11 Q5">
    <cfRule type="expression" dxfId="381" priority="1775">
      <formula>XEC1047219="1/2CL"</formula>
    </cfRule>
    <cfRule type="expression" dxfId="380" priority="1774">
      <formula>XEC1047219="LS"</formula>
    </cfRule>
  </conditionalFormatting>
  <conditionalFormatting sqref="R5">
    <cfRule type="expression" dxfId="379" priority="50">
      <formula>R5="SL1"</formula>
    </cfRule>
    <cfRule type="expression" dxfId="378" priority="49">
      <formula>R5="ML"</formula>
    </cfRule>
    <cfRule type="expression" dxfId="377" priority="48">
      <formula>R5="CC"</formula>
    </cfRule>
    <cfRule type="expression" dxfId="376" priority="47">
      <formula>R5="CL"</formula>
    </cfRule>
    <cfRule type="expression" dxfId="375" priority="46">
      <formula>R5="1/2UP"</formula>
    </cfRule>
    <cfRule type="expression" dxfId="374" priority="45">
      <formula>XED1047258="1/2UP"</formula>
    </cfRule>
    <cfRule type="expression" dxfId="373" priority="35">
      <formula>R5="FP"</formula>
    </cfRule>
    <cfRule type="expression" dxfId="372" priority="36">
      <formula>R5="CC"</formula>
    </cfRule>
    <cfRule type="expression" dxfId="371" priority="37">
      <formula>R5="ML"</formula>
    </cfRule>
    <cfRule type="expression" dxfId="370" priority="38">
      <formula>R5="SL1"</formula>
    </cfRule>
    <cfRule type="expression" dxfId="369" priority="42">
      <formula>R5="AL"</formula>
    </cfRule>
    <cfRule type="expression" dxfId="368" priority="39">
      <formula>R5="UP"</formula>
    </cfRule>
    <cfRule type="expression" dxfId="367" priority="40">
      <formula>R5="OFF"</formula>
    </cfRule>
    <cfRule type="expression" dxfId="366" priority="59">
      <formula>XED1047278="1/2UP"</formula>
    </cfRule>
    <cfRule type="expression" dxfId="365" priority="58">
      <formula>XED1047278="1/2CL"</formula>
    </cfRule>
    <cfRule type="expression" dxfId="364" priority="57">
      <formula>XED1047278="LS"</formula>
    </cfRule>
    <cfRule type="expression" dxfId="363" priority="56">
      <formula>XED1047258="1/2CL"</formula>
    </cfRule>
    <cfRule type="expression" dxfId="362" priority="55">
      <formula>XED1047258="LS"</formula>
    </cfRule>
    <cfRule type="expression" dxfId="361" priority="43">
      <formula>R5="NOT"</formula>
    </cfRule>
    <cfRule type="expression" dxfId="360" priority="54">
      <formula>R5="OFF"</formula>
    </cfRule>
    <cfRule type="expression" dxfId="359" priority="53">
      <formula>R5="AL"</formula>
    </cfRule>
    <cfRule type="expression" dxfId="358" priority="52">
      <formula>R5="1/2AL"</formula>
    </cfRule>
    <cfRule type="expression" dxfId="357" priority="44">
      <formula>R5="FP"</formula>
    </cfRule>
    <cfRule type="expression" dxfId="356" priority="51">
      <formula>R5="UP"</formula>
    </cfRule>
    <cfRule type="expression" dxfId="355" priority="41">
      <formula>R5="1/2AL"</formula>
    </cfRule>
  </conditionalFormatting>
  <conditionalFormatting sqref="T4:T11">
    <cfRule type="expression" dxfId="354" priority="1759">
      <formula>XEF1047207="1/2UP"</formula>
    </cfRule>
    <cfRule type="expression" dxfId="353" priority="1760">
      <formula>XEF1047207="LS"</formula>
    </cfRule>
    <cfRule type="expression" dxfId="352" priority="1761">
      <formula>XEF1047207="1/2CL"</formula>
    </cfRule>
    <cfRule type="expression" dxfId="351" priority="1762">
      <formula>T4="FP"</formula>
    </cfRule>
    <cfRule type="expression" dxfId="350" priority="1763">
      <formula>T4="CC"</formula>
    </cfRule>
    <cfRule type="expression" dxfId="349" priority="1764">
      <formula>T4="ML"</formula>
    </cfRule>
    <cfRule type="expression" dxfId="348" priority="1765">
      <formula>T4="SL1"</formula>
    </cfRule>
    <cfRule type="expression" dxfId="347" priority="1766">
      <formula>T4="UP"</formula>
    </cfRule>
    <cfRule type="expression" dxfId="346" priority="1767">
      <formula>T4="1/2AL"</formula>
    </cfRule>
    <cfRule type="expression" dxfId="345" priority="1768">
      <formula>T4="AL"</formula>
    </cfRule>
    <cfRule type="expression" dxfId="344" priority="1769">
      <formula>T4="OFF"</formula>
    </cfRule>
  </conditionalFormatting>
  <conditionalFormatting sqref="V5">
    <cfRule type="expression" dxfId="343" priority="5">
      <formula>V5="CL"</formula>
    </cfRule>
  </conditionalFormatting>
  <conditionalFormatting sqref="V7:V9">
    <cfRule type="expression" dxfId="342" priority="2">
      <formula>V7="CL"</formula>
    </cfRule>
  </conditionalFormatting>
  <conditionalFormatting sqref="V11">
    <cfRule type="expression" dxfId="341" priority="1">
      <formula>V11="CL"</formula>
    </cfRule>
  </conditionalFormatting>
  <conditionalFormatting sqref="W4:X11">
    <cfRule type="expression" dxfId="340" priority="1758">
      <formula>W4="CL"</formula>
    </cfRule>
  </conditionalFormatting>
  <conditionalFormatting sqref="Z4:Z8 Z10:Z11 AA6:AE11">
    <cfRule type="expression" dxfId="339" priority="1854">
      <formula>Z4="CL"</formula>
    </cfRule>
  </conditionalFormatting>
  <conditionalFormatting sqref="Z4:Z8 Z10:Z11 AD6:AE11 AD4:AE4 AE5">
    <cfRule type="expression" dxfId="338" priority="1850">
      <formula>XEL1047267="LS"</formula>
    </cfRule>
    <cfRule type="expression" dxfId="337" priority="1851">
      <formula>XEL1047267="1/2CL"</formula>
    </cfRule>
  </conditionalFormatting>
  <conditionalFormatting sqref="Z4:Z8 Z10:Z11">
    <cfRule type="expression" dxfId="336" priority="1853">
      <formula>Z4="FP"</formula>
    </cfRule>
    <cfRule type="expression" dxfId="335" priority="1849">
      <formula>XEL1047267="1/2UP"</formula>
    </cfRule>
    <cfRule type="expression" dxfId="334" priority="1852">
      <formula>Z4="NOT"</formula>
    </cfRule>
  </conditionalFormatting>
  <conditionalFormatting sqref="Z4:Z8 AA6:AE11 Z10:Z11 AD4:AE4 AE5">
    <cfRule type="expression" dxfId="333" priority="1855">
      <formula>Z4="CC"</formula>
    </cfRule>
    <cfRule type="expression" dxfId="332" priority="1856">
      <formula>Z4="ML"</formula>
    </cfRule>
    <cfRule type="expression" dxfId="331" priority="1857">
      <formula>Z4="SL1"</formula>
    </cfRule>
  </conditionalFormatting>
  <conditionalFormatting sqref="Z9">
    <cfRule type="expression" dxfId="330" priority="134">
      <formula>Z9="1/2AL"</formula>
    </cfRule>
    <cfRule type="expression" dxfId="329" priority="141">
      <formula>XEM1047270="LS"</formula>
    </cfRule>
    <cfRule type="expression" dxfId="328" priority="129">
      <formula>Z9="CL"</formula>
    </cfRule>
    <cfRule type="expression" dxfId="327" priority="145">
      <formula>Z9="FP"</formula>
    </cfRule>
    <cfRule type="expression" dxfId="326" priority="144">
      <formula>Z9="NOT"</formula>
    </cfRule>
    <cfRule type="expression" dxfId="325" priority="143">
      <formula>XEL1047266="1/2UP"</formula>
    </cfRule>
    <cfRule type="expression" dxfId="324" priority="142">
      <formula>XEM1047270="1/2CL"</formula>
    </cfRule>
    <cfRule type="expression" dxfId="323" priority="130">
      <formula>Z9="CC"</formula>
    </cfRule>
    <cfRule type="expression" dxfId="322" priority="131">
      <formula>Z9="ML"</formula>
    </cfRule>
    <cfRule type="expression" dxfId="321" priority="132">
      <formula>Z9="SL1"</formula>
    </cfRule>
    <cfRule type="expression" dxfId="320" priority="133">
      <formula>Z9="UP"</formula>
    </cfRule>
    <cfRule type="expression" dxfId="319" priority="135">
      <formula>Z9="AL"</formula>
    </cfRule>
    <cfRule type="expression" dxfId="318" priority="136">
      <formula>Z9="OFF"</formula>
    </cfRule>
    <cfRule type="expression" dxfId="317" priority="137">
      <formula>XEL1047266="LS"</formula>
    </cfRule>
    <cfRule type="expression" dxfId="316" priority="138">
      <formula>XEL1047266="1/2CL"</formula>
    </cfRule>
    <cfRule type="expression" dxfId="315" priority="139">
      <formula>Z9="1/2UP"</formula>
    </cfRule>
    <cfRule type="expression" dxfId="314" priority="140">
      <formula>XEM1047270="1/2UP"</formula>
    </cfRule>
  </conditionalFormatting>
  <conditionalFormatting sqref="AA4:AB5 AA6:AC11">
    <cfRule type="expression" dxfId="313" priority="1327367">
      <formula>AA4="1/2UP"</formula>
    </cfRule>
    <cfRule type="expression" dxfId="312" priority="1327371">
      <formula>XEM1047261="1/2UP"</formula>
    </cfRule>
    <cfRule type="expression" dxfId="311" priority="1327370">
      <formula>XEN1047265="1/2CL"</formula>
    </cfRule>
    <cfRule type="expression" dxfId="310" priority="1327369">
      <formula>XEN1047265="LS"</formula>
    </cfRule>
    <cfRule type="expression" dxfId="309" priority="1327368">
      <formula>XEN1047265="1/2UP"</formula>
    </cfRule>
    <cfRule type="expression" dxfId="308" priority="1327366">
      <formula>XEM1047261="1/2CL"</formula>
    </cfRule>
    <cfRule type="expression" dxfId="307" priority="1327365">
      <formula>XEM1047261="LS"</formula>
    </cfRule>
  </conditionalFormatting>
  <conditionalFormatting sqref="AA4:AB5 AA6:AE11">
    <cfRule type="expression" dxfId="306" priority="1730">
      <formula>AA4="NOT"</formula>
    </cfRule>
    <cfRule type="expression" dxfId="305" priority="1731">
      <formula>AA4="FP"</formula>
    </cfRule>
  </conditionalFormatting>
  <conditionalFormatting sqref="AA4:AB5">
    <cfRule type="expression" dxfId="304" priority="1327363">
      <formula>AA4="AL"</formula>
    </cfRule>
    <cfRule type="expression" dxfId="303" priority="1327364">
      <formula>AA4="OFF"</formula>
    </cfRule>
    <cfRule type="expression" dxfId="302" priority="1327360">
      <formula>AA4="SL1"</formula>
    </cfRule>
    <cfRule type="expression" dxfId="301" priority="1327359">
      <formula>AA4="ML"</formula>
    </cfRule>
    <cfRule type="expression" dxfId="300" priority="1327358">
      <formula>AA4="CC"</formula>
    </cfRule>
    <cfRule type="expression" dxfId="299" priority="1327357">
      <formula>AA4="CL"</formula>
    </cfRule>
    <cfRule type="expression" dxfId="298" priority="1327361">
      <formula>AA4="UP"</formula>
    </cfRule>
    <cfRule type="expression" dxfId="297" priority="1327362">
      <formula>AA4="1/2AL"</formula>
    </cfRule>
  </conditionalFormatting>
  <conditionalFormatting sqref="AC4">
    <cfRule type="expression" dxfId="296" priority="96">
      <formula>AC4="1/2UP"</formula>
    </cfRule>
    <cfRule type="expression" dxfId="295" priority="91">
      <formula>AC4="1/2AL"</formula>
    </cfRule>
    <cfRule type="expression" dxfId="294" priority="92">
      <formula>AC4="AL"</formula>
    </cfRule>
    <cfRule type="expression" dxfId="293" priority="105">
      <formula>XEO1047257="LS"</formula>
    </cfRule>
    <cfRule type="expression" dxfId="292" priority="104">
      <formula>AC4="OFF"</formula>
    </cfRule>
    <cfRule type="expression" dxfId="291" priority="106">
      <formula>XEO1047257="1/2CL"</formula>
    </cfRule>
    <cfRule type="expression" dxfId="290" priority="98">
      <formula>AC4="CC"</formula>
    </cfRule>
    <cfRule type="expression" dxfId="289" priority="99">
      <formula>AC4="ML"</formula>
    </cfRule>
    <cfRule type="expression" dxfId="288" priority="100">
      <formula>AC4="SL1"</formula>
    </cfRule>
    <cfRule type="expression" dxfId="287" priority="101">
      <formula>AC4="UP"</formula>
    </cfRule>
    <cfRule type="expression" dxfId="286" priority="107">
      <formula>XEO1047277="LS"</formula>
    </cfRule>
    <cfRule type="expression" dxfId="285" priority="95">
      <formula>XEO1047257="1/2UP"</formula>
    </cfRule>
    <cfRule type="expression" dxfId="284" priority="103">
      <formula>AC4="AL"</formula>
    </cfRule>
    <cfRule type="expression" dxfId="283" priority="102">
      <formula>AC4="1/2AL"</formula>
    </cfRule>
    <cfRule type="expression" dxfId="282" priority="109">
      <formula>XEO1047277="1/2UP"</formula>
    </cfRule>
    <cfRule type="expression" dxfId="281" priority="108">
      <formula>XEO1047277="1/2CL"</formula>
    </cfRule>
  </conditionalFormatting>
  <conditionalFormatting sqref="AC4:AC5">
    <cfRule type="expression" dxfId="280" priority="22">
      <formula>AC4="FP"</formula>
    </cfRule>
    <cfRule type="expression" dxfId="279" priority="32">
      <formula>AC4="OFF"</formula>
    </cfRule>
    <cfRule type="expression" dxfId="278" priority="26">
      <formula>AC4="CC"</formula>
    </cfRule>
    <cfRule type="expression" dxfId="277" priority="27">
      <formula>AC4="ML"</formula>
    </cfRule>
    <cfRule type="expression" dxfId="276" priority="28">
      <formula>AC4="SL1"</formula>
    </cfRule>
    <cfRule type="expression" dxfId="275" priority="29">
      <formula>AC4="UP"</formula>
    </cfRule>
  </conditionalFormatting>
  <conditionalFormatting sqref="AC5">
    <cfRule type="expression" dxfId="274" priority="20">
      <formula>AC5="CL"</formula>
    </cfRule>
    <cfRule type="expression" dxfId="273" priority="33">
      <formula>XEO1047258="LS"</formula>
    </cfRule>
    <cfRule type="expression" dxfId="272" priority="34">
      <formula>XEO1047258="1/2CL"</formula>
    </cfRule>
    <cfRule type="expression" dxfId="271" priority="24">
      <formula>AC5="1/2UP"</formula>
    </cfRule>
    <cfRule type="expression" dxfId="270" priority="23">
      <formula>XEO1047258="1/2UP"</formula>
    </cfRule>
    <cfRule type="expression" dxfId="269" priority="31">
      <formula>AC5="AL"</formula>
    </cfRule>
    <cfRule type="expression" dxfId="268" priority="30">
      <formula>AC5="1/2AL"</formula>
    </cfRule>
    <cfRule type="expression" dxfId="267" priority="21">
      <formula>AC5="NOT"</formula>
    </cfRule>
    <cfRule type="expression" dxfId="266" priority="25">
      <formula>AC5="CL"</formula>
    </cfRule>
  </conditionalFormatting>
  <conditionalFormatting sqref="AC4:AE4">
    <cfRule type="expression" dxfId="265" priority="97">
      <formula>AC4="CL"</formula>
    </cfRule>
    <cfRule type="expression" dxfId="264" priority="94">
      <formula>AC4="FP"</formula>
    </cfRule>
    <cfRule type="expression" dxfId="263" priority="93">
      <formula>AC4="NOT"</formula>
    </cfRule>
  </conditionalFormatting>
  <conditionalFormatting sqref="AD5">
    <cfRule type="expression" dxfId="262" priority="63">
      <formula>AD5="SL1"</formula>
    </cfRule>
    <cfRule type="expression" dxfId="261" priority="64">
      <formula>AD5="UP"</formula>
    </cfRule>
    <cfRule type="expression" dxfId="260" priority="62">
      <formula>AD5="ML"</formula>
    </cfRule>
    <cfRule type="expression" dxfId="259" priority="65">
      <formula>AD5="OFF"</formula>
    </cfRule>
    <cfRule type="expression" dxfId="258" priority="61">
      <formula>AD5="CC"</formula>
    </cfRule>
    <cfRule type="expression" dxfId="257" priority="60">
      <formula>AD5="FP"</formula>
    </cfRule>
    <cfRule type="expression" dxfId="256" priority="74">
      <formula>AD5="ML"</formula>
    </cfRule>
    <cfRule type="expression" dxfId="255" priority="66">
      <formula>AD5="1/2AL"</formula>
    </cfRule>
    <cfRule type="expression" dxfId="254" priority="67">
      <formula>AD5="AL"</formula>
    </cfRule>
    <cfRule type="expression" dxfId="253" priority="70">
      <formula>XEP1047258="1/2UP"</formula>
    </cfRule>
    <cfRule type="expression" dxfId="252" priority="71">
      <formula>AD5="1/2UP"</formula>
    </cfRule>
    <cfRule type="expression" dxfId="251" priority="73">
      <formula>AD5="CC"</formula>
    </cfRule>
    <cfRule type="expression" dxfId="250" priority="84">
      <formula>XEP1047278="1/2UP"</formula>
    </cfRule>
    <cfRule type="expression" dxfId="249" priority="83">
      <formula>XEP1047278="1/2CL"</formula>
    </cfRule>
    <cfRule type="expression" dxfId="248" priority="82">
      <formula>XEP1047278="LS"</formula>
    </cfRule>
    <cfRule type="expression" dxfId="247" priority="81">
      <formula>XEP1047258="1/2CL"</formula>
    </cfRule>
    <cfRule type="expression" dxfId="246" priority="80">
      <formula>XEP1047258="LS"</formula>
    </cfRule>
    <cfRule type="expression" dxfId="245" priority="79">
      <formula>AD5="OFF"</formula>
    </cfRule>
    <cfRule type="expression" dxfId="244" priority="78">
      <formula>AD5="AL"</formula>
    </cfRule>
    <cfRule type="expression" dxfId="243" priority="77">
      <formula>AD5="1/2AL"</formula>
    </cfRule>
    <cfRule type="expression" dxfId="242" priority="76">
      <formula>AD5="UP"</formula>
    </cfRule>
    <cfRule type="expression" dxfId="241" priority="75">
      <formula>AD5="SL1"</formula>
    </cfRule>
  </conditionalFormatting>
  <conditionalFormatting sqref="AD4:AE4 Z4:Z8 AE5 AA6:AE11 Z10:Z11">
    <cfRule type="expression" dxfId="240" priority="1858">
      <formula>Z4="UP"</formula>
    </cfRule>
    <cfRule type="expression" dxfId="239" priority="1859">
      <formula>Z4="1/2AL"</formula>
    </cfRule>
    <cfRule type="expression" dxfId="238" priority="1860">
      <formula>Z4="AL"</formula>
    </cfRule>
    <cfRule type="expression" dxfId="237" priority="1861">
      <formula>Z4="OFF"</formula>
    </cfRule>
  </conditionalFormatting>
  <conditionalFormatting sqref="AD4:AE4 Z4:Z8 AE5 AD6:AE11 Z10:Z11">
    <cfRule type="expression" dxfId="236" priority="1862">
      <formula>Z4="1/2UP"</formula>
    </cfRule>
  </conditionalFormatting>
  <conditionalFormatting sqref="AD4:AE4 AE5 AD6:AE11">
    <cfRule type="expression" dxfId="235" priority="1327386">
      <formula>XEP1047267="1/2UP"</formula>
    </cfRule>
  </conditionalFormatting>
  <conditionalFormatting sqref="AD5:AE5">
    <cfRule type="expression" dxfId="234" priority="72">
      <formula>AD5="CL"</formula>
    </cfRule>
    <cfRule type="expression" dxfId="233" priority="69">
      <formula>AD5="FP"</formula>
    </cfRule>
    <cfRule type="expression" dxfId="232" priority="68">
      <formula>AD5="NOT"</formula>
    </cfRule>
  </conditionalFormatting>
  <conditionalFormatting sqref="AF4:AG11">
    <cfRule type="expression" dxfId="231" priority="9773">
      <formula>B1047274="LS"</formula>
    </cfRule>
    <cfRule type="expression" dxfId="230" priority="1867">
      <formula>AF4="OFF"</formula>
    </cfRule>
    <cfRule type="expression" dxfId="229" priority="9774">
      <formula>B1047274="1/2CL"</formula>
    </cfRule>
    <cfRule type="expression" dxfId="228" priority="1866">
      <formula>AF4="1/2AL"</formula>
    </cfRule>
    <cfRule type="expression" dxfId="227" priority="1868">
      <formula>AF4="AL"</formula>
    </cfRule>
    <cfRule type="expression" dxfId="226" priority="1865">
      <formula>AF4="UP"</formula>
    </cfRule>
    <cfRule type="expression" dxfId="225" priority="9775">
      <formula>B1047274="1/2UP"</formula>
    </cfRule>
  </conditionalFormatting>
  <conditionalFormatting sqref="AF4:AI8 L4:L11 AF9:AH9 I10 AF10:AI11 AL11:AN11">
    <cfRule type="expression" dxfId="224" priority="10389">
      <formula>I4="1/2UP"</formula>
    </cfRule>
  </conditionalFormatting>
  <conditionalFormatting sqref="AF4:AI8 AF9:AH9 I10 AF10:AI11 AL11:AN11">
    <cfRule type="expression" dxfId="223" priority="9356">
      <formula>I4="NOT"</formula>
    </cfRule>
    <cfRule type="expression" dxfId="222" priority="10390">
      <formula>I4="CL"</formula>
    </cfRule>
    <cfRule type="expression" dxfId="221" priority="10411">
      <formula>I4="FP"</formula>
    </cfRule>
  </conditionalFormatting>
  <conditionalFormatting sqref="AF4:AI8 AF9:AH9 AF10:AI11 I10 AL11:AN11 L4:L11">
    <cfRule type="expression" dxfId="220" priority="10386">
      <formula>I4="SL1"</formula>
    </cfRule>
    <cfRule type="expression" dxfId="219" priority="10384">
      <formula>I4="CC"</formula>
    </cfRule>
    <cfRule type="expression" dxfId="218" priority="10385">
      <formula>I4="ML"</formula>
    </cfRule>
  </conditionalFormatting>
  <conditionalFormatting sqref="AH4:AI8 L4:L11 AH9 I10 AH10:AI11">
    <cfRule type="expression" dxfId="217" priority="10400">
      <formula>I4="OFF"</formula>
    </cfRule>
    <cfRule type="expression" dxfId="216" priority="10399">
      <formula>I4="1/2AL"</formula>
    </cfRule>
  </conditionalFormatting>
  <conditionalFormatting sqref="AH4:AI8 AH9 I10 AH10:AI11 L4:L11">
    <cfRule type="expression" dxfId="215" priority="10398">
      <formula>I4="UP"</formula>
    </cfRule>
  </conditionalFormatting>
  <conditionalFormatting sqref="AH4:AI8 AH9 AH10:AI11 I10">
    <cfRule type="expression" dxfId="214" priority="9355">
      <formula>I4="AL"</formula>
    </cfRule>
  </conditionalFormatting>
  <conditionalFormatting sqref="AH4:AI8 AH9 AH10:AI11">
    <cfRule type="expression" dxfId="213" priority="6609">
      <formula>D1047225="1/2UP"</formula>
    </cfRule>
    <cfRule type="expression" dxfId="212" priority="6607">
      <formula>D1047225="LS"</formula>
    </cfRule>
    <cfRule type="expression" dxfId="211" priority="6608">
      <formula>D1047225="1/2CL"</formula>
    </cfRule>
  </conditionalFormatting>
  <conditionalFormatting sqref="AI9">
    <cfRule type="expression" dxfId="210" priority="163">
      <formula>AI9="CL"</formula>
    </cfRule>
    <cfRule type="expression" dxfId="209" priority="172">
      <formula>XEU1047266="1/2CL"</formula>
    </cfRule>
    <cfRule type="expression" dxfId="208" priority="165">
      <formula>AI9="ML"</formula>
    </cfRule>
    <cfRule type="expression" dxfId="207" priority="164">
      <formula>AI9="CC"</formula>
    </cfRule>
    <cfRule type="expression" dxfId="206" priority="178">
      <formula>AI9="NOT"</formula>
    </cfRule>
    <cfRule type="expression" dxfId="205" priority="177">
      <formula>XEU1047266="1/2UP"</formula>
    </cfRule>
    <cfRule type="expression" dxfId="204" priority="176">
      <formula>XEV1047270="1/2CL"</formula>
    </cfRule>
    <cfRule type="expression" dxfId="203" priority="175">
      <formula>XEV1047270="LS"</formula>
    </cfRule>
    <cfRule type="expression" dxfId="202" priority="174">
      <formula>XEV1047270="1/2UP"</formula>
    </cfRule>
    <cfRule type="expression" dxfId="201" priority="173">
      <formula>AI9="1/2UP"</formula>
    </cfRule>
    <cfRule type="expression" dxfId="200" priority="179">
      <formula>AI9="FP"</formula>
    </cfRule>
    <cfRule type="expression" dxfId="199" priority="171">
      <formula>XEU1047266="LS"</formula>
    </cfRule>
    <cfRule type="expression" dxfId="198" priority="170">
      <formula>AI9="OFF"</formula>
    </cfRule>
    <cfRule type="expression" dxfId="197" priority="169">
      <formula>AI9="AL"</formula>
    </cfRule>
    <cfRule type="expression" dxfId="196" priority="168">
      <formula>AI9="1/2AL"</formula>
    </cfRule>
    <cfRule type="expression" dxfId="195" priority="167">
      <formula>AI9="UP"</formula>
    </cfRule>
    <cfRule type="expression" dxfId="194" priority="166">
      <formula>AI9="SL1"</formula>
    </cfRule>
  </conditionalFormatting>
  <conditionalFormatting sqref="AJ4:AK9">
    <cfRule type="expression" dxfId="193" priority="252">
      <formula>F1047267="1/2UP"</formula>
    </cfRule>
    <cfRule type="expression" dxfId="192" priority="249">
      <formula>AJ4="AL"</formula>
    </cfRule>
    <cfRule type="expression" dxfId="191" priority="251">
      <formula>AJ4="1/2UP"</formula>
    </cfRule>
  </conditionalFormatting>
  <conditionalFormatting sqref="AJ4:AK11">
    <cfRule type="expression" dxfId="190" priority="181">
      <formula>F1047267="1/2CL"</formula>
    </cfRule>
    <cfRule type="expression" dxfId="189" priority="182">
      <formula>AJ4="NOT"</formula>
    </cfRule>
    <cfRule type="expression" dxfId="188" priority="183">
      <formula>AJ4="FP"</formula>
    </cfRule>
    <cfRule type="expression" dxfId="187" priority="184">
      <formula>AJ4="CL"</formula>
    </cfRule>
    <cfRule type="expression" dxfId="186" priority="185">
      <formula>AJ4="CC"</formula>
    </cfRule>
    <cfRule type="expression" dxfId="185" priority="186">
      <formula>AJ4="ML"</formula>
    </cfRule>
    <cfRule type="expression" dxfId="184" priority="187">
      <formula>AJ4="SL1"</formula>
    </cfRule>
    <cfRule type="expression" dxfId="183" priority="180">
      <formula>F1047267="LS"</formula>
    </cfRule>
  </conditionalFormatting>
  <conditionalFormatting sqref="AJ10:AK11">
    <cfRule type="expression" dxfId="182" priority="189">
      <formula>AJ10="1/2AL"</formula>
    </cfRule>
    <cfRule type="expression" dxfId="181" priority="190">
      <formula>AJ10="AL"</formula>
    </cfRule>
    <cfRule type="expression" dxfId="180" priority="191">
      <formula>AJ10="OFF"</formula>
    </cfRule>
    <cfRule type="expression" dxfId="179" priority="192">
      <formula>AJ10="1/2UP"</formula>
    </cfRule>
    <cfRule type="expression" dxfId="178" priority="193">
      <formula>F1047273="1/2UP"</formula>
    </cfRule>
    <cfRule type="expression" dxfId="177" priority="188">
      <formula>AJ10="UP"</formula>
    </cfRule>
  </conditionalFormatting>
  <conditionalFormatting sqref="AJ4:AM9">
    <cfRule type="expression" dxfId="176" priority="248">
      <formula>AJ4="1/2AL"</formula>
    </cfRule>
    <cfRule type="expression" dxfId="175" priority="250">
      <formula>AJ4="OFF"</formula>
    </cfRule>
    <cfRule type="expression" dxfId="174" priority="247">
      <formula>AJ4="UP"</formula>
    </cfRule>
  </conditionalFormatting>
  <conditionalFormatting sqref="AL4:AM4">
    <cfRule type="expression" dxfId="173" priority="437">
      <formula>H1047274="LS"</formula>
    </cfRule>
    <cfRule type="expression" dxfId="172" priority="438">
      <formula>H1047274="1/2CL"</formula>
    </cfRule>
    <cfRule type="expression" dxfId="171" priority="439">
      <formula>H1047274="1/2UP"</formula>
    </cfRule>
  </conditionalFormatting>
  <conditionalFormatting sqref="AL5:AM5">
    <cfRule type="expression" dxfId="170" priority="403">
      <formula>H1047275="1/2CL"</formula>
    </cfRule>
    <cfRule type="expression" dxfId="169" priority="404">
      <formula>H1047275="1/2UP"</formula>
    </cfRule>
    <cfRule type="expression" dxfId="168" priority="402">
      <formula>H1047275="LS"</formula>
    </cfRule>
    <cfRule type="expression" dxfId="167" priority="406">
      <formula>AL5="ML"</formula>
    </cfRule>
    <cfRule type="expression" dxfId="166" priority="409">
      <formula>AL5="CL"</formula>
    </cfRule>
    <cfRule type="expression" dxfId="165" priority="413">
      <formula>AL5="FP"</formula>
    </cfRule>
    <cfRule type="expression" dxfId="164" priority="408">
      <formula>AL5="1/2UP"</formula>
    </cfRule>
    <cfRule type="expression" dxfId="163" priority="401">
      <formula>AL5="NOT"</formula>
    </cfRule>
    <cfRule type="expression" dxfId="162" priority="396">
      <formula>AL5="AL"</formula>
    </cfRule>
    <cfRule type="expression" dxfId="161" priority="405">
      <formula>AL5="CC"</formula>
    </cfRule>
    <cfRule type="expression" dxfId="160" priority="407">
      <formula>AL5="SL1"</formula>
    </cfRule>
  </conditionalFormatting>
  <conditionalFormatting sqref="AL6:AM9">
    <cfRule type="expression" dxfId="159" priority="264">
      <formula>H1047276="1/2UP"</formula>
    </cfRule>
    <cfRule type="expression" dxfId="158" priority="263">
      <formula>H1047276="1/2CL"</formula>
    </cfRule>
    <cfRule type="expression" dxfId="157" priority="262">
      <formula>H1047276="LS"</formula>
    </cfRule>
  </conditionalFormatting>
  <conditionalFormatting sqref="AL10:AM10">
    <cfRule type="expression" dxfId="156" priority="233">
      <formula>AL10="1/2UP"</formula>
    </cfRule>
    <cfRule type="expression" dxfId="155" priority="234">
      <formula>AL10="CL"</formula>
    </cfRule>
    <cfRule type="expression" dxfId="154" priority="238">
      <formula>AL10="FP"</formula>
    </cfRule>
    <cfRule type="expression" dxfId="153" priority="232">
      <formula>AL10="SL1"</formula>
    </cfRule>
    <cfRule type="expression" dxfId="152" priority="226">
      <formula>AL10="NOT"</formula>
    </cfRule>
    <cfRule type="expression" dxfId="151" priority="230">
      <formula>AL10="CC"</formula>
    </cfRule>
    <cfRule type="expression" dxfId="150" priority="229">
      <formula>H1047280="1/2UP"</formula>
    </cfRule>
    <cfRule type="expression" dxfId="149" priority="231">
      <formula>AL10="ML"</formula>
    </cfRule>
    <cfRule type="expression" dxfId="148" priority="228">
      <formula>H1047280="1/2CL"</formula>
    </cfRule>
    <cfRule type="expression" dxfId="147" priority="227">
      <formula>H1047280="LS"</formula>
    </cfRule>
  </conditionalFormatting>
  <conditionalFormatting sqref="AL10:AM11">
    <cfRule type="expression" dxfId="146" priority="218">
      <formula>AL10="UP"</formula>
    </cfRule>
    <cfRule type="expression" dxfId="145" priority="220">
      <formula>AL10="OFF"</formula>
    </cfRule>
    <cfRule type="expression" dxfId="144" priority="221">
      <formula>AL10="AL"</formula>
    </cfRule>
    <cfRule type="expression" dxfId="143" priority="219">
      <formula>AL10="1/2AL"</formula>
    </cfRule>
  </conditionalFormatting>
  <conditionalFormatting sqref="AL11:AM11">
    <cfRule type="expression" dxfId="142" priority="200">
      <formula>H1047281="1/2UP"</formula>
    </cfRule>
    <cfRule type="expression" dxfId="141" priority="198">
      <formula>H1047281="LS"</formula>
    </cfRule>
    <cfRule type="expression" dxfId="140" priority="199">
      <formula>H1047281="1/2CL"</formula>
    </cfRule>
  </conditionalFormatting>
  <conditionalFormatting sqref="AL4:AN4">
    <cfRule type="expression" dxfId="139" priority="431">
      <formula>AL4="AL"</formula>
    </cfRule>
    <cfRule type="expression" dxfId="138" priority="440">
      <formula>AL4="CC"</formula>
    </cfRule>
    <cfRule type="expression" dxfId="137" priority="441">
      <formula>AL4="ML"</formula>
    </cfRule>
    <cfRule type="expression" dxfId="136" priority="442">
      <formula>AL4="SL1"</formula>
    </cfRule>
    <cfRule type="expression" dxfId="135" priority="443">
      <formula>AL4="1/2UP"</formula>
    </cfRule>
    <cfRule type="expression" dxfId="134" priority="444">
      <formula>AL4="CL"</formula>
    </cfRule>
    <cfRule type="expression" dxfId="133" priority="448">
      <formula>AL4="FP"</formula>
    </cfRule>
    <cfRule type="expression" dxfId="132" priority="436">
      <formula>AL4="NOT"</formula>
    </cfRule>
  </conditionalFormatting>
  <conditionalFormatting sqref="AL6:AN9">
    <cfRule type="expression" dxfId="131" priority="265">
      <formula>AL6="CC"</formula>
    </cfRule>
    <cfRule type="expression" dxfId="130" priority="261">
      <formula>AL6="NOT"</formula>
    </cfRule>
    <cfRule type="expression" dxfId="129" priority="266">
      <formula>AL6="ML"</formula>
    </cfRule>
    <cfRule type="expression" dxfId="128" priority="267">
      <formula>AL6="SL1"</formula>
    </cfRule>
    <cfRule type="expression" dxfId="127" priority="268">
      <formula>AL6="1/2UP"</formula>
    </cfRule>
    <cfRule type="expression" dxfId="126" priority="269">
      <formula>AL6="CL"</formula>
    </cfRule>
    <cfRule type="expression" dxfId="125" priority="273">
      <formula>AL6="FP"</formula>
    </cfRule>
    <cfRule type="expression" dxfId="124" priority="256">
      <formula>AL6="AL"</formula>
    </cfRule>
  </conditionalFormatting>
  <conditionalFormatting sqref="AN4">
    <cfRule type="expression" dxfId="123" priority="445">
      <formula>AN4="UP"</formula>
    </cfRule>
    <cfRule type="expression" dxfId="122" priority="446">
      <formula>AN4="1/2AL"</formula>
    </cfRule>
    <cfRule type="expression" dxfId="121" priority="447">
      <formula>AN4="OFF"</formula>
    </cfRule>
  </conditionalFormatting>
  <conditionalFormatting sqref="AN4:AN9">
    <cfRule type="expression" dxfId="120" priority="8">
      <formula>J1047225="1/2UP"</formula>
    </cfRule>
    <cfRule type="expression" dxfId="119" priority="6">
      <formula>J1047225="LS"</formula>
    </cfRule>
    <cfRule type="expression" dxfId="118" priority="7">
      <formula>J1047225="1/2CL"</formula>
    </cfRule>
  </conditionalFormatting>
  <conditionalFormatting sqref="AN5">
    <cfRule type="expression" dxfId="117" priority="14">
      <formula>AN5="1/2UP"</formula>
    </cfRule>
    <cfRule type="expression" dxfId="116" priority="19">
      <formula>AN5="FP"</formula>
    </cfRule>
    <cfRule type="expression" dxfId="115" priority="12">
      <formula>AN5="ML"</formula>
    </cfRule>
    <cfRule type="expression" dxfId="114" priority="15">
      <formula>AN5="CL"</formula>
    </cfRule>
    <cfRule type="expression" dxfId="113" priority="9">
      <formula>AN5="AL"</formula>
    </cfRule>
    <cfRule type="expression" dxfId="112" priority="10">
      <formula>AN5="NOT"</formula>
    </cfRule>
    <cfRule type="expression" dxfId="111" priority="11">
      <formula>AN5="CC"</formula>
    </cfRule>
    <cfRule type="expression" dxfId="110" priority="13">
      <formula>AN5="SL1"</formula>
    </cfRule>
    <cfRule type="expression" dxfId="109" priority="18">
      <formula>AN5="OFF"</formula>
    </cfRule>
    <cfRule type="expression" dxfId="108" priority="17">
      <formula>AN5="1/2AL"</formula>
    </cfRule>
    <cfRule type="expression" dxfId="107" priority="16">
      <formula>AN5="UP"</formula>
    </cfRule>
  </conditionalFormatting>
  <conditionalFormatting sqref="AN6:AN9">
    <cfRule type="expression" dxfId="106" priority="272">
      <formula>AN6="OFF"</formula>
    </cfRule>
    <cfRule type="expression" dxfId="105" priority="271">
      <formula>AN6="1/2AL"</formula>
    </cfRule>
    <cfRule type="expression" dxfId="104" priority="270">
      <formula>AN6="UP"</formula>
    </cfRule>
  </conditionalFormatting>
  <conditionalFormatting sqref="AN10">
    <cfRule type="expression" dxfId="103" priority="146">
      <formula>AN10="CL"</formula>
    </cfRule>
    <cfRule type="expression" dxfId="102" priority="149">
      <formula>AN10="SL1"</formula>
    </cfRule>
    <cfRule type="expression" dxfId="101" priority="156">
      <formula>AN10="1/2UP"</formula>
    </cfRule>
    <cfRule type="expression" dxfId="100" priority="160">
      <formula>XEZ1047267="1/2UP"</formula>
    </cfRule>
    <cfRule type="expression" dxfId="99" priority="157">
      <formula>XFA1047271="1/2UP"</formula>
    </cfRule>
    <cfRule type="expression" dxfId="98" priority="159">
      <formula>XFA1047271="1/2CL"</formula>
    </cfRule>
    <cfRule type="expression" dxfId="97" priority="155">
      <formula>XEZ1047267="1/2CL"</formula>
    </cfRule>
    <cfRule type="expression" dxfId="96" priority="154">
      <formula>XEZ1047267="LS"</formula>
    </cfRule>
    <cfRule type="expression" dxfId="95" priority="153">
      <formula>AN10="OFF"</formula>
    </cfRule>
    <cfRule type="expression" dxfId="94" priority="152">
      <formula>AN10="AL"</formula>
    </cfRule>
    <cfRule type="expression" dxfId="93" priority="151">
      <formula>AN10="1/2AL"</formula>
    </cfRule>
    <cfRule type="expression" dxfId="92" priority="150">
      <formula>AN10="UP"</formula>
    </cfRule>
    <cfRule type="expression" dxfId="91" priority="158">
      <formula>XFA1047271="LS"</formula>
    </cfRule>
    <cfRule type="expression" dxfId="90" priority="148">
      <formula>AN10="ML"</formula>
    </cfRule>
    <cfRule type="expression" dxfId="89" priority="147">
      <formula>AN10="CC"</formula>
    </cfRule>
    <cfRule type="expression" dxfId="88" priority="162">
      <formula>AN10="FP"</formula>
    </cfRule>
    <cfRule type="expression" dxfId="87" priority="161">
      <formula>AN10="NOT"</formula>
    </cfRule>
  </conditionalFormatting>
  <conditionalFormatting sqref="AN11">
    <cfRule type="expression" dxfId="86" priority="196">
      <formula>J1047232="1/2UP"</formula>
    </cfRule>
    <cfRule type="expression" dxfId="85" priority="197">
      <formula>AN11="AL"</formula>
    </cfRule>
    <cfRule type="expression" dxfId="84" priority="194">
      <formula>J1047232="LS"</formula>
    </cfRule>
    <cfRule type="expression" dxfId="83" priority="201">
      <formula>AN11="UP"</formula>
    </cfRule>
    <cfRule type="expression" dxfId="82" priority="202">
      <formula>AN11="1/2AL"</formula>
    </cfRule>
    <cfRule type="expression" dxfId="81" priority="195">
      <formula>J1047232="1/2CL"</formula>
    </cfRule>
    <cfRule type="expression" dxfId="80" priority="203">
      <formula>AN11="OFF"</formula>
    </cfRule>
  </conditionalFormatting>
  <dataValidations disablePrompts="1" count="1">
    <dataValidation type="list" allowBlank="1" showInputMessage="1" showErrorMessage="1" sqref="T15:T16" xr:uid="{00000000-0002-0000-0200-000000000000}">
      <formula1>#REF!</formula1>
    </dataValidation>
  </dataValidations>
  <pageMargins left="0.25" right="0" top="0.5" bottom="0.5" header="0.3" footer="0.2"/>
  <pageSetup paperSize="9" scale="3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2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O14" sqref="O14"/>
    </sheetView>
  </sheetViews>
  <sheetFormatPr baseColWidth="10" defaultColWidth="13.5" defaultRowHeight="14" outlineLevelCol="1"/>
  <cols>
    <col min="1" max="1" width="6.5" style="51" customWidth="1"/>
    <col min="2" max="2" width="11.5" style="51" hidden="1" customWidth="1"/>
    <col min="3" max="3" width="33.1640625" style="53" bestFit="1" customWidth="1"/>
    <col min="4" max="4" width="18.5" style="54" customWidth="1"/>
    <col min="5" max="5" width="17.33203125" style="55" hidden="1" customWidth="1"/>
    <col min="6" max="6" width="13.6640625" style="55" customWidth="1"/>
    <col min="7" max="29" width="5.33203125" style="56" customWidth="1"/>
    <col min="30" max="33" width="6.5" style="56" customWidth="1"/>
    <col min="34" max="35" width="5.33203125" style="56" hidden="1" customWidth="1"/>
    <col min="36" max="36" width="2.6640625" style="56" hidden="1" customWidth="1"/>
    <col min="37" max="37" width="11.33203125" style="57" customWidth="1"/>
    <col min="38" max="38" width="8.6640625" style="55" hidden="1" customWidth="1"/>
    <col min="39" max="39" width="16.5" style="55" hidden="1" customWidth="1"/>
    <col min="40" max="42" width="11.6640625" style="55" hidden="1" customWidth="1" outlineLevel="1"/>
    <col min="43" max="43" width="17.6640625" style="55" hidden="1" customWidth="1" outlineLevel="1"/>
    <col min="44" max="44" width="11.6640625" style="55" hidden="1" customWidth="1" outlineLevel="1"/>
    <col min="45" max="45" width="14.83203125" style="55" hidden="1" customWidth="1" outlineLevel="1"/>
    <col min="46" max="46" width="15.5" style="55" customWidth="1" collapsed="1"/>
    <col min="47" max="47" width="18.6640625" style="58" customWidth="1"/>
    <col min="48" max="48" width="10.1640625" style="55" hidden="1" customWidth="1"/>
    <col min="49" max="49" width="28.6640625" style="55" hidden="1" customWidth="1"/>
    <col min="50" max="50" width="0" style="55" hidden="1"/>
    <col min="51" max="51" width="13.5" style="55" customWidth="1"/>
    <col min="52" max="16384" width="13.5" style="55"/>
  </cols>
  <sheetData>
    <row r="1" spans="1:51" s="51" customFormat="1" ht="21.75" customHeight="1">
      <c r="A1" s="525" t="s">
        <v>141</v>
      </c>
      <c r="B1" s="531" t="s">
        <v>7</v>
      </c>
      <c r="C1" s="530" t="s">
        <v>142</v>
      </c>
      <c r="D1" s="531" t="s">
        <v>143</v>
      </c>
      <c r="E1" s="531" t="s">
        <v>193</v>
      </c>
      <c r="F1" s="531" t="s">
        <v>144</v>
      </c>
      <c r="G1" s="528">
        <v>45444</v>
      </c>
      <c r="H1" s="529"/>
      <c r="I1" s="524">
        <v>45689</v>
      </c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7"/>
      <c r="AH1" s="186"/>
      <c r="AI1" s="186"/>
      <c r="AJ1" s="187"/>
      <c r="AK1" s="523" t="s">
        <v>194</v>
      </c>
      <c r="AL1" s="523" t="s">
        <v>195</v>
      </c>
      <c r="AM1" s="523" t="s">
        <v>151</v>
      </c>
      <c r="AN1" s="523" t="s">
        <v>196</v>
      </c>
      <c r="AO1" s="523" t="s">
        <v>197</v>
      </c>
      <c r="AP1" s="523" t="s">
        <v>198</v>
      </c>
      <c r="AQ1" s="523" t="s">
        <v>199</v>
      </c>
      <c r="AR1" s="523" t="s">
        <v>200</v>
      </c>
      <c r="AS1" s="523" t="s">
        <v>201</v>
      </c>
      <c r="AT1" s="523" t="s">
        <v>202</v>
      </c>
      <c r="AU1" s="532" t="s">
        <v>203</v>
      </c>
    </row>
    <row r="2" spans="1:51" s="52" customFormat="1" ht="33.75" customHeight="1">
      <c r="A2" s="526"/>
      <c r="B2" s="509"/>
      <c r="C2" s="503"/>
      <c r="D2" s="503"/>
      <c r="E2" s="503"/>
      <c r="F2" s="503"/>
      <c r="G2" s="116">
        <v>45411</v>
      </c>
      <c r="H2" s="116">
        <v>45412</v>
      </c>
      <c r="I2" s="215">
        <v>45566</v>
      </c>
      <c r="J2" s="215">
        <v>45567</v>
      </c>
      <c r="K2" s="215">
        <v>45568</v>
      </c>
      <c r="L2" s="215">
        <v>45569</v>
      </c>
      <c r="M2" s="215">
        <v>45570</v>
      </c>
      <c r="N2" s="215">
        <v>45571</v>
      </c>
      <c r="O2" s="215">
        <v>45572</v>
      </c>
      <c r="P2" s="215">
        <v>45573</v>
      </c>
      <c r="Q2" s="215">
        <v>45574</v>
      </c>
      <c r="R2" s="215">
        <v>45575</v>
      </c>
      <c r="S2" s="215">
        <v>45576</v>
      </c>
      <c r="T2" s="215">
        <v>45577</v>
      </c>
      <c r="U2" s="215">
        <v>45578</v>
      </c>
      <c r="V2" s="215">
        <v>45579</v>
      </c>
      <c r="W2" s="215">
        <v>45580</v>
      </c>
      <c r="X2" s="215">
        <v>45581</v>
      </c>
      <c r="Y2" s="215">
        <v>45582</v>
      </c>
      <c r="Z2" s="215">
        <v>45583</v>
      </c>
      <c r="AA2" s="215">
        <v>45584</v>
      </c>
      <c r="AB2" s="215">
        <v>45585</v>
      </c>
      <c r="AC2" s="215">
        <v>45586</v>
      </c>
      <c r="AD2" s="215">
        <v>45587</v>
      </c>
      <c r="AE2" s="215">
        <v>45588</v>
      </c>
      <c r="AF2" s="215">
        <v>45589</v>
      </c>
      <c r="AG2" s="215">
        <v>45590</v>
      </c>
      <c r="AH2" s="215">
        <f>1+AG2</f>
        <v>45591</v>
      </c>
      <c r="AI2" s="215">
        <f>1+AH2</f>
        <v>45592</v>
      </c>
      <c r="AJ2" s="116"/>
      <c r="AK2" s="503"/>
      <c r="AL2" s="509"/>
      <c r="AM2" s="503"/>
      <c r="AN2" s="509"/>
      <c r="AO2" s="509"/>
      <c r="AP2" s="509"/>
      <c r="AQ2" s="509"/>
      <c r="AR2" s="509"/>
      <c r="AS2" s="509"/>
      <c r="AT2" s="503"/>
      <c r="AU2" s="533"/>
    </row>
    <row r="3" spans="1:51" s="52" customFormat="1" ht="27" customHeight="1">
      <c r="A3" s="527"/>
      <c r="B3" s="117"/>
      <c r="C3" s="509"/>
      <c r="D3" s="509"/>
      <c r="E3" s="509"/>
      <c r="F3" s="509"/>
      <c r="G3" s="118" t="s">
        <v>204</v>
      </c>
      <c r="H3" s="118" t="s">
        <v>205</v>
      </c>
      <c r="I3" s="118" t="s">
        <v>206</v>
      </c>
      <c r="J3" s="118" t="s">
        <v>207</v>
      </c>
      <c r="K3" s="118" t="s">
        <v>208</v>
      </c>
      <c r="L3" s="118" t="s">
        <v>209</v>
      </c>
      <c r="M3" s="118" t="s">
        <v>210</v>
      </c>
      <c r="N3" s="118" t="s">
        <v>204</v>
      </c>
      <c r="O3" s="118" t="s">
        <v>205</v>
      </c>
      <c r="P3" s="118" t="s">
        <v>206</v>
      </c>
      <c r="Q3" s="118" t="s">
        <v>207</v>
      </c>
      <c r="R3" s="118" t="s">
        <v>208</v>
      </c>
      <c r="S3" s="118" t="s">
        <v>209</v>
      </c>
      <c r="T3" s="118" t="s">
        <v>210</v>
      </c>
      <c r="U3" s="118" t="s">
        <v>204</v>
      </c>
      <c r="V3" s="118" t="s">
        <v>205</v>
      </c>
      <c r="W3" s="118" t="s">
        <v>206</v>
      </c>
      <c r="X3" s="118" t="s">
        <v>207</v>
      </c>
      <c r="Y3" s="118" t="s">
        <v>208</v>
      </c>
      <c r="Z3" s="118" t="s">
        <v>209</v>
      </c>
      <c r="AA3" s="118" t="s">
        <v>210</v>
      </c>
      <c r="AB3" s="118" t="s">
        <v>204</v>
      </c>
      <c r="AC3" s="118" t="s">
        <v>205</v>
      </c>
      <c r="AD3" s="118" t="s">
        <v>206</v>
      </c>
      <c r="AE3" s="118" t="s">
        <v>207</v>
      </c>
      <c r="AF3" s="118" t="s">
        <v>208</v>
      </c>
      <c r="AG3" s="118" t="s">
        <v>209</v>
      </c>
      <c r="AH3" s="118" t="s">
        <v>205</v>
      </c>
      <c r="AI3" s="118" t="s">
        <v>205</v>
      </c>
      <c r="AJ3" s="118" t="s">
        <v>210</v>
      </c>
      <c r="AK3" s="509"/>
      <c r="AL3" s="115"/>
      <c r="AM3" s="509"/>
      <c r="AN3" s="119"/>
      <c r="AO3" s="119"/>
      <c r="AP3" s="115"/>
      <c r="AQ3" s="115"/>
      <c r="AR3" s="115"/>
      <c r="AS3" s="115"/>
      <c r="AT3" s="509"/>
      <c r="AU3" s="534"/>
    </row>
    <row r="4" spans="1:51" s="50" customFormat="1" ht="23.25" customHeight="1">
      <c r="A4" s="120">
        <v>1</v>
      </c>
      <c r="B4" s="106"/>
      <c r="C4" s="320" t="s">
        <v>96</v>
      </c>
      <c r="D4" s="372" t="s">
        <v>133</v>
      </c>
      <c r="E4" s="225"/>
      <c r="F4" s="225">
        <v>45740</v>
      </c>
      <c r="G4" s="233" t="s">
        <v>211</v>
      </c>
      <c r="H4" s="233" t="s">
        <v>94</v>
      </c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1"/>
      <c r="AD4" s="403"/>
      <c r="AE4" s="403"/>
      <c r="AF4" s="220" t="s">
        <v>139</v>
      </c>
      <c r="AG4" s="220" t="s">
        <v>139</v>
      </c>
      <c r="AH4" s="132"/>
      <c r="AI4" s="132"/>
      <c r="AJ4" s="125"/>
      <c r="AK4" s="112">
        <f t="shared" ref="AK4:AK11" si="0">COUNTIF(G4:AJ4,"OFF")</f>
        <v>0</v>
      </c>
      <c r="AL4" s="121">
        <f t="shared" ref="AL4:AL11" si="1">COUNTA(G4:AJ4)</f>
        <v>4</v>
      </c>
      <c r="AM4" s="112">
        <f>COUNTIF(G4:AJ4,#REF!)+(COUNTIF(G4:AJ4,#REF!)/2)</f>
        <v>0</v>
      </c>
      <c r="AN4" s="121">
        <f>COUNTIF(G4:AJ4,#REF!)+(COUNTIF(G4:AJ4,#REF!)/2)</f>
        <v>0</v>
      </c>
      <c r="AO4" s="121">
        <f>COUNTIF(G4:AJ4,#REF!)+(COUNTIF(G4:AJ4,#REF!)/2)+COUNTIF(G4:AJ4,#REF!)</f>
        <v>0</v>
      </c>
      <c r="AP4" s="121">
        <f>COUNTIF(G4:AJ4,#REF!)</f>
        <v>0</v>
      </c>
      <c r="AQ4" s="121">
        <f>COUNTIF(G4:AJ4,#REF!)+(COUNTIF(G4:AJ4,#REF!)/2)</f>
        <v>0</v>
      </c>
      <c r="AR4" s="121">
        <f>COUNTIF(G4:AJ4,#REF!)+(COUNTIF(G4:AJ4,#REF!)/2)</f>
        <v>0</v>
      </c>
      <c r="AS4" s="121">
        <f>COUNTIF(G4:AJ4,#REF!)+(COUNTIF(G4:AJ4,#REF!)/2)</f>
        <v>0</v>
      </c>
      <c r="AT4" s="112">
        <f t="shared" ref="AT4:AT11" si="2">COUNTIF(G4:AG4,"X")</f>
        <v>2</v>
      </c>
      <c r="AU4" s="122">
        <f t="shared" ref="AU4:AU11" si="3">IF(OR(AT4=26,AT4=26),26,AT4)</f>
        <v>2</v>
      </c>
    </row>
    <row r="5" spans="1:51" s="50" customFormat="1" ht="23.25" customHeight="1">
      <c r="A5" s="190">
        <v>2</v>
      </c>
      <c r="B5" s="191"/>
      <c r="C5" s="320" t="s">
        <v>119</v>
      </c>
      <c r="D5" s="372" t="s">
        <v>134</v>
      </c>
      <c r="E5" s="309"/>
      <c r="F5" s="226">
        <v>45738</v>
      </c>
      <c r="G5" s="234" t="s">
        <v>211</v>
      </c>
      <c r="H5" s="234" t="s">
        <v>94</v>
      </c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  <c r="AA5" s="401"/>
      <c r="AB5" s="401"/>
      <c r="AC5" s="401"/>
      <c r="AD5" s="220" t="s">
        <v>139</v>
      </c>
      <c r="AE5" s="220" t="s">
        <v>139</v>
      </c>
      <c r="AF5" s="220" t="s">
        <v>139</v>
      </c>
      <c r="AG5" s="220" t="s">
        <v>139</v>
      </c>
      <c r="AH5" s="193"/>
      <c r="AI5" s="193"/>
      <c r="AJ5" s="192"/>
      <c r="AK5" s="112">
        <f t="shared" si="0"/>
        <v>0</v>
      </c>
      <c r="AL5" s="121">
        <f t="shared" si="1"/>
        <v>6</v>
      </c>
      <c r="AM5" s="112">
        <f>COUNTIF(G5:AJ5,#REF!)+(COUNTIF(G5:AJ5,#REF!)/2)</f>
        <v>0</v>
      </c>
      <c r="AN5" s="121">
        <f>COUNTIF(G5:AJ5,#REF!)+(COUNTIF(G5:AJ5,#REF!)/2)</f>
        <v>0</v>
      </c>
      <c r="AO5" s="121">
        <f>COUNTIF(G5:AJ5,#REF!)+(COUNTIF(G5:AJ5,#REF!)/2)+COUNTIF(G5:AJ5,#REF!)</f>
        <v>0</v>
      </c>
      <c r="AP5" s="121">
        <f>COUNTIF(G5:AJ5,#REF!)</f>
        <v>0</v>
      </c>
      <c r="AQ5" s="121">
        <f>COUNTIF(G5:AJ5,#REF!)+(COUNTIF(G5:AJ5,#REF!)/2)</f>
        <v>0</v>
      </c>
      <c r="AR5" s="121">
        <f>COUNTIF(G5:AJ5,#REF!)+(COUNTIF(G5:AJ5,#REF!)/2)</f>
        <v>0</v>
      </c>
      <c r="AS5" s="121">
        <f>COUNTIF(G5:AJ5,#REF!)+(COUNTIF(G5:AJ5,#REF!)/2)</f>
        <v>0</v>
      </c>
      <c r="AT5" s="112">
        <f t="shared" si="2"/>
        <v>4</v>
      </c>
      <c r="AU5" s="122">
        <f t="shared" si="3"/>
        <v>4</v>
      </c>
      <c r="AX5" s="50" t="e">
        <f>VLOOKUP(C5,[20]Timetable_T03!$B$9:$AS$19,44,0)</f>
        <v>#N/A</v>
      </c>
    </row>
    <row r="6" spans="1:51" s="50" customFormat="1" ht="23.25" customHeight="1">
      <c r="A6" s="120">
        <f t="shared" ref="A6:A11" si="4">ROW()-21</f>
        <v>-15</v>
      </c>
      <c r="B6" s="180"/>
      <c r="C6" s="177"/>
      <c r="D6" s="107"/>
      <c r="E6" s="227"/>
      <c r="F6" s="227"/>
      <c r="G6" s="232"/>
      <c r="H6" s="232"/>
      <c r="I6" s="295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7"/>
      <c r="AD6" s="297"/>
      <c r="AE6" s="297"/>
      <c r="AF6" s="297"/>
      <c r="AG6" s="297"/>
      <c r="AH6" s="182"/>
      <c r="AI6" s="182"/>
      <c r="AJ6" s="181"/>
      <c r="AK6" s="112">
        <f t="shared" si="0"/>
        <v>0</v>
      </c>
      <c r="AL6" s="121">
        <f t="shared" si="1"/>
        <v>0</v>
      </c>
      <c r="AM6" s="112">
        <f>COUNTIF(G6:AJ6,#REF!)+(COUNTIF(G6:AJ6,#REF!)/2)</f>
        <v>0</v>
      </c>
      <c r="AN6" s="121">
        <f>COUNTIF(G6:AJ6,#REF!)+(COUNTIF(G6:AJ6,#REF!)/2)</f>
        <v>0</v>
      </c>
      <c r="AO6" s="121">
        <f>COUNTIF(G6:AJ6,#REF!)+(COUNTIF(G6:AJ6,#REF!)/2)+COUNTIF(G6:AJ6,#REF!)</f>
        <v>0</v>
      </c>
      <c r="AP6" s="121">
        <f>COUNTIF(G6:AJ6,#REF!)</f>
        <v>0</v>
      </c>
      <c r="AQ6" s="121">
        <f>COUNTIF(G6:AJ6,#REF!)+(COUNTIF(G6:AJ6,#REF!)/2)</f>
        <v>0</v>
      </c>
      <c r="AR6" s="121">
        <f>COUNTIF(G6:AJ6,#REF!)+(COUNTIF(G6:AJ6,#REF!)/2)</f>
        <v>0</v>
      </c>
      <c r="AS6" s="121">
        <f>COUNTIF(G6:AJ6,#REF!)+(COUNTIF(G6:AJ6,#REF!)/2)</f>
        <v>0</v>
      </c>
      <c r="AT6" s="112">
        <f t="shared" si="2"/>
        <v>0</v>
      </c>
      <c r="AU6" s="122">
        <f t="shared" si="3"/>
        <v>0</v>
      </c>
      <c r="AX6" s="50" t="e">
        <f>VLOOKUP(C6,[20]Timetable_T03!$B$9:$AS$19,44,0)</f>
        <v>#N/A</v>
      </c>
    </row>
    <row r="7" spans="1:51" s="50" customFormat="1" ht="23.25" customHeight="1">
      <c r="A7" s="120">
        <f t="shared" si="4"/>
        <v>-14</v>
      </c>
      <c r="B7" s="180"/>
      <c r="C7" s="177"/>
      <c r="D7" s="107"/>
      <c r="E7" s="227"/>
      <c r="F7" s="227"/>
      <c r="G7" s="232"/>
      <c r="H7" s="232"/>
      <c r="I7" s="295"/>
      <c r="J7" s="296"/>
      <c r="K7" s="298"/>
      <c r="L7" s="298"/>
      <c r="M7" s="296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7"/>
      <c r="AD7" s="297"/>
      <c r="AE7" s="297"/>
      <c r="AF7" s="297"/>
      <c r="AG7" s="297"/>
      <c r="AH7" s="182"/>
      <c r="AI7" s="182"/>
      <c r="AJ7" s="181"/>
      <c r="AK7" s="112">
        <f t="shared" si="0"/>
        <v>0</v>
      </c>
      <c r="AL7" s="121">
        <f t="shared" si="1"/>
        <v>0</v>
      </c>
      <c r="AM7" s="112">
        <f>COUNTIF(G7:AJ7,#REF!)+(COUNTIF(G7:AJ7,#REF!)/2)</f>
        <v>0</v>
      </c>
      <c r="AN7" s="121">
        <f>COUNTIF(G7:AJ7,#REF!)+(COUNTIF(G7:AJ7,#REF!)/2)</f>
        <v>0</v>
      </c>
      <c r="AO7" s="121">
        <f>COUNTIF(G7:AJ7,#REF!)+(COUNTIF(G7:AJ7,#REF!)/2)+COUNTIF(G7:AJ7,#REF!)</f>
        <v>0</v>
      </c>
      <c r="AP7" s="121">
        <f>COUNTIF(G7:AJ7,#REF!)</f>
        <v>0</v>
      </c>
      <c r="AQ7" s="121">
        <f>COUNTIF(G7:AJ7,#REF!)+(COUNTIF(G7:AJ7,#REF!)/2)</f>
        <v>0</v>
      </c>
      <c r="AR7" s="121">
        <f>COUNTIF(G7:AJ7,#REF!)+(COUNTIF(G7:AJ7,#REF!)/2)</f>
        <v>0</v>
      </c>
      <c r="AS7" s="121">
        <f>COUNTIF(G7:AJ7,#REF!)+(COUNTIF(G7:AJ7,#REF!)/2)</f>
        <v>0</v>
      </c>
      <c r="AT7" s="112">
        <f t="shared" si="2"/>
        <v>0</v>
      </c>
      <c r="AU7" s="122">
        <f t="shared" si="3"/>
        <v>0</v>
      </c>
    </row>
    <row r="8" spans="1:51" s="50" customFormat="1" ht="23.25" customHeight="1">
      <c r="A8" s="120">
        <f t="shared" si="4"/>
        <v>-13</v>
      </c>
      <c r="B8" s="255"/>
      <c r="C8" s="256"/>
      <c r="D8" s="257"/>
      <c r="E8" s="261"/>
      <c r="F8" s="261"/>
      <c r="G8" s="258"/>
      <c r="H8" s="258"/>
      <c r="I8" s="299"/>
      <c r="J8" s="296"/>
      <c r="K8" s="300"/>
      <c r="L8" s="300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7"/>
      <c r="AD8" s="297"/>
      <c r="AE8" s="297"/>
      <c r="AF8" s="297"/>
      <c r="AG8" s="297"/>
      <c r="AH8" s="259"/>
      <c r="AI8" s="259"/>
      <c r="AJ8" s="260"/>
      <c r="AK8" s="112">
        <f t="shared" si="0"/>
        <v>0</v>
      </c>
      <c r="AL8" s="121">
        <f t="shared" si="1"/>
        <v>0</v>
      </c>
      <c r="AM8" s="112">
        <f>COUNTIF(G8:AJ8,#REF!)+(COUNTIF(G8:AJ8,#REF!)/2)</f>
        <v>0</v>
      </c>
      <c r="AN8" s="121">
        <f>COUNTIF(G8:AJ8,#REF!)+(COUNTIF(G8:AJ8,#REF!)/2)</f>
        <v>0</v>
      </c>
      <c r="AO8" s="121">
        <f>COUNTIF(G8:AJ8,#REF!)+(COUNTIF(G8:AJ8,#REF!)/2)+COUNTIF(G8:AJ8,#REF!)</f>
        <v>0</v>
      </c>
      <c r="AP8" s="121">
        <f>COUNTIF(G8:AJ8,#REF!)</f>
        <v>0</v>
      </c>
      <c r="AQ8" s="121">
        <f>COUNTIF(G8:AJ8,#REF!)+(COUNTIF(G8:AJ8,#REF!)/2)</f>
        <v>0</v>
      </c>
      <c r="AR8" s="121">
        <f>COUNTIF(G8:AJ8,#REF!)+(COUNTIF(G8:AJ8,#REF!)/2)</f>
        <v>0</v>
      </c>
      <c r="AS8" s="121">
        <f>COUNTIF(G8:AJ8,#REF!)+(COUNTIF(G8:AJ8,#REF!)/2)</f>
        <v>0</v>
      </c>
      <c r="AT8" s="112">
        <f t="shared" si="2"/>
        <v>0</v>
      </c>
      <c r="AU8" s="122">
        <f t="shared" si="3"/>
        <v>0</v>
      </c>
    </row>
    <row r="9" spans="1:51" s="50" customFormat="1" ht="23.25" customHeight="1">
      <c r="A9" s="120">
        <f t="shared" si="4"/>
        <v>-12</v>
      </c>
      <c r="B9" s="255"/>
      <c r="C9" s="256"/>
      <c r="D9" s="257"/>
      <c r="E9" s="261"/>
      <c r="F9" s="261"/>
      <c r="G9" s="258"/>
      <c r="H9" s="258"/>
      <c r="I9" s="299"/>
      <c r="J9" s="296"/>
      <c r="K9" s="300"/>
      <c r="L9" s="300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7"/>
      <c r="AD9" s="297"/>
      <c r="AE9" s="297"/>
      <c r="AF9" s="297"/>
      <c r="AG9" s="297"/>
      <c r="AH9" s="259"/>
      <c r="AI9" s="259"/>
      <c r="AJ9" s="260"/>
      <c r="AK9" s="112">
        <f t="shared" si="0"/>
        <v>0</v>
      </c>
      <c r="AL9" s="121">
        <f t="shared" si="1"/>
        <v>0</v>
      </c>
      <c r="AM9" s="112">
        <f>COUNTIF(G9:AJ9,#REF!)+(COUNTIF(G9:AJ9,#REF!)/2)</f>
        <v>0</v>
      </c>
      <c r="AN9" s="121">
        <f>COUNTIF(G9:AJ9,#REF!)+(COUNTIF(G9:AJ9,#REF!)/2)</f>
        <v>0</v>
      </c>
      <c r="AO9" s="121">
        <f>COUNTIF(G9:AJ9,#REF!)+(COUNTIF(G9:AJ9,#REF!)/2)+COUNTIF(G9:AJ9,#REF!)</f>
        <v>0</v>
      </c>
      <c r="AP9" s="121">
        <f>COUNTIF(G9:AJ9,#REF!)</f>
        <v>0</v>
      </c>
      <c r="AQ9" s="121">
        <f>COUNTIF(G9:AJ9,#REF!)+(COUNTIF(G9:AJ9,#REF!)/2)</f>
        <v>0</v>
      </c>
      <c r="AR9" s="121">
        <f>COUNTIF(G9:AJ9,#REF!)+(COUNTIF(G9:AJ9,#REF!)/2)</f>
        <v>0</v>
      </c>
      <c r="AS9" s="121">
        <f>COUNTIF(G9:AJ9,#REF!)+(COUNTIF(G9:AJ9,#REF!)/2)</f>
        <v>0</v>
      </c>
      <c r="AT9" s="112">
        <f t="shared" si="2"/>
        <v>0</v>
      </c>
      <c r="AU9" s="122">
        <f t="shared" si="3"/>
        <v>0</v>
      </c>
    </row>
    <row r="10" spans="1:51" s="50" customFormat="1" ht="24" customHeight="1">
      <c r="A10" s="120">
        <f t="shared" si="4"/>
        <v>-11</v>
      </c>
      <c r="B10" s="106"/>
      <c r="C10" s="177"/>
      <c r="D10" s="107"/>
      <c r="E10" s="225"/>
      <c r="F10" s="225"/>
      <c r="G10" s="232"/>
      <c r="H10" s="232"/>
      <c r="I10" s="295"/>
      <c r="J10" s="296"/>
      <c r="K10" s="298"/>
      <c r="L10" s="298"/>
      <c r="M10" s="296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7"/>
      <c r="AD10" s="297"/>
      <c r="AE10" s="297"/>
      <c r="AF10" s="297"/>
      <c r="AG10" s="297"/>
      <c r="AH10" s="132"/>
      <c r="AI10" s="132"/>
      <c r="AJ10" s="125"/>
      <c r="AK10" s="112">
        <f t="shared" si="0"/>
        <v>0</v>
      </c>
      <c r="AL10" s="121">
        <f t="shared" si="1"/>
        <v>0</v>
      </c>
      <c r="AM10" s="112">
        <f>COUNTIF(G10:AJ10,#REF!)+(COUNTIF(G10:AJ10,#REF!)/2)</f>
        <v>0</v>
      </c>
      <c r="AN10" s="121">
        <f>COUNTIF(G10:AJ10,#REF!)+(COUNTIF(G10:AJ10,#REF!)/2)</f>
        <v>0</v>
      </c>
      <c r="AO10" s="121">
        <f>COUNTIF(G10:AJ10,#REF!)+(COUNTIF(G10:AJ10,#REF!)/2)+COUNTIF(G10:AJ10,#REF!)</f>
        <v>0</v>
      </c>
      <c r="AP10" s="121">
        <f>COUNTIF(G10:AJ10,#REF!)</f>
        <v>0</v>
      </c>
      <c r="AQ10" s="121">
        <f>COUNTIF(G10:AJ10,#REF!)+(COUNTIF(G10:AJ10,#REF!)/2)</f>
        <v>0</v>
      </c>
      <c r="AR10" s="121">
        <f>COUNTIF(G10:AJ10,#REF!)+(COUNTIF(G10:AJ10,#REF!)/2)</f>
        <v>0</v>
      </c>
      <c r="AS10" s="121">
        <f>COUNTIF(G10:AJ10,#REF!)+(COUNTIF(G10:AJ10,#REF!)/2)</f>
        <v>0</v>
      </c>
      <c r="AT10" s="112">
        <f t="shared" si="2"/>
        <v>0</v>
      </c>
      <c r="AU10" s="122">
        <f t="shared" si="3"/>
        <v>0</v>
      </c>
    </row>
    <row r="11" spans="1:51" s="50" customFormat="1" ht="22.5" customHeight="1">
      <c r="A11" s="120">
        <f t="shared" si="4"/>
        <v>-10</v>
      </c>
      <c r="B11" s="106"/>
      <c r="C11" s="177"/>
      <c r="D11" s="107"/>
      <c r="E11" s="225"/>
      <c r="F11" s="225"/>
      <c r="G11" s="108"/>
      <c r="H11" s="108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7"/>
      <c r="AD11" s="297"/>
      <c r="AE11" s="297"/>
      <c r="AF11" s="297"/>
      <c r="AG11" s="297"/>
      <c r="AH11" s="242" t="s">
        <v>139</v>
      </c>
      <c r="AI11" s="108"/>
      <c r="AJ11" s="108"/>
      <c r="AK11" s="112">
        <f t="shared" si="0"/>
        <v>0</v>
      </c>
      <c r="AL11" s="121">
        <f t="shared" si="1"/>
        <v>1</v>
      </c>
      <c r="AM11" s="112">
        <f>COUNTIF(G11:AJ11,#REF!)+(COUNTIF(G11:AJ11,#REF!)/2)</f>
        <v>0</v>
      </c>
      <c r="AN11" s="121">
        <f>COUNTIF(G11:AJ11,#REF!)+(COUNTIF(G11:AJ11,#REF!)/2)</f>
        <v>0</v>
      </c>
      <c r="AO11" s="121">
        <f>COUNTIF(G11:AJ11,#REF!)+(COUNTIF(G11:AJ11,#REF!)/2)+COUNTIF(G11:AJ11,#REF!)</f>
        <v>0</v>
      </c>
      <c r="AP11" s="121">
        <f>COUNTIF(G11:AJ11,#REF!)</f>
        <v>0</v>
      </c>
      <c r="AQ11" s="121">
        <f>COUNTIF(G11:AJ11,#REF!)+(COUNTIF(G11:AJ11,#REF!)/2)</f>
        <v>0</v>
      </c>
      <c r="AR11" s="121">
        <f>COUNTIF(G11:AJ11,#REF!)+(COUNTIF(G11:AJ11,#REF!)/2)</f>
        <v>0</v>
      </c>
      <c r="AS11" s="121">
        <f>COUNTIF(G11:AJ11,#REF!)+(COUNTIF(G11:AJ11,#REF!)/2)</f>
        <v>0</v>
      </c>
      <c r="AT11" s="112">
        <f t="shared" si="2"/>
        <v>0</v>
      </c>
      <c r="AU11" s="122">
        <f t="shared" si="3"/>
        <v>0</v>
      </c>
    </row>
    <row r="12" spans="1:51" ht="32.25" customHeight="1" thickBot="1">
      <c r="A12" s="520" t="s">
        <v>153</v>
      </c>
      <c r="B12" s="521"/>
      <c r="C12" s="521"/>
      <c r="D12" s="521"/>
      <c r="E12" s="522"/>
      <c r="F12" s="136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85">
        <f t="shared" ref="AK12:AU12" si="5">SUM(AK4:AK11)</f>
        <v>0</v>
      </c>
      <c r="AL12" s="185">
        <f t="shared" si="5"/>
        <v>11</v>
      </c>
      <c r="AM12" s="185">
        <f t="shared" si="5"/>
        <v>0</v>
      </c>
      <c r="AN12" s="185">
        <f t="shared" si="5"/>
        <v>0</v>
      </c>
      <c r="AO12" s="185">
        <f t="shared" si="5"/>
        <v>0</v>
      </c>
      <c r="AP12" s="185">
        <f t="shared" si="5"/>
        <v>0</v>
      </c>
      <c r="AQ12" s="185">
        <f t="shared" si="5"/>
        <v>0</v>
      </c>
      <c r="AR12" s="185">
        <f t="shared" si="5"/>
        <v>0</v>
      </c>
      <c r="AS12" s="185">
        <f t="shared" si="5"/>
        <v>0</v>
      </c>
      <c r="AT12" s="185">
        <f t="shared" si="5"/>
        <v>6</v>
      </c>
      <c r="AU12" s="185">
        <f t="shared" si="5"/>
        <v>6</v>
      </c>
      <c r="AV12" s="66">
        <f>SUM(AV11:AV11)</f>
        <v>0</v>
      </c>
    </row>
    <row r="16" spans="1:51" ht="28.5" customHeight="1">
      <c r="C16" s="266" t="s">
        <v>212</v>
      </c>
      <c r="D16" s="263"/>
      <c r="E16" s="263"/>
      <c r="F16" s="263"/>
      <c r="G16" s="264"/>
      <c r="H16" s="263"/>
      <c r="I16" s="377"/>
      <c r="J16" s="263"/>
      <c r="K16" s="263"/>
      <c r="L16" s="60"/>
      <c r="M16" s="60"/>
      <c r="N16" s="65"/>
      <c r="O16" s="65"/>
      <c r="P16" s="65"/>
      <c r="Q16" s="60"/>
      <c r="R16" s="60"/>
      <c r="S16" s="60"/>
      <c r="T16" s="168"/>
      <c r="U16" s="60"/>
      <c r="V16" s="60"/>
      <c r="W16" s="60"/>
      <c r="X16" s="63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230"/>
      <c r="AR16" s="61"/>
      <c r="AU16" s="64"/>
      <c r="AV16" s="64"/>
      <c r="AW16" s="64"/>
      <c r="AX16" s="64"/>
      <c r="AY16" s="39"/>
    </row>
    <row r="17" spans="3:51" ht="21" customHeight="1">
      <c r="C17" s="265" t="s">
        <v>139</v>
      </c>
      <c r="D17" s="267" t="s">
        <v>213</v>
      </c>
      <c r="E17" s="268"/>
      <c r="F17" s="268"/>
      <c r="G17" s="268"/>
      <c r="H17" s="268"/>
      <c r="I17" s="378"/>
      <c r="J17" s="268"/>
      <c r="K17" s="269"/>
      <c r="L17" s="60"/>
      <c r="M17" s="60"/>
      <c r="N17" s="65"/>
      <c r="O17" s="65"/>
      <c r="P17" s="65"/>
      <c r="Q17" s="60"/>
      <c r="R17" s="60"/>
      <c r="S17" s="60"/>
      <c r="T17" s="168"/>
      <c r="U17" s="60"/>
      <c r="V17" s="60"/>
      <c r="W17" s="60"/>
      <c r="X17" s="63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230"/>
      <c r="AR17" s="61"/>
      <c r="AU17" s="64"/>
      <c r="AV17" s="64"/>
      <c r="AW17" s="64"/>
      <c r="AX17" s="64"/>
      <c r="AY17" s="39"/>
    </row>
    <row r="18" spans="3:51" ht="21" customHeight="1">
      <c r="C18" s="265" t="s">
        <v>161</v>
      </c>
      <c r="D18" s="267" t="s">
        <v>214</v>
      </c>
      <c r="E18" s="268"/>
      <c r="F18" s="268"/>
      <c r="G18" s="268"/>
      <c r="H18" s="268"/>
      <c r="I18" s="378"/>
      <c r="J18" s="268"/>
      <c r="K18" s="269"/>
      <c r="L18" s="60"/>
      <c r="M18" s="60"/>
      <c r="N18" s="65"/>
      <c r="O18" s="65"/>
      <c r="P18" s="65"/>
      <c r="Q18" s="60"/>
      <c r="R18" s="60"/>
      <c r="S18" s="60"/>
      <c r="T18" s="60"/>
      <c r="U18" s="60"/>
      <c r="V18" s="60"/>
      <c r="W18" s="60"/>
      <c r="X18" s="63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230"/>
      <c r="AR18" s="61"/>
      <c r="AU18" s="64"/>
      <c r="AV18" s="64"/>
      <c r="AW18" s="64"/>
      <c r="AX18" s="64"/>
      <c r="AY18" s="39"/>
    </row>
    <row r="19" spans="3:51" ht="21" customHeight="1">
      <c r="C19" s="265" t="s">
        <v>160</v>
      </c>
      <c r="D19" s="267" t="s">
        <v>215</v>
      </c>
      <c r="E19" s="268"/>
      <c r="F19" s="268"/>
      <c r="G19" s="268"/>
      <c r="H19" s="268"/>
      <c r="I19" s="378"/>
      <c r="J19" s="268"/>
      <c r="K19" s="269"/>
      <c r="L19" s="60"/>
      <c r="M19" s="60"/>
      <c r="N19" s="65"/>
      <c r="O19" s="65"/>
      <c r="P19" s="65"/>
      <c r="Q19" s="60"/>
      <c r="R19" s="60"/>
      <c r="S19" s="60"/>
      <c r="T19" s="60"/>
      <c r="U19" s="60"/>
      <c r="V19" s="60"/>
      <c r="W19" s="60"/>
      <c r="X19" s="63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231"/>
      <c r="AR19" s="61"/>
      <c r="AU19" s="64"/>
      <c r="AV19" s="64"/>
      <c r="AW19" s="64"/>
      <c r="AX19" s="64"/>
      <c r="AY19" s="39"/>
    </row>
    <row r="20" spans="3:51" ht="21" customHeight="1">
      <c r="C20" s="265" t="s">
        <v>174</v>
      </c>
      <c r="D20" s="267" t="s">
        <v>216</v>
      </c>
      <c r="E20" s="268"/>
      <c r="F20" s="268"/>
      <c r="G20" s="268"/>
      <c r="H20" s="268"/>
      <c r="I20" s="378"/>
      <c r="J20" s="268"/>
      <c r="K20" s="269"/>
      <c r="L20" s="60"/>
      <c r="M20" s="60"/>
      <c r="N20" s="65"/>
      <c r="O20" s="65"/>
      <c r="P20" s="65"/>
      <c r="Q20" s="60"/>
      <c r="R20" s="60"/>
      <c r="S20" s="60"/>
      <c r="T20" s="60"/>
      <c r="U20" s="60"/>
      <c r="V20" s="60"/>
      <c r="W20" s="60"/>
      <c r="X20" s="63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230"/>
      <c r="AR20" s="61"/>
      <c r="AU20" s="64"/>
      <c r="AV20" s="64"/>
      <c r="AW20" s="64"/>
      <c r="AX20" s="64"/>
      <c r="AY20" s="39"/>
    </row>
    <row r="21" spans="3:51" ht="21" customHeight="1">
      <c r="C21" s="265" t="s">
        <v>166</v>
      </c>
      <c r="D21" s="267" t="s">
        <v>217</v>
      </c>
      <c r="E21" s="268"/>
      <c r="F21" s="268"/>
      <c r="G21" s="268"/>
      <c r="H21" s="268"/>
      <c r="I21" s="378"/>
      <c r="J21" s="268"/>
      <c r="K21" s="269"/>
      <c r="L21" s="60"/>
      <c r="M21" s="60"/>
      <c r="N21" s="65"/>
      <c r="O21" s="65"/>
      <c r="P21" s="65"/>
      <c r="Q21" s="60"/>
      <c r="R21" s="60"/>
      <c r="S21" s="60"/>
      <c r="T21" s="60"/>
      <c r="U21" s="60"/>
      <c r="V21" s="60"/>
      <c r="W21" s="60"/>
      <c r="X21" s="63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230"/>
      <c r="AR21" s="61"/>
      <c r="AU21" s="64"/>
      <c r="AV21" s="64"/>
      <c r="AW21" s="64"/>
      <c r="AX21" s="64"/>
      <c r="AY21" s="39"/>
    </row>
    <row r="22" spans="3:51" ht="21" customHeight="1">
      <c r="C22" s="265" t="s">
        <v>169</v>
      </c>
      <c r="D22" s="267" t="s">
        <v>218</v>
      </c>
      <c r="E22" s="268"/>
      <c r="F22" s="268"/>
      <c r="G22" s="268"/>
      <c r="H22" s="268"/>
      <c r="I22" s="378"/>
      <c r="J22" s="268"/>
      <c r="K22" s="269"/>
      <c r="L22" s="60"/>
      <c r="M22" s="60"/>
      <c r="N22" s="65"/>
      <c r="O22" s="65"/>
      <c r="P22" s="65"/>
      <c r="Q22" s="60"/>
      <c r="R22" s="60"/>
      <c r="S22" s="60"/>
      <c r="T22" s="60"/>
      <c r="U22" s="60"/>
      <c r="V22" s="60"/>
      <c r="W22" s="60"/>
      <c r="X22" s="63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230"/>
      <c r="AR22" s="61"/>
      <c r="AU22" s="64"/>
      <c r="AV22" s="64"/>
      <c r="AW22" s="64"/>
      <c r="AX22" s="64"/>
      <c r="AY22" s="39"/>
    </row>
    <row r="23" spans="3:51" ht="21" customHeight="1">
      <c r="C23" s="265" t="s">
        <v>163</v>
      </c>
      <c r="D23" s="267" t="s">
        <v>219</v>
      </c>
      <c r="E23" s="268"/>
      <c r="F23" s="268"/>
      <c r="G23" s="268"/>
      <c r="H23" s="268"/>
      <c r="I23" s="378"/>
      <c r="J23" s="268"/>
      <c r="K23" s="269"/>
      <c r="L23" s="60"/>
      <c r="M23" s="60"/>
      <c r="N23" s="65"/>
      <c r="O23" s="65"/>
      <c r="P23" s="65"/>
      <c r="Q23" s="60"/>
      <c r="R23" s="60"/>
      <c r="S23" s="60"/>
      <c r="T23" s="60"/>
      <c r="U23" s="60"/>
      <c r="V23" s="60"/>
      <c r="W23" s="60"/>
      <c r="X23" s="63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231"/>
      <c r="AR23" s="61"/>
      <c r="AU23" s="64"/>
      <c r="AV23" s="64"/>
      <c r="AW23" s="64"/>
      <c r="AX23" s="64"/>
      <c r="AY23" s="39"/>
    </row>
    <row r="24" spans="3:51" ht="21" customHeight="1">
      <c r="C24" s="265" t="s">
        <v>179</v>
      </c>
      <c r="D24" s="267" t="s">
        <v>220</v>
      </c>
      <c r="E24" s="268"/>
      <c r="F24" s="268"/>
      <c r="G24" s="268"/>
      <c r="H24" s="268"/>
      <c r="I24" s="378"/>
      <c r="J24" s="268"/>
      <c r="K24" s="269"/>
      <c r="L24" s="60"/>
      <c r="M24" s="60"/>
      <c r="N24" s="65"/>
      <c r="O24" s="65"/>
      <c r="P24" s="65"/>
      <c r="Q24" s="60"/>
      <c r="R24" s="60"/>
      <c r="S24" s="60"/>
      <c r="T24" s="60"/>
      <c r="U24" s="60"/>
      <c r="V24" s="60"/>
      <c r="W24" s="60"/>
      <c r="X24" s="63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230"/>
      <c r="AR24" s="61"/>
      <c r="AU24" s="64"/>
      <c r="AV24" s="64"/>
      <c r="AW24" s="64"/>
      <c r="AX24" s="64"/>
      <c r="AY24" s="39"/>
    </row>
    <row r="25" spans="3:51" ht="21" customHeight="1">
      <c r="C25" s="265" t="s">
        <v>167</v>
      </c>
      <c r="D25" s="267" t="s">
        <v>221</v>
      </c>
      <c r="E25" s="268"/>
      <c r="F25" s="268"/>
      <c r="G25" s="268"/>
      <c r="H25" s="268"/>
      <c r="I25" s="378"/>
      <c r="J25" s="268"/>
      <c r="K25" s="269"/>
      <c r="L25" s="60"/>
      <c r="M25" s="60"/>
      <c r="N25" s="65"/>
      <c r="O25" s="65"/>
      <c r="P25" s="65"/>
      <c r="Q25" s="60"/>
      <c r="R25" s="60"/>
      <c r="S25" s="60"/>
      <c r="T25" s="60"/>
      <c r="U25" s="60"/>
      <c r="V25" s="60"/>
      <c r="W25" s="60"/>
      <c r="X25" s="63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230"/>
      <c r="AR25" s="61"/>
      <c r="AU25" s="64"/>
      <c r="AV25" s="64"/>
      <c r="AW25" s="64"/>
      <c r="AX25" s="64"/>
      <c r="AY25" s="39"/>
    </row>
    <row r="26" spans="3:51" ht="21" customHeight="1">
      <c r="C26" s="265" t="s">
        <v>182</v>
      </c>
      <c r="D26" s="267" t="s">
        <v>222</v>
      </c>
      <c r="E26" s="268"/>
      <c r="F26" s="268"/>
      <c r="G26" s="268"/>
      <c r="H26" s="268"/>
      <c r="I26" s="378"/>
      <c r="J26" s="268"/>
      <c r="K26" s="269"/>
      <c r="L26" s="60"/>
      <c r="M26" s="60"/>
      <c r="N26" s="65"/>
      <c r="O26" s="65"/>
      <c r="P26" s="65"/>
      <c r="Q26" s="60"/>
      <c r="R26" s="60"/>
      <c r="S26" s="60"/>
      <c r="T26" s="60"/>
      <c r="U26" s="60"/>
      <c r="V26" s="60"/>
      <c r="W26" s="60"/>
      <c r="X26" s="63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231"/>
      <c r="AR26" s="61"/>
      <c r="AU26" s="64"/>
      <c r="AV26" s="64"/>
      <c r="AW26" s="64"/>
      <c r="AX26" s="64"/>
      <c r="AY26" s="39"/>
    </row>
    <row r="27" spans="3:51" ht="21" customHeight="1">
      <c r="C27" s="265" t="s">
        <v>184</v>
      </c>
      <c r="D27" s="267" t="s">
        <v>223</v>
      </c>
      <c r="E27" s="268"/>
      <c r="F27" s="268"/>
      <c r="G27" s="268"/>
      <c r="H27" s="268"/>
      <c r="I27" s="378"/>
      <c r="J27" s="268"/>
      <c r="K27" s="269"/>
      <c r="L27" s="60"/>
      <c r="M27" s="60"/>
      <c r="N27" s="65"/>
      <c r="O27" s="65"/>
      <c r="P27" s="65"/>
      <c r="Q27" s="60"/>
      <c r="R27" s="60"/>
      <c r="S27" s="60"/>
      <c r="T27" s="60"/>
      <c r="U27" s="60"/>
      <c r="V27" s="60"/>
      <c r="W27" s="60"/>
      <c r="X27" s="63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230"/>
      <c r="AR27" s="61"/>
      <c r="AU27" s="64"/>
      <c r="AV27" s="64"/>
      <c r="AW27" s="64"/>
      <c r="AX27" s="64"/>
      <c r="AY27" s="39"/>
    </row>
    <row r="28" spans="3:51" ht="22.5" customHeight="1">
      <c r="C28" s="265" t="s">
        <v>186</v>
      </c>
      <c r="D28" s="267" t="s">
        <v>224</v>
      </c>
      <c r="E28" s="268"/>
      <c r="F28" s="268"/>
      <c r="G28" s="268"/>
      <c r="H28" s="268"/>
      <c r="I28" s="378"/>
      <c r="J28" s="268"/>
      <c r="K28" s="269"/>
      <c r="L28" s="60"/>
      <c r="M28" s="60"/>
      <c r="N28" s="65"/>
      <c r="O28" s="65"/>
      <c r="P28" s="65"/>
      <c r="Q28" s="60"/>
      <c r="R28" s="60"/>
      <c r="S28" s="60"/>
      <c r="T28" s="60"/>
      <c r="U28" s="60"/>
      <c r="V28" s="60"/>
      <c r="W28" s="60"/>
      <c r="X28" s="63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230"/>
      <c r="AR28" s="61"/>
      <c r="AU28" s="64"/>
      <c r="AV28" s="64"/>
      <c r="AW28" s="64"/>
      <c r="AX28" s="64"/>
      <c r="AY28" s="39"/>
    </row>
    <row r="29" spans="3:51" ht="22.5" customHeight="1">
      <c r="C29" s="265" t="s">
        <v>188</v>
      </c>
      <c r="D29" s="267" t="s">
        <v>225</v>
      </c>
      <c r="E29" s="268"/>
      <c r="F29" s="268"/>
      <c r="G29" s="268"/>
      <c r="H29" s="268"/>
      <c r="I29" s="378"/>
      <c r="J29" s="268"/>
      <c r="K29" s="269"/>
      <c r="L29" s="60"/>
      <c r="M29" s="60"/>
      <c r="N29" s="65"/>
      <c r="O29" s="65"/>
      <c r="P29" s="65"/>
      <c r="Q29" s="60"/>
      <c r="R29" s="60"/>
      <c r="S29" s="60"/>
      <c r="T29" s="60"/>
      <c r="U29" s="60"/>
      <c r="V29" s="60"/>
      <c r="W29" s="60"/>
      <c r="X29" s="63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230"/>
      <c r="AR29" s="61"/>
      <c r="AU29" s="64"/>
      <c r="AV29" s="64"/>
      <c r="AW29" s="64"/>
      <c r="AX29" s="64"/>
      <c r="AY29" s="39"/>
    </row>
    <row r="30" spans="3:51" ht="22.5" customHeight="1">
      <c r="C30" s="265" t="s">
        <v>140</v>
      </c>
      <c r="D30" s="267" t="s">
        <v>226</v>
      </c>
      <c r="E30" s="268"/>
      <c r="F30" s="268"/>
      <c r="G30" s="268"/>
      <c r="H30" s="268"/>
      <c r="I30" s="378"/>
      <c r="J30" s="268"/>
      <c r="K30" s="269"/>
      <c r="L30" s="60"/>
      <c r="M30" s="60"/>
      <c r="N30" s="65"/>
      <c r="O30" s="65"/>
      <c r="P30" s="65"/>
      <c r="Q30" s="60"/>
      <c r="R30" s="60"/>
      <c r="S30" s="60"/>
      <c r="T30" s="60"/>
      <c r="U30" s="60"/>
      <c r="V30" s="60"/>
      <c r="W30" s="60"/>
      <c r="X30" s="63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231"/>
      <c r="AR30" s="61"/>
      <c r="AU30" s="64"/>
      <c r="AV30" s="64"/>
      <c r="AW30" s="64"/>
      <c r="AX30" s="64"/>
      <c r="AY30" s="39"/>
    </row>
    <row r="31" spans="3:51" ht="22.5" customHeight="1">
      <c r="C31" s="265" t="s">
        <v>191</v>
      </c>
      <c r="D31" s="267" t="s">
        <v>227</v>
      </c>
      <c r="E31" s="268"/>
      <c r="F31" s="268"/>
      <c r="G31" s="268"/>
      <c r="H31" s="268"/>
      <c r="I31" s="378"/>
      <c r="J31" s="268"/>
      <c r="K31" s="269"/>
      <c r="L31" s="60"/>
      <c r="M31" s="60"/>
      <c r="N31" s="65"/>
      <c r="O31" s="65"/>
      <c r="P31" s="65"/>
      <c r="Q31" s="60"/>
      <c r="R31" s="60"/>
      <c r="S31" s="60"/>
      <c r="T31" s="60"/>
      <c r="U31" s="60"/>
      <c r="V31" s="60"/>
      <c r="W31" s="60"/>
      <c r="X31" s="63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230"/>
      <c r="AR31" s="61"/>
      <c r="AU31" s="64"/>
      <c r="AV31" s="64"/>
      <c r="AW31" s="64"/>
      <c r="AX31" s="64"/>
      <c r="AY31" s="39"/>
    </row>
    <row r="32" spans="3:51" ht="21" customHeight="1">
      <c r="G32" s="213"/>
      <c r="I32" s="279"/>
      <c r="J32" s="60"/>
      <c r="K32" s="60"/>
      <c r="L32" s="60"/>
      <c r="M32" s="60"/>
      <c r="N32" s="65"/>
      <c r="O32" s="65"/>
      <c r="P32" s="65"/>
      <c r="Q32" s="60"/>
      <c r="R32" s="60"/>
      <c r="S32" s="60"/>
      <c r="T32" s="60"/>
      <c r="U32" s="60"/>
      <c r="V32" s="60"/>
      <c r="W32" s="60"/>
      <c r="X32" s="63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230"/>
      <c r="AR32" s="61"/>
      <c r="AU32" s="64"/>
      <c r="AV32" s="64"/>
      <c r="AW32" s="64"/>
      <c r="AX32" s="64"/>
      <c r="AY32" s="39"/>
    </row>
    <row r="33" spans="3:51" ht="21" customHeight="1">
      <c r="C33" s="154"/>
      <c r="G33" s="213"/>
      <c r="H33" s="152"/>
      <c r="I33" s="379"/>
      <c r="J33" s="60"/>
      <c r="K33" s="60"/>
      <c r="L33" s="60"/>
      <c r="M33" s="60"/>
      <c r="N33" s="65"/>
      <c r="O33" s="65"/>
      <c r="P33" s="65"/>
      <c r="Q33" s="60"/>
      <c r="R33" s="60"/>
      <c r="S33" s="60"/>
      <c r="T33" s="60"/>
      <c r="U33" s="60"/>
      <c r="V33" s="60"/>
      <c r="W33" s="60"/>
      <c r="X33" s="63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230"/>
      <c r="AR33" s="61"/>
      <c r="AU33" s="64"/>
      <c r="AV33" s="64"/>
      <c r="AW33" s="64"/>
      <c r="AX33" s="64"/>
      <c r="AY33" s="39"/>
    </row>
    <row r="34" spans="3:51" ht="18" customHeight="1">
      <c r="G34" s="213"/>
      <c r="H34" s="152"/>
      <c r="I34" s="379"/>
      <c r="J34" s="60"/>
      <c r="K34" s="60"/>
      <c r="L34" s="60"/>
      <c r="M34" s="60"/>
      <c r="N34" s="65"/>
      <c r="O34" s="65"/>
      <c r="P34" s="65"/>
      <c r="Q34" s="60"/>
      <c r="R34" s="60"/>
      <c r="S34" s="60"/>
      <c r="T34" s="60"/>
      <c r="U34" s="60"/>
      <c r="V34" s="60"/>
      <c r="W34" s="60"/>
      <c r="X34" s="63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230"/>
      <c r="AR34" s="61"/>
      <c r="AU34" s="64"/>
      <c r="AV34" s="64"/>
      <c r="AW34" s="64"/>
      <c r="AX34" s="64"/>
      <c r="AY34" s="39"/>
    </row>
    <row r="35" spans="3:51" ht="17.25" customHeight="1">
      <c r="G35" s="213"/>
      <c r="H35" s="152"/>
      <c r="I35" s="379"/>
      <c r="J35" s="60"/>
      <c r="K35" s="60"/>
      <c r="L35" s="60"/>
      <c r="M35" s="60"/>
      <c r="N35" s="65"/>
      <c r="O35" s="65"/>
      <c r="P35" s="65"/>
      <c r="Q35" s="60"/>
      <c r="R35" s="60"/>
      <c r="S35" s="60"/>
      <c r="T35" s="60"/>
      <c r="U35" s="60"/>
      <c r="V35" s="60"/>
      <c r="W35" s="60"/>
      <c r="X35" s="63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230"/>
      <c r="AR35" s="61"/>
      <c r="AU35" s="64"/>
      <c r="AV35" s="64"/>
      <c r="AW35" s="64"/>
      <c r="AX35" s="64"/>
      <c r="AY35" s="39"/>
    </row>
    <row r="36" spans="3:51" ht="38.25" customHeight="1">
      <c r="G36" s="213"/>
      <c r="H36" s="152"/>
      <c r="I36" s="379"/>
      <c r="J36" s="60"/>
      <c r="K36" s="60"/>
      <c r="L36" s="60"/>
      <c r="M36" s="60"/>
      <c r="N36" s="65"/>
      <c r="O36" s="65"/>
      <c r="P36" s="65"/>
      <c r="Q36" s="60"/>
      <c r="R36" s="60"/>
      <c r="S36" s="60"/>
      <c r="T36" s="60"/>
      <c r="U36" s="60"/>
      <c r="V36" s="60"/>
      <c r="W36" s="60"/>
      <c r="X36" s="63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230"/>
      <c r="AR36" s="61"/>
      <c r="AU36" s="64"/>
      <c r="AV36" s="64"/>
      <c r="AW36" s="64"/>
      <c r="AX36" s="64"/>
      <c r="AY36" s="39"/>
    </row>
    <row r="37" spans="3:51" ht="21" customHeight="1">
      <c r="G37" s="213"/>
      <c r="H37" s="152"/>
      <c r="I37" s="379"/>
      <c r="J37" s="60"/>
      <c r="K37" s="60"/>
      <c r="L37" s="60"/>
      <c r="M37" s="60"/>
      <c r="N37" s="65"/>
      <c r="O37" s="65"/>
      <c r="P37" s="65"/>
      <c r="Q37" s="60"/>
      <c r="R37" s="60"/>
      <c r="S37" s="60"/>
      <c r="T37" s="60"/>
      <c r="U37" s="60"/>
      <c r="V37" s="60"/>
      <c r="W37" s="60"/>
      <c r="X37" s="63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231"/>
      <c r="AR37" s="61"/>
      <c r="AU37" s="64"/>
      <c r="AV37" s="64"/>
      <c r="AW37" s="64"/>
      <c r="AX37" s="64"/>
      <c r="AY37" s="39"/>
    </row>
    <row r="38" spans="3:51" ht="21" customHeight="1">
      <c r="G38" s="213"/>
      <c r="H38" s="152"/>
      <c r="I38" s="379"/>
      <c r="J38" s="60"/>
      <c r="K38" s="60"/>
      <c r="L38" s="60"/>
      <c r="M38" s="60"/>
      <c r="N38" s="65"/>
      <c r="O38" s="65"/>
      <c r="P38" s="65"/>
      <c r="Q38" s="60"/>
      <c r="R38" s="60"/>
      <c r="S38" s="60"/>
      <c r="T38" s="60"/>
      <c r="U38" s="60"/>
      <c r="V38" s="60"/>
      <c r="W38" s="60"/>
      <c r="X38" s="63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230"/>
      <c r="AR38" s="61"/>
      <c r="AU38" s="64"/>
      <c r="AV38" s="64"/>
      <c r="AW38" s="64"/>
      <c r="AX38" s="64"/>
      <c r="AY38" s="39"/>
    </row>
    <row r="39" spans="3:51" ht="21" customHeight="1">
      <c r="G39" s="213"/>
      <c r="H39" s="153"/>
      <c r="I39" s="379"/>
      <c r="J39" s="60"/>
      <c r="K39" s="60"/>
      <c r="L39" s="60"/>
      <c r="M39" s="60"/>
      <c r="N39" s="65"/>
      <c r="O39" s="65"/>
      <c r="P39" s="65"/>
      <c r="Q39" s="60"/>
      <c r="R39" s="60"/>
      <c r="S39" s="60"/>
      <c r="T39" s="60"/>
      <c r="U39" s="60"/>
      <c r="V39" s="60"/>
      <c r="W39" s="60"/>
      <c r="X39" s="63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230"/>
      <c r="AR39" s="61"/>
      <c r="AU39" s="64"/>
      <c r="AV39" s="64"/>
      <c r="AW39" s="64"/>
      <c r="AX39" s="64"/>
      <c r="AY39" s="39"/>
    </row>
    <row r="40" spans="3:51" ht="21" customHeight="1">
      <c r="G40" s="213"/>
      <c r="H40" s="144"/>
      <c r="I40" s="379"/>
      <c r="J40" s="60"/>
      <c r="K40" s="60"/>
      <c r="L40" s="60"/>
      <c r="M40" s="60"/>
      <c r="N40" s="65"/>
      <c r="O40" s="65"/>
      <c r="P40" s="65"/>
      <c r="Q40" s="60"/>
      <c r="R40" s="60"/>
      <c r="S40" s="60"/>
      <c r="T40" s="60"/>
      <c r="U40" s="60"/>
      <c r="V40" s="60"/>
      <c r="W40" s="60"/>
      <c r="X40" s="63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230"/>
      <c r="AR40" s="61"/>
      <c r="AU40" s="64"/>
      <c r="AV40" s="64"/>
      <c r="AW40" s="64"/>
      <c r="AX40" s="64"/>
      <c r="AY40" s="39"/>
    </row>
    <row r="41" spans="3:51" ht="21" customHeight="1">
      <c r="G41" s="213"/>
      <c r="H41" s="144"/>
      <c r="I41" s="379"/>
      <c r="J41" s="60"/>
      <c r="K41" s="60"/>
      <c r="L41" s="60"/>
      <c r="M41" s="60"/>
      <c r="N41" s="65"/>
      <c r="O41" s="65"/>
      <c r="P41" s="65"/>
      <c r="Q41" s="60"/>
      <c r="R41" s="60"/>
      <c r="S41" s="60"/>
      <c r="T41" s="60"/>
      <c r="U41" s="60"/>
      <c r="V41" s="60"/>
      <c r="W41" s="60"/>
      <c r="X41" s="63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231"/>
      <c r="AR41" s="61"/>
      <c r="AU41" s="64"/>
      <c r="AV41" s="64"/>
      <c r="AW41" s="64"/>
      <c r="AX41" s="64"/>
      <c r="AY41" s="39"/>
    </row>
    <row r="42" spans="3:51" ht="21" customHeight="1">
      <c r="G42" s="213"/>
      <c r="I42" s="279"/>
      <c r="J42" s="60"/>
      <c r="K42" s="60"/>
      <c r="L42" s="60"/>
      <c r="M42" s="60"/>
      <c r="N42" s="65"/>
      <c r="O42" s="65"/>
      <c r="P42" s="65"/>
      <c r="Q42" s="60"/>
      <c r="R42" s="60"/>
      <c r="S42" s="60"/>
      <c r="T42" s="60"/>
      <c r="U42" s="60"/>
      <c r="V42" s="60"/>
      <c r="W42" s="60"/>
      <c r="X42" s="63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230"/>
      <c r="AR42" s="61"/>
      <c r="AU42" s="64"/>
      <c r="AV42" s="64"/>
      <c r="AW42" s="64"/>
      <c r="AX42" s="64"/>
      <c r="AY42" s="39"/>
    </row>
  </sheetData>
  <autoFilter ref="A3:AU11" xr:uid="{00000000-0009-0000-0000-000003000000}"/>
  <mergeCells count="20">
    <mergeCell ref="AS1:AS2"/>
    <mergeCell ref="AQ1:AQ2"/>
    <mergeCell ref="AM1:AM3"/>
    <mergeCell ref="AU1:AU3"/>
    <mergeCell ref="AN1:AN2"/>
    <mergeCell ref="AT1:AT3"/>
    <mergeCell ref="A12:E12"/>
    <mergeCell ref="AO1:AO2"/>
    <mergeCell ref="AR1:AR2"/>
    <mergeCell ref="I1:AG1"/>
    <mergeCell ref="A1:A3"/>
    <mergeCell ref="G1:H1"/>
    <mergeCell ref="C1:C3"/>
    <mergeCell ref="AP1:AP2"/>
    <mergeCell ref="D1:D3"/>
    <mergeCell ref="F1:F3"/>
    <mergeCell ref="B1:B2"/>
    <mergeCell ref="AK1:AK3"/>
    <mergeCell ref="E1:E3"/>
    <mergeCell ref="AL1:AL2"/>
  </mergeCells>
  <conditionalFormatting sqref="C4:C11">
    <cfRule type="duplicateValues" dxfId="79" priority="1128256"/>
    <cfRule type="duplicateValues" dxfId="78" priority="1128255"/>
    <cfRule type="duplicateValues" dxfId="77" priority="1128254"/>
  </conditionalFormatting>
  <conditionalFormatting sqref="C13:C15 C1:C3 C43:C1048576">
    <cfRule type="duplicateValues" dxfId="76" priority="1327637"/>
  </conditionalFormatting>
  <conditionalFormatting sqref="C16:C42">
    <cfRule type="duplicateValues" dxfId="75" priority="1327641"/>
    <cfRule type="duplicateValues" dxfId="74" priority="1327640"/>
    <cfRule type="duplicateValues" dxfId="73" priority="1327642"/>
    <cfRule type="duplicateValues" dxfId="72" priority="1327647"/>
    <cfRule type="duplicateValues" dxfId="71" priority="1327646"/>
  </conditionalFormatting>
  <conditionalFormatting sqref="C32">
    <cfRule type="duplicateValues" dxfId="70" priority="12"/>
  </conditionalFormatting>
  <conditionalFormatting sqref="C32:C42">
    <cfRule type="duplicateValues" dxfId="69" priority="21"/>
    <cfRule type="duplicateValues" dxfId="68" priority="19"/>
    <cfRule type="duplicateValues" dxfId="67" priority="20"/>
    <cfRule type="duplicateValues" dxfId="66" priority="18"/>
    <cfRule type="duplicateValues" dxfId="65" priority="15"/>
  </conditionalFormatting>
  <conditionalFormatting sqref="C33">
    <cfRule type="duplicateValues" dxfId="64" priority="13"/>
    <cfRule type="duplicateValues" dxfId="63" priority="14"/>
  </conditionalFormatting>
  <conditionalFormatting sqref="D16:D31">
    <cfRule type="expression" dxfId="62" priority="1327657" stopIfTrue="1">
      <formula>AND(COUNTIF(#REF!, D16)+COUNTIF(#REF!, D16)&gt;1,NOT(ISBLANK(D16)))</formula>
    </cfRule>
    <cfRule type="duplicateValues" dxfId="61" priority="1327653" stopIfTrue="1"/>
    <cfRule type="duplicateValues" dxfId="60" priority="1327656" stopIfTrue="1"/>
    <cfRule type="duplicateValues" dxfId="59" priority="1327650"/>
    <cfRule type="duplicateValues" dxfId="58" priority="1327651"/>
    <cfRule type="duplicateValues" dxfId="57" priority="1327652" stopIfTrue="1"/>
    <cfRule type="duplicateValues" dxfId="56" priority="1327655" stopIfTrue="1"/>
    <cfRule type="duplicateValues" dxfId="55" priority="1327654"/>
  </conditionalFormatting>
  <conditionalFormatting sqref="E16">
    <cfRule type="duplicateValues" dxfId="54" priority="3"/>
    <cfRule type="duplicateValues" dxfId="53" priority="2"/>
    <cfRule type="duplicateValues" dxfId="52" priority="1"/>
  </conditionalFormatting>
  <dataValidations count="3">
    <dataValidation type="list" allowBlank="1" showErrorMessage="1" sqref="G11:AB12 AJ4:AJ10 AI11:AJ12 AC12:AH12" xr:uid="{00000000-0002-0000-0300-000000000000}">
      <formula1>#REF!</formula1>
    </dataValidation>
    <dataValidation allowBlank="1" showErrorMessage="1" sqref="C4:D5 G4:AI10 AC11:AH11" xr:uid="{00000000-0002-0000-0300-000001000000}"/>
    <dataValidation type="list" allowBlank="1" showInputMessage="1" showErrorMessage="1" sqref="T16:T17" xr:uid="{00000000-0002-0000-0300-000002000000}">
      <formula1>#REF!</formula1>
    </dataValidation>
  </dataValidations>
  <pageMargins left="0.5" right="0" top="0.48" bottom="0.28000000000000003" header="0.3" footer="0.16"/>
  <pageSetup paperSize="9" scale="50" orientation="landscape"/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8"/>
  <sheetViews>
    <sheetView zoomScaleNormal="100" zoomScaleSheetLayoutView="82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J16" sqref="J16"/>
    </sheetView>
  </sheetViews>
  <sheetFormatPr baseColWidth="10" defaultColWidth="6.5" defaultRowHeight="12" outlineLevelCol="2"/>
  <cols>
    <col min="1" max="1" width="5.1640625" style="1" customWidth="1"/>
    <col min="2" max="2" width="13.83203125" style="1" customWidth="1"/>
    <col min="3" max="3" width="23.83203125" style="1" customWidth="1" outlineLevel="1"/>
    <col min="4" max="4" width="15.5" style="1" customWidth="1" outlineLevel="1"/>
    <col min="5" max="5" width="19.1640625" style="1" customWidth="1"/>
    <col min="6" max="6" width="12.5" style="3" customWidth="1"/>
    <col min="7" max="7" width="10.6640625" style="4" customWidth="1"/>
    <col min="8" max="8" width="8" style="4" customWidth="1"/>
    <col min="9" max="9" width="8" style="3" customWidth="1"/>
    <col min="10" max="10" width="11.33203125" style="3" customWidth="1" outlineLevel="2"/>
    <col min="11" max="11" width="11.5" style="3" customWidth="1" outlineLevel="2"/>
    <col min="12" max="12" width="11.6640625" style="3" customWidth="1"/>
    <col min="13" max="13" width="15" style="3" customWidth="1"/>
    <col min="14" max="14" width="11.33203125" style="5" customWidth="1"/>
    <col min="15" max="15" width="12" style="3" customWidth="1"/>
    <col min="16" max="16" width="13.83203125" style="3" customWidth="1" outlineLevel="1"/>
    <col min="17" max="17" width="12.5" style="3" customWidth="1" outlineLevel="1"/>
    <col min="18" max="18" width="16.1640625" style="3" customWidth="1"/>
    <col min="19" max="19" width="16.33203125" style="3" customWidth="1" outlineLevel="1"/>
    <col min="20" max="20" width="14" style="3" customWidth="1" outlineLevel="1"/>
    <col min="21" max="219" width="9" style="1" customWidth="1"/>
    <col min="220" max="220" width="3.5" style="1" customWidth="1"/>
    <col min="221" max="221" width="19.1640625" style="1" customWidth="1"/>
    <col min="222" max="222" width="10.1640625" style="1" customWidth="1"/>
    <col min="223" max="223" width="10.6640625" style="1" customWidth="1"/>
    <col min="224" max="224" width="8.33203125" style="1" customWidth="1"/>
    <col min="225" max="225" width="8.6640625" style="1" customWidth="1"/>
    <col min="226" max="226" width="6.33203125" style="1" customWidth="1"/>
    <col min="227" max="227" width="7.1640625" style="1" customWidth="1"/>
    <col min="228" max="228" width="5.6640625" style="1" customWidth="1"/>
    <col min="229" max="229" width="5.83203125" style="1" customWidth="1"/>
    <col min="230" max="230" width="5.33203125" style="1" customWidth="1"/>
    <col min="231" max="231" width="6" style="1" customWidth="1"/>
    <col min="232" max="232" width="6.5" style="1" customWidth="1"/>
    <col min="233" max="233" width="6.1640625" style="1" customWidth="1"/>
    <col min="234" max="234" width="6.5" style="1" customWidth="1"/>
    <col min="235" max="16384" width="6.5" style="1"/>
  </cols>
  <sheetData>
    <row r="1" spans="1:21" s="23" customFormat="1" ht="25.5" customHeight="1">
      <c r="A1" s="19"/>
      <c r="B1" s="20"/>
      <c r="C1" s="21"/>
      <c r="D1" s="404"/>
      <c r="E1" s="22" t="s">
        <v>228</v>
      </c>
      <c r="F1" s="537" t="s">
        <v>229</v>
      </c>
      <c r="G1" s="538"/>
      <c r="H1" s="538"/>
      <c r="I1" s="538"/>
      <c r="J1" s="538"/>
      <c r="K1" s="539"/>
      <c r="L1" s="537" t="s">
        <v>230</v>
      </c>
      <c r="M1" s="538"/>
      <c r="N1" s="538"/>
      <c r="O1" s="538"/>
      <c r="P1" s="538"/>
      <c r="Q1" s="539"/>
      <c r="R1" s="535" t="s">
        <v>231</v>
      </c>
      <c r="S1" s="535" t="s">
        <v>232</v>
      </c>
      <c r="T1" s="535" t="s">
        <v>233</v>
      </c>
    </row>
    <row r="2" spans="1:21" s="23" customFormat="1" ht="33" customHeight="1">
      <c r="A2" s="24" t="s">
        <v>234</v>
      </c>
      <c r="B2" s="25" t="s">
        <v>3</v>
      </c>
      <c r="C2" s="26" t="s">
        <v>5</v>
      </c>
      <c r="D2" s="405" t="s">
        <v>144</v>
      </c>
      <c r="E2" s="27" t="s">
        <v>235</v>
      </c>
      <c r="F2" s="28">
        <v>1.5</v>
      </c>
      <c r="G2" s="28">
        <v>2.15</v>
      </c>
      <c r="H2" s="28">
        <v>2</v>
      </c>
      <c r="I2" s="28">
        <v>2.8</v>
      </c>
      <c r="J2" s="28">
        <v>3</v>
      </c>
      <c r="K2" s="28">
        <v>4.0999999999999996</v>
      </c>
      <c r="L2" s="480">
        <v>1.5</v>
      </c>
      <c r="M2" s="480">
        <v>2.15</v>
      </c>
      <c r="N2" s="480">
        <v>2</v>
      </c>
      <c r="O2" s="480">
        <v>2.8</v>
      </c>
      <c r="P2" s="480">
        <v>3</v>
      </c>
      <c r="Q2" s="480">
        <v>4.0999999999999996</v>
      </c>
      <c r="R2" s="536"/>
      <c r="S2" s="536"/>
      <c r="T2" s="536"/>
    </row>
    <row r="3" spans="1:21" s="32" customFormat="1" ht="15.75" customHeight="1">
      <c r="A3" s="29"/>
      <c r="B3" s="30">
        <v>1</v>
      </c>
      <c r="C3" s="253">
        <f t="shared" ref="C3:T3" si="0">B3+1</f>
        <v>2</v>
      </c>
      <c r="D3" s="253">
        <f t="shared" si="0"/>
        <v>3</v>
      </c>
      <c r="E3" s="253">
        <f t="shared" si="0"/>
        <v>4</v>
      </c>
      <c r="F3" s="253">
        <f t="shared" si="0"/>
        <v>5</v>
      </c>
      <c r="G3" s="31">
        <f t="shared" si="0"/>
        <v>6</v>
      </c>
      <c r="H3" s="31">
        <f t="shared" si="0"/>
        <v>7</v>
      </c>
      <c r="I3" s="31">
        <f t="shared" si="0"/>
        <v>8</v>
      </c>
      <c r="J3" s="31">
        <f t="shared" si="0"/>
        <v>9</v>
      </c>
      <c r="K3" s="31">
        <f t="shared" si="0"/>
        <v>10</v>
      </c>
      <c r="L3" s="31">
        <f t="shared" si="0"/>
        <v>11</v>
      </c>
      <c r="M3" s="31">
        <f t="shared" si="0"/>
        <v>12</v>
      </c>
      <c r="N3" s="31">
        <f t="shared" si="0"/>
        <v>13</v>
      </c>
      <c r="O3" s="31">
        <f t="shared" si="0"/>
        <v>14</v>
      </c>
      <c r="P3" s="31">
        <f t="shared" si="0"/>
        <v>15</v>
      </c>
      <c r="Q3" s="31">
        <f t="shared" si="0"/>
        <v>16</v>
      </c>
      <c r="R3" s="31">
        <f t="shared" si="0"/>
        <v>17</v>
      </c>
      <c r="S3" s="31">
        <f t="shared" si="0"/>
        <v>18</v>
      </c>
      <c r="T3" s="31">
        <f t="shared" si="0"/>
        <v>19</v>
      </c>
    </row>
    <row r="4" spans="1:21" s="35" customFormat="1" ht="22.5" customHeight="1">
      <c r="A4" s="33">
        <f t="shared" ref="A4:A11" si="1">ROW()-6</f>
        <v>-2</v>
      </c>
      <c r="B4" s="251" t="s">
        <v>78</v>
      </c>
      <c r="C4" s="289" t="s">
        <v>126</v>
      </c>
      <c r="D4" s="406">
        <v>43466</v>
      </c>
      <c r="E4" s="411">
        <f>VLOOKUP(B4,'Template Payroll'!$B$3:$J$15,9,0)</f>
        <v>47000000</v>
      </c>
      <c r="F4" s="410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45">
        <f t="shared" ref="L4:L11" si="2">ROUND(E4/26/8*$L$2*F4,0)</f>
        <v>0</v>
      </c>
      <c r="M4" s="45">
        <f t="shared" ref="M4:M11" si="3">ROUND(E4/26/8*$M$2*G4,0)</f>
        <v>0</v>
      </c>
      <c r="N4" s="45">
        <f t="shared" ref="N4:N11" si="4">ROUND(E4/26/8*$N$2*H4,0)</f>
        <v>0</v>
      </c>
      <c r="O4" s="45">
        <f t="shared" ref="O4:O11" si="5">ROUND(E4/26/8*$O$2*I4,0)</f>
        <v>0</v>
      </c>
      <c r="P4" s="45">
        <f t="shared" ref="P4:P11" si="6">ROUND(E4/26/8*$P$2*J4,0)</f>
        <v>0</v>
      </c>
      <c r="Q4" s="45">
        <f t="shared" ref="Q4:Q11" si="7">ROUND(E4/26/8*$Q$2*K4,0)</f>
        <v>0</v>
      </c>
      <c r="R4" s="46">
        <f t="shared" ref="R4:R11" si="8">ROUND(SUM(L4:Q4),0)</f>
        <v>0</v>
      </c>
      <c r="S4" s="47">
        <f>ROUND(SUM(F4:K4)*E4/26/8,0)</f>
        <v>0</v>
      </c>
      <c r="T4" s="48">
        <f>ROUND(R4-S4,0)</f>
        <v>0</v>
      </c>
    </row>
    <row r="5" spans="1:21" s="35" customFormat="1" ht="22.5" customHeight="1">
      <c r="A5" s="33">
        <f t="shared" si="1"/>
        <v>-1</v>
      </c>
      <c r="B5" s="251" t="s">
        <v>85</v>
      </c>
      <c r="C5" s="289" t="s">
        <v>127</v>
      </c>
      <c r="D5" s="408">
        <v>43831</v>
      </c>
      <c r="E5" s="252">
        <f>VLOOKUP(B5,'Template Payroll'!$B$3:$J$15,9,0)</f>
        <v>31000000</v>
      </c>
      <c r="F5" s="34">
        <v>0</v>
      </c>
      <c r="G5" s="34">
        <v>6</v>
      </c>
      <c r="H5" s="34">
        <v>0</v>
      </c>
      <c r="I5" s="34">
        <v>0</v>
      </c>
      <c r="J5" s="34">
        <v>6</v>
      </c>
      <c r="K5" s="34">
        <v>2</v>
      </c>
      <c r="L5" s="45">
        <f t="shared" si="2"/>
        <v>0</v>
      </c>
      <c r="M5" s="45">
        <f t="shared" si="3"/>
        <v>1922596</v>
      </c>
      <c r="N5" s="45">
        <f t="shared" si="4"/>
        <v>0</v>
      </c>
      <c r="O5" s="45">
        <f t="shared" si="5"/>
        <v>0</v>
      </c>
      <c r="P5" s="45">
        <f t="shared" si="6"/>
        <v>2682692</v>
      </c>
      <c r="Q5" s="45">
        <f t="shared" si="7"/>
        <v>1222115</v>
      </c>
      <c r="R5" s="46">
        <f t="shared" si="8"/>
        <v>5827403</v>
      </c>
      <c r="S5" s="47">
        <f>ROUND(SUM(F5:K5)*E5/26/8,0)</f>
        <v>2086538</v>
      </c>
      <c r="T5" s="48">
        <f>ROUND(R5-S5,0)</f>
        <v>3740865</v>
      </c>
    </row>
    <row r="6" spans="1:21" s="35" customFormat="1" ht="22.5" customHeight="1">
      <c r="A6" s="33">
        <f t="shared" si="1"/>
        <v>0</v>
      </c>
      <c r="B6" s="251" t="s">
        <v>113</v>
      </c>
      <c r="C6" s="289" t="s">
        <v>128</v>
      </c>
      <c r="D6" s="408">
        <v>44197</v>
      </c>
      <c r="E6" s="252">
        <f>VLOOKUP(B6,'Template Payroll'!$B$3:$J$15,9,0)</f>
        <v>10448000</v>
      </c>
      <c r="F6" s="34">
        <v>0.5</v>
      </c>
      <c r="G6" s="34">
        <v>2.5</v>
      </c>
      <c r="H6" s="34">
        <v>0</v>
      </c>
      <c r="I6" s="34">
        <v>0</v>
      </c>
      <c r="J6" s="34">
        <v>0</v>
      </c>
      <c r="K6" s="34">
        <v>0</v>
      </c>
      <c r="L6" s="45">
        <f t="shared" si="2"/>
        <v>37673</v>
      </c>
      <c r="M6" s="45">
        <f t="shared" si="3"/>
        <v>269990</v>
      </c>
      <c r="N6" s="45">
        <f t="shared" si="4"/>
        <v>0</v>
      </c>
      <c r="O6" s="45">
        <f t="shared" si="5"/>
        <v>0</v>
      </c>
      <c r="P6" s="45">
        <f t="shared" si="6"/>
        <v>0</v>
      </c>
      <c r="Q6" s="45">
        <f t="shared" si="7"/>
        <v>0</v>
      </c>
      <c r="R6" s="46">
        <f t="shared" si="8"/>
        <v>307663</v>
      </c>
      <c r="S6" s="47">
        <f>ROUND(SUM(F6:K6)*E6/26/8,0)</f>
        <v>150692</v>
      </c>
      <c r="T6" s="48">
        <f>ROUND(R6-S6,0)</f>
        <v>156971</v>
      </c>
    </row>
    <row r="7" spans="1:21" s="35" customFormat="1" ht="22.5" customHeight="1">
      <c r="A7" s="33">
        <f t="shared" si="1"/>
        <v>1</v>
      </c>
      <c r="B7" s="251" t="s">
        <v>91</v>
      </c>
      <c r="C7" s="289" t="s">
        <v>129</v>
      </c>
      <c r="D7" s="408">
        <v>44562</v>
      </c>
      <c r="E7" s="252">
        <f>VLOOKUP(B7,'Template Payroll'!$B$3:$J$15,9,0)</f>
        <v>8000000</v>
      </c>
      <c r="F7" s="34">
        <v>0</v>
      </c>
      <c r="G7" s="34">
        <v>0</v>
      </c>
      <c r="H7" s="34">
        <v>0</v>
      </c>
      <c r="I7" s="34">
        <v>0</v>
      </c>
      <c r="J7" s="34">
        <v>7</v>
      </c>
      <c r="K7" s="34">
        <v>1</v>
      </c>
      <c r="L7" s="45">
        <f t="shared" si="2"/>
        <v>0</v>
      </c>
      <c r="M7" s="45">
        <f t="shared" si="3"/>
        <v>0</v>
      </c>
      <c r="N7" s="45">
        <f t="shared" si="4"/>
        <v>0</v>
      </c>
      <c r="O7" s="45">
        <f t="shared" si="5"/>
        <v>0</v>
      </c>
      <c r="P7" s="45">
        <f t="shared" si="6"/>
        <v>807692</v>
      </c>
      <c r="Q7" s="45">
        <f t="shared" si="7"/>
        <v>157692</v>
      </c>
      <c r="R7" s="46">
        <f t="shared" si="8"/>
        <v>965384</v>
      </c>
      <c r="S7" s="47">
        <f>ROUND(SUM(F7:K7)*E7/26/8,0)</f>
        <v>307692</v>
      </c>
      <c r="T7" s="48">
        <f>ROUND(R7-S7,0)</f>
        <v>657692</v>
      </c>
    </row>
    <row r="8" spans="1:21" s="35" customFormat="1" ht="22.5" customHeight="1">
      <c r="A8" s="33">
        <f t="shared" si="1"/>
        <v>2</v>
      </c>
      <c r="B8" s="251" t="s">
        <v>96</v>
      </c>
      <c r="C8" s="289" t="s">
        <v>131</v>
      </c>
      <c r="D8" s="412">
        <v>45740</v>
      </c>
      <c r="E8" s="252">
        <f>VLOOKUP(B8,'Template Payroll'!$B$3:$J$15,9,0)</f>
        <v>8500000</v>
      </c>
      <c r="F8" s="34">
        <v>0</v>
      </c>
      <c r="G8" s="34">
        <v>0</v>
      </c>
      <c r="H8" s="34">
        <v>0</v>
      </c>
      <c r="I8" s="34">
        <v>0</v>
      </c>
      <c r="J8" s="34">
        <v>8</v>
      </c>
      <c r="K8" s="34">
        <v>0</v>
      </c>
      <c r="L8" s="45">
        <f t="shared" si="2"/>
        <v>0</v>
      </c>
      <c r="M8" s="45">
        <f t="shared" si="3"/>
        <v>0</v>
      </c>
      <c r="N8" s="45">
        <f t="shared" si="4"/>
        <v>0</v>
      </c>
      <c r="O8" s="45">
        <f t="shared" si="5"/>
        <v>0</v>
      </c>
      <c r="P8" s="45">
        <f t="shared" si="6"/>
        <v>980769</v>
      </c>
      <c r="Q8" s="45">
        <f t="shared" si="7"/>
        <v>0</v>
      </c>
      <c r="R8" s="413">
        <f t="shared" si="8"/>
        <v>980769</v>
      </c>
      <c r="S8" s="414">
        <f>R8</f>
        <v>980769</v>
      </c>
      <c r="T8" s="48">
        <v>0</v>
      </c>
      <c r="U8" s="35" t="s">
        <v>236</v>
      </c>
    </row>
    <row r="9" spans="1:21" s="35" customFormat="1" ht="22.5" customHeight="1">
      <c r="A9" s="33">
        <f t="shared" si="1"/>
        <v>3</v>
      </c>
      <c r="B9" s="251" t="s">
        <v>99</v>
      </c>
      <c r="C9" s="289" t="s">
        <v>132</v>
      </c>
      <c r="D9" s="408">
        <v>44927</v>
      </c>
      <c r="E9" s="252">
        <f>VLOOKUP(B9,'Template Payroll'!$B$3:$J$15,9,0)</f>
        <v>7056000</v>
      </c>
      <c r="F9" s="34">
        <v>1</v>
      </c>
      <c r="G9" s="34">
        <v>9</v>
      </c>
      <c r="H9" s="34">
        <v>0</v>
      </c>
      <c r="I9" s="34">
        <v>0</v>
      </c>
      <c r="J9" s="34">
        <v>6</v>
      </c>
      <c r="K9" s="34">
        <v>2</v>
      </c>
      <c r="L9" s="45">
        <f t="shared" si="2"/>
        <v>50885</v>
      </c>
      <c r="M9" s="45">
        <f t="shared" si="3"/>
        <v>656412</v>
      </c>
      <c r="N9" s="45">
        <f t="shared" si="4"/>
        <v>0</v>
      </c>
      <c r="O9" s="45">
        <f t="shared" si="5"/>
        <v>0</v>
      </c>
      <c r="P9" s="45">
        <f t="shared" si="6"/>
        <v>610615</v>
      </c>
      <c r="Q9" s="45">
        <f t="shared" si="7"/>
        <v>278169</v>
      </c>
      <c r="R9" s="46">
        <f t="shared" si="8"/>
        <v>1596081</v>
      </c>
      <c r="S9" s="47">
        <f>ROUND(SUM(F9:K9)*E9/26/8,0)</f>
        <v>610615</v>
      </c>
      <c r="T9" s="48">
        <f>ROUND(R9-S9,0)</f>
        <v>985466</v>
      </c>
    </row>
    <row r="10" spans="1:21" s="35" customFormat="1" ht="22.5" customHeight="1">
      <c r="A10" s="33">
        <f t="shared" si="1"/>
        <v>4</v>
      </c>
      <c r="B10" s="251" t="s">
        <v>106</v>
      </c>
      <c r="C10" s="289" t="s">
        <v>133</v>
      </c>
      <c r="D10" s="408">
        <v>45292</v>
      </c>
      <c r="E10" s="252">
        <f>VLOOKUP(B10,'Template Payroll'!$B$3:$J$15,9,0)</f>
        <v>6841000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45">
        <f t="shared" si="2"/>
        <v>0</v>
      </c>
      <c r="M10" s="45">
        <f t="shared" si="3"/>
        <v>0</v>
      </c>
      <c r="N10" s="45">
        <f t="shared" si="4"/>
        <v>0</v>
      </c>
      <c r="O10" s="45">
        <f t="shared" si="5"/>
        <v>0</v>
      </c>
      <c r="P10" s="45">
        <f t="shared" si="6"/>
        <v>0</v>
      </c>
      <c r="Q10" s="45">
        <f t="shared" si="7"/>
        <v>0</v>
      </c>
      <c r="R10" s="46">
        <f t="shared" si="8"/>
        <v>0</v>
      </c>
      <c r="S10" s="47">
        <f>ROUND(SUM(F10:K10)*E10/26/8,0)</f>
        <v>0</v>
      </c>
      <c r="T10" s="48">
        <f>ROUND(R10-S10,0)</f>
        <v>0</v>
      </c>
    </row>
    <row r="11" spans="1:21" s="35" customFormat="1" ht="22.5" customHeight="1">
      <c r="A11" s="33">
        <f t="shared" si="1"/>
        <v>5</v>
      </c>
      <c r="B11" s="251" t="s">
        <v>119</v>
      </c>
      <c r="C11" s="289" t="s">
        <v>134</v>
      </c>
      <c r="D11" s="412">
        <v>45738</v>
      </c>
      <c r="E11" s="252">
        <f>VLOOKUP(B11,'Template Payroll'!$B$3:$J$15,9,0)</f>
        <v>11000000</v>
      </c>
      <c r="F11" s="34">
        <v>1</v>
      </c>
      <c r="G11" s="34">
        <v>9</v>
      </c>
      <c r="H11" s="34">
        <v>0</v>
      </c>
      <c r="I11" s="34">
        <v>0</v>
      </c>
      <c r="J11" s="34">
        <v>6</v>
      </c>
      <c r="K11" s="34">
        <v>2</v>
      </c>
      <c r="L11" s="45">
        <f t="shared" si="2"/>
        <v>79327</v>
      </c>
      <c r="M11" s="45">
        <f t="shared" si="3"/>
        <v>1023317</v>
      </c>
      <c r="N11" s="45">
        <f t="shared" si="4"/>
        <v>0</v>
      </c>
      <c r="O11" s="45">
        <f t="shared" si="5"/>
        <v>0</v>
      </c>
      <c r="P11" s="45">
        <f t="shared" si="6"/>
        <v>951923</v>
      </c>
      <c r="Q11" s="45">
        <f t="shared" si="7"/>
        <v>433654</v>
      </c>
      <c r="R11" s="413">
        <f t="shared" si="8"/>
        <v>2488221</v>
      </c>
      <c r="S11" s="414">
        <f>R11</f>
        <v>2488221</v>
      </c>
      <c r="T11" s="48">
        <v>0</v>
      </c>
      <c r="U11" s="35" t="s">
        <v>236</v>
      </c>
    </row>
    <row r="12" spans="1:21" s="23" customFormat="1" ht="22.5" customHeight="1">
      <c r="A12" s="169"/>
      <c r="B12" s="169"/>
      <c r="C12" s="284"/>
      <c r="D12" s="409"/>
      <c r="E12" s="407"/>
      <c r="F12" s="169">
        <f t="shared" ref="F12:T12" si="9">SUM(F4:F11)</f>
        <v>2.5</v>
      </c>
      <c r="G12" s="169">
        <f t="shared" si="9"/>
        <v>26.5</v>
      </c>
      <c r="H12" s="62">
        <f t="shared" si="9"/>
        <v>0</v>
      </c>
      <c r="I12" s="62">
        <f t="shared" si="9"/>
        <v>0</v>
      </c>
      <c r="J12" s="62">
        <f t="shared" si="9"/>
        <v>33</v>
      </c>
      <c r="K12" s="62">
        <f t="shared" si="9"/>
        <v>7</v>
      </c>
      <c r="L12" s="62">
        <f t="shared" si="9"/>
        <v>167885</v>
      </c>
      <c r="M12" s="62">
        <f t="shared" si="9"/>
        <v>3872315</v>
      </c>
      <c r="N12" s="62">
        <f t="shared" si="9"/>
        <v>0</v>
      </c>
      <c r="O12" s="62">
        <f t="shared" si="9"/>
        <v>0</v>
      </c>
      <c r="P12" s="219">
        <f t="shared" si="9"/>
        <v>6033691</v>
      </c>
      <c r="Q12" s="219">
        <f t="shared" si="9"/>
        <v>2091630</v>
      </c>
      <c r="R12" s="219">
        <f t="shared" si="9"/>
        <v>12165521</v>
      </c>
      <c r="S12" s="219">
        <f t="shared" si="9"/>
        <v>6624527</v>
      </c>
      <c r="T12" s="219">
        <f t="shared" si="9"/>
        <v>5540994</v>
      </c>
    </row>
    <row r="13" spans="1:21">
      <c r="F13" s="1"/>
      <c r="G13" s="1"/>
      <c r="H13" s="1"/>
      <c r="N13" s="3"/>
      <c r="O13" s="1"/>
      <c r="P13" s="1"/>
      <c r="Q13" s="1"/>
      <c r="R13" s="1"/>
      <c r="S13" s="1"/>
      <c r="T13" s="1"/>
    </row>
    <row r="14" spans="1:21">
      <c r="F14" s="1"/>
      <c r="G14" s="1"/>
      <c r="H14" s="1"/>
      <c r="N14" s="3"/>
      <c r="O14" s="1"/>
      <c r="P14" s="1"/>
      <c r="Q14" s="1"/>
      <c r="R14" s="1"/>
      <c r="S14" s="1"/>
      <c r="T14" s="1"/>
    </row>
    <row r="15" spans="1:21">
      <c r="F15" s="1"/>
      <c r="G15" s="1"/>
      <c r="H15" s="1"/>
      <c r="N15" s="3"/>
      <c r="O15" s="1"/>
      <c r="P15" s="1"/>
      <c r="Q15" s="1"/>
      <c r="R15" s="1"/>
      <c r="S15" s="1"/>
      <c r="T15" s="1"/>
    </row>
    <row r="16" spans="1:21">
      <c r="F16" s="1"/>
      <c r="G16" s="1"/>
      <c r="H16" s="1"/>
      <c r="N16" s="3"/>
      <c r="O16" s="1"/>
      <c r="P16" s="1"/>
      <c r="Q16" s="1"/>
      <c r="R16" s="1"/>
      <c r="S16" s="1"/>
      <c r="T16" s="1"/>
    </row>
    <row r="17" spans="9:14" s="1" customFormat="1">
      <c r="I17" s="3"/>
      <c r="J17" s="3"/>
      <c r="K17" s="3"/>
      <c r="L17" s="3"/>
      <c r="M17" s="3"/>
      <c r="N17" s="3"/>
    </row>
    <row r="18" spans="9:14" s="1" customFormat="1">
      <c r="I18" s="3"/>
      <c r="J18" s="3"/>
      <c r="K18" s="3"/>
      <c r="L18" s="3"/>
      <c r="M18" s="3"/>
      <c r="N18" s="3"/>
    </row>
    <row r="19" spans="9:14" s="1" customFormat="1">
      <c r="I19" s="3"/>
      <c r="J19" s="3"/>
      <c r="K19" s="3"/>
      <c r="L19" s="3"/>
      <c r="M19" s="3"/>
      <c r="N19" s="3"/>
    </row>
    <row r="20" spans="9:14" s="1" customFormat="1">
      <c r="I20" s="3"/>
      <c r="J20" s="3"/>
      <c r="K20" s="3"/>
      <c r="L20" s="3"/>
      <c r="M20" s="3"/>
      <c r="N20" s="3"/>
    </row>
    <row r="21" spans="9:14" s="1" customFormat="1">
      <c r="I21" s="3"/>
      <c r="J21" s="3"/>
      <c r="K21" s="3"/>
      <c r="L21" s="3"/>
      <c r="M21" s="3"/>
      <c r="N21" s="3"/>
    </row>
    <row r="22" spans="9:14" s="1" customFormat="1">
      <c r="I22" s="3"/>
      <c r="J22" s="3"/>
      <c r="K22" s="3"/>
      <c r="L22" s="3"/>
      <c r="M22" s="3"/>
      <c r="N22" s="3"/>
    </row>
    <row r="23" spans="9:14" s="1" customFormat="1">
      <c r="I23" s="3"/>
      <c r="J23" s="3"/>
      <c r="K23" s="3"/>
      <c r="L23" s="3"/>
      <c r="M23" s="3"/>
      <c r="N23" s="3"/>
    </row>
    <row r="24" spans="9:14" s="1" customFormat="1">
      <c r="I24" s="3"/>
      <c r="J24" s="3"/>
      <c r="K24" s="3"/>
      <c r="L24" s="3"/>
      <c r="M24" s="3"/>
      <c r="N24" s="3"/>
    </row>
    <row r="25" spans="9:14" s="1" customFormat="1">
      <c r="I25" s="3"/>
      <c r="J25" s="3"/>
      <c r="K25" s="3"/>
      <c r="L25" s="3"/>
      <c r="M25" s="3"/>
      <c r="N25" s="3"/>
    </row>
    <row r="26" spans="9:14" s="1" customFormat="1">
      <c r="I26" s="3"/>
      <c r="J26" s="3"/>
      <c r="K26" s="3"/>
      <c r="L26" s="3"/>
      <c r="M26" s="3"/>
      <c r="N26" s="3"/>
    </row>
    <row r="27" spans="9:14" s="1" customFormat="1">
      <c r="I27" s="3"/>
      <c r="J27" s="3"/>
      <c r="K27" s="3"/>
      <c r="L27" s="3"/>
      <c r="M27" s="3"/>
      <c r="N27" s="3"/>
    </row>
    <row r="28" spans="9:14" s="1" customFormat="1">
      <c r="I28" s="3"/>
      <c r="J28" s="3"/>
      <c r="K28" s="3"/>
      <c r="L28" s="3"/>
      <c r="M28" s="3"/>
      <c r="N28" s="3"/>
    </row>
    <row r="29" spans="9:14" s="1" customFormat="1">
      <c r="I29" s="3"/>
      <c r="J29" s="3"/>
      <c r="K29" s="3"/>
      <c r="L29" s="3"/>
      <c r="M29" s="3"/>
      <c r="N29" s="3"/>
    </row>
    <row r="30" spans="9:14" s="1" customFormat="1">
      <c r="I30" s="3"/>
      <c r="J30" s="3"/>
      <c r="K30" s="3"/>
      <c r="L30" s="3"/>
      <c r="M30" s="3"/>
      <c r="N30" s="3"/>
    </row>
    <row r="31" spans="9:14" s="1" customFormat="1">
      <c r="I31" s="3"/>
      <c r="J31" s="3"/>
      <c r="K31" s="3"/>
      <c r="L31" s="3"/>
      <c r="M31" s="3"/>
      <c r="N31" s="3"/>
    </row>
    <row r="32" spans="9:14" s="1" customFormat="1">
      <c r="I32" s="3"/>
      <c r="J32" s="3"/>
      <c r="K32" s="3"/>
      <c r="L32" s="3"/>
      <c r="M32" s="3"/>
      <c r="N32" s="3"/>
    </row>
    <row r="33" spans="9:14" s="1" customFormat="1">
      <c r="I33" s="3"/>
      <c r="J33" s="3"/>
      <c r="K33" s="3"/>
      <c r="L33" s="3"/>
      <c r="M33" s="3"/>
      <c r="N33" s="3"/>
    </row>
    <row r="34" spans="9:14" s="1" customFormat="1">
      <c r="I34" s="3"/>
      <c r="J34" s="3"/>
      <c r="K34" s="3"/>
      <c r="L34" s="3"/>
      <c r="M34" s="3"/>
      <c r="N34" s="3"/>
    </row>
    <row r="35" spans="9:14" s="1" customFormat="1">
      <c r="I35" s="3"/>
      <c r="J35" s="3"/>
      <c r="K35" s="3"/>
      <c r="L35" s="3"/>
      <c r="M35" s="3"/>
      <c r="N35" s="3"/>
    </row>
    <row r="36" spans="9:14" s="1" customFormat="1">
      <c r="I36" s="3"/>
      <c r="J36" s="3"/>
      <c r="K36" s="3"/>
      <c r="L36" s="3"/>
      <c r="M36" s="3"/>
      <c r="N36" s="3"/>
    </row>
    <row r="37" spans="9:14" s="1" customFormat="1">
      <c r="I37" s="3"/>
      <c r="J37" s="3"/>
      <c r="K37" s="3"/>
      <c r="L37" s="3"/>
      <c r="M37" s="3"/>
      <c r="N37" s="3"/>
    </row>
    <row r="38" spans="9:14" s="1" customFormat="1">
      <c r="I38" s="3"/>
      <c r="J38" s="3"/>
      <c r="K38" s="3"/>
      <c r="L38" s="3"/>
      <c r="M38" s="3"/>
      <c r="N38" s="3"/>
    </row>
    <row r="39" spans="9:14" s="1" customFormat="1">
      <c r="I39" s="3"/>
      <c r="J39" s="3"/>
      <c r="K39" s="3"/>
      <c r="L39" s="3"/>
      <c r="M39" s="3"/>
      <c r="N39" s="3"/>
    </row>
    <row r="40" spans="9:14" s="1" customFormat="1">
      <c r="I40" s="3"/>
      <c r="J40" s="3"/>
      <c r="K40" s="3"/>
      <c r="L40" s="3"/>
      <c r="M40" s="3"/>
      <c r="N40" s="3"/>
    </row>
    <row r="41" spans="9:14" s="1" customFormat="1">
      <c r="I41" s="3"/>
      <c r="J41" s="3"/>
      <c r="K41" s="3"/>
      <c r="L41" s="3"/>
      <c r="M41" s="3"/>
      <c r="N41" s="3"/>
    </row>
    <row r="42" spans="9:14" s="1" customFormat="1">
      <c r="I42" s="3"/>
      <c r="J42" s="3"/>
      <c r="K42" s="3"/>
      <c r="L42" s="3"/>
      <c r="M42" s="3"/>
      <c r="N42" s="3"/>
    </row>
    <row r="43" spans="9:14" s="1" customFormat="1">
      <c r="I43" s="3"/>
      <c r="J43" s="3"/>
      <c r="K43" s="3"/>
      <c r="L43" s="3"/>
      <c r="M43" s="3"/>
      <c r="N43" s="3"/>
    </row>
    <row r="44" spans="9:14" s="1" customFormat="1">
      <c r="I44" s="3"/>
      <c r="J44" s="3"/>
      <c r="K44" s="3"/>
      <c r="L44" s="3"/>
      <c r="M44" s="3"/>
      <c r="N44" s="3"/>
    </row>
    <row r="45" spans="9:14" s="1" customFormat="1">
      <c r="I45" s="3"/>
      <c r="J45" s="3"/>
      <c r="K45" s="3"/>
      <c r="L45" s="3"/>
      <c r="M45" s="3"/>
      <c r="N45" s="3"/>
    </row>
    <row r="46" spans="9:14" s="1" customFormat="1">
      <c r="I46" s="3"/>
      <c r="J46" s="3"/>
      <c r="K46" s="3"/>
      <c r="L46" s="3"/>
      <c r="M46" s="3"/>
      <c r="N46" s="3"/>
    </row>
    <row r="47" spans="9:14" s="1" customFormat="1">
      <c r="I47" s="3"/>
      <c r="J47" s="3"/>
      <c r="K47" s="3"/>
      <c r="L47" s="3"/>
      <c r="M47" s="3"/>
      <c r="N47" s="3"/>
    </row>
    <row r="48" spans="9:14" s="1" customFormat="1">
      <c r="I48" s="3"/>
      <c r="J48" s="3"/>
      <c r="K48" s="3"/>
      <c r="L48" s="3"/>
      <c r="M48" s="3"/>
      <c r="N48" s="3"/>
    </row>
  </sheetData>
  <mergeCells count="5">
    <mergeCell ref="R1:R2"/>
    <mergeCell ref="T1:T2"/>
    <mergeCell ref="S1:S2"/>
    <mergeCell ref="F1:K1"/>
    <mergeCell ref="L1:Q1"/>
  </mergeCells>
  <conditionalFormatting sqref="B13:B1048576 B1:B11">
    <cfRule type="duplicateValues" dxfId="51" priority="186496"/>
  </conditionalFormatting>
  <conditionalFormatting sqref="B13:B1048576">
    <cfRule type="duplicateValues" dxfId="50" priority="62"/>
  </conditionalFormatting>
  <pageMargins left="0.45833333333333298" right="0.45833333333333298" top="0.74791666666666701" bottom="0.74791666666666701" header="0.51180555555555596" footer="0.51180555555555596"/>
  <pageSetup paperSize="9" scale="55"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17"/>
  <sheetViews>
    <sheetView zoomScaleNormal="100" zoomScaleSheetLayoutView="82" workbookViewId="0">
      <pane xSplit="4" ySplit="8" topLeftCell="E9" activePane="bottomRight" state="frozen"/>
      <selection activeCell="C13" sqref="C13"/>
      <selection pane="topRight" activeCell="C13" sqref="C13"/>
      <selection pane="bottomLeft" activeCell="C13" sqref="C13"/>
      <selection pane="bottomRight" activeCell="G9" sqref="G9"/>
    </sheetView>
  </sheetViews>
  <sheetFormatPr baseColWidth="10" defaultColWidth="9" defaultRowHeight="12"/>
  <cols>
    <col min="1" max="1" width="7.6640625" style="1" customWidth="1"/>
    <col min="2" max="2" width="12.83203125" style="1" customWidth="1"/>
    <col min="3" max="3" width="19.1640625" style="1" customWidth="1"/>
    <col min="4" max="4" width="17.5" style="2" customWidth="1"/>
    <col min="5" max="5" width="17.5" style="1" customWidth="1"/>
    <col min="6" max="6" width="12.5" style="3" customWidth="1"/>
    <col min="7" max="7" width="17.33203125" style="3" customWidth="1"/>
    <col min="8" max="8" width="15.83203125" style="1" customWidth="1"/>
    <col min="9" max="9" width="15" style="1" customWidth="1"/>
    <col min="10" max="204" width="9" style="1" customWidth="1"/>
    <col min="205" max="205" width="3.5" style="1" customWidth="1"/>
    <col min="206" max="206" width="19.1640625" style="1" customWidth="1"/>
    <col min="207" max="207" width="10.1640625" style="1" customWidth="1"/>
    <col min="208" max="208" width="10.6640625" style="1" customWidth="1"/>
    <col min="209" max="209" width="8.33203125" style="1" customWidth="1"/>
    <col min="210" max="210" width="8.6640625" style="1" customWidth="1"/>
    <col min="211" max="211" width="6.33203125" style="1" customWidth="1"/>
    <col min="212" max="212" width="7.1640625" style="1" customWidth="1"/>
    <col min="213" max="213" width="5.6640625" style="1" customWidth="1"/>
    <col min="214" max="214" width="5.83203125" style="1" customWidth="1"/>
    <col min="215" max="215" width="5.33203125" style="1" customWidth="1"/>
    <col min="216" max="216" width="6" style="1" customWidth="1"/>
    <col min="217" max="217" width="6.5" style="1" customWidth="1"/>
    <col min="218" max="218" width="6.1640625" style="1" customWidth="1"/>
    <col min="219" max="221" width="6.5" style="1" customWidth="1"/>
    <col min="222" max="222" width="7.1640625" style="1" customWidth="1"/>
    <col min="223" max="223" width="7.83203125" style="1" customWidth="1"/>
    <col min="224" max="224" width="5.5" style="1" customWidth="1"/>
    <col min="225" max="225" width="8.83203125" style="1" customWidth="1"/>
    <col min="226" max="226" width="12.5" style="1" customWidth="1"/>
    <col min="227" max="227" width="13.5" style="1" customWidth="1"/>
    <col min="228" max="229" width="7.5" style="1" customWidth="1"/>
    <col min="230" max="230" width="6" style="1" customWidth="1"/>
    <col min="231" max="231" width="8.5" style="1" customWidth="1"/>
    <col min="232" max="232" width="7.1640625" style="1" customWidth="1"/>
    <col min="233" max="233" width="9" style="1" customWidth="1"/>
    <col min="234" max="16384" width="9" style="1"/>
  </cols>
  <sheetData>
    <row r="1" spans="1:9" s="9" customFormat="1" ht="20.25" customHeight="1">
      <c r="A1" s="6" t="s">
        <v>237</v>
      </c>
      <c r="B1" s="6"/>
      <c r="C1" s="6"/>
      <c r="D1" s="7"/>
      <c r="E1" s="6"/>
      <c r="F1" s="8"/>
      <c r="G1" s="8"/>
    </row>
    <row r="2" spans="1:9" s="9" customFormat="1" ht="15.75" hidden="1" customHeight="1">
      <c r="A2" s="10"/>
      <c r="B2" s="11"/>
      <c r="C2" s="11"/>
      <c r="D2" s="12"/>
      <c r="E2" s="13"/>
      <c r="F2" s="14"/>
      <c r="G2" s="15"/>
    </row>
    <row r="3" spans="1:9" s="9" customFormat="1" ht="15" hidden="1" customHeight="1">
      <c r="D3" s="16"/>
      <c r="F3" s="17"/>
      <c r="G3" s="18"/>
    </row>
    <row r="4" spans="1:9" s="36" customFormat="1" ht="43.5" hidden="1" customHeight="1">
      <c r="A4" s="49"/>
      <c r="D4" s="37"/>
      <c r="F4" s="38"/>
      <c r="G4" s="38"/>
    </row>
    <row r="5" spans="1:9" s="36" customFormat="1" ht="24" customHeight="1">
      <c r="D5" s="37"/>
      <c r="F5" s="156">
        <f>SUBTOTAL(9,F9:F16)</f>
        <v>23</v>
      </c>
      <c r="G5" s="157">
        <f>SUBTOTAL(9,G9:G16)</f>
        <v>447853</v>
      </c>
    </row>
    <row r="6" spans="1:9" s="23" customFormat="1" ht="29.25" customHeight="1">
      <c r="A6" s="41"/>
      <c r="B6" s="42"/>
      <c r="C6" s="40"/>
      <c r="D6" s="43"/>
      <c r="E6" s="44"/>
      <c r="F6" s="416"/>
      <c r="G6" s="416"/>
      <c r="H6" s="416"/>
      <c r="I6" s="416"/>
    </row>
    <row r="7" spans="1:9" s="23" customFormat="1" ht="54" customHeight="1">
      <c r="A7" s="421" t="s">
        <v>234</v>
      </c>
      <c r="B7" s="422" t="s">
        <v>3</v>
      </c>
      <c r="C7" s="423" t="s">
        <v>5</v>
      </c>
      <c r="D7" s="424" t="s">
        <v>144</v>
      </c>
      <c r="E7" s="425" t="s">
        <v>11</v>
      </c>
      <c r="F7" s="426" t="s">
        <v>238</v>
      </c>
      <c r="G7" s="426" t="s">
        <v>239</v>
      </c>
      <c r="H7" s="426" t="s">
        <v>240</v>
      </c>
      <c r="I7" s="426" t="s">
        <v>241</v>
      </c>
    </row>
    <row r="8" spans="1:9" s="32" customFormat="1" ht="15.75" customHeight="1">
      <c r="A8" s="431"/>
      <c r="B8" s="417">
        <v>1</v>
      </c>
      <c r="C8" s="417">
        <f>B8+1</f>
        <v>2</v>
      </c>
      <c r="D8" s="432">
        <v>3</v>
      </c>
      <c r="E8" s="417">
        <f>D8+1</f>
        <v>4</v>
      </c>
      <c r="F8" s="417">
        <f>E8+1</f>
        <v>5</v>
      </c>
      <c r="G8" s="417">
        <f>F8+1</f>
        <v>6</v>
      </c>
      <c r="H8" s="417">
        <f>G8+1</f>
        <v>7</v>
      </c>
      <c r="I8" s="417">
        <f>H8+1</f>
        <v>8</v>
      </c>
    </row>
    <row r="9" spans="1:9" s="32" customFormat="1" ht="15.75" customHeight="1">
      <c r="A9" s="433">
        <f t="shared" ref="A9:A16" si="0">ROW()-8</f>
        <v>1</v>
      </c>
      <c r="B9" s="418" t="s">
        <v>78</v>
      </c>
      <c r="C9" s="434" t="s">
        <v>242</v>
      </c>
      <c r="D9" s="435">
        <v>43466</v>
      </c>
      <c r="E9" s="436">
        <f>IFERROR(VLOOKUP(B9,'Template Payroll'!$B$3:$J$12,9,0),0)</f>
        <v>47000000</v>
      </c>
      <c r="F9" s="437">
        <v>2</v>
      </c>
      <c r="G9" s="415">
        <f t="shared" ref="G9:G16" si="1">ROUND((E9/26/8)*30%*F9,0)</f>
        <v>135577</v>
      </c>
      <c r="H9" s="438">
        <f t="shared" ref="H9:H16" si="2">G9-I9</f>
        <v>0</v>
      </c>
      <c r="I9" s="438">
        <f>G9</f>
        <v>135577</v>
      </c>
    </row>
    <row r="10" spans="1:9" s="32" customFormat="1" ht="15.75" customHeight="1">
      <c r="A10" s="433">
        <f t="shared" si="0"/>
        <v>2</v>
      </c>
      <c r="B10" s="418" t="s">
        <v>85</v>
      </c>
      <c r="C10" s="434" t="s">
        <v>243</v>
      </c>
      <c r="D10" s="435">
        <v>43831</v>
      </c>
      <c r="E10" s="436">
        <f>IFERROR(VLOOKUP(B10,'Template Payroll'!$B$3:$J$12,9,0),0)</f>
        <v>31000000</v>
      </c>
      <c r="F10" s="437">
        <v>3</v>
      </c>
      <c r="G10" s="415">
        <f t="shared" si="1"/>
        <v>134135</v>
      </c>
      <c r="H10" s="438">
        <f t="shared" si="2"/>
        <v>0</v>
      </c>
      <c r="I10" s="438">
        <f>G10</f>
        <v>134135</v>
      </c>
    </row>
    <row r="11" spans="1:9" s="32" customFormat="1" ht="15.75" customHeight="1">
      <c r="A11" s="433">
        <f t="shared" si="0"/>
        <v>3</v>
      </c>
      <c r="B11" s="418" t="s">
        <v>113</v>
      </c>
      <c r="C11" s="434" t="s">
        <v>92</v>
      </c>
      <c r="D11" s="435">
        <v>44197</v>
      </c>
      <c r="E11" s="436">
        <f>IFERROR(VLOOKUP(B11,'Template Payroll'!$B$3:$J$12,9,0),0)</f>
        <v>0</v>
      </c>
      <c r="F11" s="437">
        <v>4</v>
      </c>
      <c r="G11" s="415">
        <f t="shared" si="1"/>
        <v>0</v>
      </c>
      <c r="H11" s="438">
        <f t="shared" si="2"/>
        <v>0</v>
      </c>
      <c r="I11" s="438">
        <f>G11</f>
        <v>0</v>
      </c>
    </row>
    <row r="12" spans="1:9" s="32" customFormat="1" ht="15.75" customHeight="1">
      <c r="A12" s="433">
        <f t="shared" si="0"/>
        <v>4</v>
      </c>
      <c r="B12" s="418" t="s">
        <v>91</v>
      </c>
      <c r="C12" s="434" t="s">
        <v>97</v>
      </c>
      <c r="D12" s="435">
        <v>44562</v>
      </c>
      <c r="E12" s="436">
        <f>IFERROR(VLOOKUP(B12,'Template Payroll'!$B$3:$J$12,9,0),0)</f>
        <v>8000000</v>
      </c>
      <c r="F12" s="437">
        <v>1.5</v>
      </c>
      <c r="G12" s="415">
        <f t="shared" si="1"/>
        <v>17308</v>
      </c>
      <c r="H12" s="438">
        <f t="shared" si="2"/>
        <v>0</v>
      </c>
      <c r="I12" s="438">
        <f>G12</f>
        <v>17308</v>
      </c>
    </row>
    <row r="13" spans="1:9" s="32" customFormat="1" ht="15.75" customHeight="1">
      <c r="A13" s="433">
        <f t="shared" si="0"/>
        <v>5</v>
      </c>
      <c r="B13" s="418" t="s">
        <v>96</v>
      </c>
      <c r="C13" s="434" t="s">
        <v>100</v>
      </c>
      <c r="D13" s="435">
        <v>45740</v>
      </c>
      <c r="E13" s="436">
        <f>IFERROR(VLOOKUP(B13,'Template Payroll'!$B$3:$J$12,9,0),0)</f>
        <v>8500000</v>
      </c>
      <c r="F13" s="437">
        <v>0.5</v>
      </c>
      <c r="G13" s="415">
        <f t="shared" si="1"/>
        <v>6130</v>
      </c>
      <c r="H13" s="438">
        <f t="shared" si="2"/>
        <v>6130</v>
      </c>
      <c r="I13" s="438"/>
    </row>
    <row r="14" spans="1:9" s="32" customFormat="1" ht="15.75" customHeight="1">
      <c r="A14" s="433">
        <f t="shared" si="0"/>
        <v>6</v>
      </c>
      <c r="B14" s="418" t="s">
        <v>99</v>
      </c>
      <c r="C14" s="434" t="s">
        <v>107</v>
      </c>
      <c r="D14" s="435">
        <v>44927</v>
      </c>
      <c r="E14" s="436">
        <f>IFERROR(VLOOKUP(B14,'Template Payroll'!$B$3:$J$12,9,0),0)</f>
        <v>7056000</v>
      </c>
      <c r="F14" s="437">
        <v>1</v>
      </c>
      <c r="G14" s="415">
        <f t="shared" si="1"/>
        <v>10177</v>
      </c>
      <c r="H14" s="438">
        <f t="shared" si="2"/>
        <v>0</v>
      </c>
      <c r="I14" s="438">
        <f>G14</f>
        <v>10177</v>
      </c>
    </row>
    <row r="15" spans="1:9" s="32" customFormat="1" ht="15.75" customHeight="1">
      <c r="A15" s="433">
        <f t="shared" si="0"/>
        <v>7</v>
      </c>
      <c r="B15" s="418" t="s">
        <v>106</v>
      </c>
      <c r="C15" s="434" t="s">
        <v>114</v>
      </c>
      <c r="D15" s="435">
        <v>45292</v>
      </c>
      <c r="E15" s="436">
        <f>IFERROR(VLOOKUP(B15,'Template Payroll'!$B$3:$J$12,9,0),0)</f>
        <v>6841000</v>
      </c>
      <c r="F15" s="437">
        <v>5</v>
      </c>
      <c r="G15" s="415">
        <f t="shared" si="1"/>
        <v>49334</v>
      </c>
      <c r="H15" s="438">
        <f t="shared" si="2"/>
        <v>0</v>
      </c>
      <c r="I15" s="438">
        <f>G15</f>
        <v>49334</v>
      </c>
    </row>
    <row r="16" spans="1:9" s="32" customFormat="1" ht="15.75" customHeight="1">
      <c r="A16" s="433">
        <f t="shared" si="0"/>
        <v>8</v>
      </c>
      <c r="B16" s="418" t="s">
        <v>119</v>
      </c>
      <c r="C16" s="434" t="s">
        <v>120</v>
      </c>
      <c r="D16" s="435">
        <v>45738</v>
      </c>
      <c r="E16" s="436">
        <f>IFERROR(VLOOKUP(B16,'Template Payroll'!$B$3:$J$15,9,0),0)</f>
        <v>11000000</v>
      </c>
      <c r="F16" s="437">
        <v>6</v>
      </c>
      <c r="G16" s="415">
        <f t="shared" si="1"/>
        <v>95192</v>
      </c>
      <c r="H16" s="438">
        <f t="shared" si="2"/>
        <v>95192</v>
      </c>
      <c r="I16" s="438"/>
    </row>
    <row r="17" spans="1:9" s="23" customFormat="1" ht="22.5" customHeight="1">
      <c r="A17" s="262"/>
      <c r="B17" s="262"/>
      <c r="C17" s="427" t="s">
        <v>153</v>
      </c>
      <c r="D17" s="428"/>
      <c r="E17" s="429">
        <f>SUM(E9:E16)</f>
        <v>119397000</v>
      </c>
      <c r="F17" s="430">
        <f>SUM(F9:F16)</f>
        <v>23</v>
      </c>
      <c r="G17" s="429">
        <f>SUM(G9:G16)</f>
        <v>447853</v>
      </c>
      <c r="H17" s="429">
        <f>SUM(H9:H16)</f>
        <v>101322</v>
      </c>
      <c r="I17" s="429">
        <f>SUM(I9:I16)</f>
        <v>346531</v>
      </c>
    </row>
  </sheetData>
  <autoFilter ref="A7:G17" xr:uid="{00000000-0009-0000-0000-000005000000}"/>
  <conditionalFormatting sqref="A4 B1:B3 B5:B1048576">
    <cfRule type="duplicateValues" dxfId="49" priority="180"/>
    <cfRule type="duplicateValues" dxfId="48" priority="181"/>
  </conditionalFormatting>
  <conditionalFormatting sqref="B1:B1048576">
    <cfRule type="duplicateValues" dxfId="47" priority="1"/>
    <cfRule type="duplicateValues" dxfId="46" priority="188938"/>
  </conditionalFormatting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zoomScaleNormal="100" zoomScaleSheetLayoutView="20" workbookViewId="0">
      <pane xSplit="5" ySplit="8" topLeftCell="G9" activePane="bottomRight" state="frozen"/>
      <selection activeCell="C13" sqref="C13"/>
      <selection pane="topRight" activeCell="C13" sqref="C13"/>
      <selection pane="bottomLeft" activeCell="C13" sqref="C13"/>
      <selection pane="bottomRight" activeCell="H11" sqref="H11"/>
    </sheetView>
  </sheetViews>
  <sheetFormatPr baseColWidth="10" defaultColWidth="9.1640625" defaultRowHeight="14"/>
  <cols>
    <col min="1" max="1" width="7.5" style="59" customWidth="1"/>
    <col min="2" max="2" width="12.6640625" style="59" customWidth="1"/>
    <col min="3" max="3" width="26.83203125" style="59" customWidth="1"/>
    <col min="4" max="4" width="10.1640625" style="104" hidden="1" customWidth="1"/>
    <col min="5" max="5" width="10.1640625" style="103" hidden="1" customWidth="1"/>
    <col min="6" max="6" width="10.1640625" style="59" hidden="1" customWidth="1"/>
    <col min="7" max="7" width="18.83203125" style="59" customWidth="1"/>
    <col min="8" max="10" width="16.33203125" style="59" customWidth="1"/>
    <col min="11" max="11" width="13.6640625" style="59" customWidth="1"/>
    <col min="12" max="12" width="15.5" style="59" hidden="1" customWidth="1"/>
    <col min="13" max="13" width="11.83203125" style="59" hidden="1" customWidth="1"/>
    <col min="14" max="14" width="9.1640625" style="59" customWidth="1"/>
    <col min="15" max="16384" width="9.1640625" style="59"/>
  </cols>
  <sheetData>
    <row r="1" spans="1:13" s="72" customFormat="1" ht="7.5" customHeight="1">
      <c r="A1" s="170"/>
      <c r="B1" s="71"/>
      <c r="D1" s="73"/>
      <c r="E1" s="74"/>
      <c r="H1" s="137"/>
      <c r="I1" s="137"/>
      <c r="J1" s="137"/>
      <c r="K1" s="137"/>
    </row>
    <row r="2" spans="1:13" s="72" customFormat="1" ht="15.75" customHeight="1">
      <c r="A2" s="459" t="s">
        <v>244</v>
      </c>
      <c r="B2" s="71"/>
      <c r="D2" s="73"/>
      <c r="E2" s="74"/>
      <c r="H2" s="137"/>
      <c r="I2" s="137"/>
      <c r="J2" s="137"/>
      <c r="K2" s="137"/>
    </row>
    <row r="3" spans="1:13" s="76" customFormat="1" ht="20.25" customHeight="1">
      <c r="A3" s="75"/>
      <c r="C3" s="171"/>
      <c r="D3" s="77"/>
      <c r="E3" s="78"/>
      <c r="H3" s="138">
        <f>SUBTOTAL(9,H9:H10)</f>
        <v>4600000</v>
      </c>
      <c r="I3" s="138">
        <f>SUBTOTAL(9,I9:I10)</f>
        <v>0</v>
      </c>
      <c r="J3" s="138">
        <f>SUBTOTAL(9,J9:J12)</f>
        <v>4000000</v>
      </c>
      <c r="K3" s="138">
        <f>SUBTOTAL(9,K9:K12)</f>
        <v>600000</v>
      </c>
    </row>
    <row r="4" spans="1:13" s="84" customFormat="1" ht="9" customHeight="1">
      <c r="A4" s="79"/>
      <c r="B4" s="80"/>
      <c r="C4" s="81"/>
      <c r="D4" s="82"/>
      <c r="E4" s="83"/>
      <c r="H4" s="214">
        <f t="shared" ref="H4:M4" si="0">SUBTOTAL(9,H11:H11)</f>
        <v>5610000</v>
      </c>
      <c r="I4" s="214">
        <f t="shared" si="0"/>
        <v>5610000</v>
      </c>
      <c r="J4" s="214">
        <f t="shared" si="0"/>
        <v>0</v>
      </c>
      <c r="K4" s="214">
        <f t="shared" si="0"/>
        <v>0</v>
      </c>
      <c r="L4" s="209" t="e">
        <f t="shared" si="0"/>
        <v>#REF!</v>
      </c>
      <c r="M4" s="209" t="e">
        <f t="shared" si="0"/>
        <v>#REF!</v>
      </c>
    </row>
    <row r="5" spans="1:13" s="76" customFormat="1" ht="11.25" customHeight="1">
      <c r="A5" s="85"/>
      <c r="B5" s="85"/>
      <c r="D5" s="77"/>
      <c r="E5" s="78"/>
      <c r="H5" s="139"/>
      <c r="I5" s="139"/>
      <c r="J5" s="139"/>
      <c r="K5" s="139"/>
    </row>
    <row r="6" spans="1:13" s="76" customFormat="1" ht="21.75" hidden="1" customHeight="1">
      <c r="C6" s="86">
        <v>42004</v>
      </c>
      <c r="D6" s="87">
        <v>41974</v>
      </c>
      <c r="E6" s="78"/>
      <c r="F6" s="88"/>
      <c r="G6" s="88" t="s">
        <v>245</v>
      </c>
      <c r="H6" s="128">
        <f>SUBTOTAL(9,H9:H10)</f>
        <v>4600000</v>
      </c>
      <c r="I6" s="128">
        <f>SUBTOTAL(9,I9:I10)</f>
        <v>0</v>
      </c>
      <c r="J6" s="129">
        <f>SUBTOTAL(9,J9:J10)</f>
        <v>4000000</v>
      </c>
      <c r="K6" s="128">
        <f>SUBTOTAL(9,K9:K10)</f>
        <v>600000</v>
      </c>
    </row>
    <row r="7" spans="1:13" s="90" customFormat="1" ht="20.25" hidden="1" customHeight="1">
      <c r="A7" s="89"/>
      <c r="B7" s="89"/>
      <c r="D7" s="91">
        <v>44561</v>
      </c>
      <c r="E7" s="92"/>
      <c r="F7" s="93">
        <v>42339</v>
      </c>
      <c r="G7" s="94">
        <v>364</v>
      </c>
      <c r="H7" s="155">
        <f>SUBTOTAL(9,H9:H12)</f>
        <v>10210000</v>
      </c>
      <c r="I7" s="155">
        <f>SUBTOTAL(9,I9:I12)</f>
        <v>5610000</v>
      </c>
      <c r="J7" s="155">
        <f>SUBTOTAL(9,J9:J12)</f>
        <v>4000000</v>
      </c>
      <c r="K7" s="155">
        <f>SUBTOTAL(9,K9:K12)</f>
        <v>600000</v>
      </c>
    </row>
    <row r="8" spans="1:13" s="85" customFormat="1" ht="27.75" customHeight="1">
      <c r="A8" s="67" t="s">
        <v>234</v>
      </c>
      <c r="B8" s="68" t="s">
        <v>246</v>
      </c>
      <c r="C8" s="95" t="s">
        <v>143</v>
      </c>
      <c r="D8" s="69" t="s">
        <v>247</v>
      </c>
      <c r="E8" s="96" t="s">
        <v>248</v>
      </c>
      <c r="F8" s="67" t="s">
        <v>7</v>
      </c>
      <c r="G8" s="67" t="s">
        <v>249</v>
      </c>
      <c r="H8" s="70" t="s">
        <v>250</v>
      </c>
      <c r="I8" s="97" t="s">
        <v>251</v>
      </c>
      <c r="J8" s="97" t="s">
        <v>252</v>
      </c>
      <c r="K8" s="97" t="s">
        <v>253</v>
      </c>
    </row>
    <row r="9" spans="1:13" s="98" customFormat="1" ht="15.75" customHeight="1">
      <c r="A9" s="208">
        <f>SUBTOTAL(3,$B$9:B9)</f>
        <v>1</v>
      </c>
      <c r="B9" s="228" t="s">
        <v>99</v>
      </c>
      <c r="C9" s="130" t="s">
        <v>107</v>
      </c>
      <c r="D9" s="109"/>
      <c r="E9" s="109"/>
      <c r="F9" s="130"/>
      <c r="G9" s="130" t="s">
        <v>90</v>
      </c>
      <c r="H9" s="142">
        <f>ROUND(SUM($I9:$K9),0)</f>
        <v>2000000</v>
      </c>
      <c r="I9" s="142">
        <v>0</v>
      </c>
      <c r="J9" s="142">
        <v>2000000</v>
      </c>
      <c r="K9" s="142">
        <v>0</v>
      </c>
      <c r="L9" s="98" t="e">
        <f>VLOOKUP(B9,#REF!,36,0)</f>
        <v>#REF!</v>
      </c>
      <c r="M9" s="110" t="e">
        <f>L9=H9</f>
        <v>#REF!</v>
      </c>
    </row>
    <row r="10" spans="1:13" s="98" customFormat="1" ht="15.75" customHeight="1">
      <c r="A10" s="208">
        <f>SUBTOTAL(3,$B$9:B10)</f>
        <v>2</v>
      </c>
      <c r="B10" s="228" t="s">
        <v>106</v>
      </c>
      <c r="C10" s="130" t="s">
        <v>114</v>
      </c>
      <c r="D10" s="109"/>
      <c r="E10" s="109"/>
      <c r="F10" s="130"/>
      <c r="G10" s="130" t="s">
        <v>90</v>
      </c>
      <c r="H10" s="142">
        <f>ROUND(SUM($I10:$K10),0)</f>
        <v>2600000</v>
      </c>
      <c r="I10" s="142">
        <v>0</v>
      </c>
      <c r="J10" s="142">
        <v>2000000</v>
      </c>
      <c r="K10" s="142">
        <v>600000</v>
      </c>
      <c r="L10" s="98" t="e">
        <f>VLOOKUP(B10,#REF!,36,0)</f>
        <v>#REF!</v>
      </c>
      <c r="M10" s="110" t="e">
        <f>L10=H10</f>
        <v>#REF!</v>
      </c>
    </row>
    <row r="11" spans="1:13" s="98" customFormat="1" ht="15.75" customHeight="1">
      <c r="A11" s="208">
        <f>SUBTOTAL(3,$B$9:B11)</f>
        <v>3</v>
      </c>
      <c r="B11" s="229" t="s">
        <v>119</v>
      </c>
      <c r="C11" s="130" t="s">
        <v>120</v>
      </c>
      <c r="D11" s="135"/>
      <c r="E11" s="135"/>
      <c r="F11" s="134"/>
      <c r="G11" s="140" t="s">
        <v>117</v>
      </c>
      <c r="H11" s="142">
        <f>ROUND(SUM($I11:$K11),0)</f>
        <v>5610000</v>
      </c>
      <c r="I11" s="142">
        <v>5610000</v>
      </c>
      <c r="J11" s="143"/>
      <c r="K11" s="143"/>
      <c r="L11" s="98" t="e">
        <f>VLOOKUP(B11,#REF!,36,0)</f>
        <v>#REF!</v>
      </c>
      <c r="M11" s="110" t="e">
        <f>L11=H11</f>
        <v>#REF!</v>
      </c>
    </row>
    <row r="12" spans="1:13" s="98" customFormat="1" ht="15.75" hidden="1" customHeight="1">
      <c r="A12" s="133"/>
      <c r="B12" s="229"/>
      <c r="C12" s="130"/>
      <c r="D12" s="135"/>
      <c r="E12" s="135"/>
      <c r="F12" s="134"/>
      <c r="G12" s="140"/>
      <c r="H12" s="142"/>
      <c r="I12" s="142"/>
      <c r="J12" s="143"/>
      <c r="K12" s="143"/>
      <c r="M12" s="110"/>
    </row>
    <row r="13" spans="1:13" s="98" customFormat="1" ht="20.25" customHeight="1">
      <c r="A13" s="540" t="s">
        <v>153</v>
      </c>
      <c r="B13" s="511"/>
      <c r="C13" s="512"/>
      <c r="D13" s="99"/>
      <c r="E13" s="100"/>
      <c r="F13" s="101"/>
      <c r="G13" s="101"/>
      <c r="H13" s="101">
        <f>SUM(H9:H12)</f>
        <v>10210000</v>
      </c>
      <c r="I13" s="101">
        <f>SUM(I9:I12)</f>
        <v>5610000</v>
      </c>
      <c r="J13" s="101">
        <f>SUM(J9:J12)</f>
        <v>4000000</v>
      </c>
      <c r="K13" s="101">
        <f>SUM(K9:K12)</f>
        <v>600000</v>
      </c>
      <c r="L13" s="114">
        <f>H13-I13-J13-K13</f>
        <v>0</v>
      </c>
    </row>
    <row r="14" spans="1:13" ht="15" customHeight="1">
      <c r="D14" s="102"/>
    </row>
  </sheetData>
  <autoFilter ref="A8:K13" xr:uid="{00000000-0009-0000-0000-000006000000}"/>
  <mergeCells count="1">
    <mergeCell ref="A13:C13"/>
  </mergeCells>
  <conditionalFormatting sqref="B1:B8 B14:B1048576">
    <cfRule type="duplicateValues" dxfId="45" priority="60"/>
  </conditionalFormatting>
  <conditionalFormatting sqref="B1:B8 B15:B1048576">
    <cfRule type="duplicateValues" dxfId="44" priority="1327608"/>
  </conditionalFormatting>
  <conditionalFormatting sqref="B1:B1048576">
    <cfRule type="duplicateValues" dxfId="43" priority="1"/>
    <cfRule type="duplicateValues" dxfId="42" priority="1327392"/>
    <cfRule type="duplicateValues" dxfId="41" priority="320509"/>
  </conditionalFormatting>
  <conditionalFormatting sqref="B9:B10">
    <cfRule type="duplicateValues" dxfId="40" priority="1327401"/>
  </conditionalFormatting>
  <conditionalFormatting sqref="B9:B12">
    <cfRule type="duplicateValues" dxfId="39" priority="1327416"/>
  </conditionalFormatting>
  <conditionalFormatting sqref="B11:B12">
    <cfRule type="duplicateValues" dxfId="38" priority="1327411"/>
  </conditionalFormatting>
  <conditionalFormatting sqref="B14">
    <cfRule type="duplicateValues" dxfId="37" priority="1327597"/>
  </conditionalFormatting>
  <conditionalFormatting sqref="B14:B1048576">
    <cfRule type="duplicateValues" dxfId="36" priority="164535"/>
    <cfRule type="duplicateValues" dxfId="35" priority="56"/>
  </conditionalFormatting>
  <conditionalFormatting sqref="B15:B1048576">
    <cfRule type="duplicateValues" dxfId="34" priority="1327611"/>
    <cfRule type="duplicateValues" dxfId="33" priority="1327612"/>
  </conditionalFormatting>
  <printOptions horizontalCentered="1"/>
  <pageMargins left="0.25" right="0" top="0.5" bottom="0.5" header="1.1805556E-2" footer="1.1805556E-2"/>
  <pageSetup paperSize="9" firstPageNumber="0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P42"/>
  <sheetViews>
    <sheetView zoomScale="90" zoomScaleNormal="90" workbookViewId="0">
      <selection activeCell="F64" sqref="F64"/>
    </sheetView>
  </sheetViews>
  <sheetFormatPr baseColWidth="10" defaultColWidth="9.1640625" defaultRowHeight="15"/>
  <cols>
    <col min="1" max="1" width="7.5" style="145" customWidth="1"/>
    <col min="2" max="2" width="13.5" style="145" customWidth="1"/>
    <col min="3" max="3" width="27.83203125" style="145" customWidth="1"/>
    <col min="4" max="4" width="21" style="145" customWidth="1"/>
    <col min="5" max="5" width="22.5" style="145" customWidth="1"/>
    <col min="6" max="6" width="15" style="145" customWidth="1"/>
    <col min="7" max="7" width="13.33203125" style="145" customWidth="1"/>
    <col min="8" max="8" width="16.5" style="145" customWidth="1"/>
    <col min="9" max="9" width="19.6640625" style="145" customWidth="1"/>
    <col min="10" max="10" width="10.5" style="145" customWidth="1"/>
    <col min="11" max="11" width="6.6640625" style="145" customWidth="1"/>
    <col min="12" max="12" width="11.33203125" style="145" bestFit="1" customWidth="1"/>
    <col min="13" max="14" width="12.5" style="145" customWidth="1"/>
    <col min="15" max="15" width="13" style="145" customWidth="1"/>
    <col min="16" max="16" width="12.83203125" style="145" customWidth="1"/>
    <col min="17" max="17" width="9.1640625" style="145" customWidth="1"/>
    <col min="18" max="16384" width="9.1640625" style="145"/>
  </cols>
  <sheetData>
    <row r="2" spans="1:6" ht="15.75" customHeight="1">
      <c r="A2" s="546" t="s">
        <v>254</v>
      </c>
      <c r="B2" s="545"/>
      <c r="C2" s="545"/>
      <c r="D2" s="545"/>
    </row>
    <row r="3" spans="1:6" ht="15.75" customHeight="1">
      <c r="A3" s="544" t="s">
        <v>255</v>
      </c>
      <c r="B3" s="545"/>
      <c r="C3" s="545"/>
      <c r="D3" s="545"/>
    </row>
    <row r="4" spans="1:6" ht="15.75" customHeight="1">
      <c r="A4" s="146"/>
      <c r="B4" s="146"/>
      <c r="C4" s="146"/>
      <c r="D4" s="146"/>
    </row>
    <row r="5" spans="1:6" ht="21" customHeight="1">
      <c r="A5" s="541" t="s">
        <v>256</v>
      </c>
      <c r="B5" s="542"/>
      <c r="C5" s="542"/>
      <c r="D5" s="542"/>
    </row>
    <row r="6" spans="1:6" ht="8.25" customHeight="1">
      <c r="A6" s="543" t="s">
        <v>234</v>
      </c>
      <c r="B6" s="543" t="s">
        <v>246</v>
      </c>
      <c r="C6" s="543" t="s">
        <v>143</v>
      </c>
      <c r="D6" s="543" t="s">
        <v>257</v>
      </c>
      <c r="E6" s="543" t="s">
        <v>258</v>
      </c>
      <c r="F6" s="543" t="s">
        <v>259</v>
      </c>
    </row>
    <row r="7" spans="1:6">
      <c r="A7" s="503"/>
      <c r="B7" s="503"/>
      <c r="C7" s="503"/>
      <c r="D7" s="503"/>
      <c r="E7" s="503"/>
      <c r="F7" s="503"/>
    </row>
    <row r="8" spans="1:6" ht="8.25" customHeight="1">
      <c r="A8" s="509"/>
      <c r="B8" s="509"/>
      <c r="C8" s="509"/>
      <c r="D8" s="509"/>
      <c r="E8" s="509"/>
      <c r="F8" s="509"/>
    </row>
    <row r="9" spans="1:6" ht="18" customHeight="1">
      <c r="A9" s="389">
        <v>1</v>
      </c>
      <c r="B9" s="381" t="s">
        <v>113</v>
      </c>
      <c r="C9" s="289" t="s">
        <v>86</v>
      </c>
      <c r="D9" s="224">
        <v>2000000</v>
      </c>
      <c r="E9" s="390">
        <f>VLOOKUP(B9,'TimeTB 2'!$C$4:$AU$11,45,0)</f>
        <v>25</v>
      </c>
      <c r="F9" s="224">
        <f>D9/26*E9</f>
        <v>1923076.923076923</v>
      </c>
    </row>
    <row r="10" spans="1:6" ht="15.75" hidden="1" customHeight="1">
      <c r="A10" s="391"/>
      <c r="B10" s="391"/>
      <c r="C10" s="391"/>
      <c r="D10" s="147"/>
      <c r="E10" s="392"/>
      <c r="F10" s="148">
        <f>E10*D10</f>
        <v>0</v>
      </c>
    </row>
    <row r="11" spans="1:6" ht="21" customHeight="1">
      <c r="A11" s="393"/>
      <c r="B11" s="394"/>
      <c r="C11" s="276" t="s">
        <v>153</v>
      </c>
      <c r="D11" s="306">
        <f>SUM(D9:D10)</f>
        <v>2000000</v>
      </c>
      <c r="E11" s="277"/>
      <c r="F11" s="395">
        <f>SUM(F9:F10)</f>
        <v>1923076.923076923</v>
      </c>
    </row>
    <row r="12" spans="1:6" ht="26.25" customHeight="1">
      <c r="A12" s="166" t="s">
        <v>260</v>
      </c>
      <c r="B12" s="167"/>
      <c r="C12" s="167"/>
      <c r="D12" s="167"/>
    </row>
    <row r="13" spans="1:6" ht="31.5" customHeight="1">
      <c r="A13" s="163" t="s">
        <v>234</v>
      </c>
      <c r="B13" s="164" t="s">
        <v>246</v>
      </c>
      <c r="C13" s="164" t="s">
        <v>143</v>
      </c>
      <c r="D13" s="165" t="s">
        <v>261</v>
      </c>
      <c r="E13" s="165" t="s">
        <v>262</v>
      </c>
      <c r="F13" s="183" t="s">
        <v>259</v>
      </c>
    </row>
    <row r="14" spans="1:6" ht="15.75" customHeight="1">
      <c r="A14" s="150">
        <v>1</v>
      </c>
      <c r="B14" s="381" t="s">
        <v>91</v>
      </c>
      <c r="C14" s="289" t="s">
        <v>92</v>
      </c>
      <c r="D14" s="382">
        <v>500000</v>
      </c>
      <c r="E14" s="382"/>
      <c r="F14" s="383">
        <f>D14+E14</f>
        <v>500000</v>
      </c>
    </row>
    <row r="15" spans="1:6" ht="15.75" customHeight="1">
      <c r="A15" s="150">
        <f>1+A14</f>
        <v>2</v>
      </c>
      <c r="B15" s="381" t="s">
        <v>96</v>
      </c>
      <c r="C15" s="289" t="s">
        <v>97</v>
      </c>
      <c r="D15" s="382">
        <v>500000</v>
      </c>
      <c r="E15" s="382"/>
      <c r="F15" s="383">
        <f>D15+E15</f>
        <v>500000</v>
      </c>
    </row>
    <row r="16" spans="1:6" ht="25.5" customHeight="1">
      <c r="A16" s="201"/>
      <c r="B16" s="201"/>
      <c r="C16" s="254" t="s">
        <v>153</v>
      </c>
      <c r="D16" s="149"/>
      <c r="E16" s="149"/>
      <c r="F16" s="203">
        <f>SUM(F14:F15)</f>
        <v>1000000</v>
      </c>
    </row>
    <row r="17" spans="1:12" ht="9" customHeight="1"/>
    <row r="18" spans="1:12" ht="9" customHeight="1"/>
    <row r="19" spans="1:12" ht="36" hidden="1" customHeight="1">
      <c r="A19" s="207" t="s">
        <v>263</v>
      </c>
      <c r="B19" s="195"/>
      <c r="C19" s="195"/>
      <c r="D19" s="195"/>
      <c r="E19" s="195"/>
      <c r="F19" s="195"/>
    </row>
    <row r="20" spans="1:12" ht="21.75" hidden="1" customHeight="1">
      <c r="A20" s="194" t="s">
        <v>234</v>
      </c>
      <c r="B20" s="196" t="s">
        <v>264</v>
      </c>
      <c r="C20" s="197" t="s">
        <v>265</v>
      </c>
      <c r="D20" s="198" t="s">
        <v>266</v>
      </c>
      <c r="E20" s="199" t="s">
        <v>267</v>
      </c>
      <c r="F20" s="200" t="s">
        <v>259</v>
      </c>
    </row>
    <row r="21" spans="1:12" ht="15.75" hidden="1" customHeight="1">
      <c r="A21" s="151"/>
      <c r="B21" s="173"/>
      <c r="C21" s="206"/>
      <c r="D21" s="158"/>
      <c r="E21" s="217"/>
      <c r="F21" s="159"/>
      <c r="H21" s="244"/>
      <c r="I21" s="275"/>
      <c r="L21" s="244"/>
    </row>
    <row r="22" spans="1:12" ht="15.75" hidden="1" customHeight="1">
      <c r="A22" s="151"/>
      <c r="B22" s="173"/>
      <c r="C22" s="206"/>
      <c r="D22" s="158"/>
      <c r="E22" s="217"/>
      <c r="F22" s="159"/>
      <c r="H22" s="244"/>
      <c r="L22" s="244"/>
    </row>
    <row r="23" spans="1:12" ht="15.75" hidden="1" customHeight="1">
      <c r="A23" s="151"/>
      <c r="B23" s="173"/>
      <c r="C23" s="206"/>
      <c r="D23" s="158"/>
      <c r="E23" s="218"/>
      <c r="F23" s="216"/>
      <c r="H23" s="244"/>
      <c r="L23" s="244"/>
    </row>
    <row r="24" spans="1:12" ht="15.75" hidden="1" customHeight="1">
      <c r="A24" s="151"/>
      <c r="B24" s="173"/>
      <c r="C24" s="206"/>
      <c r="D24" s="158"/>
      <c r="E24" s="218"/>
      <c r="F24" s="216"/>
      <c r="H24" s="244"/>
      <c r="I24" s="249"/>
      <c r="L24" s="244"/>
    </row>
    <row r="25" spans="1:12" ht="15.75" hidden="1" customHeight="1">
      <c r="A25" s="151"/>
      <c r="B25" s="179"/>
      <c r="C25" s="206"/>
      <c r="D25" s="158"/>
      <c r="E25" s="218"/>
      <c r="F25" s="216"/>
      <c r="H25" s="244"/>
      <c r="J25" s="243"/>
      <c r="L25" s="244"/>
    </row>
    <row r="26" spans="1:12" ht="15.75" hidden="1" customHeight="1">
      <c r="A26" s="151"/>
      <c r="B26" s="246"/>
      <c r="C26" s="206"/>
      <c r="D26" s="158"/>
      <c r="E26" s="247"/>
      <c r="F26" s="216"/>
      <c r="H26" s="244"/>
      <c r="J26" s="243"/>
      <c r="L26" s="244"/>
    </row>
    <row r="27" spans="1:12" ht="15.75" hidden="1" customHeight="1">
      <c r="A27" s="151"/>
      <c r="B27" s="246"/>
      <c r="C27" s="206"/>
      <c r="D27" s="158"/>
      <c r="E27" s="247"/>
      <c r="F27" s="216"/>
      <c r="H27" s="244"/>
      <c r="J27" s="243"/>
      <c r="L27" s="244"/>
    </row>
    <row r="28" spans="1:12" ht="15.75" hidden="1" customHeight="1">
      <c r="A28" s="151"/>
      <c r="B28" s="246"/>
      <c r="C28" s="206"/>
      <c r="D28" s="158"/>
      <c r="E28" s="247"/>
      <c r="F28" s="216"/>
      <c r="H28" s="244"/>
      <c r="J28" s="243"/>
      <c r="L28" s="244"/>
    </row>
    <row r="29" spans="1:12" ht="15.75" hidden="1" customHeight="1">
      <c r="A29" s="151">
        <f>ROW()-85</f>
        <v>-56</v>
      </c>
      <c r="B29" s="246"/>
      <c r="C29" s="206" t="e">
        <f>VLOOKUP($B29,#REF!,3,0)</f>
        <v>#REF!</v>
      </c>
      <c r="D29" s="158">
        <f>IFERROR(VLOOKUP(B29,#REF!,81,0),0)</f>
        <v>0</v>
      </c>
      <c r="E29" s="247"/>
      <c r="F29" s="216">
        <f>ROUND((D29/26*E29),0)</f>
        <v>0</v>
      </c>
      <c r="G29" s="145" t="e">
        <f>VLOOKUP(B29,#REF!,74,0)</f>
        <v>#REF!</v>
      </c>
      <c r="H29" s="244" t="e">
        <f>G29-E29</f>
        <v>#REF!</v>
      </c>
      <c r="J29" s="243"/>
      <c r="L29" s="244"/>
    </row>
    <row r="30" spans="1:12" ht="15.75" hidden="1" customHeight="1">
      <c r="A30" s="151">
        <f>ROW()-85</f>
        <v>-55</v>
      </c>
      <c r="B30" s="173"/>
      <c r="C30" s="206" t="e">
        <f>VLOOKUP($B30,#REF!,3,0)</f>
        <v>#REF!</v>
      </c>
      <c r="D30" s="158">
        <f>IFERROR(VLOOKUP(B30,#REF!,81,0),0)</f>
        <v>0</v>
      </c>
      <c r="E30" s="141"/>
      <c r="F30" s="216">
        <f>ROUND((D30/26*E30),0)</f>
        <v>0</v>
      </c>
      <c r="G30" s="145" t="e">
        <f>VLOOKUP(B30,#REF!,74,0)</f>
        <v>#REF!</v>
      </c>
      <c r="H30" s="244" t="e">
        <f>G30-E30</f>
        <v>#REF!</v>
      </c>
      <c r="J30" s="243"/>
      <c r="L30" s="244"/>
    </row>
    <row r="31" spans="1:12" ht="15.75" hidden="1" customHeight="1">
      <c r="A31" s="151">
        <f>ROW()-85</f>
        <v>-54</v>
      </c>
      <c r="B31" s="173"/>
      <c r="C31" s="206" t="e">
        <f>VLOOKUP($B31,#REF!,3,0)</f>
        <v>#REF!</v>
      </c>
      <c r="D31" s="158">
        <f>IFERROR(VLOOKUP(B31,#REF!,81,0),0)</f>
        <v>0</v>
      </c>
      <c r="E31" s="218"/>
      <c r="F31" s="216">
        <f>ROUND((D31/26*E31),0)</f>
        <v>0</v>
      </c>
      <c r="G31" s="145" t="e">
        <f>VLOOKUP(B31,#REF!,74,0)</f>
        <v>#REF!</v>
      </c>
      <c r="H31" s="244" t="e">
        <f>G31-E31</f>
        <v>#REF!</v>
      </c>
      <c r="J31" s="243"/>
      <c r="L31" s="244"/>
    </row>
    <row r="32" spans="1:12" ht="15.75" hidden="1" customHeight="1">
      <c r="A32" s="151">
        <f>ROW()-85</f>
        <v>-53</v>
      </c>
      <c r="B32" s="173"/>
      <c r="C32" s="206" t="e">
        <f>VLOOKUP($B32,#REF!,3,0)</f>
        <v>#REF!</v>
      </c>
      <c r="D32" s="158">
        <f>IFERROR(VLOOKUP(B32,#REF!,81,0),0)</f>
        <v>0</v>
      </c>
      <c r="E32" s="218"/>
      <c r="F32" s="216">
        <f>ROUND((D32/26*E32),0)</f>
        <v>0</v>
      </c>
      <c r="G32" s="145" t="e">
        <f>VLOOKUP(B32,#REF!,74,0)</f>
        <v>#REF!</v>
      </c>
      <c r="H32" s="244" t="e">
        <f>G32-E32</f>
        <v>#REF!</v>
      </c>
    </row>
    <row r="33" spans="1:16" ht="15.75" hidden="1" customHeight="1">
      <c r="A33" s="151">
        <f>ROW()-85</f>
        <v>-52</v>
      </c>
      <c r="B33" s="173"/>
      <c r="C33" s="206"/>
      <c r="D33" s="158"/>
      <c r="E33" s="141"/>
      <c r="F33" s="216"/>
    </row>
    <row r="34" spans="1:16" ht="24.75" hidden="1" customHeight="1">
      <c r="A34" s="202"/>
      <c r="B34" s="201"/>
      <c r="C34" s="254" t="s">
        <v>153</v>
      </c>
      <c r="D34" s="204"/>
      <c r="E34" s="205">
        <f>SUM(E21:E33)</f>
        <v>0</v>
      </c>
      <c r="F34" s="203">
        <f>SUM(F21:F33)</f>
        <v>0</v>
      </c>
    </row>
    <row r="37" spans="1:16" ht="21.75" hidden="1" customHeight="1">
      <c r="G37" s="239"/>
    </row>
    <row r="38" spans="1:16" ht="19.5" hidden="1" customHeight="1">
      <c r="G38" s="235"/>
      <c r="H38" s="235"/>
      <c r="I38" s="235"/>
      <c r="J38" s="235"/>
      <c r="K38" s="235"/>
      <c r="L38" s="236"/>
      <c r="M38" s="236"/>
      <c r="N38" s="236"/>
      <c r="O38" s="236"/>
      <c r="P38" s="236"/>
    </row>
    <row r="39" spans="1:16" ht="21" hidden="1" customHeight="1">
      <c r="G39" s="235"/>
      <c r="H39" s="235"/>
      <c r="I39" s="235"/>
      <c r="J39" s="235"/>
      <c r="K39" s="235"/>
      <c r="L39" s="237"/>
      <c r="M39" s="238"/>
      <c r="N39" s="237"/>
      <c r="O39" s="237"/>
      <c r="P39" s="238"/>
    </row>
    <row r="40" spans="1:16" ht="21" hidden="1" customHeight="1">
      <c r="G40" s="235"/>
      <c r="H40" s="235"/>
      <c r="I40" s="235"/>
      <c r="J40" s="235"/>
      <c r="K40" s="235"/>
      <c r="L40" s="237"/>
      <c r="M40" s="238"/>
      <c r="N40" s="237"/>
      <c r="O40" s="237"/>
      <c r="P40" s="238"/>
    </row>
    <row r="41" spans="1:16" ht="21" hidden="1" customHeight="1">
      <c r="G41" s="235"/>
      <c r="H41" s="235"/>
      <c r="I41" s="235"/>
      <c r="J41" s="235"/>
      <c r="K41" s="235"/>
      <c r="L41" s="237"/>
      <c r="M41" s="238"/>
      <c r="N41" s="237"/>
      <c r="O41" s="237"/>
      <c r="P41" s="238"/>
    </row>
    <row r="42" spans="1:16" hidden="1"/>
  </sheetData>
  <autoFilter ref="A13:F16" xr:uid="{00000000-0009-0000-0000-000007000000}"/>
  <mergeCells count="9">
    <mergeCell ref="A5:D5"/>
    <mergeCell ref="F6:F8"/>
    <mergeCell ref="A3:D3"/>
    <mergeCell ref="A2:D2"/>
    <mergeCell ref="C6:C8"/>
    <mergeCell ref="A6:A8"/>
    <mergeCell ref="D6:D8"/>
    <mergeCell ref="B6:B8"/>
    <mergeCell ref="E6:E8"/>
  </mergeCells>
  <pageMargins left="0.7" right="0.7" top="0.75" bottom="0.75" header="0.3" footer="0.3"/>
  <pageSetup paperSize="9" scale="68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I31" sqref="I31"/>
    </sheetView>
  </sheetViews>
  <sheetFormatPr baseColWidth="10" defaultColWidth="8.83203125" defaultRowHeight="15"/>
  <cols>
    <col min="1" max="1" width="9.1640625" style="460" customWidth="1"/>
    <col min="2" max="2" width="17.5" style="462" customWidth="1"/>
    <col min="3" max="3" width="30.1640625" style="462" customWidth="1"/>
    <col min="4" max="4" width="14.5" style="460" customWidth="1"/>
    <col min="5" max="5" width="14.6640625" style="460" customWidth="1"/>
    <col min="6" max="7" width="13.5" style="460" customWidth="1"/>
    <col min="8" max="8" width="15.5" style="460" customWidth="1"/>
    <col min="9" max="9" width="24.33203125" style="460" customWidth="1"/>
    <col min="10" max="249" width="9.1640625" style="460" customWidth="1"/>
    <col min="250" max="250" width="10.33203125" style="460" bestFit="1" customWidth="1"/>
    <col min="251" max="251" width="30.1640625" style="460" bestFit="1" customWidth="1"/>
    <col min="252" max="252" width="21" style="460" customWidth="1"/>
    <col min="253" max="254" width="13.5" style="460" customWidth="1"/>
    <col min="255" max="255" width="21.83203125" style="460" bestFit="1" customWidth="1"/>
    <col min="256" max="256" width="12" style="460" customWidth="1"/>
    <col min="257" max="257" width="11.5" style="460" bestFit="1" customWidth="1"/>
    <col min="258" max="258" width="13.5" style="460" customWidth="1"/>
    <col min="259" max="259" width="15.5" style="460" customWidth="1"/>
    <col min="260" max="261" width="18.5" style="460" customWidth="1"/>
    <col min="262" max="262" width="17.83203125" style="460" customWidth="1"/>
    <col min="263" max="505" width="9.1640625" style="460" customWidth="1"/>
    <col min="506" max="506" width="10.33203125" style="460" bestFit="1" customWidth="1"/>
    <col min="507" max="507" width="30.1640625" style="460" bestFit="1" customWidth="1"/>
    <col min="508" max="508" width="21" style="460" customWidth="1"/>
    <col min="509" max="510" width="13.5" style="460" customWidth="1"/>
    <col min="511" max="511" width="21.83203125" style="460" bestFit="1" customWidth="1"/>
    <col min="512" max="512" width="12" style="460" customWidth="1"/>
    <col min="513" max="513" width="11.5" style="460" bestFit="1" customWidth="1"/>
    <col min="514" max="514" width="13.5" style="460" customWidth="1"/>
    <col min="515" max="515" width="15.5" style="460" customWidth="1"/>
    <col min="516" max="517" width="18.5" style="460" customWidth="1"/>
    <col min="518" max="518" width="17.83203125" style="460" customWidth="1"/>
    <col min="519" max="761" width="9.1640625" style="460" customWidth="1"/>
    <col min="762" max="762" width="10.33203125" style="460" bestFit="1" customWidth="1"/>
    <col min="763" max="763" width="30.1640625" style="460" bestFit="1" customWidth="1"/>
    <col min="764" max="764" width="21" style="460" customWidth="1"/>
    <col min="765" max="766" width="13.5" style="460" customWidth="1"/>
    <col min="767" max="767" width="21.83203125" style="460" bestFit="1" customWidth="1"/>
    <col min="768" max="768" width="12" style="460" customWidth="1"/>
    <col min="769" max="769" width="11.5" style="460" bestFit="1" customWidth="1"/>
    <col min="770" max="770" width="13.5" style="460" customWidth="1"/>
    <col min="771" max="771" width="15.5" style="460" customWidth="1"/>
    <col min="772" max="773" width="18.5" style="460" customWidth="1"/>
    <col min="774" max="774" width="17.83203125" style="460" customWidth="1"/>
    <col min="775" max="1017" width="9.1640625" style="460" customWidth="1"/>
    <col min="1018" max="1018" width="10.33203125" style="460" bestFit="1" customWidth="1"/>
    <col min="1019" max="1019" width="30.1640625" style="460" bestFit="1" customWidth="1"/>
    <col min="1020" max="1020" width="21" style="460" customWidth="1"/>
    <col min="1021" max="1022" width="13.5" style="460" customWidth="1"/>
    <col min="1023" max="1023" width="21.83203125" style="460" bestFit="1" customWidth="1"/>
    <col min="1024" max="1024" width="12" style="460" customWidth="1"/>
    <col min="1025" max="1025" width="11.5" style="460" bestFit="1" customWidth="1"/>
    <col min="1026" max="1026" width="13.5" style="460" customWidth="1"/>
    <col min="1027" max="1027" width="15.5" style="460" customWidth="1"/>
    <col min="1028" max="1029" width="18.5" style="460" customWidth="1"/>
    <col min="1030" max="1030" width="17.83203125" style="460" customWidth="1"/>
    <col min="1031" max="1273" width="9.1640625" style="460" customWidth="1"/>
    <col min="1274" max="1274" width="10.33203125" style="460" bestFit="1" customWidth="1"/>
    <col min="1275" max="1275" width="30.1640625" style="460" bestFit="1" customWidth="1"/>
    <col min="1276" max="1276" width="21" style="460" customWidth="1"/>
    <col min="1277" max="1278" width="13.5" style="460" customWidth="1"/>
    <col min="1279" max="1279" width="21.83203125" style="460" bestFit="1" customWidth="1"/>
    <col min="1280" max="1280" width="12" style="460" customWidth="1"/>
    <col min="1281" max="1281" width="11.5" style="460" bestFit="1" customWidth="1"/>
    <col min="1282" max="1282" width="13.5" style="460" customWidth="1"/>
    <col min="1283" max="1283" width="15.5" style="460" customWidth="1"/>
    <col min="1284" max="1285" width="18.5" style="460" customWidth="1"/>
    <col min="1286" max="1286" width="17.83203125" style="460" customWidth="1"/>
    <col min="1287" max="1529" width="9.1640625" style="460" customWidth="1"/>
    <col min="1530" max="1530" width="10.33203125" style="460" bestFit="1" customWidth="1"/>
    <col min="1531" max="1531" width="30.1640625" style="460" bestFit="1" customWidth="1"/>
    <col min="1532" max="1532" width="21" style="460" customWidth="1"/>
    <col min="1533" max="1534" width="13.5" style="460" customWidth="1"/>
    <col min="1535" max="1535" width="21.83203125" style="460" bestFit="1" customWidth="1"/>
    <col min="1536" max="1536" width="12" style="460" customWidth="1"/>
    <col min="1537" max="1537" width="11.5" style="460" bestFit="1" customWidth="1"/>
    <col min="1538" max="1538" width="13.5" style="460" customWidth="1"/>
    <col min="1539" max="1539" width="15.5" style="460" customWidth="1"/>
    <col min="1540" max="1541" width="18.5" style="460" customWidth="1"/>
    <col min="1542" max="1542" width="17.83203125" style="460" customWidth="1"/>
    <col min="1543" max="1785" width="9.1640625" style="460" customWidth="1"/>
    <col min="1786" max="1786" width="10.33203125" style="460" bestFit="1" customWidth="1"/>
    <col min="1787" max="1787" width="30.1640625" style="460" bestFit="1" customWidth="1"/>
    <col min="1788" max="1788" width="21" style="460" customWidth="1"/>
    <col min="1789" max="1790" width="13.5" style="460" customWidth="1"/>
    <col min="1791" max="1791" width="21.83203125" style="460" bestFit="1" customWidth="1"/>
    <col min="1792" max="1792" width="12" style="460" customWidth="1"/>
    <col min="1793" max="1793" width="11.5" style="460" bestFit="1" customWidth="1"/>
    <col min="1794" max="1794" width="13.5" style="460" customWidth="1"/>
    <col min="1795" max="1795" width="15.5" style="460" customWidth="1"/>
    <col min="1796" max="1797" width="18.5" style="460" customWidth="1"/>
    <col min="1798" max="1798" width="17.83203125" style="460" customWidth="1"/>
    <col min="1799" max="2041" width="9.1640625" style="460" customWidth="1"/>
    <col min="2042" max="2042" width="10.33203125" style="460" bestFit="1" customWidth="1"/>
    <col min="2043" max="2043" width="30.1640625" style="460" bestFit="1" customWidth="1"/>
    <col min="2044" max="2044" width="21" style="460" customWidth="1"/>
    <col min="2045" max="2046" width="13.5" style="460" customWidth="1"/>
    <col min="2047" max="2047" width="21.83203125" style="460" bestFit="1" customWidth="1"/>
    <col min="2048" max="2048" width="12" style="460" customWidth="1"/>
    <col min="2049" max="2049" width="11.5" style="460" bestFit="1" customWidth="1"/>
    <col min="2050" max="2050" width="13.5" style="460" customWidth="1"/>
    <col min="2051" max="2051" width="15.5" style="460" customWidth="1"/>
    <col min="2052" max="2053" width="18.5" style="460" customWidth="1"/>
    <col min="2054" max="2054" width="17.83203125" style="460" customWidth="1"/>
    <col min="2055" max="2297" width="9.1640625" style="460" customWidth="1"/>
    <col min="2298" max="2298" width="10.33203125" style="460" bestFit="1" customWidth="1"/>
    <col min="2299" max="2299" width="30.1640625" style="460" bestFit="1" customWidth="1"/>
    <col min="2300" max="2300" width="21" style="460" customWidth="1"/>
    <col min="2301" max="2302" width="13.5" style="460" customWidth="1"/>
    <col min="2303" max="2303" width="21.83203125" style="460" bestFit="1" customWidth="1"/>
    <col min="2304" max="2304" width="12" style="460" customWidth="1"/>
    <col min="2305" max="2305" width="11.5" style="460" bestFit="1" customWidth="1"/>
    <col min="2306" max="2306" width="13.5" style="460" customWidth="1"/>
    <col min="2307" max="2307" width="15.5" style="460" customWidth="1"/>
    <col min="2308" max="2309" width="18.5" style="460" customWidth="1"/>
    <col min="2310" max="2310" width="17.83203125" style="460" customWidth="1"/>
    <col min="2311" max="2553" width="9.1640625" style="460" customWidth="1"/>
    <col min="2554" max="2554" width="10.33203125" style="460" bestFit="1" customWidth="1"/>
    <col min="2555" max="2555" width="30.1640625" style="460" bestFit="1" customWidth="1"/>
    <col min="2556" max="2556" width="21" style="460" customWidth="1"/>
    <col min="2557" max="2558" width="13.5" style="460" customWidth="1"/>
    <col min="2559" max="2559" width="21.83203125" style="460" bestFit="1" customWidth="1"/>
    <col min="2560" max="2560" width="12" style="460" customWidth="1"/>
    <col min="2561" max="2561" width="11.5" style="460" bestFit="1" customWidth="1"/>
    <col min="2562" max="2562" width="13.5" style="460" customWidth="1"/>
    <col min="2563" max="2563" width="15.5" style="460" customWidth="1"/>
    <col min="2564" max="2565" width="18.5" style="460" customWidth="1"/>
    <col min="2566" max="2566" width="17.83203125" style="460" customWidth="1"/>
    <col min="2567" max="2809" width="9.1640625" style="460" customWidth="1"/>
    <col min="2810" max="2810" width="10.33203125" style="460" bestFit="1" customWidth="1"/>
    <col min="2811" max="2811" width="30.1640625" style="460" bestFit="1" customWidth="1"/>
    <col min="2812" max="2812" width="21" style="460" customWidth="1"/>
    <col min="2813" max="2814" width="13.5" style="460" customWidth="1"/>
    <col min="2815" max="2815" width="21.83203125" style="460" bestFit="1" customWidth="1"/>
    <col min="2816" max="2816" width="12" style="460" customWidth="1"/>
    <col min="2817" max="2817" width="11.5" style="460" bestFit="1" customWidth="1"/>
    <col min="2818" max="2818" width="13.5" style="460" customWidth="1"/>
    <col min="2819" max="2819" width="15.5" style="460" customWidth="1"/>
    <col min="2820" max="2821" width="18.5" style="460" customWidth="1"/>
    <col min="2822" max="2822" width="17.83203125" style="460" customWidth="1"/>
    <col min="2823" max="3065" width="9.1640625" style="460" customWidth="1"/>
    <col min="3066" max="3066" width="10.33203125" style="460" bestFit="1" customWidth="1"/>
    <col min="3067" max="3067" width="30.1640625" style="460" bestFit="1" customWidth="1"/>
    <col min="3068" max="3068" width="21" style="460" customWidth="1"/>
    <col min="3069" max="3070" width="13.5" style="460" customWidth="1"/>
    <col min="3071" max="3071" width="21.83203125" style="460" bestFit="1" customWidth="1"/>
    <col min="3072" max="3072" width="12" style="460" customWidth="1"/>
    <col min="3073" max="3073" width="11.5" style="460" bestFit="1" customWidth="1"/>
    <col min="3074" max="3074" width="13.5" style="460" customWidth="1"/>
    <col min="3075" max="3075" width="15.5" style="460" customWidth="1"/>
    <col min="3076" max="3077" width="18.5" style="460" customWidth="1"/>
    <col min="3078" max="3078" width="17.83203125" style="460" customWidth="1"/>
    <col min="3079" max="3321" width="9.1640625" style="460" customWidth="1"/>
    <col min="3322" max="3322" width="10.33203125" style="460" bestFit="1" customWidth="1"/>
    <col min="3323" max="3323" width="30.1640625" style="460" bestFit="1" customWidth="1"/>
    <col min="3324" max="3324" width="21" style="460" customWidth="1"/>
    <col min="3325" max="3326" width="13.5" style="460" customWidth="1"/>
    <col min="3327" max="3327" width="21.83203125" style="460" bestFit="1" customWidth="1"/>
    <col min="3328" max="3328" width="12" style="460" customWidth="1"/>
    <col min="3329" max="3329" width="11.5" style="460" bestFit="1" customWidth="1"/>
    <col min="3330" max="3330" width="13.5" style="460" customWidth="1"/>
    <col min="3331" max="3331" width="15.5" style="460" customWidth="1"/>
    <col min="3332" max="3333" width="18.5" style="460" customWidth="1"/>
    <col min="3334" max="3334" width="17.83203125" style="460" customWidth="1"/>
    <col min="3335" max="3577" width="9.1640625" style="460" customWidth="1"/>
    <col min="3578" max="3578" width="10.33203125" style="460" bestFit="1" customWidth="1"/>
    <col min="3579" max="3579" width="30.1640625" style="460" bestFit="1" customWidth="1"/>
    <col min="3580" max="3580" width="21" style="460" customWidth="1"/>
    <col min="3581" max="3582" width="13.5" style="460" customWidth="1"/>
    <col min="3583" max="3583" width="21.83203125" style="460" bestFit="1" customWidth="1"/>
    <col min="3584" max="3584" width="12" style="460" customWidth="1"/>
    <col min="3585" max="3585" width="11.5" style="460" bestFit="1" customWidth="1"/>
    <col min="3586" max="3586" width="13.5" style="460" customWidth="1"/>
    <col min="3587" max="3587" width="15.5" style="460" customWidth="1"/>
    <col min="3588" max="3589" width="18.5" style="460" customWidth="1"/>
    <col min="3590" max="3590" width="17.83203125" style="460" customWidth="1"/>
    <col min="3591" max="3833" width="9.1640625" style="460" customWidth="1"/>
    <col min="3834" max="3834" width="10.33203125" style="460" bestFit="1" customWidth="1"/>
    <col min="3835" max="3835" width="30.1640625" style="460" bestFit="1" customWidth="1"/>
    <col min="3836" max="3836" width="21" style="460" customWidth="1"/>
    <col min="3837" max="3838" width="13.5" style="460" customWidth="1"/>
    <col min="3839" max="3839" width="21.83203125" style="460" bestFit="1" customWidth="1"/>
    <col min="3840" max="3840" width="12" style="460" customWidth="1"/>
    <col min="3841" max="3841" width="11.5" style="460" bestFit="1" customWidth="1"/>
    <col min="3842" max="3842" width="13.5" style="460" customWidth="1"/>
    <col min="3843" max="3843" width="15.5" style="460" customWidth="1"/>
    <col min="3844" max="3845" width="18.5" style="460" customWidth="1"/>
    <col min="3846" max="3846" width="17.83203125" style="460" customWidth="1"/>
    <col min="3847" max="4089" width="9.1640625" style="460" customWidth="1"/>
    <col min="4090" max="4090" width="10.33203125" style="460" bestFit="1" customWidth="1"/>
    <col min="4091" max="4091" width="30.1640625" style="460" bestFit="1" customWidth="1"/>
    <col min="4092" max="4092" width="21" style="460" customWidth="1"/>
    <col min="4093" max="4094" width="13.5" style="460" customWidth="1"/>
    <col min="4095" max="4095" width="21.83203125" style="460" bestFit="1" customWidth="1"/>
    <col min="4096" max="4096" width="12" style="460" customWidth="1"/>
    <col min="4097" max="4097" width="11.5" style="460" bestFit="1" customWidth="1"/>
    <col min="4098" max="4098" width="13.5" style="460" customWidth="1"/>
    <col min="4099" max="4099" width="15.5" style="460" customWidth="1"/>
    <col min="4100" max="4101" width="18.5" style="460" customWidth="1"/>
    <col min="4102" max="4102" width="17.83203125" style="460" customWidth="1"/>
    <col min="4103" max="4345" width="9.1640625" style="460" customWidth="1"/>
    <col min="4346" max="4346" width="10.33203125" style="460" bestFit="1" customWidth="1"/>
    <col min="4347" max="4347" width="30.1640625" style="460" bestFit="1" customWidth="1"/>
    <col min="4348" max="4348" width="21" style="460" customWidth="1"/>
    <col min="4349" max="4350" width="13.5" style="460" customWidth="1"/>
    <col min="4351" max="4351" width="21.83203125" style="460" bestFit="1" customWidth="1"/>
    <col min="4352" max="4352" width="12" style="460" customWidth="1"/>
    <col min="4353" max="4353" width="11.5" style="460" bestFit="1" customWidth="1"/>
    <col min="4354" max="4354" width="13.5" style="460" customWidth="1"/>
    <col min="4355" max="4355" width="15.5" style="460" customWidth="1"/>
    <col min="4356" max="4357" width="18.5" style="460" customWidth="1"/>
    <col min="4358" max="4358" width="17.83203125" style="460" customWidth="1"/>
    <col min="4359" max="4601" width="9.1640625" style="460" customWidth="1"/>
    <col min="4602" max="4602" width="10.33203125" style="460" bestFit="1" customWidth="1"/>
    <col min="4603" max="4603" width="30.1640625" style="460" bestFit="1" customWidth="1"/>
    <col min="4604" max="4604" width="21" style="460" customWidth="1"/>
    <col min="4605" max="4606" width="13.5" style="460" customWidth="1"/>
    <col min="4607" max="4607" width="21.83203125" style="460" bestFit="1" customWidth="1"/>
    <col min="4608" max="4608" width="12" style="460" customWidth="1"/>
    <col min="4609" max="4609" width="11.5" style="460" bestFit="1" customWidth="1"/>
    <col min="4610" max="4610" width="13.5" style="460" customWidth="1"/>
    <col min="4611" max="4611" width="15.5" style="460" customWidth="1"/>
    <col min="4612" max="4613" width="18.5" style="460" customWidth="1"/>
    <col min="4614" max="4614" width="17.83203125" style="460" customWidth="1"/>
    <col min="4615" max="4857" width="9.1640625" style="460" customWidth="1"/>
    <col min="4858" max="4858" width="10.33203125" style="460" bestFit="1" customWidth="1"/>
    <col min="4859" max="4859" width="30.1640625" style="460" bestFit="1" customWidth="1"/>
    <col min="4860" max="4860" width="21" style="460" customWidth="1"/>
    <col min="4861" max="4862" width="13.5" style="460" customWidth="1"/>
    <col min="4863" max="4863" width="21.83203125" style="460" bestFit="1" customWidth="1"/>
    <col min="4864" max="4864" width="12" style="460" customWidth="1"/>
    <col min="4865" max="4865" width="11.5" style="460" bestFit="1" customWidth="1"/>
    <col min="4866" max="4866" width="13.5" style="460" customWidth="1"/>
    <col min="4867" max="4867" width="15.5" style="460" customWidth="1"/>
    <col min="4868" max="4869" width="18.5" style="460" customWidth="1"/>
    <col min="4870" max="4870" width="17.83203125" style="460" customWidth="1"/>
    <col min="4871" max="5113" width="9.1640625" style="460" customWidth="1"/>
    <col min="5114" max="5114" width="10.33203125" style="460" bestFit="1" customWidth="1"/>
    <col min="5115" max="5115" width="30.1640625" style="460" bestFit="1" customWidth="1"/>
    <col min="5116" max="5116" width="21" style="460" customWidth="1"/>
    <col min="5117" max="5118" width="13.5" style="460" customWidth="1"/>
    <col min="5119" max="5119" width="21.83203125" style="460" bestFit="1" customWidth="1"/>
    <col min="5120" max="5120" width="12" style="460" customWidth="1"/>
    <col min="5121" max="5121" width="11.5" style="460" bestFit="1" customWidth="1"/>
    <col min="5122" max="5122" width="13.5" style="460" customWidth="1"/>
    <col min="5123" max="5123" width="15.5" style="460" customWidth="1"/>
    <col min="5124" max="5125" width="18.5" style="460" customWidth="1"/>
    <col min="5126" max="5126" width="17.83203125" style="460" customWidth="1"/>
    <col min="5127" max="5369" width="9.1640625" style="460" customWidth="1"/>
    <col min="5370" max="5370" width="10.33203125" style="460" bestFit="1" customWidth="1"/>
    <col min="5371" max="5371" width="30.1640625" style="460" bestFit="1" customWidth="1"/>
    <col min="5372" max="5372" width="21" style="460" customWidth="1"/>
    <col min="5373" max="5374" width="13.5" style="460" customWidth="1"/>
    <col min="5375" max="5375" width="21.83203125" style="460" bestFit="1" customWidth="1"/>
    <col min="5376" max="5376" width="12" style="460" customWidth="1"/>
    <col min="5377" max="5377" width="11.5" style="460" bestFit="1" customWidth="1"/>
    <col min="5378" max="5378" width="13.5" style="460" customWidth="1"/>
    <col min="5379" max="5379" width="15.5" style="460" customWidth="1"/>
    <col min="5380" max="5381" width="18.5" style="460" customWidth="1"/>
    <col min="5382" max="5382" width="17.83203125" style="460" customWidth="1"/>
    <col min="5383" max="5625" width="9.1640625" style="460" customWidth="1"/>
    <col min="5626" max="5626" width="10.33203125" style="460" bestFit="1" customWidth="1"/>
    <col min="5627" max="5627" width="30.1640625" style="460" bestFit="1" customWidth="1"/>
    <col min="5628" max="5628" width="21" style="460" customWidth="1"/>
    <col min="5629" max="5630" width="13.5" style="460" customWidth="1"/>
    <col min="5631" max="5631" width="21.83203125" style="460" bestFit="1" customWidth="1"/>
    <col min="5632" max="5632" width="12" style="460" customWidth="1"/>
    <col min="5633" max="5633" width="11.5" style="460" bestFit="1" customWidth="1"/>
    <col min="5634" max="5634" width="13.5" style="460" customWidth="1"/>
    <col min="5635" max="5635" width="15.5" style="460" customWidth="1"/>
    <col min="5636" max="5637" width="18.5" style="460" customWidth="1"/>
    <col min="5638" max="5638" width="17.83203125" style="460" customWidth="1"/>
    <col min="5639" max="5881" width="9.1640625" style="460" customWidth="1"/>
    <col min="5882" max="5882" width="10.33203125" style="460" bestFit="1" customWidth="1"/>
    <col min="5883" max="5883" width="30.1640625" style="460" bestFit="1" customWidth="1"/>
    <col min="5884" max="5884" width="21" style="460" customWidth="1"/>
    <col min="5885" max="5886" width="13.5" style="460" customWidth="1"/>
    <col min="5887" max="5887" width="21.83203125" style="460" bestFit="1" customWidth="1"/>
    <col min="5888" max="5888" width="12" style="460" customWidth="1"/>
    <col min="5889" max="5889" width="11.5" style="460" bestFit="1" customWidth="1"/>
    <col min="5890" max="5890" width="13.5" style="460" customWidth="1"/>
    <col min="5891" max="5891" width="15.5" style="460" customWidth="1"/>
    <col min="5892" max="5893" width="18.5" style="460" customWidth="1"/>
    <col min="5894" max="5894" width="17.83203125" style="460" customWidth="1"/>
    <col min="5895" max="6137" width="9.1640625" style="460" customWidth="1"/>
    <col min="6138" max="6138" width="10.33203125" style="460" bestFit="1" customWidth="1"/>
    <col min="6139" max="6139" width="30.1640625" style="460" bestFit="1" customWidth="1"/>
    <col min="6140" max="6140" width="21" style="460" customWidth="1"/>
    <col min="6141" max="6142" width="13.5" style="460" customWidth="1"/>
    <col min="6143" max="6143" width="21.83203125" style="460" bestFit="1" customWidth="1"/>
    <col min="6144" max="6144" width="12" style="460" customWidth="1"/>
    <col min="6145" max="6145" width="11.5" style="460" bestFit="1" customWidth="1"/>
    <col min="6146" max="6146" width="13.5" style="460" customWidth="1"/>
    <col min="6147" max="6147" width="15.5" style="460" customWidth="1"/>
    <col min="6148" max="6149" width="18.5" style="460" customWidth="1"/>
    <col min="6150" max="6150" width="17.83203125" style="460" customWidth="1"/>
    <col min="6151" max="6393" width="9.1640625" style="460" customWidth="1"/>
    <col min="6394" max="6394" width="10.33203125" style="460" bestFit="1" customWidth="1"/>
    <col min="6395" max="6395" width="30.1640625" style="460" bestFit="1" customWidth="1"/>
    <col min="6396" max="6396" width="21" style="460" customWidth="1"/>
    <col min="6397" max="6398" width="13.5" style="460" customWidth="1"/>
    <col min="6399" max="6399" width="21.83203125" style="460" bestFit="1" customWidth="1"/>
    <col min="6400" max="6400" width="12" style="460" customWidth="1"/>
    <col min="6401" max="6401" width="11.5" style="460" bestFit="1" customWidth="1"/>
    <col min="6402" max="6402" width="13.5" style="460" customWidth="1"/>
    <col min="6403" max="6403" width="15.5" style="460" customWidth="1"/>
    <col min="6404" max="6405" width="18.5" style="460" customWidth="1"/>
    <col min="6406" max="6406" width="17.83203125" style="460" customWidth="1"/>
    <col min="6407" max="6649" width="9.1640625" style="460" customWidth="1"/>
    <col min="6650" max="6650" width="10.33203125" style="460" bestFit="1" customWidth="1"/>
    <col min="6651" max="6651" width="30.1640625" style="460" bestFit="1" customWidth="1"/>
    <col min="6652" max="6652" width="21" style="460" customWidth="1"/>
    <col min="6653" max="6654" width="13.5" style="460" customWidth="1"/>
    <col min="6655" max="6655" width="21.83203125" style="460" bestFit="1" customWidth="1"/>
    <col min="6656" max="6656" width="12" style="460" customWidth="1"/>
    <col min="6657" max="6657" width="11.5" style="460" bestFit="1" customWidth="1"/>
    <col min="6658" max="6658" width="13.5" style="460" customWidth="1"/>
    <col min="6659" max="6659" width="15.5" style="460" customWidth="1"/>
    <col min="6660" max="6661" width="18.5" style="460" customWidth="1"/>
    <col min="6662" max="6662" width="17.83203125" style="460" customWidth="1"/>
    <col min="6663" max="6905" width="9.1640625" style="460" customWidth="1"/>
    <col min="6906" max="6906" width="10.33203125" style="460" bestFit="1" customWidth="1"/>
    <col min="6907" max="6907" width="30.1640625" style="460" bestFit="1" customWidth="1"/>
    <col min="6908" max="6908" width="21" style="460" customWidth="1"/>
    <col min="6909" max="6910" width="13.5" style="460" customWidth="1"/>
    <col min="6911" max="6911" width="21.83203125" style="460" bestFit="1" customWidth="1"/>
    <col min="6912" max="6912" width="12" style="460" customWidth="1"/>
    <col min="6913" max="6913" width="11.5" style="460" bestFit="1" customWidth="1"/>
    <col min="6914" max="6914" width="13.5" style="460" customWidth="1"/>
    <col min="6915" max="6915" width="15.5" style="460" customWidth="1"/>
    <col min="6916" max="6917" width="18.5" style="460" customWidth="1"/>
    <col min="6918" max="6918" width="17.83203125" style="460" customWidth="1"/>
    <col min="6919" max="7161" width="9.1640625" style="460" customWidth="1"/>
    <col min="7162" max="7162" width="10.33203125" style="460" bestFit="1" customWidth="1"/>
    <col min="7163" max="7163" width="30.1640625" style="460" bestFit="1" customWidth="1"/>
    <col min="7164" max="7164" width="21" style="460" customWidth="1"/>
    <col min="7165" max="7166" width="13.5" style="460" customWidth="1"/>
    <col min="7167" max="7167" width="21.83203125" style="460" bestFit="1" customWidth="1"/>
    <col min="7168" max="7168" width="12" style="460" customWidth="1"/>
    <col min="7169" max="7169" width="11.5" style="460" bestFit="1" customWidth="1"/>
    <col min="7170" max="7170" width="13.5" style="460" customWidth="1"/>
    <col min="7171" max="7171" width="15.5" style="460" customWidth="1"/>
    <col min="7172" max="7173" width="18.5" style="460" customWidth="1"/>
    <col min="7174" max="7174" width="17.83203125" style="460" customWidth="1"/>
    <col min="7175" max="7417" width="9.1640625" style="460" customWidth="1"/>
    <col min="7418" max="7418" width="10.33203125" style="460" bestFit="1" customWidth="1"/>
    <col min="7419" max="7419" width="30.1640625" style="460" bestFit="1" customWidth="1"/>
    <col min="7420" max="7420" width="21" style="460" customWidth="1"/>
    <col min="7421" max="7422" width="13.5" style="460" customWidth="1"/>
    <col min="7423" max="7423" width="21.83203125" style="460" bestFit="1" customWidth="1"/>
    <col min="7424" max="7424" width="12" style="460" customWidth="1"/>
    <col min="7425" max="7425" width="11.5" style="460" bestFit="1" customWidth="1"/>
    <col min="7426" max="7426" width="13.5" style="460" customWidth="1"/>
    <col min="7427" max="7427" width="15.5" style="460" customWidth="1"/>
    <col min="7428" max="7429" width="18.5" style="460" customWidth="1"/>
    <col min="7430" max="7430" width="17.83203125" style="460" customWidth="1"/>
    <col min="7431" max="7673" width="9.1640625" style="460" customWidth="1"/>
    <col min="7674" max="7674" width="10.33203125" style="460" bestFit="1" customWidth="1"/>
    <col min="7675" max="7675" width="30.1640625" style="460" bestFit="1" customWidth="1"/>
    <col min="7676" max="7676" width="21" style="460" customWidth="1"/>
    <col min="7677" max="7678" width="13.5" style="460" customWidth="1"/>
    <col min="7679" max="7679" width="21.83203125" style="460" bestFit="1" customWidth="1"/>
    <col min="7680" max="7680" width="12" style="460" customWidth="1"/>
    <col min="7681" max="7681" width="11.5" style="460" bestFit="1" customWidth="1"/>
    <col min="7682" max="7682" width="13.5" style="460" customWidth="1"/>
    <col min="7683" max="7683" width="15.5" style="460" customWidth="1"/>
    <col min="7684" max="7685" width="18.5" style="460" customWidth="1"/>
    <col min="7686" max="7686" width="17.83203125" style="460" customWidth="1"/>
    <col min="7687" max="7929" width="9.1640625" style="460" customWidth="1"/>
    <col min="7930" max="7930" width="10.33203125" style="460" bestFit="1" customWidth="1"/>
    <col min="7931" max="7931" width="30.1640625" style="460" bestFit="1" customWidth="1"/>
    <col min="7932" max="7932" width="21" style="460" customWidth="1"/>
    <col min="7933" max="7934" width="13.5" style="460" customWidth="1"/>
    <col min="7935" max="7935" width="21.83203125" style="460" bestFit="1" customWidth="1"/>
    <col min="7936" max="7936" width="12" style="460" customWidth="1"/>
    <col min="7937" max="7937" width="11.5" style="460" bestFit="1" customWidth="1"/>
    <col min="7938" max="7938" width="13.5" style="460" customWidth="1"/>
    <col min="7939" max="7939" width="15.5" style="460" customWidth="1"/>
    <col min="7940" max="7941" width="18.5" style="460" customWidth="1"/>
    <col min="7942" max="7942" width="17.83203125" style="460" customWidth="1"/>
    <col min="7943" max="8185" width="9.1640625" style="460" customWidth="1"/>
    <col min="8186" max="8186" width="10.33203125" style="460" bestFit="1" customWidth="1"/>
    <col min="8187" max="8187" width="30.1640625" style="460" bestFit="1" customWidth="1"/>
    <col min="8188" max="8188" width="21" style="460" customWidth="1"/>
    <col min="8189" max="8190" width="13.5" style="460" customWidth="1"/>
    <col min="8191" max="8191" width="21.83203125" style="460" bestFit="1" customWidth="1"/>
    <col min="8192" max="8192" width="12" style="460" customWidth="1"/>
    <col min="8193" max="8193" width="11.5" style="460" bestFit="1" customWidth="1"/>
    <col min="8194" max="8194" width="13.5" style="460" customWidth="1"/>
    <col min="8195" max="8195" width="15.5" style="460" customWidth="1"/>
    <col min="8196" max="8197" width="18.5" style="460" customWidth="1"/>
    <col min="8198" max="8198" width="17.83203125" style="460" customWidth="1"/>
    <col min="8199" max="8441" width="9.1640625" style="460" customWidth="1"/>
    <col min="8442" max="8442" width="10.33203125" style="460" bestFit="1" customWidth="1"/>
    <col min="8443" max="8443" width="30.1640625" style="460" bestFit="1" customWidth="1"/>
    <col min="8444" max="8444" width="21" style="460" customWidth="1"/>
    <col min="8445" max="8446" width="13.5" style="460" customWidth="1"/>
    <col min="8447" max="8447" width="21.83203125" style="460" bestFit="1" customWidth="1"/>
    <col min="8448" max="8448" width="12" style="460" customWidth="1"/>
    <col min="8449" max="8449" width="11.5" style="460" bestFit="1" customWidth="1"/>
    <col min="8450" max="8450" width="13.5" style="460" customWidth="1"/>
    <col min="8451" max="8451" width="15.5" style="460" customWidth="1"/>
    <col min="8452" max="8453" width="18.5" style="460" customWidth="1"/>
    <col min="8454" max="8454" width="17.83203125" style="460" customWidth="1"/>
    <col min="8455" max="8697" width="9.1640625" style="460" customWidth="1"/>
    <col min="8698" max="8698" width="10.33203125" style="460" bestFit="1" customWidth="1"/>
    <col min="8699" max="8699" width="30.1640625" style="460" bestFit="1" customWidth="1"/>
    <col min="8700" max="8700" width="21" style="460" customWidth="1"/>
    <col min="8701" max="8702" width="13.5" style="460" customWidth="1"/>
    <col min="8703" max="8703" width="21.83203125" style="460" bestFit="1" customWidth="1"/>
    <col min="8704" max="8704" width="12" style="460" customWidth="1"/>
    <col min="8705" max="8705" width="11.5" style="460" bestFit="1" customWidth="1"/>
    <col min="8706" max="8706" width="13.5" style="460" customWidth="1"/>
    <col min="8707" max="8707" width="15.5" style="460" customWidth="1"/>
    <col min="8708" max="8709" width="18.5" style="460" customWidth="1"/>
    <col min="8710" max="8710" width="17.83203125" style="460" customWidth="1"/>
    <col min="8711" max="8953" width="9.1640625" style="460" customWidth="1"/>
    <col min="8954" max="8954" width="10.33203125" style="460" bestFit="1" customWidth="1"/>
    <col min="8955" max="8955" width="30.1640625" style="460" bestFit="1" customWidth="1"/>
    <col min="8956" max="8956" width="21" style="460" customWidth="1"/>
    <col min="8957" max="8958" width="13.5" style="460" customWidth="1"/>
    <col min="8959" max="8959" width="21.83203125" style="460" bestFit="1" customWidth="1"/>
    <col min="8960" max="8960" width="12" style="460" customWidth="1"/>
    <col min="8961" max="8961" width="11.5" style="460" bestFit="1" customWidth="1"/>
    <col min="8962" max="8962" width="13.5" style="460" customWidth="1"/>
    <col min="8963" max="8963" width="15.5" style="460" customWidth="1"/>
    <col min="8964" max="8965" width="18.5" style="460" customWidth="1"/>
    <col min="8966" max="8966" width="17.83203125" style="460" customWidth="1"/>
    <col min="8967" max="9209" width="9.1640625" style="460" customWidth="1"/>
    <col min="9210" max="9210" width="10.33203125" style="460" bestFit="1" customWidth="1"/>
    <col min="9211" max="9211" width="30.1640625" style="460" bestFit="1" customWidth="1"/>
    <col min="9212" max="9212" width="21" style="460" customWidth="1"/>
    <col min="9213" max="9214" width="13.5" style="460" customWidth="1"/>
    <col min="9215" max="9215" width="21.83203125" style="460" bestFit="1" customWidth="1"/>
    <col min="9216" max="9216" width="12" style="460" customWidth="1"/>
    <col min="9217" max="9217" width="11.5" style="460" bestFit="1" customWidth="1"/>
    <col min="9218" max="9218" width="13.5" style="460" customWidth="1"/>
    <col min="9219" max="9219" width="15.5" style="460" customWidth="1"/>
    <col min="9220" max="9221" width="18.5" style="460" customWidth="1"/>
    <col min="9222" max="9222" width="17.83203125" style="460" customWidth="1"/>
    <col min="9223" max="9465" width="9.1640625" style="460" customWidth="1"/>
    <col min="9466" max="9466" width="10.33203125" style="460" bestFit="1" customWidth="1"/>
    <col min="9467" max="9467" width="30.1640625" style="460" bestFit="1" customWidth="1"/>
    <col min="9468" max="9468" width="21" style="460" customWidth="1"/>
    <col min="9469" max="9470" width="13.5" style="460" customWidth="1"/>
    <col min="9471" max="9471" width="21.83203125" style="460" bestFit="1" customWidth="1"/>
    <col min="9472" max="9472" width="12" style="460" customWidth="1"/>
    <col min="9473" max="9473" width="11.5" style="460" bestFit="1" customWidth="1"/>
    <col min="9474" max="9474" width="13.5" style="460" customWidth="1"/>
    <col min="9475" max="9475" width="15.5" style="460" customWidth="1"/>
    <col min="9476" max="9477" width="18.5" style="460" customWidth="1"/>
    <col min="9478" max="9478" width="17.83203125" style="460" customWidth="1"/>
    <col min="9479" max="9721" width="9.1640625" style="460" customWidth="1"/>
    <col min="9722" max="9722" width="10.33203125" style="460" bestFit="1" customWidth="1"/>
    <col min="9723" max="9723" width="30.1640625" style="460" bestFit="1" customWidth="1"/>
    <col min="9724" max="9724" width="21" style="460" customWidth="1"/>
    <col min="9725" max="9726" width="13.5" style="460" customWidth="1"/>
    <col min="9727" max="9727" width="21.83203125" style="460" bestFit="1" customWidth="1"/>
    <col min="9728" max="9728" width="12" style="460" customWidth="1"/>
    <col min="9729" max="9729" width="11.5" style="460" bestFit="1" customWidth="1"/>
    <col min="9730" max="9730" width="13.5" style="460" customWidth="1"/>
    <col min="9731" max="9731" width="15.5" style="460" customWidth="1"/>
    <col min="9732" max="9733" width="18.5" style="460" customWidth="1"/>
    <col min="9734" max="9734" width="17.83203125" style="460" customWidth="1"/>
    <col min="9735" max="9977" width="9.1640625" style="460" customWidth="1"/>
    <col min="9978" max="9978" width="10.33203125" style="460" bestFit="1" customWidth="1"/>
    <col min="9979" max="9979" width="30.1640625" style="460" bestFit="1" customWidth="1"/>
    <col min="9980" max="9980" width="21" style="460" customWidth="1"/>
    <col min="9981" max="9982" width="13.5" style="460" customWidth="1"/>
    <col min="9983" max="9983" width="21.83203125" style="460" bestFit="1" customWidth="1"/>
    <col min="9984" max="9984" width="12" style="460" customWidth="1"/>
    <col min="9985" max="9985" width="11.5" style="460" bestFit="1" customWidth="1"/>
    <col min="9986" max="9986" width="13.5" style="460" customWidth="1"/>
    <col min="9987" max="9987" width="15.5" style="460" customWidth="1"/>
    <col min="9988" max="9989" width="18.5" style="460" customWidth="1"/>
    <col min="9990" max="9990" width="17.83203125" style="460" customWidth="1"/>
    <col min="9991" max="10233" width="9.1640625" style="460" customWidth="1"/>
    <col min="10234" max="10234" width="10.33203125" style="460" bestFit="1" customWidth="1"/>
    <col min="10235" max="10235" width="30.1640625" style="460" bestFit="1" customWidth="1"/>
    <col min="10236" max="10236" width="21" style="460" customWidth="1"/>
    <col min="10237" max="10238" width="13.5" style="460" customWidth="1"/>
    <col min="10239" max="10239" width="21.83203125" style="460" bestFit="1" customWidth="1"/>
    <col min="10240" max="10240" width="12" style="460" customWidth="1"/>
    <col min="10241" max="10241" width="11.5" style="460" bestFit="1" customWidth="1"/>
    <col min="10242" max="10242" width="13.5" style="460" customWidth="1"/>
    <col min="10243" max="10243" width="15.5" style="460" customWidth="1"/>
    <col min="10244" max="10245" width="18.5" style="460" customWidth="1"/>
    <col min="10246" max="10246" width="17.83203125" style="460" customWidth="1"/>
    <col min="10247" max="10489" width="9.1640625" style="460" customWidth="1"/>
    <col min="10490" max="10490" width="10.33203125" style="460" bestFit="1" customWidth="1"/>
    <col min="10491" max="10491" width="30.1640625" style="460" bestFit="1" customWidth="1"/>
    <col min="10492" max="10492" width="21" style="460" customWidth="1"/>
    <col min="10493" max="10494" width="13.5" style="460" customWidth="1"/>
    <col min="10495" max="10495" width="21.83203125" style="460" bestFit="1" customWidth="1"/>
    <col min="10496" max="10496" width="12" style="460" customWidth="1"/>
    <col min="10497" max="10497" width="11.5" style="460" bestFit="1" customWidth="1"/>
    <col min="10498" max="10498" width="13.5" style="460" customWidth="1"/>
    <col min="10499" max="10499" width="15.5" style="460" customWidth="1"/>
    <col min="10500" max="10501" width="18.5" style="460" customWidth="1"/>
    <col min="10502" max="10502" width="17.83203125" style="460" customWidth="1"/>
    <col min="10503" max="10745" width="9.1640625" style="460" customWidth="1"/>
    <col min="10746" max="10746" width="10.33203125" style="460" bestFit="1" customWidth="1"/>
    <col min="10747" max="10747" width="30.1640625" style="460" bestFit="1" customWidth="1"/>
    <col min="10748" max="10748" width="21" style="460" customWidth="1"/>
    <col min="10749" max="10750" width="13.5" style="460" customWidth="1"/>
    <col min="10751" max="10751" width="21.83203125" style="460" bestFit="1" customWidth="1"/>
    <col min="10752" max="10752" width="12" style="460" customWidth="1"/>
    <col min="10753" max="10753" width="11.5" style="460" bestFit="1" customWidth="1"/>
    <col min="10754" max="10754" width="13.5" style="460" customWidth="1"/>
    <col min="10755" max="10755" width="15.5" style="460" customWidth="1"/>
    <col min="10756" max="10757" width="18.5" style="460" customWidth="1"/>
    <col min="10758" max="10758" width="17.83203125" style="460" customWidth="1"/>
    <col min="10759" max="11001" width="9.1640625" style="460" customWidth="1"/>
    <col min="11002" max="11002" width="10.33203125" style="460" bestFit="1" customWidth="1"/>
    <col min="11003" max="11003" width="30.1640625" style="460" bestFit="1" customWidth="1"/>
    <col min="11004" max="11004" width="21" style="460" customWidth="1"/>
    <col min="11005" max="11006" width="13.5" style="460" customWidth="1"/>
    <col min="11007" max="11007" width="21.83203125" style="460" bestFit="1" customWidth="1"/>
    <col min="11008" max="11008" width="12" style="460" customWidth="1"/>
    <col min="11009" max="11009" width="11.5" style="460" bestFit="1" customWidth="1"/>
    <col min="11010" max="11010" width="13.5" style="460" customWidth="1"/>
    <col min="11011" max="11011" width="15.5" style="460" customWidth="1"/>
    <col min="11012" max="11013" width="18.5" style="460" customWidth="1"/>
    <col min="11014" max="11014" width="17.83203125" style="460" customWidth="1"/>
    <col min="11015" max="11257" width="9.1640625" style="460" customWidth="1"/>
    <col min="11258" max="11258" width="10.33203125" style="460" bestFit="1" customWidth="1"/>
    <col min="11259" max="11259" width="30.1640625" style="460" bestFit="1" customWidth="1"/>
    <col min="11260" max="11260" width="21" style="460" customWidth="1"/>
    <col min="11261" max="11262" width="13.5" style="460" customWidth="1"/>
    <col min="11263" max="11263" width="21.83203125" style="460" bestFit="1" customWidth="1"/>
    <col min="11264" max="11264" width="12" style="460" customWidth="1"/>
    <col min="11265" max="11265" width="11.5" style="460" bestFit="1" customWidth="1"/>
    <col min="11266" max="11266" width="13.5" style="460" customWidth="1"/>
    <col min="11267" max="11267" width="15.5" style="460" customWidth="1"/>
    <col min="11268" max="11269" width="18.5" style="460" customWidth="1"/>
    <col min="11270" max="11270" width="17.83203125" style="460" customWidth="1"/>
    <col min="11271" max="11513" width="9.1640625" style="460" customWidth="1"/>
    <col min="11514" max="11514" width="10.33203125" style="460" bestFit="1" customWidth="1"/>
    <col min="11515" max="11515" width="30.1640625" style="460" bestFit="1" customWidth="1"/>
    <col min="11516" max="11516" width="21" style="460" customWidth="1"/>
    <col min="11517" max="11518" width="13.5" style="460" customWidth="1"/>
    <col min="11519" max="11519" width="21.83203125" style="460" bestFit="1" customWidth="1"/>
    <col min="11520" max="11520" width="12" style="460" customWidth="1"/>
    <col min="11521" max="11521" width="11.5" style="460" bestFit="1" customWidth="1"/>
    <col min="11522" max="11522" width="13.5" style="460" customWidth="1"/>
    <col min="11523" max="11523" width="15.5" style="460" customWidth="1"/>
    <col min="11524" max="11525" width="18.5" style="460" customWidth="1"/>
    <col min="11526" max="11526" width="17.83203125" style="460" customWidth="1"/>
    <col min="11527" max="11769" width="9.1640625" style="460" customWidth="1"/>
    <col min="11770" max="11770" width="10.33203125" style="460" bestFit="1" customWidth="1"/>
    <col min="11771" max="11771" width="30.1640625" style="460" bestFit="1" customWidth="1"/>
    <col min="11772" max="11772" width="21" style="460" customWidth="1"/>
    <col min="11773" max="11774" width="13.5" style="460" customWidth="1"/>
    <col min="11775" max="11775" width="21.83203125" style="460" bestFit="1" customWidth="1"/>
    <col min="11776" max="11776" width="12" style="460" customWidth="1"/>
    <col min="11777" max="11777" width="11.5" style="460" bestFit="1" customWidth="1"/>
    <col min="11778" max="11778" width="13.5" style="460" customWidth="1"/>
    <col min="11779" max="11779" width="15.5" style="460" customWidth="1"/>
    <col min="11780" max="11781" width="18.5" style="460" customWidth="1"/>
    <col min="11782" max="11782" width="17.83203125" style="460" customWidth="1"/>
    <col min="11783" max="12025" width="9.1640625" style="460" customWidth="1"/>
    <col min="12026" max="12026" width="10.33203125" style="460" bestFit="1" customWidth="1"/>
    <col min="12027" max="12027" width="30.1640625" style="460" bestFit="1" customWidth="1"/>
    <col min="12028" max="12028" width="21" style="460" customWidth="1"/>
    <col min="12029" max="12030" width="13.5" style="460" customWidth="1"/>
    <col min="12031" max="12031" width="21.83203125" style="460" bestFit="1" customWidth="1"/>
    <col min="12032" max="12032" width="12" style="460" customWidth="1"/>
    <col min="12033" max="12033" width="11.5" style="460" bestFit="1" customWidth="1"/>
    <col min="12034" max="12034" width="13.5" style="460" customWidth="1"/>
    <col min="12035" max="12035" width="15.5" style="460" customWidth="1"/>
    <col min="12036" max="12037" width="18.5" style="460" customWidth="1"/>
    <col min="12038" max="12038" width="17.83203125" style="460" customWidth="1"/>
    <col min="12039" max="12281" width="9.1640625" style="460" customWidth="1"/>
    <col min="12282" max="12282" width="10.33203125" style="460" bestFit="1" customWidth="1"/>
    <col min="12283" max="12283" width="30.1640625" style="460" bestFit="1" customWidth="1"/>
    <col min="12284" max="12284" width="21" style="460" customWidth="1"/>
    <col min="12285" max="12286" width="13.5" style="460" customWidth="1"/>
    <col min="12287" max="12287" width="21.83203125" style="460" bestFit="1" customWidth="1"/>
    <col min="12288" max="12288" width="12" style="460" customWidth="1"/>
    <col min="12289" max="12289" width="11.5" style="460" bestFit="1" customWidth="1"/>
    <col min="12290" max="12290" width="13.5" style="460" customWidth="1"/>
    <col min="12291" max="12291" width="15.5" style="460" customWidth="1"/>
    <col min="12292" max="12293" width="18.5" style="460" customWidth="1"/>
    <col min="12294" max="12294" width="17.83203125" style="460" customWidth="1"/>
    <col min="12295" max="12537" width="9.1640625" style="460" customWidth="1"/>
    <col min="12538" max="12538" width="10.33203125" style="460" bestFit="1" customWidth="1"/>
    <col min="12539" max="12539" width="30.1640625" style="460" bestFit="1" customWidth="1"/>
    <col min="12540" max="12540" width="21" style="460" customWidth="1"/>
    <col min="12541" max="12542" width="13.5" style="460" customWidth="1"/>
    <col min="12543" max="12543" width="21.83203125" style="460" bestFit="1" customWidth="1"/>
    <col min="12544" max="12544" width="12" style="460" customWidth="1"/>
    <col min="12545" max="12545" width="11.5" style="460" bestFit="1" customWidth="1"/>
    <col min="12546" max="12546" width="13.5" style="460" customWidth="1"/>
    <col min="12547" max="12547" width="15.5" style="460" customWidth="1"/>
    <col min="12548" max="12549" width="18.5" style="460" customWidth="1"/>
    <col min="12550" max="12550" width="17.83203125" style="460" customWidth="1"/>
    <col min="12551" max="12793" width="9.1640625" style="460" customWidth="1"/>
    <col min="12794" max="12794" width="10.33203125" style="460" bestFit="1" customWidth="1"/>
    <col min="12795" max="12795" width="30.1640625" style="460" bestFit="1" customWidth="1"/>
    <col min="12796" max="12796" width="21" style="460" customWidth="1"/>
    <col min="12797" max="12798" width="13.5" style="460" customWidth="1"/>
    <col min="12799" max="12799" width="21.83203125" style="460" bestFit="1" customWidth="1"/>
    <col min="12800" max="12800" width="12" style="460" customWidth="1"/>
    <col min="12801" max="12801" width="11.5" style="460" bestFit="1" customWidth="1"/>
    <col min="12802" max="12802" width="13.5" style="460" customWidth="1"/>
    <col min="12803" max="12803" width="15.5" style="460" customWidth="1"/>
    <col min="12804" max="12805" width="18.5" style="460" customWidth="1"/>
    <col min="12806" max="12806" width="17.83203125" style="460" customWidth="1"/>
    <col min="12807" max="13049" width="9.1640625" style="460" customWidth="1"/>
    <col min="13050" max="13050" width="10.33203125" style="460" bestFit="1" customWidth="1"/>
    <col min="13051" max="13051" width="30.1640625" style="460" bestFit="1" customWidth="1"/>
    <col min="13052" max="13052" width="21" style="460" customWidth="1"/>
    <col min="13053" max="13054" width="13.5" style="460" customWidth="1"/>
    <col min="13055" max="13055" width="21.83203125" style="460" bestFit="1" customWidth="1"/>
    <col min="13056" max="13056" width="12" style="460" customWidth="1"/>
    <col min="13057" max="13057" width="11.5" style="460" bestFit="1" customWidth="1"/>
    <col min="13058" max="13058" width="13.5" style="460" customWidth="1"/>
    <col min="13059" max="13059" width="15.5" style="460" customWidth="1"/>
    <col min="13060" max="13061" width="18.5" style="460" customWidth="1"/>
    <col min="13062" max="13062" width="17.83203125" style="460" customWidth="1"/>
    <col min="13063" max="13305" width="9.1640625" style="460" customWidth="1"/>
    <col min="13306" max="13306" width="10.33203125" style="460" bestFit="1" customWidth="1"/>
    <col min="13307" max="13307" width="30.1640625" style="460" bestFit="1" customWidth="1"/>
    <col min="13308" max="13308" width="21" style="460" customWidth="1"/>
    <col min="13309" max="13310" width="13.5" style="460" customWidth="1"/>
    <col min="13311" max="13311" width="21.83203125" style="460" bestFit="1" customWidth="1"/>
    <col min="13312" max="13312" width="12" style="460" customWidth="1"/>
    <col min="13313" max="13313" width="11.5" style="460" bestFit="1" customWidth="1"/>
    <col min="13314" max="13314" width="13.5" style="460" customWidth="1"/>
    <col min="13315" max="13315" width="15.5" style="460" customWidth="1"/>
    <col min="13316" max="13317" width="18.5" style="460" customWidth="1"/>
    <col min="13318" max="13318" width="17.83203125" style="460" customWidth="1"/>
    <col min="13319" max="13561" width="9.1640625" style="460" customWidth="1"/>
    <col min="13562" max="13562" width="10.33203125" style="460" bestFit="1" customWidth="1"/>
    <col min="13563" max="13563" width="30.1640625" style="460" bestFit="1" customWidth="1"/>
    <col min="13564" max="13564" width="21" style="460" customWidth="1"/>
    <col min="13565" max="13566" width="13.5" style="460" customWidth="1"/>
    <col min="13567" max="13567" width="21.83203125" style="460" bestFit="1" customWidth="1"/>
    <col min="13568" max="13568" width="12" style="460" customWidth="1"/>
    <col min="13569" max="13569" width="11.5" style="460" bestFit="1" customWidth="1"/>
    <col min="13570" max="13570" width="13.5" style="460" customWidth="1"/>
    <col min="13571" max="13571" width="15.5" style="460" customWidth="1"/>
    <col min="13572" max="13573" width="18.5" style="460" customWidth="1"/>
    <col min="13574" max="13574" width="17.83203125" style="460" customWidth="1"/>
    <col min="13575" max="13817" width="9.1640625" style="460" customWidth="1"/>
    <col min="13818" max="13818" width="10.33203125" style="460" bestFit="1" customWidth="1"/>
    <col min="13819" max="13819" width="30.1640625" style="460" bestFit="1" customWidth="1"/>
    <col min="13820" max="13820" width="21" style="460" customWidth="1"/>
    <col min="13821" max="13822" width="13.5" style="460" customWidth="1"/>
    <col min="13823" max="13823" width="21.83203125" style="460" bestFit="1" customWidth="1"/>
    <col min="13824" max="13824" width="12" style="460" customWidth="1"/>
    <col min="13825" max="13825" width="11.5" style="460" bestFit="1" customWidth="1"/>
    <col min="13826" max="13826" width="13.5" style="460" customWidth="1"/>
    <col min="13827" max="13827" width="15.5" style="460" customWidth="1"/>
    <col min="13828" max="13829" width="18.5" style="460" customWidth="1"/>
    <col min="13830" max="13830" width="17.83203125" style="460" customWidth="1"/>
    <col min="13831" max="14073" width="9.1640625" style="460" customWidth="1"/>
    <col min="14074" max="14074" width="10.33203125" style="460" bestFit="1" customWidth="1"/>
    <col min="14075" max="14075" width="30.1640625" style="460" bestFit="1" customWidth="1"/>
    <col min="14076" max="14076" width="21" style="460" customWidth="1"/>
    <col min="14077" max="14078" width="13.5" style="460" customWidth="1"/>
    <col min="14079" max="14079" width="21.83203125" style="460" bestFit="1" customWidth="1"/>
    <col min="14080" max="14080" width="12" style="460" customWidth="1"/>
    <col min="14081" max="14081" width="11.5" style="460" bestFit="1" customWidth="1"/>
    <col min="14082" max="14082" width="13.5" style="460" customWidth="1"/>
    <col min="14083" max="14083" width="15.5" style="460" customWidth="1"/>
    <col min="14084" max="14085" width="18.5" style="460" customWidth="1"/>
    <col min="14086" max="14086" width="17.83203125" style="460" customWidth="1"/>
    <col min="14087" max="14329" width="9.1640625" style="460" customWidth="1"/>
    <col min="14330" max="14330" width="10.33203125" style="460" bestFit="1" customWidth="1"/>
    <col min="14331" max="14331" width="30.1640625" style="460" bestFit="1" customWidth="1"/>
    <col min="14332" max="14332" width="21" style="460" customWidth="1"/>
    <col min="14333" max="14334" width="13.5" style="460" customWidth="1"/>
    <col min="14335" max="14335" width="21.83203125" style="460" bestFit="1" customWidth="1"/>
    <col min="14336" max="14336" width="12" style="460" customWidth="1"/>
    <col min="14337" max="14337" width="11.5" style="460" bestFit="1" customWidth="1"/>
    <col min="14338" max="14338" width="13.5" style="460" customWidth="1"/>
    <col min="14339" max="14339" width="15.5" style="460" customWidth="1"/>
    <col min="14340" max="14341" width="18.5" style="460" customWidth="1"/>
    <col min="14342" max="14342" width="17.83203125" style="460" customWidth="1"/>
    <col min="14343" max="14585" width="9.1640625" style="460" customWidth="1"/>
    <col min="14586" max="14586" width="10.33203125" style="460" bestFit="1" customWidth="1"/>
    <col min="14587" max="14587" width="30.1640625" style="460" bestFit="1" customWidth="1"/>
    <col min="14588" max="14588" width="21" style="460" customWidth="1"/>
    <col min="14589" max="14590" width="13.5" style="460" customWidth="1"/>
    <col min="14591" max="14591" width="21.83203125" style="460" bestFit="1" customWidth="1"/>
    <col min="14592" max="14592" width="12" style="460" customWidth="1"/>
    <col min="14593" max="14593" width="11.5" style="460" bestFit="1" customWidth="1"/>
    <col min="14594" max="14594" width="13.5" style="460" customWidth="1"/>
    <col min="14595" max="14595" width="15.5" style="460" customWidth="1"/>
    <col min="14596" max="14597" width="18.5" style="460" customWidth="1"/>
    <col min="14598" max="14598" width="17.83203125" style="460" customWidth="1"/>
    <col min="14599" max="14841" width="9.1640625" style="460" customWidth="1"/>
    <col min="14842" max="14842" width="10.33203125" style="460" bestFit="1" customWidth="1"/>
    <col min="14843" max="14843" width="30.1640625" style="460" bestFit="1" customWidth="1"/>
    <col min="14844" max="14844" width="21" style="460" customWidth="1"/>
    <col min="14845" max="14846" width="13.5" style="460" customWidth="1"/>
    <col min="14847" max="14847" width="21.83203125" style="460" bestFit="1" customWidth="1"/>
    <col min="14848" max="14848" width="12" style="460" customWidth="1"/>
    <col min="14849" max="14849" width="11.5" style="460" bestFit="1" customWidth="1"/>
    <col min="14850" max="14850" width="13.5" style="460" customWidth="1"/>
    <col min="14851" max="14851" width="15.5" style="460" customWidth="1"/>
    <col min="14852" max="14853" width="18.5" style="460" customWidth="1"/>
    <col min="14854" max="14854" width="17.83203125" style="460" customWidth="1"/>
    <col min="14855" max="15097" width="9.1640625" style="460" customWidth="1"/>
    <col min="15098" max="15098" width="10.33203125" style="460" bestFit="1" customWidth="1"/>
    <col min="15099" max="15099" width="30.1640625" style="460" bestFit="1" customWidth="1"/>
    <col min="15100" max="15100" width="21" style="460" customWidth="1"/>
    <col min="15101" max="15102" width="13.5" style="460" customWidth="1"/>
    <col min="15103" max="15103" width="21.83203125" style="460" bestFit="1" customWidth="1"/>
    <col min="15104" max="15104" width="12" style="460" customWidth="1"/>
    <col min="15105" max="15105" width="11.5" style="460" bestFit="1" customWidth="1"/>
    <col min="15106" max="15106" width="13.5" style="460" customWidth="1"/>
    <col min="15107" max="15107" width="15.5" style="460" customWidth="1"/>
    <col min="15108" max="15109" width="18.5" style="460" customWidth="1"/>
    <col min="15110" max="15110" width="17.83203125" style="460" customWidth="1"/>
    <col min="15111" max="15353" width="9.1640625" style="460" customWidth="1"/>
    <col min="15354" max="15354" width="10.33203125" style="460" bestFit="1" customWidth="1"/>
    <col min="15355" max="15355" width="30.1640625" style="460" bestFit="1" customWidth="1"/>
    <col min="15356" max="15356" width="21" style="460" customWidth="1"/>
    <col min="15357" max="15358" width="13.5" style="460" customWidth="1"/>
    <col min="15359" max="15359" width="21.83203125" style="460" bestFit="1" customWidth="1"/>
    <col min="15360" max="15360" width="12" style="460" customWidth="1"/>
    <col min="15361" max="15361" width="11.5" style="460" bestFit="1" customWidth="1"/>
    <col min="15362" max="15362" width="13.5" style="460" customWidth="1"/>
    <col min="15363" max="15363" width="15.5" style="460" customWidth="1"/>
    <col min="15364" max="15365" width="18.5" style="460" customWidth="1"/>
    <col min="15366" max="15366" width="17.83203125" style="460" customWidth="1"/>
    <col min="15367" max="15609" width="9.1640625" style="460" customWidth="1"/>
    <col min="15610" max="15610" width="10.33203125" style="460" bestFit="1" customWidth="1"/>
    <col min="15611" max="15611" width="30.1640625" style="460" bestFit="1" customWidth="1"/>
    <col min="15612" max="15612" width="21" style="460" customWidth="1"/>
    <col min="15613" max="15614" width="13.5" style="460" customWidth="1"/>
    <col min="15615" max="15615" width="21.83203125" style="460" bestFit="1" customWidth="1"/>
    <col min="15616" max="15616" width="12" style="460" customWidth="1"/>
    <col min="15617" max="15617" width="11.5" style="460" bestFit="1" customWidth="1"/>
    <col min="15618" max="15618" width="13.5" style="460" customWidth="1"/>
    <col min="15619" max="15619" width="15.5" style="460" customWidth="1"/>
    <col min="15620" max="15621" width="18.5" style="460" customWidth="1"/>
    <col min="15622" max="15622" width="17.83203125" style="460" customWidth="1"/>
    <col min="15623" max="15865" width="9.1640625" style="460" customWidth="1"/>
    <col min="15866" max="15866" width="10.33203125" style="460" bestFit="1" customWidth="1"/>
    <col min="15867" max="15867" width="30.1640625" style="460" bestFit="1" customWidth="1"/>
    <col min="15868" max="15868" width="21" style="460" customWidth="1"/>
    <col min="15869" max="15870" width="13.5" style="460" customWidth="1"/>
    <col min="15871" max="15871" width="21.83203125" style="460" bestFit="1" customWidth="1"/>
    <col min="15872" max="15872" width="12" style="460" customWidth="1"/>
    <col min="15873" max="15873" width="11.5" style="460" bestFit="1" customWidth="1"/>
    <col min="15874" max="15874" width="13.5" style="460" customWidth="1"/>
    <col min="15875" max="15875" width="15.5" style="460" customWidth="1"/>
    <col min="15876" max="15877" width="18.5" style="460" customWidth="1"/>
    <col min="15878" max="15878" width="17.83203125" style="460" customWidth="1"/>
    <col min="15879" max="16121" width="9.1640625" style="460" customWidth="1"/>
    <col min="16122" max="16122" width="10.33203125" style="460" bestFit="1" customWidth="1"/>
    <col min="16123" max="16123" width="30.1640625" style="460" bestFit="1" customWidth="1"/>
    <col min="16124" max="16124" width="21" style="460" customWidth="1"/>
    <col min="16125" max="16126" width="13.5" style="460" customWidth="1"/>
    <col min="16127" max="16127" width="21.83203125" style="460" bestFit="1" customWidth="1"/>
    <col min="16128" max="16128" width="12" style="460" customWidth="1"/>
    <col min="16129" max="16129" width="11.5" style="460" bestFit="1" customWidth="1"/>
    <col min="16130" max="16130" width="13.5" style="460" customWidth="1"/>
    <col min="16131" max="16131" width="15.5" style="460" customWidth="1"/>
    <col min="16132" max="16133" width="18.5" style="460" customWidth="1"/>
    <col min="16134" max="16134" width="17.83203125" style="460" customWidth="1"/>
    <col min="16135" max="16384" width="9.1640625" style="460" customWidth="1"/>
  </cols>
  <sheetData>
    <row r="1" spans="1:8" ht="43.5" customHeight="1">
      <c r="A1" s="472" t="s">
        <v>141</v>
      </c>
      <c r="B1" s="472" t="s">
        <v>268</v>
      </c>
      <c r="C1" s="472" t="s">
        <v>5</v>
      </c>
      <c r="D1" s="473" t="s">
        <v>269</v>
      </c>
      <c r="E1" s="473" t="s">
        <v>270</v>
      </c>
      <c r="F1" s="472" t="s">
        <v>271</v>
      </c>
      <c r="G1" s="472" t="s">
        <v>272</v>
      </c>
      <c r="H1" s="474" t="s">
        <v>273</v>
      </c>
    </row>
    <row r="2" spans="1:8" ht="16.5" customHeight="1">
      <c r="A2" s="464">
        <f>ROW()-1</f>
        <v>1</v>
      </c>
      <c r="B2" s="465" t="s">
        <v>78</v>
      </c>
      <c r="C2" s="289" t="s">
        <v>79</v>
      </c>
      <c r="D2" s="415"/>
      <c r="E2" s="466">
        <v>200000</v>
      </c>
      <c r="F2" s="467"/>
      <c r="G2" s="467"/>
      <c r="H2" s="468">
        <f>SUM(D2:G2)</f>
        <v>200000</v>
      </c>
    </row>
    <row r="3" spans="1:8" ht="16.5" customHeight="1">
      <c r="A3" s="464">
        <f>ROW()-1</f>
        <v>2</v>
      </c>
      <c r="B3" s="469" t="s">
        <v>85</v>
      </c>
      <c r="C3" s="289" t="s">
        <v>86</v>
      </c>
      <c r="D3" s="415"/>
      <c r="E3" s="466"/>
      <c r="F3" s="467">
        <v>2000000</v>
      </c>
      <c r="G3" s="467"/>
      <c r="H3" s="468">
        <f>SUM(D3:G3)</f>
        <v>2000000</v>
      </c>
    </row>
    <row r="4" spans="1:8" ht="16.5" customHeight="1">
      <c r="A4" s="464">
        <f>ROW()-1</f>
        <v>3</v>
      </c>
      <c r="B4" s="469" t="s">
        <v>113</v>
      </c>
      <c r="C4" s="289" t="s">
        <v>92</v>
      </c>
      <c r="D4" s="415"/>
      <c r="E4" s="466"/>
      <c r="F4" s="467"/>
      <c r="G4" s="467">
        <v>1000000</v>
      </c>
      <c r="H4" s="468">
        <f>SUM(D4:G4)</f>
        <v>1000000</v>
      </c>
    </row>
    <row r="5" spans="1:8" ht="16.5" customHeight="1">
      <c r="A5" s="464">
        <f>ROW()-1</f>
        <v>4</v>
      </c>
      <c r="B5" s="469" t="s">
        <v>91</v>
      </c>
      <c r="C5" s="289" t="s">
        <v>97</v>
      </c>
      <c r="D5" s="415">
        <v>500000</v>
      </c>
      <c r="E5" s="466"/>
      <c r="F5" s="467"/>
      <c r="G5" s="467">
        <v>750000</v>
      </c>
      <c r="H5" s="468">
        <f>SUM(D5:G5)</f>
        <v>1250000</v>
      </c>
    </row>
    <row r="6" spans="1:8" ht="23.25" customHeight="1">
      <c r="A6" s="464"/>
      <c r="B6" s="470"/>
      <c r="C6" s="470"/>
      <c r="D6" s="471">
        <f>SUM(D2:D5)</f>
        <v>500000</v>
      </c>
      <c r="E6" s="471">
        <f>SUM(E2:E5)</f>
        <v>200000</v>
      </c>
      <c r="F6" s="471">
        <f>SUM(F2:F5)</f>
        <v>2000000</v>
      </c>
      <c r="G6" s="471">
        <f>SUM(G2:G5)</f>
        <v>1750000</v>
      </c>
      <c r="H6" s="471">
        <f>SUM(H2:H5)</f>
        <v>4450000</v>
      </c>
    </row>
    <row r="7" spans="1:8" ht="15.75" customHeight="1">
      <c r="A7" s="461"/>
    </row>
    <row r="8" spans="1:8" ht="23.25" customHeight="1">
      <c r="A8" s="461"/>
      <c r="B8" s="460"/>
      <c r="C8" s="463"/>
    </row>
    <row r="9" spans="1:8" ht="15.75" customHeight="1">
      <c r="A9" s="461"/>
    </row>
    <row r="10" spans="1:8" ht="15.75" customHeight="1">
      <c r="A10" s="461"/>
    </row>
    <row r="11" spans="1:8" ht="15.75" customHeight="1">
      <c r="A11" s="461"/>
    </row>
    <row r="12" spans="1:8" ht="15.75" customHeight="1">
      <c r="A12" s="461"/>
    </row>
    <row r="13" spans="1:8" ht="15.75" customHeight="1">
      <c r="A13" s="461"/>
    </row>
    <row r="14" spans="1:8" ht="15.75" customHeight="1">
      <c r="A14" s="461"/>
    </row>
    <row r="15" spans="1:8" ht="15.75" customHeight="1">
      <c r="A15" s="461"/>
    </row>
    <row r="16" spans="1:8" ht="15.75" customHeight="1">
      <c r="A16" s="461"/>
    </row>
    <row r="17" spans="1:1" ht="15.75" customHeight="1">
      <c r="A17" s="461"/>
    </row>
    <row r="18" spans="1:1" ht="15.75" customHeight="1">
      <c r="A18" s="461"/>
    </row>
    <row r="19" spans="1:1" ht="15.75" customHeight="1">
      <c r="A19" s="461"/>
    </row>
  </sheetData>
  <autoFilter ref="A1:H19" xr:uid="{00000000-0009-0000-0000-000008000000}"/>
  <conditionalFormatting sqref="B1">
    <cfRule type="duplicateValues" dxfId="32" priority="170030" stopIfTrue="1"/>
    <cfRule type="duplicateValues" dxfId="31" priority="170033" stopIfTrue="1"/>
    <cfRule type="duplicateValues" dxfId="30" priority="170032" stopIfTrue="1"/>
    <cfRule type="duplicateValues" dxfId="29" priority="170031" stopIfTrue="1"/>
  </conditionalFormatting>
  <conditionalFormatting sqref="B1:B1048576">
    <cfRule type="duplicateValues" dxfId="28" priority="38"/>
    <cfRule type="duplicateValues" dxfId="27" priority="39"/>
    <cfRule type="duplicateValues" dxfId="26" priority="192574"/>
  </conditionalFormatting>
  <conditionalFormatting sqref="B2">
    <cfRule type="duplicateValues" dxfId="25" priority="1327426"/>
    <cfRule type="duplicateValues" dxfId="24" priority="1327427"/>
    <cfRule type="duplicateValues" dxfId="23" priority="1327428"/>
  </conditionalFormatting>
  <conditionalFormatting sqref="B2:B5">
    <cfRule type="duplicateValues" dxfId="22" priority="1327570"/>
    <cfRule type="duplicateValues" dxfId="21" priority="1327576" stopIfTrue="1"/>
    <cfRule type="duplicateValues" dxfId="20" priority="1327582"/>
    <cfRule type="duplicateValues" dxfId="19" priority="1327567"/>
    <cfRule type="duplicateValues" dxfId="18" priority="1327568"/>
    <cfRule type="duplicateValues" dxfId="17" priority="1327569"/>
    <cfRule type="duplicateValues" dxfId="16" priority="1327581" stopIfTrue="1"/>
    <cfRule type="duplicateValues" dxfId="15" priority="1327571"/>
    <cfRule type="duplicateValues" dxfId="14" priority="1327572"/>
    <cfRule type="duplicateValues" dxfId="13" priority="1327573"/>
    <cfRule type="duplicateValues" dxfId="12" priority="1327574"/>
    <cfRule type="duplicateValues" dxfId="11" priority="1327575"/>
    <cfRule type="duplicateValues" dxfId="10" priority="1327580" stopIfTrue="1"/>
    <cfRule type="duplicateValues" dxfId="9" priority="1327577" stopIfTrue="1"/>
    <cfRule type="duplicateValues" dxfId="8" priority="1327578" stopIfTrue="1"/>
    <cfRule type="duplicateValues" dxfId="7" priority="1327579" stopIfTrue="1"/>
  </conditionalFormatting>
  <conditionalFormatting sqref="B3:B5">
    <cfRule type="duplicateValues" dxfId="6" priority="1327586"/>
    <cfRule type="duplicateValues" dxfId="5" priority="1327583"/>
    <cfRule type="duplicateValues" dxfId="4" priority="1327584"/>
    <cfRule type="duplicateValues" dxfId="3" priority="1327585"/>
  </conditionalFormatting>
  <conditionalFormatting sqref="B6:B65157">
    <cfRule type="duplicateValues" dxfId="2" priority="167477" stopIfTrue="1"/>
    <cfRule type="duplicateValues" dxfId="1" priority="167476" stopIfTrue="1"/>
  </conditionalFormatting>
  <conditionalFormatting sqref="B6:B1048576">
    <cfRule type="duplicateValues" dxfId="0" priority="1269"/>
  </conditionalFormatting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Template Payroll</vt:lpstr>
      <vt:lpstr>PC cơm </vt:lpstr>
      <vt:lpstr>TimeTB 2</vt:lpstr>
      <vt:lpstr> TimeTB 1</vt:lpstr>
      <vt:lpstr>OT </vt:lpstr>
      <vt:lpstr>NS</vt:lpstr>
      <vt:lpstr>Incentive</vt:lpstr>
      <vt:lpstr>Others</vt:lpstr>
      <vt:lpstr>Benefit tính thuế</vt:lpstr>
      <vt:lpstr>Incentive!__xlnm._FilterDatabase</vt:lpstr>
      <vt:lpstr>NS!__xlnm._FilterDatabase</vt:lpstr>
      <vt:lpstr>'OT '!__xlnm._FilterDatabase</vt:lpstr>
      <vt:lpstr>Incentive!__xlnm.Print_Area</vt:lpstr>
      <vt:lpstr>Incentive!__xlnm.Print_Titles</vt:lpstr>
      <vt:lpstr>NS!__xlnm.Print_Titles</vt:lpstr>
      <vt:lpstr>'OT '!__xlnm.Print_Titles</vt:lpstr>
      <vt:lpstr>NS!ot_ID</vt:lpstr>
      <vt:lpstr>'OT '!ot_ID</vt:lpstr>
      <vt:lpstr>'OT '!ot_total</vt:lpstr>
      <vt:lpstr>'OT '!ot_untax</vt:lpstr>
      <vt:lpstr>Incentive!Print_Area</vt:lpstr>
      <vt:lpstr>'TimeTB 2'!Print_Area</vt:lpstr>
      <vt:lpstr>' TimeTB 1'!Print_Titles</vt:lpstr>
      <vt:lpstr>Incentive!Print_Titles</vt:lpstr>
      <vt:lpstr>NS!Print_Titles</vt:lpstr>
      <vt:lpstr>'OT '!Print_Titles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2026-01-11T18:09:07Z</dcterms:modified>
</cp:coreProperties>
</file>