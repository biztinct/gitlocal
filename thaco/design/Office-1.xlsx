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design/"/>
    </mc:Choice>
  </mc:AlternateContent>
  <xr:revisionPtr revIDLastSave="0" documentId="13_ncr:1_{97CE6F5E-9CE5-414E-8EF7-B1271B95E8F9}" xr6:coauthVersionLast="47" xr6:coauthVersionMax="47" xr10:uidLastSave="{00000000-0000-0000-0000-000000000000}"/>
  <bookViews>
    <workbookView xWindow="38560" yWindow="660" windowWidth="38080" windowHeight="20780" tabRatio="761" xr2:uid="{00000000-000D-0000-FFFF-FFFF00000000}"/>
  </bookViews>
  <sheets>
    <sheet name="Bảng lương CB-NV" sheetId="5" r:id="rId1"/>
    <sheet name="Mô tả Bảng lương CB-NV" sheetId="2" r:id="rId2"/>
    <sheet name="Bảng lương tạm ứng kỳ 1" sheetId="3" r:id="rId3"/>
    <sheet name="Mô tả Bảng lương tạm ứng kỳ 1" sheetId="4" r:id="rId4"/>
  </sheets>
  <externalReferences>
    <externalReference r:id="rId5"/>
  </externalReference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2" hidden="1">'Bảng lương tạm ứng kỳ 1'!$A$9:$CI$18</definedName>
    <definedName name="_xlnm._FilterDatabase" localSheetId="1" hidden="1">'Mô tả Bảng lương CB-NV'!$A$5:$CI$10</definedName>
    <definedName name="_xlnm._FilterDatabase" localSheetId="3" hidden="1">'Mô tả Bảng lương tạm ứng kỳ 1'!$A$5:$CI$10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2">'Bảng lương tạm ứng kỳ 1'!$A$1:$BU$23</definedName>
    <definedName name="_xlnm.Print_Area" localSheetId="1">'Mô tả Bảng lương CB-NV'!$A$1:$BU$10</definedName>
    <definedName name="_xlnm.Print_Area" localSheetId="3">'Mô tả Bảng lương tạm ứng kỳ 1'!$A$1:$BU$10</definedName>
    <definedName name="PRINT_AREA_MI">#REF!</definedName>
    <definedName name="PRINT_AREA_MI1">#REF!</definedName>
    <definedName name="Print_CEM_cc5">#REF!</definedName>
    <definedName name="_xlnm.Print_Titles" localSheetId="2">'Bảng lương tạm ứng kỳ 1'!$5:$8</definedName>
    <definedName name="_xlnm.Print_Titles" localSheetId="1">'Mô tả Bảng lương CB-NV'!$1:$4</definedName>
    <definedName name="_xlnm.Print_Titles" localSheetId="3">'Mô tả Bảng lương tạm ứng kỳ 1'!$1:$4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18" i="5" l="1"/>
  <c r="CB18" i="5" s="1"/>
  <c r="BT18" i="5"/>
  <c r="BJ18" i="5"/>
  <c r="BE18" i="5"/>
  <c r="AX18" i="5"/>
  <c r="AM18" i="5"/>
  <c r="AK18" i="5"/>
  <c r="AI18" i="5"/>
  <c r="AG18" i="5"/>
  <c r="AF18" i="5"/>
  <c r="AE18" i="5"/>
  <c r="AD18" i="5"/>
  <c r="AC18" i="5"/>
  <c r="AB18" i="5"/>
  <c r="AA18" i="5"/>
  <c r="Z18" i="5"/>
  <c r="Y18" i="5"/>
  <c r="H18" i="5"/>
  <c r="AN18" i="5" s="1"/>
  <c r="A18" i="5"/>
  <c r="CA17" i="5"/>
  <c r="CB17" i="5" s="1"/>
  <c r="BT17" i="5"/>
  <c r="BJ17" i="5"/>
  <c r="BE17" i="5"/>
  <c r="AY17" i="5"/>
  <c r="AX17" i="5"/>
  <c r="BA17" i="5" s="1"/>
  <c r="AM17" i="5"/>
  <c r="AK17" i="5"/>
  <c r="AI17" i="5"/>
  <c r="AG17" i="5"/>
  <c r="AE17" i="5"/>
  <c r="AD17" i="5"/>
  <c r="AC17" i="5"/>
  <c r="AB17" i="5"/>
  <c r="AA17" i="5"/>
  <c r="Z17" i="5"/>
  <c r="Y17" i="5"/>
  <c r="H17" i="5"/>
  <c r="AN17" i="5" s="1"/>
  <c r="A17" i="5"/>
  <c r="CA16" i="5"/>
  <c r="CB16" i="5" s="1"/>
  <c r="BT16" i="5"/>
  <c r="BJ16" i="5"/>
  <c r="BE16" i="5"/>
  <c r="AX16" i="5"/>
  <c r="AM16" i="5"/>
  <c r="AK16" i="5"/>
  <c r="AI16" i="5"/>
  <c r="AG16" i="5"/>
  <c r="AE16" i="5"/>
  <c r="AD16" i="5"/>
  <c r="AC16" i="5"/>
  <c r="AB16" i="5"/>
  <c r="AA16" i="5"/>
  <c r="Z16" i="5"/>
  <c r="Y16" i="5"/>
  <c r="H16" i="5"/>
  <c r="AF16" i="5" s="1"/>
  <c r="A16" i="5"/>
  <c r="CA15" i="5"/>
  <c r="CB15" i="5" s="1"/>
  <c r="I15" i="5" s="1"/>
  <c r="BT15" i="5"/>
  <c r="BJ15" i="5"/>
  <c r="BE15" i="5"/>
  <c r="AX15" i="5"/>
  <c r="AM15" i="5"/>
  <c r="AK15" i="5"/>
  <c r="AI15" i="5"/>
  <c r="AG15" i="5"/>
  <c r="AE15" i="5"/>
  <c r="AD15" i="5"/>
  <c r="AC15" i="5"/>
  <c r="AB15" i="5"/>
  <c r="AA15" i="5"/>
  <c r="Z15" i="5"/>
  <c r="Y15" i="5"/>
  <c r="H15" i="5"/>
  <c r="AF15" i="5" s="1"/>
  <c r="A15" i="5"/>
  <c r="CA14" i="5"/>
  <c r="CB14" i="5" s="1"/>
  <c r="BT14" i="5"/>
  <c r="BJ14" i="5"/>
  <c r="BE14" i="5"/>
  <c r="AX14" i="5"/>
  <c r="BA14" i="5" s="1"/>
  <c r="AN14" i="5"/>
  <c r="AM14" i="5"/>
  <c r="AK14" i="5"/>
  <c r="AI14" i="5"/>
  <c r="AG14" i="5"/>
  <c r="AF14" i="5"/>
  <c r="AE14" i="5"/>
  <c r="AD14" i="5"/>
  <c r="AC14" i="5"/>
  <c r="AB14" i="5"/>
  <c r="AA14" i="5"/>
  <c r="Z14" i="5"/>
  <c r="Y14" i="5"/>
  <c r="H14" i="5"/>
  <c r="A14" i="5"/>
  <c r="CA13" i="5"/>
  <c r="CB13" i="5" s="1"/>
  <c r="BT13" i="5"/>
  <c r="BJ13" i="5"/>
  <c r="BE13" i="5"/>
  <c r="AX13" i="5"/>
  <c r="BA13" i="5" s="1"/>
  <c r="AM13" i="5"/>
  <c r="AK13" i="5"/>
  <c r="AI13" i="5"/>
  <c r="AG13" i="5"/>
  <c r="AE13" i="5"/>
  <c r="AD13" i="5"/>
  <c r="AC13" i="5"/>
  <c r="AB13" i="5"/>
  <c r="AA13" i="5"/>
  <c r="Z13" i="5"/>
  <c r="Y13" i="5"/>
  <c r="H13" i="5"/>
  <c r="AF13" i="5" s="1"/>
  <c r="A13" i="5"/>
  <c r="CB12" i="5"/>
  <c r="BT12" i="5"/>
  <c r="BJ12" i="5"/>
  <c r="BE12" i="5"/>
  <c r="AM12" i="5"/>
  <c r="AK12" i="5"/>
  <c r="AI12" i="5"/>
  <c r="AH12" i="5"/>
  <c r="AG12" i="5"/>
  <c r="AF12" i="5"/>
  <c r="AE12" i="5"/>
  <c r="AD12" i="5"/>
  <c r="AC12" i="5"/>
  <c r="AB12" i="5"/>
  <c r="AA12" i="5"/>
  <c r="Z12" i="5"/>
  <c r="Y12" i="5"/>
  <c r="H12" i="5"/>
  <c r="AY12" i="5" s="1"/>
  <c r="A12" i="5"/>
  <c r="A3" i="5"/>
  <c r="AO15" i="2"/>
  <c r="AN15" i="5" l="1"/>
  <c r="BA15" i="5"/>
  <c r="AZ12" i="5"/>
  <c r="AZ18" i="5"/>
  <c r="AN16" i="5"/>
  <c r="BA12" i="5"/>
  <c r="BA16" i="5"/>
  <c r="AZ17" i="5"/>
  <c r="BB17" i="5"/>
  <c r="I17" i="5"/>
  <c r="AH17" i="5"/>
  <c r="BB12" i="5"/>
  <c r="AH13" i="5"/>
  <c r="I13" i="5"/>
  <c r="I16" i="5"/>
  <c r="AH16" i="5"/>
  <c r="AH14" i="5"/>
  <c r="I14" i="5"/>
  <c r="AO14" i="5" s="1"/>
  <c r="AV14" i="5" s="1"/>
  <c r="I18" i="5"/>
  <c r="AO18" i="5" s="1"/>
  <c r="AV18" i="5" s="1"/>
  <c r="AH18" i="5"/>
  <c r="BA18" i="5"/>
  <c r="AY16" i="5"/>
  <c r="AF17" i="5"/>
  <c r="AZ16" i="5"/>
  <c r="AN13" i="5"/>
  <c r="AY15" i="5"/>
  <c r="AZ15" i="5"/>
  <c r="I12" i="5"/>
  <c r="AY14" i="5"/>
  <c r="AZ14" i="5"/>
  <c r="AN12" i="5"/>
  <c r="AY13" i="5"/>
  <c r="AH15" i="5"/>
  <c r="AO15" i="5" s="1"/>
  <c r="AV15" i="5" s="1"/>
  <c r="AZ13" i="5"/>
  <c r="AY18" i="5"/>
  <c r="AO17" i="5" l="1"/>
  <c r="AV17" i="5" s="1"/>
  <c r="BF17" i="5" s="1"/>
  <c r="BG17" i="5" s="1"/>
  <c r="BK17" i="5" s="1"/>
  <c r="BL17" i="5" s="1"/>
  <c r="BU17" i="5" s="1"/>
  <c r="AO16" i="5"/>
  <c r="AV16" i="5" s="1"/>
  <c r="BF16" i="5" s="1"/>
  <c r="BG16" i="5" s="1"/>
  <c r="BK16" i="5" s="1"/>
  <c r="BL16" i="5" s="1"/>
  <c r="AO13" i="5"/>
  <c r="AV13" i="5" s="1"/>
  <c r="BB18" i="5"/>
  <c r="BB15" i="5"/>
  <c r="BB13" i="5"/>
  <c r="BF14" i="5"/>
  <c r="BG14" i="5" s="1"/>
  <c r="BK14" i="5" s="1"/>
  <c r="BL14" i="5" s="1"/>
  <c r="BF13" i="5"/>
  <c r="BG13" i="5" s="1"/>
  <c r="BK13" i="5" s="1"/>
  <c r="BL13" i="5" s="1"/>
  <c r="BU13" i="5" s="1"/>
  <c r="BF15" i="5"/>
  <c r="BG15" i="5" s="1"/>
  <c r="BK15" i="5" s="1"/>
  <c r="BL15" i="5" s="1"/>
  <c r="BU15" i="5" s="1"/>
  <c r="BF18" i="5"/>
  <c r="BG18" i="5" s="1"/>
  <c r="BK18" i="5" s="1"/>
  <c r="BL18" i="5" s="1"/>
  <c r="BU18" i="5" s="1"/>
  <c r="AO12" i="5"/>
  <c r="BB16" i="5"/>
  <c r="BB14" i="5"/>
  <c r="BU16" i="5" l="1"/>
  <c r="AV12" i="5"/>
  <c r="BU14" i="5"/>
  <c r="BF12" i="5" l="1"/>
  <c r="BG12" i="5" s="1"/>
  <c r="BK12" i="5" s="1"/>
  <c r="BL12" i="5" s="1"/>
  <c r="BU12" i="5" l="1"/>
  <c r="CD14" i="4" l="1"/>
  <c r="CC14" i="4"/>
  <c r="CB14" i="4"/>
  <c r="CA14" i="4"/>
  <c r="BZ14" i="4"/>
  <c r="BY14" i="4"/>
  <c r="BX14" i="4"/>
  <c r="BW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BP13" i="4"/>
  <c r="BI13" i="4"/>
  <c r="BJ15" i="4" s="1"/>
  <c r="BH13" i="4"/>
  <c r="BE13" i="4"/>
  <c r="BC13" i="4"/>
  <c r="BA13" i="4"/>
  <c r="AZ13" i="4"/>
  <c r="AX13" i="4"/>
  <c r="Y13" i="4"/>
  <c r="AV15" i="4" s="1"/>
  <c r="F13" i="4"/>
  <c r="AO15" i="4" s="1"/>
  <c r="B13" i="4"/>
  <c r="A15" i="4" s="1"/>
  <c r="A13" i="4"/>
  <c r="CA10" i="4"/>
  <c r="CB10" i="4" s="1"/>
  <c r="BE10" i="4"/>
  <c r="AM10" i="4"/>
  <c r="AK10" i="4"/>
  <c r="AI10" i="4"/>
  <c r="AG10" i="4"/>
  <c r="AE10" i="4"/>
  <c r="AD10" i="4"/>
  <c r="AC10" i="4"/>
  <c r="AB10" i="4"/>
  <c r="AA10" i="4"/>
  <c r="Z10" i="4"/>
  <c r="Y10" i="4"/>
  <c r="H10" i="4"/>
  <c r="AZ10" i="4" s="1"/>
  <c r="F10" i="4"/>
  <c r="A10" i="4"/>
  <c r="CA9" i="4"/>
  <c r="CB9" i="4" s="1"/>
  <c r="BE9" i="4"/>
  <c r="AM9" i="4"/>
  <c r="AM7" i="4" s="1"/>
  <c r="AK9" i="4"/>
  <c r="AI9" i="4"/>
  <c r="AI7" i="4" s="1"/>
  <c r="AG9" i="4"/>
  <c r="AG7" i="4" s="1"/>
  <c r="AF9" i="4"/>
  <c r="AE9" i="4"/>
  <c r="AD9" i="4"/>
  <c r="AC9" i="4"/>
  <c r="AB9" i="4"/>
  <c r="AA9" i="4"/>
  <c r="Z9" i="4"/>
  <c r="Y9" i="4"/>
  <c r="H9" i="4"/>
  <c r="AN9" i="4" s="1"/>
  <c r="F9" i="4"/>
  <c r="A9" i="4"/>
  <c r="CB8" i="4"/>
  <c r="AH8" i="4" s="1"/>
  <c r="BE8" i="4"/>
  <c r="BA8" i="4"/>
  <c r="AZ8" i="4"/>
  <c r="AM8" i="4"/>
  <c r="AK8" i="4"/>
  <c r="AK7" i="4" s="1"/>
  <c r="AI8" i="4"/>
  <c r="AG8" i="4"/>
  <c r="AE8" i="4"/>
  <c r="AD8" i="4"/>
  <c r="AC8" i="4"/>
  <c r="AC7" i="4" s="1"/>
  <c r="AB8" i="4"/>
  <c r="AA8" i="4"/>
  <c r="Z8" i="4"/>
  <c r="Y8" i="4"/>
  <c r="H8" i="4"/>
  <c r="AY8" i="4" s="1"/>
  <c r="BB8" i="4" s="1"/>
  <c r="F8" i="4"/>
  <c r="AF8" i="4" s="1"/>
  <c r="A8" i="4"/>
  <c r="BU7" i="4"/>
  <c r="BP7" i="4"/>
  <c r="BN7" i="4"/>
  <c r="BM7" i="4"/>
  <c r="BL7" i="4"/>
  <c r="BK7" i="4"/>
  <c r="BE7" i="4"/>
  <c r="BC7" i="4"/>
  <c r="AL7" i="4"/>
  <c r="AJ7" i="4"/>
  <c r="X7" i="4"/>
  <c r="W7" i="4"/>
  <c r="V7" i="4"/>
  <c r="U7" i="4"/>
  <c r="S7" i="4"/>
  <c r="R7" i="4"/>
  <c r="K7" i="4"/>
  <c r="G7" i="4"/>
  <c r="BY5" i="4"/>
  <c r="BZ5" i="4" s="1"/>
  <c r="CA5" i="4" s="1"/>
  <c r="CB5" i="4" s="1"/>
  <c r="CC5" i="4" s="1"/>
  <c r="CD5" i="4" s="1"/>
  <c r="BX5" i="4"/>
  <c r="B5" i="4"/>
  <c r="C5" i="4" s="1"/>
  <c r="D5" i="4" s="1"/>
  <c r="F5" i="4" s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AV5" i="4" s="1"/>
  <c r="AY5" i="4" s="1"/>
  <c r="AZ5" i="4" s="1"/>
  <c r="BA5" i="4" s="1"/>
  <c r="BB5" i="4" s="1"/>
  <c r="BC5" i="4" s="1"/>
  <c r="BD5" i="4" s="1"/>
  <c r="BE5" i="4" s="1"/>
  <c r="BJ5" i="4" s="1"/>
  <c r="BK5" i="4" s="1"/>
  <c r="BL5" i="4" s="1"/>
  <c r="BM5" i="4" s="1"/>
  <c r="BN5" i="4" s="1"/>
  <c r="BP5" i="4" s="1"/>
  <c r="BQ5" i="4" s="1"/>
  <c r="BR5" i="4" s="1"/>
  <c r="BT5" i="4" s="1"/>
  <c r="BU5" i="4" s="1"/>
  <c r="CA18" i="3"/>
  <c r="CB18" i="3" s="1"/>
  <c r="AH18" i="3" s="1"/>
  <c r="BE18" i="3"/>
  <c r="AN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CA17" i="3"/>
  <c r="CB17" i="3" s="1"/>
  <c r="BE17" i="3"/>
  <c r="AM17" i="3"/>
  <c r="AK17" i="3"/>
  <c r="AI17" i="3"/>
  <c r="AG17" i="3"/>
  <c r="AF17" i="3"/>
  <c r="AE17" i="3"/>
  <c r="AD17" i="3"/>
  <c r="AC17" i="3"/>
  <c r="AB17" i="3"/>
  <c r="AA17" i="3"/>
  <c r="Z17" i="3"/>
  <c r="Y17" i="3"/>
  <c r="H17" i="3"/>
  <c r="A17" i="3"/>
  <c r="CA16" i="3"/>
  <c r="CB16" i="3" s="1"/>
  <c r="BE16" i="3"/>
  <c r="BA16" i="3"/>
  <c r="AY16" i="3"/>
  <c r="AM16" i="3"/>
  <c r="AK16" i="3"/>
  <c r="AI16" i="3"/>
  <c r="AG16" i="3"/>
  <c r="AF16" i="3"/>
  <c r="AE16" i="3"/>
  <c r="AD16" i="3"/>
  <c r="AC16" i="3"/>
  <c r="AB16" i="3"/>
  <c r="AA16" i="3"/>
  <c r="Z16" i="3"/>
  <c r="Y16" i="3"/>
  <c r="H16" i="3"/>
  <c r="AZ16" i="3" s="1"/>
  <c r="A16" i="3"/>
  <c r="CA15" i="3"/>
  <c r="CB15" i="3" s="1"/>
  <c r="AH15" i="3" s="1"/>
  <c r="BE15" i="3"/>
  <c r="AM15" i="3"/>
  <c r="AK15" i="3"/>
  <c r="AI15" i="3"/>
  <c r="AG15" i="3"/>
  <c r="AF15" i="3"/>
  <c r="AE15" i="3"/>
  <c r="AD15" i="3"/>
  <c r="AC15" i="3"/>
  <c r="AB15" i="3"/>
  <c r="AA15" i="3"/>
  <c r="Z15" i="3"/>
  <c r="Y15" i="3"/>
  <c r="H15" i="3"/>
  <c r="BA15" i="3" s="1"/>
  <c r="A15" i="3"/>
  <c r="CA14" i="3"/>
  <c r="CB14" i="3" s="1"/>
  <c r="BE14" i="3"/>
  <c r="AM14" i="3"/>
  <c r="AK14" i="3"/>
  <c r="AI14" i="3"/>
  <c r="AG14" i="3"/>
  <c r="AF14" i="3"/>
  <c r="AE14" i="3"/>
  <c r="AD14" i="3"/>
  <c r="AC14" i="3"/>
  <c r="AB14" i="3"/>
  <c r="AA14" i="3"/>
  <c r="Z14" i="3"/>
  <c r="Y14" i="3"/>
  <c r="H14" i="3"/>
  <c r="A14" i="3"/>
  <c r="CA13" i="3"/>
  <c r="CB13" i="3" s="1"/>
  <c r="BE13" i="3"/>
  <c r="AM13" i="3"/>
  <c r="AK13" i="3"/>
  <c r="AI13" i="3"/>
  <c r="AG13" i="3"/>
  <c r="AF13" i="3"/>
  <c r="AE13" i="3"/>
  <c r="AD13" i="3"/>
  <c r="AC13" i="3"/>
  <c r="AB13" i="3"/>
  <c r="AA13" i="3"/>
  <c r="Z13" i="3"/>
  <c r="Y13" i="3"/>
  <c r="H13" i="3"/>
  <c r="AY13" i="3" s="1"/>
  <c r="A13" i="3"/>
  <c r="CB12" i="3"/>
  <c r="AH12" i="3" s="1"/>
  <c r="BE12" i="3"/>
  <c r="AM12" i="3"/>
  <c r="AK12" i="3"/>
  <c r="AI12" i="3"/>
  <c r="AG12" i="3"/>
  <c r="AF12" i="3"/>
  <c r="AF11" i="3" s="1"/>
  <c r="AE12" i="3"/>
  <c r="AD12" i="3"/>
  <c r="AC12" i="3"/>
  <c r="AB12" i="3"/>
  <c r="AA12" i="3"/>
  <c r="Z12" i="3"/>
  <c r="Y12" i="3"/>
  <c r="H12" i="3"/>
  <c r="A12" i="3"/>
  <c r="BU11" i="3"/>
  <c r="BP11" i="3"/>
  <c r="BN11" i="3"/>
  <c r="BM11" i="3"/>
  <c r="BL11" i="3"/>
  <c r="BK11" i="3"/>
  <c r="BC11" i="3"/>
  <c r="AL11" i="3"/>
  <c r="AJ11" i="3"/>
  <c r="X11" i="3"/>
  <c r="W11" i="3"/>
  <c r="V11" i="3"/>
  <c r="U11" i="3"/>
  <c r="S11" i="3"/>
  <c r="R11" i="3"/>
  <c r="K11" i="3"/>
  <c r="G11" i="3"/>
  <c r="BX9" i="3"/>
  <c r="BY9" i="3" s="1"/>
  <c r="BZ9" i="3" s="1"/>
  <c r="CA9" i="3" s="1"/>
  <c r="CB9" i="3" s="1"/>
  <c r="CC9" i="3" s="1"/>
  <c r="CD9" i="3" s="1"/>
  <c r="B9" i="3"/>
  <c r="C9" i="3" s="1"/>
  <c r="D9" i="3" s="1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Y9" i="3" s="1"/>
  <c r="AZ9" i="3" s="1"/>
  <c r="BA9" i="3" s="1"/>
  <c r="BB9" i="3" s="1"/>
  <c r="BC9" i="3" s="1"/>
  <c r="BD9" i="3" s="1"/>
  <c r="BE9" i="3" s="1"/>
  <c r="BJ9" i="3" s="1"/>
  <c r="BK9" i="3" s="1"/>
  <c r="BL9" i="3" s="1"/>
  <c r="BM9" i="3" s="1"/>
  <c r="BN9" i="3" s="1"/>
  <c r="BP9" i="3" s="1"/>
  <c r="BQ9" i="3" s="1"/>
  <c r="BR9" i="3" s="1"/>
  <c r="BT9" i="3" s="1"/>
  <c r="BU9" i="3" s="1"/>
  <c r="CD14" i="2"/>
  <c r="CC14" i="2"/>
  <c r="CB14" i="2"/>
  <c r="CA14" i="2"/>
  <c r="BZ14" i="2"/>
  <c r="BY14" i="2"/>
  <c r="BX14" i="2"/>
  <c r="BW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BR13" i="2"/>
  <c r="BQ13" i="2"/>
  <c r="BK13" i="2"/>
  <c r="BH13" i="2"/>
  <c r="BE13" i="2"/>
  <c r="BC13" i="2"/>
  <c r="BU15" i="2" s="1"/>
  <c r="BA13" i="2"/>
  <c r="AZ13" i="2"/>
  <c r="AY13" i="2"/>
  <c r="AX13" i="2"/>
  <c r="Y13" i="2"/>
  <c r="AV15" i="2" s="1"/>
  <c r="B13" i="2"/>
  <c r="BT8" i="2" s="1"/>
  <c r="A13" i="2"/>
  <c r="CA10" i="2"/>
  <c r="CB10" i="2" s="1"/>
  <c r="BJ10" i="2"/>
  <c r="BE10" i="2"/>
  <c r="AX10" i="2"/>
  <c r="BA10" i="2" s="1"/>
  <c r="AM10" i="2"/>
  <c r="AK10" i="2"/>
  <c r="AI10" i="2"/>
  <c r="AH10" i="2"/>
  <c r="AG10" i="2"/>
  <c r="AF10" i="2"/>
  <c r="AE10" i="2"/>
  <c r="AD10" i="2"/>
  <c r="AC10" i="2"/>
  <c r="AB10" i="2"/>
  <c r="AA10" i="2"/>
  <c r="Z10" i="2"/>
  <c r="Y10" i="2"/>
  <c r="Y7" i="2" s="1"/>
  <c r="H10" i="2"/>
  <c r="A10" i="2"/>
  <c r="CA9" i="2"/>
  <c r="CB9" i="2" s="1"/>
  <c r="BJ9" i="2"/>
  <c r="BE9" i="2"/>
  <c r="AX9" i="2"/>
  <c r="AM9" i="2"/>
  <c r="AK9" i="2"/>
  <c r="AI9" i="2"/>
  <c r="AG9" i="2"/>
  <c r="AE9" i="2"/>
  <c r="AD9" i="2"/>
  <c r="AD7" i="2" s="1"/>
  <c r="AC9" i="2"/>
  <c r="AB9" i="2"/>
  <c r="AA9" i="2"/>
  <c r="Z9" i="2"/>
  <c r="Y9" i="2"/>
  <c r="H9" i="2"/>
  <c r="AF9" i="2" s="1"/>
  <c r="A9" i="2"/>
  <c r="CB8" i="2"/>
  <c r="BJ8" i="2"/>
  <c r="BE8" i="2"/>
  <c r="AX8" i="2"/>
  <c r="AZ8" i="2" s="1"/>
  <c r="AM8" i="2"/>
  <c r="AK8" i="2"/>
  <c r="AK7" i="2" s="1"/>
  <c r="AI8" i="2"/>
  <c r="AG8" i="2"/>
  <c r="AE8" i="2"/>
  <c r="AD8" i="2"/>
  <c r="AC8" i="2"/>
  <c r="AB8" i="2"/>
  <c r="AA8" i="2"/>
  <c r="Z8" i="2"/>
  <c r="Y8" i="2"/>
  <c r="H8" i="2"/>
  <c r="AF8" i="2" s="1"/>
  <c r="A8" i="2"/>
  <c r="BQ7" i="2"/>
  <c r="BP7" i="2"/>
  <c r="BO7" i="2"/>
  <c r="BN7" i="2"/>
  <c r="BM7" i="2"/>
  <c r="BC7" i="2"/>
  <c r="AL7" i="2"/>
  <c r="AJ7" i="2"/>
  <c r="X7" i="2"/>
  <c r="W7" i="2"/>
  <c r="V7" i="2"/>
  <c r="U7" i="2"/>
  <c r="S7" i="2"/>
  <c r="R7" i="2"/>
  <c r="K7" i="2"/>
  <c r="G7" i="2"/>
  <c r="BX5" i="2"/>
  <c r="BY5" i="2" s="1"/>
  <c r="BZ5" i="2" s="1"/>
  <c r="CA5" i="2" s="1"/>
  <c r="CB5" i="2" s="1"/>
  <c r="CC5" i="2" s="1"/>
  <c r="CD5" i="2" s="1"/>
  <c r="B5" i="2"/>
  <c r="BT9" i="2" s="1"/>
  <c r="AN13" i="3" l="1"/>
  <c r="AI11" i="3"/>
  <c r="AZ13" i="3"/>
  <c r="BA13" i="3"/>
  <c r="AC11" i="3"/>
  <c r="AN16" i="3"/>
  <c r="AD11" i="3"/>
  <c r="BB16" i="3"/>
  <c r="AK11" i="3"/>
  <c r="BE11" i="3"/>
  <c r="H11" i="3"/>
  <c r="I18" i="3"/>
  <c r="AO18" i="3" s="1"/>
  <c r="AV18" i="3" s="1"/>
  <c r="C5" i="2"/>
  <c r="D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Y5" i="2" s="1"/>
  <c r="AZ5" i="2" s="1"/>
  <c r="BA5" i="2" s="1"/>
  <c r="BB5" i="2" s="1"/>
  <c r="BC5" i="2" s="1"/>
  <c r="BD5" i="2" s="1"/>
  <c r="BE5" i="2" s="1"/>
  <c r="BL5" i="2" s="1"/>
  <c r="BM5" i="2" s="1"/>
  <c r="BN5" i="2" s="1"/>
  <c r="BO5" i="2" s="1"/>
  <c r="BP5" i="2" s="1"/>
  <c r="BQ5" i="2" s="1"/>
  <c r="BR5" i="2" s="1"/>
  <c r="BS5" i="2" s="1"/>
  <c r="BT5" i="2" s="1"/>
  <c r="BU5" i="2" s="1"/>
  <c r="AN8" i="2"/>
  <c r="BB15" i="2"/>
  <c r="AC7" i="2"/>
  <c r="AI7" i="2"/>
  <c r="BE7" i="2"/>
  <c r="AM7" i="2"/>
  <c r="AZ9" i="2"/>
  <c r="AG7" i="2"/>
  <c r="AY9" i="2"/>
  <c r="AY9" i="4"/>
  <c r="AD7" i="4"/>
  <c r="BA9" i="4"/>
  <c r="I10" i="4"/>
  <c r="AN8" i="4"/>
  <c r="I9" i="4"/>
  <c r="AH9" i="4"/>
  <c r="I16" i="3"/>
  <c r="AO16" i="3" s="1"/>
  <c r="AV16" i="3" s="1"/>
  <c r="BF16" i="3" s="1"/>
  <c r="AH16" i="3"/>
  <c r="AY8" i="2"/>
  <c r="BA9" i="2"/>
  <c r="I14" i="3"/>
  <c r="AO14" i="3" s="1"/>
  <c r="AH14" i="3"/>
  <c r="AN17" i="3"/>
  <c r="BA17" i="3"/>
  <c r="AY17" i="3"/>
  <c r="I13" i="3"/>
  <c r="AH13" i="3"/>
  <c r="AH11" i="3" s="1"/>
  <c r="I15" i="3"/>
  <c r="AZ17" i="3"/>
  <c r="AF7" i="2"/>
  <c r="AG11" i="3"/>
  <c r="AN14" i="3"/>
  <c r="BA14" i="3"/>
  <c r="I9" i="2"/>
  <c r="AO9" i="2" s="1"/>
  <c r="AH9" i="2"/>
  <c r="I10" i="2"/>
  <c r="AO10" i="2" s="1"/>
  <c r="AV10" i="2" s="1"/>
  <c r="BA12" i="3"/>
  <c r="AZ12" i="3"/>
  <c r="AY12" i="3"/>
  <c r="AY14" i="3"/>
  <c r="AH10" i="4"/>
  <c r="AH7" i="4" s="1"/>
  <c r="I8" i="2"/>
  <c r="AH8" i="2"/>
  <c r="AH7" i="2" s="1"/>
  <c r="I12" i="3"/>
  <c r="AZ14" i="3"/>
  <c r="BA8" i="2"/>
  <c r="AZ10" i="2"/>
  <c r="AY10" i="2"/>
  <c r="Y11" i="3"/>
  <c r="AM11" i="3"/>
  <c r="BB13" i="3"/>
  <c r="AV14" i="3"/>
  <c r="I17" i="3"/>
  <c r="AH17" i="3"/>
  <c r="I8" i="4"/>
  <c r="AO9" i="4"/>
  <c r="AV9" i="4" s="1"/>
  <c r="AF10" i="4"/>
  <c r="H7" i="2"/>
  <c r="AN9" i="2"/>
  <c r="AN7" i="2" s="1"/>
  <c r="AN12" i="3"/>
  <c r="Y7" i="4"/>
  <c r="BA10" i="4"/>
  <c r="AZ9" i="4"/>
  <c r="AZ7" i="4" s="1"/>
  <c r="AN15" i="3"/>
  <c r="AN10" i="4"/>
  <c r="BT10" i="2"/>
  <c r="BT7" i="2" s="1"/>
  <c r="AY15" i="3"/>
  <c r="AY18" i="3"/>
  <c r="H7" i="4"/>
  <c r="AZ15" i="3"/>
  <c r="AZ18" i="3"/>
  <c r="AY10" i="4"/>
  <c r="AY7" i="4" s="1"/>
  <c r="BB14" i="3" l="1"/>
  <c r="BB9" i="2"/>
  <c r="AZ7" i="2"/>
  <c r="BA7" i="4"/>
  <c r="AN7" i="4"/>
  <c r="AV12" i="3"/>
  <c r="BS18" i="3"/>
  <c r="BT18" i="3"/>
  <c r="AO10" i="4"/>
  <c r="AV10" i="4" s="1"/>
  <c r="BG9" i="4"/>
  <c r="BS9" i="4"/>
  <c r="BT9" i="4" s="1"/>
  <c r="BF9" i="4"/>
  <c r="BG16" i="3"/>
  <c r="BI16" i="3" s="1"/>
  <c r="BJ16" i="3" s="1"/>
  <c r="BS16" i="3"/>
  <c r="BT16" i="3" s="1"/>
  <c r="BA7" i="2"/>
  <c r="AO13" i="3"/>
  <c r="AV13" i="3" s="1"/>
  <c r="BB18" i="3"/>
  <c r="BB8" i="2"/>
  <c r="AY7" i="2"/>
  <c r="BB15" i="3"/>
  <c r="AY11" i="3"/>
  <c r="BB12" i="3"/>
  <c r="AO12" i="3"/>
  <c r="I11" i="3"/>
  <c r="AZ11" i="3"/>
  <c r="I7" i="4"/>
  <c r="AO8" i="4"/>
  <c r="AN11" i="3"/>
  <c r="BA11" i="3"/>
  <c r="AO15" i="3"/>
  <c r="AV15" i="3" s="1"/>
  <c r="AO17" i="3"/>
  <c r="AV17" i="3" s="1"/>
  <c r="AF7" i="4"/>
  <c r="BF10" i="2"/>
  <c r="BG10" i="2" s="1"/>
  <c r="BK10" i="2" s="1"/>
  <c r="BL10" i="2" s="1"/>
  <c r="BB10" i="2"/>
  <c r="I7" i="2"/>
  <c r="AO8" i="2"/>
  <c r="BB9" i="4"/>
  <c r="BS14" i="3"/>
  <c r="BT14" i="3" s="1"/>
  <c r="BF14" i="3"/>
  <c r="BG14" i="3" s="1"/>
  <c r="BI14" i="3" s="1"/>
  <c r="BJ14" i="3" s="1"/>
  <c r="BB10" i="4"/>
  <c r="BB17" i="3"/>
  <c r="AV9" i="2"/>
  <c r="BF18" i="3"/>
  <c r="BG18" i="3" s="1"/>
  <c r="BB11" i="3" l="1"/>
  <c r="BI18" i="3"/>
  <c r="BJ18" i="3" s="1"/>
  <c r="BU10" i="2"/>
  <c r="BI9" i="4"/>
  <c r="BJ9" i="4" s="1"/>
  <c r="BS10" i="4"/>
  <c r="BT10" i="4" s="1"/>
  <c r="BF10" i="4"/>
  <c r="BG10" i="4" s="1"/>
  <c r="BI10" i="4" s="1"/>
  <c r="BJ10" i="4" s="1"/>
  <c r="BS15" i="3"/>
  <c r="BT15" i="3"/>
  <c r="BF15" i="3"/>
  <c r="BG15" i="3" s="1"/>
  <c r="BI15" i="3" s="1"/>
  <c r="BJ15" i="3" s="1"/>
  <c r="BS13" i="3"/>
  <c r="BT13" i="3" s="1"/>
  <c r="BF13" i="3"/>
  <c r="BG13" i="3" s="1"/>
  <c r="BI13" i="3" s="1"/>
  <c r="BJ13" i="3" s="1"/>
  <c r="BB7" i="4"/>
  <c r="AO7" i="2"/>
  <c r="AV8" i="2"/>
  <c r="AO11" i="3"/>
  <c r="AV11" i="3"/>
  <c r="BS12" i="3"/>
  <c r="BT12" i="3" s="1"/>
  <c r="BF12" i="3"/>
  <c r="BG12" i="3" s="1"/>
  <c r="BI12" i="3" s="1"/>
  <c r="BJ12" i="3" s="1"/>
  <c r="AO7" i="4"/>
  <c r="AV8" i="4"/>
  <c r="BB7" i="2"/>
  <c r="BF9" i="2"/>
  <c r="BG9" i="2" s="1"/>
  <c r="BK9" i="2" s="1"/>
  <c r="BL9" i="2" s="1"/>
  <c r="BU9" i="2" s="1"/>
  <c r="BS17" i="3"/>
  <c r="BT17" i="3" s="1"/>
  <c r="BF17" i="3"/>
  <c r="BG17" i="3" s="1"/>
  <c r="BI17" i="3" s="1"/>
  <c r="BJ17" i="3" s="1"/>
  <c r="BJ11" i="3" l="1"/>
  <c r="BT11" i="3"/>
  <c r="BS8" i="4"/>
  <c r="AV7" i="4"/>
  <c r="BT8" i="4"/>
  <c r="BT7" i="4" s="1"/>
  <c r="BF8" i="4"/>
  <c r="BG8" i="4" s="1"/>
  <c r="BI8" i="4" s="1"/>
  <c r="BJ8" i="4" s="1"/>
  <c r="BJ7" i="4" s="1"/>
  <c r="AV7" i="2"/>
  <c r="BF8" i="2"/>
  <c r="BG8" i="2" s="1"/>
  <c r="BK8" i="2" s="1"/>
  <c r="BL8" i="2" s="1"/>
  <c r="BL7" i="2" s="1"/>
  <c r="BU8" i="2" l="1"/>
  <c r="BU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894EFCB7-ADAC-6A40-AF91-4567D0ABDEB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1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<sst xmlns="http://schemas.openxmlformats.org/spreadsheetml/2006/main" count="663" uniqueCount="168">
  <si>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</si>
  <si>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</si>
  <si>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</si>
  <si>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</si>
  <si>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</si>
  <si>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</si>
  <si>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</si>
  <si>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</si>
  <si>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</si>
  <si>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</si>
  <si>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</si>
  <si>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</si>
  <si>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</si>
  <si>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</si>
  <si>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</si>
  <si>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</si>
  <si>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</si>
  <si>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</si>
  <si>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</si>
  <si>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</si>
  <si>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</si>
  <si>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</si>
  <si>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</si>
  <si>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</si>
  <si>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</si>
  <si>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</si>
  <si>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</si>
  <si>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</si>
  <si>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</si>
  <si>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</si>
  <si>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</si>
  <si>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</si>
  <si>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</si>
  <si>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</si>
  <si>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</si>
  <si>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</si>
  <si>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</si>
  <si>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</si>
  <si>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</si>
  <si>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</si>
  <si>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</si>
  <si>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</si>
  <si>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</si>
  <si>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</si>
  <si>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</si>
  <si>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</si>
  <si>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</si>
  <si>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</si>
  <si>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</si>
  <si>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</si>
  <si>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</si>
  <si>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</si>
  <si>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</si>
  <si>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</si>
  <si>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</si>
  <si>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</si>
  <si>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</si>
  <si>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</si>
  <si>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</si>
  <si>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</si>
  <si>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</si>
  <si>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</si>
  <si>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</si>
  <si>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</si>
  <si>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</si>
  <si>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</si>
  <si>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</si>
  <si>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</si>
  <si>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</si>
  <si>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</si>
  <si>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</si>
  <si>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</si>
  <si>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</si>
  <si>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</si>
  <si>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</si>
  <si>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</si>
  <si>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</si>
  <si>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</si>
  <si>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</si>
  <si>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</si>
  <si>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</si>
  <si>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</si>
  <si>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</si>
  <si>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</si>
  <si>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</si>
  <si>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</si>
  <si>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</si>
  <si>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</si>
  <si>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</si>
  <si>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</si>
  <si>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</si>
  <si>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</si>
  <si>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</si>
  <si>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</si>
  <si>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</si>
  <si>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</si>
  <si>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</si>
  <si>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</si>
  <si>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</si>
  <si>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</si>
  <si>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</si>
  <si>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</si>
  <si>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</si>
  <si>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</si>
  <si>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</si>
  <si>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</si>
  <si>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</si>
  <si>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</si>
  <si>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</si>
  <si>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</si>
  <si>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</si>
  <si>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</si>
  <si>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</si>
  <si>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</si>
  <si>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</si>
  <si>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</si>
  <si>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</si>
  <si>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</si>
  <si>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</si>
  <si>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</si>
  <si>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</si>
  <si>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</si>
  <si>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</si>
  <si>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</si>
  <si>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</si>
  <si>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</si>
  <si>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</si>
  <si>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</si>
  <si>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</si>
  <si>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</si>
  <si>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</si>
  <si>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</si>
  <si>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</si>
  <si>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</si>
  <si>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</si>
  <si>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</si>
  <si>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</si>
  <si>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</si>
  <si>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</si>
  <si>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</si>
  <si>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</si>
  <si>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</si>
  <si>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</si>
  <si>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</si>
  <si>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</si>
  <si>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</si>
  <si>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</si>
  <si>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</si>
  <si>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</si>
  <si>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</si>
  <si>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CÔNG TY …..............</t>
  </si>
  <si>
    <t>ĐC:…...........</t>
  </si>
  <si>
    <t>THỐNG KÊ LƯƠNG</t>
  </si>
  <si>
    <t xml:space="preserve">Ngày công thực tế tháng </t>
  </si>
  <si>
    <t>Tô Thanh Liêm</t>
  </si>
  <si>
    <t>Ban kế toán</t>
  </si>
  <si>
    <t>Nguyễn Thành An</t>
  </si>
  <si>
    <t>Ban nhân sự</t>
  </si>
  <si>
    <t>Nguyễn Hữu Thọ</t>
  </si>
  <si>
    <t>Ban tài chính</t>
  </si>
  <si>
    <t>Trương Thị Thu Hiền</t>
  </si>
  <si>
    <t>Võ Thị Tú Trinh</t>
  </si>
  <si>
    <t>Ban hành chính</t>
  </si>
  <si>
    <t>Nguyễn Ngọc Thủy Tiên</t>
  </si>
  <si>
    <t>ĐP PCCC</t>
  </si>
  <si>
    <t>Nguyễn Hồng Nhung</t>
  </si>
  <si>
    <t>Ban Chuyển đổi số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</si>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</sst>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8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sz val="2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8"/>
      <color theme="1"/>
      <name val="Times New Roman"/>
      <family val="1"/>
    </font>
    <font>
      <b/>
      <sz val="1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9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38" fillId="0" borderId="0"/>
    <xf numFmtId="0" fontId="38" fillId="0" borderId="0"/>
    <xf numFmtId="9" fontId="38" fillId="0" borderId="0"/>
  </cellStyleXfs>
  <cellXfs count="290">
    <xf numFmtId="0" fontId="0" fillId="0" borderId="0" xfId="0"/>
    <xf numFmtId="164" fontId="4" fillId="0" borderId="0" xfId="1" applyNumberFormat="1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3" applyFont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5" fontId="11" fillId="0" borderId="0" xfId="1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164" fontId="14" fillId="0" borderId="0" xfId="1" applyNumberFormat="1" applyFont="1" applyAlignment="1">
      <alignment horizontal="center" vertical="center" wrapText="1"/>
    </xf>
    <xf numFmtId="164" fontId="15" fillId="0" borderId="0" xfId="1" applyNumberFormat="1" applyFont="1" applyAlignment="1">
      <alignment horizontal="center" vertical="center" wrapText="1"/>
    </xf>
    <xf numFmtId="165" fontId="14" fillId="0" borderId="0" xfId="1" applyFont="1" applyAlignment="1">
      <alignment horizontal="center" vertical="center"/>
    </xf>
    <xf numFmtId="165" fontId="14" fillId="0" borderId="0" xfId="1" applyFont="1" applyAlignment="1">
      <alignment horizontal="center" vertical="center" wrapText="1"/>
    </xf>
    <xf numFmtId="164" fontId="14" fillId="0" borderId="0" xfId="1" applyNumberFormat="1" applyFont="1" applyAlignment="1">
      <alignment horizontal="center" vertical="center"/>
    </xf>
    <xf numFmtId="164" fontId="19" fillId="0" borderId="0" xfId="0" applyNumberFormat="1" applyFont="1" applyAlignment="1">
      <alignment horizontal="left" vertical="center" shrinkToFit="1"/>
    </xf>
    <xf numFmtId="164" fontId="20" fillId="0" borderId="0" xfId="0" applyNumberFormat="1" applyFont="1" applyAlignment="1">
      <alignment horizontal="left" vertical="center" shrinkToFit="1"/>
    </xf>
    <xf numFmtId="0" fontId="6" fillId="0" borderId="0" xfId="0" applyFont="1" applyAlignment="1">
      <alignment horizontal="center"/>
    </xf>
    <xf numFmtId="0" fontId="2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4" fillId="0" borderId="9" xfId="3" applyFont="1" applyBorder="1" applyAlignment="1">
      <alignment horizontal="center" vertical="center" shrinkToFit="1"/>
    </xf>
    <xf numFmtId="49" fontId="12" fillId="0" borderId="9" xfId="1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shrinkToFit="1"/>
    </xf>
    <xf numFmtId="14" fontId="25" fillId="0" borderId="0" xfId="2" applyNumberFormat="1" applyFont="1" applyAlignment="1">
      <alignment horizontal="left" vertical="center" shrinkToFit="1"/>
    </xf>
    <xf numFmtId="0" fontId="13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166" fontId="26" fillId="0" borderId="0" xfId="1" applyNumberFormat="1" applyFont="1" applyAlignment="1">
      <alignment horizontal="center"/>
    </xf>
    <xf numFmtId="165" fontId="26" fillId="0" borderId="0" xfId="1" applyFont="1" applyAlignment="1">
      <alignment horizontal="center"/>
    </xf>
    <xf numFmtId="165" fontId="28" fillId="0" borderId="0" xfId="1" applyFont="1"/>
    <xf numFmtId="0" fontId="28" fillId="0" borderId="0" xfId="0" applyFont="1"/>
    <xf numFmtId="165" fontId="28" fillId="0" borderId="0" xfId="0" applyNumberFormat="1" applyFont="1"/>
    <xf numFmtId="0" fontId="29" fillId="0" borderId="8" xfId="0" applyFont="1" applyBorder="1" applyAlignment="1">
      <alignment horizontal="center"/>
    </xf>
    <xf numFmtId="14" fontId="26" fillId="0" borderId="0" xfId="0" applyNumberFormat="1" applyFont="1"/>
    <xf numFmtId="164" fontId="26" fillId="0" borderId="0" xfId="1" applyNumberFormat="1" applyFont="1"/>
    <xf numFmtId="0" fontId="30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/>
    <xf numFmtId="166" fontId="31" fillId="0" borderId="0" xfId="1" applyNumberFormat="1" applyFont="1" applyAlignment="1">
      <alignment horizontal="center"/>
    </xf>
    <xf numFmtId="166" fontId="30" fillId="0" borderId="0" xfId="1" applyNumberFormat="1" applyFont="1" applyAlignment="1">
      <alignment horizontal="center"/>
    </xf>
    <xf numFmtId="165" fontId="30" fillId="0" borderId="0" xfId="1" applyFont="1" applyAlignment="1">
      <alignment horizontal="center"/>
    </xf>
    <xf numFmtId="0" fontId="31" fillId="0" borderId="0" xfId="0" applyFont="1"/>
    <xf numFmtId="164" fontId="30" fillId="0" borderId="0" xfId="0" applyNumberFormat="1" applyFont="1"/>
    <xf numFmtId="14" fontId="30" fillId="0" borderId="0" xfId="0" applyNumberFormat="1" applyFont="1"/>
    <xf numFmtId="164" fontId="30" fillId="0" borderId="0" xfId="1" applyNumberFormat="1" applyFont="1"/>
    <xf numFmtId="49" fontId="30" fillId="0" borderId="0" xfId="0" applyNumberFormat="1" applyFont="1" applyAlignment="1">
      <alignment horizontal="center"/>
    </xf>
    <xf numFmtId="165" fontId="31" fillId="0" borderId="0" xfId="1" applyFont="1"/>
    <xf numFmtId="0" fontId="13" fillId="0" borderId="0" xfId="0" applyFont="1" applyAlignment="1">
      <alignment horizontal="center"/>
    </xf>
    <xf numFmtId="165" fontId="10" fillId="0" borderId="0" xfId="1" applyFont="1" applyAlignment="1">
      <alignment horizontal="center"/>
    </xf>
    <xf numFmtId="164" fontId="10" fillId="0" borderId="0" xfId="1" applyNumberFormat="1" applyFont="1"/>
    <xf numFmtId="164" fontId="13" fillId="0" borderId="0" xfId="1" applyNumberFormat="1" applyFont="1"/>
    <xf numFmtId="165" fontId="13" fillId="0" borderId="0" xfId="1" applyFont="1"/>
    <xf numFmtId="49" fontId="13" fillId="0" borderId="0" xfId="1" applyNumberFormat="1" applyFont="1" applyAlignment="1">
      <alignment horizontal="center"/>
    </xf>
    <xf numFmtId="164" fontId="13" fillId="0" borderId="0" xfId="1" applyNumberFormat="1" applyFont="1" applyAlignment="1">
      <alignment wrapText="1"/>
    </xf>
    <xf numFmtId="164" fontId="10" fillId="0" borderId="0" xfId="1" applyNumberFormat="1" applyFont="1" applyAlignment="1">
      <alignment horizontal="center"/>
    </xf>
    <xf numFmtId="164" fontId="33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9" fontId="5" fillId="2" borderId="12" xfId="2" applyFont="1" applyFill="1" applyBorder="1" applyAlignment="1">
      <alignment horizontal="center" vertical="center" wrapText="1"/>
    </xf>
    <xf numFmtId="164" fontId="5" fillId="2" borderId="12" xfId="1" applyNumberFormat="1" applyFont="1" applyFill="1" applyBorder="1" applyAlignment="1">
      <alignment horizontal="center" vertical="center" wrapText="1"/>
    </xf>
    <xf numFmtId="49" fontId="5" fillId="0" borderId="9" xfId="1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7" fillId="0" borderId="0" xfId="0" applyFont="1" applyAlignment="1">
      <alignment horizontal="center"/>
    </xf>
    <xf numFmtId="0" fontId="12" fillId="0" borderId="9" xfId="3" applyFont="1" applyBorder="1" applyAlignment="1">
      <alignment horizontal="center" vertical="center" shrinkToFit="1"/>
    </xf>
    <xf numFmtId="0" fontId="34" fillId="0" borderId="17" xfId="3" applyFont="1" applyBorder="1" applyAlignment="1">
      <alignment horizontal="center" vertical="center"/>
    </xf>
    <xf numFmtId="164" fontId="34" fillId="0" borderId="17" xfId="1" applyNumberFormat="1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167" fontId="34" fillId="0" borderId="17" xfId="1" applyNumberFormat="1" applyFont="1" applyBorder="1" applyAlignment="1">
      <alignment horizontal="left" vertical="center"/>
    </xf>
    <xf numFmtId="164" fontId="23" fillId="0" borderId="12" xfId="1" applyNumberFormat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23" fillId="0" borderId="17" xfId="3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164" fontId="23" fillId="0" borderId="17" xfId="1" applyNumberFormat="1" applyFont="1" applyBorder="1" applyAlignment="1">
      <alignment horizontal="left" vertical="center"/>
    </xf>
    <xf numFmtId="9" fontId="35" fillId="0" borderId="17" xfId="1" applyNumberFormat="1" applyFont="1" applyBorder="1" applyAlignment="1">
      <alignment horizontal="center" vertical="center"/>
    </xf>
    <xf numFmtId="165" fontId="23" fillId="0" borderId="17" xfId="1" applyFont="1" applyBorder="1" applyAlignment="1">
      <alignment horizontal="left" vertical="center"/>
    </xf>
    <xf numFmtId="164" fontId="35" fillId="0" borderId="17" xfId="1" applyNumberFormat="1" applyFont="1" applyBorder="1" applyAlignment="1">
      <alignment horizontal="left" vertical="center"/>
    </xf>
    <xf numFmtId="164" fontId="36" fillId="0" borderId="0" xfId="2" applyNumberFormat="1" applyFont="1" applyAlignment="1">
      <alignment horizontal="left" vertical="center"/>
    </xf>
    <xf numFmtId="14" fontId="36" fillId="0" borderId="0" xfId="2" applyNumberFormat="1" applyFont="1" applyAlignment="1">
      <alignment horizontal="left" vertical="center"/>
    </xf>
    <xf numFmtId="164" fontId="23" fillId="0" borderId="0" xfId="0" applyNumberFormat="1" applyFont="1" applyAlignment="1">
      <alignment horizontal="left" vertical="center"/>
    </xf>
    <xf numFmtId="164" fontId="37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164" fontId="16" fillId="3" borderId="1" xfId="1" applyNumberFormat="1" applyFont="1" applyFill="1" applyBorder="1" applyAlignment="1">
      <alignment horizontal="center" vertical="center" wrapText="1"/>
    </xf>
    <xf numFmtId="49" fontId="16" fillId="3" borderId="1" xfId="1" applyNumberFormat="1" applyFont="1" applyFill="1" applyBorder="1" applyAlignment="1">
      <alignment horizontal="center" vertical="center" wrapText="1"/>
    </xf>
    <xf numFmtId="49" fontId="5" fillId="0" borderId="10" xfId="1" applyNumberFormat="1" applyFont="1" applyBorder="1" applyAlignment="1">
      <alignment horizontal="center" vertical="center" shrinkToFit="1"/>
    </xf>
    <xf numFmtId="164" fontId="34" fillId="0" borderId="19" xfId="1" applyNumberFormat="1" applyFont="1" applyBorder="1" applyAlignment="1">
      <alignment horizontal="left" vertical="center"/>
    </xf>
    <xf numFmtId="164" fontId="23" fillId="0" borderId="4" xfId="1" applyNumberFormat="1" applyFont="1" applyBorder="1" applyAlignment="1">
      <alignment horizontal="left" vertical="center"/>
    </xf>
    <xf numFmtId="49" fontId="12" fillId="0" borderId="11" xfId="1" applyNumberFormat="1" applyFont="1" applyBorder="1" applyAlignment="1">
      <alignment horizontal="center" vertical="center" shrinkToFit="1"/>
    </xf>
    <xf numFmtId="49" fontId="5" fillId="0" borderId="11" xfId="1" applyNumberFormat="1" applyFont="1" applyBorder="1" applyAlignment="1">
      <alignment horizontal="center" vertical="center" shrinkToFit="1"/>
    </xf>
    <xf numFmtId="164" fontId="23" fillId="0" borderId="21" xfId="1" applyNumberFormat="1" applyFont="1" applyBorder="1" applyAlignment="1">
      <alignment horizontal="left" vertical="center"/>
    </xf>
    <xf numFmtId="0" fontId="9" fillId="5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4" fillId="5" borderId="0" xfId="3" applyFont="1" applyFill="1" applyAlignment="1">
      <alignment horizontal="center" vertical="center"/>
    </xf>
    <xf numFmtId="164" fontId="16" fillId="5" borderId="0" xfId="1" applyNumberFormat="1" applyFont="1" applyFill="1" applyAlignment="1">
      <alignment horizontal="center" vertical="center" wrapText="1"/>
    </xf>
    <xf numFmtId="49" fontId="12" fillId="5" borderId="0" xfId="1" applyNumberFormat="1" applyFont="1" applyFill="1" applyAlignment="1">
      <alignment horizontal="center" vertical="center" shrinkToFit="1"/>
    </xf>
    <xf numFmtId="49" fontId="5" fillId="5" borderId="0" xfId="1" applyNumberFormat="1" applyFont="1" applyFill="1" applyAlignment="1">
      <alignment horizontal="center" vertical="center" shrinkToFit="1"/>
    </xf>
    <xf numFmtId="164" fontId="34" fillId="5" borderId="0" xfId="1" applyNumberFormat="1" applyFont="1" applyFill="1" applyAlignment="1">
      <alignment horizontal="left" vertical="center"/>
    </xf>
    <xf numFmtId="164" fontId="23" fillId="5" borderId="0" xfId="1" applyNumberFormat="1" applyFont="1" applyFill="1" applyAlignment="1">
      <alignment horizontal="left" vertical="center"/>
    </xf>
    <xf numFmtId="0" fontId="29" fillId="5" borderId="0" xfId="0" applyFont="1" applyFill="1" applyAlignment="1">
      <alignment horizontal="center"/>
    </xf>
    <xf numFmtId="0" fontId="31" fillId="5" borderId="0" xfId="0" applyFont="1" applyFill="1" applyAlignment="1">
      <alignment horizontal="center"/>
    </xf>
    <xf numFmtId="0" fontId="30" fillId="5" borderId="0" xfId="0" applyFont="1" applyFill="1"/>
    <xf numFmtId="164" fontId="10" fillId="5" borderId="0" xfId="1" applyNumberFormat="1" applyFont="1" applyFill="1"/>
    <xf numFmtId="0" fontId="23" fillId="0" borderId="17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165" fontId="23" fillId="2" borderId="17" xfId="1" applyFont="1" applyFill="1" applyBorder="1" applyAlignment="1">
      <alignment horizontal="left" vertical="center"/>
    </xf>
    <xf numFmtId="1" fontId="35" fillId="0" borderId="0" xfId="0" applyNumberFormat="1" applyFont="1"/>
    <xf numFmtId="164" fontId="8" fillId="0" borderId="0" xfId="0" applyNumberFormat="1" applyFont="1"/>
    <xf numFmtId="0" fontId="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39" fillId="0" borderId="0" xfId="0" applyNumberFormat="1" applyFont="1" applyAlignment="1">
      <alignment horizontal="left" vertical="center" shrinkToFit="1"/>
    </xf>
    <xf numFmtId="164" fontId="5" fillId="0" borderId="0" xfId="0" applyNumberFormat="1" applyFont="1" applyAlignment="1">
      <alignment horizontal="left" vertical="center" shrinkToFit="1"/>
    </xf>
    <xf numFmtId="0" fontId="24" fillId="0" borderId="0" xfId="0" applyFont="1" applyAlignment="1">
      <alignment horizontal="center"/>
    </xf>
    <xf numFmtId="0" fontId="39" fillId="2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0" xfId="0" applyFont="1" applyAlignment="1">
      <alignment horizontal="center"/>
    </xf>
    <xf numFmtId="0" fontId="40" fillId="0" borderId="17" xfId="3" applyFont="1" applyBorder="1" applyAlignment="1">
      <alignment horizontal="center" vertical="center"/>
    </xf>
    <xf numFmtId="164" fontId="40" fillId="0" borderId="17" xfId="1" applyNumberFormat="1" applyFont="1" applyBorder="1" applyAlignment="1">
      <alignment horizontal="left" vertical="center"/>
    </xf>
    <xf numFmtId="0" fontId="40" fillId="0" borderId="17" xfId="0" applyFont="1" applyBorder="1" applyAlignment="1">
      <alignment horizontal="left" vertical="center"/>
    </xf>
    <xf numFmtId="167" fontId="40" fillId="0" borderId="17" xfId="1" applyNumberFormat="1" applyFont="1" applyBorder="1" applyAlignment="1">
      <alignment horizontal="left" vertical="center"/>
    </xf>
    <xf numFmtId="167" fontId="40" fillId="2" borderId="17" xfId="1" applyNumberFormat="1" applyFont="1" applyFill="1" applyBorder="1" applyAlignment="1">
      <alignment horizontal="left" vertical="center"/>
    </xf>
    <xf numFmtId="164" fontId="40" fillId="0" borderId="19" xfId="1" applyNumberFormat="1" applyFont="1" applyBorder="1" applyAlignment="1">
      <alignment horizontal="left" vertical="center"/>
    </xf>
    <xf numFmtId="164" fontId="39" fillId="0" borderId="21" xfId="1" applyNumberFormat="1" applyFont="1" applyBorder="1" applyAlignment="1">
      <alignment horizontal="left" vertical="center"/>
    </xf>
    <xf numFmtId="164" fontId="39" fillId="0" borderId="12" xfId="1" applyNumberFormat="1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9" fillId="0" borderId="17" xfId="3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39" fillId="0" borderId="17" xfId="0" applyFont="1" applyBorder="1" applyAlignment="1">
      <alignment horizontal="left" vertical="center"/>
    </xf>
    <xf numFmtId="0" fontId="39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164" fontId="39" fillId="0" borderId="17" xfId="1" applyNumberFormat="1" applyFont="1" applyBorder="1" applyAlignment="1">
      <alignment horizontal="left" vertical="center"/>
    </xf>
    <xf numFmtId="9" fontId="14" fillId="0" borderId="17" xfId="1" applyNumberFormat="1" applyFont="1" applyBorder="1" applyAlignment="1">
      <alignment horizontal="center" vertical="center"/>
    </xf>
    <xf numFmtId="165" fontId="39" fillId="0" borderId="17" xfId="1" applyFont="1" applyBorder="1" applyAlignment="1">
      <alignment horizontal="left" vertical="center"/>
    </xf>
    <xf numFmtId="165" fontId="39" fillId="2" borderId="17" xfId="1" applyFont="1" applyFill="1" applyBorder="1" applyAlignment="1">
      <alignment horizontal="left" vertical="center"/>
    </xf>
    <xf numFmtId="164" fontId="14" fillId="0" borderId="17" xfId="1" applyNumberFormat="1" applyFont="1" applyBorder="1" applyAlignment="1">
      <alignment horizontal="left" vertical="center"/>
    </xf>
    <xf numFmtId="164" fontId="39" fillId="0" borderId="1" xfId="1" applyNumberFormat="1" applyFont="1" applyBorder="1" applyAlignment="1">
      <alignment horizontal="left" vertical="center"/>
    </xf>
    <xf numFmtId="164" fontId="39" fillId="0" borderId="4" xfId="1" applyNumberFormat="1" applyFont="1" applyBorder="1" applyAlignment="1">
      <alignment horizontal="left" vertical="center"/>
    </xf>
    <xf numFmtId="164" fontId="41" fillId="0" borderId="0" xfId="2" applyNumberFormat="1" applyFont="1" applyAlignment="1">
      <alignment horizontal="left" vertical="center"/>
    </xf>
    <xf numFmtId="14" fontId="41" fillId="0" borderId="0" xfId="2" applyNumberFormat="1" applyFont="1" applyAlignment="1">
      <alignment horizontal="left" vertical="center"/>
    </xf>
    <xf numFmtId="164" fontId="39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49" fontId="39" fillId="0" borderId="1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/>
    </xf>
    <xf numFmtId="49" fontId="42" fillId="0" borderId="0" xfId="1" applyNumberFormat="1" applyFont="1" applyAlignment="1">
      <alignment horizontal="center"/>
    </xf>
    <xf numFmtId="164" fontId="42" fillId="0" borderId="0" xfId="1" applyNumberFormat="1" applyFont="1" applyAlignment="1">
      <alignment wrapText="1"/>
    </xf>
    <xf numFmtId="164" fontId="39" fillId="0" borderId="0" xfId="1" applyNumberFormat="1" applyFont="1" applyAlignment="1">
      <alignment horizontal="center"/>
    </xf>
    <xf numFmtId="164" fontId="17" fillId="0" borderId="0" xfId="1" applyNumberFormat="1" applyFont="1" applyAlignment="1">
      <alignment horizontal="center"/>
    </xf>
    <xf numFmtId="164" fontId="42" fillId="0" borderId="0" xfId="1" applyNumberFormat="1" applyFont="1"/>
    <xf numFmtId="0" fontId="43" fillId="0" borderId="0" xfId="0" applyFont="1"/>
    <xf numFmtId="165" fontId="39" fillId="0" borderId="0" xfId="1" applyFont="1" applyAlignment="1">
      <alignment horizontal="center"/>
    </xf>
    <xf numFmtId="164" fontId="39" fillId="0" borderId="0" xfId="1" applyNumberFormat="1" applyFont="1"/>
    <xf numFmtId="165" fontId="42" fillId="0" borderId="0" xfId="1" applyFont="1"/>
    <xf numFmtId="0" fontId="42" fillId="0" borderId="0" xfId="0" applyFont="1"/>
    <xf numFmtId="0" fontId="16" fillId="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49" fontId="14" fillId="0" borderId="0" xfId="1" applyNumberFormat="1" applyFont="1" applyAlignment="1">
      <alignment horizontal="center"/>
    </xf>
    <xf numFmtId="164" fontId="14" fillId="0" borderId="0" xfId="1" applyNumberFormat="1" applyFont="1" applyAlignment="1">
      <alignment wrapText="1"/>
    </xf>
    <xf numFmtId="164" fontId="14" fillId="0" borderId="0" xfId="1" applyNumberFormat="1" applyFont="1" applyAlignment="1">
      <alignment horizontal="center"/>
    </xf>
    <xf numFmtId="164" fontId="15" fillId="0" borderId="0" xfId="1" applyNumberFormat="1" applyFont="1" applyAlignment="1">
      <alignment horizontal="center"/>
    </xf>
    <xf numFmtId="164" fontId="14" fillId="0" borderId="0" xfId="1" applyNumberFormat="1" applyFont="1"/>
    <xf numFmtId="0" fontId="44" fillId="0" borderId="0" xfId="0" applyFont="1"/>
    <xf numFmtId="165" fontId="14" fillId="0" borderId="0" xfId="1" applyFont="1" applyAlignment="1">
      <alignment horizontal="center"/>
    </xf>
    <xf numFmtId="165" fontId="14" fillId="0" borderId="0" xfId="1" applyFont="1"/>
    <xf numFmtId="0" fontId="14" fillId="0" borderId="0" xfId="0" applyFont="1"/>
    <xf numFmtId="0" fontId="39" fillId="0" borderId="17" xfId="1" applyNumberFormat="1" applyFont="1" applyBorder="1" applyAlignment="1">
      <alignment horizontal="left" vertical="center" wrapText="1"/>
    </xf>
    <xf numFmtId="0" fontId="39" fillId="0" borderId="1" xfId="1" applyNumberFormat="1" applyFont="1" applyBorder="1" applyAlignment="1">
      <alignment horizontal="left" vertical="center" wrapText="1"/>
    </xf>
    <xf numFmtId="0" fontId="39" fillId="0" borderId="1" xfId="3" applyFont="1" applyBorder="1" applyAlignment="1">
      <alignment horizontal="center" vertical="center" wrapText="1"/>
    </xf>
    <xf numFmtId="0" fontId="39" fillId="0" borderId="1" xfId="0" quotePrefix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14" fillId="0" borderId="1" xfId="1" applyNumberFormat="1" applyFont="1" applyBorder="1" applyAlignment="1">
      <alignment horizontal="center" vertical="center" wrapText="1"/>
    </xf>
    <xf numFmtId="0" fontId="39" fillId="2" borderId="1" xfId="1" applyNumberFormat="1" applyFont="1" applyFill="1" applyBorder="1" applyAlignment="1">
      <alignment horizontal="left" vertical="center" wrapText="1"/>
    </xf>
    <xf numFmtId="0" fontId="14" fillId="0" borderId="1" xfId="1" applyNumberFormat="1" applyFont="1" applyBorder="1" applyAlignment="1">
      <alignment horizontal="left" vertical="center" wrapText="1"/>
    </xf>
    <xf numFmtId="0" fontId="41" fillId="0" borderId="0" xfId="2" applyNumberFormat="1" applyFont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9" fillId="3" borderId="1" xfId="1" applyNumberFormat="1" applyFont="1" applyFill="1" applyBorder="1" applyAlignment="1">
      <alignment horizontal="left" vertical="center" wrapText="1"/>
    </xf>
    <xf numFmtId="0" fontId="43" fillId="0" borderId="0" xfId="0" applyFont="1" applyAlignment="1">
      <alignment vertical="center"/>
    </xf>
    <xf numFmtId="0" fontId="2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/>
    </xf>
    <xf numFmtId="49" fontId="42" fillId="0" borderId="0" xfId="1" applyNumberFormat="1" applyFont="1" applyAlignment="1">
      <alignment horizontal="center" vertical="center"/>
    </xf>
    <xf numFmtId="164" fontId="42" fillId="0" borderId="0" xfId="1" applyNumberFormat="1" applyFont="1" applyAlignment="1">
      <alignment vertical="center" wrapText="1"/>
    </xf>
    <xf numFmtId="164" fontId="39" fillId="0" borderId="0" xfId="1" applyNumberFormat="1" applyFont="1" applyAlignment="1">
      <alignment horizontal="center" vertical="center"/>
    </xf>
    <xf numFmtId="164" fontId="17" fillId="0" borderId="0" xfId="1" applyNumberFormat="1" applyFont="1" applyAlignment="1">
      <alignment horizontal="center" vertical="center"/>
    </xf>
    <xf numFmtId="164" fontId="42" fillId="0" borderId="0" xfId="1" applyNumberFormat="1" applyFont="1" applyAlignment="1">
      <alignment vertical="center"/>
    </xf>
    <xf numFmtId="165" fontId="39" fillId="0" borderId="0" xfId="1" applyFont="1" applyAlignment="1">
      <alignment horizontal="center" vertical="center"/>
    </xf>
    <xf numFmtId="164" fontId="39" fillId="0" borderId="0" xfId="1" applyNumberFormat="1" applyFont="1" applyAlignment="1">
      <alignment vertical="center"/>
    </xf>
    <xf numFmtId="165" fontId="42" fillId="0" borderId="0" xfId="1" applyFont="1" applyAlignment="1">
      <alignment vertical="center"/>
    </xf>
    <xf numFmtId="0" fontId="42" fillId="0" borderId="0" xfId="0" applyFont="1" applyAlignment="1">
      <alignment vertical="center"/>
    </xf>
    <xf numFmtId="0" fontId="39" fillId="0" borderId="17" xfId="3" applyFont="1" applyBorder="1" applyAlignment="1">
      <alignment horizontal="center" vertical="center" wrapText="1"/>
    </xf>
    <xf numFmtId="0" fontId="39" fillId="0" borderId="17" xfId="0" applyFont="1" applyBorder="1" applyAlignment="1">
      <alignment horizontal="left" vertical="center" wrapText="1"/>
    </xf>
    <xf numFmtId="0" fontId="14" fillId="0" borderId="17" xfId="1" applyNumberFormat="1" applyFont="1" applyBorder="1" applyAlignment="1">
      <alignment horizontal="center" vertical="center" wrapText="1"/>
    </xf>
    <xf numFmtId="0" fontId="14" fillId="0" borderId="17" xfId="1" applyNumberFormat="1" applyFont="1" applyBorder="1" applyAlignment="1">
      <alignment horizontal="left" vertical="center" wrapText="1"/>
    </xf>
    <xf numFmtId="0" fontId="39" fillId="0" borderId="12" xfId="1" applyNumberFormat="1" applyFont="1" applyBorder="1" applyAlignment="1">
      <alignment horizontal="left" vertical="center" wrapText="1"/>
    </xf>
    <xf numFmtId="0" fontId="39" fillId="0" borderId="4" xfId="1" applyNumberFormat="1" applyFont="1" applyBorder="1" applyAlignment="1">
      <alignment horizontal="left" vertical="center" wrapText="1"/>
    </xf>
    <xf numFmtId="0" fontId="39" fillId="0" borderId="21" xfId="1" applyNumberFormat="1" applyFont="1" applyBorder="1" applyAlignment="1">
      <alignment horizontal="left" vertical="center" wrapText="1"/>
    </xf>
    <xf numFmtId="164" fontId="16" fillId="4" borderId="1" xfId="0" applyNumberFormat="1" applyFont="1" applyFill="1" applyBorder="1" applyAlignment="1">
      <alignment horizontal="center" vertical="center" wrapText="1"/>
    </xf>
    <xf numFmtId="9" fontId="16" fillId="4" borderId="1" xfId="0" applyNumberFormat="1" applyFont="1" applyFill="1" applyBorder="1" applyAlignment="1">
      <alignment horizontal="center" vertical="center" wrapText="1"/>
    </xf>
    <xf numFmtId="43" fontId="16" fillId="4" borderId="1" xfId="0" applyNumberFormat="1" applyFont="1" applyFill="1" applyBorder="1" applyAlignment="1">
      <alignment horizontal="center" vertical="center" wrapText="1"/>
    </xf>
    <xf numFmtId="0" fontId="46" fillId="0" borderId="0" xfId="0" applyFont="1"/>
    <xf numFmtId="164" fontId="47" fillId="0" borderId="0" xfId="1" applyNumberFormat="1" applyFont="1"/>
    <xf numFmtId="164" fontId="16" fillId="2" borderId="1" xfId="1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7" xfId="0" applyBorder="1"/>
    <xf numFmtId="164" fontId="22" fillId="2" borderId="1" xfId="1" applyNumberFormat="1" applyFont="1" applyFill="1" applyBorder="1" applyAlignment="1">
      <alignment horizontal="center" vertical="center" wrapText="1"/>
    </xf>
    <xf numFmtId="165" fontId="5" fillId="3" borderId="7" xfId="1" applyFont="1" applyFill="1" applyBorder="1" applyAlignment="1">
      <alignment horizontal="center" vertical="center" wrapText="1"/>
    </xf>
    <xf numFmtId="0" fontId="0" fillId="0" borderId="18" xfId="0" applyBorder="1"/>
    <xf numFmtId="164" fontId="16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16" fillId="4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165" fontId="5" fillId="2" borderId="7" xfId="1" applyFont="1" applyFill="1" applyBorder="1" applyAlignment="1">
      <alignment horizontal="center" vertical="center" wrapText="1"/>
    </xf>
    <xf numFmtId="164" fontId="16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5" fillId="3" borderId="1" xfId="1" applyNumberFormat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49" fontId="16" fillId="2" borderId="1" xfId="1" applyNumberFormat="1" applyFont="1" applyFill="1" applyBorder="1" applyAlignment="1">
      <alignment horizontal="center" vertical="center" wrapText="1"/>
    </xf>
    <xf numFmtId="0" fontId="16" fillId="4" borderId="1" xfId="1" applyNumberFormat="1" applyFont="1" applyFill="1" applyBorder="1" applyAlignment="1">
      <alignment horizontal="center" vertical="center" wrapText="1"/>
    </xf>
    <xf numFmtId="165" fontId="21" fillId="2" borderId="1" xfId="1" applyFont="1" applyFill="1" applyBorder="1" applyAlignment="1">
      <alignment horizontal="center" vertical="center" wrapText="1"/>
    </xf>
    <xf numFmtId="164" fontId="16" fillId="2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43" fontId="18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0" fontId="10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164" fontId="21" fillId="4" borderId="1" xfId="1" applyNumberFormat="1" applyFont="1" applyFill="1" applyBorder="1" applyAlignment="1">
      <alignment horizontal="center" vertical="center" wrapText="1"/>
    </xf>
    <xf numFmtId="164" fontId="16" fillId="4" borderId="4" xfId="1" applyNumberFormat="1" applyFont="1" applyFill="1" applyBorder="1" applyAlignment="1">
      <alignment horizontal="center" vertical="center" wrapText="1"/>
    </xf>
    <xf numFmtId="164" fontId="16" fillId="4" borderId="17" xfId="1" applyNumberFormat="1" applyFont="1" applyFill="1" applyBorder="1" applyAlignment="1">
      <alignment horizontal="center" vertical="center" wrapText="1"/>
    </xf>
    <xf numFmtId="165" fontId="4" fillId="2" borderId="4" xfId="1" applyFont="1" applyFill="1" applyBorder="1" applyAlignment="1">
      <alignment horizontal="center" vertical="center" wrapText="1"/>
    </xf>
    <xf numFmtId="0" fontId="12" fillId="4" borderId="1" xfId="1" applyNumberFormat="1" applyFont="1" applyFill="1" applyBorder="1" applyAlignment="1">
      <alignment horizontal="center" vertical="center" wrapText="1"/>
    </xf>
    <xf numFmtId="0" fontId="16" fillId="2" borderId="1" xfId="3" applyFont="1" applyFill="1" applyBorder="1" applyAlignment="1">
      <alignment horizontal="center" vertical="center"/>
    </xf>
    <xf numFmtId="9" fontId="5" fillId="2" borderId="7" xfId="2" applyFont="1" applyFill="1" applyBorder="1" applyAlignment="1">
      <alignment horizontal="center" vertical="center"/>
    </xf>
    <xf numFmtId="0" fontId="0" fillId="0" borderId="8" xfId="0" applyBorder="1"/>
    <xf numFmtId="0" fontId="6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5" fillId="2" borderId="20" xfId="1" applyNumberFormat="1" applyFont="1" applyFill="1" applyBorder="1" applyAlignment="1">
      <alignment horizontal="center" vertical="center"/>
    </xf>
    <xf numFmtId="164" fontId="12" fillId="4" borderId="1" xfId="1" applyNumberFormat="1" applyFont="1" applyFill="1" applyBorder="1" applyAlignment="1">
      <alignment horizontal="center" vertical="center" wrapText="1"/>
    </xf>
    <xf numFmtId="165" fontId="16" fillId="2" borderId="1" xfId="1" applyFont="1" applyFill="1" applyBorder="1" applyAlignment="1">
      <alignment horizontal="center" vertical="center" wrapText="1"/>
    </xf>
    <xf numFmtId="164" fontId="16" fillId="3" borderId="1" xfId="1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5" fontId="16" fillId="2" borderId="4" xfId="1" applyFont="1" applyFill="1" applyBorder="1" applyAlignment="1">
      <alignment horizontal="center" vertical="center" wrapText="1"/>
    </xf>
    <xf numFmtId="43" fontId="16" fillId="2" borderId="1" xfId="5" applyFont="1" applyFill="1" applyBorder="1" applyAlignment="1">
      <alignment horizontal="center" vertical="center" wrapText="1"/>
    </xf>
    <xf numFmtId="164" fontId="12" fillId="4" borderId="1" xfId="1" applyNumberFormat="1" applyFont="1" applyFill="1" applyBorder="1" applyAlignment="1">
      <alignment horizontal="center" vertical="top" wrapText="1"/>
    </xf>
    <xf numFmtId="164" fontId="21" fillId="4" borderId="1" xfId="1" applyNumberFormat="1" applyFont="1" applyFill="1" applyBorder="1" applyAlignment="1">
      <alignment horizontal="center" vertical="top" wrapText="1"/>
    </xf>
    <xf numFmtId="0" fontId="16" fillId="4" borderId="1" xfId="1" applyNumberFormat="1" applyFont="1" applyFill="1" applyBorder="1" applyAlignment="1">
      <alignment horizontal="center" vertical="top" wrapText="1"/>
    </xf>
    <xf numFmtId="164" fontId="16" fillId="4" borderId="1" xfId="1" applyNumberFormat="1" applyFont="1" applyFill="1" applyBorder="1" applyAlignment="1">
      <alignment horizontal="center" vertical="top" wrapText="1"/>
    </xf>
    <xf numFmtId="164" fontId="17" fillId="2" borderId="1" xfId="1" applyNumberFormat="1" applyFont="1" applyFill="1" applyBorder="1" applyAlignment="1">
      <alignment horizontal="center" vertical="center" wrapText="1"/>
    </xf>
    <xf numFmtId="0" fontId="48" fillId="0" borderId="0" xfId="3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49" fillId="0" borderId="0" xfId="3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0" fontId="50" fillId="0" borderId="0" xfId="3" applyFont="1" applyAlignment="1">
      <alignment vertical="center"/>
    </xf>
    <xf numFmtId="165" fontId="51" fillId="0" borderId="0" xfId="1" applyFont="1" applyAlignment="1">
      <alignment vertical="center"/>
    </xf>
    <xf numFmtId="164" fontId="51" fillId="0" borderId="0" xfId="1" applyNumberFormat="1" applyFont="1" applyAlignment="1">
      <alignment vertical="center"/>
    </xf>
    <xf numFmtId="164" fontId="52" fillId="0" borderId="0" xfId="1" applyNumberFormat="1" applyFont="1" applyAlignment="1">
      <alignment vertical="center"/>
    </xf>
    <xf numFmtId="164" fontId="53" fillId="0" borderId="0" xfId="1" applyNumberFormat="1" applyFont="1" applyAlignment="1">
      <alignment vertical="center"/>
    </xf>
    <xf numFmtId="164" fontId="51" fillId="5" borderId="0" xfId="1" applyNumberFormat="1" applyFont="1" applyFill="1" applyAlignment="1">
      <alignment vertical="center"/>
    </xf>
    <xf numFmtId="164" fontId="5" fillId="0" borderId="0" xfId="1" applyNumberFormat="1" applyFont="1" applyAlignment="1">
      <alignment vertical="center"/>
    </xf>
    <xf numFmtId="0" fontId="53" fillId="0" borderId="0" xfId="3" applyFont="1" applyAlignment="1">
      <alignment horizontal="center" vertical="center"/>
    </xf>
    <xf numFmtId="0" fontId="54" fillId="0" borderId="0" xfId="3" applyFont="1" applyAlignment="1">
      <alignment horizontal="left" vertical="center"/>
    </xf>
    <xf numFmtId="0" fontId="55" fillId="0" borderId="0" xfId="3" applyFont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6" fillId="0" borderId="0" xfId="3" applyFont="1" applyAlignment="1">
      <alignment horizontal="center" vertical="center"/>
    </xf>
    <xf numFmtId="0" fontId="57" fillId="0" borderId="0" xfId="3" applyFont="1" applyAlignment="1">
      <alignment horizontal="center" vertical="center"/>
    </xf>
    <xf numFmtId="164" fontId="16" fillId="4" borderId="8" xfId="1" applyNumberFormat="1" applyFont="1" applyFill="1" applyBorder="1" applyAlignment="1">
      <alignment horizontal="center" vertical="center" wrapText="1"/>
    </xf>
    <xf numFmtId="0" fontId="0" fillId="0" borderId="0" xfId="0" applyBorder="1"/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ity/Documents/GitHub/gitlocal/thaco/Archive/BANG%20LUONG%20MAU%201.xlsx" TargetMode="External"/><Relationship Id="rId1" Type="http://schemas.openxmlformats.org/officeDocument/2006/relationships/externalLinkPath" Target="/Users/adity/Documents/GitHub/gitlocal/thaco/Archive/BANG%20LUONG%20MAU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ảng lương CB-NV"/>
      <sheetName val="Mô tả Bảng lương CB-NV"/>
      <sheetName val="Bảng lương tạm ứng kỳ 1"/>
      <sheetName val="Mô tả Bảng lương tạm ứng kỳ 1"/>
    </sheetNames>
    <sheetDataSet>
      <sheetData sheetId="0">
        <row r="8">
          <cell r="B8" t="str">
            <v>MSNV</v>
          </cell>
        </row>
        <row r="12">
          <cell r="B12">
            <v>2</v>
          </cell>
        </row>
        <row r="13">
          <cell r="B13" t="str">
            <v>IN</v>
          </cell>
        </row>
        <row r="15">
          <cell r="B15">
            <v>2405236</v>
          </cell>
        </row>
        <row r="16">
          <cell r="B16">
            <v>2106723</v>
          </cell>
        </row>
        <row r="17">
          <cell r="B17" t="str">
            <v>2504023</v>
          </cell>
        </row>
        <row r="18">
          <cell r="B18">
            <v>2406198</v>
          </cell>
        </row>
        <row r="19">
          <cell r="B19" t="str">
            <v>2305991</v>
          </cell>
        </row>
        <row r="20">
          <cell r="B20">
            <v>2406145</v>
          </cell>
        </row>
        <row r="21">
          <cell r="B21" t="str">
            <v>2006324</v>
          </cell>
        </row>
      </sheetData>
      <sheetData sheetId="1"/>
      <sheetData sheetId="2">
        <row r="8">
          <cell r="BT8" t="str">
            <v>Thực nhận kỳ 1</v>
          </cell>
        </row>
        <row r="12">
          <cell r="BT12">
            <v>63</v>
          </cell>
        </row>
        <row r="14">
          <cell r="BT14">
            <v>104321384.61538464</v>
          </cell>
        </row>
        <row r="15">
          <cell r="B15">
            <v>2405236</v>
          </cell>
          <cell r="BT15">
            <v>25846153.846153852</v>
          </cell>
        </row>
        <row r="16">
          <cell r="BT16">
            <v>17711384.61538462</v>
          </cell>
        </row>
        <row r="17">
          <cell r="BT17">
            <v>22892307.692307696</v>
          </cell>
        </row>
        <row r="18">
          <cell r="BT18">
            <v>10200307.692307694</v>
          </cell>
        </row>
        <row r="19">
          <cell r="BT19">
            <v>7498076.9230769221</v>
          </cell>
        </row>
        <row r="20">
          <cell r="B20">
            <v>2406145</v>
          </cell>
          <cell r="BT20">
            <v>10195307.692307694</v>
          </cell>
        </row>
        <row r="21">
          <cell r="B21" t="str">
            <v>2006324</v>
          </cell>
          <cell r="BT21">
            <v>9977846.153846154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CI22"/>
  <sheetViews>
    <sheetView tabSelected="1" zoomScale="130" zoomScaleNormal="130" workbookViewId="0">
      <selection activeCell="D21" sqref="D21"/>
    </sheetView>
  </sheetViews>
  <sheetFormatPr baseColWidth="10" defaultColWidth="9.1640625" defaultRowHeight="15" outlineLevelRow="1" outlineLevelCol="1"/>
  <cols>
    <col min="1" max="1" width="5.5" style="50" customWidth="1"/>
    <col min="2" max="2" width="8.5" style="55" customWidth="1"/>
    <col min="3" max="3" width="15.83203125" style="56" customWidth="1"/>
    <col min="4" max="4" width="15.83203125" style="57" customWidth="1" outlineLevel="1"/>
    <col min="5" max="5" width="8.5" style="57" bestFit="1" customWidth="1" outlineLevel="1"/>
    <col min="6" max="6" width="11.5" style="58" customWidth="1" outlineLevel="1"/>
    <col min="7" max="7" width="13.6640625" style="53" bestFit="1" customWidth="1"/>
    <col min="8" max="8" width="12.5" style="53" customWidth="1"/>
    <col min="9" max="9" width="12.5" customWidth="1"/>
    <col min="10" max="10" width="7.5" customWidth="1" outlineLevel="1"/>
    <col min="11" max="24" width="7.1640625" style="51" customWidth="1"/>
    <col min="25" max="47" width="12.33203125" style="52" customWidth="1"/>
    <col min="48" max="49" width="13" style="52" customWidth="1"/>
    <col min="50" max="50" width="6.6640625" style="52" customWidth="1"/>
    <col min="51" max="53" width="10.5" style="52" customWidth="1" outlineLevel="1"/>
    <col min="54" max="58" width="10.5" style="52" customWidth="1"/>
    <col min="59" max="59" width="13.6640625" style="52" bestFit="1" customWidth="1"/>
    <col min="60" max="71" width="10.5" style="52" customWidth="1"/>
    <col min="72" max="73" width="12.5" style="52" customWidth="1"/>
    <col min="74" max="74" width="12.5" style="107" customWidth="1"/>
    <col min="75" max="79" width="12.6640625" style="53" customWidth="1" outlineLevel="1"/>
    <col min="80" max="80" width="12.6640625" style="54" customWidth="1" outlineLevel="1"/>
    <col min="81" max="82" width="10.6640625" style="54" customWidth="1" outlineLevel="1"/>
    <col min="83" max="83" width="19.5" style="25" customWidth="1"/>
    <col min="84" max="84" width="12.33203125" style="25" customWidth="1"/>
    <col min="85" max="85" width="12.5" style="25" customWidth="1"/>
    <col min="86" max="86" width="11.6640625" style="25" customWidth="1"/>
    <col min="87" max="16384" width="9.1640625" style="25"/>
  </cols>
  <sheetData>
    <row r="1" spans="1:87" s="271" customFormat="1" ht="24" outlineLevel="1">
      <c r="A1" s="267" t="s">
        <v>150</v>
      </c>
      <c r="B1" s="268"/>
      <c r="C1" s="269"/>
      <c r="D1" s="270"/>
      <c r="E1" s="270"/>
      <c r="F1" s="270"/>
      <c r="I1" s="1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4"/>
      <c r="BE1" s="273"/>
      <c r="BF1" s="274"/>
      <c r="BG1" s="273"/>
      <c r="BH1" s="273"/>
      <c r="BI1" s="273"/>
      <c r="BJ1" s="273"/>
      <c r="BK1" s="273"/>
      <c r="BL1" s="273"/>
      <c r="BM1" s="273"/>
      <c r="BN1" s="273"/>
      <c r="BO1" s="273"/>
      <c r="BP1" s="275"/>
      <c r="BQ1" s="273"/>
      <c r="BR1" s="273"/>
      <c r="BS1" s="273"/>
      <c r="BU1" s="273"/>
      <c r="BV1" s="276"/>
      <c r="BW1" s="277"/>
      <c r="BX1" s="277"/>
      <c r="BY1" s="277"/>
      <c r="BZ1" s="277"/>
      <c r="CA1" s="277"/>
      <c r="CB1" s="278"/>
      <c r="CC1" s="278"/>
      <c r="CD1" s="278"/>
    </row>
    <row r="2" spans="1:87" s="271" customFormat="1" ht="24" outlineLevel="1">
      <c r="A2" s="279" t="s">
        <v>151</v>
      </c>
      <c r="B2" s="268"/>
      <c r="C2" s="280"/>
      <c r="D2" s="270"/>
      <c r="E2" s="270"/>
      <c r="F2" s="270"/>
      <c r="I2" s="1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4"/>
      <c r="BE2" s="273"/>
      <c r="BF2" s="273"/>
      <c r="BG2" s="273"/>
      <c r="BH2" s="273"/>
      <c r="BI2" s="273"/>
      <c r="BJ2" s="273"/>
      <c r="BK2" s="273"/>
      <c r="BL2" s="273"/>
      <c r="BM2" s="273"/>
      <c r="BN2" s="273"/>
      <c r="BO2" s="273"/>
      <c r="BP2" s="273"/>
      <c r="BQ2" s="273"/>
      <c r="BR2" s="273"/>
      <c r="BS2" s="273"/>
      <c r="BT2" s="273"/>
      <c r="BU2" s="273"/>
      <c r="BV2" s="276"/>
      <c r="BW2" s="281"/>
      <c r="BX2" s="281"/>
      <c r="BY2" s="281"/>
      <c r="BZ2" s="281"/>
      <c r="CA2" s="281"/>
      <c r="CB2" s="280"/>
      <c r="CC2" s="280"/>
      <c r="CD2" s="280"/>
    </row>
    <row r="3" spans="1:87" s="5" customFormat="1" ht="30" outlineLevel="1">
      <c r="A3" s="282" t="str">
        <f ca="1">"BẢNG THANH TOÁN TIỀN LƯƠNG THÁNG …."&amp;" NĂM "&amp;YEAR(NOW())</f>
        <v>BẢNG THANH TOÁN TIỀN LƯƠNG THÁNG …. NĂM 2025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2"/>
      <c r="AW3" s="282"/>
      <c r="AX3" s="282"/>
      <c r="AY3" s="282"/>
      <c r="AZ3" s="282"/>
      <c r="BA3" s="282"/>
      <c r="BB3" s="282"/>
      <c r="BC3" s="282"/>
      <c r="BD3" s="282"/>
      <c r="BE3" s="282"/>
      <c r="BF3" s="282"/>
      <c r="BG3" s="282"/>
      <c r="BH3" s="282"/>
      <c r="BI3" s="282"/>
      <c r="BJ3" s="282"/>
      <c r="BK3" s="282"/>
      <c r="BL3" s="282"/>
      <c r="BM3" s="282"/>
      <c r="BN3" s="282"/>
      <c r="BO3" s="282"/>
      <c r="BP3" s="282"/>
      <c r="BQ3" s="282"/>
      <c r="BR3" s="282"/>
      <c r="BS3" s="282"/>
      <c r="BT3" s="282"/>
      <c r="BU3" s="282"/>
      <c r="BV3" s="283"/>
      <c r="BW3" s="284" t="s">
        <v>152</v>
      </c>
      <c r="BX3" s="284"/>
      <c r="BY3" s="284"/>
      <c r="BZ3" s="284"/>
      <c r="CA3" s="284"/>
      <c r="CB3" s="285"/>
      <c r="CC3" s="60"/>
      <c r="CD3" s="60"/>
      <c r="CE3" s="286" t="s">
        <v>153</v>
      </c>
      <c r="CF3" s="287">
        <v>26</v>
      </c>
    </row>
    <row r="4" spans="1:87" s="5" customFormat="1" ht="33" outlineLevel="1">
      <c r="A4" s="4"/>
      <c r="B4" s="4"/>
      <c r="C4" s="4"/>
      <c r="D4" s="4"/>
      <c r="E4" s="4"/>
      <c r="F4" s="4"/>
      <c r="G4" s="4"/>
      <c r="H4" s="4"/>
      <c r="I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96"/>
      <c r="BW4" s="285"/>
      <c r="BX4" s="285"/>
      <c r="BY4" s="285"/>
      <c r="BZ4" s="285"/>
      <c r="CA4" s="285"/>
      <c r="CB4" s="285"/>
      <c r="CC4" s="60"/>
      <c r="CD4" s="60"/>
    </row>
    <row r="5" spans="1:87" s="3" customFormat="1" ht="33" outlineLevel="1">
      <c r="A5" s="4"/>
      <c r="B5" s="4"/>
      <c r="C5" s="4"/>
      <c r="D5" s="4"/>
      <c r="E5" s="4"/>
      <c r="F5" s="4"/>
      <c r="G5" s="4"/>
      <c r="H5" s="4"/>
      <c r="I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96"/>
      <c r="BW5" s="285"/>
      <c r="BX5" s="285"/>
      <c r="BY5" s="285"/>
      <c r="BZ5" s="285"/>
      <c r="CA5" s="285"/>
      <c r="CB5" s="285"/>
      <c r="CC5" s="60"/>
      <c r="CD5" s="60"/>
    </row>
    <row r="6" spans="1:87" s="3" customFormat="1" ht="33" outlineLevel="1">
      <c r="A6" s="7"/>
      <c r="B6" s="7"/>
      <c r="C6" s="7"/>
      <c r="D6" s="7"/>
      <c r="E6" s="7"/>
      <c r="F6" s="7"/>
      <c r="G6" s="7"/>
      <c r="H6" s="7"/>
      <c r="I6" s="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  <c r="AB6" s="9"/>
      <c r="AC6" s="4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97"/>
      <c r="BW6" s="284"/>
      <c r="BX6" s="284"/>
      <c r="BY6" s="284"/>
      <c r="BZ6" s="284"/>
      <c r="CA6" s="284"/>
      <c r="CB6" s="285"/>
      <c r="CC6" s="60"/>
      <c r="CD6" s="60"/>
    </row>
    <row r="7" spans="1:87" s="3" customFormat="1" ht="33" outlineLevel="1">
      <c r="A7" s="10"/>
      <c r="B7" s="11"/>
      <c r="C7" s="10"/>
      <c r="D7" s="11"/>
      <c r="E7" s="11"/>
      <c r="F7" s="12"/>
      <c r="G7" s="11"/>
      <c r="H7" s="11"/>
      <c r="I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13"/>
      <c r="W7" s="13"/>
      <c r="X7" s="13"/>
      <c r="Y7" s="9"/>
      <c r="Z7" s="9"/>
      <c r="AA7" s="9"/>
      <c r="AB7" s="9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10"/>
      <c r="AW7" s="10"/>
      <c r="AX7" s="10"/>
      <c r="AY7" s="11"/>
      <c r="AZ7" s="10"/>
      <c r="BA7" s="11"/>
      <c r="BB7" s="11"/>
      <c r="BC7" s="10"/>
      <c r="BD7" s="10"/>
      <c r="BE7" s="11"/>
      <c r="BF7" s="11"/>
      <c r="BG7" s="11"/>
      <c r="BH7" s="11"/>
      <c r="BI7" s="11"/>
      <c r="BJ7" s="11"/>
      <c r="BK7" s="11"/>
      <c r="BL7" s="10"/>
      <c r="BM7" s="10"/>
      <c r="BN7" s="11"/>
      <c r="BO7" s="10"/>
      <c r="BP7" s="11"/>
      <c r="BQ7" s="10"/>
      <c r="BR7" s="10"/>
      <c r="BS7" s="10"/>
      <c r="BT7" s="11"/>
      <c r="BU7" s="10"/>
      <c r="BV7" s="98"/>
      <c r="BW7" s="15"/>
      <c r="BX7" s="15"/>
      <c r="BY7" s="15"/>
      <c r="BZ7" s="15"/>
      <c r="CA7" s="15"/>
      <c r="CB7" s="14"/>
      <c r="CC7" s="14"/>
      <c r="CD7" s="14"/>
    </row>
    <row r="8" spans="1:87" s="2" customFormat="1" ht="19.25" customHeight="1">
      <c r="A8" s="247" t="s">
        <v>0</v>
      </c>
      <c r="B8" s="233" t="s">
        <v>1</v>
      </c>
      <c r="C8" s="215" t="s">
        <v>2</v>
      </c>
      <c r="D8" s="236" t="s">
        <v>3</v>
      </c>
      <c r="E8" s="236" t="s">
        <v>4</v>
      </c>
      <c r="F8" s="215" t="s">
        <v>5</v>
      </c>
      <c r="G8" s="232" t="s">
        <v>6</v>
      </c>
      <c r="H8" s="237" t="s">
        <v>7</v>
      </c>
      <c r="I8" s="237" t="s">
        <v>8</v>
      </c>
      <c r="J8" s="232" t="s">
        <v>9</v>
      </c>
      <c r="K8" s="245" t="s">
        <v>10</v>
      </c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32" t="s">
        <v>11</v>
      </c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9"/>
      <c r="AP8" s="232" t="s">
        <v>12</v>
      </c>
      <c r="AQ8" s="232" t="s">
        <v>13</v>
      </c>
      <c r="AR8" s="232" t="s">
        <v>14</v>
      </c>
      <c r="AS8" s="232" t="s">
        <v>15</v>
      </c>
      <c r="AT8" s="232" t="s">
        <v>16</v>
      </c>
      <c r="AU8" s="232" t="s">
        <v>17</v>
      </c>
      <c r="AV8" s="215" t="s">
        <v>18</v>
      </c>
      <c r="AW8" s="215" t="s">
        <v>19</v>
      </c>
      <c r="AX8" s="215" t="s">
        <v>20</v>
      </c>
      <c r="AY8" s="227" t="s">
        <v>21</v>
      </c>
      <c r="AZ8" s="228"/>
      <c r="BA8" s="228"/>
      <c r="BB8" s="228"/>
      <c r="BC8" s="228"/>
      <c r="BD8" s="228"/>
      <c r="BE8" s="228"/>
      <c r="BF8" s="228"/>
      <c r="BG8" s="228"/>
      <c r="BH8" s="228"/>
      <c r="BI8" s="228"/>
      <c r="BJ8" s="228"/>
      <c r="BK8" s="228"/>
      <c r="BL8" s="228"/>
      <c r="BM8" s="228"/>
      <c r="BN8" s="228"/>
      <c r="BO8" s="228"/>
      <c r="BP8" s="228"/>
      <c r="BQ8" s="229"/>
      <c r="BR8" s="224" t="s">
        <v>22</v>
      </c>
      <c r="BS8" s="225"/>
      <c r="BT8" s="227" t="s">
        <v>23</v>
      </c>
      <c r="BU8" s="243" t="s">
        <v>24</v>
      </c>
      <c r="BV8" s="288"/>
      <c r="BW8" s="255" t="s">
        <v>25</v>
      </c>
      <c r="BX8" s="248" t="s">
        <v>26</v>
      </c>
      <c r="BY8" s="249"/>
      <c r="BZ8" s="249"/>
      <c r="CA8" s="225"/>
      <c r="CB8" s="226" t="s">
        <v>27</v>
      </c>
      <c r="CC8" s="219" t="s">
        <v>28</v>
      </c>
      <c r="CD8" s="219" t="s">
        <v>29</v>
      </c>
      <c r="CH8" s="16"/>
      <c r="CI8" s="17"/>
    </row>
    <row r="9" spans="1:87" s="2" customFormat="1" ht="19.25" customHeight="1">
      <c r="A9" s="216"/>
      <c r="B9" s="216"/>
      <c r="C9" s="216"/>
      <c r="D9" s="216"/>
      <c r="E9" s="216"/>
      <c r="F9" s="216"/>
      <c r="G9" s="216"/>
      <c r="H9" s="216"/>
      <c r="I9" s="216"/>
      <c r="J9" s="216"/>
      <c r="K9" s="235" t="s">
        <v>30</v>
      </c>
      <c r="L9" s="235" t="s">
        <v>31</v>
      </c>
      <c r="M9" s="235" t="s">
        <v>32</v>
      </c>
      <c r="N9" s="235" t="s">
        <v>33</v>
      </c>
      <c r="O9" s="235" t="s">
        <v>34</v>
      </c>
      <c r="P9" s="235" t="s">
        <v>35</v>
      </c>
      <c r="Q9" s="235" t="s">
        <v>36</v>
      </c>
      <c r="R9" s="235" t="s">
        <v>37</v>
      </c>
      <c r="S9" s="235" t="s">
        <v>38</v>
      </c>
      <c r="T9" s="235" t="s">
        <v>39</v>
      </c>
      <c r="U9" s="235" t="s">
        <v>40</v>
      </c>
      <c r="V9" s="238" t="s">
        <v>41</v>
      </c>
      <c r="W9" s="225"/>
      <c r="X9" s="235" t="s">
        <v>42</v>
      </c>
      <c r="Y9" s="218" t="s">
        <v>43</v>
      </c>
      <c r="Z9" s="218" t="s">
        <v>44</v>
      </c>
      <c r="AA9" s="218" t="s">
        <v>45</v>
      </c>
      <c r="AB9" s="218" t="s">
        <v>46</v>
      </c>
      <c r="AC9" s="231" t="s">
        <v>47</v>
      </c>
      <c r="AD9" s="231" t="s">
        <v>48</v>
      </c>
      <c r="AE9" s="231" t="s">
        <v>49</v>
      </c>
      <c r="AF9" s="231" t="s">
        <v>50</v>
      </c>
      <c r="AG9" s="218" t="s">
        <v>51</v>
      </c>
      <c r="AH9" s="231" t="s">
        <v>52</v>
      </c>
      <c r="AI9" s="231" t="s">
        <v>53</v>
      </c>
      <c r="AJ9" s="218" t="s">
        <v>54</v>
      </c>
      <c r="AK9" s="221" t="s">
        <v>55</v>
      </c>
      <c r="AL9" s="215" t="s">
        <v>56</v>
      </c>
      <c r="AM9" s="218" t="s">
        <v>57</v>
      </c>
      <c r="AN9" s="230" t="s">
        <v>58</v>
      </c>
      <c r="AO9" s="215" t="s">
        <v>59</v>
      </c>
      <c r="AP9" s="216"/>
      <c r="AQ9" s="216"/>
      <c r="AR9" s="216"/>
      <c r="AS9" s="216"/>
      <c r="AT9" s="216"/>
      <c r="AU9" s="216"/>
      <c r="AV9" s="216"/>
      <c r="AW9" s="216"/>
      <c r="AX9" s="216"/>
      <c r="AY9" s="227" t="s">
        <v>21</v>
      </c>
      <c r="AZ9" s="228"/>
      <c r="BA9" s="228"/>
      <c r="BB9" s="228"/>
      <c r="BC9" s="228"/>
      <c r="BD9" s="228"/>
      <c r="BE9" s="228"/>
      <c r="BF9" s="228"/>
      <c r="BG9" s="228"/>
      <c r="BH9" s="228"/>
      <c r="BI9" s="228"/>
      <c r="BJ9" s="228"/>
      <c r="BK9" s="228"/>
      <c r="BL9" s="229"/>
      <c r="BM9" s="227" t="s">
        <v>60</v>
      </c>
      <c r="BN9" s="228"/>
      <c r="BO9" s="228"/>
      <c r="BP9" s="228"/>
      <c r="BQ9" s="229"/>
      <c r="BR9" s="244" t="s">
        <v>61</v>
      </c>
      <c r="BS9" s="244" t="s">
        <v>62</v>
      </c>
      <c r="BT9" s="216"/>
      <c r="BU9" s="222"/>
      <c r="BV9" s="289"/>
      <c r="BW9" s="251"/>
      <c r="BX9" s="222"/>
      <c r="BY9" s="250"/>
      <c r="BZ9" s="250"/>
      <c r="CA9" s="251"/>
      <c r="CB9" s="216"/>
      <c r="CC9" s="216"/>
      <c r="CD9" s="216"/>
      <c r="CH9" s="16"/>
      <c r="CI9" s="17"/>
    </row>
    <row r="10" spans="1:87" s="18" customFormat="1" ht="19.25" customHeight="1">
      <c r="A10" s="216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23"/>
      <c r="W10" s="239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22"/>
      <c r="AL10" s="216"/>
      <c r="AM10" s="216"/>
      <c r="AN10" s="216"/>
      <c r="AO10" s="216"/>
      <c r="AP10" s="216"/>
      <c r="AQ10" s="216"/>
      <c r="AR10" s="216"/>
      <c r="AS10" s="216"/>
      <c r="AT10" s="216"/>
      <c r="AU10" s="216"/>
      <c r="AV10" s="216"/>
      <c r="AW10" s="216"/>
      <c r="AX10" s="216"/>
      <c r="AY10" s="88" t="s">
        <v>63</v>
      </c>
      <c r="AZ10" s="88" t="s">
        <v>64</v>
      </c>
      <c r="BA10" s="88" t="s">
        <v>65</v>
      </c>
      <c r="BB10" s="242" t="s">
        <v>66</v>
      </c>
      <c r="BC10" s="234" t="s">
        <v>67</v>
      </c>
      <c r="BD10" s="234" t="s">
        <v>68</v>
      </c>
      <c r="BE10" s="246" t="s">
        <v>69</v>
      </c>
      <c r="BF10" s="234" t="s">
        <v>70</v>
      </c>
      <c r="BG10" s="234" t="s">
        <v>71</v>
      </c>
      <c r="BH10" s="234" t="s">
        <v>72</v>
      </c>
      <c r="BI10" s="234" t="s">
        <v>73</v>
      </c>
      <c r="BJ10" s="234" t="s">
        <v>74</v>
      </c>
      <c r="BK10" s="234" t="s">
        <v>75</v>
      </c>
      <c r="BL10" s="256" t="s">
        <v>76</v>
      </c>
      <c r="BM10" s="234" t="s">
        <v>77</v>
      </c>
      <c r="BN10" s="227" t="s">
        <v>78</v>
      </c>
      <c r="BO10" s="234" t="s">
        <v>79</v>
      </c>
      <c r="BP10" s="227" t="s">
        <v>80</v>
      </c>
      <c r="BQ10" s="227" t="s">
        <v>81</v>
      </c>
      <c r="BR10" s="216"/>
      <c r="BS10" s="216"/>
      <c r="BT10" s="216"/>
      <c r="BU10" s="222"/>
      <c r="BV10" s="289"/>
      <c r="BW10" s="251"/>
      <c r="BX10" s="252"/>
      <c r="BY10" s="253"/>
      <c r="BZ10" s="253"/>
      <c r="CA10" s="254"/>
      <c r="CB10" s="216"/>
      <c r="CC10" s="216"/>
      <c r="CD10" s="216"/>
      <c r="CH10" s="16"/>
      <c r="CI10" s="17"/>
    </row>
    <row r="11" spans="1:87" s="18" customFormat="1" ht="38.25" customHeight="1">
      <c r="A11" s="217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19" t="s">
        <v>82</v>
      </c>
      <c r="W11" s="19" t="s">
        <v>83</v>
      </c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23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89" t="s">
        <v>84</v>
      </c>
      <c r="AZ11" s="89" t="s">
        <v>85</v>
      </c>
      <c r="BA11" s="89" t="s">
        <v>86</v>
      </c>
      <c r="BB11" s="217"/>
      <c r="BC11" s="217"/>
      <c r="BD11" s="217"/>
      <c r="BE11" s="217"/>
      <c r="BF11" s="217"/>
      <c r="BG11" s="217"/>
      <c r="BH11" s="217"/>
      <c r="BI11" s="217"/>
      <c r="BJ11" s="217"/>
      <c r="BK11" s="217"/>
      <c r="BL11" s="217"/>
      <c r="BM11" s="217"/>
      <c r="BN11" s="217"/>
      <c r="BO11" s="217"/>
      <c r="BP11" s="217"/>
      <c r="BQ11" s="217"/>
      <c r="BR11" s="217"/>
      <c r="BS11" s="217"/>
      <c r="BT11" s="217"/>
      <c r="BU11" s="223"/>
      <c r="BV11" s="289"/>
      <c r="BW11" s="254"/>
      <c r="BX11" s="61" t="s">
        <v>87</v>
      </c>
      <c r="BY11" s="61" t="s">
        <v>88</v>
      </c>
      <c r="BZ11" s="61" t="s">
        <v>89</v>
      </c>
      <c r="CA11" s="62" t="s">
        <v>90</v>
      </c>
      <c r="CB11" s="220"/>
      <c r="CC11" s="220"/>
      <c r="CD11" s="220"/>
      <c r="CE11" s="2"/>
      <c r="CF11" s="20"/>
      <c r="CH11" s="16"/>
      <c r="CI11" s="17"/>
    </row>
    <row r="12" spans="1:87" s="86" customFormat="1" ht="13">
      <c r="A12" s="74">
        <f>IF(B12=0,"",COUNTA($B$12:(B12)))</f>
        <v>1</v>
      </c>
      <c r="B12" s="75">
        <v>2405236</v>
      </c>
      <c r="C12" s="76" t="s">
        <v>154</v>
      </c>
      <c r="D12" s="77" t="s">
        <v>155</v>
      </c>
      <c r="E12" s="108" t="s">
        <v>95</v>
      </c>
      <c r="F12" s="109" t="s">
        <v>96</v>
      </c>
      <c r="G12" s="78">
        <v>9520000</v>
      </c>
      <c r="H12" s="78">
        <f t="shared" ref="H12:H18" si="0">+IF(OR(CC12="ĐT PCCC",CC12="ĐP PCCC"),780000,IF(CC12="AT-VSV",300000,0))</f>
        <v>0</v>
      </c>
      <c r="I12" s="78">
        <f>CB12-BZ12-G12-H12</f>
        <v>50480000</v>
      </c>
      <c r="J12" s="79">
        <v>1</v>
      </c>
      <c r="K12" s="80">
        <v>26</v>
      </c>
      <c r="L12" s="80">
        <v>0</v>
      </c>
      <c r="M12" s="80">
        <v>0</v>
      </c>
      <c r="N12" s="80">
        <v>0</v>
      </c>
      <c r="O12" s="80">
        <v>0</v>
      </c>
      <c r="P12" s="80">
        <v>0</v>
      </c>
      <c r="Q12" s="80">
        <v>0</v>
      </c>
      <c r="R12" s="80">
        <v>0</v>
      </c>
      <c r="S12" s="80">
        <v>0</v>
      </c>
      <c r="T12" s="110"/>
      <c r="U12" s="80">
        <v>0</v>
      </c>
      <c r="V12" s="80">
        <v>0</v>
      </c>
      <c r="W12" s="80">
        <v>0</v>
      </c>
      <c r="X12" s="80">
        <v>0</v>
      </c>
      <c r="Y12" s="78">
        <f t="shared" ref="Y12:Y18" si="1">G12*(K12+L12)/26</f>
        <v>9520000</v>
      </c>
      <c r="Z12" s="78">
        <f>M12*G12/26</f>
        <v>0</v>
      </c>
      <c r="AA12" s="78">
        <f>G12*N12/26</f>
        <v>0</v>
      </c>
      <c r="AB12" s="78">
        <f>G12*O12/26</f>
        <v>0</v>
      </c>
      <c r="AC12" s="78">
        <f>G12*P12*150%/26</f>
        <v>0</v>
      </c>
      <c r="AD12" s="78">
        <f>G12*Q12/26*200%</f>
        <v>0</v>
      </c>
      <c r="AE12" s="78">
        <f>G12*R12/26*300%</f>
        <v>0</v>
      </c>
      <c r="AF12" s="78">
        <f>ROUND((G12+H12)/26*S12*30%,0)</f>
        <v>0</v>
      </c>
      <c r="AG12" s="78">
        <f>T12*G12/26/8</f>
        <v>0</v>
      </c>
      <c r="AH12" s="78">
        <f t="shared" ref="AH12:AH18" si="2">CB12/26*U12</f>
        <v>0</v>
      </c>
      <c r="AI12" s="78">
        <f>G12*V12/26</f>
        <v>0</v>
      </c>
      <c r="AJ12" s="78"/>
      <c r="AK12" s="78">
        <f t="shared" ref="AK12:AK18" si="3">BZ12*L12/26</f>
        <v>0</v>
      </c>
      <c r="AL12" s="78"/>
      <c r="AM12" s="78">
        <f t="shared" ref="AM12:AM18" si="4">X12*CD12</f>
        <v>0</v>
      </c>
      <c r="AN12" s="78">
        <f>H12/26*(K12+L12)</f>
        <v>0</v>
      </c>
      <c r="AO12" s="78">
        <f t="shared" ref="AO12:AO18" si="5"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50480000</v>
      </c>
      <c r="AP12" s="78"/>
      <c r="AQ12" s="78"/>
      <c r="AR12" s="78">
        <v>1000000</v>
      </c>
      <c r="AS12" s="78"/>
      <c r="AT12" s="78"/>
      <c r="AU12" s="78"/>
      <c r="AV12" s="81">
        <f>Y12+Z12+AA12+AB12+AC12+AD12+AE12+AF12+AG12+AI12+AJ12+AK12+AL12+AM12+AN12+AO12+AP12-AQ12+AR12+AS12+AT12+AU12</f>
        <v>61000000</v>
      </c>
      <c r="AW12" s="81"/>
      <c r="AX12" s="81" t="s">
        <v>97</v>
      </c>
      <c r="AY12" s="72">
        <f>ROUND(IF($AX12="x",($G12+$H12)*AY$11,0),0)</f>
        <v>761600</v>
      </c>
      <c r="AZ12" s="72">
        <f>ROUND(IF($AX12="x",($G12+$H12)*AZ$11,0),0)</f>
        <v>142800</v>
      </c>
      <c r="BA12" s="72">
        <f t="shared" ref="BA12" si="6">ROUND(IF($AX12="x",($G12+$H12)*BA$11,0),0)</f>
        <v>95200</v>
      </c>
      <c r="BB12" s="72">
        <f>SUM(AY12:BA12)</f>
        <v>999600</v>
      </c>
      <c r="BC12" s="72"/>
      <c r="BD12" s="72"/>
      <c r="BE12" s="72">
        <f>IF(G12*1%&gt;=234000,234000,G12*1%)</f>
        <v>95200</v>
      </c>
      <c r="BF12" s="72">
        <f>AM12+IF(E12="CT",IF(AR12&gt;=730000,730000,AR12),0)+IF(((AV12-AM12-IF(AR12&gt;=730000,730000,AR12)-AS12)*15%-AS12)&gt;"0",((AV12-AM12-IF(AR12&gt;=730000,730000,AR12)-AS12)*15%-AS12),0)</f>
        <v>730000</v>
      </c>
      <c r="BG12" s="72">
        <f>AV12-BF12+AW12</f>
        <v>60270000</v>
      </c>
      <c r="BH12" s="72">
        <v>3</v>
      </c>
      <c r="BI12" s="72">
        <v>4400000</v>
      </c>
      <c r="BJ12" s="72">
        <f t="shared" ref="BJ12:BJ18" si="7">IF(E12="CT",11000000,0)</f>
        <v>11000000</v>
      </c>
      <c r="BK12" s="72">
        <f>BG12-BB12-BC12+BD12-BH12*BI12-BJ12</f>
        <v>35070400</v>
      </c>
      <c r="BL12" s="71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5517600</v>
      </c>
      <c r="BM12" s="72"/>
      <c r="BN12" s="72"/>
      <c r="BO12" s="72">
        <v>0</v>
      </c>
      <c r="BP12" s="72"/>
      <c r="BQ12" s="72"/>
      <c r="BR12" s="72"/>
      <c r="BS12" s="72"/>
      <c r="BT12" s="72">
        <f>SUMIFS('[1]Bảng lương tạm ứng kỳ 1'!BT:BT,'[1]Bảng lương CB-NV'!B:B,'[1]Bảng lương tạm ứng kỳ 1'!B15)</f>
        <v>25846153.846153852</v>
      </c>
      <c r="BU12" s="92">
        <f>AV12-BB12-BC12+BD12-BE12-BL12-BM12-BN12-BO12-BP12-BQ12-BR12+BS12-BT12</f>
        <v>28541446.153846148</v>
      </c>
      <c r="BV12" s="103"/>
      <c r="BW12" s="95">
        <v>60000000</v>
      </c>
      <c r="BX12" s="71">
        <v>0</v>
      </c>
      <c r="BY12" s="71"/>
      <c r="BZ12" s="71">
        <v>200000</v>
      </c>
      <c r="CA12" s="71">
        <v>0</v>
      </c>
      <c r="CB12" s="71">
        <f>SUM(BW12:CA12)</f>
        <v>60200000</v>
      </c>
      <c r="CC12" s="71"/>
      <c r="CD12" s="71"/>
      <c r="CE12" s="82"/>
      <c r="CF12" s="83"/>
      <c r="CG12" s="83"/>
      <c r="CH12" s="84"/>
      <c r="CI12" s="85"/>
    </row>
    <row r="13" spans="1:87" s="86" customFormat="1" ht="13">
      <c r="A13" s="74">
        <f>IF(B13=0,"",COUNTA($B$12:(B13)))</f>
        <v>2</v>
      </c>
      <c r="B13" s="75">
        <v>2106723</v>
      </c>
      <c r="C13" s="76" t="s">
        <v>156</v>
      </c>
      <c r="D13" s="77" t="s">
        <v>157</v>
      </c>
      <c r="E13" s="108" t="s">
        <v>95</v>
      </c>
      <c r="F13" s="109" t="s">
        <v>96</v>
      </c>
      <c r="G13" s="78">
        <v>8480000</v>
      </c>
      <c r="H13" s="78">
        <f t="shared" si="0"/>
        <v>0</v>
      </c>
      <c r="I13" s="78">
        <f t="shared" ref="I13:I18" si="8">CB13-BZ13-G13-H13</f>
        <v>43520000</v>
      </c>
      <c r="J13" s="79">
        <v>1</v>
      </c>
      <c r="K13" s="80">
        <v>19</v>
      </c>
      <c r="L13" s="80">
        <v>5</v>
      </c>
      <c r="M13" s="80">
        <v>0</v>
      </c>
      <c r="N13" s="80">
        <v>0</v>
      </c>
      <c r="O13" s="80">
        <v>0</v>
      </c>
      <c r="P13" s="80">
        <v>0</v>
      </c>
      <c r="Q13" s="80">
        <v>0</v>
      </c>
      <c r="R13" s="80">
        <v>0</v>
      </c>
      <c r="S13" s="80">
        <v>0</v>
      </c>
      <c r="T13" s="110"/>
      <c r="U13" s="80">
        <v>0</v>
      </c>
      <c r="V13" s="80">
        <v>0</v>
      </c>
      <c r="W13" s="80">
        <v>0</v>
      </c>
      <c r="X13" s="80">
        <v>0</v>
      </c>
      <c r="Y13" s="78">
        <f t="shared" si="1"/>
        <v>7827692.307692308</v>
      </c>
      <c r="Z13" s="78">
        <f t="shared" ref="Z13:Z18" si="9">M13*G13/26</f>
        <v>0</v>
      </c>
      <c r="AA13" s="78">
        <f t="shared" ref="AA13:AA18" si="10">G13*N13/26</f>
        <v>0</v>
      </c>
      <c r="AB13" s="78">
        <f t="shared" ref="AB13:AB18" si="11">G13*O13/26</f>
        <v>0</v>
      </c>
      <c r="AC13" s="78">
        <f t="shared" ref="AC13:AC18" si="12">G13*P13*150%/26</f>
        <v>0</v>
      </c>
      <c r="AD13" s="78">
        <f t="shared" ref="AD13:AD18" si="13">G13*Q13/26*200%</f>
        <v>0</v>
      </c>
      <c r="AE13" s="78">
        <f t="shared" ref="AE13:AE18" si="14">G13*R13/26*300%</f>
        <v>0</v>
      </c>
      <c r="AF13" s="78">
        <f>ROUND((G13+H13)/26*S13*30%,0)</f>
        <v>0</v>
      </c>
      <c r="AG13" s="78">
        <f t="shared" ref="AG13:AG18" si="15">T13*G13/26/8</f>
        <v>0</v>
      </c>
      <c r="AH13" s="78">
        <f t="shared" si="2"/>
        <v>0</v>
      </c>
      <c r="AI13" s="78">
        <f t="shared" ref="AI13:AI18" si="16">G13*V13/26</f>
        <v>0</v>
      </c>
      <c r="AJ13" s="78"/>
      <c r="AK13" s="78">
        <f t="shared" si="3"/>
        <v>38461.538461538461</v>
      </c>
      <c r="AL13" s="78"/>
      <c r="AM13" s="78">
        <f t="shared" si="4"/>
        <v>0</v>
      </c>
      <c r="AN13" s="78">
        <f t="shared" ref="AN13:AN18" si="17">H13/26*K13</f>
        <v>0</v>
      </c>
      <c r="AO13" s="78">
        <f t="shared" si="5"/>
        <v>40172307.692307696</v>
      </c>
      <c r="AP13" s="78"/>
      <c r="AQ13" s="78"/>
      <c r="AR13" s="78">
        <v>720000</v>
      </c>
      <c r="AS13" s="78"/>
      <c r="AT13" s="78"/>
      <c r="AU13" s="78"/>
      <c r="AV13" s="81">
        <f t="shared" ref="AV13:AV18" si="18">Y13+Z13+AA13+AB13+AC13+AD13+AE13+AF13+AG13+AI13+AJ13+AK13+AL13+AM13+AN13+AO13+AP13-AQ13+AR13+AS13+AT13+AU13</f>
        <v>48758461.538461544</v>
      </c>
      <c r="AW13" s="81"/>
      <c r="AX13" s="81" t="str">
        <f t="shared" ref="AX13:AX18" si="19">IF(E13="CT","x",0)</f>
        <v>x</v>
      </c>
      <c r="AY13" s="72">
        <f t="shared" ref="AY13:AZ18" si="20">ROUND(IF($AX13="x",($G13+$H13)*AY$11,0),0)</f>
        <v>678400</v>
      </c>
      <c r="AZ13" s="72">
        <f>ROUND(IF($AX13="x",($G13+$H13)*AZ$11,0),0)</f>
        <v>127200</v>
      </c>
      <c r="BA13" s="72">
        <f>ROUND(IF($AX13="x",($G13+$H13)*BA$11,0),0)</f>
        <v>84800</v>
      </c>
      <c r="BB13" s="72">
        <f>SUM(AY13:BA13)</f>
        <v>890400</v>
      </c>
      <c r="BC13" s="72"/>
      <c r="BD13" s="72"/>
      <c r="BE13" s="72">
        <f t="shared" ref="BE13:BE18" si="21">IF(G13*1%&gt;=234000,234000,G13*1%)</f>
        <v>84800</v>
      </c>
      <c r="BF13" s="72">
        <f t="shared" ref="BF13:BF18" si="22">AM13+IF(E13="CT",IF(AR13&gt;=730000,730000,AR13),0)+IF(((AV13-AM13-IF(AR13&gt;=730000,730000,AR13)-AS13)*15%-AS13)&gt;"0",((AV13-AM13-IF(AR13&gt;=730000,730000,AR13)-AS13)*15%-AS13),0)</f>
        <v>720000</v>
      </c>
      <c r="BG13" s="72">
        <f t="shared" ref="BG13:BG18" si="23">AV13-BF13+AW13</f>
        <v>48038461.538461544</v>
      </c>
      <c r="BH13" s="72"/>
      <c r="BI13" s="72">
        <v>4400000</v>
      </c>
      <c r="BJ13" s="72">
        <f t="shared" si="7"/>
        <v>11000000</v>
      </c>
      <c r="BK13" s="72">
        <f t="shared" ref="BK13:BK18" si="24">BG13-BB13-BC13+BD13-BH13*BI13-BJ13</f>
        <v>36148061.538461544</v>
      </c>
      <c r="BL13" s="71">
        <f t="shared" ref="BL13:BL18" si="25"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5787015</v>
      </c>
      <c r="BM13" s="72"/>
      <c r="BN13" s="72"/>
      <c r="BO13" s="72">
        <v>0</v>
      </c>
      <c r="BP13" s="72"/>
      <c r="BQ13" s="72"/>
      <c r="BR13" s="72"/>
      <c r="BS13" s="72"/>
      <c r="BT13" s="72">
        <f>SUMIFS('[1]Bảng lương tạm ứng kỳ 1'!BT:BT,'[1]Bảng lương CB-NV'!B:B,'[1]Bảng lương tạm ứng kỳ 1'!B14)</f>
        <v>0</v>
      </c>
      <c r="BU13" s="92">
        <f t="shared" ref="BU13:BU18" si="26">AV13-BB13-BC13+BD13-BE13-BL13-BM13-BN13-BO13-BP13-BQ13-BR13+BS13-BT13</f>
        <v>41996246.538461544</v>
      </c>
      <c r="BV13" s="103"/>
      <c r="BW13" s="95">
        <v>40000000</v>
      </c>
      <c r="BX13" s="71">
        <v>5000000</v>
      </c>
      <c r="BY13" s="71">
        <v>5000000</v>
      </c>
      <c r="BZ13" s="71">
        <v>200000</v>
      </c>
      <c r="CA13" s="71">
        <f t="shared" ref="CA13:CA18" si="27">+BW13*5%</f>
        <v>2000000</v>
      </c>
      <c r="CB13" s="71">
        <f t="shared" ref="CB13:CB18" si="28">SUM(BW13:CA13)</f>
        <v>52200000</v>
      </c>
      <c r="CC13" s="71"/>
      <c r="CD13" s="71"/>
      <c r="CE13" s="82"/>
      <c r="CF13" s="83"/>
      <c r="CG13" s="83"/>
      <c r="CH13" s="84"/>
      <c r="CI13" s="85"/>
    </row>
    <row r="14" spans="1:87" s="86" customFormat="1" ht="13">
      <c r="A14" s="74">
        <f>IF(B14=0,"",COUNTA($B$12:(B14)))</f>
        <v>3</v>
      </c>
      <c r="B14" s="87" t="s">
        <v>100</v>
      </c>
      <c r="C14" s="76" t="s">
        <v>158</v>
      </c>
      <c r="D14" s="77" t="s">
        <v>159</v>
      </c>
      <c r="E14" s="108" t="s">
        <v>95</v>
      </c>
      <c r="F14" s="109" t="s">
        <v>96</v>
      </c>
      <c r="G14" s="78">
        <v>7820000</v>
      </c>
      <c r="H14" s="78">
        <f t="shared" si="0"/>
        <v>0</v>
      </c>
      <c r="I14" s="78">
        <f t="shared" si="8"/>
        <v>34180000</v>
      </c>
      <c r="J14" s="79">
        <v>1</v>
      </c>
      <c r="K14" s="80">
        <v>24</v>
      </c>
      <c r="L14" s="80">
        <v>0</v>
      </c>
      <c r="M14" s="80">
        <v>0</v>
      </c>
      <c r="N14" s="80">
        <v>0</v>
      </c>
      <c r="O14" s="80">
        <v>0</v>
      </c>
      <c r="P14" s="80">
        <v>0</v>
      </c>
      <c r="Q14" s="80">
        <v>0</v>
      </c>
      <c r="R14" s="80">
        <v>0</v>
      </c>
      <c r="S14" s="80">
        <v>0</v>
      </c>
      <c r="T14" s="110"/>
      <c r="U14" s="80">
        <v>2</v>
      </c>
      <c r="V14" s="80">
        <v>0</v>
      </c>
      <c r="W14" s="80">
        <v>0</v>
      </c>
      <c r="X14" s="80">
        <v>0</v>
      </c>
      <c r="Y14" s="78">
        <f t="shared" si="1"/>
        <v>7218461.538461538</v>
      </c>
      <c r="Z14" s="78">
        <f t="shared" si="9"/>
        <v>0</v>
      </c>
      <c r="AA14" s="78">
        <f t="shared" si="10"/>
        <v>0</v>
      </c>
      <c r="AB14" s="78">
        <f t="shared" si="11"/>
        <v>0</v>
      </c>
      <c r="AC14" s="78">
        <f t="shared" si="12"/>
        <v>0</v>
      </c>
      <c r="AD14" s="78">
        <f t="shared" si="13"/>
        <v>0</v>
      </c>
      <c r="AE14" s="78">
        <f t="shared" si="14"/>
        <v>0</v>
      </c>
      <c r="AF14" s="78">
        <f>IF(F14="LN",(G14+H14)/26*S14*30%,0)</f>
        <v>0</v>
      </c>
      <c r="AG14" s="78">
        <f t="shared" si="15"/>
        <v>0</v>
      </c>
      <c r="AH14" s="78">
        <f t="shared" si="2"/>
        <v>3246153.846153846</v>
      </c>
      <c r="AI14" s="78">
        <f t="shared" si="16"/>
        <v>0</v>
      </c>
      <c r="AJ14" s="78"/>
      <c r="AK14" s="78">
        <f t="shared" si="3"/>
        <v>0</v>
      </c>
      <c r="AL14" s="78"/>
      <c r="AM14" s="78">
        <f t="shared" si="4"/>
        <v>0</v>
      </c>
      <c r="AN14" s="78">
        <f t="shared" si="17"/>
        <v>0</v>
      </c>
      <c r="AO14" s="78">
        <f t="shared" si="5"/>
        <v>34796923.07692308</v>
      </c>
      <c r="AP14" s="78"/>
      <c r="AQ14" s="78"/>
      <c r="AR14" s="78">
        <v>560000</v>
      </c>
      <c r="AS14" s="78"/>
      <c r="AT14" s="78"/>
      <c r="AU14" s="78"/>
      <c r="AV14" s="81">
        <f t="shared" si="18"/>
        <v>42575384.615384616</v>
      </c>
      <c r="AW14" s="81"/>
      <c r="AX14" s="81" t="str">
        <f t="shared" si="19"/>
        <v>x</v>
      </c>
      <c r="AY14" s="72">
        <f t="shared" si="20"/>
        <v>625600</v>
      </c>
      <c r="AZ14" s="72">
        <f t="shared" si="20"/>
        <v>117300</v>
      </c>
      <c r="BA14" s="72">
        <f>ROUND(IF($AX14="x",($G14+$H14)*BA$11,0),0)</f>
        <v>78200</v>
      </c>
      <c r="BB14" s="72">
        <f t="shared" ref="BB14" si="29">SUM(AY14:BA14)</f>
        <v>821100</v>
      </c>
      <c r="BC14" s="72"/>
      <c r="BD14" s="72"/>
      <c r="BE14" s="72">
        <f t="shared" si="21"/>
        <v>78200</v>
      </c>
      <c r="BF14" s="72">
        <f t="shared" si="22"/>
        <v>560000</v>
      </c>
      <c r="BG14" s="72">
        <f t="shared" si="23"/>
        <v>42015384.615384616</v>
      </c>
      <c r="BH14" s="72"/>
      <c r="BI14" s="72">
        <v>4400000</v>
      </c>
      <c r="BJ14" s="72">
        <f t="shared" si="7"/>
        <v>11000000</v>
      </c>
      <c r="BK14" s="72">
        <f t="shared" si="24"/>
        <v>30194284.615384616</v>
      </c>
      <c r="BL14" s="71">
        <f t="shared" si="25"/>
        <v>4388857</v>
      </c>
      <c r="BM14" s="72"/>
      <c r="BN14" s="72"/>
      <c r="BO14" s="72">
        <v>0</v>
      </c>
      <c r="BP14" s="72"/>
      <c r="BQ14" s="72"/>
      <c r="BR14" s="72"/>
      <c r="BS14" s="72"/>
      <c r="BT14" s="72">
        <f>SUMIFS('[1]Bảng lương tạm ứng kỳ 1'!BT:BT,'[1]Bảng lương CB-NV'!B:B,'[1]Bảng lương tạm ứng kỳ 1'!B15)</f>
        <v>25846153.846153852</v>
      </c>
      <c r="BU14" s="92">
        <f t="shared" si="26"/>
        <v>11441073.769230764</v>
      </c>
      <c r="BV14" s="103"/>
      <c r="BW14" s="95">
        <v>40000000</v>
      </c>
      <c r="BX14" s="71">
        <v>0</v>
      </c>
      <c r="BY14" s="71">
        <v>0</v>
      </c>
      <c r="BZ14" s="71">
        <v>200000</v>
      </c>
      <c r="CA14" s="71">
        <f t="shared" si="27"/>
        <v>2000000</v>
      </c>
      <c r="CB14" s="71">
        <f t="shared" si="28"/>
        <v>42200000</v>
      </c>
      <c r="CC14" s="71"/>
      <c r="CD14" s="71"/>
      <c r="CE14" s="82"/>
      <c r="CF14" s="83"/>
      <c r="CG14" s="83"/>
      <c r="CH14" s="84"/>
      <c r="CI14" s="85"/>
    </row>
    <row r="15" spans="1:87" s="86" customFormat="1" ht="13">
      <c r="A15" s="74">
        <f>IF(B15=0,"",COUNTA($B$12:(B15)))</f>
        <v>4</v>
      </c>
      <c r="B15" s="75">
        <v>2406198</v>
      </c>
      <c r="C15" s="76" t="s">
        <v>160</v>
      </c>
      <c r="D15" s="77" t="s">
        <v>155</v>
      </c>
      <c r="E15" s="108" t="s">
        <v>95</v>
      </c>
      <c r="F15" s="109" t="s">
        <v>96</v>
      </c>
      <c r="G15" s="78">
        <v>6990000</v>
      </c>
      <c r="H15" s="78">
        <f t="shared" si="0"/>
        <v>0</v>
      </c>
      <c r="I15" s="78">
        <f t="shared" si="8"/>
        <v>19160000</v>
      </c>
      <c r="J15" s="79">
        <v>1</v>
      </c>
      <c r="K15" s="80">
        <v>23</v>
      </c>
      <c r="L15" s="80">
        <v>3</v>
      </c>
      <c r="M15" s="80">
        <v>0</v>
      </c>
      <c r="N15" s="80">
        <v>0</v>
      </c>
      <c r="O15" s="80">
        <v>0</v>
      </c>
      <c r="P15" s="80">
        <v>0</v>
      </c>
      <c r="Q15" s="80">
        <v>0</v>
      </c>
      <c r="R15" s="80">
        <v>0</v>
      </c>
      <c r="S15" s="80">
        <v>0</v>
      </c>
      <c r="T15" s="110"/>
      <c r="U15" s="80">
        <v>0</v>
      </c>
      <c r="V15" s="80">
        <v>0</v>
      </c>
      <c r="W15" s="80">
        <v>0</v>
      </c>
      <c r="X15" s="80">
        <v>0</v>
      </c>
      <c r="Y15" s="78">
        <f t="shared" si="1"/>
        <v>6990000</v>
      </c>
      <c r="Z15" s="78">
        <f t="shared" si="9"/>
        <v>0</v>
      </c>
      <c r="AA15" s="78">
        <f t="shared" si="10"/>
        <v>0</v>
      </c>
      <c r="AB15" s="78">
        <f t="shared" si="11"/>
        <v>0</v>
      </c>
      <c r="AC15" s="78">
        <f t="shared" si="12"/>
        <v>0</v>
      </c>
      <c r="AD15" s="78">
        <f t="shared" si="13"/>
        <v>0</v>
      </c>
      <c r="AE15" s="78">
        <f t="shared" si="14"/>
        <v>0</v>
      </c>
      <c r="AF15" s="78">
        <f>ROUND((G15+H15)/26*S15*30%,0)</f>
        <v>0</v>
      </c>
      <c r="AG15" s="78">
        <f t="shared" si="15"/>
        <v>0</v>
      </c>
      <c r="AH15" s="78">
        <f t="shared" si="2"/>
        <v>0</v>
      </c>
      <c r="AI15" s="78">
        <f t="shared" si="16"/>
        <v>0</v>
      </c>
      <c r="AJ15" s="78"/>
      <c r="AK15" s="78">
        <f t="shared" si="3"/>
        <v>23076.923076923078</v>
      </c>
      <c r="AL15" s="78"/>
      <c r="AM15" s="78">
        <f t="shared" si="4"/>
        <v>0</v>
      </c>
      <c r="AN15" s="78">
        <f t="shared" si="17"/>
        <v>0</v>
      </c>
      <c r="AO15" s="78">
        <f>IF(F15="LN",I15*(K15+L15)/26+(H15+I15)*50%*M15/26+MAX($G15*P15/26*150%,P15*$BW15/26)-AC15+MAX($G15*Q15/26*200%,Q15*$BW15/26)-AD15+MAX($G15*R15/26*300%,R15*$BW15/26)-AE15+BW15*S15/26-AF15+AH15-AG15,I15-I15*($CF$3-K15-L15)/26+(H15+I15)*50%*M15/26+BW15*O15/26-AB15+MAX($G15*P15/26*150%,P15*$BW15/26)-AC15+MAX($G15*Q15/26*200%,Q15*$BW15/26)-AD15+MAX($G15*R15/26*300%,R15*$BW15/26)-AE15+BW15*S15/26-AF15+AH15-AG15+(G15-G15*($CF$3-K15-L15)/26-Y15)+(H15-H15*($CF$3-K15-L15)/26-AN15))</f>
        <v>19160000</v>
      </c>
      <c r="AP15" s="78"/>
      <c r="AQ15" s="78"/>
      <c r="AR15" s="78">
        <v>720000</v>
      </c>
      <c r="AS15" s="78"/>
      <c r="AT15" s="78"/>
      <c r="AU15" s="78"/>
      <c r="AV15" s="81">
        <f t="shared" si="18"/>
        <v>26893076.923076924</v>
      </c>
      <c r="AW15" s="81"/>
      <c r="AX15" s="81" t="str">
        <f t="shared" si="19"/>
        <v>x</v>
      </c>
      <c r="AY15" s="72">
        <f t="shared" si="20"/>
        <v>559200</v>
      </c>
      <c r="AZ15" s="72">
        <f>ROUND(IF($AX15="x",($G15+$H15)*AZ$11,0),0)</f>
        <v>104850</v>
      </c>
      <c r="BA15" s="72">
        <f>ROUND(IF($AX15="x",($G15+$H15)*BA$11,0),0)</f>
        <v>69900</v>
      </c>
      <c r="BB15" s="72">
        <f>SUM(AY15:BA15)</f>
        <v>733950</v>
      </c>
      <c r="BC15" s="72"/>
      <c r="BD15" s="72"/>
      <c r="BE15" s="72">
        <f t="shared" si="21"/>
        <v>69900</v>
      </c>
      <c r="BF15" s="72">
        <f t="shared" si="22"/>
        <v>720000</v>
      </c>
      <c r="BG15" s="72">
        <f t="shared" si="23"/>
        <v>26173076.923076924</v>
      </c>
      <c r="BH15" s="72"/>
      <c r="BI15" s="72">
        <v>4400000</v>
      </c>
      <c r="BJ15" s="72">
        <f t="shared" si="7"/>
        <v>11000000</v>
      </c>
      <c r="BK15" s="72">
        <f t="shared" si="24"/>
        <v>14439126.923076924</v>
      </c>
      <c r="BL15" s="71">
        <f t="shared" si="25"/>
        <v>1415869</v>
      </c>
      <c r="BM15" s="72"/>
      <c r="BN15" s="72"/>
      <c r="BO15" s="72">
        <v>0</v>
      </c>
      <c r="BP15" s="72"/>
      <c r="BQ15" s="72"/>
      <c r="BR15" s="72"/>
      <c r="BS15" s="72"/>
      <c r="BT15" s="72">
        <f>SUMIFS('[1]Bảng lương tạm ứng kỳ 1'!BT:BT,'[1]Bảng lương CB-NV'!B:B,'[1]Bảng lương tạm ứng kỳ 1'!B20)</f>
        <v>10195307.692307694</v>
      </c>
      <c r="BU15" s="92">
        <f t="shared" si="26"/>
        <v>14478050.23076923</v>
      </c>
      <c r="BV15" s="103"/>
      <c r="BW15" s="95">
        <v>23000000</v>
      </c>
      <c r="BX15" s="71">
        <v>0</v>
      </c>
      <c r="BY15" s="71">
        <v>2000000</v>
      </c>
      <c r="BZ15" s="71">
        <v>200000</v>
      </c>
      <c r="CA15" s="71">
        <f t="shared" si="27"/>
        <v>1150000</v>
      </c>
      <c r="CB15" s="71">
        <f t="shared" si="28"/>
        <v>26350000</v>
      </c>
      <c r="CC15" s="71"/>
      <c r="CD15" s="71"/>
      <c r="CE15" s="82"/>
      <c r="CF15" s="83"/>
      <c r="CG15" s="83"/>
      <c r="CH15" s="84"/>
      <c r="CI15" s="85"/>
    </row>
    <row r="16" spans="1:87" s="86" customFormat="1" ht="13">
      <c r="A16" s="74">
        <f>IF(B16=0,"",COUNTA($B$12:(B16)))</f>
        <v>5</v>
      </c>
      <c r="B16" s="87" t="s">
        <v>104</v>
      </c>
      <c r="C16" s="76" t="s">
        <v>161</v>
      </c>
      <c r="D16" s="77" t="s">
        <v>162</v>
      </c>
      <c r="E16" s="108" t="s">
        <v>95</v>
      </c>
      <c r="F16" s="109" t="s">
        <v>107</v>
      </c>
      <c r="G16" s="78">
        <v>4850000</v>
      </c>
      <c r="H16" s="78">
        <f t="shared" si="0"/>
        <v>0</v>
      </c>
      <c r="I16" s="78">
        <f t="shared" si="8"/>
        <v>6700000</v>
      </c>
      <c r="J16" s="79">
        <v>1</v>
      </c>
      <c r="K16" s="80">
        <v>22</v>
      </c>
      <c r="L16" s="80">
        <v>0</v>
      </c>
      <c r="M16" s="80">
        <v>2</v>
      </c>
      <c r="N16" s="80">
        <v>2</v>
      </c>
      <c r="O16" s="80">
        <v>0</v>
      </c>
      <c r="P16" s="80">
        <v>0</v>
      </c>
      <c r="Q16" s="80">
        <v>0</v>
      </c>
      <c r="R16" s="80">
        <v>0</v>
      </c>
      <c r="S16" s="80">
        <v>2</v>
      </c>
      <c r="T16" s="110"/>
      <c r="U16" s="80">
        <v>0</v>
      </c>
      <c r="V16" s="80">
        <v>0</v>
      </c>
      <c r="W16" s="80">
        <v>0</v>
      </c>
      <c r="X16" s="80">
        <v>0</v>
      </c>
      <c r="Y16" s="78">
        <f t="shared" si="1"/>
        <v>4103846.153846154</v>
      </c>
      <c r="Z16" s="78">
        <f t="shared" si="9"/>
        <v>373076.92307692306</v>
      </c>
      <c r="AA16" s="78">
        <f t="shared" si="10"/>
        <v>373076.92307692306</v>
      </c>
      <c r="AB16" s="78">
        <f t="shared" si="11"/>
        <v>0</v>
      </c>
      <c r="AC16" s="78">
        <f t="shared" si="12"/>
        <v>0</v>
      </c>
      <c r="AD16" s="78">
        <f t="shared" si="13"/>
        <v>0</v>
      </c>
      <c r="AE16" s="78">
        <f t="shared" si="14"/>
        <v>0</v>
      </c>
      <c r="AF16" s="78">
        <f>IF(F16="LN",(G16+H16)/26*S16*30%,0)</f>
        <v>111923.07692307692</v>
      </c>
      <c r="AG16" s="78">
        <f t="shared" si="15"/>
        <v>0</v>
      </c>
      <c r="AH16" s="78">
        <f t="shared" si="2"/>
        <v>0</v>
      </c>
      <c r="AI16" s="78">
        <f t="shared" si="16"/>
        <v>0</v>
      </c>
      <c r="AJ16" s="78"/>
      <c r="AK16" s="78">
        <f t="shared" si="3"/>
        <v>0</v>
      </c>
      <c r="AL16" s="78"/>
      <c r="AM16" s="78">
        <f t="shared" si="4"/>
        <v>0</v>
      </c>
      <c r="AN16" s="78">
        <f t="shared" si="17"/>
        <v>0</v>
      </c>
      <c r="AO16" s="78">
        <f>IF(F16="LN",I16*(K16+L16)/26+(H16+I16)*50%*M16/26+MAX($G16*P16/26*150%,P16*$BW16/26)-AC16+MAX($G16*Q16/26*200%,Q16*$BW16/26)-AD16+MAX($G16*R16/26*300%,R16*$BW16/26)-AE16+BW16*S16/26-AF16+AH16-AG16,I16-I16*($CF$3-K16-L16)/26+(H16+I16)*50%*M16/26+BW16*O16/26-AB16+MAX($G16*P16/26*150%,P16*$BW16/26)-AC16+MAX($G16*Q16/26*200%,Q16*$BW16/26)-AD16+MAX($G16*R16/26*300%,R16*$BW16/26)-AE16+BW16*S16/26-AF16+AH16-AG16+(G16-G16*($CF$3-K16-L16)/26-Y16)+(H16-H16*($CF$3-K16-L16)/26-AN16))</f>
        <v>6661153.846153846</v>
      </c>
      <c r="AP16" s="78"/>
      <c r="AQ16" s="78"/>
      <c r="AR16" s="78">
        <v>560000</v>
      </c>
      <c r="AS16" s="78"/>
      <c r="AT16" s="78"/>
      <c r="AU16" s="78"/>
      <c r="AV16" s="81">
        <f t="shared" si="18"/>
        <v>12183076.923076924</v>
      </c>
      <c r="AW16" s="81"/>
      <c r="AX16" s="81" t="str">
        <f t="shared" si="19"/>
        <v>x</v>
      </c>
      <c r="AY16" s="72">
        <f t="shared" si="20"/>
        <v>388000</v>
      </c>
      <c r="AZ16" s="72">
        <f t="shared" si="20"/>
        <v>72750</v>
      </c>
      <c r="BA16" s="72">
        <f>ROUND(IF($AX16="x",($G16+$H16)*BA$11,0),0)</f>
        <v>48500</v>
      </c>
      <c r="BB16" s="72">
        <f t="shared" ref="BB16" si="30">SUM(AY16:BA16)</f>
        <v>509250</v>
      </c>
      <c r="BC16" s="72"/>
      <c r="BD16" s="72"/>
      <c r="BE16" s="72">
        <f t="shared" si="21"/>
        <v>48500</v>
      </c>
      <c r="BF16" s="72">
        <f t="shared" si="22"/>
        <v>560000</v>
      </c>
      <c r="BG16" s="72">
        <f t="shared" si="23"/>
        <v>11623076.923076924</v>
      </c>
      <c r="BH16" s="72"/>
      <c r="BI16" s="72">
        <v>4400000</v>
      </c>
      <c r="BJ16" s="72">
        <f t="shared" si="7"/>
        <v>11000000</v>
      </c>
      <c r="BK16" s="72">
        <f t="shared" si="24"/>
        <v>113826.92307692394</v>
      </c>
      <c r="BL16" s="71">
        <f t="shared" si="25"/>
        <v>5691</v>
      </c>
      <c r="BM16" s="72"/>
      <c r="BN16" s="72"/>
      <c r="BO16" s="72">
        <v>0</v>
      </c>
      <c r="BP16" s="72"/>
      <c r="BQ16" s="72"/>
      <c r="BR16" s="72"/>
      <c r="BS16" s="72"/>
      <c r="BT16" s="72">
        <f>SUMIFS('[1]Bảng lương tạm ứng kỳ 1'!BT:BT,'[1]Bảng lương CB-NV'!B:B,'[1]Bảng lương tạm ứng kỳ 1'!B21)</f>
        <v>9977846.153846154</v>
      </c>
      <c r="BU16" s="92">
        <f t="shared" si="26"/>
        <v>1641789.7692307699</v>
      </c>
      <c r="BV16" s="103"/>
      <c r="BW16" s="95">
        <v>11000000</v>
      </c>
      <c r="BX16" s="71">
        <v>0</v>
      </c>
      <c r="BY16" s="71">
        <v>0</v>
      </c>
      <c r="BZ16" s="71">
        <v>200000</v>
      </c>
      <c r="CA16" s="71">
        <f t="shared" si="27"/>
        <v>550000</v>
      </c>
      <c r="CB16" s="71">
        <f t="shared" si="28"/>
        <v>11750000</v>
      </c>
      <c r="CC16" s="71"/>
      <c r="CD16" s="71"/>
      <c r="CE16" s="82"/>
      <c r="CF16" s="83"/>
      <c r="CG16" s="83"/>
      <c r="CH16" s="84"/>
      <c r="CI16" s="85"/>
    </row>
    <row r="17" spans="1:87" s="86" customFormat="1" ht="13">
      <c r="A17" s="74">
        <f>IF(B17=0,"",COUNTA($B$12:(B17)))</f>
        <v>6</v>
      </c>
      <c r="B17" s="75">
        <v>2406145</v>
      </c>
      <c r="C17" s="76" t="s">
        <v>163</v>
      </c>
      <c r="D17" s="77" t="s">
        <v>157</v>
      </c>
      <c r="E17" s="108" t="s">
        <v>109</v>
      </c>
      <c r="F17" s="109" t="s">
        <v>96</v>
      </c>
      <c r="G17" s="78">
        <v>6340000</v>
      </c>
      <c r="H17" s="78">
        <f t="shared" si="0"/>
        <v>780000</v>
      </c>
      <c r="I17" s="78">
        <f t="shared" si="8"/>
        <v>17030000</v>
      </c>
      <c r="J17" s="79">
        <v>1</v>
      </c>
      <c r="K17" s="80">
        <v>26</v>
      </c>
      <c r="L17" s="80">
        <v>0</v>
      </c>
      <c r="M17" s="80">
        <v>0</v>
      </c>
      <c r="N17" s="80">
        <v>0</v>
      </c>
      <c r="O17" s="80">
        <v>0</v>
      </c>
      <c r="P17" s="80">
        <v>0</v>
      </c>
      <c r="Q17" s="80">
        <v>0</v>
      </c>
      <c r="R17" s="80">
        <v>0</v>
      </c>
      <c r="S17" s="80">
        <v>0</v>
      </c>
      <c r="T17" s="110"/>
      <c r="U17" s="80">
        <v>0</v>
      </c>
      <c r="V17" s="80">
        <v>0</v>
      </c>
      <c r="W17" s="80">
        <v>0</v>
      </c>
      <c r="X17" s="80">
        <v>0</v>
      </c>
      <c r="Y17" s="78">
        <f t="shared" si="1"/>
        <v>6340000</v>
      </c>
      <c r="Z17" s="78">
        <f t="shared" si="9"/>
        <v>0</v>
      </c>
      <c r="AA17" s="78">
        <f t="shared" si="10"/>
        <v>0</v>
      </c>
      <c r="AB17" s="78">
        <f t="shared" si="11"/>
        <v>0</v>
      </c>
      <c r="AC17" s="78">
        <f t="shared" si="12"/>
        <v>0</v>
      </c>
      <c r="AD17" s="78">
        <f t="shared" si="13"/>
        <v>0</v>
      </c>
      <c r="AE17" s="78">
        <f t="shared" si="14"/>
        <v>0</v>
      </c>
      <c r="AF17" s="78">
        <f>ROUND((G17+H17)/26*S17*30%,0)</f>
        <v>0</v>
      </c>
      <c r="AG17" s="78">
        <f t="shared" si="15"/>
        <v>0</v>
      </c>
      <c r="AH17" s="78">
        <f t="shared" si="2"/>
        <v>0</v>
      </c>
      <c r="AI17" s="78">
        <f t="shared" si="16"/>
        <v>0</v>
      </c>
      <c r="AJ17" s="78"/>
      <c r="AK17" s="78">
        <f t="shared" si="3"/>
        <v>0</v>
      </c>
      <c r="AL17" s="78"/>
      <c r="AM17" s="78">
        <f t="shared" si="4"/>
        <v>0</v>
      </c>
      <c r="AN17" s="78">
        <f t="shared" si="17"/>
        <v>780000</v>
      </c>
      <c r="AO17" s="78">
        <f t="shared" si="5"/>
        <v>17030000</v>
      </c>
      <c r="AP17" s="78"/>
      <c r="AQ17" s="78"/>
      <c r="AR17" s="78">
        <v>720000</v>
      </c>
      <c r="AS17" s="78"/>
      <c r="AT17" s="78"/>
      <c r="AU17" s="78"/>
      <c r="AV17" s="81">
        <f t="shared" si="18"/>
        <v>24870000</v>
      </c>
      <c r="AW17" s="81"/>
      <c r="AX17" s="81">
        <f t="shared" si="19"/>
        <v>0</v>
      </c>
      <c r="AY17" s="72">
        <f t="shared" si="20"/>
        <v>0</v>
      </c>
      <c r="AZ17" s="72">
        <f>ROUND(IF($AX17="x",($G17+$H17)*AZ$11,0),0)</f>
        <v>0</v>
      </c>
      <c r="BA17" s="72">
        <f>ROUND(IF($AX17="x",($G17+$H17)*BA$11,0),0)</f>
        <v>0</v>
      </c>
      <c r="BB17" s="72">
        <f>SUM(AY17:BA17)</f>
        <v>0</v>
      </c>
      <c r="BC17" s="72"/>
      <c r="BD17" s="72"/>
      <c r="BE17" s="72">
        <f t="shared" si="21"/>
        <v>63400</v>
      </c>
      <c r="BF17" s="72">
        <f t="shared" si="22"/>
        <v>0</v>
      </c>
      <c r="BG17" s="72">
        <f t="shared" si="23"/>
        <v>24870000</v>
      </c>
      <c r="BH17" s="72"/>
      <c r="BI17" s="72">
        <v>4400000</v>
      </c>
      <c r="BJ17" s="72">
        <f t="shared" si="7"/>
        <v>0</v>
      </c>
      <c r="BK17" s="72">
        <f t="shared" si="24"/>
        <v>24870000</v>
      </c>
      <c r="BL17" s="71">
        <f t="shared" si="25"/>
        <v>2487000</v>
      </c>
      <c r="BM17" s="72"/>
      <c r="BN17" s="72"/>
      <c r="BO17" s="72">
        <v>0</v>
      </c>
      <c r="BP17" s="72"/>
      <c r="BQ17" s="72"/>
      <c r="BR17" s="72"/>
      <c r="BS17" s="72"/>
      <c r="BT17" s="72">
        <f>SUMIFS('[1]Bảng lương tạm ứng kỳ 1'!BT:BT,'[1]Bảng lương CB-NV'!B:B,'[1]Bảng lương tạm ứng kỳ 1'!B20)</f>
        <v>10195307.692307694</v>
      </c>
      <c r="BU17" s="92">
        <f t="shared" si="26"/>
        <v>12124292.307692306</v>
      </c>
      <c r="BV17" s="103"/>
      <c r="BW17" s="95">
        <v>23000000</v>
      </c>
      <c r="BX17" s="71">
        <v>0</v>
      </c>
      <c r="BY17" s="71">
        <v>0</v>
      </c>
      <c r="BZ17" s="71">
        <v>200000</v>
      </c>
      <c r="CA17" s="71">
        <f t="shared" si="27"/>
        <v>1150000</v>
      </c>
      <c r="CB17" s="71">
        <f t="shared" si="28"/>
        <v>24350000</v>
      </c>
      <c r="CC17" s="71" t="s">
        <v>164</v>
      </c>
      <c r="CD17" s="71"/>
      <c r="CE17" s="82"/>
      <c r="CF17" s="83"/>
      <c r="CG17" s="83"/>
      <c r="CH17" s="84"/>
      <c r="CI17" s="85"/>
    </row>
    <row r="18" spans="1:87" s="86" customFormat="1" ht="13">
      <c r="A18" s="74">
        <f>IF(B18=0,"",COUNTA($B$12:(B18)))</f>
        <v>7</v>
      </c>
      <c r="B18" s="87" t="s">
        <v>111</v>
      </c>
      <c r="C18" s="76" t="s">
        <v>165</v>
      </c>
      <c r="D18" s="77" t="s">
        <v>166</v>
      </c>
      <c r="E18" s="108" t="s">
        <v>95</v>
      </c>
      <c r="F18" s="109" t="s">
        <v>96</v>
      </c>
      <c r="G18" s="78">
        <v>6340000</v>
      </c>
      <c r="H18" s="78">
        <f t="shared" si="0"/>
        <v>300000</v>
      </c>
      <c r="I18" s="78">
        <f t="shared" si="8"/>
        <v>11210000</v>
      </c>
      <c r="J18" s="79">
        <v>1</v>
      </c>
      <c r="K18" s="80">
        <v>26</v>
      </c>
      <c r="L18" s="80">
        <v>0</v>
      </c>
      <c r="M18" s="80">
        <v>0</v>
      </c>
      <c r="N18" s="80">
        <v>0</v>
      </c>
      <c r="O18" s="80">
        <v>0</v>
      </c>
      <c r="P18" s="80">
        <v>5</v>
      </c>
      <c r="Q18" s="80">
        <v>2</v>
      </c>
      <c r="R18" s="80">
        <v>0</v>
      </c>
      <c r="S18" s="80">
        <v>0</v>
      </c>
      <c r="T18" s="110"/>
      <c r="U18" s="80">
        <v>0</v>
      </c>
      <c r="V18" s="80">
        <v>0</v>
      </c>
      <c r="W18" s="80">
        <v>0</v>
      </c>
      <c r="X18" s="80">
        <v>0</v>
      </c>
      <c r="Y18" s="78">
        <f t="shared" si="1"/>
        <v>6340000</v>
      </c>
      <c r="Z18" s="78">
        <f t="shared" si="9"/>
        <v>0</v>
      </c>
      <c r="AA18" s="78">
        <f t="shared" si="10"/>
        <v>0</v>
      </c>
      <c r="AB18" s="78">
        <f t="shared" si="11"/>
        <v>0</v>
      </c>
      <c r="AC18" s="78">
        <f t="shared" si="12"/>
        <v>1828846.1538461538</v>
      </c>
      <c r="AD18" s="78">
        <f t="shared" si="13"/>
        <v>975384.61538461538</v>
      </c>
      <c r="AE18" s="78">
        <f t="shared" si="14"/>
        <v>0</v>
      </c>
      <c r="AF18" s="78">
        <f>IF(F18="LN",(G18+H18)/26*S18*30%,0)</f>
        <v>0</v>
      </c>
      <c r="AG18" s="78">
        <f t="shared" si="15"/>
        <v>0</v>
      </c>
      <c r="AH18" s="78">
        <f t="shared" si="2"/>
        <v>0</v>
      </c>
      <c r="AI18" s="78">
        <f t="shared" si="16"/>
        <v>0</v>
      </c>
      <c r="AJ18" s="78"/>
      <c r="AK18" s="78">
        <f t="shared" si="3"/>
        <v>0</v>
      </c>
      <c r="AL18" s="78"/>
      <c r="AM18" s="78">
        <f t="shared" si="4"/>
        <v>0</v>
      </c>
      <c r="AN18" s="78">
        <f t="shared" si="17"/>
        <v>300000</v>
      </c>
      <c r="AO18" s="78">
        <f t="shared" si="5"/>
        <v>12982692.307692306</v>
      </c>
      <c r="AP18" s="78"/>
      <c r="AQ18" s="78"/>
      <c r="AR18" s="78">
        <v>560000</v>
      </c>
      <c r="AS18" s="78"/>
      <c r="AT18" s="78"/>
      <c r="AU18" s="78"/>
      <c r="AV18" s="81">
        <f t="shared" si="18"/>
        <v>22986923.076923076</v>
      </c>
      <c r="AW18" s="81"/>
      <c r="AX18" s="81" t="str">
        <f t="shared" si="19"/>
        <v>x</v>
      </c>
      <c r="AY18" s="72">
        <f t="shared" si="20"/>
        <v>531200</v>
      </c>
      <c r="AZ18" s="72">
        <f t="shared" si="20"/>
        <v>99600</v>
      </c>
      <c r="BA18" s="72">
        <f>ROUND(IF($AX18="x",($G18+$H18)*BA$11,0),0)</f>
        <v>66400</v>
      </c>
      <c r="BB18" s="72">
        <f t="shared" ref="BB18" si="31">SUM(AY18:BA18)</f>
        <v>697200</v>
      </c>
      <c r="BC18" s="72"/>
      <c r="BD18" s="72"/>
      <c r="BE18" s="72">
        <f t="shared" si="21"/>
        <v>63400</v>
      </c>
      <c r="BF18" s="72">
        <f t="shared" si="22"/>
        <v>560000</v>
      </c>
      <c r="BG18" s="72">
        <f t="shared" si="23"/>
        <v>22426923.076923076</v>
      </c>
      <c r="BH18" s="72"/>
      <c r="BI18" s="72">
        <v>4400000</v>
      </c>
      <c r="BJ18" s="72">
        <f t="shared" si="7"/>
        <v>11000000</v>
      </c>
      <c r="BK18" s="72">
        <f t="shared" si="24"/>
        <v>10729723.076923076</v>
      </c>
      <c r="BL18" s="71">
        <f t="shared" si="25"/>
        <v>859458</v>
      </c>
      <c r="BM18" s="72"/>
      <c r="BN18" s="72"/>
      <c r="BO18" s="72">
        <v>0</v>
      </c>
      <c r="BP18" s="72"/>
      <c r="BQ18" s="72"/>
      <c r="BR18" s="72"/>
      <c r="BS18" s="72"/>
      <c r="BT18" s="72">
        <f>SUMIFS('[1]Bảng lương tạm ứng kỳ 1'!BT:BT,'[1]Bảng lương CB-NV'!B:B,'[1]Bảng lương tạm ứng kỳ 1'!B21)</f>
        <v>9977846.153846154</v>
      </c>
      <c r="BU18" s="92">
        <f t="shared" si="26"/>
        <v>11389018.923076922</v>
      </c>
      <c r="BV18" s="103"/>
      <c r="BW18" s="95">
        <v>17000000</v>
      </c>
      <c r="BX18" s="71">
        <v>0</v>
      </c>
      <c r="BY18" s="71">
        <v>0</v>
      </c>
      <c r="BZ18" s="71">
        <v>200000</v>
      </c>
      <c r="CA18" s="71">
        <f t="shared" si="27"/>
        <v>850000</v>
      </c>
      <c r="CB18" s="71">
        <f t="shared" si="28"/>
        <v>18050000</v>
      </c>
      <c r="CC18" s="71" t="s">
        <v>114</v>
      </c>
      <c r="CD18" s="71"/>
      <c r="CE18" s="82"/>
      <c r="CF18" s="83"/>
      <c r="CG18" s="83"/>
      <c r="CH18" s="84"/>
      <c r="CI18" s="85"/>
    </row>
    <row r="19" spans="1:87" s="26" customFormat="1" ht="19">
      <c r="B19" s="27"/>
      <c r="I19" s="28"/>
      <c r="J19" s="28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30"/>
      <c r="V19" s="30"/>
      <c r="W19" s="31"/>
      <c r="X19" s="31"/>
      <c r="Y19" s="32"/>
      <c r="Z19" s="32"/>
      <c r="AA19" s="32"/>
      <c r="AB19" s="32"/>
      <c r="AC19" s="33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BL19" s="34"/>
      <c r="BP19" s="34"/>
      <c r="BQ19" s="34"/>
      <c r="BR19" s="34"/>
      <c r="BS19" s="34"/>
      <c r="BT19" s="34"/>
      <c r="BU19" s="34"/>
      <c r="BV19" s="104"/>
      <c r="BW19" s="36"/>
      <c r="BX19" s="36"/>
      <c r="BY19" s="36"/>
      <c r="BZ19" s="36"/>
      <c r="CA19" s="36"/>
      <c r="CB19" s="111"/>
      <c r="CC19" s="112"/>
      <c r="CD19" s="112"/>
      <c r="CF19" s="35"/>
    </row>
    <row r="20" spans="1:87" s="37" customFormat="1" ht="21">
      <c r="B20" s="38"/>
      <c r="C20" s="39"/>
      <c r="D20" s="39"/>
      <c r="E20" s="39"/>
      <c r="F20" s="39"/>
      <c r="G20" s="39"/>
      <c r="H20" s="39"/>
      <c r="I20" s="39"/>
      <c r="J20" s="40"/>
      <c r="K20" s="41"/>
      <c r="L20" s="41"/>
      <c r="M20" s="41"/>
      <c r="N20" s="41"/>
      <c r="O20" s="41"/>
      <c r="P20" s="41"/>
      <c r="Q20" s="41"/>
      <c r="U20" s="43"/>
      <c r="V20" s="41"/>
      <c r="W20" s="39"/>
      <c r="X20" s="39"/>
      <c r="Y20" s="39"/>
      <c r="Z20" s="39"/>
      <c r="AA20" s="39"/>
      <c r="AB20" s="39"/>
      <c r="AC20" s="39"/>
      <c r="AD20" s="44"/>
      <c r="AE20" s="44"/>
      <c r="AF20" s="44"/>
      <c r="AH20" s="44"/>
      <c r="AI20" s="44"/>
      <c r="AJ20" s="44"/>
      <c r="AK20" s="39"/>
      <c r="AL20" s="44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BC20" s="45"/>
      <c r="BD20" s="45"/>
      <c r="BL20" s="39"/>
      <c r="BN20" s="39"/>
      <c r="BO20" s="39"/>
      <c r="BP20" s="39" t="s">
        <v>167</v>
      </c>
      <c r="BQ20" s="39"/>
      <c r="BR20" s="39"/>
      <c r="BS20" s="39"/>
      <c r="BT20" s="39"/>
      <c r="BU20" s="39"/>
      <c r="BV20" s="105"/>
      <c r="BW20" s="47"/>
      <c r="BX20" s="47"/>
      <c r="BY20" s="47"/>
      <c r="BZ20" s="47"/>
      <c r="CA20" s="47"/>
      <c r="CD20" s="45"/>
    </row>
    <row r="21" spans="1:87" s="37" customFormat="1" ht="21">
      <c r="B21" s="48"/>
      <c r="I21" s="40"/>
      <c r="J21" s="40"/>
      <c r="K21" s="43"/>
      <c r="L21" s="43"/>
      <c r="M21" s="43"/>
      <c r="N21" s="43"/>
      <c r="O21" s="43"/>
      <c r="P21" s="43"/>
      <c r="Q21" s="43"/>
      <c r="R21" s="42"/>
      <c r="U21" s="43"/>
      <c r="V21" s="43"/>
      <c r="W21" s="49"/>
      <c r="X21" s="49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7"/>
      <c r="AO21" s="44"/>
      <c r="AP21" s="44"/>
      <c r="AQ21" s="44"/>
      <c r="AR21" s="44"/>
      <c r="AS21" s="44"/>
      <c r="AT21" s="44"/>
      <c r="AU21" s="44"/>
      <c r="AV21" s="39"/>
      <c r="AW21" s="39"/>
      <c r="AX21" s="39"/>
      <c r="AY21" s="47"/>
      <c r="AZ21" s="47"/>
      <c r="BA21" s="47"/>
      <c r="BB21" s="47"/>
      <c r="BN21" s="39"/>
      <c r="BO21" s="45"/>
      <c r="BV21" s="106"/>
      <c r="BW21" s="47"/>
      <c r="BX21" s="47"/>
      <c r="BY21" s="47"/>
      <c r="BZ21" s="47"/>
      <c r="CA21" s="47"/>
      <c r="CF21" s="46"/>
    </row>
    <row r="22" spans="1:87" ht="17">
      <c r="C22" s="213" t="s">
        <v>146</v>
      </c>
    </row>
  </sheetData>
  <mergeCells count="82">
    <mergeCell ref="BP10:BP11"/>
    <mergeCell ref="BQ10:BQ11"/>
    <mergeCell ref="BJ10:BJ11"/>
    <mergeCell ref="BK10:BK11"/>
    <mergeCell ref="BL10:BL11"/>
    <mergeCell ref="BM10:BM11"/>
    <mergeCell ref="BN10:BN11"/>
    <mergeCell ref="BO10:BO11"/>
    <mergeCell ref="AN9:AN11"/>
    <mergeCell ref="AO9:AO11"/>
    <mergeCell ref="AY9:BL9"/>
    <mergeCell ref="BM9:BQ9"/>
    <mergeCell ref="BR9:BR11"/>
    <mergeCell ref="BS9:BS11"/>
    <mergeCell ref="BB10:BB11"/>
    <mergeCell ref="BC10:BC11"/>
    <mergeCell ref="BD10:BD11"/>
    <mergeCell ref="BE10:BE11"/>
    <mergeCell ref="AH9:AH11"/>
    <mergeCell ref="AI9:AI11"/>
    <mergeCell ref="AJ9:AJ11"/>
    <mergeCell ref="AK9:AK11"/>
    <mergeCell ref="AL9:AL11"/>
    <mergeCell ref="AM9:AM11"/>
    <mergeCell ref="AB9:AB11"/>
    <mergeCell ref="AC9:AC11"/>
    <mergeCell ref="AD9:AD11"/>
    <mergeCell ref="AE9:AE11"/>
    <mergeCell ref="AF9:AF11"/>
    <mergeCell ref="AG9:AG11"/>
    <mergeCell ref="U9:U11"/>
    <mergeCell ref="V9:W10"/>
    <mergeCell ref="X9:X11"/>
    <mergeCell ref="Y9:Y11"/>
    <mergeCell ref="Z9:Z11"/>
    <mergeCell ref="AA9:AA11"/>
    <mergeCell ref="BX8:CA10"/>
    <mergeCell ref="CB8:CB11"/>
    <mergeCell ref="CC8:CC11"/>
    <mergeCell ref="CD8:CD11"/>
    <mergeCell ref="K9:K11"/>
    <mergeCell ref="L9:L11"/>
    <mergeCell ref="M9:M11"/>
    <mergeCell ref="N9:N11"/>
    <mergeCell ref="O9:O11"/>
    <mergeCell ref="P9:P11"/>
    <mergeCell ref="AX8:AX11"/>
    <mergeCell ref="AY8:BQ8"/>
    <mergeCell ref="BR8:BS8"/>
    <mergeCell ref="BT8:BT11"/>
    <mergeCell ref="BU8:BU11"/>
    <mergeCell ref="BW8:BW11"/>
    <mergeCell ref="BF10:BF11"/>
    <mergeCell ref="BG10:BG11"/>
    <mergeCell ref="BH10:BH11"/>
    <mergeCell ref="BI10:BI11"/>
    <mergeCell ref="AR8:AR11"/>
    <mergeCell ref="AS8:AS11"/>
    <mergeCell ref="AT8:AT11"/>
    <mergeCell ref="AU8:AU11"/>
    <mergeCell ref="AV8:AV11"/>
    <mergeCell ref="AW8:AW11"/>
    <mergeCell ref="I8:I11"/>
    <mergeCell ref="J8:J11"/>
    <mergeCell ref="K8:X8"/>
    <mergeCell ref="Y8:AO8"/>
    <mergeCell ref="AP8:AP11"/>
    <mergeCell ref="AQ8:AQ11"/>
    <mergeCell ref="Q9:Q11"/>
    <mergeCell ref="R9:R11"/>
    <mergeCell ref="S9:S11"/>
    <mergeCell ref="T9:T11"/>
    <mergeCell ref="A3:BU3"/>
    <mergeCell ref="BW3:CB6"/>
    <mergeCell ref="A8:A11"/>
    <mergeCell ref="B8:B11"/>
    <mergeCell ref="C8:C11"/>
    <mergeCell ref="D8:D11"/>
    <mergeCell ref="E8:E11"/>
    <mergeCell ref="F8:F11"/>
    <mergeCell ref="G8:G11"/>
    <mergeCell ref="H8:H11"/>
  </mergeCells>
  <conditionalFormatting sqref="B12:B1048576 B1:B7">
    <cfRule type="duplicateValues" dxfId="25" priority="5"/>
    <cfRule type="duplicateValues" dxfId="24" priority="6"/>
  </conditionalFormatting>
  <conditionalFormatting sqref="B12:B1048576 B1:B7">
    <cfRule type="duplicateValues" dxfId="23" priority="7"/>
  </conditionalFormatting>
  <conditionalFormatting sqref="B8:B11">
    <cfRule type="duplicateValues" dxfId="22" priority="1"/>
    <cfRule type="duplicateValues" dxfId="21" priority="2"/>
    <cfRule type="duplicateValues" dxfId="20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2"/>
  <sheetViews>
    <sheetView topLeftCell="AB1" zoomScale="85" zoomScaleNormal="85" zoomScaleSheetLayoutView="70" workbookViewId="0">
      <selection activeCell="AK21" sqref="AK21"/>
    </sheetView>
  </sheetViews>
  <sheetFormatPr baseColWidth="10" defaultColWidth="20.6640625" defaultRowHeight="15" outlineLevelCol="1"/>
  <cols>
    <col min="1" max="1" width="20.6640625" style="151" customWidth="1"/>
    <col min="2" max="2" width="20.6640625" style="152" customWidth="1"/>
    <col min="3" max="3" width="20.6640625" style="153" customWidth="1"/>
    <col min="4" max="5" width="20.6640625" style="154" customWidth="1" outlineLevel="1"/>
    <col min="6" max="6" width="20.6640625" style="155" customWidth="1" outlineLevel="1"/>
    <col min="7" max="8" width="20.6640625" style="156" customWidth="1"/>
    <col min="9" max="9" width="20.6640625" style="157" customWidth="1"/>
    <col min="10" max="10" width="20.6640625" style="157" customWidth="1" outlineLevel="1"/>
    <col min="11" max="24" width="20.6640625" style="158" customWidth="1"/>
    <col min="25" max="50" width="20.6640625" style="159" customWidth="1"/>
    <col min="51" max="53" width="20.6640625" style="159" customWidth="1" outlineLevel="1"/>
    <col min="54" max="73" width="20.6640625" style="159" customWidth="1"/>
    <col min="75" max="79" width="20.6640625" style="156" customWidth="1" outlineLevel="1"/>
    <col min="80" max="82" width="20.6640625" style="160" customWidth="1" outlineLevel="1"/>
    <col min="83" max="83" width="20.6640625" style="161" customWidth="1"/>
    <col min="84" max="16384" width="20.6640625" style="161"/>
  </cols>
  <sheetData>
    <row r="1" spans="1:87" s="114" customFormat="1">
      <c r="A1" s="247" t="s">
        <v>0</v>
      </c>
      <c r="B1" s="233" t="s">
        <v>1</v>
      </c>
      <c r="C1" s="215" t="s">
        <v>2</v>
      </c>
      <c r="D1" s="236" t="s">
        <v>3</v>
      </c>
      <c r="E1" s="236" t="s">
        <v>4</v>
      </c>
      <c r="F1" s="215" t="s">
        <v>5</v>
      </c>
      <c r="G1" s="215" t="s">
        <v>6</v>
      </c>
      <c r="H1" s="258" t="s">
        <v>7</v>
      </c>
      <c r="I1" s="258" t="s">
        <v>8</v>
      </c>
      <c r="J1" s="215" t="s">
        <v>9</v>
      </c>
      <c r="K1" s="260" t="s">
        <v>10</v>
      </c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15" t="s">
        <v>11</v>
      </c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9"/>
      <c r="AP1" s="215" t="s">
        <v>12</v>
      </c>
      <c r="AQ1" s="215" t="s">
        <v>13</v>
      </c>
      <c r="AR1" s="215" t="s">
        <v>14</v>
      </c>
      <c r="AS1" s="215" t="s">
        <v>15</v>
      </c>
      <c r="AT1" s="215" t="s">
        <v>16</v>
      </c>
      <c r="AU1" s="215" t="s">
        <v>17</v>
      </c>
      <c r="AV1" s="215" t="s">
        <v>18</v>
      </c>
      <c r="AW1" s="215" t="s">
        <v>19</v>
      </c>
      <c r="AX1" s="215" t="s">
        <v>20</v>
      </c>
      <c r="AY1" s="227" t="s">
        <v>21</v>
      </c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9"/>
      <c r="BR1" s="224" t="s">
        <v>22</v>
      </c>
      <c r="BS1" s="225"/>
      <c r="BT1" s="227" t="s">
        <v>23</v>
      </c>
      <c r="BU1" s="243" t="s">
        <v>24</v>
      </c>
      <c r="BW1" s="255" t="s">
        <v>25</v>
      </c>
      <c r="BX1" s="248" t="s">
        <v>26</v>
      </c>
      <c r="BY1" s="249"/>
      <c r="BZ1" s="249"/>
      <c r="CA1" s="225"/>
      <c r="CB1" s="226" t="s">
        <v>27</v>
      </c>
      <c r="CC1" s="219" t="s">
        <v>28</v>
      </c>
      <c r="CD1" s="219" t="s">
        <v>29</v>
      </c>
      <c r="CH1" s="115"/>
      <c r="CI1" s="116"/>
    </row>
    <row r="2" spans="1:87" s="114" customFormat="1">
      <c r="A2" s="216"/>
      <c r="B2" s="216"/>
      <c r="C2" s="216"/>
      <c r="D2" s="216"/>
      <c r="E2" s="216"/>
      <c r="F2" s="216"/>
      <c r="G2" s="216"/>
      <c r="H2" s="216"/>
      <c r="I2" s="216"/>
      <c r="J2" s="216"/>
      <c r="K2" s="257" t="s">
        <v>30</v>
      </c>
      <c r="L2" s="257" t="s">
        <v>31</v>
      </c>
      <c r="M2" s="257" t="s">
        <v>32</v>
      </c>
      <c r="N2" s="257" t="s">
        <v>33</v>
      </c>
      <c r="O2" s="257" t="s">
        <v>34</v>
      </c>
      <c r="P2" s="257" t="s">
        <v>35</v>
      </c>
      <c r="Q2" s="257" t="s">
        <v>36</v>
      </c>
      <c r="R2" s="257" t="s">
        <v>37</v>
      </c>
      <c r="S2" s="257" t="s">
        <v>38</v>
      </c>
      <c r="T2" s="257" t="s">
        <v>39</v>
      </c>
      <c r="U2" s="257" t="s">
        <v>40</v>
      </c>
      <c r="V2" s="261" t="s">
        <v>41</v>
      </c>
      <c r="W2" s="225"/>
      <c r="X2" s="257" t="s">
        <v>42</v>
      </c>
      <c r="Y2" s="215" t="s">
        <v>43</v>
      </c>
      <c r="Z2" s="215" t="s">
        <v>44</v>
      </c>
      <c r="AA2" s="215" t="s">
        <v>45</v>
      </c>
      <c r="AB2" s="215" t="s">
        <v>46</v>
      </c>
      <c r="AC2" s="258" t="s">
        <v>47</v>
      </c>
      <c r="AD2" s="258" t="s">
        <v>48</v>
      </c>
      <c r="AE2" s="258" t="s">
        <v>49</v>
      </c>
      <c r="AF2" s="258" t="s">
        <v>50</v>
      </c>
      <c r="AG2" s="215" t="s">
        <v>51</v>
      </c>
      <c r="AH2" s="258" t="s">
        <v>52</v>
      </c>
      <c r="AI2" s="258" t="s">
        <v>53</v>
      </c>
      <c r="AJ2" s="215" t="s">
        <v>54</v>
      </c>
      <c r="AK2" s="221" t="s">
        <v>55</v>
      </c>
      <c r="AL2" s="215" t="s">
        <v>56</v>
      </c>
      <c r="AM2" s="215" t="s">
        <v>57</v>
      </c>
      <c r="AN2" s="230" t="s">
        <v>58</v>
      </c>
      <c r="AO2" s="215" t="s">
        <v>59</v>
      </c>
      <c r="AP2" s="216"/>
      <c r="AQ2" s="216"/>
      <c r="AR2" s="216"/>
      <c r="AS2" s="216"/>
      <c r="AT2" s="216"/>
      <c r="AU2" s="216"/>
      <c r="AV2" s="216"/>
      <c r="AW2" s="216"/>
      <c r="AX2" s="216"/>
      <c r="AY2" s="227" t="s">
        <v>21</v>
      </c>
      <c r="AZ2" s="228"/>
      <c r="BA2" s="228"/>
      <c r="BB2" s="228"/>
      <c r="BC2" s="228"/>
      <c r="BD2" s="228"/>
      <c r="BE2" s="228"/>
      <c r="BF2" s="228"/>
      <c r="BG2" s="228"/>
      <c r="BH2" s="228"/>
      <c r="BI2" s="228"/>
      <c r="BJ2" s="228"/>
      <c r="BK2" s="228"/>
      <c r="BL2" s="229"/>
      <c r="BM2" s="227" t="s">
        <v>60</v>
      </c>
      <c r="BN2" s="228"/>
      <c r="BO2" s="228"/>
      <c r="BP2" s="228"/>
      <c r="BQ2" s="229"/>
      <c r="BR2" s="244" t="s">
        <v>61</v>
      </c>
      <c r="BS2" s="244" t="s">
        <v>62</v>
      </c>
      <c r="BT2" s="216"/>
      <c r="BU2" s="222"/>
      <c r="BW2" s="251"/>
      <c r="BX2" s="222"/>
      <c r="BY2" s="259"/>
      <c r="BZ2" s="259"/>
      <c r="CA2" s="251"/>
      <c r="CB2" s="216"/>
      <c r="CC2" s="216"/>
      <c r="CD2" s="216"/>
      <c r="CH2" s="115"/>
      <c r="CI2" s="116"/>
    </row>
    <row r="3" spans="1:87" s="117" customFormat="1" ht="12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23"/>
      <c r="W3" s="239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22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88" t="s">
        <v>63</v>
      </c>
      <c r="AZ3" s="88" t="s">
        <v>64</v>
      </c>
      <c r="BA3" s="88" t="s">
        <v>65</v>
      </c>
      <c r="BB3" s="227" t="s">
        <v>66</v>
      </c>
      <c r="BC3" s="234" t="s">
        <v>67</v>
      </c>
      <c r="BD3" s="234" t="s">
        <v>68</v>
      </c>
      <c r="BE3" s="246" t="s">
        <v>69</v>
      </c>
      <c r="BF3" s="234" t="s">
        <v>70</v>
      </c>
      <c r="BG3" s="234" t="s">
        <v>71</v>
      </c>
      <c r="BH3" s="234" t="s">
        <v>72</v>
      </c>
      <c r="BI3" s="234" t="s">
        <v>73</v>
      </c>
      <c r="BJ3" s="234" t="s">
        <v>74</v>
      </c>
      <c r="BK3" s="234" t="s">
        <v>75</v>
      </c>
      <c r="BL3" s="256" t="s">
        <v>76</v>
      </c>
      <c r="BM3" s="234" t="s">
        <v>77</v>
      </c>
      <c r="BN3" s="227" t="s">
        <v>78</v>
      </c>
      <c r="BO3" s="234" t="s">
        <v>79</v>
      </c>
      <c r="BP3" s="227" t="s">
        <v>80</v>
      </c>
      <c r="BQ3" s="227" t="s">
        <v>81</v>
      </c>
      <c r="BR3" s="216"/>
      <c r="BS3" s="216"/>
      <c r="BT3" s="216"/>
      <c r="BU3" s="222"/>
      <c r="BW3" s="251"/>
      <c r="BX3" s="252"/>
      <c r="BY3" s="253"/>
      <c r="BZ3" s="253"/>
      <c r="CA3" s="254"/>
      <c r="CB3" s="216"/>
      <c r="CC3" s="216"/>
      <c r="CD3" s="216"/>
      <c r="CH3" s="115"/>
      <c r="CI3" s="116"/>
    </row>
    <row r="4" spans="1:87" s="117" customFormat="1" ht="12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118" t="s">
        <v>82</v>
      </c>
      <c r="W4" s="118" t="s">
        <v>83</v>
      </c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23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89" t="s">
        <v>84</v>
      </c>
      <c r="AZ4" s="89" t="s">
        <v>85</v>
      </c>
      <c r="BA4" s="89" t="s">
        <v>86</v>
      </c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23"/>
      <c r="BW4" s="254"/>
      <c r="BX4" s="61" t="s">
        <v>87</v>
      </c>
      <c r="BY4" s="61" t="s">
        <v>88</v>
      </c>
      <c r="BZ4" s="61" t="s">
        <v>89</v>
      </c>
      <c r="CA4" s="62" t="s">
        <v>90</v>
      </c>
      <c r="CB4" s="220"/>
      <c r="CC4" s="220"/>
      <c r="CD4" s="220"/>
      <c r="CE4" s="114"/>
      <c r="CF4" s="119"/>
      <c r="CH4" s="115"/>
      <c r="CI4" s="116"/>
    </row>
    <row r="5" spans="1:87" s="120" customFormat="1" ht="11">
      <c r="A5" s="21">
        <v>1</v>
      </c>
      <c r="B5" s="22">
        <f>A5+1</f>
        <v>2</v>
      </c>
      <c r="C5" s="22">
        <f>B5+1</f>
        <v>3</v>
      </c>
      <c r="D5" s="22">
        <f>C5+1</f>
        <v>4</v>
      </c>
      <c r="E5" s="22"/>
      <c r="F5" s="22">
        <f>D5+1</f>
        <v>5</v>
      </c>
      <c r="G5" s="22">
        <f t="shared" ref="G5:AV5" si="0">F5+1</f>
        <v>6</v>
      </c>
      <c r="H5" s="22">
        <f t="shared" si="0"/>
        <v>7</v>
      </c>
      <c r="I5" s="22">
        <f t="shared" si="0"/>
        <v>8</v>
      </c>
      <c r="J5" s="22">
        <f t="shared" si="0"/>
        <v>9</v>
      </c>
      <c r="K5" s="22">
        <f t="shared" si="0"/>
        <v>10</v>
      </c>
      <c r="L5" s="22">
        <f t="shared" si="0"/>
        <v>11</v>
      </c>
      <c r="M5" s="22">
        <f t="shared" si="0"/>
        <v>12</v>
      </c>
      <c r="N5" s="22">
        <f t="shared" si="0"/>
        <v>13</v>
      </c>
      <c r="O5" s="22">
        <f t="shared" si="0"/>
        <v>14</v>
      </c>
      <c r="P5" s="22">
        <f t="shared" si="0"/>
        <v>15</v>
      </c>
      <c r="Q5" s="22">
        <f t="shared" si="0"/>
        <v>16</v>
      </c>
      <c r="R5" s="22">
        <f t="shared" si="0"/>
        <v>17</v>
      </c>
      <c r="S5" s="22">
        <f t="shared" si="0"/>
        <v>18</v>
      </c>
      <c r="T5" s="22">
        <f t="shared" si="0"/>
        <v>19</v>
      </c>
      <c r="U5" s="22">
        <f t="shared" si="0"/>
        <v>20</v>
      </c>
      <c r="V5" s="22">
        <f t="shared" si="0"/>
        <v>21</v>
      </c>
      <c r="W5" s="22">
        <f t="shared" si="0"/>
        <v>22</v>
      </c>
      <c r="X5" s="22">
        <f t="shared" si="0"/>
        <v>23</v>
      </c>
      <c r="Y5" s="22">
        <f t="shared" si="0"/>
        <v>24</v>
      </c>
      <c r="Z5" s="22">
        <f t="shared" si="0"/>
        <v>25</v>
      </c>
      <c r="AA5" s="22">
        <f t="shared" si="0"/>
        <v>26</v>
      </c>
      <c r="AB5" s="22">
        <f t="shared" si="0"/>
        <v>27</v>
      </c>
      <c r="AC5" s="22">
        <f t="shared" si="0"/>
        <v>28</v>
      </c>
      <c r="AD5" s="22">
        <f t="shared" si="0"/>
        <v>29</v>
      </c>
      <c r="AE5" s="22">
        <f t="shared" si="0"/>
        <v>30</v>
      </c>
      <c r="AF5" s="22">
        <f t="shared" si="0"/>
        <v>31</v>
      </c>
      <c r="AG5" s="22">
        <f t="shared" si="0"/>
        <v>32</v>
      </c>
      <c r="AH5" s="22">
        <f t="shared" si="0"/>
        <v>33</v>
      </c>
      <c r="AI5" s="22">
        <f t="shared" si="0"/>
        <v>34</v>
      </c>
      <c r="AJ5" s="22">
        <f t="shared" si="0"/>
        <v>35</v>
      </c>
      <c r="AK5" s="22">
        <f t="shared" si="0"/>
        <v>36</v>
      </c>
      <c r="AL5" s="22">
        <f t="shared" si="0"/>
        <v>37</v>
      </c>
      <c r="AM5" s="22">
        <f t="shared" si="0"/>
        <v>38</v>
      </c>
      <c r="AN5" s="22">
        <f t="shared" si="0"/>
        <v>39</v>
      </c>
      <c r="AO5" s="22">
        <f t="shared" si="0"/>
        <v>40</v>
      </c>
      <c r="AP5" s="22">
        <f t="shared" si="0"/>
        <v>41</v>
      </c>
      <c r="AQ5" s="22">
        <f t="shared" si="0"/>
        <v>42</v>
      </c>
      <c r="AR5" s="22">
        <f t="shared" si="0"/>
        <v>43</v>
      </c>
      <c r="AS5" s="22">
        <f t="shared" si="0"/>
        <v>44</v>
      </c>
      <c r="AT5" s="22">
        <f t="shared" si="0"/>
        <v>45</v>
      </c>
      <c r="AU5" s="22">
        <f t="shared" si="0"/>
        <v>46</v>
      </c>
      <c r="AV5" s="22">
        <f t="shared" si="0"/>
        <v>47</v>
      </c>
      <c r="AW5" s="22"/>
      <c r="AX5" s="22"/>
      <c r="AY5" s="22">
        <f>AV5+1</f>
        <v>48</v>
      </c>
      <c r="AZ5" s="22">
        <f t="shared" ref="AZ5:BE5" si="1">AY5+1</f>
        <v>49</v>
      </c>
      <c r="BA5" s="22">
        <f t="shared" si="1"/>
        <v>50</v>
      </c>
      <c r="BB5" s="22">
        <f t="shared" si="1"/>
        <v>51</v>
      </c>
      <c r="BC5" s="22">
        <f t="shared" si="1"/>
        <v>52</v>
      </c>
      <c r="BD5" s="22">
        <f t="shared" si="1"/>
        <v>53</v>
      </c>
      <c r="BE5" s="22">
        <f t="shared" si="1"/>
        <v>54</v>
      </c>
      <c r="BF5" s="22"/>
      <c r="BG5" s="22"/>
      <c r="BH5" s="22"/>
      <c r="BI5" s="22"/>
      <c r="BJ5" s="22"/>
      <c r="BK5" s="22"/>
      <c r="BL5" s="22">
        <f>BE5+1</f>
        <v>55</v>
      </c>
      <c r="BM5" s="22">
        <f t="shared" ref="BM5:BU5" si="2">BL5+1</f>
        <v>56</v>
      </c>
      <c r="BN5" s="22">
        <f t="shared" si="2"/>
        <v>57</v>
      </c>
      <c r="BO5" s="22">
        <f t="shared" si="2"/>
        <v>58</v>
      </c>
      <c r="BP5" s="22">
        <f t="shared" si="2"/>
        <v>59</v>
      </c>
      <c r="BQ5" s="22">
        <f t="shared" si="2"/>
        <v>60</v>
      </c>
      <c r="BR5" s="22">
        <f t="shared" si="2"/>
        <v>61</v>
      </c>
      <c r="BS5" s="22">
        <f t="shared" si="2"/>
        <v>62</v>
      </c>
      <c r="BT5" s="22">
        <f t="shared" si="2"/>
        <v>63</v>
      </c>
      <c r="BU5" s="22">
        <f t="shared" si="2"/>
        <v>64</v>
      </c>
      <c r="BW5" s="93" t="s">
        <v>91</v>
      </c>
      <c r="BX5" s="22">
        <f t="shared" ref="BX5:CD5" si="3">BW5+1</f>
        <v>66</v>
      </c>
      <c r="BY5" s="22">
        <f t="shared" si="3"/>
        <v>67</v>
      </c>
      <c r="BZ5" s="22">
        <f t="shared" si="3"/>
        <v>68</v>
      </c>
      <c r="CA5" s="22">
        <f t="shared" si="3"/>
        <v>69</v>
      </c>
      <c r="CB5" s="22">
        <f t="shared" si="3"/>
        <v>70</v>
      </c>
      <c r="CC5" s="22">
        <f t="shared" si="3"/>
        <v>71</v>
      </c>
      <c r="CD5" s="22">
        <f t="shared" si="3"/>
        <v>72</v>
      </c>
      <c r="CG5" s="117"/>
      <c r="CH5" s="115"/>
      <c r="CI5" s="116"/>
    </row>
    <row r="6" spans="1:87" s="121" customFormat="1" ht="11">
      <c r="A6" s="66" t="s">
        <v>92</v>
      </c>
      <c r="B6" s="66" t="s">
        <v>92</v>
      </c>
      <c r="C6" s="66" t="s">
        <v>92</v>
      </c>
      <c r="D6" s="22"/>
      <c r="E6" s="22"/>
      <c r="F6" s="22"/>
      <c r="G6" s="66" t="s">
        <v>92</v>
      </c>
      <c r="H6" s="66" t="s">
        <v>92</v>
      </c>
      <c r="I6" s="66" t="s">
        <v>92</v>
      </c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90"/>
      <c r="BW6" s="94"/>
      <c r="BX6" s="63"/>
      <c r="BY6" s="63"/>
      <c r="BZ6" s="63"/>
      <c r="CA6" s="63"/>
      <c r="CB6" s="63"/>
      <c r="CC6" s="63"/>
      <c r="CD6" s="63"/>
      <c r="CG6" s="122"/>
      <c r="CH6" s="115"/>
      <c r="CI6" s="116"/>
    </row>
    <row r="7" spans="1:87" s="131" customFormat="1" ht="11">
      <c r="A7" s="123"/>
      <c r="B7" s="124"/>
      <c r="C7" s="124"/>
      <c r="D7" s="125"/>
      <c r="E7" s="125"/>
      <c r="F7" s="125"/>
      <c r="G7" s="124">
        <f>SUM(G8:G10)</f>
        <v>23500000</v>
      </c>
      <c r="H7" s="124">
        <f>SUM(H8:H10)</f>
        <v>300000</v>
      </c>
      <c r="I7" s="124">
        <f>SUM(I8:I10)</f>
        <v>78200000</v>
      </c>
      <c r="J7" s="124"/>
      <c r="K7" s="126">
        <f>SUM(K8:K10)</f>
        <v>81</v>
      </c>
      <c r="L7" s="126"/>
      <c r="M7" s="126"/>
      <c r="N7" s="126"/>
      <c r="O7" s="126"/>
      <c r="P7" s="126"/>
      <c r="Q7" s="126"/>
      <c r="R7" s="126">
        <f>SUM(R8:R10)</f>
        <v>0</v>
      </c>
      <c r="S7" s="126">
        <f>SUM(S8:S10)</f>
        <v>0</v>
      </c>
      <c r="T7" s="127"/>
      <c r="U7" s="126">
        <f>SUM(U8:U10)</f>
        <v>0</v>
      </c>
      <c r="V7" s="126">
        <f>SUM(V8:V10)</f>
        <v>0</v>
      </c>
      <c r="W7" s="126">
        <f>SUM(W8:W10)</f>
        <v>0</v>
      </c>
      <c r="X7" s="126">
        <f>SUM(X8:X10)</f>
        <v>0</v>
      </c>
      <c r="Y7" s="124">
        <f>SUM(Y8:Y10)</f>
        <v>24403846.153846152</v>
      </c>
      <c r="Z7" s="124"/>
      <c r="AA7" s="124"/>
      <c r="AB7" s="124"/>
      <c r="AC7" s="124">
        <f>SUM(AC8:AC10)</f>
        <v>0</v>
      </c>
      <c r="AD7" s="124">
        <f>SUM(AD8:AD10)</f>
        <v>0</v>
      </c>
      <c r="AE7" s="124"/>
      <c r="AF7" s="124">
        <f t="shared" ref="AF7:AO7" si="4">SUM(AF8:AF10)</f>
        <v>0</v>
      </c>
      <c r="AG7" s="124">
        <f t="shared" si="4"/>
        <v>0</v>
      </c>
      <c r="AH7" s="124">
        <f t="shared" si="4"/>
        <v>0</v>
      </c>
      <c r="AI7" s="124">
        <f t="shared" si="4"/>
        <v>0</v>
      </c>
      <c r="AJ7" s="124">
        <f t="shared" si="4"/>
        <v>0</v>
      </c>
      <c r="AK7" s="124">
        <f t="shared" si="4"/>
        <v>0</v>
      </c>
      <c r="AL7" s="124">
        <f t="shared" si="4"/>
        <v>0</v>
      </c>
      <c r="AM7" s="124">
        <f t="shared" si="4"/>
        <v>0</v>
      </c>
      <c r="AN7" s="124">
        <f t="shared" si="4"/>
        <v>0</v>
      </c>
      <c r="AO7" s="124" t="e">
        <f t="shared" si="4"/>
        <v>#REF!</v>
      </c>
      <c r="AP7" s="124"/>
      <c r="AQ7" s="124"/>
      <c r="AR7" s="124"/>
      <c r="AS7" s="124"/>
      <c r="AT7" s="124"/>
      <c r="AU7" s="124"/>
      <c r="AV7" s="124" t="e">
        <f>SUM(AV8:AV10)</f>
        <v>#REF!</v>
      </c>
      <c r="AW7" s="124"/>
      <c r="AX7" s="124"/>
      <c r="AY7" s="124">
        <f>SUM(AY8:AY10)</f>
        <v>1142400</v>
      </c>
      <c r="AZ7" s="124">
        <f>SUM(AZ8:AZ10)</f>
        <v>214200</v>
      </c>
      <c r="BA7" s="124">
        <f>SUM(BA8:BA10)</f>
        <v>142800</v>
      </c>
      <c r="BB7" s="124">
        <f>SUM(BB8:BB10)</f>
        <v>1499400</v>
      </c>
      <c r="BC7" s="124">
        <f>SUM(BC8:BC10)</f>
        <v>0</v>
      </c>
      <c r="BD7" s="124"/>
      <c r="BE7" s="124">
        <f>SUM(BE8:BE10)</f>
        <v>235000</v>
      </c>
      <c r="BF7" s="124"/>
      <c r="BG7" s="124"/>
      <c r="BH7" s="124"/>
      <c r="BI7" s="124"/>
      <c r="BJ7" s="124"/>
      <c r="BK7" s="124"/>
      <c r="BL7" s="124" t="e">
        <f t="shared" ref="BL7:BQ7" si="5">SUM(BL8:BL10)</f>
        <v>#REF!</v>
      </c>
      <c r="BM7" s="124">
        <f t="shared" si="5"/>
        <v>0</v>
      </c>
      <c r="BN7" s="124">
        <f t="shared" si="5"/>
        <v>0</v>
      </c>
      <c r="BO7" s="124">
        <f t="shared" si="5"/>
        <v>0</v>
      </c>
      <c r="BP7" s="124">
        <f t="shared" si="5"/>
        <v>0</v>
      </c>
      <c r="BQ7" s="124">
        <f t="shared" si="5"/>
        <v>0</v>
      </c>
      <c r="BR7" s="124"/>
      <c r="BS7" s="124"/>
      <c r="BT7" s="124">
        <f>SUM(BT8:BT10)</f>
        <v>0</v>
      </c>
      <c r="BU7" s="128" t="e">
        <f>SUM(BU8:BU10)</f>
        <v>#REF!</v>
      </c>
      <c r="BW7" s="129"/>
      <c r="BX7" s="130"/>
      <c r="BY7" s="130"/>
      <c r="BZ7" s="130"/>
      <c r="CA7" s="130"/>
      <c r="CB7" s="130"/>
      <c r="CC7" s="130"/>
      <c r="CD7" s="130"/>
    </row>
    <row r="8" spans="1:87" s="149" customFormat="1" ht="11">
      <c r="A8" s="132">
        <f>IF(B8=0,"",COUNTA($B$8:(B8)))</f>
        <v>1</v>
      </c>
      <c r="B8" s="133">
        <v>123456</v>
      </c>
      <c r="C8" s="134" t="s">
        <v>116</v>
      </c>
      <c r="D8" s="135" t="s">
        <v>117</v>
      </c>
      <c r="E8" s="136" t="s">
        <v>109</v>
      </c>
      <c r="F8" s="137" t="s">
        <v>96</v>
      </c>
      <c r="G8" s="138">
        <v>9520000</v>
      </c>
      <c r="H8" s="138">
        <f>+IF(OR(CC8="ĐT PCCC",CC8="ĐP PCCC"),780000,IF(CC8="AT-VSV",300000,0))</f>
        <v>0</v>
      </c>
      <c r="I8" s="138">
        <f>CB8-BZ8-G8-H8</f>
        <v>50480000</v>
      </c>
      <c r="J8" s="139">
        <v>1</v>
      </c>
      <c r="K8" s="140">
        <v>27</v>
      </c>
      <c r="L8" s="140"/>
      <c r="M8" s="140"/>
      <c r="N8" s="140"/>
      <c r="O8" s="140"/>
      <c r="P8" s="140"/>
      <c r="Q8" s="140"/>
      <c r="R8" s="140">
        <v>0</v>
      </c>
      <c r="S8" s="140">
        <v>0</v>
      </c>
      <c r="T8" s="141"/>
      <c r="U8" s="140">
        <v>0</v>
      </c>
      <c r="V8" s="140">
        <v>0</v>
      </c>
      <c r="W8" s="140">
        <v>0</v>
      </c>
      <c r="X8" s="140">
        <v>0</v>
      </c>
      <c r="Y8" s="138">
        <f>G8*(K8+L8)/26</f>
        <v>9886153.846153846</v>
      </c>
      <c r="Z8" s="138">
        <f>M8*G8/26</f>
        <v>0</v>
      </c>
      <c r="AA8" s="138">
        <f>G8*N8/26</f>
        <v>0</v>
      </c>
      <c r="AB8" s="138">
        <f>G8*O8/26</f>
        <v>0</v>
      </c>
      <c r="AC8" s="138">
        <f>G8*P8*150%/26</f>
        <v>0</v>
      </c>
      <c r="AD8" s="138">
        <f>G8*Q8/26*200%</f>
        <v>0</v>
      </c>
      <c r="AE8" s="138">
        <f>G8*R8/26*300%</f>
        <v>0</v>
      </c>
      <c r="AF8" s="138">
        <f>ROUND((G8+H8)/26*S8*30%,0)</f>
        <v>0</v>
      </c>
      <c r="AG8" s="138">
        <f>T8*G8/26/8</f>
        <v>0</v>
      </c>
      <c r="AH8" s="138">
        <f>CB8/26*U8</f>
        <v>0</v>
      </c>
      <c r="AI8" s="138">
        <f>G8*V8/26</f>
        <v>0</v>
      </c>
      <c r="AJ8" s="138"/>
      <c r="AK8" s="138">
        <f>BZ8*L8/26</f>
        <v>0</v>
      </c>
      <c r="AL8" s="138"/>
      <c r="AM8" s="138">
        <f>X8*CD8</f>
        <v>0</v>
      </c>
      <c r="AN8" s="138">
        <f>H8/26*(K8+L8)</f>
        <v>0</v>
      </c>
      <c r="AO8" s="138" t="e">
        <f>IF(F8="LN",I8*(K8+L8)/26+(H8+I8)*50%*M8/26+MAX($G8*P8/26*150%,P8*$BW8/26)-AC8+MAX($G8*Q8/26*200%,Q8*$BW8/26)-AD8+MAX($G8*R8/26*300%,R8*$BW8/26)-AE8+BW8*S8/26-AF8+AH8-AG8,I8-I8*(#REF!-K8-L8)/26+(H8+I8)*50%*M8/26+BW8*O8/26-AB8+MAX($G8*P8/26*150%,P8*$BW8/26)-AC8+MAX($G8*Q8/26*200%,Q8*$BW8/26)-AD8+MAX($G8*R8/26*300%,R8*$BW8/26)-AE8+BW8*S8/26-AF8+AH8-AG8+(G8-G8*(#REF!-K8-L8)/26-Y8)+(H8-H8*(#REF!-K8-L8)/26-AN8))</f>
        <v>#REF!</v>
      </c>
      <c r="AP8" s="138"/>
      <c r="AQ8" s="138"/>
      <c r="AR8" s="138">
        <v>780000</v>
      </c>
      <c r="AS8" s="138"/>
      <c r="AT8" s="138"/>
      <c r="AU8" s="138"/>
      <c r="AV8" s="142" t="e">
        <f>Y8+Z8+AA8+AB8+AC8+AD8+AE8+AF8+AG8+AI8+AJ8+AK8+AL8+AM8+AN8+AO8+AP8-AQ8+AR8+AS8+AT8+AU8</f>
        <v>#REF!</v>
      </c>
      <c r="AW8" s="142"/>
      <c r="AX8" s="142">
        <f>IF(E8="CT","x",0)</f>
        <v>0</v>
      </c>
      <c r="AY8" s="143">
        <f t="shared" ref="AY8:BA10" si="6">ROUND(IF($AX8="x",($G8+$H8)*AY$4,0),0)</f>
        <v>0</v>
      </c>
      <c r="AZ8" s="143">
        <f t="shared" si="6"/>
        <v>0</v>
      </c>
      <c r="BA8" s="143">
        <f t="shared" si="6"/>
        <v>0</v>
      </c>
      <c r="BB8" s="143">
        <f>SUM(AY8:BA8)</f>
        <v>0</v>
      </c>
      <c r="BC8" s="143"/>
      <c r="BD8" s="143"/>
      <c r="BE8" s="143">
        <f>IF(G8*1%&gt;=234000,234000,G8*1%)</f>
        <v>95200</v>
      </c>
      <c r="BF8" s="143" t="e">
        <f>AM8+IF(E8="CT",IF(AR8&gt;=730000,730000,AR8),0)+IF(((AV8-AM8-IF(AR8&gt;=730000,730000,AR8)-AS8)*15%-AS8)&gt;"0",((AV8-AM8-IF(AR8&gt;=730000,730000,AR8)-AS8)*15%-AS8),0)</f>
        <v>#REF!</v>
      </c>
      <c r="BG8" s="143" t="e">
        <f>AV8-BF8+AW8</f>
        <v>#REF!</v>
      </c>
      <c r="BH8" s="143">
        <v>3</v>
      </c>
      <c r="BI8" s="143">
        <v>4400000</v>
      </c>
      <c r="BJ8" s="143">
        <f>IF(E8="CT",11000000,0)</f>
        <v>0</v>
      </c>
      <c r="BK8" s="143" t="e">
        <f>BG8-BB8-BC8+BD8-BH8*BI8-BJ8</f>
        <v>#REF!</v>
      </c>
      <c r="BL8" s="130" t="e">
        <f>IF(E8="TV",BK8*10%,IF(BK8&gt;0,ROUND(IF(BK8&gt;=80000000,BK8*35%-9850000,IF(BK8&gt;=52000000,BK8*30%-5850000,IF(BK8&gt;=32000000,BK8*25%-3250000,IF(BK8&gt;=18000000,BK8*20%-1650000,IF(BK8&gt;=10000000,BK8*15%-750000,IF(BK8&gt;5000000,BK8*10%-250000,BK8*5%)))))),0),0))</f>
        <v>#REF!</v>
      </c>
      <c r="BM8" s="143"/>
      <c r="BN8" s="143"/>
      <c r="BO8" s="143">
        <v>0</v>
      </c>
      <c r="BP8" s="143"/>
      <c r="BQ8" s="143"/>
      <c r="BR8" s="143"/>
      <c r="BS8" s="143"/>
      <c r="BT8" s="143">
        <f>SUMIFS('Bảng lương tạm ứng kỳ 1'!BT:BT,'Mô tả Bảng lương CB-NV'!B:B,'Bảng lương tạm ứng kỳ 1'!B12)</f>
        <v>0</v>
      </c>
      <c r="BU8" s="144" t="e">
        <f>AV8-BB8-BC8+BD8-BE8-BL8-BM8-BN8-BO8-BP8-BQ8-BR8+BS8-BT8</f>
        <v>#REF!</v>
      </c>
      <c r="BW8" s="129">
        <v>60000000</v>
      </c>
      <c r="BX8" s="130">
        <v>0</v>
      </c>
      <c r="BY8" s="130"/>
      <c r="BZ8" s="130"/>
      <c r="CA8" s="130">
        <v>0</v>
      </c>
      <c r="CB8" s="130">
        <f>SUM(BW8:CA8)</f>
        <v>60000000</v>
      </c>
      <c r="CC8" s="130" t="s">
        <v>118</v>
      </c>
      <c r="CD8" s="130"/>
      <c r="CE8" s="145"/>
      <c r="CF8" s="146"/>
      <c r="CG8" s="146"/>
      <c r="CH8" s="147"/>
      <c r="CI8" s="148"/>
    </row>
    <row r="9" spans="1:87" s="149" customFormat="1" ht="11">
      <c r="A9" s="132">
        <f>IF(B9=0,"",COUNTA($B$8:(B9)))</f>
        <v>2</v>
      </c>
      <c r="B9" s="133">
        <v>3562789</v>
      </c>
      <c r="C9" s="134" t="s">
        <v>119</v>
      </c>
      <c r="D9" s="135" t="s">
        <v>117</v>
      </c>
      <c r="E9" s="136" t="s">
        <v>95</v>
      </c>
      <c r="F9" s="137" t="s">
        <v>96</v>
      </c>
      <c r="G9" s="138">
        <v>6990000</v>
      </c>
      <c r="H9" s="138">
        <f>+IF(OR(CC9="ĐT PCCC",CC9="ĐP PCCC"),780000,IF(CC9="AT-VSV",300000,0))</f>
        <v>0</v>
      </c>
      <c r="I9" s="138">
        <f>CB9-BZ9-G9-H9</f>
        <v>17160000</v>
      </c>
      <c r="J9" s="139">
        <v>1</v>
      </c>
      <c r="K9" s="140">
        <v>27</v>
      </c>
      <c r="L9" s="140"/>
      <c r="M9" s="140">
        <v>0</v>
      </c>
      <c r="N9" s="140"/>
      <c r="O9" s="140"/>
      <c r="P9" s="140"/>
      <c r="Q9" s="140"/>
      <c r="R9" s="140">
        <v>0</v>
      </c>
      <c r="S9" s="140">
        <v>0</v>
      </c>
      <c r="T9" s="141"/>
      <c r="U9" s="140">
        <v>0</v>
      </c>
      <c r="V9" s="140">
        <v>0</v>
      </c>
      <c r="W9" s="140">
        <v>0</v>
      </c>
      <c r="X9" s="140">
        <v>0</v>
      </c>
      <c r="Y9" s="138">
        <f>G9*(K9+L9)/26</f>
        <v>7258846.153846154</v>
      </c>
      <c r="Z9" s="138">
        <f>M9*G9/26</f>
        <v>0</v>
      </c>
      <c r="AA9" s="138">
        <f>G9*N9/26</f>
        <v>0</v>
      </c>
      <c r="AB9" s="138">
        <f>G9*O9/26</f>
        <v>0</v>
      </c>
      <c r="AC9" s="138">
        <f>G9*P9*150%/26</f>
        <v>0</v>
      </c>
      <c r="AD9" s="138">
        <f>G9*Q9/26*200%</f>
        <v>0</v>
      </c>
      <c r="AE9" s="138">
        <f>G9*R9/26*300%</f>
        <v>0</v>
      </c>
      <c r="AF9" s="138">
        <f>ROUND((G9+H9)/26*S9*30%,0)</f>
        <v>0</v>
      </c>
      <c r="AG9" s="138">
        <f>T9*G9/26/8</f>
        <v>0</v>
      </c>
      <c r="AH9" s="138">
        <f>CB9/26*U9</f>
        <v>0</v>
      </c>
      <c r="AI9" s="138">
        <f>G9*V9/26</f>
        <v>0</v>
      </c>
      <c r="AJ9" s="138"/>
      <c r="AK9" s="138">
        <f>BZ9*L9/26</f>
        <v>0</v>
      </c>
      <c r="AL9" s="138"/>
      <c r="AM9" s="138">
        <f>X9*CD9</f>
        <v>0</v>
      </c>
      <c r="AN9" s="138">
        <f>H9/26*K9</f>
        <v>0</v>
      </c>
      <c r="AO9" s="138" t="e">
        <f>IF(F9="LN",I9*(K9+L9)/26+(H9+I9)*50%*M9/26+MAX($G9*P9/26*150%,P9*$BW9/26)-AC9+MAX($G9*Q9/26*200%,Q9*$BW9/26)-AD9+MAX($G9*R9/26*300%,R9*$BW9/26)-AE9+BW9*S9/26-AF9+AH9-AG9,I9-I9*(#REF!-K9-L9)/26+(H9+I9)*50%*M9/26+BW9*O9/26-AB9+MAX($G9*P9/26*150%,P9*$BW9/26)-AC9+MAX($G9*Q9/26*200%,Q9*$BW9/26)-AD9+MAX($G9*R9/26*300%,R9*$BW9/26)-AE9+BW9*S9/26-AF9+AH9-AG9+(G9-G9*(#REF!-K9-L9)/26-Y9)+(H9-H9*(#REF!-K9-L9)/26-AN9))</f>
        <v>#REF!</v>
      </c>
      <c r="AP9" s="138"/>
      <c r="AQ9" s="138"/>
      <c r="AR9" s="138">
        <v>780000</v>
      </c>
      <c r="AS9" s="138"/>
      <c r="AT9" s="138"/>
      <c r="AU9" s="138"/>
      <c r="AV9" s="142" t="e">
        <f>Y9+Z9+AA9+AB9+AC9+AD9+AE9+AF9+AG9+AI9+AJ9+AK9+AL9+AM9+AN9+AO9+AP9-AQ9+AR9+AS9+AT9+AU9</f>
        <v>#REF!</v>
      </c>
      <c r="AW9" s="142"/>
      <c r="AX9" s="142" t="str">
        <f>IF(E9="CT","x",0)</f>
        <v>x</v>
      </c>
      <c r="AY9" s="143">
        <f t="shared" si="6"/>
        <v>559200</v>
      </c>
      <c r="AZ9" s="143">
        <f t="shared" si="6"/>
        <v>104850</v>
      </c>
      <c r="BA9" s="143">
        <f t="shared" si="6"/>
        <v>69900</v>
      </c>
      <c r="BB9" s="143">
        <f>SUM(AY9:BA9)</f>
        <v>733950</v>
      </c>
      <c r="BC9" s="143"/>
      <c r="BD9" s="143"/>
      <c r="BE9" s="143">
        <f>IF(G9*1%&gt;=234000,234000,G9*1%)</f>
        <v>69900</v>
      </c>
      <c r="BF9" s="143" t="e">
        <f>AM9+IF(E9="CT",IF(AR9&gt;=730000,730000,AR9),0)+IF(((AV9-AM9-IF(AR9&gt;=730000,730000,AR9)-AS9)*15%-AS9)&gt;"0",((AV9-AM9-IF(AR9&gt;=730000,730000,AR9)-AS9)*15%-AS9),0)</f>
        <v>#REF!</v>
      </c>
      <c r="BG9" s="143" t="e">
        <f>AV9-BF9+AW9</f>
        <v>#REF!</v>
      </c>
      <c r="BH9" s="143"/>
      <c r="BI9" s="143">
        <v>4400000</v>
      </c>
      <c r="BJ9" s="143">
        <f>IF(E9="CT",11000000,0)</f>
        <v>11000000</v>
      </c>
      <c r="BK9" s="143" t="e">
        <f>BG9-BB9-BC9+BD9-BH9*BI9-BJ9</f>
        <v>#REF!</v>
      </c>
      <c r="BL9" s="130" t="e">
        <f>IF(E9="TV",BK9*10%,IF(BK9&gt;0,ROUND(IF(BK9&gt;=80000000,BK9*35%-9850000,IF(BK9&gt;=52000000,BK9*30%-5850000,IF(BK9&gt;=32000000,BK9*25%-3250000,IF(BK9&gt;=18000000,BK9*20%-1650000,IF(BK9&gt;=10000000,BK9*15%-750000,IF(BK9&gt;5000000,BK9*10%-250000,BK9*5%)))))),0),0))</f>
        <v>#REF!</v>
      </c>
      <c r="BM9" s="143"/>
      <c r="BN9" s="143"/>
      <c r="BO9" s="143">
        <v>0</v>
      </c>
      <c r="BP9" s="143"/>
      <c r="BQ9" s="143"/>
      <c r="BR9" s="143"/>
      <c r="BS9" s="143"/>
      <c r="BT9" s="143">
        <f>SUMIFS('Bảng lương tạm ứng kỳ 1'!BT:BT,'Mô tả Bảng lương CB-NV'!B:B,'Bảng lương tạm ứng kỳ 1'!B17)</f>
        <v>0</v>
      </c>
      <c r="BU9" s="144" t="e">
        <f>AV9-BB9-BC9+BD9-BE9-BL9-BM9-BN9-BO9-BP9-BQ9-BR9+BS9-BT9</f>
        <v>#REF!</v>
      </c>
      <c r="BW9" s="129">
        <v>23000000</v>
      </c>
      <c r="BX9" s="130">
        <v>0</v>
      </c>
      <c r="BY9" s="130">
        <v>0</v>
      </c>
      <c r="BZ9" s="130"/>
      <c r="CA9" s="130">
        <f>+BW9*5%</f>
        <v>1150000</v>
      </c>
      <c r="CB9" s="130">
        <f>SUM(BW9:CA9)</f>
        <v>24150000</v>
      </c>
      <c r="CC9" s="130" t="s">
        <v>110</v>
      </c>
      <c r="CD9" s="130"/>
      <c r="CE9" s="145"/>
      <c r="CF9" s="146"/>
      <c r="CG9" s="146"/>
      <c r="CH9" s="147"/>
      <c r="CI9" s="148"/>
    </row>
    <row r="10" spans="1:87" s="149" customFormat="1" ht="11">
      <c r="A10" s="132">
        <f>IF(B10=0,"",COUNTA($B$8:(B10)))</f>
        <v>3</v>
      </c>
      <c r="B10" s="150" t="s">
        <v>120</v>
      </c>
      <c r="C10" s="134" t="s">
        <v>121</v>
      </c>
      <c r="D10" s="135" t="s">
        <v>117</v>
      </c>
      <c r="E10" s="136" t="s">
        <v>95</v>
      </c>
      <c r="F10" s="137" t="s">
        <v>96</v>
      </c>
      <c r="G10" s="138">
        <v>6990000</v>
      </c>
      <c r="H10" s="138">
        <f>+IF(OR(CC10="ĐT PCCC",CC10="ĐP PCCC"),780000,IF(CC10="AT-VSV",300000,0))</f>
        <v>300000</v>
      </c>
      <c r="I10" s="138">
        <f>CB10-BZ10-G10-H10</f>
        <v>10560000</v>
      </c>
      <c r="J10" s="139">
        <v>1</v>
      </c>
      <c r="K10" s="140">
        <v>27</v>
      </c>
      <c r="L10" s="140"/>
      <c r="M10" s="140"/>
      <c r="N10" s="140"/>
      <c r="O10" s="140"/>
      <c r="P10" s="140"/>
      <c r="Q10" s="140"/>
      <c r="R10" s="140">
        <v>0</v>
      </c>
      <c r="S10" s="140">
        <v>0</v>
      </c>
      <c r="T10" s="141"/>
      <c r="U10" s="140">
        <v>0</v>
      </c>
      <c r="V10" s="140">
        <v>0</v>
      </c>
      <c r="W10" s="140">
        <v>0</v>
      </c>
      <c r="X10" s="140">
        <v>0</v>
      </c>
      <c r="Y10" s="138">
        <f>G10*(K10+L10)/26</f>
        <v>7258846.153846154</v>
      </c>
      <c r="Z10" s="138">
        <f>M10*G10/26</f>
        <v>0</v>
      </c>
      <c r="AA10" s="138">
        <f>G10*N10/26</f>
        <v>0</v>
      </c>
      <c r="AB10" s="138">
        <f>G10*O10/26</f>
        <v>0</v>
      </c>
      <c r="AC10" s="138">
        <f>G10*P10*150%/26</f>
        <v>0</v>
      </c>
      <c r="AD10" s="138">
        <f>G10*Q10/26*200%</f>
        <v>0</v>
      </c>
      <c r="AE10" s="138">
        <f>G10*R10/26*300%</f>
        <v>0</v>
      </c>
      <c r="AF10" s="138">
        <f>IF(F10="LN",(G10+H10)/26*S10*30%,0)</f>
        <v>0</v>
      </c>
      <c r="AG10" s="138">
        <f>T10*G10/26/8</f>
        <v>0</v>
      </c>
      <c r="AH10" s="138">
        <f>CB10/26*U10</f>
        <v>0</v>
      </c>
      <c r="AI10" s="138">
        <f>G10*V10/26</f>
        <v>0</v>
      </c>
      <c r="AJ10" s="138"/>
      <c r="AK10" s="138">
        <f>BZ10*L10/26</f>
        <v>0</v>
      </c>
      <c r="AL10" s="138"/>
      <c r="AM10" s="138">
        <f>X10*CD10</f>
        <v>0</v>
      </c>
      <c r="AN10" s="138"/>
      <c r="AO10" s="138" t="e">
        <f>IF(F10="LN",I10*(K10+L10)/26+(H10+I10)*50%*M10/26+MAX($G10*P10/26*150%,P10*$BW10/26)-AC10+MAX($G10*Q10/26*200%,Q10*$BW10/26)-AD10+MAX($G10*R10/26*300%,R10*$BW10/26)-AE10+BW10*S10/26-AF10+AH10-AG10,I10-I10*(#REF!-K10-L10)/26+(H10+I10)*50%*M10/26+BW10*O10/26-AB10+MAX($G10*P10/26*150%,P10*$BW10/26)-AC10+MAX($G10*Q10/26*200%,Q10*$BW10/26)-AD10+MAX($G10*R10/26*300%,R10*$BW10/26)-AE10+BW10*S10/26-AF10+AH10-AG10+(G10-G10*(#REF!-K10-L10)/26-Y10)+(H10-H10*(#REF!-K10-L10)/26-AN10))</f>
        <v>#REF!</v>
      </c>
      <c r="AP10" s="138"/>
      <c r="AQ10" s="138"/>
      <c r="AR10" s="138"/>
      <c r="AS10" s="138"/>
      <c r="AT10" s="138"/>
      <c r="AU10" s="138"/>
      <c r="AV10" s="142" t="e">
        <f>Y10+Z10+AA10+AB10+AC10+AD10+AE10+AF10+AG10+AI10+AJ10+AK10+AL10+AM10+AN10+AO10+AP10-AQ10+AR10+AS10+AT10+AU10</f>
        <v>#REF!</v>
      </c>
      <c r="AW10" s="142"/>
      <c r="AX10" s="142" t="str">
        <f>IF(E10="CT","x",0)</f>
        <v>x</v>
      </c>
      <c r="AY10" s="143">
        <f t="shared" si="6"/>
        <v>583200</v>
      </c>
      <c r="AZ10" s="143">
        <f t="shared" si="6"/>
        <v>109350</v>
      </c>
      <c r="BA10" s="143">
        <f t="shared" si="6"/>
        <v>72900</v>
      </c>
      <c r="BB10" s="143">
        <f>SUM(AY10:BA10)</f>
        <v>765450</v>
      </c>
      <c r="BC10" s="143"/>
      <c r="BD10" s="143"/>
      <c r="BE10" s="143">
        <f>IF(G10*1%&gt;=234000,234000,G10*1%)</f>
        <v>69900</v>
      </c>
      <c r="BF10" s="143" t="e">
        <f>AM10+IF(E10="CT",IF(AR10&gt;=730000,730000,AR10),0)+IF(((AV10-AM10-IF(AR10&gt;=730000,730000,AR10)-AS10)*15%-AS10)&gt;"0",((AV10-AM10-IF(AR10&gt;=730000,730000,AR10)-AS10)*15%-AS10),0)</f>
        <v>#REF!</v>
      </c>
      <c r="BG10" s="143" t="e">
        <f>AV10-BF10+AW10</f>
        <v>#REF!</v>
      </c>
      <c r="BH10" s="143"/>
      <c r="BI10" s="143">
        <v>4400000</v>
      </c>
      <c r="BJ10" s="143">
        <f>IF(E10="CT",11000000,0)</f>
        <v>11000000</v>
      </c>
      <c r="BK10" s="143" t="e">
        <f>BG10-BB10-BC10+BD10-BH10*BI10-BJ10</f>
        <v>#REF!</v>
      </c>
      <c r="BL10" s="130" t="e">
        <f>IF(E10="TV",BK10*10%,IF(BK10&gt;0,ROUND(IF(BK10&gt;=80000000,BK10*35%-9850000,IF(BK10&gt;=52000000,BK10*30%-5850000,IF(BK10&gt;=32000000,BK10*25%-3250000,IF(BK10&gt;=18000000,BK10*20%-1650000,IF(BK10&gt;=10000000,BK10*15%-750000,IF(BK10&gt;5000000,BK10*10%-250000,BK10*5%)))))),0),0))</f>
        <v>#REF!</v>
      </c>
      <c r="BM10" s="143"/>
      <c r="BN10" s="143"/>
      <c r="BO10" s="143">
        <v>0</v>
      </c>
      <c r="BP10" s="143"/>
      <c r="BQ10" s="143"/>
      <c r="BR10" s="143"/>
      <c r="BS10" s="143"/>
      <c r="BT10" s="143">
        <f>SUMIFS('Bảng lương tạm ứng kỳ 1'!BT:BT,'Mô tả Bảng lương CB-NV'!B:B,'Bảng lương tạm ứng kỳ 1'!B18)</f>
        <v>0</v>
      </c>
      <c r="BU10" s="144" t="e">
        <f>AV10-BB10-BC10+BD10-BE10-BL10-BM10-BN10-BO10-BP10-BQ10-BR10+BS10-BT10</f>
        <v>#REF!</v>
      </c>
      <c r="BW10" s="129">
        <v>17000000</v>
      </c>
      <c r="BX10" s="130">
        <v>0</v>
      </c>
      <c r="BY10" s="130">
        <v>0</v>
      </c>
      <c r="BZ10" s="130"/>
      <c r="CA10" s="130">
        <f>+BW10*5%</f>
        <v>850000</v>
      </c>
      <c r="CB10" s="130">
        <f>SUM(BW10:CA10)</f>
        <v>17850000</v>
      </c>
      <c r="CC10" s="130" t="s">
        <v>114</v>
      </c>
      <c r="CD10" s="130"/>
      <c r="CE10" s="145"/>
      <c r="CF10" s="146"/>
      <c r="CG10" s="146"/>
      <c r="CH10" s="147"/>
      <c r="CI10" s="148"/>
    </row>
    <row r="13" spans="1:87" s="163" customFormat="1" ht="31.5" customHeight="1">
      <c r="A13" s="162" t="str">
        <f>A1&amp;A2&amp;A3&amp;A4</f>
        <v>TT</v>
      </c>
      <c r="B13" s="162" t="str">
        <f>B1&amp;B2&amp;B3&amp;B4</f>
        <v>MSNV</v>
      </c>
      <c r="C13" s="162" t="s">
        <v>2</v>
      </c>
      <c r="D13" s="162" t="s">
        <v>3</v>
      </c>
      <c r="E13" s="162" t="s">
        <v>4</v>
      </c>
      <c r="F13" s="162" t="s">
        <v>5</v>
      </c>
      <c r="G13" s="162" t="s">
        <v>6</v>
      </c>
      <c r="H13" s="210" t="s">
        <v>7</v>
      </c>
      <c r="I13" s="162" t="s">
        <v>8</v>
      </c>
      <c r="J13" s="162" t="s">
        <v>9</v>
      </c>
      <c r="K13" s="212"/>
      <c r="L13" s="162" t="s">
        <v>31</v>
      </c>
      <c r="M13" s="162" t="s">
        <v>32</v>
      </c>
      <c r="N13" s="162" t="s">
        <v>33</v>
      </c>
      <c r="O13" s="162" t="s">
        <v>34</v>
      </c>
      <c r="P13" s="162" t="s">
        <v>35</v>
      </c>
      <c r="Q13" s="162" t="s">
        <v>36</v>
      </c>
      <c r="R13" s="162" t="s">
        <v>37</v>
      </c>
      <c r="S13" s="162" t="s">
        <v>38</v>
      </c>
      <c r="T13" s="162" t="s">
        <v>39</v>
      </c>
      <c r="U13" s="162" t="s">
        <v>40</v>
      </c>
      <c r="V13" s="162"/>
      <c r="W13" s="162" t="s">
        <v>83</v>
      </c>
      <c r="X13" s="162" t="s">
        <v>42</v>
      </c>
      <c r="Y13" s="210" t="str">
        <f>Y2</f>
        <v>Lương
Ngày thường</v>
      </c>
      <c r="Z13" s="210" t="s">
        <v>44</v>
      </c>
      <c r="AA13" s="210" t="s">
        <v>45</v>
      </c>
      <c r="AB13" s="210" t="s">
        <v>46</v>
      </c>
      <c r="AC13" s="210" t="s">
        <v>47</v>
      </c>
      <c r="AD13" s="210" t="s">
        <v>48</v>
      </c>
      <c r="AE13" s="210" t="s">
        <v>49</v>
      </c>
      <c r="AF13" s="210" t="s">
        <v>50</v>
      </c>
      <c r="AG13" s="210" t="s">
        <v>51</v>
      </c>
      <c r="AH13" s="210" t="s">
        <v>52</v>
      </c>
      <c r="AI13" s="210" t="s">
        <v>53</v>
      </c>
      <c r="AJ13" s="210" t="s">
        <v>54</v>
      </c>
      <c r="AK13" s="210" t="s">
        <v>55</v>
      </c>
      <c r="AL13" s="210" t="s">
        <v>56</v>
      </c>
      <c r="AM13" s="210" t="s">
        <v>57</v>
      </c>
      <c r="AN13" s="210" t="s">
        <v>58</v>
      </c>
      <c r="AO13" s="210" t="s">
        <v>59</v>
      </c>
      <c r="AP13" s="162" t="s">
        <v>12</v>
      </c>
      <c r="AQ13" s="162" t="s">
        <v>13</v>
      </c>
      <c r="AR13" s="162" t="s">
        <v>14</v>
      </c>
      <c r="AS13" s="162" t="s">
        <v>15</v>
      </c>
      <c r="AT13" s="162" t="s">
        <v>16</v>
      </c>
      <c r="AU13" s="162" t="s">
        <v>17</v>
      </c>
      <c r="AV13" s="162" t="s">
        <v>18</v>
      </c>
      <c r="AW13" s="162" t="s">
        <v>19</v>
      </c>
      <c r="AX13" s="162" t="str">
        <f>AX1</f>
        <v>Tham gia BHXH</v>
      </c>
      <c r="AY13" s="210" t="str">
        <f>AY3</f>
        <v>BHXH</v>
      </c>
      <c r="AZ13" s="210" t="str">
        <f>AZ3</f>
        <v>BHYT</v>
      </c>
      <c r="BA13" s="210" t="str">
        <f>BA3</f>
        <v>BHTN</v>
      </c>
      <c r="BB13" s="210" t="s">
        <v>66</v>
      </c>
      <c r="BC13" s="210" t="str">
        <f>BC3</f>
        <v>Truy thu BHXH</v>
      </c>
      <c r="BD13" s="210" t="s">
        <v>68</v>
      </c>
      <c r="BE13" s="210" t="str">
        <f>BE3</f>
        <v>Phí 
công đoàn</v>
      </c>
      <c r="BF13" s="210" t="s">
        <v>70</v>
      </c>
      <c r="BG13" s="210" t="s">
        <v>71</v>
      </c>
      <c r="BH13" s="210" t="str">
        <f>BH3</f>
        <v>NPT</v>
      </c>
      <c r="BI13" s="210" t="s">
        <v>73</v>
      </c>
      <c r="BJ13" s="210" t="s">
        <v>74</v>
      </c>
      <c r="BK13" s="210" t="str">
        <f>BK3</f>
        <v>TNTT</v>
      </c>
      <c r="BL13" s="210" t="s">
        <v>76</v>
      </c>
      <c r="BM13" s="210" t="s">
        <v>77</v>
      </c>
      <c r="BN13" s="210" t="s">
        <v>78</v>
      </c>
      <c r="BO13" s="210" t="s">
        <v>79</v>
      </c>
      <c r="BP13" s="210" t="s">
        <v>80</v>
      </c>
      <c r="BQ13" s="210" t="str">
        <f>BQ3</f>
        <v>…..............</v>
      </c>
      <c r="BR13" s="210" t="str">
        <f>BR2</f>
        <v>Truy thu theo QTT</v>
      </c>
      <c r="BS13" s="210" t="s">
        <v>62</v>
      </c>
      <c r="BT13" s="162" t="s">
        <v>23</v>
      </c>
      <c r="BU13" s="162" t="s">
        <v>24</v>
      </c>
      <c r="BW13" s="162" t="s">
        <v>25</v>
      </c>
      <c r="BX13" s="211" t="s">
        <v>87</v>
      </c>
      <c r="BY13" s="211" t="s">
        <v>88</v>
      </c>
      <c r="BZ13" s="211" t="s">
        <v>89</v>
      </c>
      <c r="CA13" s="211" t="s">
        <v>90</v>
      </c>
      <c r="CB13" s="162" t="s">
        <v>27</v>
      </c>
      <c r="CC13" s="162" t="s">
        <v>28</v>
      </c>
      <c r="CD13" s="162" t="s">
        <v>29</v>
      </c>
    </row>
    <row r="14" spans="1:87" s="165" customFormat="1" ht="11">
      <c r="A14" s="164" t="str">
        <f t="shared" ref="A14:AF14" si="7">SUBSTITUTE(ADDRESS(1,COLUMN(),4),1,"")</f>
        <v>A</v>
      </c>
      <c r="B14" s="164" t="str">
        <f t="shared" si="7"/>
        <v>B</v>
      </c>
      <c r="C14" s="164" t="str">
        <f t="shared" si="7"/>
        <v>C</v>
      </c>
      <c r="D14" s="164" t="str">
        <f t="shared" si="7"/>
        <v>D</v>
      </c>
      <c r="E14" s="164" t="str">
        <f t="shared" si="7"/>
        <v>E</v>
      </c>
      <c r="F14" s="164" t="str">
        <f t="shared" si="7"/>
        <v>F</v>
      </c>
      <c r="G14" s="164" t="str">
        <f t="shared" si="7"/>
        <v>G</v>
      </c>
      <c r="H14" s="164" t="str">
        <f t="shared" si="7"/>
        <v>H</v>
      </c>
      <c r="I14" s="164" t="str">
        <f t="shared" si="7"/>
        <v>I</v>
      </c>
      <c r="J14" s="164" t="str">
        <f t="shared" si="7"/>
        <v>J</v>
      </c>
      <c r="K14" s="164" t="str">
        <f t="shared" si="7"/>
        <v>K</v>
      </c>
      <c r="L14" s="164" t="str">
        <f t="shared" si="7"/>
        <v>L</v>
      </c>
      <c r="M14" s="164" t="str">
        <f t="shared" si="7"/>
        <v>M</v>
      </c>
      <c r="N14" s="164" t="str">
        <f t="shared" si="7"/>
        <v>N</v>
      </c>
      <c r="O14" s="164" t="str">
        <f t="shared" si="7"/>
        <v>O</v>
      </c>
      <c r="P14" s="164" t="str">
        <f t="shared" si="7"/>
        <v>P</v>
      </c>
      <c r="Q14" s="164" t="str">
        <f t="shared" si="7"/>
        <v>Q</v>
      </c>
      <c r="R14" s="164" t="str">
        <f t="shared" si="7"/>
        <v>R</v>
      </c>
      <c r="S14" s="164" t="str">
        <f t="shared" si="7"/>
        <v>S</v>
      </c>
      <c r="T14" s="164" t="str">
        <f t="shared" si="7"/>
        <v>T</v>
      </c>
      <c r="U14" s="164" t="str">
        <f t="shared" si="7"/>
        <v>U</v>
      </c>
      <c r="V14" s="164" t="str">
        <f t="shared" si="7"/>
        <v>V</v>
      </c>
      <c r="W14" s="164" t="str">
        <f t="shared" si="7"/>
        <v>W</v>
      </c>
      <c r="X14" s="164" t="str">
        <f t="shared" si="7"/>
        <v>X</v>
      </c>
      <c r="Y14" s="164" t="str">
        <f t="shared" si="7"/>
        <v>Y</v>
      </c>
      <c r="Z14" s="164" t="str">
        <f t="shared" si="7"/>
        <v>Z</v>
      </c>
      <c r="AA14" s="164" t="str">
        <f t="shared" si="7"/>
        <v>AA</v>
      </c>
      <c r="AB14" s="164" t="str">
        <f t="shared" si="7"/>
        <v>AB</v>
      </c>
      <c r="AC14" s="164" t="str">
        <f t="shared" si="7"/>
        <v>AC</v>
      </c>
      <c r="AD14" s="164" t="str">
        <f t="shared" si="7"/>
        <v>AD</v>
      </c>
      <c r="AE14" s="164" t="str">
        <f t="shared" si="7"/>
        <v>AE</v>
      </c>
      <c r="AF14" s="164" t="str">
        <f t="shared" si="7"/>
        <v>AF</v>
      </c>
      <c r="AG14" s="164" t="str">
        <f t="shared" ref="AG14:BL14" si="8">SUBSTITUTE(ADDRESS(1,COLUMN(),4),1,"")</f>
        <v>AG</v>
      </c>
      <c r="AH14" s="164" t="str">
        <f t="shared" si="8"/>
        <v>AH</v>
      </c>
      <c r="AI14" s="164" t="str">
        <f t="shared" si="8"/>
        <v>AI</v>
      </c>
      <c r="AJ14" s="164" t="str">
        <f t="shared" si="8"/>
        <v>AJ</v>
      </c>
      <c r="AK14" s="164" t="str">
        <f t="shared" si="8"/>
        <v>AK</v>
      </c>
      <c r="AL14" s="164" t="str">
        <f t="shared" si="8"/>
        <v>AL</v>
      </c>
      <c r="AM14" s="164" t="str">
        <f t="shared" si="8"/>
        <v>AM</v>
      </c>
      <c r="AN14" s="164" t="str">
        <f t="shared" si="8"/>
        <v>AN</v>
      </c>
      <c r="AO14" s="164" t="str">
        <f t="shared" si="8"/>
        <v>AO</v>
      </c>
      <c r="AP14" s="164" t="str">
        <f t="shared" si="8"/>
        <v>AP</v>
      </c>
      <c r="AQ14" s="164" t="str">
        <f t="shared" si="8"/>
        <v>AQ</v>
      </c>
      <c r="AR14" s="164" t="str">
        <f t="shared" si="8"/>
        <v>AR</v>
      </c>
      <c r="AS14" s="164" t="str">
        <f t="shared" si="8"/>
        <v>AS</v>
      </c>
      <c r="AT14" s="164" t="str">
        <f t="shared" si="8"/>
        <v>AT</v>
      </c>
      <c r="AU14" s="164" t="str">
        <f t="shared" si="8"/>
        <v>AU</v>
      </c>
      <c r="AV14" s="164" t="str">
        <f t="shared" si="8"/>
        <v>AV</v>
      </c>
      <c r="AW14" s="164" t="str">
        <f t="shared" si="8"/>
        <v>AW</v>
      </c>
      <c r="AX14" s="164" t="str">
        <f t="shared" si="8"/>
        <v>AX</v>
      </c>
      <c r="AY14" s="164" t="str">
        <f t="shared" si="8"/>
        <v>AY</v>
      </c>
      <c r="AZ14" s="164" t="str">
        <f t="shared" si="8"/>
        <v>AZ</v>
      </c>
      <c r="BA14" s="164" t="str">
        <f t="shared" si="8"/>
        <v>BA</v>
      </c>
      <c r="BB14" s="164" t="str">
        <f t="shared" si="8"/>
        <v>BB</v>
      </c>
      <c r="BC14" s="164" t="str">
        <f t="shared" si="8"/>
        <v>BC</v>
      </c>
      <c r="BD14" s="164" t="str">
        <f t="shared" si="8"/>
        <v>BD</v>
      </c>
      <c r="BE14" s="164" t="str">
        <f t="shared" si="8"/>
        <v>BE</v>
      </c>
      <c r="BF14" s="164" t="str">
        <f t="shared" si="8"/>
        <v>BF</v>
      </c>
      <c r="BG14" s="164" t="str">
        <f t="shared" si="8"/>
        <v>BG</v>
      </c>
      <c r="BH14" s="164" t="str">
        <f t="shared" si="8"/>
        <v>BH</v>
      </c>
      <c r="BI14" s="164" t="str">
        <f t="shared" si="8"/>
        <v>BI</v>
      </c>
      <c r="BJ14" s="164" t="str">
        <f t="shared" si="8"/>
        <v>BJ</v>
      </c>
      <c r="BK14" s="164" t="str">
        <f t="shared" si="8"/>
        <v>BK</v>
      </c>
      <c r="BL14" s="164" t="str">
        <f t="shared" si="8"/>
        <v>BL</v>
      </c>
      <c r="BM14" s="164" t="str">
        <f t="shared" ref="BM14:BU14" si="9">SUBSTITUTE(ADDRESS(1,COLUMN(),4),1,"")</f>
        <v>BM</v>
      </c>
      <c r="BN14" s="164" t="str">
        <f t="shared" si="9"/>
        <v>BN</v>
      </c>
      <c r="BO14" s="164" t="str">
        <f t="shared" si="9"/>
        <v>BO</v>
      </c>
      <c r="BP14" s="164" t="str">
        <f t="shared" si="9"/>
        <v>BP</v>
      </c>
      <c r="BQ14" s="164" t="str">
        <f t="shared" si="9"/>
        <v>BQ</v>
      </c>
      <c r="BR14" s="164" t="str">
        <f t="shared" si="9"/>
        <v>BR</v>
      </c>
      <c r="BS14" s="164" t="str">
        <f t="shared" si="9"/>
        <v>BS</v>
      </c>
      <c r="BT14" s="164" t="str">
        <f t="shared" si="9"/>
        <v>BT</v>
      </c>
      <c r="BU14" s="164" t="str">
        <f t="shared" si="9"/>
        <v>BU</v>
      </c>
      <c r="BW14" s="164" t="str">
        <f t="shared" ref="BW14:CD14" si="10">SUBSTITUTE(ADDRESS(1,COLUMN(),4),1,"")</f>
        <v>BW</v>
      </c>
      <c r="BX14" s="164" t="str">
        <f t="shared" si="10"/>
        <v>BX</v>
      </c>
      <c r="BY14" s="164" t="str">
        <f t="shared" si="10"/>
        <v>BY</v>
      </c>
      <c r="BZ14" s="164" t="str">
        <f t="shared" si="10"/>
        <v>BZ</v>
      </c>
      <c r="CA14" s="164" t="str">
        <f t="shared" si="10"/>
        <v>CA</v>
      </c>
      <c r="CB14" s="164" t="str">
        <f t="shared" si="10"/>
        <v>CB</v>
      </c>
      <c r="CC14" s="164" t="str">
        <f t="shared" si="10"/>
        <v>CC</v>
      </c>
      <c r="CD14" s="164" t="str">
        <f t="shared" si="10"/>
        <v>CD</v>
      </c>
    </row>
    <row r="15" spans="1:87" s="187" customFormat="1" ht="409.5" customHeight="1">
      <c r="A15" s="178" t="s">
        <v>122</v>
      </c>
      <c r="B15" s="179" t="s">
        <v>123</v>
      </c>
      <c r="C15" s="179" t="s">
        <v>124</v>
      </c>
      <c r="D15" s="180" t="s">
        <v>125</v>
      </c>
      <c r="E15" s="181" t="s">
        <v>126</v>
      </c>
      <c r="F15" s="182" t="s">
        <v>127</v>
      </c>
      <c r="G15" s="181" t="s">
        <v>128</v>
      </c>
      <c r="H15" s="177"/>
      <c r="I15" s="177"/>
      <c r="J15" s="183" t="s">
        <v>129</v>
      </c>
      <c r="K15" s="177" t="s">
        <v>130</v>
      </c>
      <c r="L15" s="177" t="s">
        <v>131</v>
      </c>
      <c r="M15" s="177" t="s">
        <v>132</v>
      </c>
      <c r="N15" s="177" t="s">
        <v>132</v>
      </c>
      <c r="O15" s="177" t="s">
        <v>133</v>
      </c>
      <c r="P15" s="177" t="s">
        <v>134</v>
      </c>
      <c r="Q15" s="177" t="s">
        <v>135</v>
      </c>
      <c r="R15" s="177" t="s">
        <v>136</v>
      </c>
      <c r="S15" s="177" t="s">
        <v>132</v>
      </c>
      <c r="T15" s="184"/>
      <c r="U15" s="177">
        <v>0</v>
      </c>
      <c r="V15" s="177">
        <v>0</v>
      </c>
      <c r="W15" s="177">
        <v>0</v>
      </c>
      <c r="X15" s="177">
        <v>0</v>
      </c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6" t="e">
        <f>"IF(["&amp;F13&amp;"]=""LN"",["&amp;I13&amp;"]*(["&amp;K13&amp;"]+["&amp;L13&amp;"])/26+(["&amp;H13&amp;"]+["&amp;I13&amp;"])*50%*["&amp;M13&amp;"]/26+MAX(["&amp;$G13&amp;"]*["&amp;P13&amp;"]/26*150%,["&amp;P13&amp;"]*["&amp;$BW13&amp;"]/26)-["&amp;AC13&amp;"]+MAX(["&amp;$G13&amp;"]*["&amp;Q13&amp;"]/26*200%,["&amp;Q13&amp;"]*["&amp;$BW13&amp;"]/26)-["&amp;AD13&amp;"]+MAX(["&amp;$G13&amp;"]*["&amp;R13&amp;"]/26*300%,["&amp;R13&amp;"]*["&amp;$BW13&amp;"]/26)-["&amp;AE13&amp;"]+["&amp;BW13&amp;"]*["&amp;S13&amp;"]/26-["&amp;AF13&amp;"]+["&amp;AH13&amp;"]-["&amp;AG13&amp;"],["&amp;I13&amp;"]-["&amp;I13&amp;"]*(["&amp;#REF!&amp;"]-["&amp;K13&amp;"]-["&amp;L13&amp;"])/26+(["&amp;H13&amp;"]+["&amp;I13&amp;"])*50%*["&amp;M13&amp;"]/26+["&amp;BW13&amp;"]*["&amp;O13&amp;"]/26-["&amp;AB13&amp;"]+MAX(["&amp;$G13&amp;"]*["&amp;P13&amp;"]/26*150%,["&amp;P13&amp;"]*["&amp;$BW13&amp;"]/26)-["&amp;AC13&amp;"]+MAX(["&amp;$G13&amp;"]*["&amp;Q13&amp;"]/26*200%,["&amp;Q13&amp;"]*["&amp;$BW13&amp;"]/26)-["&amp;AD13&amp;"]+MAX(["&amp;$G13&amp;"]*["&amp;R13&amp;"]/26*300%,["&amp;R13&amp;"]*["&amp;$BW13&amp;"]/26)-["&amp;AE13&amp;"]+["&amp;BW13&amp;"]*["&amp;S13&amp;"]/26-["&amp;AF13&amp;"]+["&amp;AH13&amp;"]-["&amp;AG13&amp;"]+(["&amp;G13&amp;"]-["&amp;G13&amp;"]*(["&amp;#REF!&amp;"]-["&amp;K13&amp;"]-["&amp;L13&amp;"])/26-["&amp;Y13&amp;"])+(["&amp;H13&amp;"]-["&amp;H13&amp;"]*(["&amp;#REF!&amp;"]-["&amp;K13&amp;"]-["&amp;L13&amp;"])/26-["&amp;AN13&amp;"]))"</f>
        <v>#REF!</v>
      </c>
      <c r="AP15" s="177"/>
      <c r="AQ15" s="177"/>
      <c r="AR15" s="177">
        <v>780000</v>
      </c>
      <c r="AS15" s="177"/>
      <c r="AT15" s="177"/>
      <c r="AU15" s="177"/>
      <c r="AV15" s="185" t="str">
        <f>"["&amp;Y13&amp;"]+["&amp;Z13&amp;"]+["&amp;AA13&amp;"]+["&amp;AB13&amp;"]+["&amp;AC13&amp;"]+["&amp;AD13&amp;"]+["&amp;AE13&amp;"]+["&amp;AF13&amp;"]+["&amp;AG13&amp;"]+["&amp;AI13&amp;"]+["&amp;AJ13&amp;"]+["&amp;AK13&amp;"]+["&amp;AL13&amp;"]+["&amp;AM13&amp;"]+["&amp;AN13&amp;"]+["&amp;AO13&amp;"]+["&amp;AP13&amp;"]-["&amp;AQ13&amp;"]+["&amp;AR13&amp;"]+["&amp;AS13&amp;"]+["&amp;AT13&amp;"]+["&amp;AU13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5" s="185"/>
      <c r="AX15" s="185"/>
      <c r="AY15" s="177"/>
      <c r="AZ15" s="177"/>
      <c r="BA15" s="177"/>
      <c r="BB15" s="177" t="str">
        <f>"["&amp;AY13&amp;"]+["&amp;AZ13&amp;"]+["&amp;BA13&amp;"]"</f>
        <v>[BHXH]+[BHYT]+[BHTN]</v>
      </c>
      <c r="BC15" s="177"/>
      <c r="BD15" s="177"/>
      <c r="BE15" s="177"/>
      <c r="BF15" s="177"/>
      <c r="BG15" s="177"/>
      <c r="BH15" s="177">
        <v>3</v>
      </c>
      <c r="BI15" s="177">
        <v>4400000</v>
      </c>
      <c r="BJ15" s="177"/>
      <c r="BK15" s="177"/>
      <c r="BL15" s="177"/>
      <c r="BM15" s="177"/>
      <c r="BN15" s="177"/>
      <c r="BO15" s="177">
        <v>0</v>
      </c>
      <c r="BP15" s="177"/>
      <c r="BQ15" s="177"/>
      <c r="BR15" s="177"/>
      <c r="BS15" s="177"/>
      <c r="BT15" s="189"/>
      <c r="BU15" s="177" t="str">
        <f>"["&amp;AV13&amp;"]-["&amp;BB13&amp;"]-["&amp;BC13&amp;"]+["&amp;BD13&amp;"]-["&amp;BE13&amp;"]-["&amp;BL13&amp;"]-["&amp;BM13&amp;"]-["&amp;BN13&amp;"]-["&amp;BO13&amp;"]-["&amp;BP13&amp;"]-["&amp;BQ13&amp;"]-["&amp;BR13&amp;"]+["&amp;BS13&amp;"]-["&amp;BT13&amp;"]"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5" s="177">
        <v>60000000</v>
      </c>
      <c r="BX15" s="177">
        <v>0</v>
      </c>
      <c r="BY15" s="177"/>
      <c r="BZ15" s="177"/>
      <c r="CA15" s="177">
        <v>0</v>
      </c>
      <c r="CB15" s="177"/>
      <c r="CC15" s="177" t="s">
        <v>118</v>
      </c>
      <c r="CD15" s="177"/>
      <c r="CE15" s="186"/>
      <c r="CF15" s="186"/>
      <c r="CG15" s="186"/>
      <c r="CI15" s="188"/>
    </row>
    <row r="16" spans="1:87" s="175" customFormat="1" ht="11">
      <c r="A16" s="166"/>
      <c r="B16" s="167"/>
      <c r="C16" s="168"/>
      <c r="D16" s="169"/>
      <c r="E16" s="169"/>
      <c r="F16" s="170"/>
      <c r="G16" s="171"/>
      <c r="H16" s="171"/>
      <c r="I16" s="172"/>
      <c r="J16" s="172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1"/>
      <c r="BQ16" s="171"/>
      <c r="BR16" s="171"/>
      <c r="BS16" s="171"/>
      <c r="BT16" s="171"/>
      <c r="BU16" s="171"/>
      <c r="BW16" s="171"/>
      <c r="BX16" s="171"/>
      <c r="BY16" s="171"/>
      <c r="BZ16" s="171"/>
      <c r="CA16" s="171"/>
      <c r="CB16" s="174"/>
      <c r="CC16" s="174"/>
      <c r="CD16" s="174"/>
    </row>
    <row r="17" spans="1:82" s="175" customFormat="1" ht="11">
      <c r="A17" s="166"/>
      <c r="B17" s="167"/>
      <c r="C17" s="168"/>
      <c r="D17" s="169"/>
      <c r="E17" s="169"/>
      <c r="F17" s="170"/>
      <c r="G17" s="171"/>
      <c r="H17" s="171"/>
      <c r="I17" s="172"/>
      <c r="J17" s="172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1"/>
      <c r="BU17" s="171"/>
      <c r="BW17" s="171"/>
      <c r="BX17" s="171"/>
      <c r="BY17" s="171"/>
      <c r="BZ17" s="171"/>
      <c r="CA17" s="171"/>
      <c r="CB17" s="174"/>
      <c r="CC17" s="174"/>
      <c r="CD17" s="174"/>
    </row>
    <row r="18" spans="1:82" s="175" customFormat="1" ht="11">
      <c r="A18" s="166"/>
      <c r="B18" s="167"/>
      <c r="C18" s="168"/>
      <c r="D18" s="169"/>
      <c r="E18" s="169"/>
      <c r="F18" s="170"/>
      <c r="G18" s="171"/>
      <c r="H18" s="171"/>
      <c r="I18" s="172"/>
      <c r="J18" s="172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1"/>
      <c r="BU18" s="171"/>
      <c r="BW18" s="171"/>
      <c r="BX18" s="171"/>
      <c r="BY18" s="171"/>
      <c r="BZ18" s="171"/>
      <c r="CA18" s="171"/>
      <c r="CB18" s="174"/>
      <c r="CC18" s="174"/>
      <c r="CD18" s="174"/>
    </row>
    <row r="19" spans="1:82" s="175" customFormat="1" ht="11">
      <c r="A19" s="166"/>
      <c r="B19" s="167"/>
      <c r="C19" s="168"/>
      <c r="D19" s="169"/>
      <c r="E19" s="169"/>
      <c r="F19" s="170"/>
      <c r="G19" s="171"/>
      <c r="H19" s="171"/>
      <c r="I19" s="172"/>
      <c r="J19" s="172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1"/>
      <c r="BU19" s="171"/>
      <c r="BW19" s="171"/>
      <c r="BX19" s="171"/>
      <c r="BY19" s="171"/>
      <c r="BZ19" s="171"/>
      <c r="CA19" s="171"/>
      <c r="CB19" s="174"/>
      <c r="CC19" s="174"/>
      <c r="CD19" s="174"/>
    </row>
    <row r="20" spans="1:82" s="175" customFormat="1" ht="11">
      <c r="A20" s="166"/>
      <c r="B20" s="167"/>
      <c r="C20" s="168"/>
      <c r="D20" s="169"/>
      <c r="E20" s="169"/>
      <c r="F20" s="170"/>
      <c r="G20" s="171"/>
      <c r="H20" s="171"/>
      <c r="I20" s="172"/>
      <c r="J20" s="172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W20" s="171"/>
      <c r="BX20" s="171"/>
      <c r="BY20" s="171"/>
      <c r="BZ20" s="171"/>
      <c r="CA20" s="171"/>
      <c r="CB20" s="174"/>
      <c r="CC20" s="174"/>
      <c r="CD20" s="174"/>
    </row>
    <row r="22" spans="1:82" ht="28">
      <c r="BN22" s="214" t="s">
        <v>147</v>
      </c>
    </row>
  </sheetData>
  <autoFilter ref="A5:CI10" xr:uid="{00000000-0009-0000-0000-000001000000}"/>
  <mergeCells count="80">
    <mergeCell ref="BS2:BS4"/>
    <mergeCell ref="BM2:BQ2"/>
    <mergeCell ref="AC2:AC4"/>
    <mergeCell ref="BC3:BC4"/>
    <mergeCell ref="AE2:AE4"/>
    <mergeCell ref="BK3:BK4"/>
    <mergeCell ref="BQ3:BQ4"/>
    <mergeCell ref="BN3:BN4"/>
    <mergeCell ref="BP3:BP4"/>
    <mergeCell ref="AM2:AM4"/>
    <mergeCell ref="AP1:AP4"/>
    <mergeCell ref="BO3:BO4"/>
    <mergeCell ref="BB3:BB4"/>
    <mergeCell ref="BD3:BD4"/>
    <mergeCell ref="BF3:BF4"/>
    <mergeCell ref="BH3:BH4"/>
    <mergeCell ref="A1:A4"/>
    <mergeCell ref="C1:C4"/>
    <mergeCell ref="AK2:AK4"/>
    <mergeCell ref="BI3:BI4"/>
    <mergeCell ref="K1:X1"/>
    <mergeCell ref="AO2:AO4"/>
    <mergeCell ref="Y1:AO1"/>
    <mergeCell ref="AN2:AN4"/>
    <mergeCell ref="AR1:AR4"/>
    <mergeCell ref="AA2:AA4"/>
    <mergeCell ref="D1:D4"/>
    <mergeCell ref="X2:X4"/>
    <mergeCell ref="AV1:AV4"/>
    <mergeCell ref="AX1:AX4"/>
    <mergeCell ref="V2:W3"/>
    <mergeCell ref="Y2:Y4"/>
    <mergeCell ref="G1:G4"/>
    <mergeCell ref="AQ1:AQ4"/>
    <mergeCell ref="I1:I4"/>
    <mergeCell ref="R2:R4"/>
    <mergeCell ref="B1:B4"/>
    <mergeCell ref="AL2:AL4"/>
    <mergeCell ref="P2:P4"/>
    <mergeCell ref="N2:N4"/>
    <mergeCell ref="F1:F4"/>
    <mergeCell ref="M2:M4"/>
    <mergeCell ref="Q2:Q4"/>
    <mergeCell ref="E1:E4"/>
    <mergeCell ref="S2:S4"/>
    <mergeCell ref="AB2:AB4"/>
    <mergeCell ref="AH2:AH4"/>
    <mergeCell ref="AJ2:AJ4"/>
    <mergeCell ref="CC1:CC4"/>
    <mergeCell ref="AY2:BL2"/>
    <mergeCell ref="H1:H4"/>
    <mergeCell ref="BR1:BS1"/>
    <mergeCell ref="J1:J4"/>
    <mergeCell ref="BX1:CA3"/>
    <mergeCell ref="U2:U4"/>
    <mergeCell ref="AG2:AG4"/>
    <mergeCell ref="BE3:BE4"/>
    <mergeCell ref="BG3:BG4"/>
    <mergeCell ref="AD2:AD4"/>
    <mergeCell ref="AF2:AF4"/>
    <mergeCell ref="K2:K4"/>
    <mergeCell ref="AS1:AS4"/>
    <mergeCell ref="AU1:AU4"/>
    <mergeCell ref="T2:T4"/>
    <mergeCell ref="CD1:CD4"/>
    <mergeCell ref="BR2:BR4"/>
    <mergeCell ref="AT1:AT4"/>
    <mergeCell ref="L2:L4"/>
    <mergeCell ref="BM3:BM4"/>
    <mergeCell ref="Z2:Z4"/>
    <mergeCell ref="BJ3:BJ4"/>
    <mergeCell ref="BL3:BL4"/>
    <mergeCell ref="AW1:AW4"/>
    <mergeCell ref="AI2:AI4"/>
    <mergeCell ref="BU1:BU4"/>
    <mergeCell ref="BW1:BW4"/>
    <mergeCell ref="O2:O4"/>
    <mergeCell ref="AY1:BQ1"/>
    <mergeCell ref="CB1:CB4"/>
    <mergeCell ref="BT1:BT4"/>
  </mergeCells>
  <conditionalFormatting sqref="B8:B12 B1:B5 B16:B1048576 C5:BU5 D6:F6 J6:BK6 BM6:BU6 BW5:CD6">
    <cfRule type="duplicateValues" dxfId="19" priority="54"/>
  </conditionalFormatting>
  <conditionalFormatting sqref="B8:B12 B1:B5 B16:B1048576 C5:BU5">
    <cfRule type="duplicateValues" dxfId="18" priority="6"/>
    <cfRule type="duplicateValues" dxfId="17" priority="49"/>
  </conditionalFormatting>
  <conditionalFormatting sqref="B15:C15">
    <cfRule type="duplicateValues" dxfId="16" priority="1"/>
    <cfRule type="duplicateValues" dxfId="15" priority="2"/>
    <cfRule type="duplicateValues" dxfId="14" priority="3"/>
  </conditionalFormatting>
  <conditionalFormatting sqref="BL6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I23"/>
  <sheetViews>
    <sheetView zoomScale="120" zoomScaleNormal="120" zoomScaleSheetLayoutView="70" workbookViewId="0">
      <pane xSplit="6" ySplit="11" topLeftCell="AL12" activePane="bottomRight" state="frozen"/>
      <selection pane="topRight" activeCell="E18" sqref="E18"/>
      <selection pane="bottomLeft" activeCell="E18" sqref="E18"/>
      <selection pane="bottomRight" activeCell="O23" sqref="O23"/>
    </sheetView>
  </sheetViews>
  <sheetFormatPr baseColWidth="10" defaultColWidth="9.1640625" defaultRowHeight="15" outlineLevelRow="1" outlineLevelCol="1"/>
  <cols>
    <col min="1" max="1" width="5.5" style="50" customWidth="1"/>
    <col min="2" max="2" width="8.5" style="55" customWidth="1"/>
    <col min="3" max="3" width="10.83203125" style="56" bestFit="1" customWidth="1"/>
    <col min="4" max="4" width="5.5" style="57" bestFit="1" customWidth="1" outlineLevel="1"/>
    <col min="5" max="5" width="5.5" style="57" customWidth="1" outlineLevel="1"/>
    <col min="6" max="6" width="5.5" style="58" bestFit="1" customWidth="1" outlineLevel="1"/>
    <col min="7" max="7" width="13.6640625" style="53" bestFit="1" customWidth="1"/>
    <col min="8" max="8" width="12.5" style="53" customWidth="1"/>
    <col min="9" max="9" width="12.5" customWidth="1"/>
    <col min="10" max="10" width="7.5" customWidth="1" outlineLevel="1"/>
    <col min="11" max="24" width="7.1640625" style="51" customWidth="1"/>
    <col min="25" max="47" width="12.33203125" style="52" customWidth="1"/>
    <col min="48" max="49" width="13" style="52" customWidth="1"/>
    <col min="50" max="50" width="6.6640625" style="52" customWidth="1"/>
    <col min="51" max="53" width="10.5" style="52" customWidth="1" outlineLevel="1"/>
    <col min="54" max="71" width="10.5" style="52" customWidth="1"/>
    <col min="72" max="72" width="12.5" style="52" customWidth="1"/>
    <col min="73" max="73" width="12.5" style="52" hidden="1" customWidth="1"/>
    <col min="74" max="74" width="12.5" style="107" customWidth="1"/>
    <col min="75" max="79" width="12.6640625" style="53" customWidth="1" outlineLevel="1"/>
    <col min="80" max="80" width="12.6640625" style="54" customWidth="1" outlineLevel="1"/>
    <col min="81" max="82" width="10.6640625" style="54" customWidth="1" outlineLevel="1"/>
    <col min="83" max="83" width="19.5" style="25" customWidth="1"/>
    <col min="84" max="84" width="12.33203125" style="25" customWidth="1"/>
    <col min="85" max="85" width="12.5" style="25" customWidth="1"/>
    <col min="86" max="86" width="11.6640625" style="25" customWidth="1"/>
    <col min="87" max="87" width="9.1640625" style="25" customWidth="1"/>
    <col min="88" max="16384" width="9.1640625" style="25"/>
  </cols>
  <sheetData>
    <row r="1" spans="1:87" s="5" customFormat="1" ht="21.5" hidden="1" customHeight="1" outlineLevel="1">
      <c r="A1" s="4"/>
      <c r="B1" s="4"/>
      <c r="C1" s="4"/>
      <c r="D1" s="4"/>
      <c r="E1" s="4"/>
      <c r="F1" s="4"/>
      <c r="G1" s="4"/>
      <c r="H1" s="4"/>
      <c r="I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96"/>
      <c r="BW1" s="240"/>
      <c r="BX1" s="240"/>
      <c r="BY1" s="240"/>
      <c r="BZ1" s="240"/>
      <c r="CA1" s="240"/>
      <c r="CB1" s="240"/>
      <c r="CC1" s="60"/>
      <c r="CD1" s="60"/>
    </row>
    <row r="2" spans="1:87" s="3" customFormat="1" ht="20.25" hidden="1" customHeight="1" outlineLevel="1">
      <c r="A2" s="4"/>
      <c r="B2" s="4"/>
      <c r="C2" s="4"/>
      <c r="D2" s="4"/>
      <c r="E2" s="4"/>
      <c r="F2" s="4"/>
      <c r="G2" s="4"/>
      <c r="H2" s="4"/>
      <c r="I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96"/>
      <c r="BW2" s="241"/>
      <c r="BX2" s="241"/>
      <c r="BY2" s="241"/>
      <c r="BZ2" s="241"/>
      <c r="CA2" s="241"/>
      <c r="CB2" s="241"/>
      <c r="CC2" s="60"/>
      <c r="CD2" s="60"/>
    </row>
    <row r="3" spans="1:87" s="3" customFormat="1" ht="18.75" hidden="1" customHeight="1" outlineLevel="1">
      <c r="A3" s="7"/>
      <c r="B3" s="7"/>
      <c r="C3" s="7"/>
      <c r="D3" s="7"/>
      <c r="E3" s="7"/>
      <c r="F3" s="7"/>
      <c r="G3" s="7"/>
      <c r="H3" s="7"/>
      <c r="I3" s="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  <c r="AB3" s="9"/>
      <c r="AC3" s="4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97"/>
      <c r="BW3" s="241"/>
      <c r="BX3" s="241"/>
      <c r="BY3" s="241"/>
      <c r="BZ3" s="241"/>
      <c r="CA3" s="241"/>
      <c r="CB3" s="241"/>
      <c r="CC3" s="60"/>
      <c r="CD3" s="60"/>
    </row>
    <row r="4" spans="1:87" s="3" customFormat="1" ht="12.75" hidden="1" customHeight="1" outlineLevel="1">
      <c r="A4" s="10"/>
      <c r="B4" s="11"/>
      <c r="C4" s="10"/>
      <c r="D4" s="11"/>
      <c r="E4" s="11"/>
      <c r="F4" s="12"/>
      <c r="G4" s="11"/>
      <c r="H4" s="11"/>
      <c r="I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13"/>
      <c r="W4" s="13"/>
      <c r="X4" s="13"/>
      <c r="Y4" s="9"/>
      <c r="Z4" s="9"/>
      <c r="AA4" s="9"/>
      <c r="AB4" s="9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10"/>
      <c r="AW4" s="10"/>
      <c r="AX4" s="10"/>
      <c r="AY4" s="11"/>
      <c r="AZ4" s="10"/>
      <c r="BA4" s="11"/>
      <c r="BB4" s="11"/>
      <c r="BC4" s="10"/>
      <c r="BD4" s="10"/>
      <c r="BE4" s="11"/>
      <c r="BF4" s="11"/>
      <c r="BG4" s="11"/>
      <c r="BH4" s="11"/>
      <c r="BI4" s="11"/>
      <c r="BJ4" s="10"/>
      <c r="BK4" s="10"/>
      <c r="BL4" s="11"/>
      <c r="BM4" s="10"/>
      <c r="BN4" s="11"/>
      <c r="BO4" s="11"/>
      <c r="BP4" s="10"/>
      <c r="BQ4" s="10"/>
      <c r="BR4" s="10"/>
      <c r="BS4" s="10"/>
      <c r="BT4" s="11"/>
      <c r="BU4" s="10"/>
      <c r="BV4" s="98"/>
      <c r="BW4" s="15"/>
      <c r="BX4" s="15"/>
      <c r="BY4" s="15"/>
      <c r="BZ4" s="15"/>
      <c r="CA4" s="15"/>
      <c r="CB4" s="14"/>
      <c r="CC4" s="14"/>
      <c r="CD4" s="14"/>
    </row>
    <row r="5" spans="1:87" s="2" customFormat="1" ht="19.25" customHeight="1" collapsed="1">
      <c r="A5" s="247" t="s">
        <v>0</v>
      </c>
      <c r="B5" s="233" t="s">
        <v>1</v>
      </c>
      <c r="C5" s="215" t="s">
        <v>2</v>
      </c>
      <c r="D5" s="236" t="s">
        <v>137</v>
      </c>
      <c r="E5" s="236" t="s">
        <v>4</v>
      </c>
      <c r="F5" s="266" t="s">
        <v>138</v>
      </c>
      <c r="G5" s="232" t="s">
        <v>6</v>
      </c>
      <c r="H5" s="237" t="s">
        <v>7</v>
      </c>
      <c r="I5" s="237" t="s">
        <v>8</v>
      </c>
      <c r="J5" s="232" t="s">
        <v>9</v>
      </c>
      <c r="K5" s="245" t="s">
        <v>10</v>
      </c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32" t="s">
        <v>11</v>
      </c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9"/>
      <c r="AP5" s="232" t="s">
        <v>12</v>
      </c>
      <c r="AQ5" s="232" t="s">
        <v>13</v>
      </c>
      <c r="AR5" s="232" t="s">
        <v>14</v>
      </c>
      <c r="AS5" s="232" t="s">
        <v>15</v>
      </c>
      <c r="AT5" s="232" t="s">
        <v>16</v>
      </c>
      <c r="AU5" s="232" t="s">
        <v>17</v>
      </c>
      <c r="AV5" s="215" t="s">
        <v>18</v>
      </c>
      <c r="AW5" s="215" t="s">
        <v>19</v>
      </c>
      <c r="AX5" s="215" t="s">
        <v>20</v>
      </c>
      <c r="AY5" s="227" t="s">
        <v>21</v>
      </c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9"/>
      <c r="BQ5" s="224" t="s">
        <v>22</v>
      </c>
      <c r="BR5" s="225"/>
      <c r="BS5" s="227" t="s">
        <v>139</v>
      </c>
      <c r="BT5" s="227" t="s">
        <v>23</v>
      </c>
      <c r="BU5" s="243" t="s">
        <v>24</v>
      </c>
      <c r="BV5" s="99"/>
      <c r="BW5" s="255" t="s">
        <v>25</v>
      </c>
      <c r="BX5" s="248" t="s">
        <v>26</v>
      </c>
      <c r="BY5" s="249"/>
      <c r="BZ5" s="249"/>
      <c r="CA5" s="225"/>
      <c r="CB5" s="226" t="s">
        <v>27</v>
      </c>
      <c r="CC5" s="219" t="s">
        <v>28</v>
      </c>
      <c r="CD5" s="219" t="s">
        <v>29</v>
      </c>
      <c r="CH5" s="16"/>
      <c r="CI5" s="17"/>
    </row>
    <row r="6" spans="1:87" s="2" customFormat="1" ht="19.25" customHeight="1">
      <c r="A6" s="216"/>
      <c r="B6" s="216"/>
      <c r="C6" s="216"/>
      <c r="D6" s="216"/>
      <c r="E6" s="216"/>
      <c r="F6" s="216"/>
      <c r="G6" s="216"/>
      <c r="H6" s="216"/>
      <c r="I6" s="216"/>
      <c r="J6" s="216"/>
      <c r="K6" s="235" t="s">
        <v>30</v>
      </c>
      <c r="L6" s="235" t="s">
        <v>31</v>
      </c>
      <c r="M6" s="235" t="s">
        <v>32</v>
      </c>
      <c r="N6" s="235" t="s">
        <v>33</v>
      </c>
      <c r="O6" s="235" t="s">
        <v>34</v>
      </c>
      <c r="P6" s="235" t="s">
        <v>35</v>
      </c>
      <c r="Q6" s="235" t="s">
        <v>36</v>
      </c>
      <c r="R6" s="235" t="s">
        <v>37</v>
      </c>
      <c r="S6" s="235" t="s">
        <v>38</v>
      </c>
      <c r="T6" s="235" t="s">
        <v>39</v>
      </c>
      <c r="U6" s="235" t="s">
        <v>40</v>
      </c>
      <c r="V6" s="238" t="s">
        <v>41</v>
      </c>
      <c r="W6" s="225"/>
      <c r="X6" s="235" t="s">
        <v>42</v>
      </c>
      <c r="Y6" s="218" t="s">
        <v>43</v>
      </c>
      <c r="Z6" s="218" t="s">
        <v>44</v>
      </c>
      <c r="AA6" s="218" t="s">
        <v>45</v>
      </c>
      <c r="AB6" s="218" t="s">
        <v>46</v>
      </c>
      <c r="AC6" s="231" t="s">
        <v>47</v>
      </c>
      <c r="AD6" s="231" t="s">
        <v>140</v>
      </c>
      <c r="AE6" s="231" t="s">
        <v>49</v>
      </c>
      <c r="AF6" s="231" t="s">
        <v>50</v>
      </c>
      <c r="AG6" s="218" t="s">
        <v>51</v>
      </c>
      <c r="AH6" s="231" t="s">
        <v>52</v>
      </c>
      <c r="AI6" s="231" t="s">
        <v>53</v>
      </c>
      <c r="AJ6" s="218" t="s">
        <v>54</v>
      </c>
      <c r="AK6" s="221" t="s">
        <v>55</v>
      </c>
      <c r="AL6" s="215" t="s">
        <v>56</v>
      </c>
      <c r="AM6" s="218" t="s">
        <v>57</v>
      </c>
      <c r="AN6" s="230" t="s">
        <v>58</v>
      </c>
      <c r="AO6" s="215" t="s">
        <v>59</v>
      </c>
      <c r="AP6" s="216"/>
      <c r="AQ6" s="216"/>
      <c r="AR6" s="216"/>
      <c r="AS6" s="216"/>
      <c r="AT6" s="216"/>
      <c r="AU6" s="216"/>
      <c r="AV6" s="216"/>
      <c r="AW6" s="216"/>
      <c r="AX6" s="216"/>
      <c r="AY6" s="227" t="s">
        <v>21</v>
      </c>
      <c r="AZ6" s="228"/>
      <c r="BA6" s="228"/>
      <c r="BB6" s="228"/>
      <c r="BC6" s="228"/>
      <c r="BD6" s="228"/>
      <c r="BE6" s="228"/>
      <c r="BF6" s="228"/>
      <c r="BG6" s="228"/>
      <c r="BH6" s="228"/>
      <c r="BI6" s="228"/>
      <c r="BJ6" s="229"/>
      <c r="BK6" s="227" t="s">
        <v>60</v>
      </c>
      <c r="BL6" s="228"/>
      <c r="BM6" s="228"/>
      <c r="BN6" s="228"/>
      <c r="BO6" s="228"/>
      <c r="BP6" s="229"/>
      <c r="BQ6" s="244" t="s">
        <v>61</v>
      </c>
      <c r="BR6" s="244" t="s">
        <v>62</v>
      </c>
      <c r="BS6" s="216"/>
      <c r="BT6" s="216"/>
      <c r="BU6" s="222"/>
      <c r="BV6" s="99"/>
      <c r="BW6" s="251"/>
      <c r="BX6" s="222"/>
      <c r="BY6" s="250"/>
      <c r="BZ6" s="250"/>
      <c r="CA6" s="251"/>
      <c r="CB6" s="216"/>
      <c r="CC6" s="216"/>
      <c r="CD6" s="216"/>
      <c r="CH6" s="16"/>
      <c r="CI6" s="17"/>
    </row>
    <row r="7" spans="1:87" s="18" customFormat="1" ht="19.25" customHeight="1">
      <c r="A7" s="216"/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23"/>
      <c r="W7" s="239"/>
      <c r="X7" s="216"/>
      <c r="Y7" s="216"/>
      <c r="Z7" s="216"/>
      <c r="AA7" s="216"/>
      <c r="AB7" s="216"/>
      <c r="AC7" s="216"/>
      <c r="AD7" s="216"/>
      <c r="AE7" s="216"/>
      <c r="AF7" s="216"/>
      <c r="AG7" s="216"/>
      <c r="AH7" s="216"/>
      <c r="AI7" s="216"/>
      <c r="AJ7" s="216"/>
      <c r="AK7" s="222"/>
      <c r="AL7" s="216"/>
      <c r="AM7" s="216"/>
      <c r="AN7" s="216"/>
      <c r="AO7" s="216"/>
      <c r="AP7" s="216"/>
      <c r="AQ7" s="216"/>
      <c r="AR7" s="216"/>
      <c r="AS7" s="216"/>
      <c r="AT7" s="216"/>
      <c r="AU7" s="216"/>
      <c r="AV7" s="216"/>
      <c r="AW7" s="216"/>
      <c r="AX7" s="216"/>
      <c r="AY7" s="88" t="s">
        <v>63</v>
      </c>
      <c r="AZ7" s="88" t="s">
        <v>64</v>
      </c>
      <c r="BA7" s="88" t="s">
        <v>65</v>
      </c>
      <c r="BB7" s="263" t="s">
        <v>66</v>
      </c>
      <c r="BC7" s="264" t="s">
        <v>67</v>
      </c>
      <c r="BD7" s="264" t="s">
        <v>68</v>
      </c>
      <c r="BE7" s="264" t="s">
        <v>141</v>
      </c>
      <c r="BF7" s="264" t="s">
        <v>70</v>
      </c>
      <c r="BG7" s="264" t="s">
        <v>71</v>
      </c>
      <c r="BH7" s="264" t="s">
        <v>72</v>
      </c>
      <c r="BI7" s="264" t="s">
        <v>75</v>
      </c>
      <c r="BJ7" s="262" t="s">
        <v>76</v>
      </c>
      <c r="BK7" s="264" t="s">
        <v>77</v>
      </c>
      <c r="BL7" s="265" t="s">
        <v>78</v>
      </c>
      <c r="BM7" s="264" t="s">
        <v>79</v>
      </c>
      <c r="BN7" s="265" t="s">
        <v>80</v>
      </c>
      <c r="BO7" s="265" t="s">
        <v>142</v>
      </c>
      <c r="BP7" s="227" t="s">
        <v>81</v>
      </c>
      <c r="BQ7" s="216"/>
      <c r="BR7" s="216"/>
      <c r="BS7" s="216"/>
      <c r="BT7" s="216"/>
      <c r="BU7" s="222"/>
      <c r="BV7" s="99"/>
      <c r="BW7" s="251"/>
      <c r="BX7" s="252"/>
      <c r="BY7" s="253"/>
      <c r="BZ7" s="253"/>
      <c r="CA7" s="254"/>
      <c r="CB7" s="216"/>
      <c r="CC7" s="216"/>
      <c r="CD7" s="216"/>
      <c r="CH7" s="16"/>
      <c r="CI7" s="17"/>
    </row>
    <row r="8" spans="1:87" s="18" customFormat="1" ht="38.25" customHeight="1">
      <c r="A8" s="217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19" t="s">
        <v>82</v>
      </c>
      <c r="W8" s="19" t="s">
        <v>83</v>
      </c>
      <c r="X8" s="217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217"/>
      <c r="AJ8" s="217"/>
      <c r="AK8" s="223"/>
      <c r="AL8" s="217"/>
      <c r="AM8" s="217"/>
      <c r="AN8" s="217"/>
      <c r="AO8" s="217"/>
      <c r="AP8" s="217"/>
      <c r="AQ8" s="217"/>
      <c r="AR8" s="217"/>
      <c r="AS8" s="217"/>
      <c r="AT8" s="217"/>
      <c r="AU8" s="217"/>
      <c r="AV8" s="217"/>
      <c r="AW8" s="217"/>
      <c r="AX8" s="217"/>
      <c r="AY8" s="89" t="s">
        <v>84</v>
      </c>
      <c r="AZ8" s="89" t="s">
        <v>85</v>
      </c>
      <c r="BA8" s="89" t="s">
        <v>86</v>
      </c>
      <c r="BB8" s="217"/>
      <c r="BC8" s="217"/>
      <c r="BD8" s="217"/>
      <c r="BE8" s="217"/>
      <c r="BF8" s="217"/>
      <c r="BG8" s="217"/>
      <c r="BH8" s="217"/>
      <c r="BI8" s="217"/>
      <c r="BJ8" s="217"/>
      <c r="BK8" s="217"/>
      <c r="BL8" s="217"/>
      <c r="BM8" s="217"/>
      <c r="BN8" s="217"/>
      <c r="BO8" s="217"/>
      <c r="BP8" s="217"/>
      <c r="BQ8" s="217"/>
      <c r="BR8" s="217"/>
      <c r="BS8" s="217"/>
      <c r="BT8" s="217"/>
      <c r="BU8" s="223"/>
      <c r="BV8" s="99"/>
      <c r="BW8" s="254"/>
      <c r="BX8" s="61" t="s">
        <v>87</v>
      </c>
      <c r="BY8" s="61" t="s">
        <v>88</v>
      </c>
      <c r="BZ8" s="61" t="s">
        <v>89</v>
      </c>
      <c r="CA8" s="62" t="s">
        <v>90</v>
      </c>
      <c r="CB8" s="220"/>
      <c r="CC8" s="220"/>
      <c r="CD8" s="220"/>
      <c r="CE8" s="2"/>
      <c r="CF8" s="20"/>
      <c r="CH8" s="16"/>
      <c r="CI8" s="17"/>
    </row>
    <row r="9" spans="1:87" s="23" customFormat="1" ht="15" customHeight="1">
      <c r="A9" s="21">
        <v>1</v>
      </c>
      <c r="B9" s="22">
        <f>A9+1</f>
        <v>2</v>
      </c>
      <c r="C9" s="22">
        <f>B9+1</f>
        <v>3</v>
      </c>
      <c r="D9" s="22">
        <f>C9+1</f>
        <v>4</v>
      </c>
      <c r="E9" s="22"/>
      <c r="F9" s="22">
        <f>D9+1</f>
        <v>5</v>
      </c>
      <c r="G9" s="22">
        <f t="shared" ref="G9:AV9" si="0">F9+1</f>
        <v>6</v>
      </c>
      <c r="H9" s="22">
        <f t="shared" si="0"/>
        <v>7</v>
      </c>
      <c r="I9" s="22">
        <f t="shared" si="0"/>
        <v>8</v>
      </c>
      <c r="J9" s="22">
        <f t="shared" si="0"/>
        <v>9</v>
      </c>
      <c r="K9" s="22">
        <f t="shared" si="0"/>
        <v>10</v>
      </c>
      <c r="L9" s="22">
        <f t="shared" si="0"/>
        <v>11</v>
      </c>
      <c r="M9" s="22">
        <f t="shared" si="0"/>
        <v>12</v>
      </c>
      <c r="N9" s="22">
        <f t="shared" si="0"/>
        <v>13</v>
      </c>
      <c r="O9" s="22">
        <f t="shared" si="0"/>
        <v>14</v>
      </c>
      <c r="P9" s="22">
        <f t="shared" si="0"/>
        <v>15</v>
      </c>
      <c r="Q9" s="22">
        <f t="shared" si="0"/>
        <v>16</v>
      </c>
      <c r="R9" s="22">
        <f t="shared" si="0"/>
        <v>17</v>
      </c>
      <c r="S9" s="22">
        <f t="shared" si="0"/>
        <v>18</v>
      </c>
      <c r="T9" s="22">
        <f t="shared" si="0"/>
        <v>19</v>
      </c>
      <c r="U9" s="22">
        <f t="shared" si="0"/>
        <v>20</v>
      </c>
      <c r="V9" s="22">
        <f t="shared" si="0"/>
        <v>21</v>
      </c>
      <c r="W9" s="22">
        <f t="shared" si="0"/>
        <v>22</v>
      </c>
      <c r="X9" s="22">
        <f t="shared" si="0"/>
        <v>23</v>
      </c>
      <c r="Y9" s="22">
        <f t="shared" si="0"/>
        <v>24</v>
      </c>
      <c r="Z9" s="22">
        <f t="shared" si="0"/>
        <v>25</v>
      </c>
      <c r="AA9" s="22">
        <f t="shared" si="0"/>
        <v>26</v>
      </c>
      <c r="AB9" s="22">
        <f t="shared" si="0"/>
        <v>27</v>
      </c>
      <c r="AC9" s="22">
        <f t="shared" si="0"/>
        <v>28</v>
      </c>
      <c r="AD9" s="22">
        <f t="shared" si="0"/>
        <v>29</v>
      </c>
      <c r="AE9" s="22">
        <f t="shared" si="0"/>
        <v>30</v>
      </c>
      <c r="AF9" s="22">
        <f t="shared" si="0"/>
        <v>31</v>
      </c>
      <c r="AG9" s="22">
        <f t="shared" si="0"/>
        <v>32</v>
      </c>
      <c r="AH9" s="22">
        <f t="shared" si="0"/>
        <v>33</v>
      </c>
      <c r="AI9" s="22">
        <f t="shared" si="0"/>
        <v>34</v>
      </c>
      <c r="AJ9" s="22">
        <f t="shared" si="0"/>
        <v>35</v>
      </c>
      <c r="AK9" s="22">
        <f t="shared" si="0"/>
        <v>36</v>
      </c>
      <c r="AL9" s="22">
        <f t="shared" si="0"/>
        <v>37</v>
      </c>
      <c r="AM9" s="22">
        <f t="shared" si="0"/>
        <v>38</v>
      </c>
      <c r="AN9" s="22">
        <f t="shared" si="0"/>
        <v>39</v>
      </c>
      <c r="AO9" s="22">
        <f t="shared" si="0"/>
        <v>40</v>
      </c>
      <c r="AP9" s="22">
        <f t="shared" si="0"/>
        <v>41</v>
      </c>
      <c r="AQ9" s="22">
        <f t="shared" si="0"/>
        <v>42</v>
      </c>
      <c r="AR9" s="22">
        <f t="shared" si="0"/>
        <v>43</v>
      </c>
      <c r="AS9" s="22">
        <f t="shared" si="0"/>
        <v>44</v>
      </c>
      <c r="AT9" s="22">
        <f t="shared" si="0"/>
        <v>45</v>
      </c>
      <c r="AU9" s="22">
        <f t="shared" si="0"/>
        <v>46</v>
      </c>
      <c r="AV9" s="22">
        <f t="shared" si="0"/>
        <v>47</v>
      </c>
      <c r="AW9" s="22"/>
      <c r="AX9" s="22"/>
      <c r="AY9" s="22">
        <f>AV9+1</f>
        <v>48</v>
      </c>
      <c r="AZ9" s="22">
        <f t="shared" ref="AZ9:BE9" si="1">AY9+1</f>
        <v>49</v>
      </c>
      <c r="BA9" s="22">
        <f t="shared" si="1"/>
        <v>50</v>
      </c>
      <c r="BB9" s="22">
        <f t="shared" si="1"/>
        <v>51</v>
      </c>
      <c r="BC9" s="22">
        <f t="shared" si="1"/>
        <v>52</v>
      </c>
      <c r="BD9" s="22">
        <f t="shared" si="1"/>
        <v>53</v>
      </c>
      <c r="BE9" s="22">
        <f t="shared" si="1"/>
        <v>54</v>
      </c>
      <c r="BF9" s="22"/>
      <c r="BG9" s="22"/>
      <c r="BH9" s="22"/>
      <c r="BI9" s="22"/>
      <c r="BJ9" s="22">
        <f>BE9+1</f>
        <v>55</v>
      </c>
      <c r="BK9" s="22">
        <f>BJ9+1</f>
        <v>56</v>
      </c>
      <c r="BL9" s="22">
        <f>BK9+1</f>
        <v>57</v>
      </c>
      <c r="BM9" s="22">
        <f>BL9+1</f>
        <v>58</v>
      </c>
      <c r="BN9" s="22">
        <f>BM9+1</f>
        <v>59</v>
      </c>
      <c r="BO9" s="22"/>
      <c r="BP9" s="22">
        <f>BN9+1</f>
        <v>60</v>
      </c>
      <c r="BQ9" s="22">
        <f>BP9+1</f>
        <v>61</v>
      </c>
      <c r="BR9" s="22">
        <f>BQ9+1</f>
        <v>62</v>
      </c>
      <c r="BS9" s="22"/>
      <c r="BT9" s="22">
        <f>BR9+1</f>
        <v>63</v>
      </c>
      <c r="BU9" s="22">
        <f>BT9+1</f>
        <v>64</v>
      </c>
      <c r="BV9" s="100"/>
      <c r="BW9" s="93" t="s">
        <v>91</v>
      </c>
      <c r="BX9" s="22">
        <f t="shared" ref="BX9:CD9" si="2">BW9+1</f>
        <v>66</v>
      </c>
      <c r="BY9" s="22">
        <f t="shared" si="2"/>
        <v>67</v>
      </c>
      <c r="BZ9" s="22">
        <f t="shared" si="2"/>
        <v>68</v>
      </c>
      <c r="CA9" s="22">
        <f t="shared" si="2"/>
        <v>69</v>
      </c>
      <c r="CB9" s="22">
        <f t="shared" si="2"/>
        <v>70</v>
      </c>
      <c r="CC9" s="22">
        <f t="shared" si="2"/>
        <v>71</v>
      </c>
      <c r="CD9" s="22">
        <f t="shared" si="2"/>
        <v>72</v>
      </c>
      <c r="CG9" s="18"/>
      <c r="CH9" s="16"/>
      <c r="CI9" s="17"/>
    </row>
    <row r="10" spans="1:87" s="64" customFormat="1" ht="15" customHeight="1">
      <c r="A10" s="66" t="s">
        <v>92</v>
      </c>
      <c r="B10" s="66" t="s">
        <v>92</v>
      </c>
      <c r="C10" s="66" t="s">
        <v>92</v>
      </c>
      <c r="D10" s="22"/>
      <c r="E10" s="22"/>
      <c r="F10" s="22"/>
      <c r="G10" s="66" t="s">
        <v>92</v>
      </c>
      <c r="H10" s="66" t="s">
        <v>92</v>
      </c>
      <c r="I10" s="66" t="s">
        <v>92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90"/>
      <c r="BV10" s="101"/>
      <c r="BW10" s="94"/>
      <c r="BX10" s="63"/>
      <c r="BY10" s="63"/>
      <c r="BZ10" s="63"/>
      <c r="CA10" s="63"/>
      <c r="CB10" s="63"/>
      <c r="CC10" s="63"/>
      <c r="CD10" s="63"/>
      <c r="CG10" s="65"/>
      <c r="CH10" s="16"/>
      <c r="CI10" s="17"/>
    </row>
    <row r="11" spans="1:87" s="73" customFormat="1" ht="21" customHeight="1">
      <c r="A11" s="67"/>
      <c r="B11" s="68"/>
      <c r="C11" s="68"/>
      <c r="D11" s="69"/>
      <c r="E11" s="69"/>
      <c r="F11" s="69"/>
      <c r="G11" s="68">
        <f>SUM(G12:G18)</f>
        <v>50340000</v>
      </c>
      <c r="H11" s="68">
        <f>SUM(H12:H18)</f>
        <v>900000</v>
      </c>
      <c r="I11" s="68">
        <f>SUM(I12:I18)</f>
        <v>170460000</v>
      </c>
      <c r="J11" s="68"/>
      <c r="K11" s="70">
        <f>SUM(K12:K18)</f>
        <v>75.5</v>
      </c>
      <c r="L11" s="70"/>
      <c r="M11" s="70"/>
      <c r="N11" s="70"/>
      <c r="O11" s="70"/>
      <c r="P11" s="70"/>
      <c r="Q11" s="70"/>
      <c r="R11" s="70">
        <f>SUM(R12:R18)</f>
        <v>12</v>
      </c>
      <c r="S11" s="70">
        <f>SUM(S12:S18)</f>
        <v>0</v>
      </c>
      <c r="T11" s="70"/>
      <c r="U11" s="70">
        <f>SUM(U12:U18)</f>
        <v>0</v>
      </c>
      <c r="V11" s="70">
        <f>SUM(V12:V18)</f>
        <v>0</v>
      </c>
      <c r="W11" s="70">
        <f>SUM(W12:W18)</f>
        <v>0</v>
      </c>
      <c r="X11" s="70">
        <f>SUM(X12:X18)</f>
        <v>0</v>
      </c>
      <c r="Y11" s="68">
        <f>SUM(Y12:Y18)</f>
        <v>20878269.230769232</v>
      </c>
      <c r="Z11" s="68"/>
      <c r="AA11" s="68"/>
      <c r="AB11" s="68"/>
      <c r="AC11" s="68">
        <f>SUM(AC12:AC18)</f>
        <v>0</v>
      </c>
      <c r="AD11" s="68">
        <f>SUM(AD12:AD18)</f>
        <v>0</v>
      </c>
      <c r="AE11" s="68"/>
      <c r="AF11" s="68">
        <f t="shared" ref="AF11:AO11" si="3">SUM(AF12:AF18)</f>
        <v>0</v>
      </c>
      <c r="AG11" s="68">
        <f t="shared" si="3"/>
        <v>0</v>
      </c>
      <c r="AH11" s="68">
        <f t="shared" si="3"/>
        <v>0</v>
      </c>
      <c r="AI11" s="68">
        <f t="shared" si="3"/>
        <v>0</v>
      </c>
      <c r="AJ11" s="68">
        <f t="shared" si="3"/>
        <v>0</v>
      </c>
      <c r="AK11" s="68">
        <f t="shared" si="3"/>
        <v>0</v>
      </c>
      <c r="AL11" s="68">
        <f t="shared" si="3"/>
        <v>0</v>
      </c>
      <c r="AM11" s="68">
        <f t="shared" si="3"/>
        <v>0</v>
      </c>
      <c r="AN11" s="68">
        <f t="shared" si="3"/>
        <v>380769.23076923081</v>
      </c>
      <c r="AO11" s="68" t="e">
        <f t="shared" si="3"/>
        <v>#REF!</v>
      </c>
      <c r="AP11" s="68"/>
      <c r="AQ11" s="68"/>
      <c r="AR11" s="68"/>
      <c r="AS11" s="68"/>
      <c r="AT11" s="68"/>
      <c r="AU11" s="68"/>
      <c r="AV11" s="68" t="e">
        <f>SUM(AV12:AV18)</f>
        <v>#REF!</v>
      </c>
      <c r="AW11" s="68"/>
      <c r="AX11" s="68"/>
      <c r="AY11" s="68">
        <f>SUM(AY12:AY18)</f>
        <v>4099200</v>
      </c>
      <c r="AZ11" s="68">
        <f>SUM(AZ12:AZ18)</f>
        <v>768600</v>
      </c>
      <c r="BA11" s="68">
        <f>SUM(BA12:BA18)</f>
        <v>512400</v>
      </c>
      <c r="BB11" s="68">
        <f>SUM(BB12:BB18)</f>
        <v>5380200</v>
      </c>
      <c r="BC11" s="68">
        <f>SUM(BC12:BC18)</f>
        <v>0</v>
      </c>
      <c r="BD11" s="68"/>
      <c r="BE11" s="68">
        <f>SUM(BE12:BE18)</f>
        <v>503400</v>
      </c>
      <c r="BF11" s="68"/>
      <c r="BG11" s="68"/>
      <c r="BH11" s="68"/>
      <c r="BI11" s="68"/>
      <c r="BJ11" s="68" t="e">
        <f>SUM(BJ12:BJ18)</f>
        <v>#REF!</v>
      </c>
      <c r="BK11" s="68">
        <f>SUM(BK12:BK18)</f>
        <v>0</v>
      </c>
      <c r="BL11" s="68">
        <f>SUM(BL12:BL18)</f>
        <v>0</v>
      </c>
      <c r="BM11" s="68">
        <f>SUM(BM12:BM18)</f>
        <v>0</v>
      </c>
      <c r="BN11" s="68">
        <f>SUM(BN12:BN18)</f>
        <v>0</v>
      </c>
      <c r="BO11" s="68"/>
      <c r="BP11" s="68">
        <f>SUM(BP12:BP18)</f>
        <v>0</v>
      </c>
      <c r="BQ11" s="68"/>
      <c r="BR11" s="68"/>
      <c r="BS11" s="68"/>
      <c r="BT11" s="68" t="e">
        <f>SUM(BT12:BT18)</f>
        <v>#REF!</v>
      </c>
      <c r="BU11" s="91">
        <f>SUM(BU12:BU18)</f>
        <v>0</v>
      </c>
      <c r="BV11" s="102"/>
      <c r="BW11" s="95"/>
      <c r="BX11" s="71"/>
      <c r="BY11" s="71"/>
      <c r="BZ11" s="71"/>
      <c r="CA11" s="71"/>
      <c r="CB11" s="71"/>
      <c r="CC11" s="71"/>
      <c r="CD11" s="71"/>
    </row>
    <row r="12" spans="1:87" s="86" customFormat="1" ht="30.5" customHeight="1">
      <c r="A12" s="74">
        <f>IF(B12=0,"",COUNTA($B$12:(B12)))</f>
        <v>1</v>
      </c>
      <c r="B12" s="75">
        <v>2405236</v>
      </c>
      <c r="C12" s="76" t="s">
        <v>93</v>
      </c>
      <c r="D12" s="77" t="s">
        <v>94</v>
      </c>
      <c r="E12" s="108" t="s">
        <v>109</v>
      </c>
      <c r="F12" s="109" t="s">
        <v>96</v>
      </c>
      <c r="G12" s="78">
        <v>9520000</v>
      </c>
      <c r="H12" s="78">
        <f t="shared" ref="H12:H18" si="4">+IF(OR(CC12="ĐT PCCC",CC12="ĐP PCCC"),780000,IF(CC12="AT-VSV",300000,0))</f>
        <v>0</v>
      </c>
      <c r="I12" s="78">
        <f t="shared" ref="I12:I18" si="5">CB12-BZ12-G12-H12</f>
        <v>50480000</v>
      </c>
      <c r="J12" s="79">
        <v>1</v>
      </c>
      <c r="K12" s="80">
        <v>11</v>
      </c>
      <c r="L12" s="80"/>
      <c r="M12" s="80"/>
      <c r="N12" s="80"/>
      <c r="O12" s="80">
        <v>2</v>
      </c>
      <c r="P12" s="80"/>
      <c r="Q12" s="80"/>
      <c r="R12" s="80">
        <v>0</v>
      </c>
      <c r="S12" s="80">
        <v>0</v>
      </c>
      <c r="T12" s="80"/>
      <c r="U12" s="80">
        <v>0</v>
      </c>
      <c r="V12" s="80">
        <v>0</v>
      </c>
      <c r="W12" s="80">
        <v>0</v>
      </c>
      <c r="X12" s="80">
        <v>0</v>
      </c>
      <c r="Y12" s="78">
        <f t="shared" ref="Y12:Y18" si="6">G12*(K12+L12)/26</f>
        <v>4027692.3076923075</v>
      </c>
      <c r="Z12" s="78">
        <f t="shared" ref="Z12:Z18" si="7">M12*G12/26</f>
        <v>0</v>
      </c>
      <c r="AA12" s="78">
        <f t="shared" ref="AA12:AA18" si="8">G12*N12/26</f>
        <v>0</v>
      </c>
      <c r="AB12" s="78">
        <f t="shared" ref="AB12:AB18" si="9">G12*O12/26</f>
        <v>732307.69230769225</v>
      </c>
      <c r="AC12" s="78">
        <f t="shared" ref="AC12:AC18" si="10">G12*P12*150%/26</f>
        <v>0</v>
      </c>
      <c r="AD12" s="78">
        <f t="shared" ref="AD12:AD18" si="11">G12*Q12/26*200%</f>
        <v>0</v>
      </c>
      <c r="AE12" s="78">
        <f t="shared" ref="AE12:AE18" si="12">G12*R12/26*300%</f>
        <v>0</v>
      </c>
      <c r="AF12" s="78">
        <f t="shared" ref="AF12:AF18" si="13">IF(F12="LT",0,(G12+H12)/26*S12*30%)</f>
        <v>0</v>
      </c>
      <c r="AG12" s="78">
        <f t="shared" ref="AG12:AG18" si="14">T12*G12/23/8</f>
        <v>0</v>
      </c>
      <c r="AH12" s="78">
        <f t="shared" ref="AH12:AH18" si="15">CB12/26*U12</f>
        <v>0</v>
      </c>
      <c r="AI12" s="78">
        <f t="shared" ref="AI12:AI18" si="16">G12*V12/26</f>
        <v>0</v>
      </c>
      <c r="AJ12" s="78"/>
      <c r="AK12" s="78">
        <f t="shared" ref="AK12:AK18" si="17">BZ12*L12/26</f>
        <v>0</v>
      </c>
      <c r="AL12" s="78"/>
      <c r="AM12" s="78">
        <f t="shared" ref="AM12:AM18" si="18">X12*CD12</f>
        <v>0</v>
      </c>
      <c r="AN12" s="78">
        <f>H12/26*(K12+L12)</f>
        <v>0</v>
      </c>
      <c r="AO12" s="78" t="e">
        <f>IF(F12="LN",I12*(K12+L12)/26+(H12+I12)*50%*M12/26+IF(F12="LT",BW12*O12/26-AB12,0)+MAX($G12*P12/26*150%,P12*$BW12/26)-AC12+MAX($G12*Q12/26*200%,Q12*$BW12/26)-AD12+MAX($G12*R12/26*300%,R12*$BW12/26)-AE12+BW12*S12/26-AF12+AH12-AG12,I12-I12*(#REF!-K12-L12)/26+(H12+I12)*50%*M12/26+IF(F12="LT",BW12*O12/26-AB12,0)+MAX($G12*P12/26*150%,P12*$BW12/26)-AC12+MAX($G12*Q12/26*200%,Q12*$BW12/26)-AD12+MAX($G12*R12/26*300%,R12*$BW12/26)-AE12+BW12*S12/26-AF12+AH12-AG12+(G12-G12*(#REF!-K12-L12)/26-Y12)+(H12-H12*(#REF!-K12-L12)/26-AN12))</f>
        <v>#REF!</v>
      </c>
      <c r="AP12" s="78"/>
      <c r="AQ12" s="78"/>
      <c r="AR12" s="78"/>
      <c r="AS12" s="78"/>
      <c r="AT12" s="78"/>
      <c r="AU12" s="78"/>
      <c r="AV12" s="81" t="e">
        <f t="shared" ref="AV12:AV18" si="19">Y12+Z12+AA12+AB12+AC12+AD12+AE12+AF12+AG12+AI12+AJ12+AK12+AL12+AM12+AN12+AO12+AP12-AQ12+AR12+AS12+AT12+AU12</f>
        <v>#REF!</v>
      </c>
      <c r="AW12" s="81"/>
      <c r="AX12" s="81" t="s">
        <v>97</v>
      </c>
      <c r="AY12" s="72">
        <f t="shared" ref="AY12:BA18" si="20">ROUND(IF($AX12="x",($G12+$H12)*AY$8,0),0)</f>
        <v>761600</v>
      </c>
      <c r="AZ12" s="72">
        <f t="shared" si="20"/>
        <v>142800</v>
      </c>
      <c r="BA12" s="72">
        <f t="shared" si="20"/>
        <v>95200</v>
      </c>
      <c r="BB12" s="72">
        <f t="shared" ref="BB12:BB18" si="21">SUM(AY12:BA12)</f>
        <v>999600</v>
      </c>
      <c r="BC12" s="72"/>
      <c r="BD12" s="72"/>
      <c r="BE12" s="72">
        <f t="shared" ref="BE12:BE18" si="22">IF(G12*1%&gt;=234000,234000,G12*1%)</f>
        <v>95200</v>
      </c>
      <c r="BF12" s="72" t="e">
        <f t="shared" ref="BF12:BF18" si="23">AM12+IF(AR12&gt;="730000",730000,AR12)+IF(((AV12-AM12-IF(AR12&gt;="730000",730000,AR12)-AS12)*15%-AS12)&gt;"0",((AV12-AM12-IF(AR12&gt;="730000",730000,AR12)-AS12)*15%-AS12),0)</f>
        <v>#REF!</v>
      </c>
      <c r="BG12" s="72" t="e">
        <f t="shared" ref="BG12:BG18" si="24">AV12-BF12+AW12</f>
        <v>#REF!</v>
      </c>
      <c r="BH12" s="72">
        <v>3</v>
      </c>
      <c r="BI12" s="72" t="e">
        <f t="shared" ref="BI12:BI18" si="25">BG12-BB12-BC12+BD12-BH12*4400000-IF(E12="CT",11000000,0)</f>
        <v>#REF!</v>
      </c>
      <c r="BJ12" s="71" t="e">
        <f t="shared" ref="BJ12:BJ18" si="26">IF(BI12&gt;0,ROUND(IF(BI12&gt;=80000000,BI12*35%-9850000,IF(BI12&gt;=52000000,BI12*30%-5850000,IF(BI12&gt;=32000000,BI12*25%-3250000,IF(BI12&gt;=18000000,BI12*20%-1650000,IF(BI12&gt;=10000000,BI12*15%-750000,IF(BI12&gt;5000000,BI12*10%-250000,BI12*5%)))))),0),0)</f>
        <v>#REF!</v>
      </c>
      <c r="BK12" s="72"/>
      <c r="BL12" s="72"/>
      <c r="BM12" s="72">
        <v>0</v>
      </c>
      <c r="BN12" s="72"/>
      <c r="BO12" s="72"/>
      <c r="BP12" s="72"/>
      <c r="BQ12" s="72"/>
      <c r="BR12" s="72"/>
      <c r="BS12" s="72" t="e">
        <f t="shared" ref="BS12:BS18" si="27">IF(AV12&gt;=11000000,"80%","100%")</f>
        <v>#REF!</v>
      </c>
      <c r="BT12" s="72" t="e">
        <f t="shared" ref="BT12:BT18" si="28">AV12*BS12-BN12-BK12-BP12-BO12</f>
        <v>#REF!</v>
      </c>
      <c r="BU12" s="92"/>
      <c r="BV12" s="103"/>
      <c r="BW12" s="95">
        <v>60000000</v>
      </c>
      <c r="BX12" s="71">
        <v>0</v>
      </c>
      <c r="BY12" s="71"/>
      <c r="BZ12" s="71"/>
      <c r="CA12" s="71">
        <v>0</v>
      </c>
      <c r="CB12" s="71">
        <f t="shared" ref="CB12:CB18" si="29">SUM(BW12:CA12)</f>
        <v>60000000</v>
      </c>
      <c r="CC12" s="71" t="s">
        <v>118</v>
      </c>
      <c r="CD12" s="71"/>
      <c r="CE12" s="82"/>
      <c r="CF12" s="83"/>
      <c r="CG12" s="83"/>
      <c r="CH12" s="84"/>
      <c r="CI12" s="85"/>
    </row>
    <row r="13" spans="1:87" s="86" customFormat="1" ht="30.5" customHeight="1">
      <c r="A13" s="74">
        <f>IF(B13=0,"",COUNTA($B$12:(B13)))</f>
        <v>2</v>
      </c>
      <c r="B13" s="75">
        <v>2106723</v>
      </c>
      <c r="C13" s="76" t="s">
        <v>98</v>
      </c>
      <c r="D13" s="77" t="s">
        <v>99</v>
      </c>
      <c r="E13" s="108" t="s">
        <v>95</v>
      </c>
      <c r="F13" s="109" t="s">
        <v>96</v>
      </c>
      <c r="G13" s="78">
        <v>8480000</v>
      </c>
      <c r="H13" s="78">
        <f t="shared" si="4"/>
        <v>0</v>
      </c>
      <c r="I13" s="78">
        <f t="shared" si="5"/>
        <v>33520000</v>
      </c>
      <c r="J13" s="79">
        <v>1</v>
      </c>
      <c r="K13" s="80">
        <v>10.5</v>
      </c>
      <c r="L13" s="80"/>
      <c r="M13" s="80">
        <v>0.5</v>
      </c>
      <c r="N13" s="80"/>
      <c r="O13" s="80">
        <v>2</v>
      </c>
      <c r="P13" s="80"/>
      <c r="Q13" s="80"/>
      <c r="R13" s="80">
        <v>0</v>
      </c>
      <c r="S13" s="80">
        <v>0</v>
      </c>
      <c r="T13" s="80"/>
      <c r="U13" s="80">
        <v>0</v>
      </c>
      <c r="V13" s="80">
        <v>0</v>
      </c>
      <c r="W13" s="80">
        <v>0</v>
      </c>
      <c r="X13" s="80">
        <v>0</v>
      </c>
      <c r="Y13" s="78">
        <f t="shared" si="6"/>
        <v>3424615.3846153845</v>
      </c>
      <c r="Z13" s="78">
        <f t="shared" si="7"/>
        <v>163076.92307692306</v>
      </c>
      <c r="AA13" s="78">
        <f t="shared" si="8"/>
        <v>0</v>
      </c>
      <c r="AB13" s="78">
        <f t="shared" si="9"/>
        <v>652307.69230769225</v>
      </c>
      <c r="AC13" s="78">
        <f t="shared" si="10"/>
        <v>0</v>
      </c>
      <c r="AD13" s="78">
        <f t="shared" si="11"/>
        <v>0</v>
      </c>
      <c r="AE13" s="78">
        <f t="shared" si="12"/>
        <v>0</v>
      </c>
      <c r="AF13" s="78">
        <f t="shared" si="13"/>
        <v>0</v>
      </c>
      <c r="AG13" s="78">
        <f t="shared" si="14"/>
        <v>0</v>
      </c>
      <c r="AH13" s="78">
        <f t="shared" si="15"/>
        <v>0</v>
      </c>
      <c r="AI13" s="78">
        <f t="shared" si="16"/>
        <v>0</v>
      </c>
      <c r="AJ13" s="78"/>
      <c r="AK13" s="78">
        <f t="shared" si="17"/>
        <v>0</v>
      </c>
      <c r="AL13" s="78"/>
      <c r="AM13" s="78">
        <f t="shared" si="18"/>
        <v>0</v>
      </c>
      <c r="AN13" s="78">
        <f t="shared" ref="AN13:AN18" si="30">H13/26*K13</f>
        <v>0</v>
      </c>
      <c r="AO13" s="78" t="e">
        <f>IF(F13="LN",I13*(K13+L13)/26+(H13+I13)*50%*M13/26+IF(F13="LT",BW13*O13/26-AB13,0)+MAX($G13*P13/26*150%,P13*$BW13/26)-AC13+MAX($G13*Q13/26*200%,Q13*$BW13/26)-AD13+MAX($G13*R13/26*300%,R13*$BW13/26)-AE13+BW13*S13/26-AF13+AH13-AG13,I13-I13*(#REF!-K13-L13)/26+(H13+I13)*50%*M13/26+IF(F13="LT",BW13*O13/26-AB13,0)+MAX($G13*P13/26*150%,P13*$BW13/26)-AC13+MAX($G13*Q13/26*200%,Q13*$BW13/26)-AD13+MAX($G13*R13/26*300%,R13*$BW13/26)-AE13+BW13*S13/26-AF13+AH13-AG13+(G13-G13*(#REF!-K13-L13)/26-Y13)+(H13-H13*(#REF!-K13-L13)/26-AN13))</f>
        <v>#REF!</v>
      </c>
      <c r="AP13" s="78"/>
      <c r="AQ13" s="78"/>
      <c r="AR13" s="78"/>
      <c r="AS13" s="78"/>
      <c r="AT13" s="78"/>
      <c r="AU13" s="78"/>
      <c r="AV13" s="81" t="e">
        <f t="shared" si="19"/>
        <v>#REF!</v>
      </c>
      <c r="AW13" s="81"/>
      <c r="AX13" s="81" t="s">
        <v>97</v>
      </c>
      <c r="AY13" s="72">
        <f t="shared" si="20"/>
        <v>678400</v>
      </c>
      <c r="AZ13" s="72">
        <f t="shared" si="20"/>
        <v>127200</v>
      </c>
      <c r="BA13" s="72">
        <f t="shared" si="20"/>
        <v>84800</v>
      </c>
      <c r="BB13" s="72">
        <f t="shared" si="21"/>
        <v>890400</v>
      </c>
      <c r="BC13" s="72"/>
      <c r="BD13" s="72"/>
      <c r="BE13" s="72">
        <f t="shared" si="22"/>
        <v>84800</v>
      </c>
      <c r="BF13" s="72" t="e">
        <f t="shared" si="23"/>
        <v>#REF!</v>
      </c>
      <c r="BG13" s="72" t="e">
        <f t="shared" si="24"/>
        <v>#REF!</v>
      </c>
      <c r="BH13" s="72"/>
      <c r="BI13" s="72" t="e">
        <f t="shared" si="25"/>
        <v>#REF!</v>
      </c>
      <c r="BJ13" s="71" t="e">
        <f t="shared" si="26"/>
        <v>#REF!</v>
      </c>
      <c r="BK13" s="72"/>
      <c r="BL13" s="72"/>
      <c r="BM13" s="72">
        <v>0</v>
      </c>
      <c r="BN13" s="72"/>
      <c r="BO13" s="72"/>
      <c r="BP13" s="72"/>
      <c r="BQ13" s="72"/>
      <c r="BR13" s="72"/>
      <c r="BS13" s="72" t="e">
        <f t="shared" si="27"/>
        <v>#REF!</v>
      </c>
      <c r="BT13" s="72" t="e">
        <f t="shared" si="28"/>
        <v>#REF!</v>
      </c>
      <c r="BU13" s="92"/>
      <c r="BV13" s="103"/>
      <c r="BW13" s="95">
        <v>40000000</v>
      </c>
      <c r="BX13" s="71">
        <v>0</v>
      </c>
      <c r="BY13" s="71">
        <v>0</v>
      </c>
      <c r="BZ13" s="71"/>
      <c r="CA13" s="71">
        <f t="shared" ref="CA13:CA18" si="31">+BW13*5%</f>
        <v>2000000</v>
      </c>
      <c r="CB13" s="71">
        <f t="shared" si="29"/>
        <v>42000000</v>
      </c>
      <c r="CC13" s="71" t="s">
        <v>110</v>
      </c>
      <c r="CD13" s="71"/>
      <c r="CE13" s="82"/>
      <c r="CF13" s="83"/>
      <c r="CG13" s="83"/>
      <c r="CH13" s="84"/>
      <c r="CI13" s="85"/>
    </row>
    <row r="14" spans="1:87" s="86" customFormat="1" ht="30.5" customHeight="1">
      <c r="A14" s="74">
        <f>IF(B14=0,"",COUNTA($B$12:(B14)))</f>
        <v>3</v>
      </c>
      <c r="B14" s="87" t="s">
        <v>100</v>
      </c>
      <c r="C14" s="76" t="s">
        <v>101</v>
      </c>
      <c r="D14" s="77" t="s">
        <v>102</v>
      </c>
      <c r="E14" s="108" t="s">
        <v>95</v>
      </c>
      <c r="F14" s="109" t="s">
        <v>96</v>
      </c>
      <c r="G14" s="78">
        <v>7820000</v>
      </c>
      <c r="H14" s="78">
        <f t="shared" si="4"/>
        <v>300000</v>
      </c>
      <c r="I14" s="78">
        <f t="shared" si="5"/>
        <v>33880000</v>
      </c>
      <c r="J14" s="79">
        <v>1</v>
      </c>
      <c r="K14" s="80">
        <v>11</v>
      </c>
      <c r="L14" s="80"/>
      <c r="M14" s="80"/>
      <c r="N14" s="80"/>
      <c r="O14" s="80">
        <v>2</v>
      </c>
      <c r="P14" s="80"/>
      <c r="Q14" s="80"/>
      <c r="R14" s="80">
        <v>4</v>
      </c>
      <c r="S14" s="80">
        <v>0</v>
      </c>
      <c r="T14" s="80"/>
      <c r="U14" s="80">
        <v>0</v>
      </c>
      <c r="V14" s="80">
        <v>0</v>
      </c>
      <c r="W14" s="80">
        <v>0</v>
      </c>
      <c r="X14" s="80">
        <v>0</v>
      </c>
      <c r="Y14" s="78">
        <f t="shared" si="6"/>
        <v>3308461.5384615385</v>
      </c>
      <c r="Z14" s="78">
        <f t="shared" si="7"/>
        <v>0</v>
      </c>
      <c r="AA14" s="78">
        <f t="shared" si="8"/>
        <v>0</v>
      </c>
      <c r="AB14" s="78">
        <f t="shared" si="9"/>
        <v>601538.4615384615</v>
      </c>
      <c r="AC14" s="78">
        <f t="shared" si="10"/>
        <v>0</v>
      </c>
      <c r="AD14" s="78">
        <f t="shared" si="11"/>
        <v>0</v>
      </c>
      <c r="AE14" s="78">
        <f t="shared" si="12"/>
        <v>3609230.769230769</v>
      </c>
      <c r="AF14" s="78">
        <f t="shared" si="13"/>
        <v>0</v>
      </c>
      <c r="AG14" s="78">
        <f t="shared" si="14"/>
        <v>0</v>
      </c>
      <c r="AH14" s="78">
        <f t="shared" si="15"/>
        <v>0</v>
      </c>
      <c r="AI14" s="78">
        <f t="shared" si="16"/>
        <v>0</v>
      </c>
      <c r="AJ14" s="78"/>
      <c r="AK14" s="78">
        <f t="shared" si="17"/>
        <v>0</v>
      </c>
      <c r="AL14" s="78"/>
      <c r="AM14" s="78">
        <f t="shared" si="18"/>
        <v>0</v>
      </c>
      <c r="AN14" s="78">
        <f t="shared" si="30"/>
        <v>126923.07692307694</v>
      </c>
      <c r="AO14" s="78" t="e">
        <f>IF(F14="LN",I14*(K14+L14)/26+(H14+I14)*50%*M14/26+IF(F14="LT",BW14*O14/26-AB14,0)+MAX($G14*P14/26*150%,P14*$BW14/26)-AC14+MAX($G14*Q14/26*200%,Q14*$BW14/26)-AD14+MAX($G14*R14/26*300%,R14*$BW14/26)-AE14+BW14*S14/26-AF14+AH14-AG14,I14-I14*(#REF!-K14-L14)/26+(H14+I14)*50%*M14/26+IF(F14="LT",BW14*O14/26-AB14,0)+MAX($G14*P14/26*150%,P14*$BW14/26)-AC14+MAX($G14*Q14/26*200%,Q14*$BW14/26)-AD14+MAX($G14*R14/26*300%,R14*$BW14/26)-AE14+BW14*S14/26-AF14+AH14-AG14+(G14-G14*(#REF!-K14-L14)/26-Y14)+(H14-H14*(#REF!-K14-L14)/26-AN14))</f>
        <v>#REF!</v>
      </c>
      <c r="AP14" s="78"/>
      <c r="AQ14" s="78"/>
      <c r="AR14" s="78"/>
      <c r="AS14" s="78"/>
      <c r="AT14" s="78"/>
      <c r="AU14" s="78"/>
      <c r="AV14" s="81" t="e">
        <f t="shared" si="19"/>
        <v>#REF!</v>
      </c>
      <c r="AW14" s="81"/>
      <c r="AX14" s="81" t="s">
        <v>97</v>
      </c>
      <c r="AY14" s="72">
        <f t="shared" si="20"/>
        <v>649600</v>
      </c>
      <c r="AZ14" s="72">
        <f t="shared" si="20"/>
        <v>121800</v>
      </c>
      <c r="BA14" s="72">
        <f t="shared" si="20"/>
        <v>81200</v>
      </c>
      <c r="BB14" s="72">
        <f t="shared" si="21"/>
        <v>852600</v>
      </c>
      <c r="BC14" s="72"/>
      <c r="BD14" s="72"/>
      <c r="BE14" s="72">
        <f t="shared" si="22"/>
        <v>78200</v>
      </c>
      <c r="BF14" s="72" t="e">
        <f t="shared" si="23"/>
        <v>#REF!</v>
      </c>
      <c r="BG14" s="72" t="e">
        <f t="shared" si="24"/>
        <v>#REF!</v>
      </c>
      <c r="BH14" s="72"/>
      <c r="BI14" s="72" t="e">
        <f t="shared" si="25"/>
        <v>#REF!</v>
      </c>
      <c r="BJ14" s="71" t="e">
        <f t="shared" si="26"/>
        <v>#REF!</v>
      </c>
      <c r="BK14" s="72"/>
      <c r="BL14" s="72"/>
      <c r="BM14" s="72">
        <v>0</v>
      </c>
      <c r="BN14" s="72"/>
      <c r="BO14" s="72"/>
      <c r="BP14" s="72"/>
      <c r="BQ14" s="72"/>
      <c r="BR14" s="72"/>
      <c r="BS14" s="72" t="e">
        <f t="shared" si="27"/>
        <v>#REF!</v>
      </c>
      <c r="BT14" s="72" t="e">
        <f t="shared" si="28"/>
        <v>#REF!</v>
      </c>
      <c r="BU14" s="92"/>
      <c r="BV14" s="103"/>
      <c r="BW14" s="95">
        <v>40000000</v>
      </c>
      <c r="BX14" s="71">
        <v>0</v>
      </c>
      <c r="BY14" s="71">
        <v>0</v>
      </c>
      <c r="BZ14" s="71"/>
      <c r="CA14" s="71">
        <f t="shared" si="31"/>
        <v>2000000</v>
      </c>
      <c r="CB14" s="71">
        <f t="shared" si="29"/>
        <v>42000000</v>
      </c>
      <c r="CC14" s="71" t="s">
        <v>114</v>
      </c>
      <c r="CD14" s="71"/>
      <c r="CE14" s="82"/>
      <c r="CF14" s="83"/>
      <c r="CG14" s="83"/>
      <c r="CH14" s="84"/>
      <c r="CI14" s="85"/>
    </row>
    <row r="15" spans="1:87" s="86" customFormat="1" ht="30.5" customHeight="1">
      <c r="A15" s="74">
        <f>IF(B15=0,"",COUNTA($B$12:(B15)))</f>
        <v>4</v>
      </c>
      <c r="B15" s="75">
        <v>2406198</v>
      </c>
      <c r="C15" s="76" t="s">
        <v>103</v>
      </c>
      <c r="D15" s="77" t="s">
        <v>94</v>
      </c>
      <c r="E15" s="108" t="s">
        <v>95</v>
      </c>
      <c r="F15" s="109" t="s">
        <v>96</v>
      </c>
      <c r="G15" s="78">
        <v>6990000</v>
      </c>
      <c r="H15" s="78">
        <f t="shared" si="4"/>
        <v>0</v>
      </c>
      <c r="I15" s="78">
        <f t="shared" si="5"/>
        <v>17160000</v>
      </c>
      <c r="J15" s="79">
        <v>1</v>
      </c>
      <c r="K15" s="80">
        <v>10.5</v>
      </c>
      <c r="L15" s="80"/>
      <c r="M15" s="80">
        <v>0.5</v>
      </c>
      <c r="N15" s="80"/>
      <c r="O15" s="80">
        <v>2</v>
      </c>
      <c r="P15" s="80"/>
      <c r="Q15" s="80"/>
      <c r="R15" s="80">
        <v>0</v>
      </c>
      <c r="S15" s="80">
        <v>0</v>
      </c>
      <c r="T15" s="80"/>
      <c r="U15" s="80">
        <v>0</v>
      </c>
      <c r="V15" s="80">
        <v>0</v>
      </c>
      <c r="W15" s="80">
        <v>0</v>
      </c>
      <c r="X15" s="80">
        <v>0</v>
      </c>
      <c r="Y15" s="78">
        <f t="shared" si="6"/>
        <v>2822884.6153846155</v>
      </c>
      <c r="Z15" s="78">
        <f t="shared" si="7"/>
        <v>134423.07692307694</v>
      </c>
      <c r="AA15" s="78">
        <f t="shared" si="8"/>
        <v>0</v>
      </c>
      <c r="AB15" s="78">
        <f t="shared" si="9"/>
        <v>537692.30769230775</v>
      </c>
      <c r="AC15" s="78">
        <f t="shared" si="10"/>
        <v>0</v>
      </c>
      <c r="AD15" s="78">
        <f t="shared" si="11"/>
        <v>0</v>
      </c>
      <c r="AE15" s="78">
        <f t="shared" si="12"/>
        <v>0</v>
      </c>
      <c r="AF15" s="78">
        <f t="shared" si="13"/>
        <v>0</v>
      </c>
      <c r="AG15" s="78">
        <f t="shared" si="14"/>
        <v>0</v>
      </c>
      <c r="AH15" s="78">
        <f t="shared" si="15"/>
        <v>0</v>
      </c>
      <c r="AI15" s="78">
        <f t="shared" si="16"/>
        <v>0</v>
      </c>
      <c r="AJ15" s="78"/>
      <c r="AK15" s="78">
        <f t="shared" si="17"/>
        <v>0</v>
      </c>
      <c r="AL15" s="78"/>
      <c r="AM15" s="78">
        <f t="shared" si="18"/>
        <v>0</v>
      </c>
      <c r="AN15" s="78">
        <f t="shared" si="30"/>
        <v>0</v>
      </c>
      <c r="AO15" s="78" t="e">
        <f>IF(F15="LN",I15*(K15+L15)/26+(H15+I15)*50%*M15/26+IF(F15="LT",BW15*O15/26-AB15,0)+MAX($G15*P15/26*150%,P15*$BW15/26)-AC15+MAX($G15*Q15/26*200%,Q15*$BW15/26)-AD15+MAX($G15*R15/26*300%,R15*$BW15/26)-AE15+BW15*S15/26-AF15+AH15-AG15,I15-I15*(#REF!-K15-L15)/26+(H15+I15)*50%*M15/26+IF(F15="LT",BW15*O15/26-AB15,0)+MAX($G15*P15/26*150%,P15*$BW15/26)-AC15+MAX($G15*Q15/26*200%,Q15*$BW15/26)-AD15+MAX($G15*R15/26*300%,R15*$BW15/26)-AE15+BW15*S15/26-AF15+AH15-AG15+(G15-G15*(#REF!-K15-L15)/26-Y15)+(H15-H15*(#REF!-K15-L15)/26-AN15))</f>
        <v>#REF!</v>
      </c>
      <c r="AP15" s="78"/>
      <c r="AQ15" s="78"/>
      <c r="AR15" s="78"/>
      <c r="AS15" s="78"/>
      <c r="AT15" s="78"/>
      <c r="AU15" s="78"/>
      <c r="AV15" s="81" t="e">
        <f t="shared" si="19"/>
        <v>#REF!</v>
      </c>
      <c r="AW15" s="81"/>
      <c r="AX15" s="81" t="s">
        <v>97</v>
      </c>
      <c r="AY15" s="72">
        <f t="shared" si="20"/>
        <v>559200</v>
      </c>
      <c r="AZ15" s="72">
        <f t="shared" si="20"/>
        <v>104850</v>
      </c>
      <c r="BA15" s="72">
        <f t="shared" si="20"/>
        <v>69900</v>
      </c>
      <c r="BB15" s="72">
        <f t="shared" si="21"/>
        <v>733950</v>
      </c>
      <c r="BC15" s="72"/>
      <c r="BD15" s="72"/>
      <c r="BE15" s="72">
        <f t="shared" si="22"/>
        <v>69900</v>
      </c>
      <c r="BF15" s="72" t="e">
        <f t="shared" si="23"/>
        <v>#REF!</v>
      </c>
      <c r="BG15" s="72" t="e">
        <f t="shared" si="24"/>
        <v>#REF!</v>
      </c>
      <c r="BH15" s="72"/>
      <c r="BI15" s="72" t="e">
        <f t="shared" si="25"/>
        <v>#REF!</v>
      </c>
      <c r="BJ15" s="71" t="e">
        <f t="shared" si="26"/>
        <v>#REF!</v>
      </c>
      <c r="BK15" s="72"/>
      <c r="BL15" s="72"/>
      <c r="BM15" s="72">
        <v>0</v>
      </c>
      <c r="BN15" s="72"/>
      <c r="BO15" s="72"/>
      <c r="BP15" s="72"/>
      <c r="BQ15" s="72"/>
      <c r="BR15" s="72"/>
      <c r="BS15" s="72" t="e">
        <f t="shared" si="27"/>
        <v>#REF!</v>
      </c>
      <c r="BT15" s="72" t="e">
        <f t="shared" si="28"/>
        <v>#REF!</v>
      </c>
      <c r="BU15" s="92"/>
      <c r="BV15" s="103"/>
      <c r="BW15" s="95">
        <v>23000000</v>
      </c>
      <c r="BX15" s="71">
        <v>0</v>
      </c>
      <c r="BY15" s="71">
        <v>0</v>
      </c>
      <c r="BZ15" s="71"/>
      <c r="CA15" s="71">
        <f t="shared" si="31"/>
        <v>1150000</v>
      </c>
      <c r="CB15" s="71">
        <f t="shared" si="29"/>
        <v>24150000</v>
      </c>
      <c r="CC15" s="71" t="s">
        <v>110</v>
      </c>
      <c r="CD15" s="71"/>
      <c r="CE15" s="82"/>
      <c r="CF15" s="83"/>
      <c r="CG15" s="83"/>
      <c r="CH15" s="84"/>
      <c r="CI15" s="85"/>
    </row>
    <row r="16" spans="1:87" s="86" customFormat="1" ht="30.5" customHeight="1">
      <c r="A16" s="74">
        <f>IF(B16=0,"",COUNTA($B$12:(B16)))</f>
        <v>5</v>
      </c>
      <c r="B16" s="87" t="s">
        <v>104</v>
      </c>
      <c r="C16" s="76" t="s">
        <v>105</v>
      </c>
      <c r="D16" s="77" t="s">
        <v>106</v>
      </c>
      <c r="E16" s="108" t="s">
        <v>95</v>
      </c>
      <c r="F16" s="109" t="s">
        <v>107</v>
      </c>
      <c r="G16" s="78">
        <v>4850000</v>
      </c>
      <c r="H16" s="78">
        <f t="shared" si="4"/>
        <v>300000</v>
      </c>
      <c r="I16" s="78">
        <f t="shared" si="5"/>
        <v>6400000</v>
      </c>
      <c r="J16" s="79">
        <v>1</v>
      </c>
      <c r="K16" s="80">
        <v>11</v>
      </c>
      <c r="L16" s="80"/>
      <c r="M16" s="80"/>
      <c r="N16" s="80"/>
      <c r="O16" s="80">
        <v>2</v>
      </c>
      <c r="P16" s="80"/>
      <c r="Q16" s="80"/>
      <c r="R16" s="80">
        <v>4</v>
      </c>
      <c r="S16" s="80">
        <v>0</v>
      </c>
      <c r="T16" s="80"/>
      <c r="U16" s="80">
        <v>0</v>
      </c>
      <c r="V16" s="80">
        <v>0</v>
      </c>
      <c r="W16" s="80">
        <v>0</v>
      </c>
      <c r="X16" s="80">
        <v>0</v>
      </c>
      <c r="Y16" s="78">
        <f t="shared" si="6"/>
        <v>2051923.076923077</v>
      </c>
      <c r="Z16" s="78">
        <f t="shared" si="7"/>
        <v>0</v>
      </c>
      <c r="AA16" s="78">
        <f t="shared" si="8"/>
        <v>0</v>
      </c>
      <c r="AB16" s="78">
        <f t="shared" si="9"/>
        <v>373076.92307692306</v>
      </c>
      <c r="AC16" s="78">
        <f t="shared" si="10"/>
        <v>0</v>
      </c>
      <c r="AD16" s="78">
        <f t="shared" si="11"/>
        <v>0</v>
      </c>
      <c r="AE16" s="78">
        <f t="shared" si="12"/>
        <v>2238461.5384615385</v>
      </c>
      <c r="AF16" s="78">
        <f t="shared" si="13"/>
        <v>0</v>
      </c>
      <c r="AG16" s="78">
        <f t="shared" si="14"/>
        <v>0</v>
      </c>
      <c r="AH16" s="78">
        <f t="shared" si="15"/>
        <v>0</v>
      </c>
      <c r="AI16" s="78">
        <f t="shared" si="16"/>
        <v>0</v>
      </c>
      <c r="AJ16" s="78"/>
      <c r="AK16" s="78">
        <f t="shared" si="17"/>
        <v>0</v>
      </c>
      <c r="AL16" s="78"/>
      <c r="AM16" s="78">
        <f t="shared" si="18"/>
        <v>0</v>
      </c>
      <c r="AN16" s="78">
        <f t="shared" si="30"/>
        <v>126923.07692307694</v>
      </c>
      <c r="AO16" s="78">
        <f>IF(F16="LN",I16*(K16+L16)/26+(H16+I16)*50%*M16/26+IF(F16="LT",BW16*O16/26-AB16,0)+MAX($G16*P16/26*150%,P16*$BW16/26)-AC16+MAX($G16*Q16/26*200%,Q16*$BW16/26)-AD16+MAX($G16*R16/26*300%,R16*$BW16/26)-AE16+BW16*S16/26-AF16+AH16-AG16,I16-I16*(#REF!-K16-L16)/26+(H16+I16)*50%*M16/26+IF(F16="LT",BW16*O16/26-AB16,0)+MAX($G16*P16/26*150%,P16*$BW16/26)-AC16+MAX($G16*Q16/26*200%,Q16*$BW16/26)-AD16+MAX($G16*R16/26*300%,R16*$BW16/26)-AE16+BW16*S16/26-AF16+AH16-AG16+(G16-G16*(#REF!-K16-L16)/26-Y16)+(H16-H16*(#REF!-K16-L16)/26-AN16))</f>
        <v>2707692.3076923075</v>
      </c>
      <c r="AP16" s="78"/>
      <c r="AQ16" s="78"/>
      <c r="AR16" s="78"/>
      <c r="AS16" s="78"/>
      <c r="AT16" s="78"/>
      <c r="AU16" s="78"/>
      <c r="AV16" s="81">
        <f t="shared" si="19"/>
        <v>7498076.9230769221</v>
      </c>
      <c r="AW16" s="81"/>
      <c r="AX16" s="81" t="s">
        <v>97</v>
      </c>
      <c r="AY16" s="72">
        <f t="shared" si="20"/>
        <v>412000</v>
      </c>
      <c r="AZ16" s="72">
        <f t="shared" si="20"/>
        <v>77250</v>
      </c>
      <c r="BA16" s="72">
        <f t="shared" si="20"/>
        <v>51500</v>
      </c>
      <c r="BB16" s="72">
        <f t="shared" si="21"/>
        <v>540750</v>
      </c>
      <c r="BC16" s="72"/>
      <c r="BD16" s="72"/>
      <c r="BE16" s="72">
        <f t="shared" si="22"/>
        <v>48500</v>
      </c>
      <c r="BF16" s="72">
        <f t="shared" si="23"/>
        <v>0</v>
      </c>
      <c r="BG16" s="72">
        <f t="shared" si="24"/>
        <v>7498076.9230769221</v>
      </c>
      <c r="BH16" s="72"/>
      <c r="BI16" s="72">
        <f t="shared" si="25"/>
        <v>-4042673.0769230779</v>
      </c>
      <c r="BJ16" s="71">
        <f t="shared" si="26"/>
        <v>0</v>
      </c>
      <c r="BK16" s="72"/>
      <c r="BL16" s="72"/>
      <c r="BM16" s="72">
        <v>0</v>
      </c>
      <c r="BN16" s="72"/>
      <c r="BO16" s="72"/>
      <c r="BP16" s="72"/>
      <c r="BQ16" s="72"/>
      <c r="BR16" s="72"/>
      <c r="BS16" s="72" t="str">
        <f t="shared" si="27"/>
        <v>100%</v>
      </c>
      <c r="BT16" s="72">
        <f t="shared" si="28"/>
        <v>7498076.9230769221</v>
      </c>
      <c r="BU16" s="92"/>
      <c r="BV16" s="103"/>
      <c r="BW16" s="95">
        <v>11000000</v>
      </c>
      <c r="BX16" s="71">
        <v>0</v>
      </c>
      <c r="BY16" s="71">
        <v>0</v>
      </c>
      <c r="BZ16" s="71"/>
      <c r="CA16" s="71">
        <f t="shared" si="31"/>
        <v>550000</v>
      </c>
      <c r="CB16" s="71">
        <f t="shared" si="29"/>
        <v>11550000</v>
      </c>
      <c r="CC16" s="71" t="s">
        <v>114</v>
      </c>
      <c r="CD16" s="71"/>
      <c r="CE16" s="82"/>
      <c r="CF16" s="83"/>
      <c r="CG16" s="83"/>
      <c r="CH16" s="84"/>
      <c r="CI16" s="85"/>
    </row>
    <row r="17" spans="1:87" s="86" customFormat="1" ht="30.5" customHeight="1">
      <c r="A17" s="74">
        <f>IF(B17=0,"",COUNTA($B$12:(B17)))</f>
        <v>6</v>
      </c>
      <c r="B17" s="75">
        <v>2406145</v>
      </c>
      <c r="C17" s="76" t="s">
        <v>108</v>
      </c>
      <c r="D17" s="77" t="s">
        <v>99</v>
      </c>
      <c r="E17" s="108" t="s">
        <v>95</v>
      </c>
      <c r="F17" s="109" t="s">
        <v>96</v>
      </c>
      <c r="G17" s="78">
        <v>6340000</v>
      </c>
      <c r="H17" s="78">
        <f t="shared" si="4"/>
        <v>0</v>
      </c>
      <c r="I17" s="78">
        <f t="shared" si="5"/>
        <v>17810000</v>
      </c>
      <c r="J17" s="79">
        <v>1</v>
      </c>
      <c r="K17" s="80">
        <v>10.5</v>
      </c>
      <c r="L17" s="80"/>
      <c r="M17" s="80">
        <v>0.5</v>
      </c>
      <c r="N17" s="80"/>
      <c r="O17" s="80">
        <v>2</v>
      </c>
      <c r="P17" s="80"/>
      <c r="Q17" s="80"/>
      <c r="R17" s="80">
        <v>0</v>
      </c>
      <c r="S17" s="80">
        <v>0</v>
      </c>
      <c r="T17" s="80"/>
      <c r="U17" s="80">
        <v>0</v>
      </c>
      <c r="V17" s="80">
        <v>0</v>
      </c>
      <c r="W17" s="80">
        <v>0</v>
      </c>
      <c r="X17" s="80">
        <v>0</v>
      </c>
      <c r="Y17" s="78">
        <f t="shared" si="6"/>
        <v>2560384.6153846155</v>
      </c>
      <c r="Z17" s="78">
        <f t="shared" si="7"/>
        <v>121923.07692307692</v>
      </c>
      <c r="AA17" s="78">
        <f t="shared" si="8"/>
        <v>0</v>
      </c>
      <c r="AB17" s="78">
        <f t="shared" si="9"/>
        <v>487692.30769230769</v>
      </c>
      <c r="AC17" s="78">
        <f t="shared" si="10"/>
        <v>0</v>
      </c>
      <c r="AD17" s="78">
        <f t="shared" si="11"/>
        <v>0</v>
      </c>
      <c r="AE17" s="78">
        <f t="shared" si="12"/>
        <v>0</v>
      </c>
      <c r="AF17" s="78">
        <f t="shared" si="13"/>
        <v>0</v>
      </c>
      <c r="AG17" s="78">
        <f t="shared" si="14"/>
        <v>0</v>
      </c>
      <c r="AH17" s="78">
        <f t="shared" si="15"/>
        <v>0</v>
      </c>
      <c r="AI17" s="78">
        <f t="shared" si="16"/>
        <v>0</v>
      </c>
      <c r="AJ17" s="78"/>
      <c r="AK17" s="78">
        <f t="shared" si="17"/>
        <v>0</v>
      </c>
      <c r="AL17" s="78"/>
      <c r="AM17" s="78">
        <f t="shared" si="18"/>
        <v>0</v>
      </c>
      <c r="AN17" s="78">
        <f t="shared" si="30"/>
        <v>0</v>
      </c>
      <c r="AO17" s="78" t="e">
        <f>IF(F17="LN",I17*(K17+L17)/26+(H17+I17)*50%*M17/26+IF(F17="LT",BW17*O17/26-AB17,0)+MAX($G17*P17/26*150%,P17*$BW17/26)-AC17+MAX($G17*Q17/26*200%,Q17*$BW17/26)-AD17+MAX($G17*R17/26*300%,R17*$BW17/26)-AE17+BW17*S17/26-AF17+AH17-AG17,I17-I17*(#REF!-K17-L17)/26+(H17+I17)*50%*M17/26+IF(F17="LT",BW17*O17/26-AB17,0)+MAX($G17*P17/26*150%,P17*$BW17/26)-AC17+MAX($G17*Q17/26*200%,Q17*$BW17/26)-AD17+MAX($G17*R17/26*300%,R17*$BW17/26)-AE17+BW17*S17/26-AF17+AH17-AG17+(G17-G17*(#REF!-K17-L17)/26-Y17)+(H17-H17*(#REF!-K17-L17)/26-AN17))</f>
        <v>#REF!</v>
      </c>
      <c r="AP17" s="78"/>
      <c r="AQ17" s="78"/>
      <c r="AR17" s="78"/>
      <c r="AS17" s="78"/>
      <c r="AT17" s="78"/>
      <c r="AU17" s="78"/>
      <c r="AV17" s="81" t="e">
        <f t="shared" si="19"/>
        <v>#REF!</v>
      </c>
      <c r="AW17" s="81"/>
      <c r="AX17" s="81" t="s">
        <v>97</v>
      </c>
      <c r="AY17" s="72">
        <f t="shared" si="20"/>
        <v>507200</v>
      </c>
      <c r="AZ17" s="72">
        <f t="shared" si="20"/>
        <v>95100</v>
      </c>
      <c r="BA17" s="72">
        <f t="shared" si="20"/>
        <v>63400</v>
      </c>
      <c r="BB17" s="72">
        <f t="shared" si="21"/>
        <v>665700</v>
      </c>
      <c r="BC17" s="72"/>
      <c r="BD17" s="72"/>
      <c r="BE17" s="72">
        <f t="shared" si="22"/>
        <v>63400</v>
      </c>
      <c r="BF17" s="72" t="e">
        <f t="shared" si="23"/>
        <v>#REF!</v>
      </c>
      <c r="BG17" s="72" t="e">
        <f t="shared" si="24"/>
        <v>#REF!</v>
      </c>
      <c r="BH17" s="72"/>
      <c r="BI17" s="72" t="e">
        <f t="shared" si="25"/>
        <v>#REF!</v>
      </c>
      <c r="BJ17" s="71" t="e">
        <f t="shared" si="26"/>
        <v>#REF!</v>
      </c>
      <c r="BK17" s="72"/>
      <c r="BL17" s="72"/>
      <c r="BM17" s="72">
        <v>0</v>
      </c>
      <c r="BN17" s="72"/>
      <c r="BO17" s="72"/>
      <c r="BP17" s="72"/>
      <c r="BQ17" s="72"/>
      <c r="BR17" s="72"/>
      <c r="BS17" s="72" t="e">
        <f t="shared" si="27"/>
        <v>#REF!</v>
      </c>
      <c r="BT17" s="72" t="e">
        <f t="shared" si="28"/>
        <v>#REF!</v>
      </c>
      <c r="BU17" s="92"/>
      <c r="BV17" s="103"/>
      <c r="BW17" s="95">
        <v>23000000</v>
      </c>
      <c r="BX17" s="71">
        <v>0</v>
      </c>
      <c r="BY17" s="71">
        <v>0</v>
      </c>
      <c r="BZ17" s="71"/>
      <c r="CA17" s="71">
        <f t="shared" si="31"/>
        <v>1150000</v>
      </c>
      <c r="CB17" s="71">
        <f t="shared" si="29"/>
        <v>24150000</v>
      </c>
      <c r="CC17" s="71" t="s">
        <v>110</v>
      </c>
      <c r="CD17" s="71"/>
      <c r="CE17" s="82"/>
      <c r="CF17" s="83"/>
      <c r="CG17" s="83"/>
      <c r="CH17" s="84"/>
      <c r="CI17" s="85"/>
    </row>
    <row r="18" spans="1:87" s="86" customFormat="1" ht="30.5" customHeight="1">
      <c r="A18" s="74">
        <f>IF(B18=0,"",COUNTA($B$12:(B18)))</f>
        <v>7</v>
      </c>
      <c r="B18" s="87" t="s">
        <v>111</v>
      </c>
      <c r="C18" s="76" t="s">
        <v>112</v>
      </c>
      <c r="D18" s="77" t="s">
        <v>113</v>
      </c>
      <c r="E18" s="108" t="s">
        <v>95</v>
      </c>
      <c r="F18" s="109" t="s">
        <v>96</v>
      </c>
      <c r="G18" s="78">
        <v>6340000</v>
      </c>
      <c r="H18" s="78">
        <f t="shared" si="4"/>
        <v>300000</v>
      </c>
      <c r="I18" s="78">
        <f t="shared" si="5"/>
        <v>11210000</v>
      </c>
      <c r="J18" s="79">
        <v>1</v>
      </c>
      <c r="K18" s="80">
        <v>11</v>
      </c>
      <c r="L18" s="80"/>
      <c r="M18" s="80"/>
      <c r="N18" s="80"/>
      <c r="O18" s="80">
        <v>2</v>
      </c>
      <c r="P18" s="80"/>
      <c r="Q18" s="80"/>
      <c r="R18" s="80">
        <v>4</v>
      </c>
      <c r="S18" s="80">
        <v>0</v>
      </c>
      <c r="T18" s="80"/>
      <c r="U18" s="80">
        <v>0</v>
      </c>
      <c r="V18" s="80">
        <v>0</v>
      </c>
      <c r="W18" s="80">
        <v>0</v>
      </c>
      <c r="X18" s="80">
        <v>0</v>
      </c>
      <c r="Y18" s="78">
        <f t="shared" si="6"/>
        <v>2682307.6923076925</v>
      </c>
      <c r="Z18" s="78">
        <f t="shared" si="7"/>
        <v>0</v>
      </c>
      <c r="AA18" s="78">
        <f t="shared" si="8"/>
        <v>0</v>
      </c>
      <c r="AB18" s="78">
        <f t="shared" si="9"/>
        <v>487692.30769230769</v>
      </c>
      <c r="AC18" s="78">
        <f t="shared" si="10"/>
        <v>0</v>
      </c>
      <c r="AD18" s="78">
        <f t="shared" si="11"/>
        <v>0</v>
      </c>
      <c r="AE18" s="78">
        <f t="shared" si="12"/>
        <v>2926153.846153846</v>
      </c>
      <c r="AF18" s="78">
        <f t="shared" si="13"/>
        <v>0</v>
      </c>
      <c r="AG18" s="78">
        <f t="shared" si="14"/>
        <v>0</v>
      </c>
      <c r="AH18" s="78">
        <f t="shared" si="15"/>
        <v>0</v>
      </c>
      <c r="AI18" s="78">
        <f t="shared" si="16"/>
        <v>0</v>
      </c>
      <c r="AJ18" s="78"/>
      <c r="AK18" s="78">
        <f t="shared" si="17"/>
        <v>0</v>
      </c>
      <c r="AL18" s="78"/>
      <c r="AM18" s="78">
        <f t="shared" si="18"/>
        <v>0</v>
      </c>
      <c r="AN18" s="78">
        <f t="shared" si="30"/>
        <v>126923.07692307694</v>
      </c>
      <c r="AO18" s="78" t="e">
        <f>IF(F18="LN",I18*(K18+L18)/26+(H18+I18)*50%*M18/26+IF(F18="LT",BW18*O18/26-AB18,0)+MAX($G18*P18/26*150%,P18*$BW18/26)-AC18+MAX($G18*Q18/26*200%,Q18*$BW18/26)-AD18+MAX($G18*R18/26*300%,R18*$BW18/26)-AE18+BW18*S18/26-AF18+AH18-AG18,I18-I18*(#REF!-K18-L18)/26+(H18+I18)*50%*M18/26+IF(F18="LT",BW18*O18/26-AB18,0)+MAX($G18*P18/26*150%,P18*$BW18/26)-AC18+MAX($G18*Q18/26*200%,Q18*$BW18/26)-AD18+MAX($G18*R18/26*300%,R18*$BW18/26)-AE18+BW18*S18/26-AF18+AH18-AG18+(G18-G18*(#REF!-K18-L18)/26-Y18)+(H18-H18*(#REF!-K18-L18)/26-AN18))</f>
        <v>#REF!</v>
      </c>
      <c r="AP18" s="78"/>
      <c r="AQ18" s="78"/>
      <c r="AR18" s="78"/>
      <c r="AS18" s="78"/>
      <c r="AT18" s="78"/>
      <c r="AU18" s="78"/>
      <c r="AV18" s="81" t="e">
        <f t="shared" si="19"/>
        <v>#REF!</v>
      </c>
      <c r="AW18" s="81"/>
      <c r="AX18" s="81" t="s">
        <v>97</v>
      </c>
      <c r="AY18" s="72">
        <f t="shared" si="20"/>
        <v>531200</v>
      </c>
      <c r="AZ18" s="72">
        <f t="shared" si="20"/>
        <v>99600</v>
      </c>
      <c r="BA18" s="72">
        <f t="shared" si="20"/>
        <v>66400</v>
      </c>
      <c r="BB18" s="72">
        <f t="shared" si="21"/>
        <v>697200</v>
      </c>
      <c r="BC18" s="72"/>
      <c r="BD18" s="72"/>
      <c r="BE18" s="72">
        <f t="shared" si="22"/>
        <v>63400</v>
      </c>
      <c r="BF18" s="72" t="e">
        <f t="shared" si="23"/>
        <v>#REF!</v>
      </c>
      <c r="BG18" s="72" t="e">
        <f t="shared" si="24"/>
        <v>#REF!</v>
      </c>
      <c r="BH18" s="72"/>
      <c r="BI18" s="72" t="e">
        <f t="shared" si="25"/>
        <v>#REF!</v>
      </c>
      <c r="BJ18" s="71" t="e">
        <f t="shared" si="26"/>
        <v>#REF!</v>
      </c>
      <c r="BK18" s="72"/>
      <c r="BL18" s="72"/>
      <c r="BM18" s="72">
        <v>0</v>
      </c>
      <c r="BN18" s="72"/>
      <c r="BO18" s="72"/>
      <c r="BP18" s="72"/>
      <c r="BQ18" s="72"/>
      <c r="BR18" s="72"/>
      <c r="BS18" s="72" t="e">
        <f t="shared" si="27"/>
        <v>#REF!</v>
      </c>
      <c r="BT18" s="72" t="e">
        <f t="shared" si="28"/>
        <v>#REF!</v>
      </c>
      <c r="BU18" s="92"/>
      <c r="BV18" s="103"/>
      <c r="BW18" s="95">
        <v>17000000</v>
      </c>
      <c r="BX18" s="71">
        <v>0</v>
      </c>
      <c r="BY18" s="71">
        <v>0</v>
      </c>
      <c r="BZ18" s="71"/>
      <c r="CA18" s="71">
        <f t="shared" si="31"/>
        <v>850000</v>
      </c>
      <c r="CB18" s="71">
        <f t="shared" si="29"/>
        <v>17850000</v>
      </c>
      <c r="CC18" s="71" t="s">
        <v>114</v>
      </c>
      <c r="CD18" s="71"/>
      <c r="CE18" s="82"/>
      <c r="CF18" s="83"/>
      <c r="CG18" s="83"/>
      <c r="CH18" s="84"/>
      <c r="CI18" s="85"/>
    </row>
    <row r="19" spans="1:87" s="26" customFormat="1" ht="18.75" customHeight="1">
      <c r="B19" s="27"/>
      <c r="I19" s="28"/>
      <c r="J19" s="28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30"/>
      <c r="V19" s="30"/>
      <c r="W19" s="31"/>
      <c r="X19" s="31"/>
      <c r="Y19" s="32"/>
      <c r="Z19" s="32"/>
      <c r="AA19" s="32"/>
      <c r="AB19" s="32"/>
      <c r="AC19" s="33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BJ19" s="34"/>
      <c r="BN19" s="34"/>
      <c r="BO19" s="34"/>
      <c r="BP19" s="34"/>
      <c r="BQ19" s="34"/>
      <c r="BR19" s="34"/>
      <c r="BS19" s="34"/>
      <c r="BT19" s="34"/>
      <c r="BU19" s="34"/>
      <c r="BV19" s="104"/>
      <c r="BW19" s="36"/>
      <c r="BX19" s="36"/>
      <c r="BY19" s="36"/>
      <c r="BZ19" s="36"/>
      <c r="CA19" s="36"/>
      <c r="CF19" s="35"/>
    </row>
    <row r="20" spans="1:87" s="37" customFormat="1" ht="21" customHeight="1">
      <c r="B20" s="38"/>
      <c r="C20" s="39"/>
      <c r="D20" s="39"/>
      <c r="E20" s="39"/>
      <c r="F20" s="39"/>
      <c r="G20" s="39"/>
      <c r="H20" s="39"/>
      <c r="I20" s="39"/>
      <c r="J20" s="40"/>
      <c r="K20" s="41"/>
      <c r="L20" s="41"/>
      <c r="M20" s="41"/>
      <c r="N20" s="41"/>
      <c r="O20" s="41"/>
      <c r="P20" s="41"/>
      <c r="Q20" s="41"/>
      <c r="U20" s="43"/>
      <c r="V20" s="41"/>
      <c r="W20" s="39"/>
      <c r="X20" s="39"/>
      <c r="Y20" s="39"/>
      <c r="Z20" s="39"/>
      <c r="AA20" s="39"/>
      <c r="AB20" s="39"/>
      <c r="AC20" s="39"/>
      <c r="AD20" s="44"/>
      <c r="AE20" s="44"/>
      <c r="AF20" s="44"/>
      <c r="AH20" s="44"/>
      <c r="AI20" s="44"/>
      <c r="AJ20" s="44"/>
      <c r="AK20" s="39"/>
      <c r="AL20" s="44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BC20" s="45"/>
      <c r="BD20" s="45"/>
      <c r="BJ20" s="39"/>
      <c r="BL20" s="39"/>
      <c r="BM20" s="39"/>
      <c r="BN20" s="39" t="s">
        <v>115</v>
      </c>
      <c r="BO20" s="39"/>
      <c r="BP20" s="39"/>
      <c r="BQ20" s="39"/>
      <c r="BR20" s="39"/>
      <c r="BS20" s="39"/>
      <c r="BT20" s="39"/>
      <c r="BU20" s="39"/>
      <c r="BV20" s="105"/>
      <c r="BW20" s="47"/>
      <c r="BX20" s="47"/>
      <c r="BY20" s="47"/>
      <c r="BZ20" s="47"/>
      <c r="CA20" s="47"/>
    </row>
    <row r="21" spans="1:87" s="37" customFormat="1" ht="18" customHeight="1">
      <c r="B21" s="48"/>
      <c r="I21" s="40"/>
      <c r="J21" s="40"/>
      <c r="K21" s="43"/>
      <c r="L21" s="43"/>
      <c r="M21" s="43"/>
      <c r="N21" s="43"/>
      <c r="O21" s="43"/>
      <c r="P21" s="43"/>
      <c r="Q21" s="43"/>
      <c r="R21" s="42"/>
      <c r="U21" s="43"/>
      <c r="V21" s="43"/>
      <c r="W21" s="49"/>
      <c r="X21" s="49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7"/>
      <c r="AO21" s="44"/>
      <c r="AP21" s="44"/>
      <c r="AQ21" s="44"/>
      <c r="AR21" s="44"/>
      <c r="AS21" s="44"/>
      <c r="AT21" s="44"/>
      <c r="AU21" s="44"/>
      <c r="AV21" s="39"/>
      <c r="AW21" s="39"/>
      <c r="AX21" s="39"/>
      <c r="AY21" s="47"/>
      <c r="AZ21" s="47"/>
      <c r="BA21" s="47"/>
      <c r="BB21" s="47"/>
      <c r="BL21" s="39"/>
      <c r="BM21" s="45"/>
      <c r="BV21" s="106"/>
      <c r="BW21" s="47"/>
      <c r="BX21" s="47"/>
      <c r="BY21" s="47"/>
      <c r="BZ21" s="47"/>
      <c r="CA21" s="47"/>
      <c r="CF21" s="46"/>
    </row>
    <row r="22" spans="1:87" ht="15" customHeight="1">
      <c r="D22" s="213" t="s">
        <v>148</v>
      </c>
      <c r="I22" s="59"/>
      <c r="X22" s="52"/>
      <c r="BZ22" s="53" t="s">
        <v>143</v>
      </c>
      <c r="CF22" s="24"/>
    </row>
    <row r="23" spans="1:87" ht="73.5" customHeight="1">
      <c r="J23" s="51"/>
      <c r="X23" s="52"/>
    </row>
  </sheetData>
  <autoFilter ref="A9:CI18" xr:uid="{00000000-0009-0000-0000-000002000000}"/>
  <mergeCells count="81">
    <mergeCell ref="AV5:AV8"/>
    <mergeCell ref="A5:A8"/>
    <mergeCell ref="AS5:AS8"/>
    <mergeCell ref="BX5:CA7"/>
    <mergeCell ref="C5:C8"/>
    <mergeCell ref="BW5:BW8"/>
    <mergeCell ref="AI6:AI8"/>
    <mergeCell ref="BQ5:BR5"/>
    <mergeCell ref="D5:D8"/>
    <mergeCell ref="BF7:BF8"/>
    <mergeCell ref="BO7:BO8"/>
    <mergeCell ref="Q6:Q8"/>
    <mergeCell ref="S6:S8"/>
    <mergeCell ref="BL7:BL8"/>
    <mergeCell ref="AC6:AC8"/>
    <mergeCell ref="AP5:AP8"/>
    <mergeCell ref="AR5:AR8"/>
    <mergeCell ref="I5:I8"/>
    <mergeCell ref="BK7:BK8"/>
    <mergeCell ref="K5:X5"/>
    <mergeCell ref="BC7:BC8"/>
    <mergeCell ref="BE7:BE8"/>
    <mergeCell ref="T6:T8"/>
    <mergeCell ref="P6:P8"/>
    <mergeCell ref="AB6:AB8"/>
    <mergeCell ref="AY5:BP5"/>
    <mergeCell ref="AF6:AF8"/>
    <mergeCell ref="AH6:AH8"/>
    <mergeCell ref="L6:L8"/>
    <mergeCell ref="N6:N8"/>
    <mergeCell ref="BG7:BG8"/>
    <mergeCell ref="BI7:BI8"/>
    <mergeCell ref="X6:X8"/>
    <mergeCell ref="BW1:CB3"/>
    <mergeCell ref="AU5:AU8"/>
    <mergeCell ref="CC5:CC8"/>
    <mergeCell ref="AW5:AW8"/>
    <mergeCell ref="AE6:AE8"/>
    <mergeCell ref="AO6:AO8"/>
    <mergeCell ref="BH7:BH8"/>
    <mergeCell ref="BQ6:BQ8"/>
    <mergeCell ref="BT5:BT8"/>
    <mergeCell ref="BS5:BS8"/>
    <mergeCell ref="BK6:BP6"/>
    <mergeCell ref="BU5:BU8"/>
    <mergeCell ref="BR6:BR8"/>
    <mergeCell ref="BM7:BM8"/>
    <mergeCell ref="BN7:BN8"/>
    <mergeCell ref="BP7:BP8"/>
    <mergeCell ref="B5:B8"/>
    <mergeCell ref="BB7:BB8"/>
    <mergeCell ref="BD7:BD8"/>
    <mergeCell ref="K6:K8"/>
    <mergeCell ref="M6:M8"/>
    <mergeCell ref="O6:O8"/>
    <mergeCell ref="E5:E8"/>
    <mergeCell ref="G5:G8"/>
    <mergeCell ref="R6:R8"/>
    <mergeCell ref="AQ5:AQ8"/>
    <mergeCell ref="U6:U8"/>
    <mergeCell ref="AG6:AG8"/>
    <mergeCell ref="H5:H8"/>
    <mergeCell ref="J5:J8"/>
    <mergeCell ref="V6:W7"/>
    <mergeCell ref="F5:F8"/>
    <mergeCell ref="CD5:CD8"/>
    <mergeCell ref="Y6:Y8"/>
    <mergeCell ref="AA6:AA8"/>
    <mergeCell ref="AK6:AK8"/>
    <mergeCell ref="AM6:AM8"/>
    <mergeCell ref="AX5:AX8"/>
    <mergeCell ref="Y5:AO5"/>
    <mergeCell ref="BJ7:BJ8"/>
    <mergeCell ref="CB5:CB8"/>
    <mergeCell ref="AJ6:AJ8"/>
    <mergeCell ref="AL6:AL8"/>
    <mergeCell ref="AN6:AN8"/>
    <mergeCell ref="Z6:Z8"/>
    <mergeCell ref="AD6:AD8"/>
    <mergeCell ref="AY6:BJ6"/>
    <mergeCell ref="AT5:AT8"/>
  </mergeCells>
  <conditionalFormatting sqref="B12:B18">
    <cfRule type="duplicateValues" dxfId="12" priority="1"/>
    <cfRule type="duplicateValues" dxfId="11" priority="2"/>
    <cfRule type="duplicateValues" dxfId="10" priority="3"/>
  </conditionalFormatting>
  <conditionalFormatting sqref="B19:B1048576 B1:B9 C9:BU9">
    <cfRule type="duplicateValues" dxfId="9" priority="6"/>
  </conditionalFormatting>
  <conditionalFormatting sqref="B19:B1048576 B1:B9 C9:CD9 D10:F10 J10:BI10 BK10:CD10">
    <cfRule type="duplicateValues" dxfId="8" priority="5"/>
  </conditionalFormatting>
  <conditionalFormatting sqref="BJ10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1"/>
  <sheetViews>
    <sheetView zoomScaleNormal="100" zoomScaleSheetLayoutView="70" workbookViewId="0">
      <pane xSplit="6" ySplit="7" topLeftCell="BC8" activePane="bottomRight" state="frozen"/>
      <selection pane="topRight" activeCell="E18" sqref="E18"/>
      <selection pane="bottomLeft" activeCell="E18" sqref="E18"/>
      <selection pane="bottomRight" activeCell="BK24" sqref="BK24"/>
    </sheetView>
  </sheetViews>
  <sheetFormatPr baseColWidth="10" defaultColWidth="9.1640625" defaultRowHeight="15" outlineLevelCol="1"/>
  <cols>
    <col min="1" max="1" width="5.5" style="193" customWidth="1"/>
    <col min="2" max="2" width="8.5" style="194" customWidth="1"/>
    <col min="3" max="3" width="10.83203125" style="195" bestFit="1" customWidth="1"/>
    <col min="4" max="4" width="5.5" style="196" bestFit="1" customWidth="1" outlineLevel="1"/>
    <col min="5" max="5" width="5.5" style="196" customWidth="1" outlineLevel="1"/>
    <col min="6" max="6" width="20.6640625" style="197" customWidth="1" outlineLevel="1"/>
    <col min="7" max="7" width="13.6640625" style="198" bestFit="1" customWidth="1"/>
    <col min="8" max="8" width="12.5" style="198" customWidth="1"/>
    <col min="9" max="9" width="12.5" style="190" customWidth="1"/>
    <col min="10" max="10" width="7.5" style="190" customWidth="1" outlineLevel="1"/>
    <col min="11" max="24" width="7.1640625" style="199" customWidth="1"/>
    <col min="25" max="40" width="12.33203125" style="200" customWidth="1"/>
    <col min="41" max="41" width="100.6640625" style="200" customWidth="1"/>
    <col min="42" max="47" width="12.33203125" style="200" customWidth="1"/>
    <col min="48" max="48" width="30.6640625" style="200" customWidth="1"/>
    <col min="49" max="49" width="13" style="200" customWidth="1"/>
    <col min="50" max="50" width="6.6640625" style="200" customWidth="1"/>
    <col min="51" max="53" width="10.5" style="200" customWidth="1" outlineLevel="1"/>
    <col min="54" max="57" width="10.5" style="200" customWidth="1"/>
    <col min="58" max="58" width="30.6640625" style="200" customWidth="1"/>
    <col min="59" max="61" width="10.5" style="200" customWidth="1"/>
    <col min="62" max="62" width="30.6640625" style="200" customWidth="1"/>
    <col min="63" max="71" width="10.5" style="200" customWidth="1"/>
    <col min="72" max="73" width="12.5" style="200" customWidth="1"/>
    <col min="74" max="74" width="12.5" customWidth="1"/>
    <col min="75" max="79" width="12.6640625" style="198" customWidth="1" outlineLevel="1"/>
    <col min="80" max="80" width="12.6640625" style="201" customWidth="1" outlineLevel="1"/>
    <col min="81" max="82" width="10.6640625" style="201" customWidth="1" outlineLevel="1"/>
    <col min="83" max="83" width="19.5" style="202" customWidth="1"/>
    <col min="84" max="84" width="12.33203125" style="202" customWidth="1"/>
    <col min="85" max="85" width="12.5" style="202" customWidth="1"/>
    <col min="86" max="86" width="11.6640625" style="202" customWidth="1"/>
    <col min="87" max="87" width="9.1640625" style="202" customWidth="1"/>
    <col min="88" max="16384" width="9.1640625" style="202"/>
  </cols>
  <sheetData>
    <row r="1" spans="1:87" s="114" customFormat="1">
      <c r="A1" s="247" t="s">
        <v>0</v>
      </c>
      <c r="B1" s="233" t="s">
        <v>1</v>
      </c>
      <c r="C1" s="215" t="s">
        <v>2</v>
      </c>
      <c r="D1" s="236" t="s">
        <v>137</v>
      </c>
      <c r="E1" s="236" t="s">
        <v>4</v>
      </c>
      <c r="F1" s="266" t="s">
        <v>138</v>
      </c>
      <c r="G1" s="215" t="s">
        <v>6</v>
      </c>
      <c r="H1" s="258" t="s">
        <v>7</v>
      </c>
      <c r="I1" s="258" t="s">
        <v>8</v>
      </c>
      <c r="J1" s="215" t="s">
        <v>9</v>
      </c>
      <c r="K1" s="260" t="s">
        <v>10</v>
      </c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15" t="s">
        <v>11</v>
      </c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9"/>
      <c r="AP1" s="215" t="s">
        <v>12</v>
      </c>
      <c r="AQ1" s="215" t="s">
        <v>13</v>
      </c>
      <c r="AR1" s="215" t="s">
        <v>14</v>
      </c>
      <c r="AS1" s="215" t="s">
        <v>15</v>
      </c>
      <c r="AT1" s="215" t="s">
        <v>16</v>
      </c>
      <c r="AU1" s="215" t="s">
        <v>17</v>
      </c>
      <c r="AV1" s="215" t="s">
        <v>18</v>
      </c>
      <c r="AW1" s="215" t="s">
        <v>19</v>
      </c>
      <c r="AX1" s="215" t="s">
        <v>20</v>
      </c>
      <c r="AY1" s="227" t="s">
        <v>21</v>
      </c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9"/>
      <c r="BQ1" s="224" t="s">
        <v>22</v>
      </c>
      <c r="BR1" s="225"/>
      <c r="BS1" s="227" t="s">
        <v>139</v>
      </c>
      <c r="BT1" s="227" t="s">
        <v>23</v>
      </c>
      <c r="BU1" s="243" t="s">
        <v>24</v>
      </c>
      <c r="BW1" s="255" t="s">
        <v>25</v>
      </c>
      <c r="BX1" s="248" t="s">
        <v>26</v>
      </c>
      <c r="BY1" s="249"/>
      <c r="BZ1" s="249"/>
      <c r="CA1" s="225"/>
      <c r="CB1" s="226" t="s">
        <v>27</v>
      </c>
      <c r="CC1" s="219" t="s">
        <v>28</v>
      </c>
      <c r="CD1" s="219" t="s">
        <v>29</v>
      </c>
      <c r="CH1" s="115"/>
      <c r="CI1" s="116"/>
    </row>
    <row r="2" spans="1:87" s="114" customFormat="1">
      <c r="A2" s="216"/>
      <c r="B2" s="216"/>
      <c r="C2" s="216"/>
      <c r="D2" s="216"/>
      <c r="E2" s="216"/>
      <c r="F2" s="216"/>
      <c r="G2" s="216"/>
      <c r="H2" s="216"/>
      <c r="I2" s="216"/>
      <c r="J2" s="216"/>
      <c r="K2" s="257" t="s">
        <v>30</v>
      </c>
      <c r="L2" s="257" t="s">
        <v>31</v>
      </c>
      <c r="M2" s="257" t="s">
        <v>32</v>
      </c>
      <c r="N2" s="257" t="s">
        <v>33</v>
      </c>
      <c r="O2" s="257" t="s">
        <v>34</v>
      </c>
      <c r="P2" s="257" t="s">
        <v>35</v>
      </c>
      <c r="Q2" s="257" t="s">
        <v>36</v>
      </c>
      <c r="R2" s="257" t="s">
        <v>37</v>
      </c>
      <c r="S2" s="257" t="s">
        <v>38</v>
      </c>
      <c r="T2" s="257" t="s">
        <v>39</v>
      </c>
      <c r="U2" s="257" t="s">
        <v>40</v>
      </c>
      <c r="V2" s="261" t="s">
        <v>41</v>
      </c>
      <c r="W2" s="225"/>
      <c r="X2" s="257" t="s">
        <v>42</v>
      </c>
      <c r="Y2" s="215" t="s">
        <v>43</v>
      </c>
      <c r="Z2" s="215" t="s">
        <v>44</v>
      </c>
      <c r="AA2" s="215" t="s">
        <v>45</v>
      </c>
      <c r="AB2" s="215" t="s">
        <v>46</v>
      </c>
      <c r="AC2" s="258" t="s">
        <v>47</v>
      </c>
      <c r="AD2" s="258" t="s">
        <v>140</v>
      </c>
      <c r="AE2" s="258" t="s">
        <v>49</v>
      </c>
      <c r="AF2" s="258" t="s">
        <v>50</v>
      </c>
      <c r="AG2" s="215" t="s">
        <v>51</v>
      </c>
      <c r="AH2" s="258" t="s">
        <v>52</v>
      </c>
      <c r="AI2" s="258" t="s">
        <v>53</v>
      </c>
      <c r="AJ2" s="215" t="s">
        <v>54</v>
      </c>
      <c r="AK2" s="221" t="s">
        <v>55</v>
      </c>
      <c r="AL2" s="215" t="s">
        <v>56</v>
      </c>
      <c r="AM2" s="215" t="s">
        <v>57</v>
      </c>
      <c r="AN2" s="230" t="s">
        <v>58</v>
      </c>
      <c r="AO2" s="215" t="s">
        <v>59</v>
      </c>
      <c r="AP2" s="216"/>
      <c r="AQ2" s="216"/>
      <c r="AR2" s="216"/>
      <c r="AS2" s="216"/>
      <c r="AT2" s="216"/>
      <c r="AU2" s="216"/>
      <c r="AV2" s="216"/>
      <c r="AW2" s="216"/>
      <c r="AX2" s="216"/>
      <c r="AY2" s="227" t="s">
        <v>21</v>
      </c>
      <c r="AZ2" s="228"/>
      <c r="BA2" s="228"/>
      <c r="BB2" s="228"/>
      <c r="BC2" s="228"/>
      <c r="BD2" s="228"/>
      <c r="BE2" s="228"/>
      <c r="BF2" s="228"/>
      <c r="BG2" s="228"/>
      <c r="BH2" s="228"/>
      <c r="BI2" s="228"/>
      <c r="BJ2" s="229"/>
      <c r="BK2" s="227" t="s">
        <v>60</v>
      </c>
      <c r="BL2" s="228"/>
      <c r="BM2" s="228"/>
      <c r="BN2" s="228"/>
      <c r="BO2" s="228"/>
      <c r="BP2" s="229"/>
      <c r="BQ2" s="244" t="s">
        <v>61</v>
      </c>
      <c r="BR2" s="244" t="s">
        <v>62</v>
      </c>
      <c r="BS2" s="216"/>
      <c r="BT2" s="216"/>
      <c r="BU2" s="222"/>
      <c r="BW2" s="251"/>
      <c r="BX2" s="222"/>
      <c r="BY2" s="259"/>
      <c r="BZ2" s="259"/>
      <c r="CA2" s="251"/>
      <c r="CB2" s="216"/>
      <c r="CC2" s="216"/>
      <c r="CD2" s="216"/>
      <c r="CH2" s="115"/>
      <c r="CI2" s="116"/>
    </row>
    <row r="3" spans="1:87" s="114" customFormat="1" ht="12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23"/>
      <c r="W3" s="239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22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88" t="s">
        <v>63</v>
      </c>
      <c r="AZ3" s="88" t="s">
        <v>64</v>
      </c>
      <c r="BA3" s="88" t="s">
        <v>65</v>
      </c>
      <c r="BB3" s="227" t="s">
        <v>66</v>
      </c>
      <c r="BC3" s="234" t="s">
        <v>67</v>
      </c>
      <c r="BD3" s="234" t="s">
        <v>68</v>
      </c>
      <c r="BE3" s="234" t="s">
        <v>141</v>
      </c>
      <c r="BF3" s="234" t="s">
        <v>70</v>
      </c>
      <c r="BG3" s="234" t="s">
        <v>71</v>
      </c>
      <c r="BH3" s="234" t="s">
        <v>72</v>
      </c>
      <c r="BI3" s="234" t="s">
        <v>75</v>
      </c>
      <c r="BJ3" s="256" t="s">
        <v>76</v>
      </c>
      <c r="BK3" s="234" t="s">
        <v>77</v>
      </c>
      <c r="BL3" s="227" t="s">
        <v>78</v>
      </c>
      <c r="BM3" s="234" t="s">
        <v>79</v>
      </c>
      <c r="BN3" s="227" t="s">
        <v>80</v>
      </c>
      <c r="BO3" s="227" t="s">
        <v>142</v>
      </c>
      <c r="BP3" s="227" t="s">
        <v>81</v>
      </c>
      <c r="BQ3" s="216"/>
      <c r="BR3" s="216"/>
      <c r="BS3" s="216"/>
      <c r="BT3" s="216"/>
      <c r="BU3" s="222"/>
      <c r="BW3" s="251"/>
      <c r="BX3" s="252"/>
      <c r="BY3" s="253"/>
      <c r="BZ3" s="253"/>
      <c r="CA3" s="254"/>
      <c r="CB3" s="216"/>
      <c r="CC3" s="216"/>
      <c r="CD3" s="216"/>
      <c r="CH3" s="115"/>
      <c r="CI3" s="116"/>
    </row>
    <row r="4" spans="1:87" s="114" customFormat="1" ht="22.5" customHeight="1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118" t="s">
        <v>82</v>
      </c>
      <c r="W4" s="118" t="s">
        <v>83</v>
      </c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23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89" t="s">
        <v>84</v>
      </c>
      <c r="AZ4" s="89" t="s">
        <v>85</v>
      </c>
      <c r="BA4" s="89" t="s">
        <v>86</v>
      </c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23"/>
      <c r="BW4" s="254"/>
      <c r="BX4" s="61" t="s">
        <v>87</v>
      </c>
      <c r="BY4" s="61" t="s">
        <v>88</v>
      </c>
      <c r="BZ4" s="61" t="s">
        <v>89</v>
      </c>
      <c r="CA4" s="62" t="s">
        <v>90</v>
      </c>
      <c r="CB4" s="220"/>
      <c r="CC4" s="220"/>
      <c r="CD4" s="220"/>
      <c r="CF4" s="119"/>
      <c r="CH4" s="115"/>
      <c r="CI4" s="116"/>
    </row>
    <row r="5" spans="1:87" s="191" customFormat="1" ht="11">
      <c r="A5" s="21">
        <v>1</v>
      </c>
      <c r="B5" s="22">
        <f>A5+1</f>
        <v>2</v>
      </c>
      <c r="C5" s="22">
        <f>B5+1</f>
        <v>3</v>
      </c>
      <c r="D5" s="22">
        <f>C5+1</f>
        <v>4</v>
      </c>
      <c r="E5" s="22"/>
      <c r="F5" s="22">
        <f>D5+1</f>
        <v>5</v>
      </c>
      <c r="G5" s="22">
        <f t="shared" ref="G5:AV5" si="0">F5+1</f>
        <v>6</v>
      </c>
      <c r="H5" s="22">
        <f t="shared" si="0"/>
        <v>7</v>
      </c>
      <c r="I5" s="22">
        <f t="shared" si="0"/>
        <v>8</v>
      </c>
      <c r="J5" s="22">
        <f t="shared" si="0"/>
        <v>9</v>
      </c>
      <c r="K5" s="22">
        <f t="shared" si="0"/>
        <v>10</v>
      </c>
      <c r="L5" s="22">
        <f t="shared" si="0"/>
        <v>11</v>
      </c>
      <c r="M5" s="22">
        <f t="shared" si="0"/>
        <v>12</v>
      </c>
      <c r="N5" s="22">
        <f t="shared" si="0"/>
        <v>13</v>
      </c>
      <c r="O5" s="22">
        <f t="shared" si="0"/>
        <v>14</v>
      </c>
      <c r="P5" s="22">
        <f t="shared" si="0"/>
        <v>15</v>
      </c>
      <c r="Q5" s="22">
        <f t="shared" si="0"/>
        <v>16</v>
      </c>
      <c r="R5" s="22">
        <f t="shared" si="0"/>
        <v>17</v>
      </c>
      <c r="S5" s="22">
        <f t="shared" si="0"/>
        <v>18</v>
      </c>
      <c r="T5" s="22">
        <f t="shared" si="0"/>
        <v>19</v>
      </c>
      <c r="U5" s="22">
        <f t="shared" si="0"/>
        <v>20</v>
      </c>
      <c r="V5" s="22">
        <f t="shared" si="0"/>
        <v>21</v>
      </c>
      <c r="W5" s="22">
        <f t="shared" si="0"/>
        <v>22</v>
      </c>
      <c r="X5" s="22">
        <f t="shared" si="0"/>
        <v>23</v>
      </c>
      <c r="Y5" s="22">
        <f t="shared" si="0"/>
        <v>24</v>
      </c>
      <c r="Z5" s="22">
        <f t="shared" si="0"/>
        <v>25</v>
      </c>
      <c r="AA5" s="22">
        <f t="shared" si="0"/>
        <v>26</v>
      </c>
      <c r="AB5" s="22">
        <f t="shared" si="0"/>
        <v>27</v>
      </c>
      <c r="AC5" s="22">
        <f t="shared" si="0"/>
        <v>28</v>
      </c>
      <c r="AD5" s="22">
        <f t="shared" si="0"/>
        <v>29</v>
      </c>
      <c r="AE5" s="22">
        <f t="shared" si="0"/>
        <v>30</v>
      </c>
      <c r="AF5" s="22">
        <f t="shared" si="0"/>
        <v>31</v>
      </c>
      <c r="AG5" s="22">
        <f t="shared" si="0"/>
        <v>32</v>
      </c>
      <c r="AH5" s="22">
        <f t="shared" si="0"/>
        <v>33</v>
      </c>
      <c r="AI5" s="22">
        <f t="shared" si="0"/>
        <v>34</v>
      </c>
      <c r="AJ5" s="22">
        <f t="shared" si="0"/>
        <v>35</v>
      </c>
      <c r="AK5" s="22">
        <f t="shared" si="0"/>
        <v>36</v>
      </c>
      <c r="AL5" s="22">
        <f t="shared" si="0"/>
        <v>37</v>
      </c>
      <c r="AM5" s="22">
        <f t="shared" si="0"/>
        <v>38</v>
      </c>
      <c r="AN5" s="22">
        <f t="shared" si="0"/>
        <v>39</v>
      </c>
      <c r="AO5" s="22">
        <f t="shared" si="0"/>
        <v>40</v>
      </c>
      <c r="AP5" s="22">
        <f t="shared" si="0"/>
        <v>41</v>
      </c>
      <c r="AQ5" s="22">
        <f t="shared" si="0"/>
        <v>42</v>
      </c>
      <c r="AR5" s="22">
        <f t="shared" si="0"/>
        <v>43</v>
      </c>
      <c r="AS5" s="22">
        <f t="shared" si="0"/>
        <v>44</v>
      </c>
      <c r="AT5" s="22">
        <f t="shared" si="0"/>
        <v>45</v>
      </c>
      <c r="AU5" s="22">
        <f t="shared" si="0"/>
        <v>46</v>
      </c>
      <c r="AV5" s="22">
        <f t="shared" si="0"/>
        <v>47</v>
      </c>
      <c r="AW5" s="22"/>
      <c r="AX5" s="22"/>
      <c r="AY5" s="22">
        <f>AV5+1</f>
        <v>48</v>
      </c>
      <c r="AZ5" s="22">
        <f t="shared" ref="AZ5:BE5" si="1">AY5+1</f>
        <v>49</v>
      </c>
      <c r="BA5" s="22">
        <f t="shared" si="1"/>
        <v>50</v>
      </c>
      <c r="BB5" s="22">
        <f t="shared" si="1"/>
        <v>51</v>
      </c>
      <c r="BC5" s="22">
        <f t="shared" si="1"/>
        <v>52</v>
      </c>
      <c r="BD5" s="22">
        <f t="shared" si="1"/>
        <v>53</v>
      </c>
      <c r="BE5" s="22">
        <f t="shared" si="1"/>
        <v>54</v>
      </c>
      <c r="BF5" s="22"/>
      <c r="BG5" s="22"/>
      <c r="BH5" s="22"/>
      <c r="BI5" s="22"/>
      <c r="BJ5" s="22">
        <f>BE5+1</f>
        <v>55</v>
      </c>
      <c r="BK5" s="22">
        <f>BJ5+1</f>
        <v>56</v>
      </c>
      <c r="BL5" s="22">
        <f>BK5+1</f>
        <v>57</v>
      </c>
      <c r="BM5" s="22">
        <f>BL5+1</f>
        <v>58</v>
      </c>
      <c r="BN5" s="22">
        <f>BM5+1</f>
        <v>59</v>
      </c>
      <c r="BO5" s="22"/>
      <c r="BP5" s="22">
        <f>BN5+1</f>
        <v>60</v>
      </c>
      <c r="BQ5" s="22">
        <f>BP5+1</f>
        <v>61</v>
      </c>
      <c r="BR5" s="22">
        <f>BQ5+1</f>
        <v>62</v>
      </c>
      <c r="BS5" s="22"/>
      <c r="BT5" s="22">
        <f>BR5+1</f>
        <v>63</v>
      </c>
      <c r="BU5" s="22">
        <f>BT5+1</f>
        <v>64</v>
      </c>
      <c r="BW5" s="93" t="s">
        <v>91</v>
      </c>
      <c r="BX5" s="22">
        <f t="shared" ref="BX5:CD5" si="2">BW5+1</f>
        <v>66</v>
      </c>
      <c r="BY5" s="22">
        <f t="shared" si="2"/>
        <v>67</v>
      </c>
      <c r="BZ5" s="22">
        <f t="shared" si="2"/>
        <v>68</v>
      </c>
      <c r="CA5" s="22">
        <f t="shared" si="2"/>
        <v>69</v>
      </c>
      <c r="CB5" s="22">
        <f t="shared" si="2"/>
        <v>70</v>
      </c>
      <c r="CC5" s="22">
        <f t="shared" si="2"/>
        <v>71</v>
      </c>
      <c r="CD5" s="22">
        <f t="shared" si="2"/>
        <v>72</v>
      </c>
      <c r="CG5" s="114"/>
      <c r="CH5" s="115"/>
      <c r="CI5" s="116"/>
    </row>
    <row r="6" spans="1:87" s="192" customFormat="1" ht="11">
      <c r="A6" s="66" t="s">
        <v>92</v>
      </c>
      <c r="B6" s="66" t="s">
        <v>92</v>
      </c>
      <c r="C6" s="66" t="s">
        <v>92</v>
      </c>
      <c r="D6" s="22"/>
      <c r="E6" s="22"/>
      <c r="F6" s="22"/>
      <c r="G6" s="66" t="s">
        <v>92</v>
      </c>
      <c r="H6" s="66" t="s">
        <v>92</v>
      </c>
      <c r="I6" s="66" t="s">
        <v>92</v>
      </c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90"/>
      <c r="BW6" s="94"/>
      <c r="BX6" s="63"/>
      <c r="BY6" s="63"/>
      <c r="BZ6" s="63"/>
      <c r="CA6" s="63"/>
      <c r="CB6" s="63"/>
      <c r="CC6" s="63"/>
      <c r="CD6" s="63"/>
      <c r="CG6" s="113"/>
      <c r="CH6" s="115"/>
      <c r="CI6" s="116"/>
    </row>
    <row r="7" spans="1:87" s="131" customFormat="1" ht="11">
      <c r="A7" s="123"/>
      <c r="B7" s="124"/>
      <c r="C7" s="124"/>
      <c r="D7" s="125"/>
      <c r="E7" s="125"/>
      <c r="F7" s="125"/>
      <c r="G7" s="124">
        <f>SUM(G8:G10)</f>
        <v>23500000</v>
      </c>
      <c r="H7" s="124">
        <f>SUM(H8:H10)</f>
        <v>300000</v>
      </c>
      <c r="I7" s="124">
        <f>SUM(I8:I10)</f>
        <v>78200000</v>
      </c>
      <c r="J7" s="124"/>
      <c r="K7" s="126">
        <f>SUM(K8:K10)</f>
        <v>32.5</v>
      </c>
      <c r="L7" s="126"/>
      <c r="M7" s="126"/>
      <c r="N7" s="126"/>
      <c r="O7" s="126"/>
      <c r="P7" s="126"/>
      <c r="Q7" s="126"/>
      <c r="R7" s="126">
        <f>SUM(R8:R10)</f>
        <v>4</v>
      </c>
      <c r="S7" s="126">
        <f>SUM(S8:S10)</f>
        <v>0</v>
      </c>
      <c r="T7" s="126"/>
      <c r="U7" s="126">
        <f>SUM(U8:U10)</f>
        <v>0</v>
      </c>
      <c r="V7" s="126">
        <f>SUM(V8:V10)</f>
        <v>0</v>
      </c>
      <c r="W7" s="126">
        <f>SUM(W8:W10)</f>
        <v>0</v>
      </c>
      <c r="X7" s="126">
        <f>SUM(X8:X10)</f>
        <v>0</v>
      </c>
      <c r="Y7" s="124">
        <f>SUM(Y8:Y10)</f>
        <v>9807884.615384616</v>
      </c>
      <c r="Z7" s="124"/>
      <c r="AA7" s="124"/>
      <c r="AB7" s="124"/>
      <c r="AC7" s="124">
        <f>SUM(AC8:AC10)</f>
        <v>0</v>
      </c>
      <c r="AD7" s="124">
        <f>SUM(AD8:AD10)</f>
        <v>0</v>
      </c>
      <c r="AE7" s="124"/>
      <c r="AF7" s="124">
        <f t="shared" ref="AF7:AO7" si="3">SUM(AF8:AF10)</f>
        <v>0</v>
      </c>
      <c r="AG7" s="124">
        <f t="shared" si="3"/>
        <v>0</v>
      </c>
      <c r="AH7" s="124">
        <f t="shared" si="3"/>
        <v>0</v>
      </c>
      <c r="AI7" s="124">
        <f t="shared" si="3"/>
        <v>0</v>
      </c>
      <c r="AJ7" s="124">
        <f t="shared" si="3"/>
        <v>0</v>
      </c>
      <c r="AK7" s="124">
        <f t="shared" si="3"/>
        <v>0</v>
      </c>
      <c r="AL7" s="124">
        <f t="shared" si="3"/>
        <v>0</v>
      </c>
      <c r="AM7" s="124">
        <f t="shared" si="3"/>
        <v>0</v>
      </c>
      <c r="AN7" s="124">
        <f t="shared" si="3"/>
        <v>126923.07692307694</v>
      </c>
      <c r="AO7" s="124" t="e">
        <f t="shared" si="3"/>
        <v>#REF!</v>
      </c>
      <c r="AP7" s="124"/>
      <c r="AQ7" s="124"/>
      <c r="AR7" s="124"/>
      <c r="AS7" s="124"/>
      <c r="AT7" s="124"/>
      <c r="AU7" s="124"/>
      <c r="AV7" s="124" t="e">
        <f>SUM(AV8:AV10)</f>
        <v>#REF!</v>
      </c>
      <c r="AW7" s="124"/>
      <c r="AX7" s="124"/>
      <c r="AY7" s="124">
        <f>SUM(AY8:AY10)</f>
        <v>1904000</v>
      </c>
      <c r="AZ7" s="124">
        <f>SUM(AZ8:AZ10)</f>
        <v>357000</v>
      </c>
      <c r="BA7" s="124">
        <f>SUM(BA8:BA10)</f>
        <v>238000</v>
      </c>
      <c r="BB7" s="124">
        <f>SUM(BB8:BB10)</f>
        <v>2499000</v>
      </c>
      <c r="BC7" s="124">
        <f>SUM(BC8:BC10)</f>
        <v>0</v>
      </c>
      <c r="BD7" s="124"/>
      <c r="BE7" s="124">
        <f>SUM(BE8:BE10)</f>
        <v>235000</v>
      </c>
      <c r="BF7" s="124"/>
      <c r="BG7" s="124"/>
      <c r="BH7" s="124"/>
      <c r="BI7" s="124"/>
      <c r="BJ7" s="124" t="e">
        <f>SUM(BJ8:BJ10)</f>
        <v>#REF!</v>
      </c>
      <c r="BK7" s="124">
        <f>SUM(BK8:BK10)</f>
        <v>0</v>
      </c>
      <c r="BL7" s="124">
        <f>SUM(BL8:BL10)</f>
        <v>0</v>
      </c>
      <c r="BM7" s="124">
        <f>SUM(BM8:BM10)</f>
        <v>0</v>
      </c>
      <c r="BN7" s="124">
        <f>SUM(BN8:BN10)</f>
        <v>0</v>
      </c>
      <c r="BO7" s="124"/>
      <c r="BP7" s="124">
        <f>SUM(BP8:BP10)</f>
        <v>0</v>
      </c>
      <c r="BQ7" s="124"/>
      <c r="BR7" s="124"/>
      <c r="BS7" s="124"/>
      <c r="BT7" s="124" t="e">
        <f>SUM(BT8:BT10)</f>
        <v>#REF!</v>
      </c>
      <c r="BU7" s="128">
        <f>SUM(BU8:BU10)</f>
        <v>0</v>
      </c>
      <c r="BW7" s="129"/>
      <c r="BX7" s="130"/>
      <c r="BY7" s="130"/>
      <c r="BZ7" s="130"/>
      <c r="CA7" s="130"/>
      <c r="CB7" s="130"/>
      <c r="CC7" s="130"/>
      <c r="CD7" s="130"/>
    </row>
    <row r="8" spans="1:87" s="149" customFormat="1" ht="11">
      <c r="A8" s="132">
        <f>IF(B8=0,"",COUNTA($B$8:(B8)))</f>
        <v>1</v>
      </c>
      <c r="B8" s="133">
        <v>123456</v>
      </c>
      <c r="C8" s="134" t="s">
        <v>116</v>
      </c>
      <c r="D8" s="135" t="s">
        <v>144</v>
      </c>
      <c r="E8" s="135" t="s">
        <v>95</v>
      </c>
      <c r="F8" s="135" t="str">
        <f>IF(BW8&gt;=18000000,"LT","LN")</f>
        <v>LT</v>
      </c>
      <c r="G8" s="138">
        <v>9520000</v>
      </c>
      <c r="H8" s="138">
        <f>+IF(OR(CC8="ĐT PCCC",CC8="ĐP PCCC"),780000,IF(CC8="AT-VSV",300000,0))</f>
        <v>0</v>
      </c>
      <c r="I8" s="138">
        <f>CB8-BZ8-G8-H8</f>
        <v>50480000</v>
      </c>
      <c r="J8" s="139">
        <v>1</v>
      </c>
      <c r="K8" s="140">
        <v>11</v>
      </c>
      <c r="L8" s="140"/>
      <c r="M8" s="140"/>
      <c r="N8" s="140"/>
      <c r="O8" s="140">
        <v>2</v>
      </c>
      <c r="P8" s="140"/>
      <c r="Q8" s="140"/>
      <c r="R8" s="140">
        <v>0</v>
      </c>
      <c r="S8" s="140">
        <v>0</v>
      </c>
      <c r="T8" s="140"/>
      <c r="U8" s="140">
        <v>0</v>
      </c>
      <c r="V8" s="140">
        <v>0</v>
      </c>
      <c r="W8" s="140">
        <v>0</v>
      </c>
      <c r="X8" s="140">
        <v>0</v>
      </c>
      <c r="Y8" s="138">
        <f>G8*(K8+L8)/26</f>
        <v>4027692.3076923075</v>
      </c>
      <c r="Z8" s="138">
        <f>M8*G8/26</f>
        <v>0</v>
      </c>
      <c r="AA8" s="138">
        <f>G8*N8/26</f>
        <v>0</v>
      </c>
      <c r="AB8" s="138">
        <f>G8*O8/26</f>
        <v>732307.69230769225</v>
      </c>
      <c r="AC8" s="138">
        <f>G8*P8*150%/26</f>
        <v>0</v>
      </c>
      <c r="AD8" s="138">
        <f>G8*Q8/26*200%</f>
        <v>0</v>
      </c>
      <c r="AE8" s="138">
        <f>G8*R8/26*300%</f>
        <v>0</v>
      </c>
      <c r="AF8" s="138">
        <f>IF(F8="LT",0,(G8+H8)/26*S8*30%)</f>
        <v>0</v>
      </c>
      <c r="AG8" s="138">
        <f>T8*G8/23/8</f>
        <v>0</v>
      </c>
      <c r="AH8" s="138">
        <f>CB8/26*U8</f>
        <v>0</v>
      </c>
      <c r="AI8" s="138">
        <f>G8*V8/26</f>
        <v>0</v>
      </c>
      <c r="AJ8" s="138"/>
      <c r="AK8" s="138">
        <f>BZ8*L8/26</f>
        <v>0</v>
      </c>
      <c r="AL8" s="138"/>
      <c r="AM8" s="138">
        <f>X8*CD8</f>
        <v>0</v>
      </c>
      <c r="AN8" s="138">
        <f>H8/26*(K8+L8)</f>
        <v>0</v>
      </c>
      <c r="AO8" s="138" t="e">
        <f>IF(F8="LN",I8*(K8+L8)/26+(H8+I8)*50%*M8/26+IF(F8="LT",BW8*O8/26-AB8,0)+MAX($G8*P8/26*150%,P8*$BW8/26)-AC8+MAX($G8*Q8/26*200%,Q8*$BW8/26)-AD8+MAX($G8*R8/26*300%,R8*$BW8/26)-AE8+BW8*S8/26-AF8+AH8-AG8,I8-I8*(#REF!-K8-L8)/26+(H8+I8)*50%*M8/26+IF(F8="LT",BW8*O8/26-AB8,0)+MAX($G8*P8/26*150%,P8*$BW8/26)-AC8+MAX($G8*Q8/26*200%,Q8*$BW8/26)-AD8+MAX($G8*R8/26*300%,R8*$BW8/26)-AE8+BW8*S8/26-AF8+AH8-AG8+(G8-G8*(#REF!-K8-L8)/26-Y8)+(H8-H8*(#REF!-K8-L8)/26-AN8))</f>
        <v>#REF!</v>
      </c>
      <c r="AP8" s="138"/>
      <c r="AQ8" s="138"/>
      <c r="AR8" s="138"/>
      <c r="AS8" s="138"/>
      <c r="AT8" s="138"/>
      <c r="AU8" s="138"/>
      <c r="AV8" s="142" t="e">
        <f>Y8+Z8+AA8+AB8+AC8+AD8+AE8+AF8+AG8+AI8+AJ8+AK8+AL8+AM8+AN8+AO8+AP8-AQ8+AR8+AS8+AT8+AU8</f>
        <v>#REF!</v>
      </c>
      <c r="AW8" s="142"/>
      <c r="AX8" s="142" t="s">
        <v>97</v>
      </c>
      <c r="AY8" s="143">
        <f t="shared" ref="AY8:BA10" si="4">ROUND(IF($AX8="x",($G8+$H8)*AY$4,0),0)</f>
        <v>761600</v>
      </c>
      <c r="AZ8" s="143">
        <f t="shared" si="4"/>
        <v>142800</v>
      </c>
      <c r="BA8" s="143">
        <f t="shared" si="4"/>
        <v>95200</v>
      </c>
      <c r="BB8" s="143">
        <f>SUM(AY8:BA8)</f>
        <v>999600</v>
      </c>
      <c r="BC8" s="143"/>
      <c r="BD8" s="143"/>
      <c r="BE8" s="143">
        <f>IF(G8*1%&gt;=234000,234000,G8*1%)</f>
        <v>95200</v>
      </c>
      <c r="BF8" s="143" t="e">
        <f>AM8+IF(AR8&gt;=730000,730000,AR8)+IF(((AV8-AM8-IF(AR8&gt;=730000,730000,AR8)-AS8)*15%-AS8)&gt;"0",((AV8-AM8-IF(AR8&gt;=730000,730000,AR8)-AS8)*15%-AS8),0)</f>
        <v>#REF!</v>
      </c>
      <c r="BG8" s="143" t="e">
        <f>AV8-BF8+AW8</f>
        <v>#REF!</v>
      </c>
      <c r="BH8" s="143">
        <v>3</v>
      </c>
      <c r="BI8" s="143" t="e">
        <f>BG8-BB8-BC8+BD8-BH8*4400000-IF(E8="CT",11000000,0)</f>
        <v>#REF!</v>
      </c>
      <c r="BJ8" s="130" t="e">
        <f>IF(BI8&gt;0,ROUND(IF(BI8&gt;=80000000,BI8*35%-9850000,IF(BI8&gt;=52000000,BI8*30%-5850000,IF(BI8&gt;=32000000,BI8*25%-3250000,IF(BI8&gt;=18000000,BI8*20%-1650000,IF(BI8&gt;=10000000,BI8*15%-750000,IF(BI8&gt;5000000,BI8*10%-250000,BI8*5%)))))),0),0)</f>
        <v>#REF!</v>
      </c>
      <c r="BK8" s="143"/>
      <c r="BL8" s="143"/>
      <c r="BM8" s="143">
        <v>0</v>
      </c>
      <c r="BN8" s="143"/>
      <c r="BO8" s="143"/>
      <c r="BP8" s="143"/>
      <c r="BQ8" s="143"/>
      <c r="BR8" s="143"/>
      <c r="BS8" s="143" t="e">
        <f>IF(AV8&gt;=11000000,"80%","100%")</f>
        <v>#REF!</v>
      </c>
      <c r="BT8" s="143" t="e">
        <f>AV8*BS8-BN8-BK8-BP8-BO8</f>
        <v>#REF!</v>
      </c>
      <c r="BU8" s="144"/>
      <c r="BW8" s="129">
        <v>60000000</v>
      </c>
      <c r="BX8" s="130">
        <v>0</v>
      </c>
      <c r="BY8" s="130"/>
      <c r="BZ8" s="130"/>
      <c r="CA8" s="130">
        <v>0</v>
      </c>
      <c r="CB8" s="130">
        <f>SUM(BW8:CA8)</f>
        <v>60000000</v>
      </c>
      <c r="CC8" s="130" t="s">
        <v>118</v>
      </c>
      <c r="CD8" s="130"/>
      <c r="CE8" s="145"/>
      <c r="CF8" s="146"/>
      <c r="CG8" s="146"/>
      <c r="CH8" s="147"/>
      <c r="CI8" s="148"/>
    </row>
    <row r="9" spans="1:87" s="149" customFormat="1" ht="11">
      <c r="A9" s="132">
        <f>IF(B9=0,"",COUNTA($B$8:(B9)))</f>
        <v>2</v>
      </c>
      <c r="B9" s="133">
        <v>3562789</v>
      </c>
      <c r="C9" s="134" t="s">
        <v>119</v>
      </c>
      <c r="D9" s="135" t="s">
        <v>145</v>
      </c>
      <c r="E9" s="135" t="s">
        <v>95</v>
      </c>
      <c r="F9" s="135" t="str">
        <f>IF(BW9&gt;=18000000,"LT","LN")</f>
        <v>LT</v>
      </c>
      <c r="G9" s="138">
        <v>6990000</v>
      </c>
      <c r="H9" s="138">
        <f>+IF(OR(CC9="ĐT PCCC",CC9="ĐP PCCC"),780000,IF(CC9="AT-VSV",300000,0))</f>
        <v>0</v>
      </c>
      <c r="I9" s="138">
        <f>CB9-BZ9-G9-H9</f>
        <v>17160000</v>
      </c>
      <c r="J9" s="139">
        <v>1</v>
      </c>
      <c r="K9" s="140">
        <v>10.5</v>
      </c>
      <c r="L9" s="140"/>
      <c r="M9" s="140">
        <v>0.5</v>
      </c>
      <c r="N9" s="140"/>
      <c r="O9" s="140">
        <v>2</v>
      </c>
      <c r="P9" s="140"/>
      <c r="Q9" s="140"/>
      <c r="R9" s="140">
        <v>0</v>
      </c>
      <c r="S9" s="140">
        <v>0</v>
      </c>
      <c r="T9" s="140"/>
      <c r="U9" s="140">
        <v>0</v>
      </c>
      <c r="V9" s="140">
        <v>0</v>
      </c>
      <c r="W9" s="140">
        <v>0</v>
      </c>
      <c r="X9" s="140">
        <v>0</v>
      </c>
      <c r="Y9" s="138">
        <f>G9*(K9+L9)/26</f>
        <v>2822884.6153846155</v>
      </c>
      <c r="Z9" s="138">
        <f>M9*G9/26</f>
        <v>134423.07692307694</v>
      </c>
      <c r="AA9" s="138">
        <f>G9*N9/26</f>
        <v>0</v>
      </c>
      <c r="AB9" s="138">
        <f>G9*O9/26</f>
        <v>537692.30769230775</v>
      </c>
      <c r="AC9" s="138">
        <f>G9*P9*150%/26</f>
        <v>0</v>
      </c>
      <c r="AD9" s="138">
        <f>G9*Q9/26*200%</f>
        <v>0</v>
      </c>
      <c r="AE9" s="138">
        <f>G9*R9/26*300%</f>
        <v>0</v>
      </c>
      <c r="AF9" s="138">
        <f>IF(F9="LT",0,(G9+H9)/26*S9*30%)</f>
        <v>0</v>
      </c>
      <c r="AG9" s="138">
        <f>T9*G9/23/8</f>
        <v>0</v>
      </c>
      <c r="AH9" s="138">
        <f>CB9/26*U9</f>
        <v>0</v>
      </c>
      <c r="AI9" s="138">
        <f>G9*V9/26</f>
        <v>0</v>
      </c>
      <c r="AJ9" s="138"/>
      <c r="AK9" s="138">
        <f>BZ9*L9/26</f>
        <v>0</v>
      </c>
      <c r="AL9" s="138"/>
      <c r="AM9" s="138">
        <f>X9*CD9</f>
        <v>0</v>
      </c>
      <c r="AN9" s="138">
        <f>H9/26*K9</f>
        <v>0</v>
      </c>
      <c r="AO9" s="138" t="e">
        <f>IF(F9="LN",I9*(K9+L9)/26+(H9+I9)*50%*M9/26+IF(F9="LT",BW9*O9/26-AB9,0)+MAX($G9*P9/26*150%,P9*$BW9/26)-AC9+MAX($G9*Q9/26*200%,Q9*$BW9/26)-AD9+MAX($G9*R9/26*300%,R9*$BW9/26)-AE9+BW9*S9/26-AF9+AH9-AG9,I9-I9*(#REF!-K9-L9)/26+(H9+I9)*50%*M9/26+IF(F9="LT",BW9*O9/26-AB9,0)+MAX($G9*P9/26*150%,P9*$BW9/26)-AC9+MAX($G9*Q9/26*200%,Q9*$BW9/26)-AD9+MAX($G9*R9/26*300%,R9*$BW9/26)-AE9+BW9*S9/26-AF9+AH9-AG9+(G9-G9*(#REF!-K9-L9)/26-Y9)+(H9-H9*(#REF!-K9-L9)/26-AN9))</f>
        <v>#REF!</v>
      </c>
      <c r="AP9" s="138"/>
      <c r="AQ9" s="138"/>
      <c r="AR9" s="138"/>
      <c r="AS9" s="138"/>
      <c r="AT9" s="138"/>
      <c r="AU9" s="138"/>
      <c r="AV9" s="142" t="e">
        <f>Y9+Z9+AA9+AB9+AC9+AD9+AE9+AF9+AG9+AI9+AJ9+AK9+AL9+AM9+AN9+AO9+AP9-AQ9+AR9+AS9+AT9+AU9</f>
        <v>#REF!</v>
      </c>
      <c r="AW9" s="142"/>
      <c r="AX9" s="142" t="s">
        <v>97</v>
      </c>
      <c r="AY9" s="143">
        <f t="shared" si="4"/>
        <v>559200</v>
      </c>
      <c r="AZ9" s="143">
        <f t="shared" si="4"/>
        <v>104850</v>
      </c>
      <c r="BA9" s="143">
        <f t="shared" si="4"/>
        <v>69900</v>
      </c>
      <c r="BB9" s="143">
        <f>SUM(AY9:BA9)</f>
        <v>733950</v>
      </c>
      <c r="BC9" s="143"/>
      <c r="BD9" s="143"/>
      <c r="BE9" s="143">
        <f>IF(G9*1%&gt;=234000,234000,G9*1%)</f>
        <v>69900</v>
      </c>
      <c r="BF9" s="143" t="e">
        <f>AM9+IF(AR9&gt;=730000,730000,AR9)+IF(((AV9-AM9-IF(AR9&gt;=730000,730000,AR9)-AS9)*15%-AS9)&gt;"0",((AV9-AM9-IF(AR9&gt;=730000,730000,AR9)-AS9)*15%-AS9),0)</f>
        <v>#REF!</v>
      </c>
      <c r="BG9" s="143" t="e">
        <f>AV9-BF9+AW9</f>
        <v>#REF!</v>
      </c>
      <c r="BH9" s="143"/>
      <c r="BI9" s="143" t="e">
        <f>BG9-BB9-BC9+BD9-BH9*4400000-IF(E9="CT",11000000,0)</f>
        <v>#REF!</v>
      </c>
      <c r="BJ9" s="130" t="e">
        <f>IF(BI9&gt;0,ROUND(IF(BI9&gt;=80000000,BI9*35%-9850000,IF(BI9&gt;=52000000,BI9*30%-5850000,IF(BI9&gt;=32000000,BI9*25%-3250000,IF(BI9&gt;=18000000,BI9*20%-1650000,IF(BI9&gt;=10000000,BI9*15%-750000,IF(BI9&gt;5000000,BI9*10%-250000,BI9*5%)))))),0),0)</f>
        <v>#REF!</v>
      </c>
      <c r="BK9" s="143"/>
      <c r="BL9" s="143"/>
      <c r="BM9" s="143">
        <v>0</v>
      </c>
      <c r="BN9" s="143"/>
      <c r="BO9" s="143"/>
      <c r="BP9" s="143"/>
      <c r="BQ9" s="143"/>
      <c r="BR9" s="143"/>
      <c r="BS9" s="143" t="e">
        <f>IF(AV9&gt;=11000000,"80%","100%")</f>
        <v>#REF!</v>
      </c>
      <c r="BT9" s="143" t="e">
        <f>AV9*BS9-BN9-BK9-BP9-BO9</f>
        <v>#REF!</v>
      </c>
      <c r="BU9" s="144"/>
      <c r="BW9" s="129">
        <v>23000000</v>
      </c>
      <c r="BX9" s="130">
        <v>0</v>
      </c>
      <c r="BY9" s="130">
        <v>0</v>
      </c>
      <c r="BZ9" s="130"/>
      <c r="CA9" s="130">
        <f>+BW9*5%</f>
        <v>1150000</v>
      </c>
      <c r="CB9" s="130">
        <f>SUM(BW9:CA9)</f>
        <v>24150000</v>
      </c>
      <c r="CC9" s="130" t="s">
        <v>110</v>
      </c>
      <c r="CD9" s="130"/>
      <c r="CE9" s="145"/>
      <c r="CF9" s="146"/>
      <c r="CG9" s="146"/>
      <c r="CH9" s="147"/>
      <c r="CI9" s="148"/>
    </row>
    <row r="10" spans="1:87" s="149" customFormat="1" ht="11">
      <c r="A10" s="132">
        <f>IF(B10=0,"",COUNTA($B$8:(B10)))</f>
        <v>3</v>
      </c>
      <c r="B10" s="150" t="s">
        <v>120</v>
      </c>
      <c r="C10" s="134" t="s">
        <v>121</v>
      </c>
      <c r="D10" s="135" t="s">
        <v>145</v>
      </c>
      <c r="E10" s="135" t="s">
        <v>95</v>
      </c>
      <c r="F10" s="135" t="str">
        <f>IF(BW10&gt;=18000000,"LT","LN")</f>
        <v>LN</v>
      </c>
      <c r="G10" s="138">
        <v>6990000</v>
      </c>
      <c r="H10" s="138">
        <f>+IF(OR(CC10="ĐT PCCC",CC10="ĐP PCCC"),780000,IF(CC10="AT-VSV",300000,0))</f>
        <v>300000</v>
      </c>
      <c r="I10" s="138">
        <f>CB10-BZ10-G10-H10</f>
        <v>10560000</v>
      </c>
      <c r="J10" s="139">
        <v>1</v>
      </c>
      <c r="K10" s="140">
        <v>11</v>
      </c>
      <c r="L10" s="140"/>
      <c r="M10" s="140"/>
      <c r="N10" s="140"/>
      <c r="O10" s="140">
        <v>2</v>
      </c>
      <c r="P10" s="140"/>
      <c r="Q10" s="140"/>
      <c r="R10" s="140">
        <v>4</v>
      </c>
      <c r="S10" s="140">
        <v>0</v>
      </c>
      <c r="T10" s="140"/>
      <c r="U10" s="140">
        <v>0</v>
      </c>
      <c r="V10" s="140">
        <v>0</v>
      </c>
      <c r="W10" s="140">
        <v>0</v>
      </c>
      <c r="X10" s="140">
        <v>0</v>
      </c>
      <c r="Y10" s="138">
        <f>G10*(K10+L10)/26</f>
        <v>2957307.6923076925</v>
      </c>
      <c r="Z10" s="138">
        <f>M10*G10/26</f>
        <v>0</v>
      </c>
      <c r="AA10" s="138">
        <f>G10*N10/26</f>
        <v>0</v>
      </c>
      <c r="AB10" s="138">
        <f>G10*O10/26</f>
        <v>537692.30769230775</v>
      </c>
      <c r="AC10" s="138">
        <f>G10*P10*150%/26</f>
        <v>0</v>
      </c>
      <c r="AD10" s="138">
        <f>G10*Q10/26*200%</f>
        <v>0</v>
      </c>
      <c r="AE10" s="138">
        <f>G10*R10/26*300%</f>
        <v>3226153.8461538465</v>
      </c>
      <c r="AF10" s="138">
        <f>IF(F10="LT",0,(G10+H10)/26*S10*30%)</f>
        <v>0</v>
      </c>
      <c r="AG10" s="138">
        <f>T10*G10/23/8</f>
        <v>0</v>
      </c>
      <c r="AH10" s="138">
        <f>CB10/26*U10</f>
        <v>0</v>
      </c>
      <c r="AI10" s="138">
        <f>G10*V10/26</f>
        <v>0</v>
      </c>
      <c r="AJ10" s="138"/>
      <c r="AK10" s="138">
        <f>BZ10*L10/26</f>
        <v>0</v>
      </c>
      <c r="AL10" s="138"/>
      <c r="AM10" s="138">
        <f>X10*CD10</f>
        <v>0</v>
      </c>
      <c r="AN10" s="138">
        <f>H10/26*K10</f>
        <v>126923.07692307694</v>
      </c>
      <c r="AO10" s="138">
        <f>IF(F10="LN",I10*(K10+L10)/26+(H10+I10)*50%*M10/26+IF(F10="LT",BW10*O10/26-AB10,0)+MAX($G10*P10/26*150%,P10*$BW10/26)-AC10+MAX($G10*Q10/26*200%,Q10*$BW10/26)-AD10+MAX($G10*R10/26*300%,R10*$BW10/26)-AE10+BW10*S10/26-AF10+AH10-AG10,I10-I10*(#REF!-K10-L10)/26+(H10+I10)*50%*M10/26+IF(F10="LT",BW10*O10/26-AB10,0)+MAX($G10*P10/26*150%,P10*$BW10/26)-AC10+MAX($G10*Q10/26*200%,Q10*$BW10/26)-AD10+MAX($G10*R10/26*300%,R10*$BW10/26)-AE10+BW10*S10/26-AF10+AH10-AG10+(G10-G10*(#REF!-K10-L10)/26-Y10)+(H10-H10*(#REF!-K10-L10)/26-AN10))</f>
        <v>4467692.307692308</v>
      </c>
      <c r="AP10" s="138"/>
      <c r="AQ10" s="138"/>
      <c r="AR10" s="138"/>
      <c r="AS10" s="138"/>
      <c r="AT10" s="138"/>
      <c r="AU10" s="138"/>
      <c r="AV10" s="142">
        <f>Y10+Z10+AA10+AB10+AC10+AD10+AE10+AF10+AG10+AI10+AJ10+AK10+AL10+AM10+AN10+AO10+AP10-AQ10+AR10+AS10+AT10+AU10</f>
        <v>11315769.230769232</v>
      </c>
      <c r="AW10" s="142"/>
      <c r="AX10" s="142" t="s">
        <v>97</v>
      </c>
      <c r="AY10" s="143">
        <f t="shared" si="4"/>
        <v>583200</v>
      </c>
      <c r="AZ10" s="143">
        <f t="shared" si="4"/>
        <v>109350</v>
      </c>
      <c r="BA10" s="143">
        <f t="shared" si="4"/>
        <v>72900</v>
      </c>
      <c r="BB10" s="143">
        <f>SUM(AY10:BA10)</f>
        <v>765450</v>
      </c>
      <c r="BC10" s="143"/>
      <c r="BD10" s="143"/>
      <c r="BE10" s="143">
        <f>IF(G10*1%&gt;=234000,234000,G10*1%)</f>
        <v>69900</v>
      </c>
      <c r="BF10" s="143">
        <f>AM10+IF(AR10&gt;=730000,730000,AR10)+IF(((AV10-AM10-IF(AR10&gt;=730000,730000,AR10)-AS10)*15%-AS10)&gt;"0",((AV10-AM10-IF(AR10&gt;=730000,730000,AR10)-AS10)*15%-AS10),0)</f>
        <v>0</v>
      </c>
      <c r="BG10" s="143">
        <f>AV10-BF10+AW10</f>
        <v>11315769.230769232</v>
      </c>
      <c r="BH10" s="143"/>
      <c r="BI10" s="143">
        <f>BG10-BB10-BC10+BD10-BH10*4400000-IF(E10="CT",11000000,0)</f>
        <v>-449680.76923076808</v>
      </c>
      <c r="BJ10" s="130">
        <f>IF(BI10&gt;0,ROUND(IF(BI10&gt;=80000000,BI10*35%-9850000,IF(BI10&gt;=52000000,BI10*30%-5850000,IF(BI10&gt;=32000000,BI10*25%-3250000,IF(BI10&gt;=18000000,BI10*20%-1650000,IF(BI10&gt;=10000000,BI10*15%-750000,IF(BI10&gt;5000000,BI10*10%-250000,BI10*5%)))))),0),0)</f>
        <v>0</v>
      </c>
      <c r="BK10" s="143"/>
      <c r="BL10" s="143"/>
      <c r="BM10" s="143">
        <v>0</v>
      </c>
      <c r="BN10" s="143"/>
      <c r="BO10" s="143"/>
      <c r="BP10" s="143"/>
      <c r="BQ10" s="143"/>
      <c r="BR10" s="143"/>
      <c r="BS10" s="143" t="str">
        <f>IF(AV10&gt;=11000000,"80%","100%")</f>
        <v>80%</v>
      </c>
      <c r="BT10" s="143">
        <f>AV10*BS10-BN10-BK10-BP10-BO10</f>
        <v>9052615.3846153859</v>
      </c>
      <c r="BU10" s="144"/>
      <c r="BW10" s="129">
        <v>17000000</v>
      </c>
      <c r="BX10" s="130">
        <v>0</v>
      </c>
      <c r="BY10" s="130">
        <v>0</v>
      </c>
      <c r="BZ10" s="130"/>
      <c r="CA10" s="130">
        <f>+BW10*5%</f>
        <v>850000</v>
      </c>
      <c r="CB10" s="130">
        <f>SUM(BW10:CA10)</f>
        <v>17850000</v>
      </c>
      <c r="CC10" s="130" t="s">
        <v>114</v>
      </c>
      <c r="CD10" s="130"/>
      <c r="CE10" s="145"/>
      <c r="CF10" s="146"/>
      <c r="CG10" s="146"/>
      <c r="CH10" s="147"/>
      <c r="CI10" s="148"/>
    </row>
    <row r="13" spans="1:87" s="165" customFormat="1" ht="84" customHeight="1">
      <c r="A13" s="162" t="str">
        <f>A1&amp;A2&amp;A3&amp;A4</f>
        <v>TT</v>
      </c>
      <c r="B13" s="162" t="str">
        <f>B1&amp;B2&amp;B3&amp;B4</f>
        <v>MSNV</v>
      </c>
      <c r="C13" s="162" t="s">
        <v>2</v>
      </c>
      <c r="D13" s="162" t="s">
        <v>137</v>
      </c>
      <c r="E13" s="162" t="s">
        <v>4</v>
      </c>
      <c r="F13" s="162" t="str">
        <f>F1&amp;F2&amp;F3&amp;F4</f>
        <v>LN/LT</v>
      </c>
      <c r="G13" s="162" t="s">
        <v>6</v>
      </c>
      <c r="H13" s="162" t="s">
        <v>7</v>
      </c>
      <c r="I13" s="162" t="s">
        <v>8</v>
      </c>
      <c r="J13" s="162" t="s">
        <v>9</v>
      </c>
      <c r="K13" s="162"/>
      <c r="L13" s="162" t="s">
        <v>31</v>
      </c>
      <c r="M13" s="162" t="s">
        <v>32</v>
      </c>
      <c r="N13" s="162" t="s">
        <v>33</v>
      </c>
      <c r="O13" s="162" t="s">
        <v>34</v>
      </c>
      <c r="P13" s="162" t="s">
        <v>35</v>
      </c>
      <c r="Q13" s="162" t="s">
        <v>36</v>
      </c>
      <c r="R13" s="162" t="s">
        <v>37</v>
      </c>
      <c r="S13" s="162" t="s">
        <v>38</v>
      </c>
      <c r="T13" s="162" t="s">
        <v>39</v>
      </c>
      <c r="U13" s="162" t="s">
        <v>40</v>
      </c>
      <c r="V13" s="162"/>
      <c r="W13" s="162" t="s">
        <v>83</v>
      </c>
      <c r="X13" s="162" t="s">
        <v>42</v>
      </c>
      <c r="Y13" s="162" t="str">
        <f>Y1&amp;Y2&amp;Y3&amp;Y4</f>
        <v>Amounts received during the monthLương
Ngày thường</v>
      </c>
      <c r="Z13" s="162" t="s">
        <v>44</v>
      </c>
      <c r="AA13" s="162" t="s">
        <v>45</v>
      </c>
      <c r="AB13" s="162" t="s">
        <v>46</v>
      </c>
      <c r="AC13" s="162" t="s">
        <v>47</v>
      </c>
      <c r="AD13" s="162" t="s">
        <v>140</v>
      </c>
      <c r="AE13" s="162" t="s">
        <v>49</v>
      </c>
      <c r="AF13" s="162" t="s">
        <v>50</v>
      </c>
      <c r="AG13" s="162" t="s">
        <v>51</v>
      </c>
      <c r="AH13" s="162" t="s">
        <v>52</v>
      </c>
      <c r="AI13" s="162" t="s">
        <v>53</v>
      </c>
      <c r="AJ13" s="162" t="s">
        <v>54</v>
      </c>
      <c r="AK13" s="162" t="s">
        <v>55</v>
      </c>
      <c r="AL13" s="162" t="s">
        <v>56</v>
      </c>
      <c r="AM13" s="162" t="s">
        <v>57</v>
      </c>
      <c r="AN13" s="162" t="s">
        <v>58</v>
      </c>
      <c r="AO13" s="162" t="s">
        <v>59</v>
      </c>
      <c r="AP13" s="162" t="s">
        <v>12</v>
      </c>
      <c r="AQ13" s="162" t="s">
        <v>13</v>
      </c>
      <c r="AR13" s="162" t="s">
        <v>14</v>
      </c>
      <c r="AS13" s="162" t="s">
        <v>15</v>
      </c>
      <c r="AT13" s="162" t="s">
        <v>16</v>
      </c>
      <c r="AU13" s="162" t="s">
        <v>17</v>
      </c>
      <c r="AV13" s="162" t="s">
        <v>18</v>
      </c>
      <c r="AW13" s="162" t="s">
        <v>19</v>
      </c>
      <c r="AX13" s="162" t="str">
        <f>AX1&amp;AX2&amp;AX3&amp;AX4</f>
        <v>Tham gia BHXH</v>
      </c>
      <c r="AY13" s="162"/>
      <c r="AZ13" s="162" t="str">
        <f>AZ1&amp;AZ2&amp;AZ3&amp;AZ4</f>
        <v>BHYT1.5%</v>
      </c>
      <c r="BA13" s="162" t="str">
        <f>BA1&amp;BA2&amp;BA3&amp;BA4</f>
        <v>BHTN1%</v>
      </c>
      <c r="BB13" s="162" t="s">
        <v>66</v>
      </c>
      <c r="BC13" s="162" t="str">
        <f>BC1&amp;BC2&amp;BC3&amp;BC4</f>
        <v>Truy thu BHXH</v>
      </c>
      <c r="BD13" s="162" t="s">
        <v>68</v>
      </c>
      <c r="BE13" s="162" t="str">
        <f>BE1&amp;BE2&amp;BE3&amp;BE4</f>
        <v>Phí 
công đoàn
(Lương HĐLĐ *1%)</v>
      </c>
      <c r="BF13" s="162" t="s">
        <v>70</v>
      </c>
      <c r="BG13" s="162" t="s">
        <v>71</v>
      </c>
      <c r="BH13" s="162" t="str">
        <f>BH1&amp;BH2&amp;BH3&amp;BH4</f>
        <v>NPT</v>
      </c>
      <c r="BI13" s="162" t="str">
        <f>BI1&amp;BI2&amp;BI3&amp;BI4</f>
        <v>TNTT</v>
      </c>
      <c r="BJ13" s="162" t="s">
        <v>76</v>
      </c>
      <c r="BK13" s="162"/>
      <c r="BL13" s="162" t="s">
        <v>78</v>
      </c>
      <c r="BM13" s="162" t="s">
        <v>79</v>
      </c>
      <c r="BN13" s="162" t="s">
        <v>80</v>
      </c>
      <c r="BO13" s="162" t="s">
        <v>142</v>
      </c>
      <c r="BP13" s="162" t="str">
        <f>BP1&amp;BP2&amp;BP3&amp;BP4</f>
        <v>…..............</v>
      </c>
      <c r="BQ13" s="162"/>
      <c r="BR13" s="162" t="s">
        <v>62</v>
      </c>
      <c r="BS13" s="162" t="s">
        <v>139</v>
      </c>
      <c r="BT13" s="162" t="s">
        <v>23</v>
      </c>
      <c r="BU13" s="162" t="s">
        <v>24</v>
      </c>
      <c r="BW13" s="162" t="s">
        <v>25</v>
      </c>
      <c r="BX13" s="162"/>
      <c r="BY13" s="162" t="s">
        <v>88</v>
      </c>
      <c r="BZ13" s="162" t="s">
        <v>89</v>
      </c>
      <c r="CA13" s="162" t="s">
        <v>90</v>
      </c>
      <c r="CB13" s="162" t="s">
        <v>27</v>
      </c>
      <c r="CC13" s="162" t="s">
        <v>28</v>
      </c>
      <c r="CD13" s="162" t="s">
        <v>29</v>
      </c>
    </row>
    <row r="14" spans="1:87" s="165" customFormat="1" ht="11">
      <c r="A14" s="164" t="str">
        <f t="shared" ref="A14:AF14" si="5">SUBSTITUTE(ADDRESS(1,COLUMN(),4),1,"")</f>
        <v>A</v>
      </c>
      <c r="B14" s="164" t="str">
        <f t="shared" si="5"/>
        <v>B</v>
      </c>
      <c r="C14" s="164" t="str">
        <f t="shared" si="5"/>
        <v>C</v>
      </c>
      <c r="D14" s="164" t="str">
        <f t="shared" si="5"/>
        <v>D</v>
      </c>
      <c r="E14" s="164" t="str">
        <f t="shared" si="5"/>
        <v>E</v>
      </c>
      <c r="F14" s="164" t="str">
        <f t="shared" si="5"/>
        <v>F</v>
      </c>
      <c r="G14" s="164" t="str">
        <f t="shared" si="5"/>
        <v>G</v>
      </c>
      <c r="H14" s="164" t="str">
        <f t="shared" si="5"/>
        <v>H</v>
      </c>
      <c r="I14" s="164" t="str">
        <f t="shared" si="5"/>
        <v>I</v>
      </c>
      <c r="J14" s="164" t="str">
        <f t="shared" si="5"/>
        <v>J</v>
      </c>
      <c r="K14" s="164" t="str">
        <f t="shared" si="5"/>
        <v>K</v>
      </c>
      <c r="L14" s="164" t="str">
        <f t="shared" si="5"/>
        <v>L</v>
      </c>
      <c r="M14" s="164" t="str">
        <f t="shared" si="5"/>
        <v>M</v>
      </c>
      <c r="N14" s="164" t="str">
        <f t="shared" si="5"/>
        <v>N</v>
      </c>
      <c r="O14" s="164" t="str">
        <f t="shared" si="5"/>
        <v>O</v>
      </c>
      <c r="P14" s="164" t="str">
        <f t="shared" si="5"/>
        <v>P</v>
      </c>
      <c r="Q14" s="164" t="str">
        <f t="shared" si="5"/>
        <v>Q</v>
      </c>
      <c r="R14" s="164" t="str">
        <f t="shared" si="5"/>
        <v>R</v>
      </c>
      <c r="S14" s="164" t="str">
        <f t="shared" si="5"/>
        <v>S</v>
      </c>
      <c r="T14" s="164" t="str">
        <f t="shared" si="5"/>
        <v>T</v>
      </c>
      <c r="U14" s="164" t="str">
        <f t="shared" si="5"/>
        <v>U</v>
      </c>
      <c r="V14" s="164" t="str">
        <f t="shared" si="5"/>
        <v>V</v>
      </c>
      <c r="W14" s="164" t="str">
        <f t="shared" si="5"/>
        <v>W</v>
      </c>
      <c r="X14" s="164" t="str">
        <f t="shared" si="5"/>
        <v>X</v>
      </c>
      <c r="Y14" s="164" t="str">
        <f t="shared" si="5"/>
        <v>Y</v>
      </c>
      <c r="Z14" s="164" t="str">
        <f t="shared" si="5"/>
        <v>Z</v>
      </c>
      <c r="AA14" s="164" t="str">
        <f t="shared" si="5"/>
        <v>AA</v>
      </c>
      <c r="AB14" s="164" t="str">
        <f t="shared" si="5"/>
        <v>AB</v>
      </c>
      <c r="AC14" s="164" t="str">
        <f t="shared" si="5"/>
        <v>AC</v>
      </c>
      <c r="AD14" s="164" t="str">
        <f t="shared" si="5"/>
        <v>AD</v>
      </c>
      <c r="AE14" s="164" t="str">
        <f t="shared" si="5"/>
        <v>AE</v>
      </c>
      <c r="AF14" s="164" t="str">
        <f t="shared" si="5"/>
        <v>AF</v>
      </c>
      <c r="AG14" s="164" t="str">
        <f t="shared" ref="AG14:BL14" si="6">SUBSTITUTE(ADDRESS(1,COLUMN(),4),1,"")</f>
        <v>AG</v>
      </c>
      <c r="AH14" s="164" t="str">
        <f t="shared" si="6"/>
        <v>AH</v>
      </c>
      <c r="AI14" s="164" t="str">
        <f t="shared" si="6"/>
        <v>AI</v>
      </c>
      <c r="AJ14" s="164" t="str">
        <f t="shared" si="6"/>
        <v>AJ</v>
      </c>
      <c r="AK14" s="164" t="str">
        <f t="shared" si="6"/>
        <v>AK</v>
      </c>
      <c r="AL14" s="164" t="str">
        <f t="shared" si="6"/>
        <v>AL</v>
      </c>
      <c r="AM14" s="164" t="str">
        <f t="shared" si="6"/>
        <v>AM</v>
      </c>
      <c r="AN14" s="164" t="str">
        <f t="shared" si="6"/>
        <v>AN</v>
      </c>
      <c r="AO14" s="164" t="str">
        <f t="shared" si="6"/>
        <v>AO</v>
      </c>
      <c r="AP14" s="164" t="str">
        <f t="shared" si="6"/>
        <v>AP</v>
      </c>
      <c r="AQ14" s="164" t="str">
        <f t="shared" si="6"/>
        <v>AQ</v>
      </c>
      <c r="AR14" s="164" t="str">
        <f t="shared" si="6"/>
        <v>AR</v>
      </c>
      <c r="AS14" s="164" t="str">
        <f t="shared" si="6"/>
        <v>AS</v>
      </c>
      <c r="AT14" s="164" t="str">
        <f t="shared" si="6"/>
        <v>AT</v>
      </c>
      <c r="AU14" s="164" t="str">
        <f t="shared" si="6"/>
        <v>AU</v>
      </c>
      <c r="AV14" s="164" t="str">
        <f t="shared" si="6"/>
        <v>AV</v>
      </c>
      <c r="AW14" s="164" t="str">
        <f t="shared" si="6"/>
        <v>AW</v>
      </c>
      <c r="AX14" s="164" t="str">
        <f t="shared" si="6"/>
        <v>AX</v>
      </c>
      <c r="AY14" s="164" t="str">
        <f t="shared" si="6"/>
        <v>AY</v>
      </c>
      <c r="AZ14" s="164" t="str">
        <f t="shared" si="6"/>
        <v>AZ</v>
      </c>
      <c r="BA14" s="164" t="str">
        <f t="shared" si="6"/>
        <v>BA</v>
      </c>
      <c r="BB14" s="164" t="str">
        <f t="shared" si="6"/>
        <v>BB</v>
      </c>
      <c r="BC14" s="164" t="str">
        <f t="shared" si="6"/>
        <v>BC</v>
      </c>
      <c r="BD14" s="164" t="str">
        <f t="shared" si="6"/>
        <v>BD</v>
      </c>
      <c r="BE14" s="164" t="str">
        <f t="shared" si="6"/>
        <v>BE</v>
      </c>
      <c r="BF14" s="164" t="str">
        <f t="shared" si="6"/>
        <v>BF</v>
      </c>
      <c r="BG14" s="164" t="str">
        <f t="shared" si="6"/>
        <v>BG</v>
      </c>
      <c r="BH14" s="164" t="str">
        <f t="shared" si="6"/>
        <v>BH</v>
      </c>
      <c r="BI14" s="164" t="str">
        <f t="shared" si="6"/>
        <v>BI</v>
      </c>
      <c r="BJ14" s="164" t="str">
        <f t="shared" si="6"/>
        <v>BJ</v>
      </c>
      <c r="BK14" s="164" t="str">
        <f t="shared" si="6"/>
        <v>BK</v>
      </c>
      <c r="BL14" s="164" t="str">
        <f t="shared" si="6"/>
        <v>BL</v>
      </c>
      <c r="BM14" s="164" t="str">
        <f t="shared" ref="BM14:BU14" si="7">SUBSTITUTE(ADDRESS(1,COLUMN(),4),1,"")</f>
        <v>BM</v>
      </c>
      <c r="BN14" s="164" t="str">
        <f t="shared" si="7"/>
        <v>BN</v>
      </c>
      <c r="BO14" s="164" t="str">
        <f t="shared" si="7"/>
        <v>BO</v>
      </c>
      <c r="BP14" s="164" t="str">
        <f t="shared" si="7"/>
        <v>BP</v>
      </c>
      <c r="BQ14" s="164" t="str">
        <f t="shared" si="7"/>
        <v>BQ</v>
      </c>
      <c r="BR14" s="164" t="str">
        <f t="shared" si="7"/>
        <v>BR</v>
      </c>
      <c r="BS14" s="164" t="str">
        <f t="shared" si="7"/>
        <v>BS</v>
      </c>
      <c r="BT14" s="164" t="str">
        <f t="shared" si="7"/>
        <v>BT</v>
      </c>
      <c r="BU14" s="164" t="str">
        <f t="shared" si="7"/>
        <v>BU</v>
      </c>
      <c r="BW14" s="164" t="str">
        <f t="shared" ref="BW14:CD14" si="8">SUBSTITUTE(ADDRESS(1,COLUMN(),4),1,"")</f>
        <v>BW</v>
      </c>
      <c r="BX14" s="164" t="str">
        <f t="shared" si="8"/>
        <v>BX</v>
      </c>
      <c r="BY14" s="164" t="str">
        <f t="shared" si="8"/>
        <v>BY</v>
      </c>
      <c r="BZ14" s="164" t="str">
        <f t="shared" si="8"/>
        <v>BZ</v>
      </c>
      <c r="CA14" s="164" t="str">
        <f t="shared" si="8"/>
        <v>CA</v>
      </c>
      <c r="CB14" s="164" t="str">
        <f t="shared" si="8"/>
        <v>CB</v>
      </c>
      <c r="CC14" s="164" t="str">
        <f t="shared" si="8"/>
        <v>CC</v>
      </c>
      <c r="CD14" s="164" t="str">
        <f t="shared" si="8"/>
        <v>CD</v>
      </c>
    </row>
    <row r="15" spans="1:87" s="187" customFormat="1" ht="180" customHeight="1">
      <c r="A15" s="203">
        <f>IF(B13=0,"",COUNTA($B$8:(B13)))</f>
        <v>4</v>
      </c>
      <c r="B15" s="179">
        <v>123456</v>
      </c>
      <c r="C15" s="180" t="s">
        <v>116</v>
      </c>
      <c r="D15" s="204" t="s">
        <v>144</v>
      </c>
      <c r="E15" s="204" t="s">
        <v>95</v>
      </c>
      <c r="F15" s="204"/>
      <c r="G15" s="176">
        <v>9520000</v>
      </c>
      <c r="H15" s="176"/>
      <c r="I15" s="176"/>
      <c r="J15" s="205">
        <v>1</v>
      </c>
      <c r="K15" s="176">
        <v>11</v>
      </c>
      <c r="L15" s="176"/>
      <c r="M15" s="176"/>
      <c r="N15" s="176"/>
      <c r="O15" s="176">
        <v>2</v>
      </c>
      <c r="P15" s="176"/>
      <c r="Q15" s="176"/>
      <c r="R15" s="176">
        <v>0</v>
      </c>
      <c r="S15" s="176">
        <v>0</v>
      </c>
      <c r="T15" s="176"/>
      <c r="U15" s="176">
        <v>0</v>
      </c>
      <c r="V15" s="176">
        <v>0</v>
      </c>
      <c r="W15" s="176">
        <v>0</v>
      </c>
      <c r="X15" s="176">
        <v>0</v>
      </c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 t="e">
        <f>"IF(["&amp;F13&amp;"]=""LN"",["&amp;I13&amp;"]*(["&amp;K13&amp;"]+["&amp;L13&amp;"])/26+(["&amp;H13&amp;"]+["&amp;I13&amp;"])*50%*["&amp;M13&amp;"]/26+IF(["&amp;F13&amp;"]=""LT"",["&amp;BW13&amp;"]*["&amp;O13&amp;"]/26-["&amp;AB13&amp;"],0)+MAX(["&amp;$G13&amp;"]*["&amp;P13&amp;"]/26*150%,["&amp;P13&amp;"]*["&amp;$BW13&amp;"]/26)-["&amp;AC13&amp;"]+MAX(["&amp;$G13&amp;"]*["&amp;Q13&amp;"]/26*200%,["&amp;Q13&amp;"]*["&amp;$BW13&amp;"]/26)-["&amp;AD13&amp;"]+MAX(["&amp;$G13&amp;"]*["&amp;R13&amp;"]/26*300%,["&amp;R13&amp;"]*["&amp;$BW13&amp;"]/26)-["&amp;AE13&amp;"]+["&amp;BW13&amp;"]*["&amp;S13&amp;"]/26-["&amp;AF13&amp;"]+["&amp;AH13&amp;"]-["&amp;AG13&amp;"],["&amp;I13&amp;"]-["&amp;I13&amp;"]*(["&amp;#REF!&amp;"]-["&amp;K13&amp;"]-["&amp;L13&amp;"])/26+(["&amp;H13&amp;"]+["&amp;I13&amp;"])*50%*["&amp;M13&amp;"]/26+IF(["&amp;F13&amp;"]=""LT"",["&amp;BW13&amp;"]*["&amp;O13&amp;"]/26-["&amp;AB13&amp;"],0)+MAX(["&amp;$G13&amp;"]*["&amp;P13&amp;"]/26*150%,["&amp;P13&amp;"]*["&amp;$BW13&amp;"]/26)-["&amp;AC13&amp;"]+MAX(["&amp;$G13&amp;"]*["&amp;Q13&amp;"]/26*200%,["&amp;Q13&amp;"]*["&amp;$BW13&amp;"]/26)-["&amp;AD13&amp;"]+MAX(["&amp;$G13&amp;"]*["&amp;R13&amp;"]/26*300%,["&amp;R13&amp;"]*["&amp;$BW13&amp;"]/26)-["&amp;AE13&amp;"]+["&amp;BW13&amp;"]*["&amp;S13&amp;"]/26-["&amp;AF13&amp;"]+["&amp;AH13&amp;"]-["&amp;AG13&amp;"]+(["&amp;G13&amp;"]-["&amp;G13&amp;"]*(["&amp;#REF!&amp;"]-["&amp;K13&amp;"]-["&amp;L13&amp;"])/26-["&amp;Y13&amp;"])+(["&amp;H13&amp;"]-["&amp;H13&amp;"]*(["&amp;#REF!&amp;"]-["&amp;K13&amp;"]-["&amp;L13&amp;"])/26-["&amp;AN13&amp;"]))"</f>
        <v>#REF!</v>
      </c>
      <c r="AP15" s="176"/>
      <c r="AQ15" s="176"/>
      <c r="AR15" s="176"/>
      <c r="AS15" s="176"/>
      <c r="AT15" s="176"/>
      <c r="AU15" s="176"/>
      <c r="AV15" s="206" t="str">
        <f>"["&amp;Y13&amp;"]+["&amp;Z13&amp;"]+["&amp;AA13&amp;"]+["&amp;AB13&amp;"]+["&amp;AC13&amp;"]+["&amp;AD13&amp;"]+["&amp;AE13&amp;"]+["&amp;AF13&amp;"]+["&amp;AG13&amp;"]+["&amp;AI13&amp;"]+["&amp;AJ13&amp;"]+["&amp;AK13&amp;"]+["&amp;AL13&amp;"]+["&amp;AM13&amp;"]+["&amp;AN13&amp;"]+["&amp;AO13&amp;"]+["&amp;AP13&amp;"]-["&amp;AQ13&amp;"]+["&amp;AR13&amp;"]+["&amp;AS13&amp;"]+["&amp;AT13&amp;"]+["&amp;AU13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5" s="206"/>
      <c r="AX15" s="206" t="s">
        <v>97</v>
      </c>
      <c r="AY15" s="177"/>
      <c r="AZ15" s="177"/>
      <c r="BA15" s="177"/>
      <c r="BB15" s="177"/>
      <c r="BC15" s="177"/>
      <c r="BD15" s="177"/>
      <c r="BE15" s="177"/>
      <c r="BF15" s="177"/>
      <c r="BG15" s="177"/>
      <c r="BH15" s="177">
        <v>3</v>
      </c>
      <c r="BI15" s="177"/>
      <c r="BJ15" s="207" t="str">
        <f>"IF(["&amp;BI13&amp;"]&gt;0,ROUND(IF(["&amp;BI13&amp;"]&gt;=80000000,["&amp;BI13&amp;"]*35%-9850000,IF(["&amp;BI13&amp;"]&gt;=52000000,["&amp;BI13&amp;"]*30%-5850000,IF(["&amp;BI13&amp;"]&gt;=32000000,["&amp;BI13&amp;"]*25%-3250000,IF(["&amp;BI13&amp;"]&gt;=18000000,["&amp;BI13&amp;"]*20%-1650000,IF(["&amp;BI13&amp;"]&gt;=10000000,["&amp;BI13&amp;"]*15%-750000,IF(["&amp;BI13&amp;"]&gt;5000000,["&amp;BI13&amp;"]*10%-250000,["&amp;BI13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5" s="177"/>
      <c r="BL15" s="177"/>
      <c r="BM15" s="177">
        <v>0</v>
      </c>
      <c r="BN15" s="177"/>
      <c r="BO15" s="177"/>
      <c r="BP15" s="177"/>
      <c r="BQ15" s="177"/>
      <c r="BR15" s="177"/>
      <c r="BS15" s="177"/>
      <c r="BT15" s="177"/>
      <c r="BU15" s="208"/>
      <c r="BW15" s="209">
        <v>60000000</v>
      </c>
      <c r="BX15" s="207">
        <v>0</v>
      </c>
      <c r="BY15" s="207"/>
      <c r="BZ15" s="207"/>
      <c r="CA15" s="207">
        <v>0</v>
      </c>
      <c r="CB15" s="207"/>
      <c r="CC15" s="207" t="s">
        <v>118</v>
      </c>
      <c r="CD15" s="207"/>
      <c r="CE15" s="186"/>
      <c r="CF15" s="186"/>
      <c r="CG15" s="186"/>
      <c r="CI15" s="188"/>
    </row>
    <row r="21" spans="7:7" ht="17">
      <c r="G21" s="213" t="s">
        <v>149</v>
      </c>
    </row>
  </sheetData>
  <autoFilter ref="A5:CI10" xr:uid="{00000000-0009-0000-0000-000003000000}"/>
  <mergeCells count="80">
    <mergeCell ref="CB1:CB4"/>
    <mergeCell ref="BT1:BT4"/>
    <mergeCell ref="AL2:AL4"/>
    <mergeCell ref="BQ1:BR1"/>
    <mergeCell ref="BK3:BK4"/>
    <mergeCell ref="BK2:BP2"/>
    <mergeCell ref="BN3:BN4"/>
    <mergeCell ref="BP3:BP4"/>
    <mergeCell ref="BX1:CA3"/>
    <mergeCell ref="BF3:BF4"/>
    <mergeCell ref="BH3:BH4"/>
    <mergeCell ref="S2:S4"/>
    <mergeCell ref="AS1:AS4"/>
    <mergeCell ref="AM2:AM4"/>
    <mergeCell ref="BC3:BC4"/>
    <mergeCell ref="AE2:AE4"/>
    <mergeCell ref="D1:D4"/>
    <mergeCell ref="X2:X4"/>
    <mergeCell ref="AV1:AV4"/>
    <mergeCell ref="AX1:AX4"/>
    <mergeCell ref="V2:W3"/>
    <mergeCell ref="Y2:Y4"/>
    <mergeCell ref="N2:N4"/>
    <mergeCell ref="F1:F4"/>
    <mergeCell ref="AP1:AP4"/>
    <mergeCell ref="AB2:AB4"/>
    <mergeCell ref="M2:M4"/>
    <mergeCell ref="AH2:AH4"/>
    <mergeCell ref="AJ2:AJ4"/>
    <mergeCell ref="T2:T4"/>
    <mergeCell ref="Q2:Q4"/>
    <mergeCell ref="AC2:AC4"/>
    <mergeCell ref="BS1:BS4"/>
    <mergeCell ref="O2:O4"/>
    <mergeCell ref="G1:G4"/>
    <mergeCell ref="I1:I4"/>
    <mergeCell ref="AQ1:AQ4"/>
    <mergeCell ref="R2:R4"/>
    <mergeCell ref="BI3:BI4"/>
    <mergeCell ref="AY2:BJ2"/>
    <mergeCell ref="BE3:BE4"/>
    <mergeCell ref="BQ2:BQ4"/>
    <mergeCell ref="BG3:BG4"/>
    <mergeCell ref="BO3:BO4"/>
    <mergeCell ref="AY1:BP1"/>
    <mergeCell ref="P2:P4"/>
    <mergeCell ref="BB3:BB4"/>
    <mergeCell ref="BD3:BD4"/>
    <mergeCell ref="B1:B4"/>
    <mergeCell ref="A1:A4"/>
    <mergeCell ref="C1:C4"/>
    <mergeCell ref="AU1:AU4"/>
    <mergeCell ref="AK2:AK4"/>
    <mergeCell ref="K1:X1"/>
    <mergeCell ref="U2:U4"/>
    <mergeCell ref="AG2:AG4"/>
    <mergeCell ref="AD2:AD4"/>
    <mergeCell ref="AF2:AF4"/>
    <mergeCell ref="AO2:AO4"/>
    <mergeCell ref="Y1:AO1"/>
    <mergeCell ref="AN2:AN4"/>
    <mergeCell ref="AR1:AR4"/>
    <mergeCell ref="AA2:AA4"/>
    <mergeCell ref="E1:E4"/>
    <mergeCell ref="CC1:CC4"/>
    <mergeCell ref="H1:H4"/>
    <mergeCell ref="J1:J4"/>
    <mergeCell ref="CD1:CD4"/>
    <mergeCell ref="BR2:BR4"/>
    <mergeCell ref="AT1:AT4"/>
    <mergeCell ref="L2:L4"/>
    <mergeCell ref="BM3:BM4"/>
    <mergeCell ref="Z2:Z4"/>
    <mergeCell ref="BJ3:BJ4"/>
    <mergeCell ref="BL3:BL4"/>
    <mergeCell ref="AW1:AW4"/>
    <mergeCell ref="AI2:AI4"/>
    <mergeCell ref="BU1:BU4"/>
    <mergeCell ref="BW1:BW4"/>
    <mergeCell ref="K2:K4"/>
  </mergeCells>
  <conditionalFormatting sqref="B8:B12 B1:B5 B16:B1048576 C5:BU5 D6:F6 J6:BI6 BK6:BU6 BW5:CD6">
    <cfRule type="duplicateValues" dxfId="6" priority="68"/>
  </conditionalFormatting>
  <conditionalFormatting sqref="B8:B12 B1:B5 B16:B1048576 C5:BU5">
    <cfRule type="duplicateValues" dxfId="5" priority="6"/>
    <cfRule type="duplicateValues" dxfId="4" priority="63"/>
  </conditionalFormatting>
  <conditionalFormatting sqref="B15">
    <cfRule type="duplicateValues" dxfId="3" priority="1"/>
    <cfRule type="duplicateValues" dxfId="2" priority="2"/>
    <cfRule type="duplicateValues" dxfId="1" priority="3"/>
  </conditionalFormatting>
  <conditionalFormatting sqref="BJ6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tạm ứng kỳ 1'!Print_Area</vt:lpstr>
      <vt:lpstr>'Mô tả Bảng lương CB-NV'!Print_Area</vt:lpstr>
      <vt:lpstr>'Mô tả Bảng lương tạm ứng kỳ 1'!Print_Area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2025-12-31T12:17:47Z</dcterms:modified>
</cp:coreProperties>
</file>