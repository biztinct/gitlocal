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ECE64A92-7FBF-C247-9140-52020C168F68}" xr6:coauthVersionLast="47" xr6:coauthVersionMax="47" xr10:uidLastSave="{00000000-0000-0000-0000-000000000000}"/>
  <bookViews>
    <workbookView xWindow="38560" yWindow="66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 " sheetId="337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" localSheetId="4">'OT '!$A$2:A5</definedName>
    <definedName name="__xlnm._FilterDatabase_1" localSheetId="3">#REF!</definedName>
    <definedName name="__xlnm._FilterDatabase_1" localSheetId="6">#REF!</definedName>
    <definedName name="__xlnm._FilterDatabase_1" localSheetId="4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 localSheetId="4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 localSheetId="4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 localSheetId="4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 localSheetId="4">#REF!</definedName>
    <definedName name="__xlnm._FilterDatabase_7">#REF!</definedName>
    <definedName name="__xlnm.Print_Area" localSheetId="6">Incentive!$A$1:$H$9</definedName>
    <definedName name="__xlnm.Print_Titles" localSheetId="6">(Incentive!$A:$G,Incentive!$3:$3)</definedName>
    <definedName name="__xlnm.Print_Titles" localSheetId="5">NS!$1:$1</definedName>
    <definedName name="__xlnm.Print_Titles" localSheetId="4">'OT '!$1:$2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1'!$A$3:$AU$11</definedName>
    <definedName name="_xlnm._FilterDatabase" localSheetId="8" hidden="1">'Benefit tính thuế'!$A$1:$H$19</definedName>
    <definedName name="_xlnm._FilterDatabase" localSheetId="6" hidden="1">Incentive!$A$3:$K$8</definedName>
    <definedName name="_xlnm._FilterDatabase" localSheetId="5" hidden="1">NS!$A$1:$G$6</definedName>
    <definedName name="_xlnm._FilterDatabase" localSheetId="4" hidden="1">'OT '!$A$2:$T$5</definedName>
    <definedName name="_xlnm._FilterDatabase" localSheetId="7" hidden="1">Others!$A$8:$F$11</definedName>
    <definedName name="_xlnm._FilterDatabase" localSheetId="1" hidden="1">'PC cơm '!$A$2:$M$4</definedName>
    <definedName name="_xlnm._FilterDatabase" localSheetId="0" hidden="1">'Template Payroll'!$A$2:$CG$3</definedName>
    <definedName name="_xlnm._FilterDatabase" localSheetId="2" hidden="1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 localSheetId="4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 localSheetId="4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 localSheetId="4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 localSheetId="4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 localSheetId="4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 localSheetId="4">#REF!</definedName>
    <definedName name="HUYEN_HOC_MON">#REF!</definedName>
    <definedName name="HUYEN_NHA_BE" localSheetId="3">#REF!</definedName>
    <definedName name="HUYEN_NHA_BE" localSheetId="6">#REF!</definedName>
    <definedName name="HUYEN_NHA_BE" localSheetId="4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4">'OT '!$B:$B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4">'OT '!$R:$R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4">'OT '!$T:$T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4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4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4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4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4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4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4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 localSheetId="4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4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Incentive!$A$1:$K$9</definedName>
    <definedName name="_xlnm.Print_Area" localSheetId="2">'TimeTB 2'!$B$1:$AY$22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4">'OT '!$1:$2</definedName>
    <definedName name="_xlnm.Print_Titles" localSheetId="1">'PC cơm '!$1:$2</definedName>
    <definedName name="_xlnm.Print_Titles" localSheetId="0">'Template Payroll'!$A:$H,'Template Payroll'!$2:$2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 localSheetId="4">#REF!</definedName>
    <definedName name="QUAN_1">#REF!</definedName>
    <definedName name="QUAN_10" localSheetId="3">#REF!</definedName>
    <definedName name="QUAN_10" localSheetId="6">#REF!</definedName>
    <definedName name="QUAN_10" localSheetId="4">#REF!</definedName>
    <definedName name="QUAN_10">#REF!</definedName>
    <definedName name="QUAN_11" localSheetId="3">#REF!</definedName>
    <definedName name="QUAN_11" localSheetId="6">#REF!</definedName>
    <definedName name="QUAN_11" localSheetId="4">#REF!</definedName>
    <definedName name="QUAN_11">#REF!</definedName>
    <definedName name="QUAN_12" localSheetId="3">#REF!</definedName>
    <definedName name="QUAN_12" localSheetId="6">#REF!</definedName>
    <definedName name="QUAN_12" localSheetId="4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 localSheetId="4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 localSheetId="4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 localSheetId="4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 localSheetId="4">#REF!</definedName>
    <definedName name="QUAN_5">#REF!</definedName>
    <definedName name="QUAN_6" localSheetId="3">#REF!</definedName>
    <definedName name="QUAN_6" localSheetId="6">#REF!</definedName>
    <definedName name="QUAN_6" localSheetId="4">#REF!</definedName>
    <definedName name="QUAN_6">#REF!</definedName>
    <definedName name="QUAN_7" localSheetId="3">#REF!</definedName>
    <definedName name="QUAN_7" localSheetId="6">#REF!</definedName>
    <definedName name="QUAN_7" localSheetId="4">#REF!</definedName>
    <definedName name="QUAN_7">#REF!</definedName>
    <definedName name="QUAN_8" localSheetId="3">#REF!</definedName>
    <definedName name="QUAN_8" localSheetId="6">#REF!</definedName>
    <definedName name="QUAN_8" localSheetId="4">#REF!</definedName>
    <definedName name="QUAN_8">#REF!</definedName>
    <definedName name="QUAN_9" localSheetId="3">#REF!</definedName>
    <definedName name="QUAN_9" localSheetId="6">#REF!</definedName>
    <definedName name="QUAN_9" localSheetId="4">#REF!</definedName>
    <definedName name="QUAN_9">#REF!</definedName>
    <definedName name="QUAN_BINH_TAN" localSheetId="3">#REF!</definedName>
    <definedName name="QUAN_BINH_TAN" localSheetId="6">#REF!</definedName>
    <definedName name="QUAN_BINH_TAN" localSheetId="4">#REF!</definedName>
    <definedName name="QUAN_BINH_TAN">#REF!</definedName>
    <definedName name="QUAN_BINH_THANH" localSheetId="3">#REF!</definedName>
    <definedName name="QUAN_BINH_THANH" localSheetId="6">#REF!</definedName>
    <definedName name="QUAN_BINH_THANH" localSheetId="4">#REF!</definedName>
    <definedName name="QUAN_BINH_THANH">#REF!</definedName>
    <definedName name="QUAN_GO_VAP" localSheetId="3">#REF!</definedName>
    <definedName name="QUAN_GO_VAP" localSheetId="6">#REF!</definedName>
    <definedName name="QUAN_GO_VAP" localSheetId="4">#REF!</definedName>
    <definedName name="QUAN_GO_VAP">#REF!</definedName>
    <definedName name="QUAN_PHU_NHUAN" localSheetId="3">#REF!</definedName>
    <definedName name="QUAN_PHU_NHUAN" localSheetId="6">#REF!</definedName>
    <definedName name="QUAN_PHU_NHUAN" localSheetId="4">#REF!</definedName>
    <definedName name="QUAN_PHU_NHUAN">#REF!</definedName>
    <definedName name="QUAN_TAN_BINH" localSheetId="3">#REF!</definedName>
    <definedName name="QUAN_TAN_BINH" localSheetId="6">#REF!</definedName>
    <definedName name="QUAN_TAN_BINH" localSheetId="4">#REF!</definedName>
    <definedName name="QUAN_TAN_BINH">#REF!</definedName>
    <definedName name="QUAN_TAN_PHU" localSheetId="3">#REF!</definedName>
    <definedName name="QUAN_TAN_PHU" localSheetId="6">#REF!</definedName>
    <definedName name="QUAN_TAN_PHU" localSheetId="4">#REF!</definedName>
    <definedName name="QUAN_TAN_PHU">#REF!</definedName>
    <definedName name="QUAN_THU_DUC" localSheetId="3">#REF!</definedName>
    <definedName name="QUAN_THU_DUC" localSheetId="6">#REF!</definedName>
    <definedName name="QUAN_THU_DUC" localSheetId="4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4">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 localSheetId="4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30" l="1"/>
  <c r="AH2" i="328" l="1"/>
  <c r="AI2" i="328" s="1"/>
  <c r="J2" i="340"/>
  <c r="K2" i="340" s="1"/>
  <c r="M1" i="340"/>
  <c r="BL3" i="439"/>
  <c r="J3" i="340" l="1"/>
  <c r="K3" i="340"/>
  <c r="L2" i="340"/>
  <c r="BK3" i="439"/>
  <c r="AN3" i="439"/>
  <c r="AM3" i="439"/>
  <c r="BF1" i="439"/>
  <c r="BG1" i="439"/>
  <c r="BN3" i="439"/>
  <c r="AP3" i="439"/>
  <c r="AH3" i="439"/>
  <c r="AG3" i="439"/>
  <c r="AF3" i="439"/>
  <c r="G4" i="430"/>
  <c r="G3" i="430"/>
  <c r="AW5" i="340"/>
  <c r="H4" i="430" s="1"/>
  <c r="AW4" i="340"/>
  <c r="H3" i="430" s="1"/>
  <c r="AV4" i="340"/>
  <c r="F3" i="430" s="1"/>
  <c r="AV5" i="340"/>
  <c r="F4" i="430" s="1"/>
  <c r="AR4" i="340"/>
  <c r="L3" i="340" l="1"/>
  <c r="M2" i="340"/>
  <c r="BG3" i="439"/>
  <c r="BF3" i="439"/>
  <c r="AR3" i="439" s="1"/>
  <c r="M3" i="340" l="1"/>
  <c r="N2" i="340"/>
  <c r="AS3" i="439"/>
  <c r="BC3" i="439"/>
  <c r="BD3" i="439"/>
  <c r="AQ3" i="439"/>
  <c r="BJ3" i="439"/>
  <c r="BB3" i="439"/>
  <c r="BA3" i="439"/>
  <c r="N3" i="340" l="1"/>
  <c r="O2" i="340"/>
  <c r="AT3" i="439"/>
  <c r="BE3" i="439"/>
  <c r="O3" i="340" l="1"/>
  <c r="P2" i="340"/>
  <c r="A6" i="347"/>
  <c r="A4" i="5"/>
  <c r="A5" i="5"/>
  <c r="A6" i="5"/>
  <c r="E6" i="5"/>
  <c r="G6" i="5" s="1"/>
  <c r="E5" i="5"/>
  <c r="G5" i="5" s="1"/>
  <c r="E4" i="5"/>
  <c r="G4" i="5" s="1"/>
  <c r="E3" i="5"/>
  <c r="E5" i="337"/>
  <c r="S5" i="337" s="1"/>
  <c r="E4" i="337"/>
  <c r="N3" i="439"/>
  <c r="P3" i="439" s="1"/>
  <c r="P3" i="340" l="1"/>
  <c r="Q2" i="340"/>
  <c r="I4" i="5"/>
  <c r="I5" i="5"/>
  <c r="I6" i="5"/>
  <c r="L3" i="439"/>
  <c r="R2" i="340" l="1"/>
  <c r="Q3" i="340"/>
  <c r="H6" i="5"/>
  <c r="H5" i="5"/>
  <c r="S3" i="439"/>
  <c r="H4" i="5"/>
  <c r="S2" i="340" l="1"/>
  <c r="R3" i="340"/>
  <c r="T2" i="340" l="1"/>
  <c r="S3" i="340"/>
  <c r="T3" i="340" l="1"/>
  <c r="U2" i="340"/>
  <c r="A4" i="430"/>
  <c r="A3" i="430"/>
  <c r="V2" i="340" l="1"/>
  <c r="U3" i="340"/>
  <c r="G6" i="348"/>
  <c r="F6" i="348"/>
  <c r="E6" i="348"/>
  <c r="D6" i="348"/>
  <c r="H5" i="348"/>
  <c r="A5" i="348"/>
  <c r="H4" i="348"/>
  <c r="A4" i="348"/>
  <c r="H3" i="348"/>
  <c r="A3" i="348"/>
  <c r="H2" i="348"/>
  <c r="A2" i="348"/>
  <c r="E29" i="366"/>
  <c r="A28" i="366"/>
  <c r="G27" i="366"/>
  <c r="H27" i="366" s="1"/>
  <c r="D27" i="366"/>
  <c r="F27" i="366" s="1"/>
  <c r="C27" i="366"/>
  <c r="A27" i="366"/>
  <c r="G26" i="366"/>
  <c r="H26" i="366" s="1"/>
  <c r="D26" i="366"/>
  <c r="F26" i="366" s="1"/>
  <c r="C26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A10" i="366"/>
  <c r="D6" i="366"/>
  <c r="F5" i="366"/>
  <c r="H6" i="347"/>
  <c r="L6" i="347"/>
  <c r="L5" i="347"/>
  <c r="A5" i="347"/>
  <c r="L4" i="347"/>
  <c r="A4" i="347"/>
  <c r="A3" i="5"/>
  <c r="E2" i="5"/>
  <c r="F2" i="5" s="1"/>
  <c r="G2" i="5" s="1"/>
  <c r="H2" i="5" s="1"/>
  <c r="I2" i="5" s="1"/>
  <c r="C2" i="5"/>
  <c r="A5" i="337"/>
  <c r="A4" i="337"/>
  <c r="C3" i="337"/>
  <c r="AV12" i="328"/>
  <c r="AT11" i="328"/>
  <c r="AU11" i="328" s="1"/>
  <c r="AS11" i="328"/>
  <c r="AR11" i="328"/>
  <c r="AQ11" i="328"/>
  <c r="AP11" i="328"/>
  <c r="AO11" i="328"/>
  <c r="AN11" i="328"/>
  <c r="AM11" i="328"/>
  <c r="AL11" i="328"/>
  <c r="AK11" i="328"/>
  <c r="A11" i="328"/>
  <c r="AT10" i="328"/>
  <c r="AU10" i="328" s="1"/>
  <c r="AS10" i="328"/>
  <c r="AR10" i="328"/>
  <c r="AQ10" i="328"/>
  <c r="AP10" i="328"/>
  <c r="AO10" i="328"/>
  <c r="AN10" i="328"/>
  <c r="AM10" i="328"/>
  <c r="AL10" i="328"/>
  <c r="AK10" i="328"/>
  <c r="A10" i="328"/>
  <c r="AT9" i="328"/>
  <c r="AU9" i="328" s="1"/>
  <c r="AS9" i="328"/>
  <c r="AR9" i="328"/>
  <c r="AQ9" i="328"/>
  <c r="AP9" i="328"/>
  <c r="AO9" i="328"/>
  <c r="AN9" i="328"/>
  <c r="AM9" i="328"/>
  <c r="AL9" i="328"/>
  <c r="AK9" i="328"/>
  <c r="A9" i="328"/>
  <c r="AT8" i="328"/>
  <c r="AU8" i="328" s="1"/>
  <c r="AS8" i="328"/>
  <c r="AR8" i="328"/>
  <c r="AQ8" i="328"/>
  <c r="AP8" i="328"/>
  <c r="AO8" i="328"/>
  <c r="AN8" i="328"/>
  <c r="AM8" i="328"/>
  <c r="AL8" i="328"/>
  <c r="AK8" i="328"/>
  <c r="A8" i="328"/>
  <c r="AT7" i="328"/>
  <c r="AU7" i="328" s="1"/>
  <c r="AS7" i="328"/>
  <c r="AR7" i="328"/>
  <c r="AQ7" i="328"/>
  <c r="AP7" i="328"/>
  <c r="AO7" i="328"/>
  <c r="AN7" i="328"/>
  <c r="AM7" i="328"/>
  <c r="AL7" i="328"/>
  <c r="AK7" i="328"/>
  <c r="A7" i="328"/>
  <c r="AX6" i="328"/>
  <c r="AT6" i="328"/>
  <c r="AS6" i="328"/>
  <c r="AR6" i="328"/>
  <c r="AQ6" i="328"/>
  <c r="AP6" i="328"/>
  <c r="AO6" i="328"/>
  <c r="AN6" i="328"/>
  <c r="AM6" i="328"/>
  <c r="AL6" i="328"/>
  <c r="AK6" i="328"/>
  <c r="A6" i="328"/>
  <c r="AX5" i="328"/>
  <c r="AT5" i="328"/>
  <c r="AU5" i="328" s="1"/>
  <c r="AS5" i="328"/>
  <c r="AR5" i="328"/>
  <c r="AQ5" i="328"/>
  <c r="AP5" i="328"/>
  <c r="AO5" i="328"/>
  <c r="AN5" i="328"/>
  <c r="AM5" i="328"/>
  <c r="AL5" i="328"/>
  <c r="AK5" i="328"/>
  <c r="AT4" i="328"/>
  <c r="AU4" i="328" s="1"/>
  <c r="AS4" i="328"/>
  <c r="AR4" i="328"/>
  <c r="AQ4" i="328"/>
  <c r="AP4" i="328"/>
  <c r="AO4" i="328"/>
  <c r="AN4" i="328"/>
  <c r="AM4" i="328"/>
  <c r="AL4" i="328"/>
  <c r="AK4" i="328"/>
  <c r="AR5" i="340"/>
  <c r="AQ5" i="340"/>
  <c r="AP5" i="340"/>
  <c r="AO5" i="340"/>
  <c r="B5" i="340"/>
  <c r="A5" i="340"/>
  <c r="AQ4" i="340"/>
  <c r="AP4" i="340"/>
  <c r="AO4" i="340"/>
  <c r="B4" i="340"/>
  <c r="K4" i="430"/>
  <c r="J4" i="430"/>
  <c r="I4" i="430"/>
  <c r="K3" i="430"/>
  <c r="J3" i="430"/>
  <c r="I3" i="430"/>
  <c r="W2" i="340" l="1"/>
  <c r="V3" i="340"/>
  <c r="H6" i="348"/>
  <c r="D3" i="337"/>
  <c r="E3" i="337" s="1"/>
  <c r="F3" i="337" s="1"/>
  <c r="G3" i="337" s="1"/>
  <c r="H3" i="337" s="1"/>
  <c r="I3" i="337" s="1"/>
  <c r="J3" i="337" s="1"/>
  <c r="K3" i="337" s="1"/>
  <c r="L3" i="337" s="1"/>
  <c r="M3" i="337" s="1"/>
  <c r="N3" i="337" s="1"/>
  <c r="O3" i="337" s="1"/>
  <c r="P3" i="337" s="1"/>
  <c r="Q3" i="337" s="1"/>
  <c r="R3" i="337" s="1"/>
  <c r="S3" i="337" s="1"/>
  <c r="T3" i="337" s="1"/>
  <c r="AK12" i="328"/>
  <c r="AO12" i="328"/>
  <c r="I8" i="347"/>
  <c r="I1" i="347"/>
  <c r="M6" i="347"/>
  <c r="I2" i="347"/>
  <c r="K8" i="347"/>
  <c r="K2" i="347"/>
  <c r="K1" i="347"/>
  <c r="H5" i="347"/>
  <c r="J2" i="347"/>
  <c r="H4" i="347"/>
  <c r="J8" i="347"/>
  <c r="J1" i="347"/>
  <c r="AS12" i="328"/>
  <c r="AL12" i="328"/>
  <c r="AP12" i="328"/>
  <c r="AT12" i="328"/>
  <c r="AN12" i="328"/>
  <c r="AR12" i="328"/>
  <c r="AM12" i="328"/>
  <c r="AQ12" i="328"/>
  <c r="AU6" i="328"/>
  <c r="AU12" i="328" s="1"/>
  <c r="F10" i="366"/>
  <c r="L4" i="430"/>
  <c r="Y3" i="439"/>
  <c r="AS4" i="340"/>
  <c r="AU4" i="340" s="1"/>
  <c r="AS5" i="340"/>
  <c r="AU5" i="340" s="1"/>
  <c r="F29" i="366"/>
  <c r="W3" i="340" l="1"/>
  <c r="X2" i="340"/>
  <c r="Z3" i="439"/>
  <c r="AU3" i="439"/>
  <c r="E4" i="366"/>
  <c r="F4" i="366" s="1"/>
  <c r="M4" i="347"/>
  <c r="O3" i="439"/>
  <c r="T3" i="439" s="1"/>
  <c r="M5" i="347"/>
  <c r="H2" i="347"/>
  <c r="H1" i="347"/>
  <c r="H8" i="347"/>
  <c r="Q5" i="337"/>
  <c r="M5" i="337"/>
  <c r="O5" i="337"/>
  <c r="N5" i="337"/>
  <c r="X3" i="340" l="1"/>
  <c r="Y2" i="340"/>
  <c r="BQ3" i="439"/>
  <c r="U3" i="439"/>
  <c r="Q3" i="439"/>
  <c r="R3" i="439" s="1"/>
  <c r="L5" i="337"/>
  <c r="L8" i="347"/>
  <c r="F9" i="366"/>
  <c r="G3" i="5"/>
  <c r="F6" i="366"/>
  <c r="P5" i="337"/>
  <c r="Q4" i="337"/>
  <c r="L4" i="337"/>
  <c r="S4" i="337"/>
  <c r="O4" i="337"/>
  <c r="P4" i="337"/>
  <c r="N4" i="337"/>
  <c r="M4" i="337"/>
  <c r="Y3" i="340" l="1"/>
  <c r="Z2" i="340"/>
  <c r="AB3" i="439"/>
  <c r="I3" i="5"/>
  <c r="R5" i="337"/>
  <c r="F11" i="366"/>
  <c r="R4" i="337"/>
  <c r="AA3" i="439" s="1"/>
  <c r="Z3" i="340" l="1"/>
  <c r="AA2" i="340"/>
  <c r="AJ3" i="439"/>
  <c r="AL3" i="439"/>
  <c r="H3" i="5"/>
  <c r="T5" i="337"/>
  <c r="T4" i="337"/>
  <c r="AK3" i="439" s="1"/>
  <c r="AA3" i="340" l="1"/>
  <c r="AB2" i="340"/>
  <c r="AV3" i="439"/>
  <c r="AW3" i="439" s="1"/>
  <c r="AB3" i="340" l="1"/>
  <c r="AC2" i="340"/>
  <c r="AD2" i="340" l="1"/>
  <c r="AC3" i="340"/>
  <c r="AX3" i="439"/>
  <c r="AY3" i="439"/>
  <c r="AE2" i="340" l="1"/>
  <c r="AD3" i="340"/>
  <c r="AZ3" i="439"/>
  <c r="AF2" i="340" l="1"/>
  <c r="AE3" i="340"/>
  <c r="BR3" i="439"/>
  <c r="BM3" i="439"/>
  <c r="AG2" i="340" l="1"/>
  <c r="AF3" i="340"/>
  <c r="AH2" i="340" l="1"/>
  <c r="AG3" i="340"/>
  <c r="AI2" i="340" l="1"/>
  <c r="AH3" i="340"/>
  <c r="AJ2" i="340" l="1"/>
  <c r="AI3" i="340"/>
  <c r="AK2" i="340" l="1"/>
  <c r="AJ3" i="340"/>
  <c r="AK3" i="340" l="1"/>
  <c r="AL2" i="340"/>
  <c r="AM2" i="340" l="1"/>
  <c r="AL3" i="340"/>
  <c r="AM3" i="340" l="1"/>
  <c r="AN2" i="340"/>
  <c r="AN3" i="3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2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<sst xmlns="http://schemas.openxmlformats.org/spreadsheetml/2006/main" count="415" uniqueCount="222">
  <si>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</si>
  <si>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</si>
  <si>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</si>
  <si>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</si>
  <si>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</si>
  <si>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</si>
  <si>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</si>
  <si>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</si>
  <si>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</si>
  <si>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</si>
  <si>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</si>
  <si>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</si>
  <si>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</si>
  <si>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</si>
  <si>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</si>
  <si>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</si>
  <si>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</si>
  <si>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</si>
  <si>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</si>
  <si>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</si>
  <si>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Staff</t>
  </si>
  <si>
    <t>No</t>
  </si>
  <si>
    <t>Hour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</si>
  <si>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</si>
  <si>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</si>
  <si>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</si>
  <si>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</si>
  <si>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</si>
  <si>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</si>
  <si>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</si>
  <si>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</si>
  <si>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</si>
  <si>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</si>
  <si>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</si>
  <si>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</si>
  <si>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</si>
  <si>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</si>
  <si>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</si>
  <si>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</si>
  <si>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</si>
  <si>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</si>
  <si>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Tổng ngày nghỉ có lương</t>
  </si>
  <si>
    <t>Tổng ngày nghỉ không lương</t>
  </si>
  <si>
    <t>Compensation</t>
  </si>
  <si>
    <t>OT
Sunday</t>
  </si>
  <si>
    <t>OT
Holiday</t>
  </si>
  <si>
    <t>CODE VN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</si>
  <si>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</si>
  <si>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</si>
  <si>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</si>
  <si>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</si>
  <si>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</si>
  <si>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</si>
  <si>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</si>
  <si>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</si>
  <si>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</si>
  <si>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</si>
  <si>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</si>
  <si>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</si>
  <si>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Overtime payment 
per hour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</si>
  <si>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</si>
  <si>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</si>
  <si>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</si>
  <si>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</si>
  <si>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</si>
  <si>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</si>
  <si>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</si>
  <si>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</si>
  <si>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</si>
  <si>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</si>
  <si>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</si>
  <si>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</si>
  <si>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</si>
  <si>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</si>
  <si>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</si>
  <si>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</si>
  <si>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</si>
  <si>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</si>
  <si>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</si>
  <si>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</si>
  <si>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</si>
  <si>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</si>
  <si>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PP.Shipper</t>
  </si>
  <si>
    <t>Thâm niên CASHIER bổ sung</t>
  </si>
  <si>
    <t>1/2AL</t>
  </si>
  <si>
    <t>GV - PP. Center</t>
  </si>
  <si>
    <t>Gross</t>
  </si>
  <si>
    <t>ALs</t>
  </si>
  <si>
    <t xml:space="preserve">Thâm niên CASHIER 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</si>
  <si>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</si>
  <si>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</si>
  <si>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</si>
  <si>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</si>
  <si>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</si>
  <si>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</si>
  <si>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</si>
  <si>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</si>
  <si>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</si>
  <si>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</si>
  <si>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</si>
  <si>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</si>
  <si>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</si>
  <si>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</si>
  <si>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 xml:space="preserve">Ngày đi làm thực tế </t>
  </si>
  <si>
    <t xml:space="preserve">NGÀY CÔNG TÍNH LƯƠNG </t>
  </si>
  <si>
    <t>Amount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</si>
  <si>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</si>
  <si>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</si>
  <si>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</si>
  <si>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</si>
  <si>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</si>
  <si>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</si>
  <si>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</si>
  <si>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</si>
  <si>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</si>
  <si>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</si>
  <si>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</si>
  <si>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</si>
  <si>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</si>
  <si>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</si>
  <si>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</si>
  <si>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</si>
  <si>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</si>
  <si>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</si>
  <si>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</si>
  <si>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</si>
  <si>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</si>
  <si>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</si>
  <si>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</si>
  <si>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</si>
  <si>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</si>
  <si>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</si>
  <si>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</si>
  <si>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</si>
  <si>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</si>
  <si>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</si>
  <si>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</si>
  <si>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</si>
  <si>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</si>
  <si>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</si>
  <si>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</si>
  <si>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</si>
  <si>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</si>
  <si>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</si>
  <si>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</si>
  <si>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</si>
  <si>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</si>
  <si>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</si>
  <si>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</si>
  <si>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</si>
  <si>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</si>
  <si>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</si>
  <si>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</si>
  <si>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</si>
  <si>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</si>
  <si>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</si>
  <si>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</si>
  <si>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</si>
  <si>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</si>
  <si>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</si>
  <si>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</si>
  <si>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</si>
  <si>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</si>
  <si>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>PVT2500113</t>
  </si>
  <si>
    <t>PVT2500114</t>
  </si>
  <si>
    <t>PVT2500115</t>
  </si>
  <si>
    <t>PVT2500116</t>
  </si>
  <si>
    <t>PVT2500117</t>
  </si>
  <si>
    <t>PVT - Store Manager</t>
  </si>
  <si>
    <t>Phụ cấp điều phối</t>
  </si>
  <si>
    <t>Ngày công tính lương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</si>
  <si>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</si>
  <si>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</si>
  <si>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</si>
  <si>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</si>
  <si>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</si>
  <si>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</si>
  <si>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</si>
  <si>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</si>
  <si>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</si>
  <si>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</si>
  <si>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</si>
  <si>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</si>
  <si>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</si>
  <si>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</si>
  <si>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</si>
  <si>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</si>
  <si>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</si>
  <si>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</si>
  <si>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</si>
  <si>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</si>
  <si>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>Nguyễn Thị Hà</t>
  </si>
  <si>
    <t>Phùng Mạnh Hà</t>
  </si>
  <si>
    <t>Nguyễn Đức Khánh</t>
  </si>
  <si>
    <t>Nguyễn Sơn Tùng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</si>
  <si>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</si>
  <si>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</si>
  <si>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</si>
  <si>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</si>
  <si>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</si>
  <si>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</si>
  <si>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</si>
  <si>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</si>
  <si>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</si>
  <si>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</si>
  <si>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</si>
  <si>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</si>
  <si>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</si>
  <si>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</si>
  <si>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</si>
  <si>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</si>
  <si>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</si>
  <si>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</si>
  <si>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</si>
  <si>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</si>
  <si>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</si>
  <si>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</si>
  <si>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Employee Code</t>
  </si>
  <si>
    <t>Monthly bonus</t>
  </si>
  <si>
    <t>Birthday (Company)</t>
  </si>
  <si>
    <t>Seniority</t>
  </si>
  <si>
    <t>Total taxable benefits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</si>
</sst>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1" formatCode="dd"/>
    <numFmt numFmtId="182" formatCode="_(* #,##0_);_(* \(#,##0\);_(* &quot;-&quot;?_);_(@_)"/>
    <numFmt numFmtId="184" formatCode="[$-1010000]d/m/yyyy;@"/>
    <numFmt numFmtId="185" formatCode="&quot; &quot;#,##0&quot; &quot;;&quot; (&quot;#,##0&quot;)&quot;;&quot; -&quot;00&quot; &quot;;&quot; &quot;@&quot; &quot;"/>
    <numFmt numFmtId="186" formatCode="dd\/mm\/yyyy"/>
    <numFmt numFmtId="187" formatCode="&quot; &quot;#,##0.0&quot; &quot;;&quot; (&quot;#,##0.0&quot;)&quot;;&quot; -&quot;00.0&quot; &quot;;&quot; &quot;@&quot; &quot;"/>
    <numFmt numFmtId="188" formatCode="0.0%"/>
    <numFmt numFmtId="189" formatCode="&quot; &quot;#,##0&quot; &quot;;&quot;-&quot;#,##0&quot; &quot;;&quot; -&quot;00&quot; &quot;;&quot; &quot;@&quot; &quot;"/>
  </numFmts>
  <fonts count="33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sz val="12"/>
      <name val="Cambria"/>
      <family val="2"/>
      <scheme val="major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indexed="50"/>
        <bgColor indexed="19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FCE4D6"/>
      </patternFill>
    </fill>
  </fills>
  <borders count="10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8" fillId="5" borderId="0" applyNumberFormat="0" applyBorder="0" applyAlignment="0" applyProtection="0"/>
    <xf numFmtId="0" fontId="268" fillId="6" borderId="0" applyNumberFormat="0" applyBorder="0" applyAlignment="0" applyProtection="0"/>
    <xf numFmtId="0" fontId="268" fillId="7" borderId="0" applyNumberFormat="0" applyBorder="0" applyAlignment="0" applyProtection="0"/>
    <xf numFmtId="0" fontId="268" fillId="8" borderId="0" applyNumberFormat="0" applyBorder="0" applyAlignment="0" applyProtection="0"/>
    <xf numFmtId="0" fontId="269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9" fillId="0" borderId="0"/>
    <xf numFmtId="0" fontId="280" fillId="0" borderId="0"/>
    <xf numFmtId="43" fontId="280" fillId="0" borderId="0" applyFont="0" applyFill="0" applyBorder="0" applyAlignment="0" applyProtection="0"/>
    <xf numFmtId="0" fontId="236" fillId="0" borderId="0"/>
    <xf numFmtId="0" fontId="236" fillId="15" borderId="0" applyNumberFormat="0" applyBorder="0" applyAlignment="0" applyProtection="0"/>
    <xf numFmtId="0" fontId="235" fillId="0" borderId="0"/>
    <xf numFmtId="0" fontId="280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6" fillId="0" borderId="0"/>
    <xf numFmtId="0" fontId="275" fillId="17" borderId="0" applyNumberFormat="0" applyBorder="0" applyAlignment="0" applyProtection="0"/>
    <xf numFmtId="0" fontId="275" fillId="16" borderId="0" applyNumberFormat="0" applyBorder="0" applyAlignment="0" applyProtection="0"/>
    <xf numFmtId="0" fontId="275" fillId="14" borderId="0" applyNumberFormat="0" applyBorder="0" applyAlignment="0" applyProtection="0"/>
    <xf numFmtId="0" fontId="275" fillId="18" borderId="0" applyNumberFormat="0" applyBorder="0" applyAlignment="0" applyProtection="0"/>
    <xf numFmtId="0" fontId="286" fillId="15" borderId="0" applyNumberFormat="0" applyBorder="0" applyAlignment="0" applyProtection="0"/>
    <xf numFmtId="0" fontId="287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9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8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92" fillId="0" borderId="0">
      <alignment vertical="center"/>
    </xf>
    <xf numFmtId="177" fontId="292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93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6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7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9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9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9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9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7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7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7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90" fillId="28" borderId="10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7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7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7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7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7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7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7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7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7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7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7" fontId="110" fillId="0" borderId="0" applyFont="0" applyFill="0" applyBorder="0" applyAlignment="0" applyProtection="0"/>
    <xf numFmtId="0" fontId="109" fillId="0" borderId="0"/>
    <xf numFmtId="177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90" fillId="28" borderId="15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7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7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7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7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7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7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7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7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9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7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90" fillId="28" borderId="16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301" fillId="0" borderId="0"/>
    <xf numFmtId="0" fontId="60" fillId="0" borderId="0"/>
    <xf numFmtId="0" fontId="303" fillId="0" borderId="0"/>
    <xf numFmtId="0" fontId="59" fillId="0" borderId="0"/>
    <xf numFmtId="0" fontId="59" fillId="0" borderId="0"/>
    <xf numFmtId="0" fontId="304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9" fillId="0" borderId="0"/>
    <xf numFmtId="180" fontId="309" fillId="0" borderId="0" applyFont="0" applyFill="0" applyBorder="0" applyAlignment="0" applyProtection="0"/>
    <xf numFmtId="0" fontId="310" fillId="33" borderId="0" applyNumberFormat="0" applyBorder="0" applyAlignment="0" applyProtection="0"/>
    <xf numFmtId="0" fontId="309" fillId="34" borderId="0" applyNumberFormat="0" applyFont="0" applyBorder="0" applyAlignment="0" applyProtection="0"/>
    <xf numFmtId="0" fontId="310" fillId="33" borderId="0" applyNumberFormat="0" applyBorder="0" applyAlignment="0" applyProtection="0"/>
    <xf numFmtId="180" fontId="309" fillId="0" borderId="0" applyFont="0" applyFill="0" applyBorder="0" applyAlignment="0" applyProtection="0"/>
    <xf numFmtId="0" fontId="311" fillId="35" borderId="0" applyNumberFormat="0" applyBorder="0" applyAlignment="0" applyProtection="0"/>
    <xf numFmtId="0" fontId="312" fillId="0" borderId="0" applyNumberFormat="0" applyBorder="0" applyProtection="0"/>
    <xf numFmtId="0" fontId="309" fillId="0" borderId="0" applyNumberFormat="0" applyFont="0" applyBorder="0" applyProtection="0"/>
    <xf numFmtId="0" fontId="309" fillId="0" borderId="0" applyNumberFormat="0" applyFont="0" applyBorder="0" applyProtection="0"/>
    <xf numFmtId="0" fontId="309" fillId="0" borderId="0" applyNumberFormat="0" applyFont="0" applyBorder="0" applyProtection="0"/>
    <xf numFmtId="0" fontId="313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4">
      <alignment horizontal="center" vertical="center"/>
    </xf>
    <xf numFmtId="0" fontId="52" fillId="0" borderId="0"/>
    <xf numFmtId="43" fontId="52" fillId="0" borderId="0"/>
    <xf numFmtId="0" fontId="290" fillId="28" borderId="18">
      <alignment horizontal="center" vertical="center"/>
    </xf>
    <xf numFmtId="0" fontId="270" fillId="36" borderId="0"/>
    <xf numFmtId="0" fontId="316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7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9" fillId="0" borderId="0"/>
    <xf numFmtId="43" fontId="309" fillId="0" borderId="0" applyFont="0" applyFill="0" applyBorder="0" applyAlignment="0" applyProtection="0"/>
    <xf numFmtId="0" fontId="50" fillId="0" borderId="0"/>
    <xf numFmtId="43" fontId="50" fillId="0" borderId="0"/>
    <xf numFmtId="0" fontId="290" fillId="28" borderId="27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90" fillId="28" borderId="4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90" fillId="28" borderId="44">
      <alignment horizontal="center" vertical="center"/>
    </xf>
    <xf numFmtId="0" fontId="270" fillId="36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90" fillId="28" borderId="4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01" fillId="0" borderId="0"/>
    <xf numFmtId="166" fontId="238" fillId="0" borderId="0" applyFill="0" applyBorder="0" applyAlignment="0" applyProtection="0"/>
    <xf numFmtId="0" fontId="239" fillId="2" borderId="4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5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9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4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47">
      <alignment horizontal="center" vertical="center"/>
    </xf>
    <xf numFmtId="0" fontId="35" fillId="0" borderId="0"/>
    <xf numFmtId="43" fontId="35" fillId="0" borderId="0"/>
    <xf numFmtId="0" fontId="290" fillId="28" borderId="4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9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90" fillId="28" borderId="4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90" fillId="28" borderId="4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90" fillId="28" borderId="4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53">
      <alignment horizontal="center" vertical="center"/>
    </xf>
    <xf numFmtId="0" fontId="21" fillId="15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5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90" fillId="28" borderId="59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5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90" fillId="28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8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8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53">
      <alignment horizontal="center" vertical="center"/>
    </xf>
    <xf numFmtId="0" fontId="21" fillId="0" borderId="0"/>
    <xf numFmtId="43" fontId="21" fillId="0" borderId="0"/>
    <xf numFmtId="0" fontId="290" fillId="28" borderId="54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90" fillId="28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90" fillId="28" borderId="4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8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90" fillId="28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55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5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55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55">
      <alignment horizontal="center" vertical="center"/>
    </xf>
    <xf numFmtId="0" fontId="21" fillId="0" borderId="0"/>
    <xf numFmtId="43" fontId="21" fillId="0" borderId="0"/>
    <xf numFmtId="0" fontId="290" fillId="28" borderId="4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90" fillId="28" borderId="4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90" fillId="28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90" fillId="28" borderId="56">
      <alignment horizontal="center" vertical="center"/>
    </xf>
    <xf numFmtId="0" fontId="290" fillId="28" borderId="58">
      <alignment horizontal="center" vertical="center"/>
    </xf>
    <xf numFmtId="0" fontId="290" fillId="28" borderId="56">
      <alignment horizontal="center" vertical="center"/>
    </xf>
    <xf numFmtId="0" fontId="290" fillId="28" borderId="58">
      <alignment horizontal="center" vertical="center"/>
    </xf>
    <xf numFmtId="0" fontId="290" fillId="28" borderId="56">
      <alignment horizontal="center" vertical="center"/>
    </xf>
    <xf numFmtId="0" fontId="290" fillId="28" borderId="56">
      <alignment horizontal="center" vertical="center"/>
    </xf>
    <xf numFmtId="0" fontId="290" fillId="28" borderId="56">
      <alignment horizontal="center" vertical="center"/>
    </xf>
    <xf numFmtId="0" fontId="290" fillId="28" borderId="59">
      <alignment horizontal="center" vertical="center"/>
    </xf>
    <xf numFmtId="0" fontId="290" fillId="28" borderId="58">
      <alignment horizontal="center" vertical="center"/>
    </xf>
    <xf numFmtId="0" fontId="290" fillId="28" borderId="59">
      <alignment horizontal="center" vertical="center"/>
    </xf>
    <xf numFmtId="0" fontId="239" fillId="2" borderId="57">
      <alignment horizontal="center" vertical="center"/>
    </xf>
    <xf numFmtId="0" fontId="290" fillId="28" borderId="59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90" fillId="28" borderId="58">
      <alignment horizontal="center" vertical="center"/>
    </xf>
    <xf numFmtId="0" fontId="290" fillId="28" borderId="59">
      <alignment horizontal="center" vertical="center"/>
    </xf>
    <xf numFmtId="0" fontId="290" fillId="28" borderId="59">
      <alignment horizontal="center" vertical="center"/>
    </xf>
    <xf numFmtId="0" fontId="290" fillId="28" borderId="59">
      <alignment horizontal="center" vertical="center"/>
    </xf>
    <xf numFmtId="0" fontId="290" fillId="28" borderId="59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61">
      <alignment horizontal="center" vertical="center"/>
    </xf>
    <xf numFmtId="0" fontId="20" fillId="15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90" fillId="28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8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8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1">
      <alignment horizontal="center" vertical="center"/>
    </xf>
    <xf numFmtId="0" fontId="20" fillId="0" borderId="0"/>
    <xf numFmtId="43" fontId="20" fillId="0" borderId="0"/>
    <xf numFmtId="0" fontId="290" fillId="28" borderId="6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67">
      <alignment horizontal="center" vertical="center"/>
    </xf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63">
      <alignment horizontal="center" vertical="center"/>
    </xf>
    <xf numFmtId="0" fontId="20" fillId="15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90" fillId="28" borderId="66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90" fillId="28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8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8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90" fillId="28" borderId="64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90" fillId="28" borderId="64">
      <alignment horizontal="center" vertical="center"/>
    </xf>
    <xf numFmtId="0" fontId="290" fillId="28" borderId="66">
      <alignment horizontal="center" vertical="center"/>
    </xf>
    <xf numFmtId="0" fontId="290" fillId="28" borderId="64">
      <alignment horizontal="center" vertical="center"/>
    </xf>
    <xf numFmtId="0" fontId="290" fillId="28" borderId="66">
      <alignment horizontal="center" vertical="center"/>
    </xf>
    <xf numFmtId="0" fontId="290" fillId="28" borderId="64">
      <alignment horizontal="center" vertical="center"/>
    </xf>
    <xf numFmtId="0" fontId="290" fillId="28" borderId="64">
      <alignment horizontal="center" vertical="center"/>
    </xf>
    <xf numFmtId="0" fontId="290" fillId="28" borderId="64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39" fillId="2" borderId="65">
      <alignment horizontal="center" vertical="center"/>
    </xf>
    <xf numFmtId="0" fontId="290" fillId="28" borderId="66">
      <alignment horizontal="center" vertical="center"/>
    </xf>
    <xf numFmtId="0" fontId="239" fillId="2" borderId="65">
      <alignment horizontal="center" vertical="center"/>
    </xf>
    <xf numFmtId="0" fontId="239" fillId="2" borderId="65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39" fillId="2" borderId="67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39" fillId="2" borderId="69">
      <alignment horizontal="center" vertical="center"/>
    </xf>
    <xf numFmtId="0" fontId="239" fillId="2" borderId="69">
      <alignment horizontal="center" vertical="center"/>
    </xf>
    <xf numFmtId="0" fontId="239" fillId="2" borderId="69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39" fillId="2" borderId="60">
      <alignment horizontal="center" vertical="center"/>
    </xf>
    <xf numFmtId="0" fontId="290" fillId="28" borderId="71">
      <alignment horizontal="center" vertical="center"/>
    </xf>
    <xf numFmtId="0" fontId="239" fillId="2" borderId="60">
      <alignment horizontal="center" vertical="center"/>
    </xf>
    <xf numFmtId="0" fontId="290" fillId="28" borderId="70">
      <alignment horizontal="center" vertical="center"/>
    </xf>
    <xf numFmtId="0" fontId="290" fillId="28" borderId="70">
      <alignment horizontal="center" vertical="center"/>
    </xf>
    <xf numFmtId="0" fontId="290" fillId="28" borderId="70">
      <alignment horizontal="center" vertical="center"/>
    </xf>
    <xf numFmtId="0" fontId="239" fillId="2" borderId="60">
      <alignment horizontal="center" vertical="center"/>
    </xf>
    <xf numFmtId="0" fontId="290" fillId="28" borderId="70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70">
      <alignment horizontal="center" vertical="center"/>
    </xf>
    <xf numFmtId="0" fontId="290" fillId="28" borderId="71">
      <alignment horizontal="center" vertical="center"/>
    </xf>
    <xf numFmtId="0" fontId="290" fillId="28" borderId="70">
      <alignment horizontal="center" vertical="center"/>
    </xf>
    <xf numFmtId="0" fontId="290" fillId="28" borderId="71">
      <alignment horizontal="center" vertical="center"/>
    </xf>
    <xf numFmtId="0" fontId="290" fillId="28" borderId="70">
      <alignment horizontal="center" vertical="center"/>
    </xf>
    <xf numFmtId="0" fontId="290" fillId="28" borderId="70">
      <alignment horizontal="center" vertical="center"/>
    </xf>
    <xf numFmtId="0" fontId="290" fillId="28" borderId="70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39" fillId="2" borderId="67">
      <alignment horizontal="center" vertical="center"/>
    </xf>
    <xf numFmtId="0" fontId="290" fillId="28" borderId="71">
      <alignment horizontal="center" vertical="center"/>
    </xf>
    <xf numFmtId="0" fontId="239" fillId="2" borderId="67">
      <alignment horizontal="center" vertical="center"/>
    </xf>
    <xf numFmtId="0" fontId="239" fillId="2" borderId="67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90" fillId="28" borderId="78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30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90" fillId="28" borderId="82">
      <alignment horizontal="center" vertical="center"/>
    </xf>
    <xf numFmtId="9" fontId="7" fillId="0" borderId="0"/>
    <xf numFmtId="0" fontId="290" fillId="28" borderId="83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9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07">
    <xf numFmtId="0" fontId="0" fillId="0" borderId="0" xfId="0"/>
    <xf numFmtId="0" fontId="260" fillId="9" borderId="0" xfId="0" applyFont="1" applyFill="1"/>
    <xf numFmtId="3" fontId="260" fillId="9" borderId="0" xfId="0" applyNumberFormat="1" applyFont="1" applyFill="1"/>
    <xf numFmtId="4" fontId="260" fillId="9" borderId="0" xfId="0" applyNumberFormat="1" applyFont="1" applyFill="1"/>
    <xf numFmtId="0" fontId="261" fillId="9" borderId="0" xfId="0" applyFont="1" applyFill="1"/>
    <xf numFmtId="4" fontId="261" fillId="9" borderId="0" xfId="0" applyNumberFormat="1" applyFont="1" applyFill="1"/>
    <xf numFmtId="0" fontId="262" fillId="9" borderId="3" xfId="0" applyFont="1" applyFill="1" applyBorder="1" applyAlignment="1">
      <alignment vertical="center" wrapText="1"/>
    </xf>
    <xf numFmtId="0" fontId="252" fillId="9" borderId="3" xfId="0" applyFont="1" applyFill="1" applyBorder="1" applyAlignment="1">
      <alignment horizontal="center" vertical="center" wrapText="1"/>
    </xf>
    <xf numFmtId="0" fontId="252" fillId="9" borderId="3" xfId="0" applyFont="1" applyFill="1" applyBorder="1" applyAlignment="1">
      <alignment vertical="center" wrapText="1"/>
    </xf>
    <xf numFmtId="0" fontId="252" fillId="10" borderId="1" xfId="0" applyFont="1" applyFill="1" applyBorder="1" applyAlignment="1">
      <alignment vertical="center" wrapText="1"/>
    </xf>
    <xf numFmtId="0" fontId="260" fillId="9" borderId="0" xfId="0" applyFont="1" applyFill="1" applyAlignment="1">
      <alignment vertical="center"/>
    </xf>
    <xf numFmtId="0" fontId="262" fillId="9" borderId="2" xfId="0" applyFont="1" applyFill="1" applyBorder="1" applyAlignment="1">
      <alignment vertical="center" wrapText="1"/>
    </xf>
    <xf numFmtId="0" fontId="252" fillId="9" borderId="1" xfId="0" applyFont="1" applyFill="1" applyBorder="1" applyAlignment="1">
      <alignment horizontal="center" vertical="center" wrapText="1"/>
    </xf>
    <xf numFmtId="0" fontId="252" fillId="12" borderId="2" xfId="0" applyFont="1" applyFill="1" applyBorder="1" applyAlignment="1">
      <alignment vertical="center" wrapText="1"/>
    </xf>
    <xf numFmtId="3" fontId="252" fillId="12" borderId="1" xfId="0" applyNumberFormat="1" applyFont="1" applyFill="1" applyBorder="1" applyAlignment="1">
      <alignment horizontal="center" vertical="center" wrapText="1"/>
    </xf>
    <xf numFmtId="9" fontId="252" fillId="12" borderId="1" xfId="0" applyNumberFormat="1" applyFont="1" applyFill="1" applyBorder="1" applyAlignment="1">
      <alignment vertical="center" wrapText="1"/>
    </xf>
    <xf numFmtId="0" fontId="263" fillId="0" borderId="2" xfId="0" applyFont="1" applyBorder="1" applyAlignment="1">
      <alignment horizontal="center" vertical="center" wrapText="1"/>
    </xf>
    <xf numFmtId="0" fontId="264" fillId="0" borderId="5" xfId="0" applyFont="1" applyBorder="1" applyAlignment="1">
      <alignment horizontal="center" vertical="center" wrapText="1"/>
    </xf>
    <xf numFmtId="3" fontId="264" fillId="0" borderId="1" xfId="0" applyNumberFormat="1" applyFont="1" applyBorder="1" applyAlignment="1">
      <alignment horizontal="center" vertical="center" wrapText="1"/>
    </xf>
    <xf numFmtId="0" fontId="265" fillId="0" borderId="0" xfId="0" applyFont="1" applyAlignment="1">
      <alignment horizontal="center" vertical="center"/>
    </xf>
    <xf numFmtId="0" fontId="257" fillId="9" borderId="1" xfId="0" applyFont="1" applyFill="1" applyBorder="1" applyAlignment="1">
      <alignment horizontal="center" vertical="center"/>
    </xf>
    <xf numFmtId="166" fontId="257" fillId="9" borderId="4" xfId="1" applyFont="1" applyFill="1" applyBorder="1" applyAlignment="1" applyProtection="1">
      <alignment vertical="center"/>
    </xf>
    <xf numFmtId="0" fontId="260" fillId="0" borderId="0" xfId="0" applyFont="1" applyAlignment="1">
      <alignment vertical="center"/>
    </xf>
    <xf numFmtId="167" fontId="256" fillId="0" borderId="1" xfId="1" applyNumberFormat="1" applyFont="1" applyFill="1" applyBorder="1" applyAlignment="1" applyProtection="1">
      <alignment vertical="center"/>
    </xf>
    <xf numFmtId="167" fontId="266" fillId="0" borderId="1" xfId="1" applyNumberFormat="1" applyFont="1" applyFill="1" applyBorder="1" applyAlignment="1" applyProtection="1">
      <alignment vertical="center"/>
    </xf>
    <xf numFmtId="167" fontId="267" fillId="0" borderId="4" xfId="1" applyNumberFormat="1" applyFont="1" applyFill="1" applyBorder="1" applyAlignment="1" applyProtection="1">
      <alignment vertical="center"/>
    </xf>
    <xf numFmtId="167" fontId="258" fillId="0" borderId="4" xfId="1" applyNumberFormat="1" applyFont="1" applyFill="1" applyBorder="1" applyAlignment="1" applyProtection="1">
      <alignment vertical="center"/>
    </xf>
    <xf numFmtId="0" fontId="272" fillId="0" borderId="0" xfId="623" applyFont="1" applyAlignment="1">
      <alignment vertical="center"/>
    </xf>
    <xf numFmtId="0" fontId="271" fillId="0" borderId="0" xfId="623" applyFont="1" applyAlignment="1">
      <alignment horizontal="center" vertical="center"/>
    </xf>
    <xf numFmtId="0" fontId="271" fillId="21" borderId="0" xfId="623" applyFont="1" applyFill="1" applyAlignment="1">
      <alignment vertical="center"/>
    </xf>
    <xf numFmtId="0" fontId="271" fillId="0" borderId="0" xfId="623" applyFont="1" applyAlignment="1">
      <alignment vertical="center"/>
    </xf>
    <xf numFmtId="0" fontId="249" fillId="0" borderId="0" xfId="629" applyFont="1"/>
    <xf numFmtId="0" fontId="306" fillId="0" borderId="0" xfId="0" applyFont="1"/>
    <xf numFmtId="0" fontId="306" fillId="20" borderId="0" xfId="0" applyFont="1" applyFill="1"/>
    <xf numFmtId="0" fontId="306" fillId="0" borderId="0" xfId="0" applyFont="1" applyAlignment="1">
      <alignment horizontal="center" vertical="center"/>
    </xf>
    <xf numFmtId="174" fontId="272" fillId="0" borderId="0" xfId="628" applyNumberFormat="1" applyFont="1" applyFill="1" applyBorder="1" applyAlignment="1">
      <alignment vertical="center"/>
    </xf>
    <xf numFmtId="0" fontId="251" fillId="4" borderId="22" xfId="9" applyFont="1" applyBorder="1" applyAlignment="1" applyProtection="1">
      <alignment horizontal="center" vertical="center"/>
    </xf>
    <xf numFmtId="0" fontId="251" fillId="4" borderId="22" xfId="9" applyFont="1" applyBorder="1" applyAlignment="1" applyProtection="1">
      <alignment horizontal="center"/>
    </xf>
    <xf numFmtId="0" fontId="251" fillId="4" borderId="23" xfId="9" applyFont="1" applyBorder="1" applyAlignment="1" applyProtection="1">
      <alignment horizontal="center" wrapText="1"/>
    </xf>
    <xf numFmtId="0" fontId="251" fillId="4" borderId="22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302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12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4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12" xfId="662" applyNumberFormat="1" applyFont="1" applyFill="1" applyBorder="1" applyAlignment="1">
      <alignment horizontal="center"/>
    </xf>
    <xf numFmtId="0" fontId="250" fillId="9" borderId="12" xfId="662" applyFont="1" applyFill="1" applyBorder="1" applyAlignment="1">
      <alignment horizontal="center"/>
    </xf>
    <xf numFmtId="0" fontId="251" fillId="4" borderId="18" xfId="9" applyFont="1" applyBorder="1" applyAlignment="1" applyProtection="1">
      <alignment horizontal="center" vertical="center"/>
    </xf>
    <xf numFmtId="14" fontId="278" fillId="9" borderId="25" xfId="629" applyNumberFormat="1" applyFont="1" applyFill="1" applyBorder="1" applyAlignment="1">
      <alignment horizontal="center" vertical="center"/>
    </xf>
    <xf numFmtId="0" fontId="283" fillId="30" borderId="18" xfId="629" applyFont="1" applyFill="1" applyBorder="1" applyAlignment="1">
      <alignment horizontal="center" vertical="center" wrapText="1"/>
    </xf>
    <xf numFmtId="0" fontId="249" fillId="29" borderId="0" xfId="629" applyFont="1" applyFill="1" applyAlignment="1">
      <alignment vertical="center"/>
    </xf>
    <xf numFmtId="0" fontId="252" fillId="31" borderId="18" xfId="629" applyFont="1" applyFill="1" applyBorder="1" applyAlignment="1">
      <alignment horizontal="center" vertical="center"/>
    </xf>
    <xf numFmtId="167" fontId="259" fillId="31" borderId="17" xfId="661" applyNumberFormat="1" applyFont="1" applyFill="1" applyBorder="1" applyAlignment="1" applyProtection="1">
      <alignment horizontal="center" vertical="center"/>
    </xf>
    <xf numFmtId="167" fontId="259" fillId="31" borderId="18" xfId="661" applyNumberFormat="1" applyFont="1" applyFill="1" applyBorder="1" applyAlignment="1" applyProtection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72" fillId="0" borderId="27" xfId="623" applyFont="1" applyBorder="1" applyAlignment="1">
      <alignment horizontal="center" vertical="center"/>
    </xf>
    <xf numFmtId="0" fontId="272" fillId="0" borderId="27" xfId="627" applyFont="1" applyBorder="1" applyAlignment="1">
      <alignment vertical="center"/>
    </xf>
    <xf numFmtId="14" fontId="257" fillId="29" borderId="18" xfId="629" applyNumberFormat="1" applyFont="1" applyFill="1" applyBorder="1" applyAlignment="1">
      <alignment vertical="center"/>
    </xf>
    <xf numFmtId="167" fontId="249" fillId="29" borderId="0" xfId="629" applyNumberFormat="1" applyFont="1" applyFill="1" applyAlignment="1">
      <alignment vertical="center"/>
    </xf>
    <xf numFmtId="174" fontId="272" fillId="0" borderId="27" xfId="628" applyNumberFormat="1" applyFont="1" applyFill="1" applyBorder="1" applyAlignment="1">
      <alignment vertical="center"/>
    </xf>
    <xf numFmtId="167" fontId="259" fillId="29" borderId="0" xfId="661" applyNumberFormat="1" applyFont="1" applyFill="1" applyBorder="1" applyAlignment="1" applyProtection="1">
      <alignment vertical="center"/>
    </xf>
    <xf numFmtId="0" fontId="272" fillId="0" borderId="34" xfId="623" applyFont="1" applyBorder="1" applyAlignment="1">
      <alignment horizontal="center" vertical="center"/>
    </xf>
    <xf numFmtId="174" fontId="272" fillId="23" borderId="27" xfId="628" applyNumberFormat="1" applyFont="1" applyFill="1" applyBorder="1" applyAlignment="1">
      <alignment vertical="center"/>
    </xf>
    <xf numFmtId="169" fontId="272" fillId="0" borderId="40" xfId="626" applyNumberFormat="1" applyFont="1" applyBorder="1" applyAlignment="1">
      <alignment horizontal="center" vertical="center"/>
    </xf>
    <xf numFmtId="167" fontId="300" fillId="9" borderId="0" xfId="629" applyNumberFormat="1" applyFont="1" applyFill="1"/>
    <xf numFmtId="167" fontId="300" fillId="29" borderId="0" xfId="629" applyNumberFormat="1" applyFont="1" applyFill="1"/>
    <xf numFmtId="0" fontId="257" fillId="29" borderId="18" xfId="629" applyFont="1" applyFill="1" applyBorder="1" applyAlignment="1">
      <alignment vertical="center"/>
    </xf>
    <xf numFmtId="0" fontId="256" fillId="29" borderId="44" xfId="629" applyFont="1" applyFill="1" applyBorder="1" applyAlignment="1">
      <alignment horizontal="center" vertical="center"/>
    </xf>
    <xf numFmtId="0" fontId="276" fillId="29" borderId="44" xfId="629" applyFont="1" applyFill="1" applyBorder="1" applyAlignment="1">
      <alignment vertical="center"/>
    </xf>
    <xf numFmtId="14" fontId="257" fillId="29" borderId="44" xfId="629" applyNumberFormat="1" applyFont="1" applyFill="1" applyBorder="1" applyAlignment="1">
      <alignment vertical="center"/>
    </xf>
    <xf numFmtId="172" fontId="281" fillId="20" borderId="36" xfId="627" applyNumberFormat="1" applyFont="1" applyFill="1" applyBorder="1" applyAlignment="1">
      <alignment vertical="center" wrapText="1"/>
    </xf>
    <xf numFmtId="0" fontId="257" fillId="29" borderId="44" xfId="629" applyFont="1" applyFill="1" applyBorder="1" applyAlignment="1">
      <alignment vertical="center"/>
    </xf>
    <xf numFmtId="0" fontId="298" fillId="0" borderId="44" xfId="581" applyFont="1" applyBorder="1" applyAlignment="1">
      <alignment horizontal="center"/>
    </xf>
    <xf numFmtId="167" fontId="257" fillId="20" borderId="18" xfId="629" applyNumberFormat="1" applyFont="1" applyFill="1" applyBorder="1" applyAlignment="1">
      <alignment vertical="center"/>
    </xf>
    <xf numFmtId="167" fontId="257" fillId="20" borderId="44" xfId="629" applyNumberFormat="1" applyFont="1" applyFill="1" applyBorder="1" applyAlignment="1">
      <alignment vertical="center"/>
    </xf>
    <xf numFmtId="0" fontId="44" fillId="0" borderId="0" xfId="709"/>
    <xf numFmtId="169" fontId="314" fillId="0" borderId="44" xfId="709" applyNumberFormat="1" applyFont="1" applyBorder="1" applyAlignment="1">
      <alignment horizontal="center" vertical="center"/>
    </xf>
    <xf numFmtId="182" fontId="298" fillId="0" borderId="44" xfId="711" applyNumberFormat="1" applyFont="1" applyBorder="1" applyAlignment="1">
      <alignment horizontal="center"/>
    </xf>
    <xf numFmtId="0" fontId="298" fillId="38" borderId="44" xfId="711" applyFont="1" applyFill="1" applyBorder="1" applyAlignment="1">
      <alignment horizontal="center"/>
    </xf>
    <xf numFmtId="0" fontId="298" fillId="0" borderId="44" xfId="711" applyFont="1" applyBorder="1" applyAlignment="1">
      <alignment horizontal="center"/>
    </xf>
    <xf numFmtId="0" fontId="298" fillId="20" borderId="44" xfId="711" applyFont="1" applyFill="1" applyBorder="1" applyAlignment="1">
      <alignment horizontal="left"/>
    </xf>
    <xf numFmtId="0" fontId="257" fillId="29" borderId="0" xfId="0" applyFont="1" applyFill="1" applyAlignment="1">
      <alignment horizontal="center" wrapText="1"/>
    </xf>
    <xf numFmtId="0" fontId="317" fillId="9" borderId="0" xfId="629" applyFont="1" applyFill="1" applyAlignment="1">
      <alignment horizontal="center"/>
    </xf>
    <xf numFmtId="167" fontId="272" fillId="0" borderId="44" xfId="1" applyNumberFormat="1" applyFont="1" applyBorder="1" applyAlignment="1">
      <alignment horizontal="center"/>
    </xf>
    <xf numFmtId="171" fontId="272" fillId="0" borderId="44" xfId="1" applyNumberFormat="1" applyFont="1" applyBorder="1" applyAlignment="1">
      <alignment horizontal="center"/>
    </xf>
    <xf numFmtId="0" fontId="298" fillId="40" borderId="0" xfId="711" applyFont="1" applyFill="1" applyAlignment="1">
      <alignment horizontal="left"/>
    </xf>
    <xf numFmtId="0" fontId="298" fillId="40" borderId="44" xfId="711" applyFont="1" applyFill="1" applyBorder="1" applyAlignment="1">
      <alignment horizontal="center"/>
    </xf>
    <xf numFmtId="0" fontId="298" fillId="40" borderId="44" xfId="711" applyFont="1" applyFill="1" applyBorder="1" applyAlignment="1">
      <alignment horizontal="left" wrapText="1"/>
    </xf>
    <xf numFmtId="0" fontId="289" fillId="0" borderId="14" xfId="711" applyFont="1" applyBorder="1"/>
    <xf numFmtId="0" fontId="289" fillId="0" borderId="7" xfId="711" applyFont="1" applyBorder="1" applyAlignment="1">
      <alignment wrapText="1"/>
    </xf>
    <xf numFmtId="0" fontId="320" fillId="0" borderId="0" xfId="0" applyFont="1" applyAlignment="1" applyProtection="1">
      <alignment horizontal="center" vertical="center"/>
      <protection locked="0"/>
    </xf>
    <xf numFmtId="0" fontId="301" fillId="20" borderId="49" xfId="0" applyFont="1" applyFill="1" applyBorder="1"/>
    <xf numFmtId="0" fontId="257" fillId="29" borderId="49" xfId="0" applyFont="1" applyFill="1" applyBorder="1" applyAlignment="1">
      <alignment horizontal="center" wrapText="1"/>
    </xf>
    <xf numFmtId="0" fontId="0" fillId="20" borderId="49" xfId="0" applyFill="1" applyBorder="1"/>
    <xf numFmtId="0" fontId="272" fillId="0" borderId="49" xfId="623" applyFont="1" applyBorder="1" applyAlignment="1">
      <alignment horizontal="center" vertical="center"/>
    </xf>
    <xf numFmtId="0" fontId="298" fillId="40" borderId="44" xfId="711" applyFont="1" applyFill="1" applyBorder="1" applyAlignment="1">
      <alignment horizontal="center" vertical="center" wrapText="1"/>
    </xf>
    <xf numFmtId="174" fontId="282" fillId="0" borderId="36" xfId="628" applyNumberFormat="1" applyFont="1" applyFill="1" applyBorder="1" applyAlignment="1">
      <alignment vertical="center"/>
    </xf>
    <xf numFmtId="17" fontId="284" fillId="24" borderId="38" xfId="623" applyNumberFormat="1" applyFont="1" applyFill="1" applyBorder="1" applyAlignment="1">
      <alignment vertical="center"/>
    </xf>
    <xf numFmtId="17" fontId="284" fillId="24" borderId="32" xfId="623" applyNumberFormat="1" applyFont="1" applyFill="1" applyBorder="1" applyAlignment="1">
      <alignment vertical="center"/>
    </xf>
    <xf numFmtId="0" fontId="272" fillId="0" borderId="51" xfId="623" applyFont="1" applyBorder="1" applyAlignment="1">
      <alignment horizontal="center" vertical="center"/>
    </xf>
    <xf numFmtId="0" fontId="272" fillId="0" borderId="50" xfId="623" applyFont="1" applyBorder="1" applyAlignment="1">
      <alignment horizontal="center" vertical="center"/>
    </xf>
    <xf numFmtId="0" fontId="298" fillId="38" borderId="13" xfId="711" applyFont="1" applyFill="1" applyBorder="1" applyAlignment="1">
      <alignment horizontal="left"/>
    </xf>
    <xf numFmtId="0" fontId="298" fillId="0" borderId="7" xfId="711" applyFont="1" applyBorder="1" applyAlignment="1">
      <alignment horizontal="center"/>
    </xf>
    <xf numFmtId="0" fontId="298" fillId="38" borderId="45" xfId="711" applyFont="1" applyFill="1" applyBorder="1" applyAlignment="1">
      <alignment horizontal="center"/>
    </xf>
    <xf numFmtId="0" fontId="298" fillId="38" borderId="45" xfId="711" applyFont="1" applyFill="1" applyBorder="1" applyAlignment="1">
      <alignment horizontal="left"/>
    </xf>
    <xf numFmtId="167" fontId="272" fillId="38" borderId="13" xfId="1" applyNumberFormat="1" applyFont="1" applyFill="1" applyBorder="1" applyAlignment="1">
      <alignment horizontal="center"/>
    </xf>
    <xf numFmtId="0" fontId="298" fillId="38" borderId="13" xfId="581" applyFont="1" applyFill="1" applyBorder="1" applyAlignment="1">
      <alignment horizontal="center"/>
    </xf>
    <xf numFmtId="43" fontId="272" fillId="38" borderId="13" xfId="1" applyNumberFormat="1" applyFont="1" applyFill="1" applyBorder="1" applyAlignment="1">
      <alignment horizontal="center"/>
    </xf>
    <xf numFmtId="0" fontId="298" fillId="38" borderId="29" xfId="711" applyFont="1" applyFill="1" applyBorder="1"/>
    <xf numFmtId="0" fontId="298" fillId="38" borderId="28" xfId="711" applyFont="1" applyFill="1" applyBorder="1"/>
    <xf numFmtId="185" fontId="289" fillId="38" borderId="44" xfId="711" applyNumberFormat="1" applyFont="1" applyFill="1" applyBorder="1" applyAlignment="1">
      <alignment horizontal="center"/>
    </xf>
    <xf numFmtId="0" fontId="298" fillId="38" borderId="30" xfId="711" applyFont="1" applyFill="1" applyBorder="1"/>
    <xf numFmtId="187" fontId="289" fillId="38" borderId="44" xfId="711" applyNumberFormat="1" applyFont="1" applyFill="1" applyBorder="1" applyAlignment="1">
      <alignment horizontal="center"/>
    </xf>
    <xf numFmtId="167" fontId="272" fillId="0" borderId="44" xfId="1" applyNumberFormat="1" applyFont="1" applyBorder="1" applyAlignment="1">
      <alignment horizontal="left"/>
    </xf>
    <xf numFmtId="0" fontId="289" fillId="0" borderId="7" xfId="711" applyFont="1" applyBorder="1" applyAlignment="1">
      <alignment horizontal="left"/>
    </xf>
    <xf numFmtId="0" fontId="291" fillId="20" borderId="50" xfId="0" applyFont="1" applyFill="1" applyBorder="1" applyAlignment="1">
      <alignment horizontal="center" vertical="center"/>
    </xf>
    <xf numFmtId="171" fontId="272" fillId="0" borderId="49" xfId="1" applyNumberFormat="1" applyFont="1" applyBorder="1" applyAlignment="1">
      <alignment horizontal="center"/>
    </xf>
    <xf numFmtId="169" fontId="298" fillId="0" borderId="44" xfId="581" applyNumberFormat="1" applyFont="1" applyBorder="1" applyAlignment="1">
      <alignment horizontal="center"/>
    </xf>
    <xf numFmtId="169" fontId="298" fillId="0" borderId="49" xfId="581" applyNumberFormat="1" applyFont="1" applyBorder="1" applyAlignment="1">
      <alignment horizontal="center"/>
    </xf>
    <xf numFmtId="182" fontId="298" fillId="0" borderId="44" xfId="711" applyNumberFormat="1" applyFont="1" applyBorder="1" applyAlignment="1">
      <alignment horizontal="center" vertical="center"/>
    </xf>
    <xf numFmtId="14" fontId="271" fillId="20" borderId="27" xfId="623" applyNumberFormat="1" applyFont="1" applyFill="1" applyBorder="1" applyAlignment="1">
      <alignment vertical="center"/>
    </xf>
    <xf numFmtId="14" fontId="271" fillId="20" borderId="50" xfId="623" applyNumberFormat="1" applyFont="1" applyFill="1" applyBorder="1" applyAlignment="1">
      <alignment vertical="center"/>
    </xf>
    <xf numFmtId="14" fontId="271" fillId="20" borderId="49" xfId="623" applyNumberFormat="1" applyFont="1" applyFill="1" applyBorder="1" applyAlignment="1">
      <alignment vertical="center"/>
    </xf>
    <xf numFmtId="0" fontId="323" fillId="29" borderId="18" xfId="629" applyFont="1" applyFill="1" applyBorder="1" applyAlignment="1">
      <alignment horizontal="right" wrapText="1"/>
    </xf>
    <xf numFmtId="0" fontId="307" fillId="29" borderId="44" xfId="629" applyFont="1" applyFill="1" applyBorder="1" applyAlignment="1">
      <alignment horizontal="right" wrapText="1"/>
    </xf>
    <xf numFmtId="0" fontId="44" fillId="0" borderId="49" xfId="709" applyBorder="1"/>
    <xf numFmtId="0" fontId="19" fillId="0" borderId="49" xfId="709" applyFont="1" applyBorder="1"/>
    <xf numFmtId="167" fontId="238" fillId="0" borderId="49" xfId="1" applyNumberFormat="1" applyBorder="1"/>
    <xf numFmtId="167" fontId="238" fillId="19" borderId="49" xfId="1" applyNumberFormat="1" applyFill="1" applyBorder="1"/>
    <xf numFmtId="0" fontId="44" fillId="22" borderId="0" xfId="709" applyFill="1"/>
    <xf numFmtId="0" fontId="17" fillId="0" borderId="0" xfId="709" applyFont="1"/>
    <xf numFmtId="169" fontId="44" fillId="0" borderId="0" xfId="709" applyNumberFormat="1"/>
    <xf numFmtId="0" fontId="0" fillId="20" borderId="71" xfId="0" applyFill="1" applyBorder="1"/>
    <xf numFmtId="169" fontId="298" fillId="0" borderId="71" xfId="581" applyNumberFormat="1" applyFont="1" applyBorder="1" applyAlignment="1">
      <alignment horizontal="center"/>
    </xf>
    <xf numFmtId="0" fontId="13" fillId="0" borderId="0" xfId="709" applyFont="1"/>
    <xf numFmtId="0" fontId="256" fillId="20" borderId="73" xfId="0" applyFont="1" applyFill="1" applyBorder="1" applyAlignment="1">
      <alignment horizontal="center" vertical="center" wrapText="1"/>
    </xf>
    <xf numFmtId="3" fontId="253" fillId="9" borderId="11" xfId="0" applyNumberFormat="1" applyFont="1" applyFill="1" applyBorder="1" applyAlignment="1">
      <alignment vertical="center"/>
    </xf>
    <xf numFmtId="0" fontId="264" fillId="0" borderId="52" xfId="0" applyFont="1" applyBorder="1" applyAlignment="1">
      <alignment horizontal="center" vertical="center" wrapText="1"/>
    </xf>
    <xf numFmtId="0" fontId="289" fillId="38" borderId="28" xfId="711" applyFont="1" applyFill="1" applyBorder="1"/>
    <xf numFmtId="0" fontId="272" fillId="0" borderId="74" xfId="623" applyFont="1" applyBorder="1" applyAlignment="1">
      <alignment horizontal="center" vertical="center"/>
    </xf>
    <xf numFmtId="0" fontId="257" fillId="29" borderId="74" xfId="0" applyFont="1" applyFill="1" applyBorder="1" applyAlignment="1">
      <alignment horizontal="center" wrapText="1"/>
    </xf>
    <xf numFmtId="0" fontId="272" fillId="0" borderId="74" xfId="627" applyFont="1" applyBorder="1" applyAlignment="1">
      <alignment vertical="center"/>
    </xf>
    <xf numFmtId="14" fontId="271" fillId="20" borderId="74" xfId="623" applyNumberFormat="1" applyFont="1" applyFill="1" applyBorder="1" applyAlignment="1">
      <alignment vertical="center"/>
    </xf>
    <xf numFmtId="0" fontId="300" fillId="41" borderId="78" xfId="0" applyFont="1" applyFill="1" applyBorder="1" applyAlignment="1">
      <alignment horizontal="center"/>
    </xf>
    <xf numFmtId="43" fontId="44" fillId="0" borderId="0" xfId="709" applyNumberFormat="1"/>
    <xf numFmtId="0" fontId="290" fillId="38" borderId="28" xfId="709" applyFont="1" applyFill="1" applyBorder="1" applyAlignment="1">
      <alignment vertical="center"/>
    </xf>
    <xf numFmtId="0" fontId="272" fillId="38" borderId="44" xfId="711" applyFont="1" applyFill="1" applyBorder="1" applyAlignment="1">
      <alignment horizontal="center" vertical="center"/>
    </xf>
    <xf numFmtId="0" fontId="4" fillId="0" borderId="0" xfId="6020"/>
    <xf numFmtId="0" fontId="298" fillId="0" borderId="83" xfId="6020" applyFont="1" applyBorder="1" applyAlignment="1">
      <alignment horizontal="center"/>
    </xf>
    <xf numFmtId="0" fontId="298" fillId="0" borderId="83" xfId="6020" applyFont="1" applyBorder="1"/>
    <xf numFmtId="171" fontId="298" fillId="0" borderId="83" xfId="6021" applyNumberFormat="1" applyFont="1" applyBorder="1"/>
    <xf numFmtId="171" fontId="289" fillId="0" borderId="83" xfId="6020" applyNumberFormat="1" applyFont="1" applyBorder="1"/>
    <xf numFmtId="0" fontId="277" fillId="0" borderId="49" xfId="129" applyFont="1" applyBorder="1" applyAlignment="1">
      <alignment horizontal="center" vertical="center"/>
    </xf>
    <xf numFmtId="0" fontId="277" fillId="0" borderId="74" xfId="129" applyFont="1" applyBorder="1" applyAlignment="1">
      <alignment horizontal="center" vertical="center"/>
    </xf>
    <xf numFmtId="167" fontId="300" fillId="38" borderId="44" xfId="1" applyNumberFormat="1" applyFont="1" applyFill="1" applyBorder="1" applyAlignment="1">
      <alignment horizontal="right" vertical="center"/>
    </xf>
    <xf numFmtId="167" fontId="272" fillId="0" borderId="83" xfId="1" applyNumberFormat="1" applyFont="1" applyBorder="1"/>
    <xf numFmtId="0" fontId="298" fillId="0" borderId="83" xfId="6020" applyFont="1" applyBorder="1" applyAlignment="1">
      <alignment shrinkToFit="1"/>
    </xf>
    <xf numFmtId="0" fontId="298" fillId="20" borderId="44" xfId="711" applyFont="1" applyFill="1" applyBorder="1" applyAlignment="1">
      <alignment horizontal="center" vertical="center"/>
    </xf>
    <xf numFmtId="167" fontId="272" fillId="0" borderId="13" xfId="712" applyNumberFormat="1" applyFont="1" applyBorder="1" applyAlignment="1">
      <alignment horizontal="center" vertical="center"/>
    </xf>
    <xf numFmtId="167" fontId="272" fillId="20" borderId="44" xfId="712" applyNumberFormat="1" applyFont="1" applyFill="1" applyBorder="1" applyAlignment="1">
      <alignment horizontal="center" vertical="center"/>
    </xf>
    <xf numFmtId="0" fontId="285" fillId="0" borderId="44" xfId="709" applyFont="1" applyBorder="1" applyAlignment="1">
      <alignment vertical="center"/>
    </xf>
    <xf numFmtId="167" fontId="272" fillId="0" borderId="44" xfId="712" applyNumberFormat="1" applyFont="1" applyBorder="1" applyAlignment="1">
      <alignment vertical="center"/>
    </xf>
    <xf numFmtId="0" fontId="285" fillId="0" borderId="44" xfId="709" applyFont="1" applyBorder="1"/>
    <xf numFmtId="167" fontId="272" fillId="0" borderId="44" xfId="712" applyNumberFormat="1" applyFont="1" applyBorder="1" applyAlignment="1">
      <alignment horizontal="center"/>
    </xf>
    <xf numFmtId="0" fontId="285" fillId="38" borderId="28" xfId="709" applyFont="1" applyFill="1" applyBorder="1"/>
    <xf numFmtId="0" fontId="285" fillId="38" borderId="29" xfId="709" applyFont="1" applyFill="1" applyBorder="1"/>
    <xf numFmtId="167" fontId="282" fillId="38" borderId="44" xfId="712" applyNumberFormat="1" applyFont="1" applyFill="1" applyBorder="1" applyAlignment="1">
      <alignment horizontal="center" vertical="center"/>
    </xf>
    <xf numFmtId="0" fontId="252" fillId="9" borderId="12" xfId="0" applyFont="1" applyFill="1" applyBorder="1" applyAlignment="1">
      <alignment vertical="center" wrapText="1"/>
    </xf>
    <xf numFmtId="0" fontId="252" fillId="12" borderId="84" xfId="0" applyFont="1" applyFill="1" applyBorder="1" applyAlignment="1">
      <alignment vertical="center" wrapText="1"/>
    </xf>
    <xf numFmtId="14" fontId="256" fillId="0" borderId="0" xfId="0" applyNumberFormat="1" applyFont="1" applyAlignment="1">
      <alignment vertical="center"/>
    </xf>
    <xf numFmtId="14" fontId="256" fillId="0" borderId="83" xfId="0" applyNumberFormat="1" applyFont="1" applyBorder="1" applyAlignment="1">
      <alignment vertical="center"/>
    </xf>
    <xf numFmtId="166" fontId="257" fillId="9" borderId="11" xfId="1" applyFont="1" applyFill="1" applyBorder="1" applyAlignment="1" applyProtection="1">
      <alignment vertical="center"/>
    </xf>
    <xf numFmtId="3" fontId="253" fillId="9" borderId="83" xfId="0" applyNumberFormat="1" applyFont="1" applyFill="1" applyBorder="1" applyAlignment="1">
      <alignment vertical="center"/>
    </xf>
    <xf numFmtId="171" fontId="285" fillId="0" borderId="83" xfId="1" applyNumberFormat="1" applyFont="1" applyBorder="1"/>
    <xf numFmtId="0" fontId="264" fillId="0" borderId="83" xfId="0" applyFont="1" applyBorder="1" applyAlignment="1">
      <alignment horizontal="center" vertical="center" wrapText="1"/>
    </xf>
    <xf numFmtId="0" fontId="323" fillId="0" borderId="83" xfId="0" applyFont="1" applyBorder="1" applyAlignment="1">
      <alignment horizontal="center" vertical="center" wrapText="1"/>
    </xf>
    <xf numFmtId="14" fontId="298" fillId="0" borderId="83" xfId="6020" applyNumberFormat="1" applyFont="1" applyBorder="1"/>
    <xf numFmtId="0" fontId="262" fillId="9" borderId="90" xfId="0" applyFont="1" applyFill="1" applyBorder="1" applyAlignment="1">
      <alignment vertical="center" wrapText="1"/>
    </xf>
    <xf numFmtId="0" fontId="252" fillId="9" borderId="90" xfId="0" applyFont="1" applyFill="1" applyBorder="1" applyAlignment="1">
      <alignment horizontal="center" vertical="center" wrapText="1"/>
    </xf>
    <xf numFmtId="0" fontId="252" fillId="12" borderId="90" xfId="0" applyFont="1" applyFill="1" applyBorder="1" applyAlignment="1">
      <alignment vertical="center" wrapText="1"/>
    </xf>
    <xf numFmtId="3" fontId="252" fillId="12" borderId="90" xfId="0" applyNumberFormat="1" applyFont="1" applyFill="1" applyBorder="1" applyAlignment="1">
      <alignment vertical="center" wrapText="1"/>
    </xf>
    <xf numFmtId="0" fontId="252" fillId="10" borderId="90" xfId="0" applyFont="1" applyFill="1" applyBorder="1" applyAlignment="1">
      <alignment horizontal="center" vertical="center" wrapText="1"/>
    </xf>
    <xf numFmtId="9" fontId="252" fillId="11" borderId="90" xfId="0" applyNumberFormat="1" applyFont="1" applyFill="1" applyBorder="1" applyAlignment="1">
      <alignment horizontal="center" vertical="center" wrapText="1"/>
    </xf>
    <xf numFmtId="0" fontId="263" fillId="0" borderId="83" xfId="0" applyFont="1" applyBorder="1" applyAlignment="1">
      <alignment horizontal="center" vertical="center" wrapText="1"/>
    </xf>
    <xf numFmtId="3" fontId="264" fillId="0" borderId="83" xfId="0" applyNumberFormat="1" applyFont="1" applyBorder="1" applyAlignment="1">
      <alignment horizontal="center" vertical="center" wrapText="1"/>
    </xf>
    <xf numFmtId="0" fontId="308" fillId="0" borderId="83" xfId="0" applyFont="1" applyBorder="1" applyAlignment="1">
      <alignment horizontal="center" vertical="center" wrapText="1"/>
    </xf>
    <xf numFmtId="0" fontId="256" fillId="9" borderId="83" xfId="0" applyFont="1" applyFill="1" applyBorder="1" applyAlignment="1">
      <alignment vertical="center"/>
    </xf>
    <xf numFmtId="14" fontId="277" fillId="0" borderId="83" xfId="0" applyNumberFormat="1" applyFont="1" applyBorder="1" applyAlignment="1">
      <alignment vertical="center"/>
    </xf>
    <xf numFmtId="3" fontId="253" fillId="0" borderId="83" xfId="0" applyNumberFormat="1" applyFont="1" applyBorder="1" applyAlignment="1">
      <alignment vertical="center"/>
    </xf>
    <xf numFmtId="170" fontId="257" fillId="11" borderId="83" xfId="1" applyNumberFormat="1" applyFont="1" applyFill="1" applyBorder="1" applyAlignment="1" applyProtection="1">
      <alignment vertical="center"/>
    </xf>
    <xf numFmtId="171" fontId="265" fillId="0" borderId="83" xfId="0" applyNumberFormat="1" applyFont="1" applyBorder="1" applyAlignment="1">
      <alignment horizontal="center" vertical="center"/>
    </xf>
    <xf numFmtId="167" fontId="277" fillId="0" borderId="68" xfId="1" applyNumberFormat="1" applyFont="1" applyFill="1" applyBorder="1" applyAlignment="1" applyProtection="1">
      <alignment vertical="center"/>
    </xf>
    <xf numFmtId="0" fontId="326" fillId="0" borderId="26" xfId="6020" applyFont="1" applyBorder="1" applyAlignment="1">
      <alignment horizontal="center" vertical="center"/>
    </xf>
    <xf numFmtId="0" fontId="326" fillId="0" borderId="43" xfId="6020" applyFont="1" applyBorder="1" applyAlignment="1">
      <alignment horizontal="center" vertical="center"/>
    </xf>
    <xf numFmtId="0" fontId="326" fillId="0" borderId="26" xfId="6020" applyFont="1" applyBorder="1" applyAlignment="1">
      <alignment horizontal="center" vertical="center" wrapText="1"/>
    </xf>
    <xf numFmtId="0" fontId="284" fillId="19" borderId="33" xfId="623" applyFont="1" applyFill="1" applyBorder="1" applyAlignment="1">
      <alignment horizontal="center" vertical="center" wrapText="1"/>
    </xf>
    <xf numFmtId="0" fontId="284" fillId="21" borderId="33" xfId="623" applyFont="1" applyFill="1" applyBorder="1" applyAlignment="1">
      <alignment horizontal="center" vertical="center" wrapText="1"/>
    </xf>
    <xf numFmtId="0" fontId="284" fillId="21" borderId="31" xfId="623" applyFont="1" applyFill="1" applyBorder="1" applyAlignment="1">
      <alignment horizontal="center" vertical="center" wrapText="1"/>
    </xf>
    <xf numFmtId="17" fontId="284" fillId="25" borderId="37" xfId="623" applyNumberFormat="1" applyFont="1" applyFill="1" applyBorder="1" applyAlignment="1">
      <alignment horizontal="center" vertical="center"/>
    </xf>
    <xf numFmtId="4" fontId="252" fillId="10" borderId="19" xfId="0" applyNumberFormat="1" applyFont="1" applyFill="1" applyBorder="1" applyAlignment="1">
      <alignment horizontal="center" vertical="center" wrapText="1"/>
    </xf>
    <xf numFmtId="4" fontId="252" fillId="10" borderId="20" xfId="0" applyNumberFormat="1" applyFont="1" applyFill="1" applyBorder="1" applyAlignment="1">
      <alignment horizontal="center" vertical="center" wrapText="1"/>
    </xf>
    <xf numFmtId="4" fontId="252" fillId="10" borderId="21" xfId="0" applyNumberFormat="1" applyFont="1" applyFill="1" applyBorder="1" applyAlignment="1">
      <alignment horizontal="center" vertical="center" wrapText="1"/>
    </xf>
    <xf numFmtId="4" fontId="252" fillId="13" borderId="90" xfId="0" applyNumberFormat="1" applyFont="1" applyFill="1" applyBorder="1" applyAlignment="1">
      <alignment horizontal="center" vertical="center" wrapText="1"/>
    </xf>
    <xf numFmtId="4" fontId="252" fillId="13" borderId="8" xfId="0" applyNumberFormat="1" applyFont="1" applyFill="1" applyBorder="1" applyAlignment="1">
      <alignment horizontal="center" vertical="center" wrapText="1"/>
    </xf>
    <xf numFmtId="0" fontId="315" fillId="31" borderId="28" xfId="629" applyFont="1" applyFill="1" applyBorder="1" applyAlignment="1">
      <alignment horizontal="center" vertical="center"/>
    </xf>
    <xf numFmtId="0" fontId="315" fillId="31" borderId="29" xfId="629" applyFont="1" applyFill="1" applyBorder="1" applyAlignment="1">
      <alignment horizontal="center" vertical="center"/>
    </xf>
    <xf numFmtId="0" fontId="315" fillId="31" borderId="30" xfId="629" applyFont="1" applyFill="1" applyBorder="1" applyAlignment="1">
      <alignment horizontal="center" vertical="center"/>
    </xf>
    <xf numFmtId="0" fontId="298" fillId="38" borderId="44" xfId="711" applyFont="1" applyFill="1" applyBorder="1" applyAlignment="1">
      <alignment horizontal="center" vertical="center"/>
    </xf>
    <xf numFmtId="0" fontId="327" fillId="0" borderId="91" xfId="0" applyFont="1" applyBorder="1" applyAlignment="1">
      <alignment horizontal="center" wrapText="1"/>
    </xf>
    <xf numFmtId="0" fontId="327" fillId="0" borderId="0" xfId="0" applyFont="1" applyAlignment="1">
      <alignment wrapText="1"/>
    </xf>
    <xf numFmtId="0" fontId="327" fillId="0" borderId="92" xfId="0" applyFont="1" applyBorder="1" applyAlignment="1">
      <alignment horizontal="center" wrapText="1"/>
    </xf>
    <xf numFmtId="0" fontId="327" fillId="0" borderId="93" xfId="0" applyFont="1" applyBorder="1" applyAlignment="1">
      <alignment horizontal="center" wrapText="1"/>
    </xf>
    <xf numFmtId="0" fontId="1" fillId="0" borderId="0" xfId="6020" applyFont="1"/>
    <xf numFmtId="0" fontId="326" fillId="0" borderId="94" xfId="6020" applyFont="1" applyBorder="1" applyAlignment="1">
      <alignment horizontal="center" vertical="center"/>
    </xf>
    <xf numFmtId="0" fontId="0" fillId="0" borderId="95" xfId="0" applyBorder="1"/>
    <xf numFmtId="0" fontId="327" fillId="0" borderId="94" xfId="0" applyFont="1" applyBorder="1" applyAlignment="1">
      <alignment horizontal="center" wrapText="1"/>
    </xf>
    <xf numFmtId="189" fontId="328" fillId="0" borderId="43" xfId="6021" applyNumberFormat="1" applyFont="1" applyBorder="1" applyAlignment="1">
      <alignment horizontal="center" vertical="center"/>
    </xf>
    <xf numFmtId="0" fontId="327" fillId="0" borderId="96" xfId="0" applyFont="1" applyBorder="1" applyAlignment="1">
      <alignment horizontal="center" wrapText="1"/>
    </xf>
    <xf numFmtId="0" fontId="327" fillId="0" borderId="97" xfId="0" applyFont="1" applyBorder="1" applyAlignment="1">
      <alignment horizontal="center" wrapText="1"/>
    </xf>
    <xf numFmtId="0" fontId="284" fillId="0" borderId="33" xfId="623" applyFont="1" applyBorder="1" applyAlignment="1">
      <alignment horizontal="center" vertical="center" wrapText="1"/>
    </xf>
    <xf numFmtId="17" fontId="284" fillId="24" borderId="83" xfId="623" applyNumberFormat="1" applyFont="1" applyFill="1" applyBorder="1" applyAlignment="1">
      <alignment horizontal="center" vertical="center"/>
    </xf>
    <xf numFmtId="181" fontId="271" fillId="25" borderId="83" xfId="623" applyNumberFormat="1" applyFont="1" applyFill="1" applyBorder="1" applyAlignment="1">
      <alignment horizontal="center" vertical="center"/>
    </xf>
    <xf numFmtId="181" fontId="271" fillId="32" borderId="83" xfId="623" applyNumberFormat="1" applyFont="1" applyFill="1" applyBorder="1" applyAlignment="1">
      <alignment horizontal="center" vertical="center"/>
    </xf>
    <xf numFmtId="0" fontId="284" fillId="21" borderId="83" xfId="623" applyFont="1" applyFill="1" applyBorder="1" applyAlignment="1">
      <alignment horizontal="center" vertical="center" wrapText="1"/>
    </xf>
    <xf numFmtId="0" fontId="277" fillId="0" borderId="83" xfId="623" applyFont="1" applyBorder="1" applyAlignment="1">
      <alignment horizontal="center" vertical="center"/>
    </xf>
    <xf numFmtId="0" fontId="284" fillId="23" borderId="83" xfId="623" applyFont="1" applyFill="1" applyBorder="1" applyAlignment="1">
      <alignment horizontal="center" vertical="center" wrapText="1"/>
    </xf>
    <xf numFmtId="0" fontId="284" fillId="0" borderId="79" xfId="666" applyFont="1" applyFill="1" applyBorder="1" applyAlignment="1">
      <alignment horizontal="center" vertical="center" wrapText="1"/>
    </xf>
    <xf numFmtId="0" fontId="284" fillId="0" borderId="79" xfId="666" applyFont="1" applyFill="1" applyBorder="1" applyAlignment="1">
      <alignment horizontal="center" vertical="center" shrinkToFit="1"/>
    </xf>
    <xf numFmtId="188" fontId="284" fillId="0" borderId="79" xfId="6033" applyNumberFormat="1" applyFont="1" applyFill="1" applyBorder="1" applyAlignment="1">
      <alignment horizontal="center" vertical="center" wrapText="1"/>
    </xf>
    <xf numFmtId="0" fontId="273" fillId="0" borderId="79" xfId="666" applyFont="1" applyFill="1" applyBorder="1" applyAlignment="1">
      <alignment horizontal="center" vertical="center" wrapText="1"/>
    </xf>
    <xf numFmtId="0" fontId="284" fillId="0" borderId="89" xfId="666" applyFont="1" applyFill="1" applyBorder="1" applyAlignment="1">
      <alignment horizontal="center" vertical="center" wrapText="1"/>
    </xf>
    <xf numFmtId="0" fontId="284" fillId="0" borderId="80" xfId="666" applyFont="1" applyFill="1" applyBorder="1" applyAlignment="1">
      <alignment horizontal="center" vertical="center" wrapText="1"/>
    </xf>
    <xf numFmtId="0" fontId="300" fillId="0" borderId="0" xfId="6031" applyFont="1" applyFill="1" applyAlignment="1">
      <alignment wrapText="1"/>
    </xf>
    <xf numFmtId="0" fontId="300" fillId="0" borderId="85" xfId="6031" applyFont="1" applyFill="1" applyBorder="1" applyAlignment="1">
      <alignment wrapText="1"/>
    </xf>
    <xf numFmtId="0" fontId="277" fillId="0" borderId="81" xfId="6031" applyFont="1" applyFill="1" applyBorder="1" applyAlignment="1">
      <alignment vertical="center"/>
    </xf>
    <xf numFmtId="171" fontId="277" fillId="0" borderId="81" xfId="6032" applyNumberFormat="1" applyFont="1" applyFill="1" applyBorder="1" applyAlignment="1">
      <alignment vertical="center"/>
    </xf>
    <xf numFmtId="171" fontId="277" fillId="0" borderId="81" xfId="6032" applyNumberFormat="1" applyFont="1" applyFill="1" applyBorder="1" applyAlignment="1">
      <alignment horizontal="center" vertical="center"/>
    </xf>
    <xf numFmtId="171" fontId="277" fillId="0" borderId="81" xfId="6031" applyNumberFormat="1" applyFont="1" applyFill="1" applyBorder="1" applyAlignment="1">
      <alignment vertical="center"/>
    </xf>
    <xf numFmtId="9" fontId="277" fillId="0" borderId="81" xfId="6032" applyNumberFormat="1" applyFont="1" applyFill="1" applyBorder="1" applyAlignment="1">
      <alignment vertical="center"/>
    </xf>
    <xf numFmtId="171" fontId="277" fillId="0" borderId="81" xfId="6032" quotePrefix="1" applyNumberFormat="1" applyFont="1" applyFill="1" applyBorder="1" applyAlignment="1">
      <alignment vertical="center"/>
    </xf>
    <xf numFmtId="171" fontId="324" fillId="0" borderId="81" xfId="6032" applyNumberFormat="1" applyFont="1" applyFill="1" applyBorder="1" applyAlignment="1">
      <alignment vertical="center"/>
    </xf>
    <xf numFmtId="171" fontId="324" fillId="0" borderId="81" xfId="6031" applyNumberFormat="1" applyFont="1" applyFill="1" applyBorder="1" applyAlignment="1">
      <alignment vertical="center"/>
    </xf>
    <xf numFmtId="178" fontId="277" fillId="0" borderId="49" xfId="627" applyNumberFormat="1" applyFont="1" applyFill="1" applyBorder="1" applyAlignment="1">
      <alignment horizontal="left" vertical="center" wrapText="1"/>
    </xf>
    <xf numFmtId="0" fontId="271" fillId="0" borderId="0" xfId="6031" applyFont="1" applyFill="1"/>
    <xf numFmtId="0" fontId="271" fillId="0" borderId="0" xfId="6031" applyFont="1" applyFill="1" applyAlignment="1">
      <alignment shrinkToFit="1"/>
    </xf>
    <xf numFmtId="171" fontId="271" fillId="0" borderId="0" xfId="6032" applyNumberFormat="1" applyFont="1" applyFill="1"/>
    <xf numFmtId="0" fontId="300" fillId="0" borderId="0" xfId="6031" applyFont="1" applyFill="1"/>
    <xf numFmtId="0" fontId="284" fillId="0" borderId="0" xfId="666" applyFont="1" applyFill="1" applyAlignment="1">
      <alignment horizontal="center" vertical="center" wrapText="1"/>
    </xf>
    <xf numFmtId="0" fontId="284" fillId="0" borderId="0" xfId="666" applyFont="1" applyFill="1" applyAlignment="1">
      <alignment horizontal="center" vertical="center"/>
    </xf>
    <xf numFmtId="0" fontId="284" fillId="0" borderId="0" xfId="666" applyFont="1" applyFill="1" applyAlignment="1">
      <alignment horizontal="center" vertical="center" shrinkToFit="1"/>
    </xf>
    <xf numFmtId="0" fontId="300" fillId="0" borderId="0" xfId="6008" applyFont="1" applyFill="1" applyBorder="1" applyAlignment="1">
      <alignment horizontal="center" vertical="center" wrapText="1"/>
    </xf>
    <xf numFmtId="10" fontId="300" fillId="0" borderId="0" xfId="6008" applyNumberFormat="1" applyFont="1" applyFill="1" applyBorder="1">
      <alignment horizontal="center" vertical="center"/>
    </xf>
    <xf numFmtId="0" fontId="300" fillId="0" borderId="0" xfId="6008" applyFont="1" applyFill="1" applyBorder="1">
      <alignment horizontal="center" vertical="center"/>
    </xf>
    <xf numFmtId="0" fontId="277" fillId="0" borderId="81" xfId="6031" applyFont="1" applyFill="1" applyBorder="1" applyAlignment="1">
      <alignment horizontal="left" vertical="center"/>
    </xf>
    <xf numFmtId="0" fontId="277" fillId="0" borderId="81" xfId="6031" applyFont="1" applyFill="1" applyBorder="1" applyAlignment="1">
      <alignment horizontal="left" vertical="center" shrinkToFit="1"/>
    </xf>
    <xf numFmtId="0" fontId="277" fillId="0" borderId="81" xfId="6031" applyFont="1" applyFill="1" applyBorder="1" applyAlignment="1">
      <alignment horizontal="center" vertical="center"/>
    </xf>
    <xf numFmtId="176" fontId="277" fillId="0" borderId="81" xfId="6032" applyNumberFormat="1" applyFont="1" applyFill="1" applyBorder="1" applyAlignment="1">
      <alignment vertical="center"/>
    </xf>
    <xf numFmtId="171" fontId="271" fillId="0" borderId="81" xfId="6031" applyNumberFormat="1" applyFont="1" applyFill="1" applyBorder="1" applyAlignment="1">
      <alignment vertical="center"/>
    </xf>
    <xf numFmtId="1" fontId="271" fillId="0" borderId="81" xfId="6031" applyNumberFormat="1" applyFont="1" applyFill="1" applyBorder="1" applyAlignment="1">
      <alignment vertical="center"/>
    </xf>
    <xf numFmtId="0" fontId="329" fillId="0" borderId="81" xfId="667" applyFont="1" applyFill="1" applyBorder="1" applyAlignment="1" applyProtection="1">
      <alignment vertical="center"/>
    </xf>
    <xf numFmtId="0" fontId="271" fillId="0" borderId="0" xfId="6031" applyFont="1" applyFill="1" applyAlignment="1">
      <alignment vertical="center"/>
    </xf>
    <xf numFmtId="167" fontId="330" fillId="0" borderId="83" xfId="1" applyNumberFormat="1" applyFont="1" applyFill="1" applyBorder="1" applyAlignment="1">
      <alignment horizontal="center" vertical="center" wrapText="1"/>
    </xf>
    <xf numFmtId="10" fontId="331" fillId="0" borderId="83" xfId="6008" applyNumberFormat="1" applyFont="1" applyFill="1">
      <alignment horizontal="center" vertical="center"/>
    </xf>
    <xf numFmtId="0" fontId="284" fillId="0" borderId="98" xfId="36" applyFont="1" applyFill="1" applyBorder="1" applyAlignment="1">
      <alignment horizontal="center" vertical="center" wrapText="1"/>
    </xf>
    <xf numFmtId="0" fontId="284" fillId="0" borderId="98" xfId="0" applyFont="1" applyFill="1" applyBorder="1" applyAlignment="1">
      <alignment horizontal="center" vertical="center" wrapText="1"/>
    </xf>
    <xf numFmtId="17" fontId="305" fillId="0" borderId="86" xfId="619" applyNumberFormat="1" applyFont="1" applyFill="1" applyBorder="1" applyAlignment="1">
      <alignment horizontal="center" vertical="center"/>
    </xf>
    <xf numFmtId="17" fontId="274" fillId="0" borderId="83" xfId="619" applyNumberFormat="1" applyFont="1" applyFill="1" applyBorder="1" applyAlignment="1">
      <alignment horizontal="center" vertical="center"/>
    </xf>
    <xf numFmtId="0" fontId="321" fillId="0" borderId="13" xfId="0" applyFont="1" applyFill="1" applyBorder="1" applyAlignment="1">
      <alignment horizontal="center" vertical="center" wrapText="1"/>
    </xf>
    <xf numFmtId="0" fontId="318" fillId="0" borderId="83" xfId="36" applyFont="1" applyFill="1" applyBorder="1" applyAlignment="1">
      <alignment horizontal="center" vertical="center" wrapText="1"/>
    </xf>
    <xf numFmtId="181" fontId="305" fillId="0" borderId="83" xfId="619" applyNumberFormat="1" applyFont="1" applyFill="1" applyBorder="1" applyAlignment="1">
      <alignment horizontal="center" vertical="center"/>
    </xf>
    <xf numFmtId="0" fontId="284" fillId="0" borderId="13" xfId="36" applyFont="1" applyFill="1" applyBorder="1" applyAlignment="1">
      <alignment vertical="center" wrapText="1"/>
    </xf>
    <xf numFmtId="0" fontId="284" fillId="0" borderId="13" xfId="36" applyFont="1" applyFill="1" applyBorder="1" applyAlignment="1">
      <alignment horizontal="center" vertical="center" wrapText="1"/>
    </xf>
    <xf numFmtId="0" fontId="277" fillId="0" borderId="13" xfId="36" applyFont="1" applyFill="1" applyBorder="1" applyAlignment="1">
      <alignment vertical="center" wrapText="1"/>
    </xf>
    <xf numFmtId="0" fontId="284" fillId="0" borderId="13" xfId="0" applyFont="1" applyFill="1" applyBorder="1" applyAlignment="1">
      <alignment vertical="center" shrinkToFit="1"/>
    </xf>
    <xf numFmtId="0" fontId="284" fillId="0" borderId="13" xfId="0" applyFont="1" applyFill="1" applyBorder="1" applyAlignment="1">
      <alignment vertical="center" wrapText="1"/>
    </xf>
    <xf numFmtId="0" fontId="305" fillId="0" borderId="83" xfId="619" applyFont="1" applyFill="1" applyBorder="1" applyAlignment="1">
      <alignment horizontal="center" vertical="top"/>
    </xf>
    <xf numFmtId="0" fontId="272" fillId="0" borderId="27" xfId="36" applyFont="1" applyFill="1" applyBorder="1" applyAlignment="1">
      <alignment horizontal="center" vertical="center"/>
    </xf>
    <xf numFmtId="0" fontId="257" fillId="0" borderId="49" xfId="0" applyFont="1" applyFill="1" applyBorder="1" applyAlignment="1">
      <alignment horizontal="center" vertical="center" wrapText="1"/>
    </xf>
    <xf numFmtId="178" fontId="277" fillId="0" borderId="49" xfId="627" applyNumberFormat="1" applyFont="1" applyFill="1" applyBorder="1" applyAlignment="1">
      <alignment horizontal="right" vertical="center" wrapText="1"/>
    </xf>
    <xf numFmtId="178" fontId="277" fillId="0" borderId="49" xfId="627" applyNumberFormat="1" applyFont="1" applyFill="1" applyBorder="1" applyAlignment="1">
      <alignment horizontal="left" vertical="center" shrinkToFit="1"/>
    </xf>
    <xf numFmtId="14" fontId="253" fillId="0" borderId="44" xfId="0" applyNumberFormat="1" applyFont="1" applyFill="1" applyBorder="1" applyAlignment="1">
      <alignment horizontal="center"/>
    </xf>
    <xf numFmtId="169" fontId="325" fillId="0" borderId="18" xfId="1" applyNumberFormat="1" applyFont="1" applyFill="1" applyBorder="1" applyAlignment="1">
      <alignment horizontal="center"/>
    </xf>
    <xf numFmtId="169" fontId="325" fillId="0" borderId="83" xfId="1" applyNumberFormat="1" applyFont="1" applyFill="1" applyBorder="1" applyAlignment="1">
      <alignment horizontal="center"/>
    </xf>
    <xf numFmtId="0" fontId="306" fillId="0" borderId="0" xfId="0" applyFont="1" applyFill="1"/>
    <xf numFmtId="0" fontId="306" fillId="0" borderId="0" xfId="0" applyFont="1" applyFill="1" applyAlignment="1">
      <alignment horizontal="center" vertical="center"/>
    </xf>
    <xf numFmtId="0" fontId="320" fillId="0" borderId="0" xfId="0" applyFont="1" applyFill="1" applyAlignment="1" applyProtection="1">
      <alignment horizontal="center" vertical="center"/>
      <protection locked="0"/>
    </xf>
    <xf numFmtId="0" fontId="300" fillId="0" borderId="78" xfId="0" applyFont="1" applyFill="1" applyBorder="1" applyAlignment="1">
      <alignment horizontal="center"/>
    </xf>
    <xf numFmtId="0" fontId="257" fillId="0" borderId="0" xfId="0" applyFont="1" applyFill="1" applyAlignment="1">
      <alignment horizontal="center" wrapText="1"/>
    </xf>
    <xf numFmtId="0" fontId="0" fillId="0" borderId="0" xfId="0" applyFont="1" applyFill="1"/>
    <xf numFmtId="170" fontId="238" fillId="0" borderId="0" xfId="1" applyNumberFormat="1" applyFont="1" applyFill="1" applyAlignment="1">
      <alignment horizontal="right"/>
    </xf>
    <xf numFmtId="0" fontId="284" fillId="0" borderId="43" xfId="0" applyFont="1" applyFill="1" applyBorder="1" applyAlignment="1">
      <alignment horizontal="center" vertical="center" wrapText="1"/>
    </xf>
    <xf numFmtId="14" fontId="284" fillId="0" borderId="83" xfId="36" applyNumberFormat="1" applyFont="1" applyFill="1" applyBorder="1" applyAlignment="1">
      <alignment horizontal="center" vertical="center" wrapText="1"/>
    </xf>
    <xf numFmtId="0" fontId="0" fillId="0" borderId="87" xfId="0" applyFont="1" applyFill="1" applyBorder="1"/>
    <xf numFmtId="0" fontId="0" fillId="0" borderId="88" xfId="0" applyFont="1" applyFill="1" applyBorder="1"/>
    <xf numFmtId="0" fontId="277" fillId="0" borderId="99" xfId="0" applyFont="1" applyFill="1" applyBorder="1" applyAlignment="1">
      <alignment horizontal="center" vertical="center" wrapText="1"/>
    </xf>
    <xf numFmtId="0" fontId="284" fillId="0" borderId="99" xfId="0" applyFont="1" applyFill="1" applyBorder="1" applyAlignment="1">
      <alignment horizontal="center" vertical="center" wrapText="1"/>
    </xf>
    <xf numFmtId="0" fontId="0" fillId="0" borderId="45" xfId="0" applyFont="1" applyFill="1" applyBorder="1"/>
    <xf numFmtId="0" fontId="0" fillId="0" borderId="91" xfId="0" applyFont="1" applyFill="1" applyBorder="1"/>
    <xf numFmtId="0" fontId="0" fillId="0" borderId="6" xfId="0" applyFont="1" applyFill="1" applyBorder="1"/>
    <xf numFmtId="0" fontId="0" fillId="0" borderId="13" xfId="0" applyFont="1" applyFill="1" applyBorder="1"/>
    <xf numFmtId="0" fontId="0" fillId="0" borderId="72" xfId="0" applyFont="1" applyFill="1" applyBorder="1"/>
    <xf numFmtId="0" fontId="272" fillId="0" borderId="83" xfId="6020" applyFont="1" applyFill="1" applyBorder="1"/>
    <xf numFmtId="0" fontId="277" fillId="0" borderId="83" xfId="0" applyFont="1" applyFill="1" applyBorder="1" applyAlignment="1">
      <alignment horizontal="center" vertical="center"/>
    </xf>
    <xf numFmtId="0" fontId="300" fillId="0" borderId="46" xfId="0" applyFont="1" applyFill="1" applyBorder="1" applyAlignment="1">
      <alignment horizontal="center" vertical="center"/>
    </xf>
    <xf numFmtId="0" fontId="300" fillId="0" borderId="26" xfId="0" applyFont="1" applyFill="1" applyBorder="1" applyAlignment="1">
      <alignment horizontal="center" vertical="center"/>
    </xf>
    <xf numFmtId="169" fontId="300" fillId="0" borderId="26" xfId="0" quotePrefix="1" applyNumberFormat="1" applyFont="1" applyFill="1" applyBorder="1" applyAlignment="1">
      <alignment horizontal="center" vertical="center"/>
    </xf>
    <xf numFmtId="1" fontId="238" fillId="0" borderId="18" xfId="1" applyNumberFormat="1" applyFont="1" applyFill="1" applyBorder="1" applyAlignment="1">
      <alignment horizontal="center"/>
    </xf>
    <xf numFmtId="167" fontId="238" fillId="0" borderId="50" xfId="1" applyNumberFormat="1" applyFont="1" applyFill="1" applyBorder="1"/>
    <xf numFmtId="169" fontId="300" fillId="0" borderId="26" xfId="0" applyNumberFormat="1" applyFont="1" applyFill="1" applyBorder="1" applyAlignment="1">
      <alignment horizontal="center" vertical="center"/>
    </xf>
    <xf numFmtId="14" fontId="0" fillId="0" borderId="0" xfId="0" applyNumberFormat="1" applyFont="1" applyFill="1"/>
    <xf numFmtId="0" fontId="277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0" fontId="318" fillId="0" borderId="0" xfId="0" applyFont="1" applyFill="1"/>
    <xf numFmtId="0" fontId="271" fillId="0" borderId="0" xfId="0" applyFont="1" applyFill="1"/>
    <xf numFmtId="0" fontId="271" fillId="0" borderId="0" xfId="0" applyFont="1" applyFill="1" applyAlignment="1">
      <alignment shrinkToFit="1"/>
    </xf>
    <xf numFmtId="14" fontId="271" fillId="0" borderId="0" xfId="0" applyNumberFormat="1" applyFont="1" applyFill="1"/>
    <xf numFmtId="0" fontId="271" fillId="0" borderId="75" xfId="0" applyFont="1" applyFill="1" applyBorder="1" applyAlignment="1">
      <alignment horizontal="left"/>
    </xf>
    <xf numFmtId="0" fontId="271" fillId="0" borderId="77" xfId="0" applyFont="1" applyFill="1" applyBorder="1" applyAlignment="1">
      <alignment horizontal="left"/>
    </xf>
    <xf numFmtId="14" fontId="271" fillId="0" borderId="77" xfId="0" applyNumberFormat="1" applyFont="1" applyFill="1" applyBorder="1" applyAlignment="1">
      <alignment horizontal="left"/>
    </xf>
    <xf numFmtId="0" fontId="271" fillId="0" borderId="76" xfId="0" applyFont="1" applyFill="1" applyBorder="1" applyAlignment="1">
      <alignment horizontal="left"/>
    </xf>
    <xf numFmtId="186" fontId="332" fillId="0" borderId="0" xfId="0" applyNumberFormat="1" applyFont="1" applyFill="1" applyAlignment="1">
      <alignment horizontal="left" wrapText="1"/>
    </xf>
    <xf numFmtId="14" fontId="332" fillId="0" borderId="0" xfId="0" applyNumberFormat="1" applyFont="1" applyFill="1" applyAlignment="1">
      <alignment horizontal="left" wrapText="1"/>
    </xf>
    <xf numFmtId="184" fontId="332" fillId="0" borderId="0" xfId="0" quotePrefix="1" applyNumberFormat="1" applyFont="1" applyFill="1" applyAlignment="1">
      <alignment horizontal="left" wrapText="1"/>
    </xf>
    <xf numFmtId="184" fontId="332" fillId="0" borderId="0" xfId="0" applyNumberFormat="1" applyFont="1" applyFill="1" applyAlignment="1">
      <alignment horizontal="left" wrapText="1"/>
    </xf>
    <xf numFmtId="0" fontId="301" fillId="0" borderId="38" xfId="0" applyFont="1" applyBorder="1"/>
    <xf numFmtId="0" fontId="301" fillId="0" borderId="87" xfId="0" applyFont="1" applyBorder="1"/>
    <xf numFmtId="0" fontId="301" fillId="0" borderId="88" xfId="0" applyFont="1" applyBorder="1"/>
    <xf numFmtId="0" fontId="282" fillId="19" borderId="39" xfId="623" applyFont="1" applyFill="1" applyBorder="1" applyAlignment="1">
      <alignment horizontal="center" vertical="center" wrapText="1"/>
    </xf>
    <xf numFmtId="0" fontId="271" fillId="21" borderId="0" xfId="623" applyFont="1" applyFill="1" applyAlignment="1">
      <alignment horizontal="center" vertical="center"/>
    </xf>
    <xf numFmtId="0" fontId="301" fillId="0" borderId="100" xfId="0" applyFont="1" applyBorder="1"/>
    <xf numFmtId="0" fontId="301" fillId="0" borderId="13" xfId="0" applyFont="1" applyBorder="1"/>
    <xf numFmtId="0" fontId="301" fillId="0" borderId="45" xfId="0" applyFont="1" applyBorder="1"/>
    <xf numFmtId="0" fontId="301" fillId="0" borderId="101" xfId="0" applyFont="1" applyBorder="1"/>
    <xf numFmtId="0" fontId="301" fillId="0" borderId="102" xfId="0" applyFont="1" applyBorder="1"/>
    <xf numFmtId="0" fontId="301" fillId="0" borderId="103" xfId="0" applyFont="1" applyBorder="1"/>
    <xf numFmtId="0" fontId="277" fillId="20" borderId="81" xfId="6031" applyFont="1" applyFill="1" applyBorder="1" applyAlignment="1">
      <alignment horizontal="left" vertical="center"/>
    </xf>
    <xf numFmtId="0" fontId="277" fillId="20" borderId="81" xfId="6031" applyFont="1" applyFill="1" applyBorder="1" applyAlignment="1">
      <alignment horizontal="left" vertical="center" shrinkToFit="1"/>
    </xf>
    <xf numFmtId="0" fontId="300" fillId="27" borderId="27" xfId="129" applyFont="1" applyFill="1" applyBorder="1" applyAlignment="1">
      <alignment horizontal="center" vertical="center"/>
    </xf>
    <xf numFmtId="0" fontId="300" fillId="19" borderId="27" xfId="129" applyFont="1" applyFill="1" applyBorder="1" applyAlignment="1">
      <alignment horizontal="center" vertical="center"/>
    </xf>
    <xf numFmtId="0" fontId="300" fillId="19" borderId="50" xfId="129" applyFont="1" applyFill="1" applyBorder="1" applyAlignment="1">
      <alignment horizontal="center" vertical="center"/>
    </xf>
    <xf numFmtId="0" fontId="277" fillId="19" borderId="56" xfId="0" applyFont="1" applyFill="1" applyBorder="1" applyAlignment="1">
      <alignment horizontal="center" vertical="center"/>
    </xf>
    <xf numFmtId="0" fontId="277" fillId="37" borderId="56" xfId="0" applyFont="1" applyFill="1" applyBorder="1" applyAlignment="1">
      <alignment horizontal="center" vertical="center"/>
    </xf>
    <xf numFmtId="0" fontId="301" fillId="0" borderId="44" xfId="0" applyFont="1" applyBorder="1"/>
    <xf numFmtId="0" fontId="300" fillId="20" borderId="27" xfId="129" applyFont="1" applyFill="1" applyBorder="1" applyAlignment="1">
      <alignment horizontal="center" vertical="center"/>
    </xf>
    <xf numFmtId="0" fontId="272" fillId="0" borderId="83" xfId="6020" applyFont="1" applyBorder="1" applyAlignment="1">
      <alignment shrinkToFit="1"/>
    </xf>
    <xf numFmtId="0" fontId="300" fillId="27" borderId="50" xfId="129" applyFont="1" applyFill="1" applyBorder="1" applyAlignment="1">
      <alignment horizontal="center" vertical="center"/>
    </xf>
    <xf numFmtId="0" fontId="301" fillId="0" borderId="50" xfId="0" applyFont="1" applyBorder="1"/>
    <xf numFmtId="0" fontId="300" fillId="20" borderId="50" xfId="129" applyFont="1" applyFill="1" applyBorder="1" applyAlignment="1">
      <alignment horizontal="center" vertical="center"/>
    </xf>
    <xf numFmtId="0" fontId="300" fillId="27" borderId="49" xfId="129" applyFont="1" applyFill="1" applyBorder="1" applyAlignment="1">
      <alignment horizontal="center" vertical="center"/>
    </xf>
    <xf numFmtId="0" fontId="300" fillId="0" borderId="49" xfId="129" applyFont="1" applyBorder="1" applyAlignment="1">
      <alignment horizontal="center" vertical="center"/>
    </xf>
    <xf numFmtId="0" fontId="300" fillId="0" borderId="27" xfId="129" applyFont="1" applyBorder="1" applyAlignment="1">
      <alignment horizontal="center" vertical="center"/>
    </xf>
    <xf numFmtId="0" fontId="300" fillId="0" borderId="50" xfId="129" applyFont="1" applyBorder="1" applyAlignment="1">
      <alignment horizontal="center" vertical="center"/>
    </xf>
    <xf numFmtId="0" fontId="301" fillId="0" borderId="49" xfId="0" applyFont="1" applyBorder="1"/>
    <xf numFmtId="0" fontId="300" fillId="20" borderId="49" xfId="129" applyFont="1" applyFill="1" applyBorder="1" applyAlignment="1">
      <alignment horizontal="center" vertical="center"/>
    </xf>
    <xf numFmtId="0" fontId="300" fillId="27" borderId="74" xfId="129" applyFont="1" applyFill="1" applyBorder="1" applyAlignment="1">
      <alignment horizontal="center" vertical="center"/>
    </xf>
    <xf numFmtId="0" fontId="300" fillId="0" borderId="74" xfId="129" applyFont="1" applyBorder="1" applyAlignment="1">
      <alignment horizontal="center" vertical="center"/>
    </xf>
    <xf numFmtId="0" fontId="301" fillId="0" borderId="74" xfId="0" applyFont="1" applyBorder="1"/>
    <xf numFmtId="0" fontId="300" fillId="20" borderId="74" xfId="129" applyFont="1" applyFill="1" applyBorder="1" applyAlignment="1">
      <alignment horizontal="center" vertical="center"/>
    </xf>
    <xf numFmtId="0" fontId="300" fillId="26" borderId="27" xfId="129" applyFont="1" applyFill="1" applyBorder="1" applyAlignment="1">
      <alignment horizontal="center" vertical="center"/>
    </xf>
    <xf numFmtId="0" fontId="277" fillId="37" borderId="71" xfId="0" applyFont="1" applyFill="1" applyBorder="1" applyAlignment="1">
      <alignment horizontal="center" vertical="center"/>
    </xf>
    <xf numFmtId="0" fontId="271" fillId="21" borderId="41" xfId="623" applyFont="1" applyFill="1" applyBorder="1" applyAlignment="1">
      <alignment horizontal="center" vertical="center"/>
    </xf>
    <xf numFmtId="0" fontId="271" fillId="21" borderId="42" xfId="623" applyFont="1" applyFill="1" applyBorder="1" applyAlignment="1">
      <alignment horizontal="center" vertical="center"/>
    </xf>
    <xf numFmtId="0" fontId="271" fillId="21" borderId="35" xfId="623" applyFont="1" applyFill="1" applyBorder="1" applyAlignment="1">
      <alignment horizontal="center" vertical="center"/>
    </xf>
    <xf numFmtId="0" fontId="300" fillId="20" borderId="36" xfId="129" applyFont="1" applyFill="1" applyBorder="1" applyAlignment="1">
      <alignment horizontal="center" vertical="center"/>
    </xf>
    <xf numFmtId="0" fontId="301" fillId="0" borderId="0" xfId="0" applyFont="1"/>
    <xf numFmtId="0" fontId="318" fillId="41" borderId="0" xfId="0" applyFont="1" applyFill="1"/>
    <xf numFmtId="0" fontId="271" fillId="41" borderId="0" xfId="0" applyFont="1" applyFill="1"/>
    <xf numFmtId="0" fontId="271" fillId="41" borderId="0" xfId="0" applyFont="1" applyFill="1" applyAlignment="1">
      <alignment shrinkToFit="1"/>
    </xf>
    <xf numFmtId="14" fontId="271" fillId="41" borderId="0" xfId="0" applyNumberFormat="1" applyFont="1" applyFill="1"/>
    <xf numFmtId="0" fontId="277" fillId="37" borderId="0" xfId="0" applyFont="1" applyFill="1" applyAlignment="1">
      <alignment horizontal="center" vertical="center"/>
    </xf>
    <xf numFmtId="171" fontId="301" fillId="0" borderId="0" xfId="0" applyNumberFormat="1" applyFont="1"/>
    <xf numFmtId="170" fontId="238" fillId="0" borderId="0" xfId="1" applyNumberFormat="1" applyFont="1" applyAlignment="1">
      <alignment horizontal="right"/>
    </xf>
    <xf numFmtId="0" fontId="301" fillId="20" borderId="0" xfId="0" applyFont="1" applyFill="1"/>
    <xf numFmtId="0" fontId="271" fillId="41" borderId="75" xfId="0" applyFont="1" applyFill="1" applyBorder="1" applyAlignment="1">
      <alignment horizontal="left"/>
    </xf>
    <xf numFmtId="0" fontId="271" fillId="41" borderId="77" xfId="0" applyFont="1" applyFill="1" applyBorder="1" applyAlignment="1">
      <alignment horizontal="left"/>
    </xf>
    <xf numFmtId="14" fontId="271" fillId="41" borderId="77" xfId="0" applyNumberFormat="1" applyFont="1" applyFill="1" applyBorder="1" applyAlignment="1">
      <alignment horizontal="left"/>
    </xf>
    <xf numFmtId="0" fontId="271" fillId="41" borderId="76" xfId="0" applyFont="1" applyFill="1" applyBorder="1" applyAlignment="1">
      <alignment horizontal="left"/>
    </xf>
    <xf numFmtId="0" fontId="277" fillId="39" borderId="0" xfId="0" applyFont="1" applyFill="1" applyAlignment="1">
      <alignment horizontal="center" vertical="center"/>
    </xf>
    <xf numFmtId="0" fontId="301" fillId="0" borderId="0" xfId="0" applyFont="1" applyAlignment="1">
      <alignment shrinkToFit="1"/>
    </xf>
    <xf numFmtId="14" fontId="301" fillId="0" borderId="0" xfId="0" applyNumberFormat="1" applyFont="1"/>
    <xf numFmtId="186" fontId="332" fillId="0" borderId="0" xfId="0" applyNumberFormat="1" applyFont="1" applyAlignment="1">
      <alignment horizontal="left" wrapText="1"/>
    </xf>
    <xf numFmtId="14" fontId="332" fillId="0" borderId="0" xfId="0" applyNumberFormat="1" applyFont="1" applyAlignment="1">
      <alignment horizontal="left" wrapText="1"/>
    </xf>
    <xf numFmtId="184" fontId="332" fillId="0" borderId="0" xfId="0" quotePrefix="1" applyNumberFormat="1" applyFont="1" applyAlignment="1">
      <alignment horizontal="left" wrapText="1"/>
    </xf>
    <xf numFmtId="184" fontId="332" fillId="0" borderId="0" xfId="0" applyNumberFormat="1" applyFont="1" applyAlignment="1">
      <alignment horizontal="left" wrapText="1"/>
    </xf>
    <xf numFmtId="0" fontId="272" fillId="0" borderId="83" xfId="0" applyFont="1" applyFill="1" applyBorder="1" applyAlignment="1">
      <alignment horizontal="center" vertical="center"/>
    </xf>
    <xf numFmtId="0" fontId="322" fillId="0" borderId="83" xfId="697" applyFont="1" applyFill="1" applyBorder="1" applyAlignment="1">
      <alignment horizontal="left" vertical="center"/>
    </xf>
    <xf numFmtId="179" fontId="272" fillId="0" borderId="83" xfId="672" applyNumberFormat="1" applyFont="1" applyFill="1" applyBorder="1" applyAlignment="1">
      <alignment horizontal="left" vertical="center" wrapText="1"/>
    </xf>
    <xf numFmtId="171" fontId="272" fillId="0" borderId="83" xfId="3" applyNumberFormat="1" applyFont="1" applyFill="1" applyBorder="1" applyAlignment="1">
      <alignment horizontal="left" vertical="center" wrapText="1"/>
    </xf>
    <xf numFmtId="0" fontId="272" fillId="0" borderId="0" xfId="0" applyFont="1" applyFill="1" applyAlignment="1">
      <alignment horizontal="center" vertical="center"/>
    </xf>
    <xf numFmtId="0" fontId="282" fillId="0" borderId="83" xfId="0" applyFont="1" applyFill="1" applyBorder="1" applyAlignment="1">
      <alignment horizontal="center" vertical="center"/>
    </xf>
    <xf numFmtId="0" fontId="282" fillId="0" borderId="83" xfId="0" applyFont="1" applyFill="1" applyBorder="1" applyAlignment="1">
      <alignment horizontal="center" vertical="center" wrapText="1"/>
    </xf>
    <xf numFmtId="0" fontId="282" fillId="0" borderId="83" xfId="669" applyFont="1" applyFill="1" applyBorder="1" applyAlignment="1">
      <alignment horizontal="center" vertical="center" wrapText="1"/>
    </xf>
    <xf numFmtId="0" fontId="333" fillId="0" borderId="0" xfId="669" applyFont="1" applyFill="1"/>
    <xf numFmtId="171" fontId="271" fillId="0" borderId="83" xfId="1" applyNumberFormat="1" applyFont="1" applyFill="1" applyBorder="1"/>
    <xf numFmtId="171" fontId="271" fillId="0" borderId="83" xfId="669" applyNumberFormat="1" applyFont="1" applyFill="1" applyBorder="1"/>
    <xf numFmtId="0" fontId="333" fillId="0" borderId="83" xfId="669" applyFont="1" applyFill="1" applyBorder="1"/>
    <xf numFmtId="171" fontId="300" fillId="0" borderId="83" xfId="669" applyNumberFormat="1" applyFont="1" applyFill="1" applyBorder="1"/>
    <xf numFmtId="0" fontId="334" fillId="0" borderId="0" xfId="669" applyFont="1" applyFill="1"/>
    <xf numFmtId="0" fontId="331" fillId="0" borderId="0" xfId="6008" applyFont="1" applyFill="1" applyBorder="1" applyAlignment="1">
      <alignment horizontal="center" vertical="center" wrapText="1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4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99FF"/>
      <color rgb="FFFF66FF"/>
      <color rgb="FFFF33CC"/>
      <color rgb="FFFFFFFF"/>
      <color rgb="FFFF0066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3"/>
  <sheetViews>
    <sheetView tabSelected="1" zoomScale="80" zoomScaleNormal="80" zoomScaleSheetLayoutView="80" workbookViewId="0">
      <pane xSplit="4" ySplit="2" topLeftCell="E3" activePane="bottomRight" state="frozen"/>
      <selection pane="topRight" activeCell="E1" sqref="E1"/>
      <selection pane="bottomLeft" activeCell="A20" sqref="A20"/>
      <selection pane="bottomRight" activeCell="A10" sqref="A10"/>
    </sheetView>
  </sheetViews>
  <sheetFormatPr baseColWidth="10" defaultColWidth="9.33203125" defaultRowHeight="14" outlineLevelCol="1"/>
  <cols>
    <col min="1" max="1" width="5.6640625" style="250" customWidth="1"/>
    <col min="2" max="2" width="14.1640625" style="250" customWidth="1"/>
    <col min="3" max="3" width="12.5" style="250" customWidth="1" outlineLevel="1"/>
    <col min="4" max="4" width="19.5" style="251" customWidth="1"/>
    <col min="5" max="5" width="15.6640625" style="250" customWidth="1"/>
    <col min="6" max="6" width="26.1640625" style="250" hidden="1" customWidth="1" outlineLevel="1"/>
    <col min="7" max="7" width="17.5" style="250" customWidth="1" collapsed="1"/>
    <col min="8" max="8" width="13" style="250" customWidth="1"/>
    <col min="9" max="9" width="15.33203125" style="250" customWidth="1" outlineLevel="1"/>
    <col min="10" max="12" width="15.83203125" style="250" customWidth="1"/>
    <col min="13" max="14" width="9.5" style="250" customWidth="1"/>
    <col min="15" max="15" width="9.33203125" style="250" customWidth="1" outlineLevel="1"/>
    <col min="16" max="16" width="13.33203125" style="250" customWidth="1" outlineLevel="1"/>
    <col min="17" max="17" width="17.1640625" style="250" customWidth="1" outlineLevel="1"/>
    <col min="18" max="18" width="17.6640625" style="250" customWidth="1"/>
    <col min="19" max="19" width="12.83203125" style="250" customWidth="1" outlineLevel="1"/>
    <col min="20" max="20" width="14.5" style="250" customWidth="1" outlineLevel="1"/>
    <col min="21" max="21" width="16.5" style="250" customWidth="1"/>
    <col min="22" max="22" width="15" style="252" customWidth="1" outlineLevel="1"/>
    <col min="23" max="23" width="14.83203125" style="252" customWidth="1" outlineLevel="1"/>
    <col min="24" max="24" width="12.5" style="252" customWidth="1" outlineLevel="1"/>
    <col min="25" max="25" width="13.33203125" style="250" customWidth="1"/>
    <col min="26" max="26" width="13.5" style="250" customWidth="1" outlineLevel="1"/>
    <col min="27" max="27" width="12.6640625" style="250" customWidth="1"/>
    <col min="28" max="28" width="12.5" style="250" customWidth="1"/>
    <col min="29" max="29" width="12" style="250" customWidth="1" outlineLevel="1"/>
    <col min="30" max="30" width="12.33203125" style="250" customWidth="1"/>
    <col min="31" max="31" width="8.5" style="250" customWidth="1"/>
    <col min="32" max="33" width="13.5" style="250" customWidth="1"/>
    <col min="34" max="34" width="12.5" style="250" customWidth="1"/>
    <col min="35" max="35" width="11.83203125" style="250" customWidth="1"/>
    <col min="36" max="37" width="14.6640625" style="250" customWidth="1"/>
    <col min="38" max="38" width="13.5" style="250" customWidth="1"/>
    <col min="39" max="39" width="13" style="250" customWidth="1"/>
    <col min="40" max="40" width="15.1640625" style="250" customWidth="1"/>
    <col min="41" max="41" width="6" style="250" customWidth="1"/>
    <col min="42" max="42" width="14.5" style="250" customWidth="1"/>
    <col min="43" max="43" width="14.5" style="250" customWidth="1" outlineLevel="1"/>
    <col min="44" max="44" width="12.5" style="250" customWidth="1" outlineLevel="1"/>
    <col min="45" max="45" width="13.6640625" style="250" customWidth="1" outlineLevel="1"/>
    <col min="46" max="46" width="15.5" style="250" customWidth="1"/>
    <col min="47" max="49" width="13" style="250" customWidth="1"/>
    <col min="50" max="50" width="9.1640625" style="250" customWidth="1"/>
    <col min="51" max="51" width="11.5" style="250" customWidth="1"/>
    <col min="52" max="52" width="14" style="250" customWidth="1"/>
    <col min="53" max="53" width="12.5" style="250" customWidth="1" outlineLevel="1"/>
    <col min="54" max="54" width="12.33203125" style="250" customWidth="1" outlineLevel="1"/>
    <col min="55" max="55" width="12.5" style="250" customWidth="1" outlineLevel="1"/>
    <col min="56" max="56" width="15.33203125" style="250" customWidth="1" outlineLevel="1"/>
    <col min="57" max="57" width="15" style="250" customWidth="1"/>
    <col min="58" max="60" width="12.1640625" style="250" customWidth="1"/>
    <col min="61" max="61" width="11" style="250" customWidth="1"/>
    <col min="62" max="62" width="13" style="250" customWidth="1"/>
    <col min="63" max="63" width="14" style="250" customWidth="1"/>
    <col min="64" max="64" width="12.1640625" style="250" customWidth="1"/>
    <col min="65" max="65" width="18.6640625" style="250" customWidth="1"/>
    <col min="66" max="66" width="13.83203125" style="250" customWidth="1"/>
    <col min="67" max="67" width="14.5" style="250" hidden="1" customWidth="1" outlineLevel="1"/>
    <col min="68" max="68" width="14.33203125" style="250" hidden="1" customWidth="1" outlineLevel="1"/>
    <col min="69" max="69" width="15.6640625" style="250" hidden="1" customWidth="1" outlineLevel="1"/>
    <col min="70" max="75" width="13.6640625" style="250" hidden="1" customWidth="1" outlineLevel="1"/>
    <col min="76" max="76" width="15.5" style="250" hidden="1" customWidth="1" outlineLevel="1"/>
    <col min="77" max="77" width="9.33203125" style="250" customWidth="1" collapsed="1"/>
    <col min="78" max="78" width="9.33203125" style="250" customWidth="1"/>
    <col min="79" max="16384" width="9.33203125" style="250"/>
  </cols>
  <sheetData>
    <row r="1" spans="1:78" s="253" customFormat="1" ht="48" customHeight="1">
      <c r="A1" s="255"/>
      <c r="B1" s="255"/>
      <c r="C1" s="255"/>
      <c r="D1" s="256"/>
      <c r="E1" s="255"/>
      <c r="F1" s="255"/>
      <c r="G1" s="255"/>
      <c r="H1" s="255"/>
      <c r="I1" s="255"/>
      <c r="J1" s="254"/>
      <c r="K1" s="255"/>
      <c r="M1" s="255"/>
      <c r="N1" s="254"/>
      <c r="O1" s="254"/>
      <c r="P1" s="254"/>
      <c r="Q1" s="254"/>
      <c r="R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J1" s="255"/>
      <c r="AK1" s="257"/>
      <c r="AL1" s="257"/>
      <c r="AN1" s="257"/>
      <c r="AO1" s="257"/>
      <c r="AP1" s="268">
        <v>4400000</v>
      </c>
      <c r="AQ1" s="269">
        <v>0.08</v>
      </c>
      <c r="AR1" s="269">
        <v>1.4999999999999999E-2</v>
      </c>
      <c r="AS1" s="269">
        <v>0.01</v>
      </c>
      <c r="AT1" s="258"/>
      <c r="AU1" s="257"/>
      <c r="AV1" s="257"/>
      <c r="AW1" s="257"/>
      <c r="AX1" s="257"/>
      <c r="AY1" s="259"/>
      <c r="AZ1" s="257"/>
      <c r="BA1" s="269">
        <v>0.17</v>
      </c>
      <c r="BB1" s="269">
        <v>0.03</v>
      </c>
      <c r="BC1" s="269">
        <v>0.01</v>
      </c>
      <c r="BD1" s="269">
        <v>5.0000000000000001E-3</v>
      </c>
      <c r="BE1" s="258"/>
      <c r="BF1" s="406">
        <f>2340000*20</f>
        <v>46800000</v>
      </c>
      <c r="BG1" s="406">
        <f>4960000*20</f>
        <v>99200000</v>
      </c>
      <c r="BH1" s="257" t="s">
        <v>189</v>
      </c>
      <c r="BI1" s="257" t="s">
        <v>190</v>
      </c>
      <c r="BJ1" s="257"/>
      <c r="BK1" s="257"/>
      <c r="BM1" s="259"/>
      <c r="BN1" s="257"/>
      <c r="BO1" s="257"/>
      <c r="BP1" s="257"/>
      <c r="BQ1" s="257"/>
      <c r="BR1" s="257"/>
      <c r="BS1" s="257"/>
      <c r="BT1" s="257"/>
      <c r="BU1" s="257"/>
      <c r="BV1" s="257"/>
      <c r="BW1" s="257"/>
      <c r="BX1" s="257"/>
    </row>
    <row r="2" spans="1:78" s="240" customFormat="1" ht="75.75" customHeight="1">
      <c r="A2" s="233" t="s">
        <v>21</v>
      </c>
      <c r="B2" s="233" t="s">
        <v>25</v>
      </c>
      <c r="C2" s="233" t="s">
        <v>138</v>
      </c>
      <c r="D2" s="234" t="s">
        <v>26</v>
      </c>
      <c r="E2" s="233" t="s">
        <v>139</v>
      </c>
      <c r="F2" s="233" t="s">
        <v>11</v>
      </c>
      <c r="G2" s="233" t="s">
        <v>27</v>
      </c>
      <c r="H2" s="233" t="s">
        <v>13</v>
      </c>
      <c r="I2" s="233" t="s">
        <v>115</v>
      </c>
      <c r="J2" s="233" t="s">
        <v>123</v>
      </c>
      <c r="K2" s="233" t="s">
        <v>140</v>
      </c>
      <c r="L2" s="233" t="s">
        <v>124</v>
      </c>
      <c r="M2" s="233" t="s">
        <v>141</v>
      </c>
      <c r="N2" s="233" t="s">
        <v>127</v>
      </c>
      <c r="O2" s="233" t="s">
        <v>125</v>
      </c>
      <c r="P2" s="233" t="s">
        <v>128</v>
      </c>
      <c r="Q2" s="233" t="s">
        <v>172</v>
      </c>
      <c r="R2" s="233" t="s">
        <v>126</v>
      </c>
      <c r="S2" s="233" t="s">
        <v>129</v>
      </c>
      <c r="T2" s="233" t="s">
        <v>173</v>
      </c>
      <c r="U2" s="233" t="s">
        <v>130</v>
      </c>
      <c r="V2" s="233" t="s">
        <v>14</v>
      </c>
      <c r="W2" s="233" t="s">
        <v>15</v>
      </c>
      <c r="X2" s="233" t="s">
        <v>16</v>
      </c>
      <c r="Y2" s="233" t="s">
        <v>17</v>
      </c>
      <c r="Z2" s="233" t="s">
        <v>121</v>
      </c>
      <c r="AA2" s="233" t="s">
        <v>18</v>
      </c>
      <c r="AB2" s="233" t="s">
        <v>142</v>
      </c>
      <c r="AC2" s="233" t="s">
        <v>116</v>
      </c>
      <c r="AD2" s="233" t="s">
        <v>143</v>
      </c>
      <c r="AE2" s="233" t="s">
        <v>117</v>
      </c>
      <c r="AF2" s="233" t="s">
        <v>118</v>
      </c>
      <c r="AG2" s="233" t="s">
        <v>119</v>
      </c>
      <c r="AH2" s="233" t="s">
        <v>144</v>
      </c>
      <c r="AI2" s="233" t="s">
        <v>131</v>
      </c>
      <c r="AJ2" s="233" t="s">
        <v>132</v>
      </c>
      <c r="AK2" s="233" t="s">
        <v>108</v>
      </c>
      <c r="AL2" s="233" t="s">
        <v>133</v>
      </c>
      <c r="AM2" s="233" t="s">
        <v>145</v>
      </c>
      <c r="AN2" s="233" t="s">
        <v>57</v>
      </c>
      <c r="AO2" s="233" t="s">
        <v>1</v>
      </c>
      <c r="AP2" s="233" t="s">
        <v>135</v>
      </c>
      <c r="AQ2" s="235" t="s">
        <v>146</v>
      </c>
      <c r="AR2" s="235" t="s">
        <v>147</v>
      </c>
      <c r="AS2" s="235" t="s">
        <v>148</v>
      </c>
      <c r="AT2" s="235" t="s">
        <v>149</v>
      </c>
      <c r="AU2" s="233" t="s">
        <v>150</v>
      </c>
      <c r="AV2" s="233" t="s">
        <v>151</v>
      </c>
      <c r="AW2" s="233" t="s">
        <v>152</v>
      </c>
      <c r="AX2" s="233" t="s">
        <v>2</v>
      </c>
      <c r="AY2" s="233" t="s">
        <v>3</v>
      </c>
      <c r="AZ2" s="233" t="s">
        <v>153</v>
      </c>
      <c r="BA2" s="235" t="s">
        <v>154</v>
      </c>
      <c r="BB2" s="235" t="s">
        <v>155</v>
      </c>
      <c r="BC2" s="235" t="s">
        <v>148</v>
      </c>
      <c r="BD2" s="235" t="s">
        <v>156</v>
      </c>
      <c r="BE2" s="235" t="s">
        <v>157</v>
      </c>
      <c r="BF2" s="236" t="s">
        <v>158</v>
      </c>
      <c r="BG2" s="236" t="s">
        <v>159</v>
      </c>
      <c r="BH2" s="236" t="s">
        <v>109</v>
      </c>
      <c r="BI2" s="236" t="s">
        <v>110</v>
      </c>
      <c r="BJ2" s="233" t="s">
        <v>111</v>
      </c>
      <c r="BK2" s="233" t="s">
        <v>112</v>
      </c>
      <c r="BL2" s="233" t="s">
        <v>134</v>
      </c>
      <c r="BM2" s="233" t="s">
        <v>4</v>
      </c>
      <c r="BN2" s="233" t="s">
        <v>160</v>
      </c>
      <c r="BO2" s="233" t="s">
        <v>113</v>
      </c>
      <c r="BP2" s="233" t="s">
        <v>114</v>
      </c>
      <c r="BQ2" s="233" t="s">
        <v>5</v>
      </c>
      <c r="BR2" s="233" t="s">
        <v>6</v>
      </c>
      <c r="BS2" s="237" t="s">
        <v>174</v>
      </c>
      <c r="BT2" s="237" t="s">
        <v>175</v>
      </c>
      <c r="BU2" s="237" t="s">
        <v>176</v>
      </c>
      <c r="BV2" s="237" t="s">
        <v>177</v>
      </c>
      <c r="BW2" s="237" t="s">
        <v>188</v>
      </c>
      <c r="BX2" s="238" t="s">
        <v>7</v>
      </c>
      <c r="BY2" s="239"/>
      <c r="BZ2" s="239"/>
    </row>
    <row r="3" spans="1:78" s="267" customFormat="1" ht="22.5" customHeight="1">
      <c r="A3" s="260">
        <v>1</v>
      </c>
      <c r="B3" s="260" t="s">
        <v>181</v>
      </c>
      <c r="C3" s="260"/>
      <c r="D3" s="261" t="s">
        <v>191</v>
      </c>
      <c r="E3" s="262" t="s">
        <v>106</v>
      </c>
      <c r="F3" s="262" t="s">
        <v>168</v>
      </c>
      <c r="G3" s="241" t="s">
        <v>161</v>
      </c>
      <c r="H3" s="241" t="s">
        <v>19</v>
      </c>
      <c r="I3" s="241" t="s">
        <v>120</v>
      </c>
      <c r="J3" s="198">
        <v>47000000</v>
      </c>
      <c r="K3" s="242">
        <v>10870000</v>
      </c>
      <c r="L3" s="242">
        <f>J3-K3</f>
        <v>36130000</v>
      </c>
      <c r="M3" s="242">
        <v>26</v>
      </c>
      <c r="N3" s="263">
        <f>IFERROR(VLOOKUP(B3,' TimeTB 1'!$C$4:$AU$5,45,0),0)</f>
        <v>0</v>
      </c>
      <c r="O3" s="263">
        <f>VLOOKUP(B3,'TimeTB 2'!$C$4:$AU$5,45,0)</f>
        <v>26</v>
      </c>
      <c r="P3" s="243">
        <f>ROUND(K3/M3*N3,0)</f>
        <v>0</v>
      </c>
      <c r="Q3" s="243">
        <f>ROUND(K3/M3*O3,0)</f>
        <v>10870000</v>
      </c>
      <c r="R3" s="242">
        <f>SUM(P3:Q3)</f>
        <v>10870000</v>
      </c>
      <c r="S3" s="243">
        <f>ROUND(L3/26*N3,0)</f>
        <v>0</v>
      </c>
      <c r="T3" s="243">
        <f>ROUND(L3/26*O3,0)</f>
        <v>36130000</v>
      </c>
      <c r="U3" s="242">
        <f>SUM(S3:T3)</f>
        <v>36130000</v>
      </c>
      <c r="V3" s="242">
        <v>0</v>
      </c>
      <c r="W3" s="242">
        <v>0</v>
      </c>
      <c r="X3" s="242">
        <v>0</v>
      </c>
      <c r="Y3" s="242">
        <f>VLOOKUP(B3,'PC cơm '!$B$3:$L$4,11,0)</f>
        <v>1000000</v>
      </c>
      <c r="Z3" s="242">
        <f>SUM(V3:Y3)</f>
        <v>1000000</v>
      </c>
      <c r="AA3" s="242">
        <f>VLOOKUP(B3,'OT '!$B$4:$R$5,17,0)</f>
        <v>0</v>
      </c>
      <c r="AB3" s="242">
        <f>VLOOKUP(B3,NS!$B$3:$G$6,6,0)</f>
        <v>135577</v>
      </c>
      <c r="AC3" s="242">
        <v>0</v>
      </c>
      <c r="AD3" s="242">
        <v>0</v>
      </c>
      <c r="AE3" s="263">
        <v>0</v>
      </c>
      <c r="AF3" s="244">
        <f>ROUND(J3/26*AE3,0)</f>
        <v>0</v>
      </c>
      <c r="AG3" s="244">
        <f>IFERROR(VLOOKUP(B3,Incentive!$B$4:$H$6,7,0),0)</f>
        <v>0</v>
      </c>
      <c r="AH3" s="244">
        <f>SUMIF(Others!$B$3:$B$10,$B3,Others!$F$3:$F$10)</f>
        <v>0</v>
      </c>
      <c r="AI3" s="244">
        <v>0</v>
      </c>
      <c r="AJ3" s="242">
        <f>AI3+AH3+AG3+AF3+AD3+AC3+AB3+AA3+Z3+U3+R3+BN3</f>
        <v>48335577</v>
      </c>
      <c r="AK3" s="242">
        <f>VLOOKUP(B3,'OT '!$B$4:$T$5,19,0)</f>
        <v>0</v>
      </c>
      <c r="AL3" s="242">
        <f>VLOOKUP(B3,NS!$B$3:$I$6,8,0)</f>
        <v>135577</v>
      </c>
      <c r="AM3" s="242">
        <f>AI3</f>
        <v>0</v>
      </c>
      <c r="AN3" s="242">
        <f>IF(BT3=1,0,11000000)</f>
        <v>11000000</v>
      </c>
      <c r="AO3" s="263">
        <v>4</v>
      </c>
      <c r="AP3" s="242">
        <f>AO3*$AP$1</f>
        <v>17600000</v>
      </c>
      <c r="AQ3" s="242">
        <f>BF3*$AQ$1</f>
        <v>869600</v>
      </c>
      <c r="AR3" s="242">
        <f>BF3*$AR$1</f>
        <v>163050</v>
      </c>
      <c r="AS3" s="242">
        <f>BG3*$AS$1</f>
        <v>108700</v>
      </c>
      <c r="AT3" s="244">
        <f>+AS3+AR3+AQ3</f>
        <v>1141350</v>
      </c>
      <c r="AU3" s="244">
        <f>IF(BT3=1,0,MIN(Y3,730000))</f>
        <v>730000</v>
      </c>
      <c r="AV3" s="244">
        <f>AJ3-AK3-AL3-AM3-AU3</f>
        <v>47470000</v>
      </c>
      <c r="AW3" s="244">
        <f>MAX(AV3-AN3-AP3-AT3,0)</f>
        <v>17728650</v>
      </c>
      <c r="AX3" s="245">
        <f>IF(BT3=1,10%,IF(AW3&gt;0,IF(AW3&gt;80000000,0.35,IF(AW3&gt;52000000,0.3,IF(AW3&gt;32000000,0.25,IF(AW3&gt;18000000,0.2,IF(AW3&gt;10000000,0.15,IF(AW3&gt;5000000,0.1,0.05)))))),0))</f>
        <v>0.15</v>
      </c>
      <c r="AY3" s="246">
        <f>IF(BT3=1,0,IF(AW3&gt;80000000,9850000,IF(AW3&gt;52000000,5850000,IF(AW3&gt;32000000,3250000,IF(AW3&gt;18000000,1650000,IF(AW3&gt;10000000,750000,IF(AW3&gt;5000000,250000,0)))))))</f>
        <v>750000</v>
      </c>
      <c r="AZ3" s="247">
        <f>ROUND(AW3*AX3-AY3,0)</f>
        <v>1909298</v>
      </c>
      <c r="BA3" s="242">
        <f>BF3*$BA$1</f>
        <v>1847900.0000000002</v>
      </c>
      <c r="BB3" s="242">
        <f>BF3*$BB$1</f>
        <v>326100</v>
      </c>
      <c r="BC3" s="242">
        <f>BG3*$BC$1</f>
        <v>108700</v>
      </c>
      <c r="BD3" s="242">
        <f>BG3*$BD$1</f>
        <v>54350</v>
      </c>
      <c r="BE3" s="242">
        <f>SUM(BA3:BD3)</f>
        <v>2337050</v>
      </c>
      <c r="BF3" s="242">
        <f>MIN((IF(BS3=1,K3,0)),$BF$1)</f>
        <v>10870000</v>
      </c>
      <c r="BG3" s="242">
        <f>MIN((IF(BS3=1,K3,0)),$BG$1)</f>
        <v>10870000</v>
      </c>
      <c r="BH3" s="242">
        <v>0</v>
      </c>
      <c r="BI3" s="242">
        <v>0</v>
      </c>
      <c r="BJ3" s="242">
        <f>IF(BS3=1,BF3*2%,0)</f>
        <v>217400</v>
      </c>
      <c r="BK3" s="242">
        <f>IF(BU3=1,40000,0)</f>
        <v>40000</v>
      </c>
      <c r="BL3" s="242">
        <f>IF(BV3=0,0,IF(J3&lt;11000000,5000,IF(J3&lt;25000000,10000,IF(J3&lt;40000000,15000,20000)))*BW3)</f>
        <v>0</v>
      </c>
      <c r="BM3" s="248">
        <f>AJ3-AT3-AZ3-BK3-BL3-BN3-BO3-BP3</f>
        <v>45044929</v>
      </c>
      <c r="BN3" s="244">
        <f>IFERROR(VLOOKUP(B3,'Benefit tính thuế'!$B$2:$H$5,7,0),0)</f>
        <v>200000</v>
      </c>
      <c r="BO3" s="248">
        <v>0</v>
      </c>
      <c r="BP3" s="248">
        <v>0</v>
      </c>
      <c r="BQ3" s="264">
        <f>AN3+AP3+AU3</f>
        <v>29330000</v>
      </c>
      <c r="BR3" s="264">
        <f>+AZ3+AT3</f>
        <v>3050648</v>
      </c>
      <c r="BS3" s="264">
        <v>1</v>
      </c>
      <c r="BT3" s="265">
        <v>0</v>
      </c>
      <c r="BU3" s="264">
        <v>1</v>
      </c>
      <c r="BV3" s="264">
        <v>0</v>
      </c>
      <c r="BW3" s="264">
        <v>20</v>
      </c>
      <c r="BX3" s="266"/>
    </row>
  </sheetData>
  <sheetProtection deleteColumns="0"/>
  <autoFilter ref="A2:CG3" xr:uid="{B395567C-224D-4C12-935F-73BDB291D854}"/>
  <dataValidations count="1">
    <dataValidation allowBlank="1" showErrorMessage="1" sqref="BM1 AJ1:AL1 A1:K1 M1:R1 V1:AH1 BQ1:XFD1 A2:XFD2 AN1:BK1 E3:I3 A3:C3 K3:XFD3 A4:XFD1048576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4"/>
  <sheetViews>
    <sheetView zoomScale="130" zoomScaleNormal="130" workbookViewId="0">
      <selection activeCell="L3" sqref="L3"/>
    </sheetView>
  </sheetViews>
  <sheetFormatPr baseColWidth="10" defaultColWidth="9.1640625" defaultRowHeight="15"/>
  <cols>
    <col min="1" max="1" width="9.1640625" style="154"/>
    <col min="2" max="2" width="14.1640625" style="154" customWidth="1"/>
    <col min="3" max="3" width="27.5" style="154" customWidth="1"/>
    <col min="4" max="4" width="14.33203125" style="154" customWidth="1"/>
    <col min="5" max="5" width="21" style="154" customWidth="1"/>
    <col min="6" max="6" width="9.6640625" style="154" customWidth="1"/>
    <col min="7" max="7" width="10.1640625" style="154" customWidth="1"/>
    <col min="8" max="8" width="9.1640625" style="154" customWidth="1"/>
    <col min="9" max="9" width="15.6640625" style="154" customWidth="1"/>
    <col min="10" max="10" width="11.6640625" style="154" customWidth="1"/>
    <col min="11" max="11" width="15" style="154" customWidth="1"/>
    <col min="12" max="12" width="15.1640625" style="154" customWidth="1"/>
    <col min="13" max="13" width="17.83203125" style="154" customWidth="1"/>
    <col min="14" max="16384" width="9.1640625" style="154"/>
  </cols>
  <sheetData>
    <row r="1" spans="1:13" s="219" customFormat="1" ht="63.75" customHeight="1">
      <c r="A1" s="200" t="s">
        <v>21</v>
      </c>
      <c r="B1" s="200" t="s">
        <v>25</v>
      </c>
      <c r="C1" s="199" t="s">
        <v>10</v>
      </c>
      <c r="D1" s="199" t="s">
        <v>198</v>
      </c>
      <c r="E1" s="199" t="s">
        <v>199</v>
      </c>
      <c r="F1" s="201" t="s">
        <v>200</v>
      </c>
      <c r="G1" s="215" t="s">
        <v>201</v>
      </c>
      <c r="H1" s="215" t="s">
        <v>202</v>
      </c>
      <c r="I1" s="216" t="s">
        <v>203</v>
      </c>
      <c r="J1" s="216" t="s">
        <v>204</v>
      </c>
      <c r="K1" s="216" t="s">
        <v>205</v>
      </c>
      <c r="L1" s="217" t="s">
        <v>206</v>
      </c>
      <c r="M1" s="218" t="s">
        <v>207</v>
      </c>
    </row>
    <row r="2" spans="1:13" s="219" customFormat="1" ht="15.75" customHeight="1">
      <c r="A2" s="220"/>
      <c r="B2" s="220"/>
      <c r="C2" s="221"/>
      <c r="D2" s="221"/>
      <c r="E2" s="221"/>
      <c r="F2" s="221"/>
      <c r="G2" s="222"/>
      <c r="H2" s="222"/>
      <c r="I2" s="223">
        <v>40000</v>
      </c>
      <c r="J2" s="223">
        <v>40000</v>
      </c>
      <c r="K2" s="223">
        <v>80000</v>
      </c>
      <c r="L2" s="224"/>
      <c r="M2" s="225"/>
    </row>
    <row r="3" spans="1:13" ht="16">
      <c r="A3" s="155">
        <f>ROW()-6</f>
        <v>-3</v>
      </c>
      <c r="B3" s="156" t="s">
        <v>181</v>
      </c>
      <c r="C3" s="156" t="s">
        <v>191</v>
      </c>
      <c r="D3" s="183">
        <v>43466</v>
      </c>
      <c r="E3" s="163" t="s">
        <v>161</v>
      </c>
      <c r="F3" s="162">
        <f>VLOOKUP($B3,'TimeTB 2'!$C$4:$AX$5,46,0)</f>
        <v>25</v>
      </c>
      <c r="G3" s="162">
        <f>VLOOKUP($B3,'TimeTB 2'!$C$4:$AX$5,48,0)</f>
        <v>0</v>
      </c>
      <c r="H3" s="162">
        <f>VLOOKUP($B3,'TimeTB 2'!$C$4:$AX$5,47,0)</f>
        <v>0</v>
      </c>
      <c r="I3" s="157">
        <f>F3*$I$2</f>
        <v>1000000</v>
      </c>
      <c r="J3" s="157">
        <f>G3*$J$2</f>
        <v>0</v>
      </c>
      <c r="K3" s="157">
        <f>H3*$K$2</f>
        <v>0</v>
      </c>
      <c r="L3" s="158">
        <f>SUM(I3:K3)</f>
        <v>1000000</v>
      </c>
      <c r="M3" s="156"/>
    </row>
    <row r="4" spans="1:13" ht="16">
      <c r="A4" s="155">
        <f t="shared" ref="A4" si="0">ROW()-6</f>
        <v>-2</v>
      </c>
      <c r="B4" s="156" t="s">
        <v>182</v>
      </c>
      <c r="C4" s="156" t="s">
        <v>192</v>
      </c>
      <c r="D4" s="183">
        <v>43831</v>
      </c>
      <c r="E4" s="163" t="s">
        <v>162</v>
      </c>
      <c r="F4" s="162">
        <f>VLOOKUP(B4,'TimeTB 2'!$C$4:$AX$5,46,0)</f>
        <v>26</v>
      </c>
      <c r="G4" s="162">
        <f>VLOOKUP($B4,'TimeTB 2'!$C$4:$AX$5,48,0)</f>
        <v>0</v>
      </c>
      <c r="H4" s="162">
        <f>VLOOKUP($B4,'TimeTB 2'!$C$4:$AX$5,47,0)</f>
        <v>1</v>
      </c>
      <c r="I4" s="157">
        <f>F4*$I$2</f>
        <v>1040000</v>
      </c>
      <c r="J4" s="157">
        <f>G4*$J$2</f>
        <v>0</v>
      </c>
      <c r="K4" s="157">
        <f>H4*$K$2</f>
        <v>80000</v>
      </c>
      <c r="L4" s="158">
        <f t="shared" ref="L4" si="1">SUM(I4:K4)</f>
        <v>1120000</v>
      </c>
      <c r="M4" s="156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420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36"/>
  <sheetViews>
    <sheetView view="pageBreakPreview" zoomScale="70" zoomScaleNormal="85" zoomScaleSheetLayoutView="70" workbookViewId="0">
      <pane xSplit="4" ySplit="3" topLeftCell="J4" activePane="bottomRight" state="frozen"/>
      <selection activeCell="C13" sqref="C13"/>
      <selection pane="topRight" activeCell="C13" sqref="C13"/>
      <selection pane="bottomLeft" activeCell="C13" sqref="C13"/>
      <selection pane="bottomRight" sqref="A1:XFD7"/>
    </sheetView>
  </sheetViews>
  <sheetFormatPr baseColWidth="10" defaultColWidth="8.83203125" defaultRowHeight="19" outlineLevelCol="1"/>
  <cols>
    <col min="1" max="1" width="4.33203125" style="295" hidden="1" customWidth="1"/>
    <col min="2" max="2" width="5.83203125" style="295" customWidth="1"/>
    <col min="3" max="3" width="17.1640625" style="295" customWidth="1"/>
    <col min="4" max="4" width="29.1640625" style="295" customWidth="1"/>
    <col min="5" max="5" width="15" style="295" hidden="1" customWidth="1" outlineLevel="1"/>
    <col min="6" max="6" width="15.5" style="295" hidden="1" customWidth="1" outlineLevel="1"/>
    <col min="7" max="7" width="22.83203125" style="318" hidden="1" customWidth="1" outlineLevel="1"/>
    <col min="8" max="8" width="21.5" style="295" hidden="1" customWidth="1" outlineLevel="1"/>
    <col min="9" max="9" width="12.5" style="316" hidden="1" customWidth="1" outlineLevel="1"/>
    <col min="10" max="10" width="4.83203125" style="290" customWidth="1" collapsed="1"/>
    <col min="11" max="11" width="3.5" style="290" customWidth="1"/>
    <col min="12" max="12" width="5.1640625" style="290" customWidth="1"/>
    <col min="13" max="13" width="3.6640625" style="290" customWidth="1"/>
    <col min="14" max="15" width="3.5" style="291" customWidth="1"/>
    <col min="16" max="16" width="3.6640625" style="291" customWidth="1"/>
    <col min="17" max="17" width="3.6640625" style="290" customWidth="1"/>
    <col min="18" max="18" width="4.1640625" style="290" customWidth="1"/>
    <col min="19" max="19" width="3.6640625" style="290" customWidth="1"/>
    <col min="20" max="20" width="4.5" style="290" customWidth="1"/>
    <col min="21" max="21" width="3.6640625" style="290" customWidth="1"/>
    <col min="22" max="22" width="4.33203125" style="290" customWidth="1"/>
    <col min="23" max="23" width="3.6640625" style="290" customWidth="1"/>
    <col min="24" max="24" width="4.5" style="290" customWidth="1"/>
    <col min="25" max="25" width="5.1640625" style="290" customWidth="1"/>
    <col min="26" max="26" width="4.33203125" style="290" customWidth="1"/>
    <col min="27" max="27" width="3.6640625" style="290" customWidth="1"/>
    <col min="28" max="28" width="5" style="290" customWidth="1"/>
    <col min="29" max="31" width="3.6640625" style="290" customWidth="1"/>
    <col min="32" max="32" width="4.33203125" style="290" customWidth="1"/>
    <col min="33" max="33" width="5.33203125" style="290" customWidth="1"/>
    <col min="34" max="34" width="3.6640625" style="290" customWidth="1"/>
    <col min="35" max="35" width="5" style="290" customWidth="1"/>
    <col min="36" max="36" width="3.6640625" style="290" customWidth="1"/>
    <col min="37" max="37" width="4.5" style="290" customWidth="1"/>
    <col min="38" max="40" width="4.6640625" style="290" customWidth="1"/>
    <col min="41" max="42" width="8.5" style="295" customWidth="1"/>
    <col min="43" max="43" width="10.83203125" style="295" customWidth="1"/>
    <col min="44" max="44" width="11.5" style="319" customWidth="1"/>
    <col min="45" max="45" width="12.6640625" style="295" customWidth="1"/>
    <col min="46" max="46" width="7.1640625" style="295" customWidth="1"/>
    <col min="47" max="50" width="12.83203125" style="296" customWidth="1"/>
    <col min="51" max="51" width="12.6640625" style="295" customWidth="1"/>
    <col min="52" max="52" width="9.1640625" style="295" customWidth="1"/>
    <col min="53" max="53" width="22" style="295" customWidth="1"/>
    <col min="54" max="16384" width="8.83203125" style="295"/>
  </cols>
  <sheetData>
    <row r="1" spans="1:51" ht="18.75" customHeight="1">
      <c r="B1" s="270" t="s">
        <v>38</v>
      </c>
      <c r="C1" s="270" t="s">
        <v>46</v>
      </c>
      <c r="D1" s="270" t="s">
        <v>10</v>
      </c>
      <c r="E1" s="271" t="s">
        <v>62</v>
      </c>
      <c r="F1" s="297" t="s">
        <v>32</v>
      </c>
      <c r="G1" s="271" t="s">
        <v>80</v>
      </c>
      <c r="H1" s="297" t="s">
        <v>81</v>
      </c>
      <c r="I1" s="298" t="s">
        <v>55</v>
      </c>
      <c r="J1" s="272">
        <v>45742</v>
      </c>
      <c r="K1" s="299"/>
      <c r="L1" s="299"/>
      <c r="M1" s="273">
        <f>EOMONTH(J1,0)+1</f>
        <v>45748</v>
      </c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  <c r="AA1" s="299"/>
      <c r="AB1" s="299"/>
      <c r="AC1" s="299"/>
      <c r="AD1" s="299"/>
      <c r="AE1" s="299"/>
      <c r="AF1" s="299"/>
      <c r="AG1" s="299"/>
      <c r="AH1" s="299"/>
      <c r="AI1" s="299"/>
      <c r="AJ1" s="299"/>
      <c r="AK1" s="299"/>
      <c r="AL1" s="299"/>
      <c r="AM1" s="299"/>
      <c r="AN1" s="300"/>
      <c r="AO1" s="301" t="s">
        <v>208</v>
      </c>
      <c r="AP1" s="301" t="s">
        <v>209</v>
      </c>
      <c r="AQ1" s="301" t="s">
        <v>102</v>
      </c>
      <c r="AR1" s="301" t="s">
        <v>210</v>
      </c>
      <c r="AS1" s="301" t="s">
        <v>64</v>
      </c>
      <c r="AT1" s="274" t="s">
        <v>211</v>
      </c>
      <c r="AU1" s="301" t="s">
        <v>212</v>
      </c>
      <c r="AV1" s="302" t="s">
        <v>213</v>
      </c>
      <c r="AW1" s="302" t="s">
        <v>214</v>
      </c>
      <c r="AX1" s="302" t="s">
        <v>215</v>
      </c>
      <c r="AY1" s="275" t="s">
        <v>216</v>
      </c>
    </row>
    <row r="2" spans="1:51" ht="45.75" customHeight="1">
      <c r="B2" s="303"/>
      <c r="C2" s="303"/>
      <c r="D2" s="303"/>
      <c r="E2" s="303"/>
      <c r="F2" s="304"/>
      <c r="G2" s="303"/>
      <c r="H2" s="304"/>
      <c r="I2" s="303"/>
      <c r="J2" s="276">
        <f>J1</f>
        <v>45742</v>
      </c>
      <c r="K2" s="276">
        <f t="shared" ref="K2:AN2" si="0">+J2+1</f>
        <v>45743</v>
      </c>
      <c r="L2" s="276">
        <f t="shared" si="0"/>
        <v>45744</v>
      </c>
      <c r="M2" s="276">
        <f t="shared" si="0"/>
        <v>45745</v>
      </c>
      <c r="N2" s="276">
        <f t="shared" si="0"/>
        <v>45746</v>
      </c>
      <c r="O2" s="276">
        <f t="shared" si="0"/>
        <v>45747</v>
      </c>
      <c r="P2" s="276">
        <f t="shared" si="0"/>
        <v>45748</v>
      </c>
      <c r="Q2" s="276">
        <f t="shared" si="0"/>
        <v>45749</v>
      </c>
      <c r="R2" s="276">
        <f t="shared" si="0"/>
        <v>45750</v>
      </c>
      <c r="S2" s="276">
        <f t="shared" si="0"/>
        <v>45751</v>
      </c>
      <c r="T2" s="276">
        <f t="shared" si="0"/>
        <v>45752</v>
      </c>
      <c r="U2" s="276">
        <f t="shared" si="0"/>
        <v>45753</v>
      </c>
      <c r="V2" s="276">
        <f t="shared" si="0"/>
        <v>45754</v>
      </c>
      <c r="W2" s="276">
        <f t="shared" si="0"/>
        <v>45755</v>
      </c>
      <c r="X2" s="276">
        <f t="shared" si="0"/>
        <v>45756</v>
      </c>
      <c r="Y2" s="276">
        <f t="shared" si="0"/>
        <v>45757</v>
      </c>
      <c r="Z2" s="276">
        <f t="shared" si="0"/>
        <v>45758</v>
      </c>
      <c r="AA2" s="276">
        <f t="shared" si="0"/>
        <v>45759</v>
      </c>
      <c r="AB2" s="276">
        <f t="shared" si="0"/>
        <v>45760</v>
      </c>
      <c r="AC2" s="276">
        <f t="shared" si="0"/>
        <v>45761</v>
      </c>
      <c r="AD2" s="276">
        <f t="shared" si="0"/>
        <v>45762</v>
      </c>
      <c r="AE2" s="276">
        <f t="shared" si="0"/>
        <v>45763</v>
      </c>
      <c r="AF2" s="276">
        <f t="shared" si="0"/>
        <v>45764</v>
      </c>
      <c r="AG2" s="276">
        <f t="shared" si="0"/>
        <v>45765</v>
      </c>
      <c r="AH2" s="276">
        <f t="shared" si="0"/>
        <v>45766</v>
      </c>
      <c r="AI2" s="276">
        <f t="shared" si="0"/>
        <v>45767</v>
      </c>
      <c r="AJ2" s="276">
        <f t="shared" si="0"/>
        <v>45768</v>
      </c>
      <c r="AK2" s="276">
        <f t="shared" si="0"/>
        <v>45769</v>
      </c>
      <c r="AL2" s="276">
        <f t="shared" si="0"/>
        <v>45770</v>
      </c>
      <c r="AM2" s="276">
        <f t="shared" si="0"/>
        <v>45771</v>
      </c>
      <c r="AN2" s="276">
        <f t="shared" si="0"/>
        <v>45772</v>
      </c>
      <c r="AO2" s="305"/>
      <c r="AP2" s="305"/>
      <c r="AQ2" s="305"/>
      <c r="AR2" s="305"/>
      <c r="AS2" s="305"/>
      <c r="AT2" s="303"/>
      <c r="AU2" s="305"/>
      <c r="AV2" s="305"/>
      <c r="AW2" s="305"/>
      <c r="AX2" s="305"/>
      <c r="AY2" s="306"/>
    </row>
    <row r="3" spans="1:51" ht="46.5" customHeight="1">
      <c r="B3" s="277"/>
      <c r="C3" s="277"/>
      <c r="D3" s="277"/>
      <c r="E3" s="278"/>
      <c r="F3" s="279"/>
      <c r="G3" s="280"/>
      <c r="H3" s="281"/>
      <c r="I3" s="306"/>
      <c r="J3" s="282" t="str">
        <f t="shared" ref="J3:AN3" si="1">TEXT(J2,"ddd")</f>
        <v>Wed</v>
      </c>
      <c r="K3" s="282" t="str">
        <f t="shared" si="1"/>
        <v>Thu</v>
      </c>
      <c r="L3" s="282" t="str">
        <f t="shared" si="1"/>
        <v>Fri</v>
      </c>
      <c r="M3" s="282" t="str">
        <f t="shared" si="1"/>
        <v>Sat</v>
      </c>
      <c r="N3" s="282" t="str">
        <f t="shared" si="1"/>
        <v>Sun</v>
      </c>
      <c r="O3" s="282" t="str">
        <f t="shared" si="1"/>
        <v>Mon</v>
      </c>
      <c r="P3" s="282" t="str">
        <f t="shared" si="1"/>
        <v>Tue</v>
      </c>
      <c r="Q3" s="282" t="str">
        <f t="shared" si="1"/>
        <v>Wed</v>
      </c>
      <c r="R3" s="282" t="str">
        <f t="shared" si="1"/>
        <v>Thu</v>
      </c>
      <c r="S3" s="282" t="str">
        <f t="shared" si="1"/>
        <v>Fri</v>
      </c>
      <c r="T3" s="282" t="str">
        <f t="shared" si="1"/>
        <v>Sat</v>
      </c>
      <c r="U3" s="282" t="str">
        <f t="shared" si="1"/>
        <v>Sun</v>
      </c>
      <c r="V3" s="282" t="str">
        <f t="shared" si="1"/>
        <v>Mon</v>
      </c>
      <c r="W3" s="282" t="str">
        <f t="shared" si="1"/>
        <v>Tue</v>
      </c>
      <c r="X3" s="282" t="str">
        <f t="shared" si="1"/>
        <v>Wed</v>
      </c>
      <c r="Y3" s="282" t="str">
        <f t="shared" si="1"/>
        <v>Thu</v>
      </c>
      <c r="Z3" s="282" t="str">
        <f t="shared" si="1"/>
        <v>Fri</v>
      </c>
      <c r="AA3" s="282" t="str">
        <f t="shared" si="1"/>
        <v>Sat</v>
      </c>
      <c r="AB3" s="282" t="str">
        <f t="shared" si="1"/>
        <v>Sun</v>
      </c>
      <c r="AC3" s="282" t="str">
        <f t="shared" si="1"/>
        <v>Mon</v>
      </c>
      <c r="AD3" s="282" t="str">
        <f t="shared" si="1"/>
        <v>Tue</v>
      </c>
      <c r="AE3" s="282" t="str">
        <f t="shared" si="1"/>
        <v>Wed</v>
      </c>
      <c r="AF3" s="282" t="str">
        <f t="shared" si="1"/>
        <v>Thu</v>
      </c>
      <c r="AG3" s="282" t="str">
        <f t="shared" si="1"/>
        <v>Fri</v>
      </c>
      <c r="AH3" s="282" t="str">
        <f t="shared" si="1"/>
        <v>Sat</v>
      </c>
      <c r="AI3" s="282" t="str">
        <f t="shared" si="1"/>
        <v>Sun</v>
      </c>
      <c r="AJ3" s="282" t="str">
        <f t="shared" si="1"/>
        <v>Mon</v>
      </c>
      <c r="AK3" s="282" t="str">
        <f t="shared" si="1"/>
        <v>Tue</v>
      </c>
      <c r="AL3" s="282" t="str">
        <f t="shared" si="1"/>
        <v>Wed</v>
      </c>
      <c r="AM3" s="282" t="str">
        <f t="shared" si="1"/>
        <v>Thu</v>
      </c>
      <c r="AN3" s="282" t="str">
        <f t="shared" si="1"/>
        <v>Fri</v>
      </c>
      <c r="AO3" s="307"/>
      <c r="AP3" s="307"/>
      <c r="AQ3" s="307"/>
      <c r="AR3" s="307"/>
      <c r="AS3" s="307"/>
      <c r="AT3" s="306"/>
      <c r="AU3" s="307"/>
      <c r="AV3" s="307"/>
      <c r="AW3" s="307"/>
      <c r="AX3" s="307"/>
    </row>
    <row r="4" spans="1:51" ht="29.25" customHeight="1">
      <c r="A4" s="295">
        <v>1</v>
      </c>
      <c r="B4" s="283">
        <f>ROW()-10</f>
        <v>-6</v>
      </c>
      <c r="C4" s="284" t="s">
        <v>181</v>
      </c>
      <c r="D4" s="308" t="s">
        <v>191</v>
      </c>
      <c r="E4" s="249">
        <v>43466</v>
      </c>
      <c r="F4" s="285"/>
      <c r="G4" s="286"/>
      <c r="H4" s="249" t="s">
        <v>120</v>
      </c>
      <c r="I4" s="287"/>
      <c r="J4" s="309" t="s">
        <v>36</v>
      </c>
      <c r="K4" s="309" t="s">
        <v>36</v>
      </c>
      <c r="L4" s="309" t="s">
        <v>37</v>
      </c>
      <c r="M4" s="309" t="s">
        <v>36</v>
      </c>
      <c r="N4" s="309" t="s">
        <v>36</v>
      </c>
      <c r="O4" s="309" t="s">
        <v>36</v>
      </c>
      <c r="P4" s="309" t="s">
        <v>36</v>
      </c>
      <c r="Q4" s="309" t="s">
        <v>36</v>
      </c>
      <c r="R4" s="309" t="s">
        <v>36</v>
      </c>
      <c r="S4" s="309" t="s">
        <v>171</v>
      </c>
      <c r="T4" s="309" t="s">
        <v>37</v>
      </c>
      <c r="U4" s="309" t="s">
        <v>36</v>
      </c>
      <c r="V4" s="309" t="s">
        <v>91</v>
      </c>
      <c r="W4" s="309" t="s">
        <v>36</v>
      </c>
      <c r="X4" s="309" t="s">
        <v>36</v>
      </c>
      <c r="Y4" s="309" t="s">
        <v>36</v>
      </c>
      <c r="Z4" s="309" t="s">
        <v>37</v>
      </c>
      <c r="AA4" s="309" t="s">
        <v>36</v>
      </c>
      <c r="AB4" s="309" t="s">
        <v>36</v>
      </c>
      <c r="AC4" s="309" t="s">
        <v>36</v>
      </c>
      <c r="AD4" s="309" t="s">
        <v>36</v>
      </c>
      <c r="AE4" s="309" t="s">
        <v>36</v>
      </c>
      <c r="AF4" s="309" t="s">
        <v>36</v>
      </c>
      <c r="AG4" s="309" t="s">
        <v>36</v>
      </c>
      <c r="AH4" s="309" t="s">
        <v>36</v>
      </c>
      <c r="AI4" s="309" t="s">
        <v>37</v>
      </c>
      <c r="AJ4" s="309" t="s">
        <v>36</v>
      </c>
      <c r="AK4" s="309" t="s">
        <v>36</v>
      </c>
      <c r="AL4" s="309" t="s">
        <v>36</v>
      </c>
      <c r="AM4" s="309" t="s">
        <v>36</v>
      </c>
      <c r="AN4" s="309" t="s">
        <v>36</v>
      </c>
      <c r="AO4" s="310">
        <f>COUNTIFS($J4:$AN4,"OFF ")+COUNTIFS($J4:$AN4,"OFF")</f>
        <v>4</v>
      </c>
      <c r="AP4" s="311">
        <f>+COUNTIF(J4:AN4,"UP")+0.5*COUNTIF(J4:AN4,"1/2UP")+COUNTIFS(J4:AN4,"SL1")+COUNTIFS(J4:AN4,"ML")+COUNTIFS(J4:AN4,"CC")</f>
        <v>0</v>
      </c>
      <c r="AQ4" s="311">
        <f t="shared" ref="AQ4:AQ5" si="2">COUNTIF($J4:$AN4,"AL")+0.5*(COUNTIF($J4:$AN4,"1/2AL"))+COUNTIF($J4:$AN4,"CL")+0.5*(COUNTIF($J4:$AN4,"1/2CL"))+COUNTIF($J4:$AN4,"LS")+COUNTIF($J4:$AN4,"HL")</f>
        <v>1</v>
      </c>
      <c r="AR4" s="312">
        <f>COUNTIF(J4:AN4,"X")+(COUNTIF(J4:AN4,"FP"))+COUNTIF(J4:AN4,"SL2")+(COUNTIF(J4:AN4,"LL"))+0.5*COUNTIF(J4:AN4,"1/2AL")+0.5*COUNTIF(J4:AN4,"1/2CL")+0.5*COUNTIF(J4:AN4,"1/2UP")</f>
        <v>25</v>
      </c>
      <c r="AS4" s="311">
        <f>+AQ4+AR4</f>
        <v>26</v>
      </c>
      <c r="AT4" s="313"/>
      <c r="AU4" s="288">
        <f t="shared" ref="AU4:AU5" si="3">MIN((AS4+AT4),26)</f>
        <v>26</v>
      </c>
      <c r="AV4" s="312">
        <f>COUNTIF(J4:AN4,"X")</f>
        <v>25</v>
      </c>
      <c r="AW4" s="312">
        <f>COUNTIF(V4:V4,"X")</f>
        <v>0</v>
      </c>
      <c r="AX4" s="289">
        <v>0</v>
      </c>
      <c r="AY4" s="314"/>
    </row>
    <row r="5" spans="1:51" ht="29.25" customHeight="1">
      <c r="A5" s="295">
        <f>+A3+1</f>
        <v>1</v>
      </c>
      <c r="B5" s="283">
        <f t="shared" ref="B5" si="4">ROW()-10</f>
        <v>-5</v>
      </c>
      <c r="C5" s="284" t="s">
        <v>182</v>
      </c>
      <c r="D5" s="308" t="s">
        <v>192</v>
      </c>
      <c r="E5" s="249">
        <v>43831</v>
      </c>
      <c r="F5" s="285"/>
      <c r="G5" s="286"/>
      <c r="H5" s="249" t="s">
        <v>107</v>
      </c>
      <c r="I5" s="287"/>
      <c r="J5" s="309" t="s">
        <v>36</v>
      </c>
      <c r="K5" s="309" t="s">
        <v>36</v>
      </c>
      <c r="L5" s="309" t="s">
        <v>36</v>
      </c>
      <c r="M5" s="309" t="s">
        <v>37</v>
      </c>
      <c r="N5" s="309" t="s">
        <v>36</v>
      </c>
      <c r="O5" s="309" t="s">
        <v>36</v>
      </c>
      <c r="P5" s="309" t="s">
        <v>36</v>
      </c>
      <c r="Q5" s="309" t="s">
        <v>36</v>
      </c>
      <c r="R5" s="309" t="s">
        <v>36</v>
      </c>
      <c r="S5" s="309" t="s">
        <v>36</v>
      </c>
      <c r="T5" s="309" t="s">
        <v>36</v>
      </c>
      <c r="U5" s="309" t="s">
        <v>37</v>
      </c>
      <c r="V5" s="309" t="s">
        <v>36</v>
      </c>
      <c r="W5" s="309" t="s">
        <v>36</v>
      </c>
      <c r="X5" s="309" t="s">
        <v>36</v>
      </c>
      <c r="Y5" s="309" t="s">
        <v>36</v>
      </c>
      <c r="Z5" s="309" t="s">
        <v>36</v>
      </c>
      <c r="AA5" s="309" t="s">
        <v>37</v>
      </c>
      <c r="AB5" s="309" t="s">
        <v>36</v>
      </c>
      <c r="AC5" s="309" t="s">
        <v>36</v>
      </c>
      <c r="AD5" s="309" t="s">
        <v>36</v>
      </c>
      <c r="AE5" s="309" t="s">
        <v>36</v>
      </c>
      <c r="AF5" s="309" t="s">
        <v>36</v>
      </c>
      <c r="AG5" s="309" t="s">
        <v>36</v>
      </c>
      <c r="AH5" s="309" t="s">
        <v>37</v>
      </c>
      <c r="AI5" s="309" t="s">
        <v>36</v>
      </c>
      <c r="AJ5" s="309" t="s">
        <v>36</v>
      </c>
      <c r="AK5" s="309" t="s">
        <v>36</v>
      </c>
      <c r="AL5" s="309" t="s">
        <v>36</v>
      </c>
      <c r="AM5" s="309" t="s">
        <v>36</v>
      </c>
      <c r="AN5" s="309" t="s">
        <v>37</v>
      </c>
      <c r="AO5" s="310">
        <f t="shared" ref="AO5" si="5">COUNTIFS($J5:$AN5,"OFF ")+COUNTIFS($J5:$AN5,"OFF")</f>
        <v>5</v>
      </c>
      <c r="AP5" s="311">
        <f t="shared" ref="AP5" si="6">+COUNTIF(J5:AN5,"UP")+0.5*COUNTIF(J5:AN5,"1/2UP")+COUNTIFS(J5:AN5,"SL1")+COUNTIFS(J5:AN5,"ML")+COUNTIFS(J5:AN5,"CC")</f>
        <v>0</v>
      </c>
      <c r="AQ5" s="311">
        <f t="shared" si="2"/>
        <v>0</v>
      </c>
      <c r="AR5" s="315">
        <f t="shared" ref="AR5" si="7">COUNTIF(J5:AN5,"X")+(COUNTIF(J5:AN5,"FP"))+COUNTIF(J5:AN5,"SL2")+(COUNTIF(J5:AN5,"LL"))+0.5*COUNTIF(J5:AN5,"1/2AL")+0.5*COUNTIF(J5:AN5,"1/2CL")+0.5*COUNTIF(J5:AN5,"1/2UP")</f>
        <v>26</v>
      </c>
      <c r="AS5" s="311">
        <f t="shared" ref="AS5" si="8">+AQ5+AR5</f>
        <v>26</v>
      </c>
      <c r="AT5" s="313"/>
      <c r="AU5" s="288">
        <f t="shared" si="3"/>
        <v>26</v>
      </c>
      <c r="AV5" s="312">
        <f t="shared" ref="AV5" si="9">COUNTIF(J5:AN5,"X")</f>
        <v>26</v>
      </c>
      <c r="AW5" s="312">
        <f t="shared" ref="AW5" si="10">COUNTIF(V5:V5,"X")</f>
        <v>1</v>
      </c>
      <c r="AX5" s="289">
        <v>0</v>
      </c>
      <c r="AY5" s="314"/>
    </row>
    <row r="6" spans="1:51">
      <c r="AN6" s="317"/>
    </row>
    <row r="7" spans="1:51" ht="28.5" customHeight="1">
      <c r="C7" s="320" t="s">
        <v>137</v>
      </c>
      <c r="D7" s="321"/>
      <c r="E7" s="321"/>
      <c r="F7" s="321"/>
      <c r="G7" s="322"/>
      <c r="H7" s="321"/>
      <c r="I7" s="323"/>
      <c r="J7" s="321"/>
      <c r="K7" s="321"/>
      <c r="T7" s="292"/>
      <c r="AN7" s="317"/>
    </row>
    <row r="8" spans="1:51">
      <c r="C8" s="293" t="s">
        <v>36</v>
      </c>
      <c r="D8" s="324" t="s">
        <v>136</v>
      </c>
      <c r="E8" s="325"/>
      <c r="F8" s="325"/>
      <c r="G8" s="325"/>
      <c r="H8" s="325"/>
      <c r="I8" s="326"/>
      <c r="J8" s="325"/>
      <c r="K8" s="327"/>
      <c r="T8" s="292"/>
      <c r="AN8" s="317"/>
    </row>
    <row r="9" spans="1:51">
      <c r="C9" s="293" t="s">
        <v>91</v>
      </c>
      <c r="D9" s="324" t="s">
        <v>92</v>
      </c>
      <c r="E9" s="325"/>
      <c r="F9" s="325"/>
      <c r="G9" s="325"/>
      <c r="H9" s="325"/>
      <c r="I9" s="326"/>
      <c r="J9" s="325"/>
      <c r="K9" s="327"/>
      <c r="AN9" s="317"/>
    </row>
    <row r="10" spans="1:51">
      <c r="C10" s="293" t="s">
        <v>37</v>
      </c>
      <c r="D10" s="324" t="s">
        <v>93</v>
      </c>
      <c r="E10" s="325"/>
      <c r="F10" s="325"/>
      <c r="G10" s="325"/>
      <c r="H10" s="325"/>
      <c r="I10" s="326"/>
      <c r="J10" s="325"/>
      <c r="K10" s="327"/>
      <c r="AN10" s="317"/>
    </row>
    <row r="11" spans="1:51">
      <c r="C11" s="293" t="s">
        <v>67</v>
      </c>
      <c r="D11" s="324" t="s">
        <v>94</v>
      </c>
      <c r="E11" s="325"/>
      <c r="F11" s="325"/>
      <c r="G11" s="325"/>
      <c r="H11" s="325"/>
      <c r="I11" s="326"/>
      <c r="J11" s="325"/>
      <c r="K11" s="327"/>
      <c r="AN11" s="317"/>
    </row>
    <row r="12" spans="1:51">
      <c r="C12" s="293" t="s">
        <v>84</v>
      </c>
      <c r="D12" s="324" t="s">
        <v>95</v>
      </c>
      <c r="E12" s="325"/>
      <c r="F12" s="325"/>
      <c r="G12" s="325"/>
      <c r="H12" s="325"/>
      <c r="I12" s="326"/>
      <c r="J12" s="325"/>
      <c r="K12" s="327"/>
      <c r="AN12" s="317"/>
    </row>
    <row r="13" spans="1:51">
      <c r="C13" s="293" t="s">
        <v>72</v>
      </c>
      <c r="D13" s="324" t="s">
        <v>96</v>
      </c>
      <c r="E13" s="325"/>
      <c r="F13" s="325"/>
      <c r="G13" s="325"/>
      <c r="H13" s="325"/>
      <c r="I13" s="326"/>
      <c r="J13" s="325"/>
      <c r="K13" s="327"/>
      <c r="AN13" s="317"/>
    </row>
    <row r="14" spans="1:51">
      <c r="C14" s="293" t="s">
        <v>69</v>
      </c>
      <c r="D14" s="324" t="s">
        <v>97</v>
      </c>
      <c r="E14" s="325"/>
      <c r="F14" s="325"/>
      <c r="G14" s="325"/>
      <c r="H14" s="325"/>
      <c r="I14" s="326"/>
      <c r="J14" s="325"/>
      <c r="K14" s="327"/>
      <c r="AN14" s="317"/>
    </row>
    <row r="15" spans="1:51">
      <c r="C15" s="293" t="s">
        <v>90</v>
      </c>
      <c r="D15" s="324" t="s">
        <v>98</v>
      </c>
      <c r="E15" s="325"/>
      <c r="F15" s="325"/>
      <c r="G15" s="325"/>
      <c r="H15" s="325"/>
      <c r="I15" s="326"/>
      <c r="J15" s="325"/>
      <c r="K15" s="327"/>
      <c r="AN15" s="317"/>
    </row>
    <row r="16" spans="1:51">
      <c r="C16" s="293" t="s">
        <v>68</v>
      </c>
      <c r="D16" s="324" t="s">
        <v>99</v>
      </c>
      <c r="E16" s="325"/>
      <c r="F16" s="325"/>
      <c r="G16" s="325"/>
      <c r="H16" s="325"/>
      <c r="I16" s="326"/>
      <c r="J16" s="325"/>
      <c r="K16" s="327"/>
      <c r="AN16" s="317"/>
    </row>
    <row r="17" spans="3:40">
      <c r="C17" s="293" t="s">
        <v>33</v>
      </c>
      <c r="D17" s="324" t="s">
        <v>73</v>
      </c>
      <c r="E17" s="325"/>
      <c r="F17" s="325"/>
      <c r="G17" s="325"/>
      <c r="H17" s="325"/>
      <c r="I17" s="326"/>
      <c r="J17" s="325"/>
      <c r="K17" s="327"/>
      <c r="AN17" s="317"/>
    </row>
    <row r="18" spans="3:40">
      <c r="C18" s="293" t="s">
        <v>71</v>
      </c>
      <c r="D18" s="324" t="s">
        <v>74</v>
      </c>
      <c r="E18" s="325"/>
      <c r="F18" s="325"/>
      <c r="G18" s="325"/>
      <c r="H18" s="325"/>
      <c r="I18" s="326"/>
      <c r="J18" s="325"/>
      <c r="K18" s="327"/>
      <c r="AN18" s="317"/>
    </row>
    <row r="19" spans="3:40" ht="22.5" customHeight="1">
      <c r="C19" s="293" t="s">
        <v>75</v>
      </c>
      <c r="D19" s="324" t="s">
        <v>76</v>
      </c>
      <c r="E19" s="325"/>
      <c r="F19" s="325"/>
      <c r="G19" s="325"/>
      <c r="H19" s="325"/>
      <c r="I19" s="326"/>
      <c r="J19" s="325"/>
      <c r="K19" s="327"/>
      <c r="AN19" s="317"/>
    </row>
    <row r="20" spans="3:40" ht="22.5" customHeight="1">
      <c r="C20" s="293" t="s">
        <v>77</v>
      </c>
      <c r="D20" s="324" t="s">
        <v>78</v>
      </c>
      <c r="E20" s="325"/>
      <c r="F20" s="325"/>
      <c r="G20" s="325"/>
      <c r="H20" s="325"/>
      <c r="I20" s="326"/>
      <c r="J20" s="325"/>
      <c r="K20" s="327"/>
      <c r="AN20" s="317"/>
    </row>
    <row r="21" spans="3:40" ht="22.5" customHeight="1">
      <c r="C21" s="293" t="s">
        <v>34</v>
      </c>
      <c r="D21" s="324" t="s">
        <v>100</v>
      </c>
      <c r="E21" s="325"/>
      <c r="F21" s="325"/>
      <c r="G21" s="325"/>
      <c r="H21" s="325"/>
      <c r="I21" s="326"/>
      <c r="J21" s="325"/>
      <c r="K21" s="327"/>
      <c r="AN21" s="317"/>
    </row>
    <row r="22" spans="3:40" ht="22.5" customHeight="1">
      <c r="C22" s="293" t="s">
        <v>35</v>
      </c>
      <c r="D22" s="324" t="s">
        <v>101</v>
      </c>
      <c r="E22" s="325"/>
      <c r="F22" s="325"/>
      <c r="G22" s="325"/>
      <c r="H22" s="325"/>
      <c r="I22" s="326"/>
      <c r="J22" s="325"/>
      <c r="K22" s="327"/>
      <c r="AN22" s="317"/>
    </row>
    <row r="23" spans="3:40">
      <c r="AN23" s="317"/>
    </row>
    <row r="24" spans="3:40">
      <c r="C24" s="294"/>
      <c r="H24" s="328"/>
      <c r="I24" s="329"/>
      <c r="AN24" s="317"/>
    </row>
    <row r="25" spans="3:40" ht="18" customHeight="1">
      <c r="H25" s="328"/>
      <c r="I25" s="329"/>
      <c r="AN25" s="317"/>
    </row>
    <row r="26" spans="3:40" ht="17.25" customHeight="1">
      <c r="H26" s="328"/>
      <c r="I26" s="329"/>
      <c r="AN26" s="317"/>
    </row>
    <row r="27" spans="3:40" ht="38.25" customHeight="1">
      <c r="H27" s="328"/>
      <c r="I27" s="329"/>
      <c r="AN27" s="317"/>
    </row>
    <row r="28" spans="3:40">
      <c r="H28" s="328"/>
      <c r="I28" s="329"/>
      <c r="AN28" s="317"/>
    </row>
    <row r="29" spans="3:40">
      <c r="H29" s="328"/>
      <c r="I29" s="329"/>
      <c r="AN29" s="317"/>
    </row>
    <row r="30" spans="3:40">
      <c r="H30" s="330"/>
      <c r="I30" s="329"/>
      <c r="AN30" s="317"/>
    </row>
    <row r="31" spans="3:40">
      <c r="H31" s="331"/>
      <c r="I31" s="329"/>
      <c r="AN31" s="317"/>
    </row>
    <row r="32" spans="3:40">
      <c r="H32" s="331"/>
      <c r="I32" s="329"/>
      <c r="AN32" s="317"/>
    </row>
    <row r="33" spans="40:40">
      <c r="AN33" s="317"/>
    </row>
    <row r="34" spans="40:40">
      <c r="AN34" s="317"/>
    </row>
    <row r="35" spans="40:40">
      <c r="AN35" s="317"/>
    </row>
    <row r="36" spans="40:40">
      <c r="AN36" s="317"/>
    </row>
  </sheetData>
  <autoFilter ref="A3:AY5" xr:uid="{00000000-0009-0000-0000-00000D000000}"/>
  <mergeCells count="21">
    <mergeCell ref="AO1:AO3"/>
    <mergeCell ref="AP1:AP3"/>
    <mergeCell ref="AS1:AS3"/>
    <mergeCell ref="AT1:AT3"/>
    <mergeCell ref="J1:L1"/>
    <mergeCell ref="M1:AN1"/>
    <mergeCell ref="D1:D2"/>
    <mergeCell ref="C1:C2"/>
    <mergeCell ref="B1:B2"/>
    <mergeCell ref="I1:I3"/>
    <mergeCell ref="E1:E2"/>
    <mergeCell ref="F1:F2"/>
    <mergeCell ref="G1:G2"/>
    <mergeCell ref="H1:H2"/>
    <mergeCell ref="AY1:AY2"/>
    <mergeCell ref="AQ1:AQ3"/>
    <mergeCell ref="AR1:AR3"/>
    <mergeCell ref="AU1:AU3"/>
    <mergeCell ref="AV1:AV3"/>
    <mergeCell ref="AW1:AW3"/>
    <mergeCell ref="AX1:AX3"/>
  </mergeCells>
  <phoneticPr fontId="306" type="noConversion"/>
  <conditionalFormatting sqref="C4:C1048576">
    <cfRule type="duplicateValues" dxfId="419" priority="249585"/>
    <cfRule type="duplicateValues" dxfId="418" priority="1327277"/>
    <cfRule type="duplicateValues" dxfId="417" priority="1327278"/>
  </conditionalFormatting>
  <conditionalFormatting sqref="C4:C1048576">
    <cfRule type="duplicateValues" dxfId="416" priority="19666"/>
    <cfRule type="duplicateValues" dxfId="415" priority="1327285"/>
  </conditionalFormatting>
  <conditionalFormatting sqref="C23:C1048576 C4:C6">
    <cfRule type="duplicateValues" dxfId="414" priority="575566"/>
    <cfRule type="duplicateValues" dxfId="413" priority="575574"/>
    <cfRule type="duplicateValues" dxfId="412" priority="575588"/>
    <cfRule type="duplicateValues" dxfId="411" priority="575598"/>
  </conditionalFormatting>
  <conditionalFormatting sqref="C23:C1048576 C4:C6">
    <cfRule type="duplicateValues" dxfId="410" priority="575581"/>
  </conditionalFormatting>
  <conditionalFormatting sqref="C24">
    <cfRule type="duplicateValues" dxfId="409" priority="49117"/>
    <cfRule type="duplicateValues" dxfId="408" priority="49118"/>
  </conditionalFormatting>
  <conditionalFormatting sqref="C37:C1048576 C23 C4:C6">
    <cfRule type="duplicateValues" dxfId="407" priority="575608"/>
  </conditionalFormatting>
  <conditionalFormatting sqref="C37:C1048576">
    <cfRule type="duplicateValues" dxfId="406" priority="575606"/>
  </conditionalFormatting>
  <conditionalFormatting sqref="D7:D22">
    <cfRule type="duplicateValues" dxfId="405" priority="1327702"/>
    <cfRule type="duplicateValues" dxfId="404" priority="1327703"/>
    <cfRule type="duplicateValues" dxfId="403" priority="1327704" stopIfTrue="1"/>
    <cfRule type="duplicateValues" dxfId="402" priority="1327705" stopIfTrue="1"/>
    <cfRule type="duplicateValues" dxfId="401" priority="1327706"/>
    <cfRule type="duplicateValues" dxfId="400" priority="1327707" stopIfTrue="1"/>
    <cfRule type="duplicateValues" dxfId="399" priority="1327708" stopIfTrue="1"/>
    <cfRule type="expression" dxfId="398" priority="1327709" stopIfTrue="1">
      <formula>AND(COUNTIF(#REF!, D7)+COUNTIF($B$1:$B$5, D7)&gt;1,NOT(ISBLANK(D7)))</formula>
    </cfRule>
  </conditionalFormatting>
  <conditionalFormatting sqref="E7">
    <cfRule type="duplicateValues" dxfId="397" priority="44895"/>
    <cfRule type="duplicateValues" dxfId="396" priority="44902"/>
    <cfRule type="duplicateValues" dxfId="395" priority="44903"/>
  </conditionalFormatting>
  <conditionalFormatting sqref="J4:K5 N4:O5">
    <cfRule type="expression" dxfId="394" priority="1830">
      <formula>J4="CC"</formula>
    </cfRule>
    <cfRule type="expression" dxfId="393" priority="1831">
      <formula>J4="ML"</formula>
    </cfRule>
    <cfRule type="expression" dxfId="392" priority="1832">
      <formula>J4="SL1"</formula>
    </cfRule>
    <cfRule type="expression" dxfId="391" priority="1833">
      <formula>J4="UP"</formula>
    </cfRule>
  </conditionalFormatting>
  <conditionalFormatting sqref="J4:K5 Q4:S4 Q5 S5">
    <cfRule type="expression" dxfId="390" priority="1826">
      <formula>J4="1/2AL"</formula>
    </cfRule>
  </conditionalFormatting>
  <conditionalFormatting sqref="J4:K5">
    <cfRule type="expression" dxfId="389" priority="1808">
      <formula>XDV1047249="1/2UP"</formula>
    </cfRule>
    <cfRule type="expression" dxfId="388" priority="1809">
      <formula>J4="1/2UP"</formula>
    </cfRule>
    <cfRule type="expression" dxfId="387" priority="1810">
      <formula>J4="CL"</formula>
    </cfRule>
    <cfRule type="expression" dxfId="386" priority="1812">
      <formula>J4="CC"</formula>
    </cfRule>
    <cfRule type="expression" dxfId="385" priority="1813">
      <formula>J4="ML"</formula>
    </cfRule>
    <cfRule type="expression" dxfId="384" priority="1814">
      <formula>J4="SL1"</formula>
    </cfRule>
    <cfRule type="expression" dxfId="383" priority="1815">
      <formula>J4="FP"</formula>
    </cfRule>
    <cfRule type="expression" dxfId="382" priority="1816">
      <formula>J4="UP"</formula>
    </cfRule>
    <cfRule type="expression" dxfId="381" priority="1817">
      <formula>J4="1/2AL"</formula>
    </cfRule>
    <cfRule type="expression" dxfId="380" priority="1818">
      <formula>J4="AL"</formula>
    </cfRule>
    <cfRule type="expression" dxfId="379" priority="1819">
      <formula>J4="OFF"</formula>
    </cfRule>
    <cfRule type="expression" dxfId="378" priority="1820">
      <formula>XDV1047211="LS"</formula>
    </cfRule>
    <cfRule type="expression" dxfId="377" priority="1821">
      <formula>XDV1047211="1/2CL"</formula>
    </cfRule>
    <cfRule type="expression" dxfId="376" priority="1822">
      <formula>XDV1047211="1/2UP"</formula>
    </cfRule>
    <cfRule type="expression" dxfId="375" priority="1823">
      <formula>#REF!="1/2UP"</formula>
    </cfRule>
    <cfRule type="expression" dxfId="374" priority="1824">
      <formula>#REF!="LS"</formula>
    </cfRule>
    <cfRule type="expression" dxfId="373" priority="1825">
      <formula>#REF!="1/2CL"</formula>
    </cfRule>
  </conditionalFormatting>
  <conditionalFormatting sqref="J4:L5 N4:O5">
    <cfRule type="expression" dxfId="372" priority="1829">
      <formula>J4="FP"</formula>
    </cfRule>
  </conditionalFormatting>
  <conditionalFormatting sqref="J4:L5 Q4:S4 Q5 S5">
    <cfRule type="expression" dxfId="371" priority="1827">
      <formula>J4="AL"</formula>
    </cfRule>
  </conditionalFormatting>
  <conditionalFormatting sqref="J4:L5">
    <cfRule type="expression" dxfId="370" priority="1811">
      <formula>J4="NOT"</formula>
    </cfRule>
  </conditionalFormatting>
  <conditionalFormatting sqref="L4:L5">
    <cfRule type="expression" dxfId="369" priority="1807">
      <formula>XDX1047217="LS"</formula>
    </cfRule>
    <cfRule type="expression" dxfId="368" priority="1880">
      <formula>L4="CL"</formula>
    </cfRule>
  </conditionalFormatting>
  <conditionalFormatting sqref="L4:M5">
    <cfRule type="expression" dxfId="367" priority="1736">
      <formula>XDX1047217="1/2CL"</formula>
    </cfRule>
    <cfRule type="expression" dxfId="366" priority="1738">
      <formula>XDX1047217="1/2UP"</formula>
    </cfRule>
  </conditionalFormatting>
  <conditionalFormatting sqref="M4:M5">
    <cfRule type="expression" dxfId="365" priority="1725">
      <formula>M4="NOT"</formula>
    </cfRule>
    <cfRule type="expression" dxfId="364" priority="1726">
      <formula>M4="CL"</formula>
    </cfRule>
    <cfRule type="expression" dxfId="363" priority="1727">
      <formula>M4="FP"</formula>
    </cfRule>
    <cfRule type="expression" dxfId="362" priority="1728">
      <formula>M4="CC"</formula>
    </cfRule>
    <cfRule type="expression" dxfId="361" priority="1729">
      <formula>M4="ML"</formula>
    </cfRule>
    <cfRule type="expression" dxfId="360" priority="1730">
      <formula>M4="SL1"</formula>
    </cfRule>
    <cfRule type="expression" dxfId="359" priority="1731">
      <formula>M4="UP"</formula>
    </cfRule>
    <cfRule type="expression" dxfId="358" priority="1732">
      <formula>M4="1/2AL"</formula>
    </cfRule>
    <cfRule type="expression" dxfId="357" priority="1733">
      <formula>M4="AL"</formula>
    </cfRule>
    <cfRule type="expression" dxfId="356" priority="1734">
      <formula>M4="OFF"</formula>
    </cfRule>
    <cfRule type="expression" dxfId="355" priority="1735">
      <formula>XDY1047217="LS"</formula>
    </cfRule>
    <cfRule type="expression" dxfId="354" priority="1737">
      <formula>M4="1/2UP"</formula>
    </cfRule>
  </conditionalFormatting>
  <conditionalFormatting sqref="N4">
    <cfRule type="expression" dxfId="353" priority="137">
      <formula>XDZ1047269="LS"</formula>
    </cfRule>
    <cfRule type="expression" dxfId="352" priority="138">
      <formula>XDZ1047269="1/2CL"</formula>
    </cfRule>
    <cfRule type="expression" dxfId="351" priority="139">
      <formula>XDZ1047269="1/2UP"</formula>
    </cfRule>
  </conditionalFormatting>
  <conditionalFormatting sqref="N4:N5">
    <cfRule type="expression" dxfId="350" priority="1846">
      <formula>#REF!="1/2UP"</formula>
    </cfRule>
    <cfRule type="expression" dxfId="349" priority="1849">
      <formula>XDZ1047211="LS"</formula>
    </cfRule>
    <cfRule type="expression" dxfId="348" priority="1850">
      <formula>XDZ1047211="1/2CL"</formula>
    </cfRule>
    <cfRule type="expression" dxfId="347" priority="1851">
      <formula>XDZ1047211="1/2UP"</formula>
    </cfRule>
    <cfRule type="expression" dxfId="346" priority="1852">
      <formula>#REF!="LS"</formula>
    </cfRule>
    <cfRule type="expression" dxfId="345" priority="1853">
      <formula>#REF!="1/2CL"</formula>
    </cfRule>
  </conditionalFormatting>
  <conditionalFormatting sqref="N4:O4">
    <cfRule type="expression" dxfId="344" priority="121">
      <formula>N4="FP"</formula>
    </cfRule>
    <cfRule type="expression" dxfId="343" priority="122">
      <formula>N4="CC"</formula>
    </cfRule>
    <cfRule type="expression" dxfId="342" priority="123">
      <formula>N4="ML"</formula>
    </cfRule>
    <cfRule type="expression" dxfId="341" priority="124">
      <formula>N4="SL1"</formula>
    </cfRule>
    <cfRule type="expression" dxfId="340" priority="125">
      <formula>N4="UP"</formula>
    </cfRule>
    <cfRule type="expression" dxfId="339" priority="126">
      <formula>N4="OFF"</formula>
    </cfRule>
    <cfRule type="expression" dxfId="338" priority="127">
      <formula>N4="1/2AL"</formula>
    </cfRule>
    <cfRule type="expression" dxfId="337" priority="128">
      <formula>N4="AL"</formula>
    </cfRule>
  </conditionalFormatting>
  <conditionalFormatting sqref="N4:O5">
    <cfRule type="expression" dxfId="336" priority="1800">
      <formula>N4="1/2AL"</formula>
    </cfRule>
    <cfRule type="expression" dxfId="335" priority="1801">
      <formula>N4="AL"</formula>
    </cfRule>
    <cfRule type="expression" dxfId="334" priority="1802">
      <formula>N4="OFF"</formula>
    </cfRule>
  </conditionalFormatting>
  <conditionalFormatting sqref="N4:Y4 N5:Q5 S5:Y5">
    <cfRule type="expression" dxfId="333" priority="1837">
      <formula>N4="NOT"</formula>
    </cfRule>
    <cfRule type="expression" dxfId="332" priority="2811">
      <formula>XDZ1047249="1/2UP"</formula>
    </cfRule>
    <cfRule type="expression" dxfId="331" priority="2812">
      <formula>N4="1/2UP"</formula>
    </cfRule>
  </conditionalFormatting>
  <conditionalFormatting sqref="N4:Y4 N5:Q5 S5:Y5 J4:K5">
    <cfRule type="expression" dxfId="330" priority="9421">
      <formula>XDV1047249="LS"</formula>
    </cfRule>
    <cfRule type="expression" dxfId="329" priority="9422">
      <formula>XDV1047249="1/2CL"</formula>
    </cfRule>
  </conditionalFormatting>
  <conditionalFormatting sqref="N4:Y4 N5:Q5 S5:Y5">
    <cfRule type="expression" dxfId="328" priority="1841">
      <formula>N4="FP"</formula>
    </cfRule>
    <cfRule type="expression" dxfId="327" priority="2813">
      <formula>N4="CL"</formula>
    </cfRule>
    <cfRule type="expression" dxfId="326" priority="2815">
      <formula>N4="CC"</formula>
    </cfRule>
    <cfRule type="expression" dxfId="325" priority="2816">
      <formula>N4="ML"</formula>
    </cfRule>
    <cfRule type="expression" dxfId="324" priority="2817">
      <formula>N4="SL1"</formula>
    </cfRule>
    <cfRule type="expression" dxfId="323" priority="2819">
      <formula>N4="UP"</formula>
    </cfRule>
    <cfRule type="expression" dxfId="322" priority="2820">
      <formula>N4="1/2AL"</formula>
    </cfRule>
    <cfRule type="expression" dxfId="321" priority="2821">
      <formula>N4="AL"</formula>
    </cfRule>
    <cfRule type="expression" dxfId="320" priority="2822">
      <formula>N4="OFF"</formula>
    </cfRule>
  </conditionalFormatting>
  <conditionalFormatting sqref="O4:O5">
    <cfRule type="expression" dxfId="319" priority="1799">
      <formula>O4="1/2UP"</formula>
    </cfRule>
    <cfRule type="expression" dxfId="318" priority="1803">
      <formula>O4="CL"</formula>
    </cfRule>
    <cfRule type="expression" dxfId="317" priority="1804">
      <formula>O4="NOT"</formula>
    </cfRule>
  </conditionalFormatting>
  <conditionalFormatting sqref="O4:P5">
    <cfRule type="expression" dxfId="316" priority="9738">
      <formula>XEA1047269="LS"</formula>
    </cfRule>
    <cfRule type="expression" dxfId="315" priority="9739">
      <formula>XEA1047269="1/2CL"</formula>
    </cfRule>
    <cfRule type="expression" dxfId="314" priority="9740">
      <formula>XEA1047269="1/2UP"</formula>
    </cfRule>
  </conditionalFormatting>
  <conditionalFormatting sqref="P4:P5">
    <cfRule type="expression" dxfId="313" priority="1796">
      <formula>P4="OFF"</formula>
    </cfRule>
    <cfRule type="expression" dxfId="312" priority="1797">
      <formula>P4="1/2AL"</formula>
    </cfRule>
    <cfRule type="expression" dxfId="311" priority="1798">
      <formula>P4="AL"</formula>
    </cfRule>
  </conditionalFormatting>
  <conditionalFormatting sqref="P4:S4 P5:Q5 S5">
    <cfRule type="expression" dxfId="310" priority="1791">
      <formula>P4="FP"</formula>
    </cfRule>
    <cfRule type="expression" dxfId="309" priority="1792">
      <formula>P4="CC"</formula>
    </cfRule>
    <cfRule type="expression" dxfId="308" priority="1793">
      <formula>P4="ML"</formula>
    </cfRule>
    <cfRule type="expression" dxfId="307" priority="1794">
      <formula>P4="SL1"</formula>
    </cfRule>
    <cfRule type="expression" dxfId="306" priority="1795">
      <formula>P4="UP"</formula>
    </cfRule>
  </conditionalFormatting>
  <conditionalFormatting sqref="Q4:S4 J4:K5 Q5 S5">
    <cfRule type="expression" dxfId="305" priority="1828">
      <formula>J4="OFF"</formula>
    </cfRule>
  </conditionalFormatting>
  <conditionalFormatting sqref="Q4:S4 Q5 S5">
    <cfRule type="expression" dxfId="304" priority="1788">
      <formula>#REF!="LS"</formula>
    </cfRule>
    <cfRule type="expression" dxfId="303" priority="1789">
      <formula>#REF!="1/2CL"</formula>
    </cfRule>
    <cfRule type="expression" dxfId="302" priority="1790">
      <formula>#REF!="1/2UP"</formula>
    </cfRule>
  </conditionalFormatting>
  <conditionalFormatting sqref="Q4:T4 Q5 S5:T5">
    <cfRule type="expression" dxfId="301" priority="1787">
      <formula>XEC1047211="1/2UP"</formula>
    </cfRule>
  </conditionalFormatting>
  <conditionalFormatting sqref="Q4:T4 S5:T5 Q5">
    <cfRule type="expression" dxfId="300" priority="1785">
      <formula>XEC1047211="LS"</formula>
    </cfRule>
    <cfRule type="expression" dxfId="299" priority="1786">
      <formula>XEC1047211="1/2CL"</formula>
    </cfRule>
  </conditionalFormatting>
  <conditionalFormatting sqref="R5">
    <cfRule type="expression" dxfId="298" priority="46">
      <formula>R5="FP"</formula>
    </cfRule>
    <cfRule type="expression" dxfId="297" priority="47">
      <formula>R5="CC"</formula>
    </cfRule>
    <cfRule type="expression" dxfId="296" priority="48">
      <formula>R5="ML"</formula>
    </cfRule>
    <cfRule type="expression" dxfId="295" priority="49">
      <formula>R5="SL1"</formula>
    </cfRule>
    <cfRule type="expression" dxfId="294" priority="50">
      <formula>R5="UP"</formula>
    </cfRule>
    <cfRule type="expression" dxfId="293" priority="51">
      <formula>R5="OFF"</formula>
    </cfRule>
    <cfRule type="expression" dxfId="292" priority="52">
      <formula>R5="1/2AL"</formula>
    </cfRule>
    <cfRule type="expression" dxfId="291" priority="53">
      <formula>R5="AL"</formula>
    </cfRule>
    <cfRule type="expression" dxfId="290" priority="54">
      <formula>R5="NOT"</formula>
    </cfRule>
    <cfRule type="expression" dxfId="289" priority="55">
      <formula>R5="FP"</formula>
    </cfRule>
    <cfRule type="expression" dxfId="288" priority="56">
      <formula>XED1047250="1/2UP"</formula>
    </cfRule>
    <cfRule type="expression" dxfId="287" priority="57">
      <formula>R5="1/2UP"</formula>
    </cfRule>
    <cfRule type="expression" dxfId="286" priority="58">
      <formula>R5="CL"</formula>
    </cfRule>
    <cfRule type="expression" dxfId="285" priority="59">
      <formula>R5="CC"</formula>
    </cfRule>
    <cfRule type="expression" dxfId="284" priority="60">
      <formula>R5="ML"</formula>
    </cfRule>
    <cfRule type="expression" dxfId="283" priority="61">
      <formula>R5="SL1"</formula>
    </cfRule>
    <cfRule type="expression" dxfId="282" priority="62">
      <formula>R5="UP"</formula>
    </cfRule>
    <cfRule type="expression" dxfId="281" priority="63">
      <formula>R5="1/2AL"</formula>
    </cfRule>
    <cfRule type="expression" dxfId="280" priority="64">
      <formula>R5="AL"</formula>
    </cfRule>
    <cfRule type="expression" dxfId="279" priority="65">
      <formula>R5="OFF"</formula>
    </cfRule>
    <cfRule type="expression" dxfId="278" priority="66">
      <formula>XED1047250="LS"</formula>
    </cfRule>
    <cfRule type="expression" dxfId="277" priority="67">
      <formula>XED1047250="1/2CL"</formula>
    </cfRule>
    <cfRule type="expression" dxfId="276" priority="68">
      <formula>XED1047270="LS"</formula>
    </cfRule>
    <cfRule type="expression" dxfId="275" priority="69">
      <formula>XED1047270="1/2CL"</formula>
    </cfRule>
    <cfRule type="expression" dxfId="274" priority="70">
      <formula>XED1047270="1/2UP"</formula>
    </cfRule>
  </conditionalFormatting>
  <conditionalFormatting sqref="T4:T5">
    <cfRule type="expression" dxfId="273" priority="1770">
      <formula>XEF1047199="1/2UP"</formula>
    </cfRule>
    <cfRule type="expression" dxfId="272" priority="1771">
      <formula>XEF1047199="LS"</formula>
    </cfRule>
    <cfRule type="expression" dxfId="271" priority="1772">
      <formula>XEF1047199="1/2CL"</formula>
    </cfRule>
    <cfRule type="expression" dxfId="270" priority="1773">
      <formula>T4="FP"</formula>
    </cfRule>
    <cfRule type="expression" dxfId="269" priority="1774">
      <formula>T4="CC"</formula>
    </cfRule>
    <cfRule type="expression" dxfId="268" priority="1775">
      <formula>T4="ML"</formula>
    </cfRule>
    <cfRule type="expression" dxfId="267" priority="1776">
      <formula>T4="SL1"</formula>
    </cfRule>
    <cfRule type="expression" dxfId="266" priority="1777">
      <formula>T4="UP"</formula>
    </cfRule>
    <cfRule type="expression" dxfId="265" priority="1778">
      <formula>T4="1/2AL"</formula>
    </cfRule>
    <cfRule type="expression" dxfId="264" priority="1779">
      <formula>T4="AL"</formula>
    </cfRule>
    <cfRule type="expression" dxfId="263" priority="1780">
      <formula>T4="OFF"</formula>
    </cfRule>
  </conditionalFormatting>
  <conditionalFormatting sqref="V5">
    <cfRule type="expression" dxfId="262" priority="16">
      <formula>V5="CL"</formula>
    </cfRule>
  </conditionalFormatting>
  <conditionalFormatting sqref="W4:X5">
    <cfRule type="expression" dxfId="261" priority="1769">
      <formula>W4="CL"</formula>
    </cfRule>
  </conditionalFormatting>
  <conditionalFormatting sqref="Z4:Z5">
    <cfRule type="expression" dxfId="260" priority="1865">
      <formula>Z4="CL"</formula>
    </cfRule>
  </conditionalFormatting>
  <conditionalFormatting sqref="Z4:Z5 AD4:AE4 AE5">
    <cfRule type="expression" dxfId="259" priority="1861">
      <formula>XEL1047259="LS"</formula>
    </cfRule>
    <cfRule type="expression" dxfId="258" priority="1862">
      <formula>XEL1047259="1/2CL"</formula>
    </cfRule>
  </conditionalFormatting>
  <conditionalFormatting sqref="Z4:Z5">
    <cfRule type="expression" dxfId="257" priority="1860">
      <formula>XEL1047259="1/2UP"</formula>
    </cfRule>
    <cfRule type="expression" dxfId="256" priority="1863">
      <formula>Z4="NOT"</formula>
    </cfRule>
    <cfRule type="expression" dxfId="255" priority="1864">
      <formula>Z4="FP"</formula>
    </cfRule>
  </conditionalFormatting>
  <conditionalFormatting sqref="Z4:Z5 AD4:AE4 AE5">
    <cfRule type="expression" dxfId="254" priority="1866">
      <formula>Z4="CC"</formula>
    </cfRule>
    <cfRule type="expression" dxfId="253" priority="1867">
      <formula>Z4="ML"</formula>
    </cfRule>
    <cfRule type="expression" dxfId="252" priority="1868">
      <formula>Z4="SL1"</formula>
    </cfRule>
  </conditionalFormatting>
  <conditionalFormatting sqref="AA4:AB5">
    <cfRule type="expression" dxfId="251" priority="1327376">
      <formula>XEM1047253="LS"</formula>
    </cfRule>
    <cfRule type="expression" dxfId="250" priority="1327377">
      <formula>XEM1047253="1/2CL"</formula>
    </cfRule>
    <cfRule type="expression" dxfId="249" priority="1327378">
      <formula>AA4="1/2UP"</formula>
    </cfRule>
    <cfRule type="expression" dxfId="248" priority="1327379">
      <formula>XEN1047257="1/2UP"</formula>
    </cfRule>
    <cfRule type="expression" dxfId="247" priority="1327380">
      <formula>XEN1047257="LS"</formula>
    </cfRule>
    <cfRule type="expression" dxfId="246" priority="1327381">
      <formula>XEN1047257="1/2CL"</formula>
    </cfRule>
    <cfRule type="expression" dxfId="245" priority="1327382">
      <formula>XEM1047253="1/2UP"</formula>
    </cfRule>
  </conditionalFormatting>
  <conditionalFormatting sqref="AA4:AB5">
    <cfRule type="expression" dxfId="244" priority="1741">
      <formula>AA4="NOT"</formula>
    </cfRule>
    <cfRule type="expression" dxfId="243" priority="1742">
      <formula>AA4="FP"</formula>
    </cfRule>
  </conditionalFormatting>
  <conditionalFormatting sqref="AA4:AB5">
    <cfRule type="expression" dxfId="242" priority="1327368">
      <formula>AA4="CL"</formula>
    </cfRule>
    <cfRule type="expression" dxfId="241" priority="1327369">
      <formula>AA4="CC"</formula>
    </cfRule>
    <cfRule type="expression" dxfId="240" priority="1327370">
      <formula>AA4="ML"</formula>
    </cfRule>
    <cfRule type="expression" dxfId="239" priority="1327371">
      <formula>AA4="SL1"</formula>
    </cfRule>
    <cfRule type="expression" dxfId="238" priority="1327372">
      <formula>AA4="UP"</formula>
    </cfRule>
    <cfRule type="expression" dxfId="237" priority="1327373">
      <formula>AA4="1/2AL"</formula>
    </cfRule>
    <cfRule type="expression" dxfId="236" priority="1327374">
      <formula>AA4="AL"</formula>
    </cfRule>
    <cfRule type="expression" dxfId="235" priority="1327375">
      <formula>AA4="OFF"</formula>
    </cfRule>
  </conditionalFormatting>
  <conditionalFormatting sqref="AC4">
    <cfRule type="expression" dxfId="234" priority="102">
      <formula>AC4="1/2AL"</formula>
    </cfRule>
    <cfRule type="expression" dxfId="233" priority="103">
      <formula>AC4="AL"</formula>
    </cfRule>
    <cfRule type="expression" dxfId="232" priority="106">
      <formula>XEO1047249="1/2UP"</formula>
    </cfRule>
    <cfRule type="expression" dxfId="231" priority="107">
      <formula>AC4="1/2UP"</formula>
    </cfRule>
    <cfRule type="expression" dxfId="230" priority="109">
      <formula>AC4="CC"</formula>
    </cfRule>
    <cfRule type="expression" dxfId="229" priority="110">
      <formula>AC4="ML"</formula>
    </cfRule>
    <cfRule type="expression" dxfId="228" priority="111">
      <formula>AC4="SL1"</formula>
    </cfRule>
    <cfRule type="expression" dxfId="227" priority="112">
      <formula>AC4="UP"</formula>
    </cfRule>
    <cfRule type="expression" dxfId="226" priority="113">
      <formula>AC4="1/2AL"</formula>
    </cfRule>
    <cfRule type="expression" dxfId="225" priority="114">
      <formula>AC4="AL"</formula>
    </cfRule>
    <cfRule type="expression" dxfId="224" priority="115">
      <formula>AC4="OFF"</formula>
    </cfRule>
    <cfRule type="expression" dxfId="223" priority="116">
      <formula>XEO1047249="LS"</formula>
    </cfRule>
    <cfRule type="expression" dxfId="222" priority="117">
      <formula>XEO1047249="1/2CL"</formula>
    </cfRule>
    <cfRule type="expression" dxfId="221" priority="118">
      <formula>XEO1047269="LS"</formula>
    </cfRule>
    <cfRule type="expression" dxfId="220" priority="119">
      <formula>XEO1047269="1/2CL"</formula>
    </cfRule>
    <cfRule type="expression" dxfId="219" priority="120">
      <formula>XEO1047269="1/2UP"</formula>
    </cfRule>
  </conditionalFormatting>
  <conditionalFormatting sqref="AC4:AC5">
    <cfRule type="expression" dxfId="218" priority="33">
      <formula>AC4="FP"</formula>
    </cfRule>
    <cfRule type="expression" dxfId="217" priority="37">
      <formula>AC4="CC"</formula>
    </cfRule>
    <cfRule type="expression" dxfId="216" priority="38">
      <formula>AC4="ML"</formula>
    </cfRule>
    <cfRule type="expression" dxfId="215" priority="39">
      <formula>AC4="SL1"</formula>
    </cfRule>
    <cfRule type="expression" dxfId="214" priority="40">
      <formula>AC4="UP"</formula>
    </cfRule>
    <cfRule type="expression" dxfId="213" priority="43">
      <formula>AC4="OFF"</formula>
    </cfRule>
  </conditionalFormatting>
  <conditionalFormatting sqref="AC5">
    <cfRule type="expression" dxfId="212" priority="31">
      <formula>AC5="CL"</formula>
    </cfRule>
    <cfRule type="expression" dxfId="211" priority="32">
      <formula>AC5="NOT"</formula>
    </cfRule>
    <cfRule type="expression" dxfId="210" priority="34">
      <formula>XEO1047250="1/2UP"</formula>
    </cfRule>
    <cfRule type="expression" dxfId="209" priority="35">
      <formula>AC5="1/2UP"</formula>
    </cfRule>
    <cfRule type="expression" dxfId="208" priority="36">
      <formula>AC5="CL"</formula>
    </cfRule>
    <cfRule type="expression" dxfId="207" priority="41">
      <formula>AC5="1/2AL"</formula>
    </cfRule>
    <cfRule type="expression" dxfId="206" priority="42">
      <formula>AC5="AL"</formula>
    </cfRule>
    <cfRule type="expression" dxfId="205" priority="44">
      <formula>XEO1047250="LS"</formula>
    </cfRule>
    <cfRule type="expression" dxfId="204" priority="45">
      <formula>XEO1047250="1/2CL"</formula>
    </cfRule>
  </conditionalFormatting>
  <conditionalFormatting sqref="AC4:AE4">
    <cfRule type="expression" dxfId="203" priority="104">
      <formula>AC4="NOT"</formula>
    </cfRule>
    <cfRule type="expression" dxfId="202" priority="105">
      <formula>AC4="FP"</formula>
    </cfRule>
    <cfRule type="expression" dxfId="201" priority="108">
      <formula>AC4="CL"</formula>
    </cfRule>
  </conditionalFormatting>
  <conditionalFormatting sqref="AD5">
    <cfRule type="expression" dxfId="200" priority="71">
      <formula>AD5="FP"</formula>
    </cfRule>
    <cfRule type="expression" dxfId="199" priority="72">
      <formula>AD5="CC"</formula>
    </cfRule>
    <cfRule type="expression" dxfId="198" priority="73">
      <formula>AD5="ML"</formula>
    </cfRule>
    <cfRule type="expression" dxfId="197" priority="74">
      <formula>AD5="SL1"</formula>
    </cfRule>
    <cfRule type="expression" dxfId="196" priority="75">
      <formula>AD5="UP"</formula>
    </cfRule>
    <cfRule type="expression" dxfId="195" priority="76">
      <formula>AD5="OFF"</formula>
    </cfRule>
    <cfRule type="expression" dxfId="194" priority="77">
      <formula>AD5="1/2AL"</formula>
    </cfRule>
    <cfRule type="expression" dxfId="193" priority="78">
      <formula>AD5="AL"</formula>
    </cfRule>
    <cfRule type="expression" dxfId="192" priority="81">
      <formula>XEP1047250="1/2UP"</formula>
    </cfRule>
    <cfRule type="expression" dxfId="191" priority="82">
      <formula>AD5="1/2UP"</formula>
    </cfRule>
    <cfRule type="expression" dxfId="190" priority="84">
      <formula>AD5="CC"</formula>
    </cfRule>
    <cfRule type="expression" dxfId="189" priority="85">
      <formula>AD5="ML"</formula>
    </cfRule>
    <cfRule type="expression" dxfId="188" priority="86">
      <formula>AD5="SL1"</formula>
    </cfRule>
    <cfRule type="expression" dxfId="187" priority="87">
      <formula>AD5="UP"</formula>
    </cfRule>
    <cfRule type="expression" dxfId="186" priority="88">
      <formula>AD5="1/2AL"</formula>
    </cfRule>
    <cfRule type="expression" dxfId="185" priority="89">
      <formula>AD5="AL"</formula>
    </cfRule>
    <cfRule type="expression" dxfId="184" priority="90">
      <formula>AD5="OFF"</formula>
    </cfRule>
    <cfRule type="expression" dxfId="183" priority="91">
      <formula>XEP1047250="LS"</formula>
    </cfRule>
    <cfRule type="expression" dxfId="182" priority="92">
      <formula>XEP1047250="1/2CL"</formula>
    </cfRule>
    <cfRule type="expression" dxfId="181" priority="93">
      <formula>XEP1047270="LS"</formula>
    </cfRule>
    <cfRule type="expression" dxfId="180" priority="94">
      <formula>XEP1047270="1/2CL"</formula>
    </cfRule>
    <cfRule type="expression" dxfId="179" priority="95">
      <formula>XEP1047270="1/2UP"</formula>
    </cfRule>
  </conditionalFormatting>
  <conditionalFormatting sqref="AD4:AE4 Z4:Z5 AE5">
    <cfRule type="expression" dxfId="178" priority="1869">
      <formula>Z4="UP"</formula>
    </cfRule>
    <cfRule type="expression" dxfId="177" priority="1870">
      <formula>Z4="1/2AL"</formula>
    </cfRule>
    <cfRule type="expression" dxfId="176" priority="1871">
      <formula>Z4="AL"</formula>
    </cfRule>
    <cfRule type="expression" dxfId="175" priority="1872">
      <formula>Z4="OFF"</formula>
    </cfRule>
  </conditionalFormatting>
  <conditionalFormatting sqref="AD4:AE4 Z4:Z5 AE5">
    <cfRule type="expression" dxfId="174" priority="1873">
      <formula>Z4="1/2UP"</formula>
    </cfRule>
  </conditionalFormatting>
  <conditionalFormatting sqref="AD4:AE4 AE5">
    <cfRule type="expression" dxfId="173" priority="1327397">
      <formula>XEP1047259="1/2UP"</formula>
    </cfRule>
  </conditionalFormatting>
  <conditionalFormatting sqref="AD5:AE5">
    <cfRule type="expression" dxfId="172" priority="79">
      <formula>AD5="NOT"</formula>
    </cfRule>
    <cfRule type="expression" dxfId="171" priority="80">
      <formula>AD5="FP"</formula>
    </cfRule>
    <cfRule type="expression" dxfId="170" priority="83">
      <formula>AD5="CL"</formula>
    </cfRule>
  </conditionalFormatting>
  <conditionalFormatting sqref="AF4:AG5">
    <cfRule type="expression" dxfId="169" priority="1876">
      <formula>AF4="UP"</formula>
    </cfRule>
    <cfRule type="expression" dxfId="168" priority="1877">
      <formula>AF4="1/2AL"</formula>
    </cfRule>
    <cfRule type="expression" dxfId="167" priority="1878">
      <formula>AF4="OFF"</formula>
    </cfRule>
    <cfRule type="expression" dxfId="166" priority="1879">
      <formula>AF4="AL"</formula>
    </cfRule>
    <cfRule type="expression" dxfId="165" priority="9784">
      <formula>B1047266="LS"</formula>
    </cfRule>
    <cfRule type="expression" dxfId="164" priority="9785">
      <formula>B1047266="1/2CL"</formula>
    </cfRule>
    <cfRule type="expression" dxfId="163" priority="9786">
      <formula>B1047266="1/2UP"</formula>
    </cfRule>
  </conditionalFormatting>
  <conditionalFormatting sqref="AF4:AI5 L4:L5">
    <cfRule type="expression" dxfId="162" priority="10400">
      <formula>L4="1/2UP"</formula>
    </cfRule>
  </conditionalFormatting>
  <conditionalFormatting sqref="AF4:AI5">
    <cfRule type="expression" dxfId="161" priority="9367">
      <formula>AF4="NOT"</formula>
    </cfRule>
    <cfRule type="expression" dxfId="160" priority="10401">
      <formula>AF4="CL"</formula>
    </cfRule>
    <cfRule type="expression" dxfId="159" priority="10422">
      <formula>AF4="FP"</formula>
    </cfRule>
  </conditionalFormatting>
  <conditionalFormatting sqref="AF4:AI5 L4:L5">
    <cfRule type="expression" dxfId="158" priority="10395">
      <formula>L4="CC"</formula>
    </cfRule>
    <cfRule type="expression" dxfId="157" priority="10396">
      <formula>L4="ML"</formula>
    </cfRule>
    <cfRule type="expression" dxfId="156" priority="10397">
      <formula>L4="SL1"</formula>
    </cfRule>
  </conditionalFormatting>
  <conditionalFormatting sqref="AH4:AI5 L4:L5">
    <cfRule type="expression" dxfId="155" priority="10410">
      <formula>L4="1/2AL"</formula>
    </cfRule>
    <cfRule type="expression" dxfId="154" priority="10411">
      <formula>L4="OFF"</formula>
    </cfRule>
  </conditionalFormatting>
  <conditionalFormatting sqref="AH4:AI5 L4:L5">
    <cfRule type="expression" dxfId="153" priority="10409">
      <formula>L4="UP"</formula>
    </cfRule>
  </conditionalFormatting>
  <conditionalFormatting sqref="AH4:AI5">
    <cfRule type="expression" dxfId="152" priority="9366">
      <formula>AH4="AL"</formula>
    </cfRule>
  </conditionalFormatting>
  <conditionalFormatting sqref="AH4:AI5">
    <cfRule type="expression" dxfId="151" priority="6618">
      <formula>D1047217="LS"</formula>
    </cfRule>
    <cfRule type="expression" dxfId="150" priority="6619">
      <formula>D1047217="1/2CL"</formula>
    </cfRule>
    <cfRule type="expression" dxfId="149" priority="6620">
      <formula>D1047217="1/2UP"</formula>
    </cfRule>
  </conditionalFormatting>
  <conditionalFormatting sqref="AJ4:AK5">
    <cfRule type="expression" dxfId="148" priority="260">
      <formula>AJ4="AL"</formula>
    </cfRule>
    <cfRule type="expression" dxfId="147" priority="262">
      <formula>AJ4="1/2UP"</formula>
    </cfRule>
    <cfRule type="expression" dxfId="146" priority="263">
      <formula>F1047259="1/2UP"</formula>
    </cfRule>
  </conditionalFormatting>
  <conditionalFormatting sqref="AJ4:AK5">
    <cfRule type="expression" dxfId="145" priority="191">
      <formula>F1047259="LS"</formula>
    </cfRule>
    <cfRule type="expression" dxfId="144" priority="192">
      <formula>F1047259="1/2CL"</formula>
    </cfRule>
    <cfRule type="expression" dxfId="143" priority="193">
      <formula>AJ4="NOT"</formula>
    </cfRule>
    <cfRule type="expression" dxfId="142" priority="194">
      <formula>AJ4="FP"</formula>
    </cfRule>
    <cfRule type="expression" dxfId="141" priority="195">
      <formula>AJ4="CL"</formula>
    </cfRule>
    <cfRule type="expression" dxfId="140" priority="196">
      <formula>AJ4="CC"</formula>
    </cfRule>
    <cfRule type="expression" dxfId="139" priority="197">
      <formula>AJ4="ML"</formula>
    </cfRule>
    <cfRule type="expression" dxfId="138" priority="198">
      <formula>AJ4="SL1"</formula>
    </cfRule>
  </conditionalFormatting>
  <conditionalFormatting sqref="AJ4:AM5">
    <cfRule type="expression" dxfId="137" priority="258">
      <formula>AJ4="UP"</formula>
    </cfRule>
    <cfRule type="expression" dxfId="136" priority="259">
      <formula>AJ4="1/2AL"</formula>
    </cfRule>
    <cfRule type="expression" dxfId="135" priority="261">
      <formula>AJ4="OFF"</formula>
    </cfRule>
  </conditionalFormatting>
  <conditionalFormatting sqref="AL4:AM4">
    <cfRule type="expression" dxfId="134" priority="448">
      <formula>H1047266="LS"</formula>
    </cfRule>
    <cfRule type="expression" dxfId="133" priority="449">
      <formula>H1047266="1/2CL"</formula>
    </cfRule>
    <cfRule type="expression" dxfId="132" priority="450">
      <formula>H1047266="1/2UP"</formula>
    </cfRule>
  </conditionalFormatting>
  <conditionalFormatting sqref="AL5:AM5">
    <cfRule type="expression" dxfId="131" priority="407">
      <formula>AL5="AL"</formula>
    </cfRule>
    <cfRule type="expression" dxfId="130" priority="412">
      <formula>AL5="NOT"</formula>
    </cfRule>
    <cfRule type="expression" dxfId="129" priority="413">
      <formula>H1047267="LS"</formula>
    </cfRule>
    <cfRule type="expression" dxfId="128" priority="414">
      <formula>H1047267="1/2CL"</formula>
    </cfRule>
    <cfRule type="expression" dxfId="127" priority="415">
      <formula>H1047267="1/2UP"</formula>
    </cfRule>
    <cfRule type="expression" dxfId="126" priority="416">
      <formula>AL5="CC"</formula>
    </cfRule>
    <cfRule type="expression" dxfId="125" priority="417">
      <formula>AL5="ML"</formula>
    </cfRule>
    <cfRule type="expression" dxfId="124" priority="418">
      <formula>AL5="SL1"</formula>
    </cfRule>
    <cfRule type="expression" dxfId="123" priority="419">
      <formula>AL5="1/2UP"</formula>
    </cfRule>
    <cfRule type="expression" dxfId="122" priority="420">
      <formula>AL5="CL"</formula>
    </cfRule>
    <cfRule type="expression" dxfId="121" priority="424">
      <formula>AL5="FP"</formula>
    </cfRule>
  </conditionalFormatting>
  <conditionalFormatting sqref="AL4:AN4">
    <cfRule type="expression" dxfId="120" priority="442">
      <formula>AL4="AL"</formula>
    </cfRule>
    <cfRule type="expression" dxfId="119" priority="447">
      <formula>AL4="NOT"</formula>
    </cfRule>
    <cfRule type="expression" dxfId="118" priority="451">
      <formula>AL4="CC"</formula>
    </cfRule>
    <cfRule type="expression" dxfId="117" priority="452">
      <formula>AL4="ML"</formula>
    </cfRule>
    <cfRule type="expression" dxfId="116" priority="453">
      <formula>AL4="SL1"</formula>
    </cfRule>
    <cfRule type="expression" dxfId="115" priority="454">
      <formula>AL4="1/2UP"</formula>
    </cfRule>
    <cfRule type="expression" dxfId="114" priority="455">
      <formula>AL4="CL"</formula>
    </cfRule>
    <cfRule type="expression" dxfId="113" priority="459">
      <formula>AL4="FP"</formula>
    </cfRule>
  </conditionalFormatting>
  <conditionalFormatting sqref="AN4">
    <cfRule type="expression" dxfId="112" priority="456">
      <formula>AN4="UP"</formula>
    </cfRule>
    <cfRule type="expression" dxfId="111" priority="457">
      <formula>AN4="1/2AL"</formula>
    </cfRule>
    <cfRule type="expression" dxfId="110" priority="458">
      <formula>AN4="OFF"</formula>
    </cfRule>
  </conditionalFormatting>
  <conditionalFormatting sqref="AN4:AN5">
    <cfRule type="expression" dxfId="109" priority="17">
      <formula>J1047217="LS"</formula>
    </cfRule>
    <cfRule type="expression" dxfId="108" priority="18">
      <formula>J1047217="1/2CL"</formula>
    </cfRule>
    <cfRule type="expression" dxfId="107" priority="19">
      <formula>J1047217="1/2UP"</formula>
    </cfRule>
  </conditionalFormatting>
  <conditionalFormatting sqref="AN5">
    <cfRule type="expression" dxfId="106" priority="20">
      <formula>AN5="AL"</formula>
    </cfRule>
    <cfRule type="expression" dxfId="105" priority="21">
      <formula>AN5="NOT"</formula>
    </cfRule>
    <cfRule type="expression" dxfId="104" priority="22">
      <formula>AN5="CC"</formula>
    </cfRule>
    <cfRule type="expression" dxfId="103" priority="23">
      <formula>AN5="ML"</formula>
    </cfRule>
    <cfRule type="expression" dxfId="102" priority="24">
      <formula>AN5="SL1"</formula>
    </cfRule>
    <cfRule type="expression" dxfId="101" priority="25">
      <formula>AN5="1/2UP"</formula>
    </cfRule>
    <cfRule type="expression" dxfId="100" priority="26">
      <formula>AN5="CL"</formula>
    </cfRule>
    <cfRule type="expression" dxfId="99" priority="27">
      <formula>AN5="UP"</formula>
    </cfRule>
    <cfRule type="expression" dxfId="98" priority="28">
      <formula>AN5="1/2AL"</formula>
    </cfRule>
    <cfRule type="expression" dxfId="97" priority="29">
      <formula>AN5="OFF"</formula>
    </cfRule>
    <cfRule type="expression" dxfId="96" priority="30">
      <formula>AN5="FP"</formula>
    </cfRule>
  </conditionalFormatting>
  <conditionalFormatting sqref="C1:C3">
    <cfRule type="duplicateValues" dxfId="95" priority="10"/>
    <cfRule type="duplicateValues" dxfId="94" priority="11"/>
  </conditionalFormatting>
  <conditionalFormatting sqref="C3 C1">
    <cfRule type="duplicateValues" dxfId="93" priority="9"/>
  </conditionalFormatting>
  <conditionalFormatting sqref="C3">
    <cfRule type="duplicateValues" dxfId="92" priority="8"/>
  </conditionalFormatting>
  <conditionalFormatting sqref="C3 C1">
    <cfRule type="duplicateValues" dxfId="91" priority="4"/>
    <cfRule type="duplicateValues" dxfId="90" priority="5"/>
    <cfRule type="duplicateValues" dxfId="89" priority="6"/>
    <cfRule type="duplicateValues" dxfId="88" priority="7"/>
  </conditionalFormatting>
  <conditionalFormatting sqref="C3 C1">
    <cfRule type="duplicateValues" dxfId="87" priority="1"/>
    <cfRule type="duplicateValues" dxfId="86" priority="2"/>
    <cfRule type="duplicateValues" dxfId="85" priority="3"/>
  </conditionalFormatting>
  <conditionalFormatting sqref="K4:L5 N4:O5">
    <cfRule type="expression" dxfId="84" priority="1327750">
      <formula>$L$4:$P$5="HL"</formula>
    </cfRule>
  </conditionalFormatting>
  <dataValidations disablePrompts="1" count="1">
    <dataValidation type="list" allowBlank="1" showInputMessage="1" showErrorMessage="1" sqref="T7:T8" xr:uid="{00000000-0002-0000-0D00-000000000000}">
      <formula1>#REF!</formula1>
    </dataValidation>
  </dataValidations>
  <pageMargins left="0.25" right="0" top="0.5" bottom="0.5" header="0.3" footer="0.2"/>
  <pageSetup paperSize="9" scale="42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2"/>
  <sheetViews>
    <sheetView view="pageBreakPreview" zoomScale="80" zoomScaleNormal="66" zoomScaleSheetLayoutView="80" workbookViewId="0">
      <pane xSplit="6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sqref="A1:XFD18"/>
    </sheetView>
  </sheetViews>
  <sheetFormatPr baseColWidth="10" defaultColWidth="13.5" defaultRowHeight="14" outlineLevelCol="1"/>
  <cols>
    <col min="1" max="1" width="6.5" style="336" customWidth="1"/>
    <col min="2" max="2" width="11.5" style="336" hidden="1" customWidth="1"/>
    <col min="3" max="3" width="17" style="28" customWidth="1"/>
    <col min="4" max="4" width="18.5" style="29" customWidth="1"/>
    <col min="5" max="5" width="17.33203125" style="29" hidden="1" customWidth="1"/>
    <col min="6" max="6" width="13.6640625" style="29" customWidth="1"/>
    <col min="7" max="8" width="5.33203125" style="30" hidden="1" customWidth="1"/>
    <col min="9" max="29" width="5.33203125" style="30" customWidth="1"/>
    <col min="30" max="33" width="6.5" style="30" customWidth="1"/>
    <col min="34" max="35" width="5.33203125" style="30" hidden="1" customWidth="1"/>
    <col min="36" max="36" width="2.6640625" style="30" hidden="1" customWidth="1"/>
    <col min="37" max="37" width="11.33203125" style="30" customWidth="1"/>
    <col min="38" max="38" width="8.6640625" style="29" hidden="1" customWidth="1"/>
    <col min="39" max="39" width="16.5" style="29" hidden="1" customWidth="1"/>
    <col min="40" max="42" width="11.6640625" style="29" hidden="1" customWidth="1" outlineLevel="1"/>
    <col min="43" max="43" width="17.6640625" style="29" hidden="1" customWidth="1" outlineLevel="1"/>
    <col min="44" max="44" width="11.6640625" style="29" hidden="1" customWidth="1" outlineLevel="1"/>
    <col min="45" max="45" width="14.83203125" style="29" hidden="1" customWidth="1" outlineLevel="1"/>
    <col min="46" max="46" width="15.5" style="29" customWidth="1" collapsed="1"/>
    <col min="47" max="47" width="18.6640625" style="336" customWidth="1"/>
    <col min="48" max="48" width="10.1640625" style="29" hidden="1" customWidth="1"/>
    <col min="49" max="49" width="28.6640625" style="29" hidden="1" customWidth="1"/>
    <col min="50" max="50" width="0" style="29" hidden="1" customWidth="1"/>
    <col min="51" max="16384" width="13.5" style="29"/>
  </cols>
  <sheetData>
    <row r="1" spans="1:51" s="336" customFormat="1" ht="21.75" customHeight="1">
      <c r="A1" s="204" t="s">
        <v>38</v>
      </c>
      <c r="B1" s="203" t="s">
        <v>11</v>
      </c>
      <c r="C1" s="226" t="s">
        <v>46</v>
      </c>
      <c r="D1" s="203" t="s">
        <v>10</v>
      </c>
      <c r="E1" s="203" t="s">
        <v>47</v>
      </c>
      <c r="F1" s="203" t="s">
        <v>62</v>
      </c>
      <c r="G1" s="205">
        <v>45444</v>
      </c>
      <c r="H1" s="332"/>
      <c r="I1" s="227">
        <v>45689</v>
      </c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4"/>
      <c r="AH1" s="104"/>
      <c r="AI1" s="104"/>
      <c r="AJ1" s="105"/>
      <c r="AK1" s="202" t="s">
        <v>39</v>
      </c>
      <c r="AL1" s="202" t="s">
        <v>40</v>
      </c>
      <c r="AM1" s="202" t="s">
        <v>102</v>
      </c>
      <c r="AN1" s="202" t="s">
        <v>41</v>
      </c>
      <c r="AO1" s="202" t="s">
        <v>42</v>
      </c>
      <c r="AP1" s="202" t="s">
        <v>29</v>
      </c>
      <c r="AQ1" s="202" t="s">
        <v>43</v>
      </c>
      <c r="AR1" s="202" t="s">
        <v>44</v>
      </c>
      <c r="AS1" s="202" t="s">
        <v>45</v>
      </c>
      <c r="AT1" s="202" t="s">
        <v>103</v>
      </c>
      <c r="AU1" s="335" t="s">
        <v>104</v>
      </c>
    </row>
    <row r="2" spans="1:51" s="28" customFormat="1" ht="33.75" customHeight="1">
      <c r="A2" s="337"/>
      <c r="B2" s="338"/>
      <c r="C2" s="339"/>
      <c r="D2" s="339"/>
      <c r="E2" s="339"/>
      <c r="F2" s="339"/>
      <c r="G2" s="228">
        <v>45411</v>
      </c>
      <c r="H2" s="228">
        <v>45412</v>
      </c>
      <c r="I2" s="229">
        <v>45566</v>
      </c>
      <c r="J2" s="229">
        <v>45567</v>
      </c>
      <c r="K2" s="229">
        <v>45568</v>
      </c>
      <c r="L2" s="229">
        <v>45569</v>
      </c>
      <c r="M2" s="229">
        <v>45570</v>
      </c>
      <c r="N2" s="229">
        <v>45571</v>
      </c>
      <c r="O2" s="229">
        <v>45572</v>
      </c>
      <c r="P2" s="229">
        <v>45573</v>
      </c>
      <c r="Q2" s="229">
        <v>45574</v>
      </c>
      <c r="R2" s="229">
        <v>45575</v>
      </c>
      <c r="S2" s="229">
        <v>45576</v>
      </c>
      <c r="T2" s="229">
        <v>45577</v>
      </c>
      <c r="U2" s="229">
        <v>45578</v>
      </c>
      <c r="V2" s="229">
        <v>45579</v>
      </c>
      <c r="W2" s="229">
        <v>45580</v>
      </c>
      <c r="X2" s="229">
        <v>45581</v>
      </c>
      <c r="Y2" s="229">
        <v>45582</v>
      </c>
      <c r="Z2" s="229">
        <v>45583</v>
      </c>
      <c r="AA2" s="229">
        <v>45584</v>
      </c>
      <c r="AB2" s="229">
        <v>45585</v>
      </c>
      <c r="AC2" s="229">
        <v>45586</v>
      </c>
      <c r="AD2" s="229">
        <v>45587</v>
      </c>
      <c r="AE2" s="229">
        <v>45588</v>
      </c>
      <c r="AF2" s="229">
        <v>45589</v>
      </c>
      <c r="AG2" s="229">
        <v>45590</v>
      </c>
      <c r="AH2" s="229">
        <f>1+AG2</f>
        <v>45591</v>
      </c>
      <c r="AI2" s="229">
        <f>1+AH2</f>
        <v>45592</v>
      </c>
      <c r="AJ2" s="228"/>
      <c r="AK2" s="339"/>
      <c r="AL2" s="338"/>
      <c r="AM2" s="339"/>
      <c r="AN2" s="338"/>
      <c r="AO2" s="338"/>
      <c r="AP2" s="338"/>
      <c r="AQ2" s="338"/>
      <c r="AR2" s="338"/>
      <c r="AS2" s="338"/>
      <c r="AT2" s="339"/>
      <c r="AU2" s="340"/>
    </row>
    <row r="3" spans="1:51" s="28" customFormat="1" ht="27" customHeight="1">
      <c r="A3" s="341"/>
      <c r="B3" s="230"/>
      <c r="C3" s="338"/>
      <c r="D3" s="338"/>
      <c r="E3" s="338"/>
      <c r="F3" s="338"/>
      <c r="G3" s="231" t="s">
        <v>54</v>
      </c>
      <c r="H3" s="231" t="s">
        <v>48</v>
      </c>
      <c r="I3" s="231" t="s">
        <v>49</v>
      </c>
      <c r="J3" s="231" t="s">
        <v>50</v>
      </c>
      <c r="K3" s="231" t="s">
        <v>51</v>
      </c>
      <c r="L3" s="231" t="s">
        <v>52</v>
      </c>
      <c r="M3" s="231" t="s">
        <v>53</v>
      </c>
      <c r="N3" s="231" t="s">
        <v>54</v>
      </c>
      <c r="O3" s="231" t="s">
        <v>48</v>
      </c>
      <c r="P3" s="231" t="s">
        <v>49</v>
      </c>
      <c r="Q3" s="231" t="s">
        <v>50</v>
      </c>
      <c r="R3" s="231" t="s">
        <v>51</v>
      </c>
      <c r="S3" s="231" t="s">
        <v>52</v>
      </c>
      <c r="T3" s="231" t="s">
        <v>53</v>
      </c>
      <c r="U3" s="231" t="s">
        <v>54</v>
      </c>
      <c r="V3" s="231" t="s">
        <v>48</v>
      </c>
      <c r="W3" s="231" t="s">
        <v>49</v>
      </c>
      <c r="X3" s="231" t="s">
        <v>50</v>
      </c>
      <c r="Y3" s="231" t="s">
        <v>51</v>
      </c>
      <c r="Z3" s="231" t="s">
        <v>52</v>
      </c>
      <c r="AA3" s="231" t="s">
        <v>53</v>
      </c>
      <c r="AB3" s="231" t="s">
        <v>54</v>
      </c>
      <c r="AC3" s="231" t="s">
        <v>48</v>
      </c>
      <c r="AD3" s="231" t="s">
        <v>49</v>
      </c>
      <c r="AE3" s="231" t="s">
        <v>50</v>
      </c>
      <c r="AF3" s="231" t="s">
        <v>51</v>
      </c>
      <c r="AG3" s="231" t="s">
        <v>52</v>
      </c>
      <c r="AH3" s="231" t="s">
        <v>48</v>
      </c>
      <c r="AI3" s="231" t="s">
        <v>48</v>
      </c>
      <c r="AJ3" s="231" t="s">
        <v>53</v>
      </c>
      <c r="AK3" s="338"/>
      <c r="AL3" s="230"/>
      <c r="AM3" s="338"/>
      <c r="AN3" s="232"/>
      <c r="AO3" s="232"/>
      <c r="AP3" s="230"/>
      <c r="AQ3" s="230"/>
      <c r="AR3" s="230"/>
      <c r="AS3" s="230"/>
      <c r="AT3" s="338"/>
      <c r="AU3" s="342"/>
    </row>
    <row r="4" spans="1:51" s="27" customFormat="1" ht="23.25" customHeight="1">
      <c r="A4" s="68">
        <v>1</v>
      </c>
      <c r="B4" s="62"/>
      <c r="C4" s="343" t="s">
        <v>165</v>
      </c>
      <c r="D4" s="344" t="s">
        <v>196</v>
      </c>
      <c r="E4" s="127"/>
      <c r="F4" s="127">
        <v>45740</v>
      </c>
      <c r="G4" s="345" t="s">
        <v>85</v>
      </c>
      <c r="H4" s="345" t="s">
        <v>20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6"/>
      <c r="AC4" s="347"/>
      <c r="AD4" s="348"/>
      <c r="AE4" s="348"/>
      <c r="AF4" s="349" t="s">
        <v>36</v>
      </c>
      <c r="AG4" s="349" t="s">
        <v>36</v>
      </c>
      <c r="AH4" s="350"/>
      <c r="AI4" s="350"/>
      <c r="AJ4" s="351"/>
      <c r="AK4" s="66">
        <f t="shared" ref="AK4:AK11" si="0">COUNTIF(G4:AJ4,"OFF")</f>
        <v>0</v>
      </c>
      <c r="AL4" s="69">
        <f t="shared" ref="AL4:AL11" si="1">COUNTA(G4:AJ4)</f>
        <v>4</v>
      </c>
      <c r="AM4" s="66">
        <f>COUNTIF(G4:AJ4,#REF!)+(COUNTIF(G4:AJ4,#REF!)/2)</f>
        <v>0</v>
      </c>
      <c r="AN4" s="69">
        <f>COUNTIF(G4:AJ4,#REF!)+(COUNTIF(G4:AJ4,#REF!)/2)</f>
        <v>0</v>
      </c>
      <c r="AO4" s="69">
        <f>COUNTIF(G4:AJ4,#REF!)+(COUNTIF(G4:AJ4,#REF!)/2)+COUNTIF(G4:AJ4,#REF!)</f>
        <v>0</v>
      </c>
      <c r="AP4" s="69">
        <f>COUNTIF(G4:AJ4,#REF!)</f>
        <v>0</v>
      </c>
      <c r="AQ4" s="69">
        <f>COUNTIF(G4:AJ4,#REF!)+(COUNTIF(G4:AJ4,#REF!)/2)</f>
        <v>0</v>
      </c>
      <c r="AR4" s="69">
        <f>COUNTIF(G4:AJ4,#REF!)+(COUNTIF(G4:AJ4,#REF!)/2)</f>
        <v>0</v>
      </c>
      <c r="AS4" s="69">
        <f>COUNTIF(G4:AJ4,#REF!)+(COUNTIF(G4:AJ4,#REF!)/2)</f>
        <v>0</v>
      </c>
      <c r="AT4" s="66">
        <f t="shared" ref="AT4:AT11" si="2">COUNTIF(G4:AG4,"X")</f>
        <v>2</v>
      </c>
      <c r="AU4" s="70">
        <f t="shared" ref="AU4:AU11" si="3">IF(OR(AT4=26,AT4=26),26,AT4)</f>
        <v>2</v>
      </c>
    </row>
    <row r="5" spans="1:51" s="27" customFormat="1" ht="23.25" customHeight="1">
      <c r="A5" s="106">
        <v>2</v>
      </c>
      <c r="B5" s="107"/>
      <c r="C5" s="343" t="s">
        <v>183</v>
      </c>
      <c r="D5" s="344" t="s">
        <v>197</v>
      </c>
      <c r="E5" s="352"/>
      <c r="F5" s="128">
        <v>45738</v>
      </c>
      <c r="G5" s="353" t="s">
        <v>85</v>
      </c>
      <c r="H5" s="353" t="s">
        <v>20</v>
      </c>
      <c r="I5" s="347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9" t="s">
        <v>36</v>
      </c>
      <c r="AE5" s="349" t="s">
        <v>36</v>
      </c>
      <c r="AF5" s="349" t="s">
        <v>36</v>
      </c>
      <c r="AG5" s="349" t="s">
        <v>36</v>
      </c>
      <c r="AH5" s="354"/>
      <c r="AI5" s="354"/>
      <c r="AJ5" s="355"/>
      <c r="AK5" s="66">
        <f t="shared" si="0"/>
        <v>0</v>
      </c>
      <c r="AL5" s="69">
        <f t="shared" si="1"/>
        <v>6</v>
      </c>
      <c r="AM5" s="66">
        <f>COUNTIF(G5:AJ5,#REF!)+(COUNTIF(G5:AJ5,#REF!)/2)</f>
        <v>0</v>
      </c>
      <c r="AN5" s="69">
        <f>COUNTIF(G5:AJ5,#REF!)+(COUNTIF(G5:AJ5,#REF!)/2)</f>
        <v>0</v>
      </c>
      <c r="AO5" s="69">
        <f>COUNTIF(G5:AJ5,#REF!)+(COUNTIF(G5:AJ5,#REF!)/2)+COUNTIF(G5:AJ5,#REF!)</f>
        <v>0</v>
      </c>
      <c r="AP5" s="69">
        <f>COUNTIF(G5:AJ5,#REF!)</f>
        <v>0</v>
      </c>
      <c r="AQ5" s="69">
        <f>COUNTIF(G5:AJ5,#REF!)+(COUNTIF(G5:AJ5,#REF!)/2)</f>
        <v>0</v>
      </c>
      <c r="AR5" s="69">
        <f>COUNTIF(G5:AJ5,#REF!)+(COUNTIF(G5:AJ5,#REF!)/2)</f>
        <v>0</v>
      </c>
      <c r="AS5" s="69">
        <f>COUNTIF(G5:AJ5,#REF!)+(COUNTIF(G5:AJ5,#REF!)/2)</f>
        <v>0</v>
      </c>
      <c r="AT5" s="66">
        <f t="shared" si="2"/>
        <v>4</v>
      </c>
      <c r="AU5" s="70">
        <f t="shared" si="3"/>
        <v>4</v>
      </c>
      <c r="AX5" s="27" t="e">
        <f>VLOOKUP(C5,[20]Timetable_T03!$B$9:$AS$19,44,0)</f>
        <v>#N/A</v>
      </c>
    </row>
    <row r="6" spans="1:51" s="27" customFormat="1" ht="23.25" customHeight="1">
      <c r="A6" s="68">
        <f t="shared" ref="A6:A11" si="4">ROW()-21</f>
        <v>-15</v>
      </c>
      <c r="B6" s="101"/>
      <c r="C6" s="99"/>
      <c r="D6" s="63"/>
      <c r="E6" s="129"/>
      <c r="F6" s="129"/>
      <c r="G6" s="356"/>
      <c r="H6" s="356"/>
      <c r="I6" s="357"/>
      <c r="J6" s="358"/>
      <c r="K6" s="358"/>
      <c r="L6" s="358"/>
      <c r="M6" s="358"/>
      <c r="N6" s="358"/>
      <c r="O6" s="358"/>
      <c r="P6" s="358"/>
      <c r="Q6" s="358"/>
      <c r="R6" s="358"/>
      <c r="S6" s="358"/>
      <c r="T6" s="358"/>
      <c r="U6" s="358"/>
      <c r="V6" s="358"/>
      <c r="W6" s="358"/>
      <c r="X6" s="358"/>
      <c r="Y6" s="358"/>
      <c r="Z6" s="358"/>
      <c r="AA6" s="358"/>
      <c r="AB6" s="358"/>
      <c r="AC6" s="359"/>
      <c r="AD6" s="359"/>
      <c r="AE6" s="359"/>
      <c r="AF6" s="359"/>
      <c r="AG6" s="359"/>
      <c r="AH6" s="360"/>
      <c r="AI6" s="360"/>
      <c r="AJ6" s="361"/>
      <c r="AK6" s="66">
        <f t="shared" si="0"/>
        <v>0</v>
      </c>
      <c r="AL6" s="69">
        <f t="shared" si="1"/>
        <v>0</v>
      </c>
      <c r="AM6" s="66">
        <f>COUNTIF(G6:AJ6,#REF!)+(COUNTIF(G6:AJ6,#REF!)/2)</f>
        <v>0</v>
      </c>
      <c r="AN6" s="69">
        <f>COUNTIF(G6:AJ6,#REF!)+(COUNTIF(G6:AJ6,#REF!)/2)</f>
        <v>0</v>
      </c>
      <c r="AO6" s="69">
        <f>COUNTIF(G6:AJ6,#REF!)+(COUNTIF(G6:AJ6,#REF!)/2)+COUNTIF(G6:AJ6,#REF!)</f>
        <v>0</v>
      </c>
      <c r="AP6" s="69">
        <f>COUNTIF(G6:AJ6,#REF!)</f>
        <v>0</v>
      </c>
      <c r="AQ6" s="69">
        <f>COUNTIF(G6:AJ6,#REF!)+(COUNTIF(G6:AJ6,#REF!)/2)</f>
        <v>0</v>
      </c>
      <c r="AR6" s="69">
        <f>COUNTIF(G6:AJ6,#REF!)+(COUNTIF(G6:AJ6,#REF!)/2)</f>
        <v>0</v>
      </c>
      <c r="AS6" s="69">
        <f>COUNTIF(G6:AJ6,#REF!)+(COUNTIF(G6:AJ6,#REF!)/2)</f>
        <v>0</v>
      </c>
      <c r="AT6" s="66">
        <f t="shared" si="2"/>
        <v>0</v>
      </c>
      <c r="AU6" s="70">
        <f t="shared" si="3"/>
        <v>0</v>
      </c>
      <c r="AX6" s="27" t="e">
        <f>VLOOKUP(C6,[20]Timetable_T03!$B$9:$AS$19,44,0)</f>
        <v>#N/A</v>
      </c>
    </row>
    <row r="7" spans="1:51" s="27" customFormat="1" ht="23.25" hidden="1" customHeight="1">
      <c r="A7" s="68">
        <f t="shared" si="4"/>
        <v>-14</v>
      </c>
      <c r="B7" s="101"/>
      <c r="C7" s="99"/>
      <c r="D7" s="63"/>
      <c r="E7" s="129"/>
      <c r="F7" s="129"/>
      <c r="G7" s="356"/>
      <c r="H7" s="356"/>
      <c r="I7" s="357"/>
      <c r="J7" s="358"/>
      <c r="K7" s="159"/>
      <c r="L7" s="159"/>
      <c r="M7" s="358"/>
      <c r="N7" s="357"/>
      <c r="O7" s="357"/>
      <c r="P7" s="357"/>
      <c r="Q7" s="357"/>
      <c r="R7" s="357"/>
      <c r="S7" s="357"/>
      <c r="T7" s="357"/>
      <c r="U7" s="357"/>
      <c r="V7" s="357"/>
      <c r="W7" s="357"/>
      <c r="X7" s="357"/>
      <c r="Y7" s="357"/>
      <c r="Z7" s="357"/>
      <c r="AA7" s="357"/>
      <c r="AB7" s="357"/>
      <c r="AC7" s="359"/>
      <c r="AD7" s="359"/>
      <c r="AE7" s="359"/>
      <c r="AF7" s="359"/>
      <c r="AG7" s="359"/>
      <c r="AH7" s="360"/>
      <c r="AI7" s="360"/>
      <c r="AJ7" s="361"/>
      <c r="AK7" s="66">
        <f t="shared" si="0"/>
        <v>0</v>
      </c>
      <c r="AL7" s="69">
        <f t="shared" si="1"/>
        <v>0</v>
      </c>
      <c r="AM7" s="66">
        <f>COUNTIF(G7:AJ7,#REF!)+(COUNTIF(G7:AJ7,#REF!)/2)</f>
        <v>0</v>
      </c>
      <c r="AN7" s="69">
        <f>COUNTIF(G7:AJ7,#REF!)+(COUNTIF(G7:AJ7,#REF!)/2)</f>
        <v>0</v>
      </c>
      <c r="AO7" s="69">
        <f>COUNTIF(G7:AJ7,#REF!)+(COUNTIF(G7:AJ7,#REF!)/2)+COUNTIF(G7:AJ7,#REF!)</f>
        <v>0</v>
      </c>
      <c r="AP7" s="69">
        <f>COUNTIF(G7:AJ7,#REF!)</f>
        <v>0</v>
      </c>
      <c r="AQ7" s="69">
        <f>COUNTIF(G7:AJ7,#REF!)+(COUNTIF(G7:AJ7,#REF!)/2)</f>
        <v>0</v>
      </c>
      <c r="AR7" s="69">
        <f>COUNTIF(G7:AJ7,#REF!)+(COUNTIF(G7:AJ7,#REF!)/2)</f>
        <v>0</v>
      </c>
      <c r="AS7" s="69">
        <f>COUNTIF(G7:AJ7,#REF!)+(COUNTIF(G7:AJ7,#REF!)/2)</f>
        <v>0</v>
      </c>
      <c r="AT7" s="66">
        <f t="shared" si="2"/>
        <v>0</v>
      </c>
      <c r="AU7" s="70">
        <f t="shared" si="3"/>
        <v>0</v>
      </c>
    </row>
    <row r="8" spans="1:51" s="27" customFormat="1" ht="23.25" hidden="1" customHeight="1">
      <c r="A8" s="68">
        <f t="shared" si="4"/>
        <v>-13</v>
      </c>
      <c r="B8" s="146"/>
      <c r="C8" s="147"/>
      <c r="D8" s="148"/>
      <c r="E8" s="149"/>
      <c r="F8" s="149"/>
      <c r="G8" s="362"/>
      <c r="H8" s="362"/>
      <c r="I8" s="363"/>
      <c r="J8" s="358"/>
      <c r="K8" s="160"/>
      <c r="L8" s="160"/>
      <c r="M8" s="363"/>
      <c r="N8" s="363"/>
      <c r="O8" s="363"/>
      <c r="P8" s="363"/>
      <c r="Q8" s="363"/>
      <c r="R8" s="363"/>
      <c r="S8" s="363"/>
      <c r="T8" s="363"/>
      <c r="U8" s="363"/>
      <c r="V8" s="363"/>
      <c r="W8" s="363"/>
      <c r="X8" s="363"/>
      <c r="Y8" s="363"/>
      <c r="Z8" s="363"/>
      <c r="AA8" s="363"/>
      <c r="AB8" s="363"/>
      <c r="AC8" s="359"/>
      <c r="AD8" s="359"/>
      <c r="AE8" s="359"/>
      <c r="AF8" s="359"/>
      <c r="AG8" s="359"/>
      <c r="AH8" s="364"/>
      <c r="AI8" s="364"/>
      <c r="AJ8" s="365"/>
      <c r="AK8" s="66">
        <f t="shared" si="0"/>
        <v>0</v>
      </c>
      <c r="AL8" s="69">
        <f t="shared" si="1"/>
        <v>0</v>
      </c>
      <c r="AM8" s="66">
        <f>COUNTIF(G8:AJ8,#REF!)+(COUNTIF(G8:AJ8,#REF!)/2)</f>
        <v>0</v>
      </c>
      <c r="AN8" s="69">
        <f>COUNTIF(G8:AJ8,#REF!)+(COUNTIF(G8:AJ8,#REF!)/2)</f>
        <v>0</v>
      </c>
      <c r="AO8" s="69">
        <f>COUNTIF(G8:AJ8,#REF!)+(COUNTIF(G8:AJ8,#REF!)/2)+COUNTIF(G8:AJ8,#REF!)</f>
        <v>0</v>
      </c>
      <c r="AP8" s="69">
        <f>COUNTIF(G8:AJ8,#REF!)</f>
        <v>0</v>
      </c>
      <c r="AQ8" s="69">
        <f>COUNTIF(G8:AJ8,#REF!)+(COUNTIF(G8:AJ8,#REF!)/2)</f>
        <v>0</v>
      </c>
      <c r="AR8" s="69">
        <f>COUNTIF(G8:AJ8,#REF!)+(COUNTIF(G8:AJ8,#REF!)/2)</f>
        <v>0</v>
      </c>
      <c r="AS8" s="69">
        <f>COUNTIF(G8:AJ8,#REF!)+(COUNTIF(G8:AJ8,#REF!)/2)</f>
        <v>0</v>
      </c>
      <c r="AT8" s="66">
        <f t="shared" si="2"/>
        <v>0</v>
      </c>
      <c r="AU8" s="70">
        <f t="shared" si="3"/>
        <v>0</v>
      </c>
    </row>
    <row r="9" spans="1:51" s="27" customFormat="1" ht="23.25" hidden="1" customHeight="1">
      <c r="A9" s="68">
        <f t="shared" si="4"/>
        <v>-12</v>
      </c>
      <c r="B9" s="146"/>
      <c r="C9" s="147"/>
      <c r="D9" s="148"/>
      <c r="E9" s="149"/>
      <c r="F9" s="149"/>
      <c r="G9" s="362"/>
      <c r="H9" s="362"/>
      <c r="I9" s="363"/>
      <c r="J9" s="358"/>
      <c r="K9" s="160"/>
      <c r="L9" s="160"/>
      <c r="M9" s="363"/>
      <c r="N9" s="363"/>
      <c r="O9" s="363"/>
      <c r="P9" s="363"/>
      <c r="Q9" s="363"/>
      <c r="R9" s="363"/>
      <c r="S9" s="363"/>
      <c r="T9" s="363"/>
      <c r="U9" s="363"/>
      <c r="V9" s="363"/>
      <c r="W9" s="363"/>
      <c r="X9" s="363"/>
      <c r="Y9" s="363"/>
      <c r="Z9" s="363"/>
      <c r="AA9" s="363"/>
      <c r="AB9" s="363"/>
      <c r="AC9" s="359"/>
      <c r="AD9" s="359"/>
      <c r="AE9" s="359"/>
      <c r="AF9" s="359"/>
      <c r="AG9" s="359"/>
      <c r="AH9" s="364"/>
      <c r="AI9" s="364"/>
      <c r="AJ9" s="365"/>
      <c r="AK9" s="66">
        <f t="shared" si="0"/>
        <v>0</v>
      </c>
      <c r="AL9" s="69">
        <f t="shared" si="1"/>
        <v>0</v>
      </c>
      <c r="AM9" s="66">
        <f>COUNTIF(G9:AJ9,#REF!)+(COUNTIF(G9:AJ9,#REF!)/2)</f>
        <v>0</v>
      </c>
      <c r="AN9" s="69">
        <f>COUNTIF(G9:AJ9,#REF!)+(COUNTIF(G9:AJ9,#REF!)/2)</f>
        <v>0</v>
      </c>
      <c r="AO9" s="69">
        <f>COUNTIF(G9:AJ9,#REF!)+(COUNTIF(G9:AJ9,#REF!)/2)+COUNTIF(G9:AJ9,#REF!)</f>
        <v>0</v>
      </c>
      <c r="AP9" s="69">
        <f>COUNTIF(G9:AJ9,#REF!)</f>
        <v>0</v>
      </c>
      <c r="AQ9" s="69">
        <f>COUNTIF(G9:AJ9,#REF!)+(COUNTIF(G9:AJ9,#REF!)/2)</f>
        <v>0</v>
      </c>
      <c r="AR9" s="69">
        <f>COUNTIF(G9:AJ9,#REF!)+(COUNTIF(G9:AJ9,#REF!)/2)</f>
        <v>0</v>
      </c>
      <c r="AS9" s="69">
        <f>COUNTIF(G9:AJ9,#REF!)+(COUNTIF(G9:AJ9,#REF!)/2)</f>
        <v>0</v>
      </c>
      <c r="AT9" s="66">
        <f t="shared" si="2"/>
        <v>0</v>
      </c>
      <c r="AU9" s="70">
        <f t="shared" si="3"/>
        <v>0</v>
      </c>
    </row>
    <row r="10" spans="1:51" s="27" customFormat="1" ht="24" hidden="1" customHeight="1">
      <c r="A10" s="68">
        <f t="shared" si="4"/>
        <v>-11</v>
      </c>
      <c r="B10" s="62"/>
      <c r="C10" s="99"/>
      <c r="D10" s="63"/>
      <c r="E10" s="127"/>
      <c r="F10" s="127"/>
      <c r="G10" s="356"/>
      <c r="H10" s="356"/>
      <c r="I10" s="357"/>
      <c r="J10" s="358"/>
      <c r="K10" s="159"/>
      <c r="L10" s="159"/>
      <c r="M10" s="358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9"/>
      <c r="AD10" s="359"/>
      <c r="AE10" s="359"/>
      <c r="AF10" s="359"/>
      <c r="AG10" s="359"/>
      <c r="AH10" s="350"/>
      <c r="AI10" s="350"/>
      <c r="AJ10" s="351"/>
      <c r="AK10" s="66">
        <f t="shared" si="0"/>
        <v>0</v>
      </c>
      <c r="AL10" s="69">
        <f t="shared" si="1"/>
        <v>0</v>
      </c>
      <c r="AM10" s="66">
        <f>COUNTIF(G10:AJ10,#REF!)+(COUNTIF(G10:AJ10,#REF!)/2)</f>
        <v>0</v>
      </c>
      <c r="AN10" s="69">
        <f>COUNTIF(G10:AJ10,#REF!)+(COUNTIF(G10:AJ10,#REF!)/2)</f>
        <v>0</v>
      </c>
      <c r="AO10" s="69">
        <f>COUNTIF(G10:AJ10,#REF!)+(COUNTIF(G10:AJ10,#REF!)/2)+COUNTIF(G10:AJ10,#REF!)</f>
        <v>0</v>
      </c>
      <c r="AP10" s="69">
        <f>COUNTIF(G10:AJ10,#REF!)</f>
        <v>0</v>
      </c>
      <c r="AQ10" s="69">
        <f>COUNTIF(G10:AJ10,#REF!)+(COUNTIF(G10:AJ10,#REF!)/2)</f>
        <v>0</v>
      </c>
      <c r="AR10" s="69">
        <f>COUNTIF(G10:AJ10,#REF!)+(COUNTIF(G10:AJ10,#REF!)/2)</f>
        <v>0</v>
      </c>
      <c r="AS10" s="69">
        <f>COUNTIF(G10:AJ10,#REF!)+(COUNTIF(G10:AJ10,#REF!)/2)</f>
        <v>0</v>
      </c>
      <c r="AT10" s="66">
        <f t="shared" si="2"/>
        <v>0</v>
      </c>
      <c r="AU10" s="70">
        <f t="shared" si="3"/>
        <v>0</v>
      </c>
    </row>
    <row r="11" spans="1:51" s="27" customFormat="1" ht="22.5" hidden="1" customHeight="1">
      <c r="A11" s="68">
        <f t="shared" si="4"/>
        <v>-10</v>
      </c>
      <c r="B11" s="62"/>
      <c r="C11" s="99"/>
      <c r="D11" s="63"/>
      <c r="E11" s="127"/>
      <c r="F11" s="127"/>
      <c r="G11" s="366"/>
      <c r="H11" s="366"/>
      <c r="I11" s="358"/>
      <c r="J11" s="358"/>
      <c r="K11" s="358"/>
      <c r="L11" s="358"/>
      <c r="M11" s="358"/>
      <c r="N11" s="358"/>
      <c r="O11" s="358"/>
      <c r="P11" s="358"/>
      <c r="Q11" s="358"/>
      <c r="R11" s="358"/>
      <c r="S11" s="358"/>
      <c r="T11" s="358"/>
      <c r="U11" s="358"/>
      <c r="V11" s="358"/>
      <c r="W11" s="358"/>
      <c r="X11" s="358"/>
      <c r="Y11" s="358"/>
      <c r="Z11" s="358"/>
      <c r="AA11" s="358"/>
      <c r="AB11" s="358"/>
      <c r="AC11" s="359"/>
      <c r="AD11" s="359"/>
      <c r="AE11" s="359"/>
      <c r="AF11" s="359"/>
      <c r="AG11" s="359"/>
      <c r="AH11" s="367" t="s">
        <v>36</v>
      </c>
      <c r="AI11" s="366"/>
      <c r="AJ11" s="366"/>
      <c r="AK11" s="66">
        <f t="shared" si="0"/>
        <v>0</v>
      </c>
      <c r="AL11" s="69">
        <f t="shared" si="1"/>
        <v>1</v>
      </c>
      <c r="AM11" s="66">
        <f>COUNTIF(G11:AJ11,#REF!)+(COUNTIF(G11:AJ11,#REF!)/2)</f>
        <v>0</v>
      </c>
      <c r="AN11" s="69">
        <f>COUNTIF(G11:AJ11,#REF!)+(COUNTIF(G11:AJ11,#REF!)/2)</f>
        <v>0</v>
      </c>
      <c r="AO11" s="69">
        <f>COUNTIF(G11:AJ11,#REF!)+(COUNTIF(G11:AJ11,#REF!)/2)+COUNTIF(G11:AJ11,#REF!)</f>
        <v>0</v>
      </c>
      <c r="AP11" s="69">
        <f>COUNTIF(G11:AJ11,#REF!)</f>
        <v>0</v>
      </c>
      <c r="AQ11" s="69">
        <f>COUNTIF(G11:AJ11,#REF!)+(COUNTIF(G11:AJ11,#REF!)/2)</f>
        <v>0</v>
      </c>
      <c r="AR11" s="69">
        <f>COUNTIF(G11:AJ11,#REF!)+(COUNTIF(G11:AJ11,#REF!)/2)</f>
        <v>0</v>
      </c>
      <c r="AS11" s="69">
        <f>COUNTIF(G11:AJ11,#REF!)+(COUNTIF(G11:AJ11,#REF!)/2)</f>
        <v>0</v>
      </c>
      <c r="AT11" s="66">
        <f t="shared" si="2"/>
        <v>0</v>
      </c>
      <c r="AU11" s="70">
        <f t="shared" si="3"/>
        <v>0</v>
      </c>
    </row>
    <row r="12" spans="1:51" ht="32.25" customHeight="1" thickBot="1">
      <c r="A12" s="368" t="s">
        <v>64</v>
      </c>
      <c r="B12" s="369"/>
      <c r="C12" s="369"/>
      <c r="D12" s="369"/>
      <c r="E12" s="370"/>
      <c r="F12" s="77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103">
        <f t="shared" ref="AK12:AU12" si="5">SUM(AK4:AK11)</f>
        <v>0</v>
      </c>
      <c r="AL12" s="103">
        <f t="shared" si="5"/>
        <v>11</v>
      </c>
      <c r="AM12" s="103">
        <f t="shared" si="5"/>
        <v>0</v>
      </c>
      <c r="AN12" s="103">
        <f t="shared" si="5"/>
        <v>0</v>
      </c>
      <c r="AO12" s="103">
        <f t="shared" si="5"/>
        <v>0</v>
      </c>
      <c r="AP12" s="103">
        <f t="shared" si="5"/>
        <v>0</v>
      </c>
      <c r="AQ12" s="103">
        <f t="shared" si="5"/>
        <v>0</v>
      </c>
      <c r="AR12" s="103">
        <f t="shared" si="5"/>
        <v>0</v>
      </c>
      <c r="AS12" s="103">
        <f t="shared" si="5"/>
        <v>0</v>
      </c>
      <c r="AT12" s="103">
        <f>SUM(AT4:AT11)</f>
        <v>6</v>
      </c>
      <c r="AU12" s="103">
        <f t="shared" si="5"/>
        <v>6</v>
      </c>
      <c r="AV12" s="35">
        <f>SUM(AV11:AV11)</f>
        <v>0</v>
      </c>
    </row>
    <row r="16" spans="1:51" s="372" customFormat="1" ht="28.5" customHeight="1">
      <c r="C16" s="373" t="s">
        <v>137</v>
      </c>
      <c r="D16" s="374"/>
      <c r="E16" s="374"/>
      <c r="F16" s="374"/>
      <c r="G16" s="375"/>
      <c r="H16" s="374"/>
      <c r="I16" s="376"/>
      <c r="J16" s="374"/>
      <c r="K16" s="374"/>
      <c r="L16" s="32"/>
      <c r="M16" s="32"/>
      <c r="N16" s="34"/>
      <c r="O16" s="34"/>
      <c r="P16" s="34"/>
      <c r="Q16" s="32"/>
      <c r="R16" s="32"/>
      <c r="S16" s="32"/>
      <c r="T16" s="97"/>
      <c r="U16" s="32"/>
      <c r="V16" s="32"/>
      <c r="W16" s="32"/>
      <c r="X16" s="33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77"/>
      <c r="AR16" s="378"/>
      <c r="AU16" s="379"/>
      <c r="AV16" s="379"/>
      <c r="AW16" s="379"/>
      <c r="AX16" s="379"/>
      <c r="AY16" s="380"/>
    </row>
    <row r="17" spans="3:51" s="372" customFormat="1" ht="19">
      <c r="C17" s="150" t="s">
        <v>36</v>
      </c>
      <c r="D17" s="381" t="s">
        <v>136</v>
      </c>
      <c r="E17" s="382"/>
      <c r="F17" s="382"/>
      <c r="G17" s="382"/>
      <c r="H17" s="382"/>
      <c r="I17" s="383"/>
      <c r="J17" s="382"/>
      <c r="K17" s="384"/>
      <c r="L17" s="32"/>
      <c r="M17" s="32"/>
      <c r="N17" s="34"/>
      <c r="O17" s="34"/>
      <c r="P17" s="34"/>
      <c r="Q17" s="32"/>
      <c r="R17" s="32"/>
      <c r="S17" s="32"/>
      <c r="T17" s="97"/>
      <c r="U17" s="32"/>
      <c r="V17" s="32"/>
      <c r="W17" s="32"/>
      <c r="X17" s="33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77"/>
      <c r="AR17" s="378"/>
      <c r="AU17" s="379"/>
      <c r="AV17" s="379"/>
      <c r="AW17" s="379"/>
      <c r="AX17" s="379"/>
      <c r="AY17" s="380"/>
    </row>
    <row r="18" spans="3:51" s="372" customFormat="1" ht="19">
      <c r="C18" s="150" t="s">
        <v>91</v>
      </c>
      <c r="D18" s="381" t="s">
        <v>92</v>
      </c>
      <c r="E18" s="382"/>
      <c r="F18" s="382"/>
      <c r="G18" s="382"/>
      <c r="H18" s="382"/>
      <c r="I18" s="383"/>
      <c r="J18" s="382"/>
      <c r="K18" s="384"/>
      <c r="L18" s="32"/>
      <c r="M18" s="32"/>
      <c r="N18" s="34"/>
      <c r="O18" s="34"/>
      <c r="P18" s="34"/>
      <c r="Q18" s="32"/>
      <c r="R18" s="32"/>
      <c r="S18" s="32"/>
      <c r="T18" s="32"/>
      <c r="U18" s="32"/>
      <c r="V18" s="32"/>
      <c r="W18" s="32"/>
      <c r="X18" s="33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77"/>
      <c r="AR18" s="378"/>
      <c r="AU18" s="379"/>
      <c r="AV18" s="379"/>
      <c r="AW18" s="379"/>
      <c r="AX18" s="379"/>
      <c r="AY18" s="380"/>
    </row>
    <row r="19" spans="3:51" s="372" customFormat="1" ht="19">
      <c r="C19" s="150" t="s">
        <v>37</v>
      </c>
      <c r="D19" s="381" t="s">
        <v>93</v>
      </c>
      <c r="E19" s="382"/>
      <c r="F19" s="382"/>
      <c r="G19" s="382"/>
      <c r="H19" s="382"/>
      <c r="I19" s="383"/>
      <c r="J19" s="382"/>
      <c r="K19" s="384"/>
      <c r="L19" s="32"/>
      <c r="M19" s="32"/>
      <c r="N19" s="34"/>
      <c r="O19" s="34"/>
      <c r="P19" s="34"/>
      <c r="Q19" s="32"/>
      <c r="R19" s="32"/>
      <c r="S19" s="32"/>
      <c r="T19" s="32"/>
      <c r="U19" s="32"/>
      <c r="V19" s="32"/>
      <c r="W19" s="32"/>
      <c r="X19" s="33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85"/>
      <c r="AR19" s="378"/>
      <c r="AU19" s="379"/>
      <c r="AV19" s="379"/>
      <c r="AW19" s="379"/>
      <c r="AX19" s="379"/>
      <c r="AY19" s="380"/>
    </row>
    <row r="20" spans="3:51" s="372" customFormat="1" ht="19">
      <c r="C20" s="150" t="s">
        <v>67</v>
      </c>
      <c r="D20" s="381" t="s">
        <v>94</v>
      </c>
      <c r="E20" s="382"/>
      <c r="F20" s="382"/>
      <c r="G20" s="382"/>
      <c r="H20" s="382"/>
      <c r="I20" s="383"/>
      <c r="J20" s="382"/>
      <c r="K20" s="384"/>
      <c r="L20" s="32"/>
      <c r="M20" s="32"/>
      <c r="N20" s="34"/>
      <c r="O20" s="34"/>
      <c r="P20" s="34"/>
      <c r="Q20" s="32"/>
      <c r="R20" s="32"/>
      <c r="S20" s="32"/>
      <c r="T20" s="32"/>
      <c r="U20" s="32"/>
      <c r="V20" s="32"/>
      <c r="W20" s="32"/>
      <c r="X20" s="33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77"/>
      <c r="AR20" s="378"/>
      <c r="AU20" s="379"/>
      <c r="AV20" s="379"/>
      <c r="AW20" s="379"/>
      <c r="AX20" s="379"/>
      <c r="AY20" s="380"/>
    </row>
    <row r="21" spans="3:51" s="372" customFormat="1" ht="19">
      <c r="C21" s="150" t="s">
        <v>84</v>
      </c>
      <c r="D21" s="381" t="s">
        <v>95</v>
      </c>
      <c r="E21" s="382"/>
      <c r="F21" s="382"/>
      <c r="G21" s="382"/>
      <c r="H21" s="382"/>
      <c r="I21" s="383"/>
      <c r="J21" s="382"/>
      <c r="K21" s="384"/>
      <c r="L21" s="32"/>
      <c r="M21" s="32"/>
      <c r="N21" s="34"/>
      <c r="O21" s="34"/>
      <c r="P21" s="34"/>
      <c r="Q21" s="32"/>
      <c r="R21" s="32"/>
      <c r="S21" s="32"/>
      <c r="T21" s="32"/>
      <c r="U21" s="32"/>
      <c r="V21" s="32"/>
      <c r="W21" s="32"/>
      <c r="X21" s="33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77"/>
      <c r="AR21" s="378"/>
      <c r="AU21" s="379"/>
      <c r="AV21" s="379"/>
      <c r="AW21" s="379"/>
      <c r="AX21" s="379"/>
      <c r="AY21" s="380"/>
    </row>
    <row r="22" spans="3:51" s="372" customFormat="1" ht="19">
      <c r="C22" s="150" t="s">
        <v>72</v>
      </c>
      <c r="D22" s="381" t="s">
        <v>96</v>
      </c>
      <c r="E22" s="382"/>
      <c r="F22" s="382"/>
      <c r="G22" s="382"/>
      <c r="H22" s="382"/>
      <c r="I22" s="383"/>
      <c r="J22" s="382"/>
      <c r="K22" s="384"/>
      <c r="L22" s="32"/>
      <c r="M22" s="32"/>
      <c r="N22" s="34"/>
      <c r="O22" s="34"/>
      <c r="P22" s="34"/>
      <c r="Q22" s="32"/>
      <c r="R22" s="32"/>
      <c r="S22" s="32"/>
      <c r="T22" s="32"/>
      <c r="U22" s="32"/>
      <c r="V22" s="32"/>
      <c r="W22" s="32"/>
      <c r="X22" s="33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77"/>
      <c r="AR22" s="378"/>
      <c r="AU22" s="379"/>
      <c r="AV22" s="379"/>
      <c r="AW22" s="379"/>
      <c r="AX22" s="379"/>
      <c r="AY22" s="380"/>
    </row>
    <row r="23" spans="3:51" s="372" customFormat="1" ht="19">
      <c r="C23" s="150" t="s">
        <v>69</v>
      </c>
      <c r="D23" s="381" t="s">
        <v>97</v>
      </c>
      <c r="E23" s="382"/>
      <c r="F23" s="382"/>
      <c r="G23" s="382"/>
      <c r="H23" s="382"/>
      <c r="I23" s="383"/>
      <c r="J23" s="382"/>
      <c r="K23" s="384"/>
      <c r="L23" s="32"/>
      <c r="M23" s="32"/>
      <c r="N23" s="34"/>
      <c r="O23" s="34"/>
      <c r="P23" s="34"/>
      <c r="Q23" s="32"/>
      <c r="R23" s="32"/>
      <c r="S23" s="32"/>
      <c r="T23" s="32"/>
      <c r="U23" s="32"/>
      <c r="V23" s="32"/>
      <c r="W23" s="32"/>
      <c r="X23" s="33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85"/>
      <c r="AR23" s="378"/>
      <c r="AU23" s="379"/>
      <c r="AV23" s="379"/>
      <c r="AW23" s="379"/>
      <c r="AX23" s="379"/>
      <c r="AY23" s="380"/>
    </row>
    <row r="24" spans="3:51" s="372" customFormat="1" ht="19">
      <c r="C24" s="150" t="s">
        <v>90</v>
      </c>
      <c r="D24" s="381" t="s">
        <v>98</v>
      </c>
      <c r="E24" s="382"/>
      <c r="F24" s="382"/>
      <c r="G24" s="382"/>
      <c r="H24" s="382"/>
      <c r="I24" s="383"/>
      <c r="J24" s="382"/>
      <c r="K24" s="384"/>
      <c r="L24" s="32"/>
      <c r="M24" s="32"/>
      <c r="N24" s="34"/>
      <c r="O24" s="34"/>
      <c r="P24" s="34"/>
      <c r="Q24" s="32"/>
      <c r="R24" s="32"/>
      <c r="S24" s="32"/>
      <c r="T24" s="32"/>
      <c r="U24" s="32"/>
      <c r="V24" s="32"/>
      <c r="W24" s="32"/>
      <c r="X24" s="33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77"/>
      <c r="AR24" s="378"/>
      <c r="AU24" s="379"/>
      <c r="AV24" s="379"/>
      <c r="AW24" s="379"/>
      <c r="AX24" s="379"/>
      <c r="AY24" s="380"/>
    </row>
    <row r="25" spans="3:51" s="372" customFormat="1" ht="19">
      <c r="C25" s="150" t="s">
        <v>68</v>
      </c>
      <c r="D25" s="381" t="s">
        <v>99</v>
      </c>
      <c r="E25" s="382"/>
      <c r="F25" s="382"/>
      <c r="G25" s="382"/>
      <c r="H25" s="382"/>
      <c r="I25" s="383"/>
      <c r="J25" s="382"/>
      <c r="K25" s="384"/>
      <c r="L25" s="32"/>
      <c r="M25" s="32"/>
      <c r="N25" s="34"/>
      <c r="O25" s="34"/>
      <c r="P25" s="34"/>
      <c r="Q25" s="32"/>
      <c r="R25" s="32"/>
      <c r="S25" s="32"/>
      <c r="T25" s="32"/>
      <c r="U25" s="32"/>
      <c r="V25" s="32"/>
      <c r="W25" s="32"/>
      <c r="X25" s="33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77"/>
      <c r="AR25" s="378"/>
      <c r="AU25" s="379"/>
      <c r="AV25" s="379"/>
      <c r="AW25" s="379"/>
      <c r="AX25" s="379"/>
      <c r="AY25" s="380"/>
    </row>
    <row r="26" spans="3:51" s="372" customFormat="1" ht="19">
      <c r="C26" s="150" t="s">
        <v>33</v>
      </c>
      <c r="D26" s="381" t="s">
        <v>73</v>
      </c>
      <c r="E26" s="382"/>
      <c r="F26" s="382"/>
      <c r="G26" s="382"/>
      <c r="H26" s="382"/>
      <c r="I26" s="383"/>
      <c r="J26" s="382"/>
      <c r="K26" s="384"/>
      <c r="L26" s="32"/>
      <c r="M26" s="32"/>
      <c r="N26" s="34"/>
      <c r="O26" s="34"/>
      <c r="P26" s="34"/>
      <c r="Q26" s="32"/>
      <c r="R26" s="32"/>
      <c r="S26" s="32"/>
      <c r="T26" s="32"/>
      <c r="U26" s="32"/>
      <c r="V26" s="32"/>
      <c r="W26" s="32"/>
      <c r="X26" s="33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85"/>
      <c r="AR26" s="378"/>
      <c r="AU26" s="379"/>
      <c r="AV26" s="379"/>
      <c r="AW26" s="379"/>
      <c r="AX26" s="379"/>
      <c r="AY26" s="380"/>
    </row>
    <row r="27" spans="3:51" s="372" customFormat="1" ht="19">
      <c r="C27" s="150" t="s">
        <v>71</v>
      </c>
      <c r="D27" s="381" t="s">
        <v>74</v>
      </c>
      <c r="E27" s="382"/>
      <c r="F27" s="382"/>
      <c r="G27" s="382"/>
      <c r="H27" s="382"/>
      <c r="I27" s="383"/>
      <c r="J27" s="382"/>
      <c r="K27" s="384"/>
      <c r="L27" s="32"/>
      <c r="M27" s="32"/>
      <c r="N27" s="34"/>
      <c r="O27" s="34"/>
      <c r="P27" s="34"/>
      <c r="Q27" s="32"/>
      <c r="R27" s="32"/>
      <c r="S27" s="32"/>
      <c r="T27" s="32"/>
      <c r="U27" s="32"/>
      <c r="V27" s="32"/>
      <c r="W27" s="32"/>
      <c r="X27" s="33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77"/>
      <c r="AR27" s="378"/>
      <c r="AU27" s="379"/>
      <c r="AV27" s="379"/>
      <c r="AW27" s="379"/>
      <c r="AX27" s="379"/>
      <c r="AY27" s="380"/>
    </row>
    <row r="28" spans="3:51" s="372" customFormat="1" ht="22.5" customHeight="1">
      <c r="C28" s="150" t="s">
        <v>75</v>
      </c>
      <c r="D28" s="381" t="s">
        <v>76</v>
      </c>
      <c r="E28" s="382"/>
      <c r="F28" s="382"/>
      <c r="G28" s="382"/>
      <c r="H28" s="382"/>
      <c r="I28" s="383"/>
      <c r="J28" s="382"/>
      <c r="K28" s="384"/>
      <c r="L28" s="32"/>
      <c r="M28" s="32"/>
      <c r="N28" s="34"/>
      <c r="O28" s="34"/>
      <c r="P28" s="34"/>
      <c r="Q28" s="32"/>
      <c r="R28" s="32"/>
      <c r="S28" s="32"/>
      <c r="T28" s="32"/>
      <c r="U28" s="32"/>
      <c r="V28" s="32"/>
      <c r="W28" s="32"/>
      <c r="X28" s="33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77"/>
      <c r="AR28" s="378"/>
      <c r="AU28" s="379"/>
      <c r="AV28" s="379"/>
      <c r="AW28" s="379"/>
      <c r="AX28" s="379"/>
      <c r="AY28" s="380"/>
    </row>
    <row r="29" spans="3:51" s="372" customFormat="1" ht="22.5" customHeight="1">
      <c r="C29" s="150" t="s">
        <v>77</v>
      </c>
      <c r="D29" s="381" t="s">
        <v>78</v>
      </c>
      <c r="E29" s="382"/>
      <c r="F29" s="382"/>
      <c r="G29" s="382"/>
      <c r="H29" s="382"/>
      <c r="I29" s="383"/>
      <c r="J29" s="382"/>
      <c r="K29" s="384"/>
      <c r="L29" s="32"/>
      <c r="M29" s="32"/>
      <c r="N29" s="34"/>
      <c r="O29" s="34"/>
      <c r="P29" s="34"/>
      <c r="Q29" s="32"/>
      <c r="R29" s="32"/>
      <c r="S29" s="32"/>
      <c r="T29" s="32"/>
      <c r="U29" s="32"/>
      <c r="V29" s="32"/>
      <c r="W29" s="32"/>
      <c r="X29" s="33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77"/>
      <c r="AR29" s="378"/>
      <c r="AU29" s="379"/>
      <c r="AV29" s="379"/>
      <c r="AW29" s="379"/>
      <c r="AX29" s="379"/>
      <c r="AY29" s="380"/>
    </row>
    <row r="30" spans="3:51" s="372" customFormat="1" ht="22.5" customHeight="1">
      <c r="C30" s="150" t="s">
        <v>34</v>
      </c>
      <c r="D30" s="381" t="s">
        <v>100</v>
      </c>
      <c r="E30" s="382"/>
      <c r="F30" s="382"/>
      <c r="G30" s="382"/>
      <c r="H30" s="382"/>
      <c r="I30" s="383"/>
      <c r="J30" s="382"/>
      <c r="K30" s="384"/>
      <c r="L30" s="32"/>
      <c r="M30" s="32"/>
      <c r="N30" s="34"/>
      <c r="O30" s="34"/>
      <c r="P30" s="34"/>
      <c r="Q30" s="32"/>
      <c r="R30" s="32"/>
      <c r="S30" s="32"/>
      <c r="T30" s="32"/>
      <c r="U30" s="32"/>
      <c r="V30" s="32"/>
      <c r="W30" s="32"/>
      <c r="X30" s="33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85"/>
      <c r="AR30" s="378"/>
      <c r="AU30" s="379"/>
      <c r="AV30" s="379"/>
      <c r="AW30" s="379"/>
      <c r="AX30" s="379"/>
      <c r="AY30" s="380"/>
    </row>
    <row r="31" spans="3:51" s="372" customFormat="1" ht="22.5" customHeight="1">
      <c r="C31" s="150" t="s">
        <v>35</v>
      </c>
      <c r="D31" s="381" t="s">
        <v>101</v>
      </c>
      <c r="E31" s="382"/>
      <c r="F31" s="382"/>
      <c r="G31" s="382"/>
      <c r="H31" s="382"/>
      <c r="I31" s="383"/>
      <c r="J31" s="382"/>
      <c r="K31" s="384"/>
      <c r="L31" s="32"/>
      <c r="M31" s="32"/>
      <c r="N31" s="34"/>
      <c r="O31" s="34"/>
      <c r="P31" s="34"/>
      <c r="Q31" s="32"/>
      <c r="R31" s="32"/>
      <c r="S31" s="32"/>
      <c r="T31" s="32"/>
      <c r="U31" s="32"/>
      <c r="V31" s="32"/>
      <c r="W31" s="32"/>
      <c r="X31" s="33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77"/>
      <c r="AR31" s="378"/>
      <c r="AU31" s="379"/>
      <c r="AV31" s="379"/>
      <c r="AW31" s="379"/>
      <c r="AX31" s="379"/>
      <c r="AY31" s="380"/>
    </row>
    <row r="32" spans="3:51" s="372" customFormat="1" ht="19">
      <c r="G32" s="386"/>
      <c r="I32" s="387"/>
      <c r="J32" s="32"/>
      <c r="K32" s="32"/>
      <c r="L32" s="32"/>
      <c r="M32" s="32"/>
      <c r="N32" s="34"/>
      <c r="O32" s="34"/>
      <c r="P32" s="34"/>
      <c r="Q32" s="32"/>
      <c r="R32" s="32"/>
      <c r="S32" s="32"/>
      <c r="T32" s="32"/>
      <c r="U32" s="32"/>
      <c r="V32" s="32"/>
      <c r="W32" s="32"/>
      <c r="X32" s="33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77"/>
      <c r="AR32" s="378"/>
      <c r="AU32" s="379"/>
      <c r="AV32" s="379"/>
      <c r="AW32" s="379"/>
      <c r="AX32" s="379"/>
      <c r="AY32" s="380"/>
    </row>
    <row r="33" spans="3:51" s="372" customFormat="1" ht="19">
      <c r="C33" s="88"/>
      <c r="G33" s="386"/>
      <c r="H33" s="388"/>
      <c r="I33" s="389"/>
      <c r="J33" s="32"/>
      <c r="K33" s="32"/>
      <c r="L33" s="32"/>
      <c r="M33" s="32"/>
      <c r="N33" s="34"/>
      <c r="O33" s="34"/>
      <c r="P33" s="34"/>
      <c r="Q33" s="32"/>
      <c r="R33" s="32"/>
      <c r="S33" s="32"/>
      <c r="T33" s="32"/>
      <c r="U33" s="32"/>
      <c r="V33" s="32"/>
      <c r="W33" s="32"/>
      <c r="X33" s="33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77"/>
      <c r="AR33" s="378"/>
      <c r="AU33" s="379"/>
      <c r="AV33" s="379"/>
      <c r="AW33" s="379"/>
      <c r="AX33" s="379"/>
      <c r="AY33" s="380"/>
    </row>
    <row r="34" spans="3:51" s="372" customFormat="1" ht="18" customHeight="1">
      <c r="G34" s="386"/>
      <c r="H34" s="388"/>
      <c r="I34" s="389"/>
      <c r="J34" s="32"/>
      <c r="K34" s="32"/>
      <c r="L34" s="32"/>
      <c r="M34" s="32"/>
      <c r="N34" s="34"/>
      <c r="O34" s="34"/>
      <c r="P34" s="34"/>
      <c r="Q34" s="32"/>
      <c r="R34" s="32"/>
      <c r="S34" s="32"/>
      <c r="T34" s="32"/>
      <c r="U34" s="32"/>
      <c r="V34" s="32"/>
      <c r="W34" s="32"/>
      <c r="X34" s="33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77"/>
      <c r="AR34" s="378"/>
      <c r="AU34" s="379"/>
      <c r="AV34" s="379"/>
      <c r="AW34" s="379"/>
      <c r="AX34" s="379"/>
      <c r="AY34" s="380"/>
    </row>
    <row r="35" spans="3:51" s="372" customFormat="1" ht="17.25" customHeight="1">
      <c r="G35" s="386"/>
      <c r="H35" s="388"/>
      <c r="I35" s="389"/>
      <c r="J35" s="32"/>
      <c r="K35" s="32"/>
      <c r="L35" s="32"/>
      <c r="M35" s="32"/>
      <c r="N35" s="34"/>
      <c r="O35" s="34"/>
      <c r="P35" s="34"/>
      <c r="Q35" s="32"/>
      <c r="R35" s="32"/>
      <c r="S35" s="32"/>
      <c r="T35" s="32"/>
      <c r="U35" s="32"/>
      <c r="V35" s="32"/>
      <c r="W35" s="32"/>
      <c r="X35" s="33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77"/>
      <c r="AR35" s="378"/>
      <c r="AU35" s="379"/>
      <c r="AV35" s="379"/>
      <c r="AW35" s="379"/>
      <c r="AX35" s="379"/>
      <c r="AY35" s="380"/>
    </row>
    <row r="36" spans="3:51" s="372" customFormat="1" ht="38.25" customHeight="1">
      <c r="G36" s="386"/>
      <c r="H36" s="388"/>
      <c r="I36" s="389"/>
      <c r="J36" s="32"/>
      <c r="K36" s="32"/>
      <c r="L36" s="32"/>
      <c r="M36" s="32"/>
      <c r="N36" s="34"/>
      <c r="O36" s="34"/>
      <c r="P36" s="34"/>
      <c r="Q36" s="32"/>
      <c r="R36" s="32"/>
      <c r="S36" s="32"/>
      <c r="T36" s="32"/>
      <c r="U36" s="32"/>
      <c r="V36" s="32"/>
      <c r="W36" s="32"/>
      <c r="X36" s="33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77"/>
      <c r="AR36" s="378"/>
      <c r="AU36" s="379"/>
      <c r="AV36" s="379"/>
      <c r="AW36" s="379"/>
      <c r="AX36" s="379"/>
      <c r="AY36" s="380"/>
    </row>
    <row r="37" spans="3:51" s="372" customFormat="1" ht="19">
      <c r="G37" s="386"/>
      <c r="H37" s="388"/>
      <c r="I37" s="389"/>
      <c r="J37" s="32"/>
      <c r="K37" s="32"/>
      <c r="L37" s="32"/>
      <c r="M37" s="32"/>
      <c r="N37" s="34"/>
      <c r="O37" s="34"/>
      <c r="P37" s="34"/>
      <c r="Q37" s="32"/>
      <c r="R37" s="32"/>
      <c r="S37" s="32"/>
      <c r="T37" s="32"/>
      <c r="U37" s="32"/>
      <c r="V37" s="32"/>
      <c r="W37" s="32"/>
      <c r="X37" s="33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85"/>
      <c r="AR37" s="378"/>
      <c r="AU37" s="379"/>
      <c r="AV37" s="379"/>
      <c r="AW37" s="379"/>
      <c r="AX37" s="379"/>
      <c r="AY37" s="380"/>
    </row>
    <row r="38" spans="3:51" s="372" customFormat="1" ht="19">
      <c r="G38" s="386"/>
      <c r="H38" s="388"/>
      <c r="I38" s="389"/>
      <c r="J38" s="32"/>
      <c r="K38" s="32"/>
      <c r="L38" s="32"/>
      <c r="M38" s="32"/>
      <c r="N38" s="34"/>
      <c r="O38" s="34"/>
      <c r="P38" s="34"/>
      <c r="Q38" s="32"/>
      <c r="R38" s="32"/>
      <c r="S38" s="32"/>
      <c r="T38" s="32"/>
      <c r="U38" s="32"/>
      <c r="V38" s="32"/>
      <c r="W38" s="32"/>
      <c r="X38" s="33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77"/>
      <c r="AR38" s="378"/>
      <c r="AU38" s="379"/>
      <c r="AV38" s="379"/>
      <c r="AW38" s="379"/>
      <c r="AX38" s="379"/>
      <c r="AY38" s="380"/>
    </row>
    <row r="39" spans="3:51" s="372" customFormat="1" ht="19">
      <c r="G39" s="386"/>
      <c r="H39" s="390"/>
      <c r="I39" s="389"/>
      <c r="J39" s="32"/>
      <c r="K39" s="32"/>
      <c r="L39" s="32"/>
      <c r="M39" s="32"/>
      <c r="N39" s="34"/>
      <c r="O39" s="34"/>
      <c r="P39" s="34"/>
      <c r="Q39" s="32"/>
      <c r="R39" s="32"/>
      <c r="S39" s="32"/>
      <c r="T39" s="32"/>
      <c r="U39" s="32"/>
      <c r="V39" s="32"/>
      <c r="W39" s="32"/>
      <c r="X39" s="33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77"/>
      <c r="AR39" s="378"/>
      <c r="AU39" s="379"/>
      <c r="AV39" s="379"/>
      <c r="AW39" s="379"/>
      <c r="AX39" s="379"/>
      <c r="AY39" s="380"/>
    </row>
    <row r="40" spans="3:51" s="372" customFormat="1" ht="19">
      <c r="G40" s="386"/>
      <c r="H40" s="391"/>
      <c r="I40" s="389"/>
      <c r="J40" s="32"/>
      <c r="K40" s="32"/>
      <c r="L40" s="32"/>
      <c r="M40" s="32"/>
      <c r="N40" s="34"/>
      <c r="O40" s="34"/>
      <c r="P40" s="34"/>
      <c r="Q40" s="32"/>
      <c r="R40" s="32"/>
      <c r="S40" s="32"/>
      <c r="T40" s="32"/>
      <c r="U40" s="32"/>
      <c r="V40" s="32"/>
      <c r="W40" s="32"/>
      <c r="X40" s="33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77"/>
      <c r="AR40" s="378"/>
      <c r="AU40" s="379"/>
      <c r="AV40" s="379"/>
      <c r="AW40" s="379"/>
      <c r="AX40" s="379"/>
      <c r="AY40" s="380"/>
    </row>
    <row r="41" spans="3:51" s="372" customFormat="1" ht="19">
      <c r="G41" s="386"/>
      <c r="H41" s="391"/>
      <c r="I41" s="389"/>
      <c r="J41" s="32"/>
      <c r="K41" s="32"/>
      <c r="L41" s="32"/>
      <c r="M41" s="32"/>
      <c r="N41" s="34"/>
      <c r="O41" s="34"/>
      <c r="P41" s="34"/>
      <c r="Q41" s="32"/>
      <c r="R41" s="32"/>
      <c r="S41" s="32"/>
      <c r="T41" s="32"/>
      <c r="U41" s="32"/>
      <c r="V41" s="32"/>
      <c r="W41" s="32"/>
      <c r="X41" s="33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85"/>
      <c r="AR41" s="378"/>
      <c r="AU41" s="379"/>
      <c r="AV41" s="379"/>
      <c r="AW41" s="379"/>
      <c r="AX41" s="379"/>
      <c r="AY41" s="380"/>
    </row>
    <row r="42" spans="3:51" s="372" customFormat="1" ht="19">
      <c r="G42" s="386"/>
      <c r="I42" s="387"/>
      <c r="J42" s="32"/>
      <c r="K42" s="32"/>
      <c r="L42" s="32"/>
      <c r="M42" s="32"/>
      <c r="N42" s="34"/>
      <c r="O42" s="34"/>
      <c r="P42" s="34"/>
      <c r="Q42" s="32"/>
      <c r="R42" s="32"/>
      <c r="S42" s="32"/>
      <c r="T42" s="32"/>
      <c r="U42" s="32"/>
      <c r="V42" s="32"/>
      <c r="W42" s="32"/>
      <c r="X42" s="33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77"/>
      <c r="AR42" s="378"/>
      <c r="AU42" s="379"/>
      <c r="AV42" s="379"/>
      <c r="AW42" s="379"/>
      <c r="AX42" s="379"/>
      <c r="AY42" s="380"/>
    </row>
  </sheetData>
  <autoFilter ref="A3:AU11" xr:uid="{00000000-0009-0000-0000-00000E000000}"/>
  <mergeCells count="20">
    <mergeCell ref="AR1:AR2"/>
    <mergeCell ref="AS1:AS2"/>
    <mergeCell ref="AU1:AU3"/>
    <mergeCell ref="AQ1:AQ2"/>
    <mergeCell ref="AT1:AT3"/>
    <mergeCell ref="A12:E12"/>
    <mergeCell ref="AN1:AN2"/>
    <mergeCell ref="AO1:AO2"/>
    <mergeCell ref="AP1:AP2"/>
    <mergeCell ref="F1:F3"/>
    <mergeCell ref="AL1:AL2"/>
    <mergeCell ref="A1:A3"/>
    <mergeCell ref="B1:B2"/>
    <mergeCell ref="C1:C3"/>
    <mergeCell ref="D1:D3"/>
    <mergeCell ref="E1:E3"/>
    <mergeCell ref="G1:H1"/>
    <mergeCell ref="I1:AG1"/>
    <mergeCell ref="AM1:AM3"/>
    <mergeCell ref="AK1:AK3"/>
  </mergeCells>
  <conditionalFormatting sqref="C4:C11">
    <cfRule type="duplicateValues" dxfId="83" priority="1128256"/>
    <cfRule type="duplicateValues" dxfId="82" priority="1128257"/>
    <cfRule type="duplicateValues" dxfId="81" priority="1128258"/>
  </conditionalFormatting>
  <conditionalFormatting sqref="C16:C42">
    <cfRule type="duplicateValues" dxfId="80" priority="1327642"/>
    <cfRule type="duplicateValues" dxfId="79" priority="1327643"/>
    <cfRule type="duplicateValues" dxfId="78" priority="1327644"/>
    <cfRule type="duplicateValues" dxfId="77" priority="1327648"/>
    <cfRule type="duplicateValues" dxfId="76" priority="1327649"/>
  </conditionalFormatting>
  <conditionalFormatting sqref="C32">
    <cfRule type="duplicateValues" dxfId="75" priority="14"/>
  </conditionalFormatting>
  <conditionalFormatting sqref="C32:C42">
    <cfRule type="duplicateValues" dxfId="74" priority="17"/>
    <cfRule type="duplicateValues" dxfId="73" priority="20"/>
    <cfRule type="duplicateValues" dxfId="72" priority="21"/>
    <cfRule type="duplicateValues" dxfId="71" priority="22"/>
    <cfRule type="duplicateValues" dxfId="70" priority="23"/>
  </conditionalFormatting>
  <conditionalFormatting sqref="C33">
    <cfRule type="duplicateValues" dxfId="69" priority="15"/>
    <cfRule type="duplicateValues" dxfId="68" priority="16"/>
  </conditionalFormatting>
  <conditionalFormatting sqref="C43:C1048576 C13:C15">
    <cfRule type="duplicateValues" dxfId="67" priority="1327639"/>
  </conditionalFormatting>
  <conditionalFormatting sqref="D16:D31">
    <cfRule type="duplicateValues" dxfId="66" priority="1327652"/>
    <cfRule type="duplicateValues" dxfId="65" priority="1327653"/>
    <cfRule type="duplicateValues" dxfId="64" priority="1327654" stopIfTrue="1"/>
    <cfRule type="duplicateValues" dxfId="63" priority="1327655" stopIfTrue="1"/>
    <cfRule type="duplicateValues" dxfId="62" priority="1327656"/>
    <cfRule type="duplicateValues" dxfId="61" priority="1327657" stopIfTrue="1"/>
    <cfRule type="duplicateValues" dxfId="60" priority="1327658" stopIfTrue="1"/>
    <cfRule type="expression" dxfId="59" priority="1327659" stopIfTrue="1">
      <formula>AND(COUNTIF(#REF!, D16)+COUNTIF(#REF!, D16)&gt;1,NOT(ISBLANK(D16)))</formula>
    </cfRule>
  </conditionalFormatting>
  <conditionalFormatting sqref="E16">
    <cfRule type="duplicateValues" dxfId="58" priority="3"/>
    <cfRule type="duplicateValues" dxfId="57" priority="4"/>
    <cfRule type="duplicateValues" dxfId="56" priority="5"/>
  </conditionalFormatting>
  <conditionalFormatting sqref="C1:C3">
    <cfRule type="duplicateValues" dxfId="55" priority="1"/>
  </conditionalFormatting>
  <dataValidations count="3">
    <dataValidation type="list" allowBlank="1" showErrorMessage="1" sqref="AI11:AJ12 AC12:AH12 G11:AB12 AJ4:AJ10" xr:uid="{00000000-0002-0000-0E00-000000000000}">
      <formula1>#REF!</formula1>
    </dataValidation>
    <dataValidation allowBlank="1" showErrorMessage="1" sqref="AC11:AH11 G4:AI10 C4:D5" xr:uid="{00000000-0002-0000-0E00-000001000000}"/>
    <dataValidation type="list" allowBlank="1" showInputMessage="1" showErrorMessage="1" sqref="T16:T17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T32"/>
  <sheetViews>
    <sheetView zoomScale="80" zoomScaleNormal="80" zoomScaleSheetLayoutView="82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sqref="A1:XFD3"/>
    </sheetView>
  </sheetViews>
  <sheetFormatPr baseColWidth="10" defaultColWidth="6.5" defaultRowHeight="12" outlineLevelCol="2"/>
  <cols>
    <col min="1" max="1" width="5.1640625" style="1" customWidth="1"/>
    <col min="2" max="2" width="13.83203125" style="1" customWidth="1"/>
    <col min="3" max="3" width="23.83203125" style="1" customWidth="1" outlineLevel="1"/>
    <col min="4" max="4" width="15.5" style="1" customWidth="1" outlineLevel="1"/>
    <col min="5" max="5" width="19.1640625" style="1" customWidth="1"/>
    <col min="6" max="6" width="12.5" style="3" customWidth="1"/>
    <col min="7" max="7" width="10.6640625" style="4" customWidth="1"/>
    <col min="8" max="8" width="8" style="4" customWidth="1"/>
    <col min="9" max="9" width="8" style="3" customWidth="1"/>
    <col min="10" max="10" width="11.33203125" style="3" customWidth="1" outlineLevel="2"/>
    <col min="11" max="11" width="11.5" style="3" customWidth="1" outlineLevel="2"/>
    <col min="12" max="12" width="11.6640625" style="3" customWidth="1"/>
    <col min="13" max="13" width="15" style="3" customWidth="1"/>
    <col min="14" max="14" width="11.33203125" style="5" customWidth="1"/>
    <col min="15" max="15" width="12" style="3" customWidth="1"/>
    <col min="16" max="16" width="13.83203125" style="3" customWidth="1" outlineLevel="1"/>
    <col min="17" max="17" width="12.5" style="3" customWidth="1" outlineLevel="1"/>
    <col min="18" max="18" width="16.1640625" style="3" customWidth="1"/>
    <col min="19" max="19" width="16.33203125" style="3" customWidth="1" outlineLevel="1"/>
    <col min="20" max="20" width="14" style="3" customWidth="1" outlineLevel="1"/>
    <col min="21" max="219" width="9" style="1" customWidth="1"/>
    <col min="220" max="220" width="3.5" style="1" customWidth="1"/>
    <col min="221" max="221" width="19.1640625" style="1" customWidth="1"/>
    <col min="222" max="222" width="10.1640625" style="1" customWidth="1"/>
    <col min="223" max="223" width="10.6640625" style="1" customWidth="1"/>
    <col min="224" max="224" width="8.33203125" style="1" customWidth="1"/>
    <col min="225" max="225" width="8.6640625" style="1" customWidth="1"/>
    <col min="226" max="226" width="6.33203125" style="1" customWidth="1"/>
    <col min="227" max="227" width="7.1640625" style="1" customWidth="1"/>
    <col min="228" max="228" width="5.6640625" style="1" customWidth="1"/>
    <col min="229" max="229" width="5.83203125" style="1" customWidth="1"/>
    <col min="230" max="230" width="5.33203125" style="1" customWidth="1"/>
    <col min="231" max="231" width="6" style="1" customWidth="1"/>
    <col min="232" max="232" width="6.5" style="1" customWidth="1"/>
    <col min="233" max="233" width="6.1640625" style="1" customWidth="1"/>
    <col min="234" max="16384" width="6.5" style="1"/>
  </cols>
  <sheetData>
    <row r="1" spans="1:20" s="10" customFormat="1" ht="25.5" customHeight="1">
      <c r="A1" s="6"/>
      <c r="B1" s="7"/>
      <c r="C1" s="8"/>
      <c r="D1" s="174"/>
      <c r="E1" s="9" t="s">
        <v>184</v>
      </c>
      <c r="F1" s="206" t="s">
        <v>22</v>
      </c>
      <c r="G1" s="207"/>
      <c r="H1" s="207"/>
      <c r="I1" s="207"/>
      <c r="J1" s="207"/>
      <c r="K1" s="208"/>
      <c r="L1" s="206" t="s">
        <v>59</v>
      </c>
      <c r="M1" s="207"/>
      <c r="N1" s="207"/>
      <c r="O1" s="207"/>
      <c r="P1" s="207"/>
      <c r="Q1" s="208"/>
      <c r="R1" s="209" t="s">
        <v>58</v>
      </c>
      <c r="S1" s="209" t="s">
        <v>23</v>
      </c>
      <c r="T1" s="209" t="s">
        <v>24</v>
      </c>
    </row>
    <row r="2" spans="1:20" s="10" customFormat="1" ht="33" customHeight="1">
      <c r="A2" s="11" t="s">
        <v>8</v>
      </c>
      <c r="B2" s="12" t="s">
        <v>25</v>
      </c>
      <c r="C2" s="13" t="s">
        <v>26</v>
      </c>
      <c r="D2" s="175" t="s">
        <v>62</v>
      </c>
      <c r="E2" s="14" t="s">
        <v>28</v>
      </c>
      <c r="F2" s="15">
        <v>1.5</v>
      </c>
      <c r="G2" s="15">
        <v>2.15</v>
      </c>
      <c r="H2" s="15">
        <v>2</v>
      </c>
      <c r="I2" s="15">
        <v>2.8</v>
      </c>
      <c r="J2" s="15">
        <v>3</v>
      </c>
      <c r="K2" s="15">
        <v>4.0999999999999996</v>
      </c>
      <c r="L2" s="15">
        <v>1.5</v>
      </c>
      <c r="M2" s="15">
        <v>2.15</v>
      </c>
      <c r="N2" s="15">
        <v>2</v>
      </c>
      <c r="O2" s="15">
        <v>2.8</v>
      </c>
      <c r="P2" s="15">
        <v>3</v>
      </c>
      <c r="Q2" s="15">
        <v>4.0999999999999996</v>
      </c>
      <c r="R2" s="210"/>
      <c r="S2" s="210"/>
      <c r="T2" s="210"/>
    </row>
    <row r="3" spans="1:20" s="19" customFormat="1" ht="15.75" customHeight="1">
      <c r="A3" s="16"/>
      <c r="B3" s="17">
        <v>1</v>
      </c>
      <c r="C3" s="144">
        <f>B3+1</f>
        <v>2</v>
      </c>
      <c r="D3" s="144">
        <f t="shared" ref="D3:F3" si="0">C3+1</f>
        <v>3</v>
      </c>
      <c r="E3" s="144">
        <f t="shared" si="0"/>
        <v>4</v>
      </c>
      <c r="F3" s="144">
        <f t="shared" si="0"/>
        <v>5</v>
      </c>
      <c r="G3" s="18">
        <f t="shared" ref="G3:T3" si="1">F3+1</f>
        <v>6</v>
      </c>
      <c r="H3" s="18">
        <f t="shared" si="1"/>
        <v>7</v>
      </c>
      <c r="I3" s="18">
        <f t="shared" si="1"/>
        <v>8</v>
      </c>
      <c r="J3" s="18">
        <f t="shared" si="1"/>
        <v>9</v>
      </c>
      <c r="K3" s="18">
        <f t="shared" si="1"/>
        <v>10</v>
      </c>
      <c r="L3" s="18">
        <f t="shared" si="1"/>
        <v>11</v>
      </c>
      <c r="M3" s="18">
        <f t="shared" si="1"/>
        <v>12</v>
      </c>
      <c r="N3" s="18">
        <f t="shared" si="1"/>
        <v>13</v>
      </c>
      <c r="O3" s="18">
        <f t="shared" si="1"/>
        <v>14</v>
      </c>
      <c r="P3" s="18">
        <f t="shared" si="1"/>
        <v>15</v>
      </c>
      <c r="Q3" s="18">
        <f t="shared" si="1"/>
        <v>16</v>
      </c>
      <c r="R3" s="18">
        <f t="shared" si="1"/>
        <v>17</v>
      </c>
      <c r="S3" s="18">
        <f t="shared" si="1"/>
        <v>18</v>
      </c>
      <c r="T3" s="18">
        <f t="shared" si="1"/>
        <v>19</v>
      </c>
    </row>
    <row r="4" spans="1:20" s="22" customFormat="1" ht="22.5" customHeight="1">
      <c r="A4" s="20">
        <f>ROW()-6</f>
        <v>-2</v>
      </c>
      <c r="B4" s="142" t="s">
        <v>181</v>
      </c>
      <c r="C4" s="156" t="s">
        <v>191</v>
      </c>
      <c r="D4" s="176">
        <v>43466</v>
      </c>
      <c r="E4" s="179">
        <f>VLOOKUP(B4,'Template Payroll'!$B$3:$J$3,9,0)</f>
        <v>47000000</v>
      </c>
      <c r="F4" s="178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3">
        <f>ROUND(E4/26/8*$L$2*F4,0)</f>
        <v>0</v>
      </c>
      <c r="M4" s="23">
        <f>ROUND(E4/26/8*$M$2*G4,0)</f>
        <v>0</v>
      </c>
      <c r="N4" s="23">
        <f>ROUND(E4/26/8*$N$2*H4,0)</f>
        <v>0</v>
      </c>
      <c r="O4" s="23">
        <f>ROUND(E4/26/8*$O$2*I4,0)</f>
        <v>0</v>
      </c>
      <c r="P4" s="23">
        <f>ROUND(E4/26/8*$P$2*J4,0)</f>
        <v>0</v>
      </c>
      <c r="Q4" s="23">
        <f>ROUND(E4/26/8*$Q$2*K4,0)</f>
        <v>0</v>
      </c>
      <c r="R4" s="24">
        <f>ROUND(SUM(L4:Q4),0)</f>
        <v>0</v>
      </c>
      <c r="S4" s="25">
        <f>ROUND(SUM(F4:K4)*E4/26/8,0)</f>
        <v>0</v>
      </c>
      <c r="T4" s="26">
        <f>ROUND(R4-S4,0)</f>
        <v>0</v>
      </c>
    </row>
    <row r="5" spans="1:20" s="22" customFormat="1" ht="22.5" customHeight="1">
      <c r="A5" s="20">
        <f t="shared" ref="A5" si="2">ROW()-6</f>
        <v>-1</v>
      </c>
      <c r="B5" s="142" t="s">
        <v>182</v>
      </c>
      <c r="C5" s="156" t="s">
        <v>192</v>
      </c>
      <c r="D5" s="177">
        <v>43831</v>
      </c>
      <c r="E5" s="143" t="e">
        <f>VLOOKUP(B5,'Template Payroll'!$B$3:$J$3,9,0)</f>
        <v>#N/A</v>
      </c>
      <c r="F5" s="21">
        <v>0</v>
      </c>
      <c r="G5" s="21">
        <v>6</v>
      </c>
      <c r="H5" s="21">
        <v>0</v>
      </c>
      <c r="I5" s="21">
        <v>0</v>
      </c>
      <c r="J5" s="21">
        <v>6</v>
      </c>
      <c r="K5" s="21">
        <v>2</v>
      </c>
      <c r="L5" s="23" t="e">
        <f>ROUND(E5/26/8*$L$2*F5,0)</f>
        <v>#N/A</v>
      </c>
      <c r="M5" s="23" t="e">
        <f>ROUND(E5/26/8*$M$2*G5,0)</f>
        <v>#N/A</v>
      </c>
      <c r="N5" s="23" t="e">
        <f>ROUND(E5/26/8*$N$2*H5,0)</f>
        <v>#N/A</v>
      </c>
      <c r="O5" s="23" t="e">
        <f>ROUND(E5/26/8*$O$2*I5,0)</f>
        <v>#N/A</v>
      </c>
      <c r="P5" s="23" t="e">
        <f>ROUND(E5/26/8*$P$2*J5,0)</f>
        <v>#N/A</v>
      </c>
      <c r="Q5" s="23" t="e">
        <f>ROUND(E5/26/8*$Q$2*K5,0)</f>
        <v>#N/A</v>
      </c>
      <c r="R5" s="24" t="e">
        <f>ROUND(SUM(L5:Q5),0)</f>
        <v>#N/A</v>
      </c>
      <c r="S5" s="25" t="e">
        <f>ROUND(SUM(F5:K5)*E5/26/8,0)</f>
        <v>#N/A</v>
      </c>
      <c r="T5" s="26" t="e">
        <f>ROUND(R5-S5,0)</f>
        <v>#N/A</v>
      </c>
    </row>
    <row r="6" spans="1:20">
      <c r="F6" s="1"/>
      <c r="G6" s="1"/>
      <c r="H6" s="1"/>
      <c r="N6" s="3"/>
      <c r="O6" s="1"/>
      <c r="P6" s="1"/>
      <c r="Q6" s="1"/>
      <c r="R6" s="1"/>
      <c r="S6" s="1"/>
      <c r="T6" s="1"/>
    </row>
    <row r="7" spans="1:20">
      <c r="F7" s="1"/>
      <c r="G7" s="1"/>
      <c r="H7" s="1"/>
      <c r="N7" s="3"/>
      <c r="O7" s="1"/>
      <c r="P7" s="1"/>
      <c r="Q7" s="1"/>
      <c r="R7" s="1"/>
      <c r="S7" s="1"/>
      <c r="T7" s="1"/>
    </row>
    <row r="8" spans="1:20">
      <c r="F8" s="1"/>
      <c r="G8" s="1"/>
      <c r="H8" s="1"/>
      <c r="N8" s="3"/>
      <c r="O8" s="1"/>
      <c r="P8" s="1"/>
      <c r="Q8" s="1"/>
      <c r="R8" s="1"/>
      <c r="S8" s="1"/>
      <c r="T8" s="1"/>
    </row>
    <row r="9" spans="1:20">
      <c r="F9" s="1"/>
      <c r="G9" s="1"/>
      <c r="H9" s="1"/>
      <c r="N9" s="3"/>
      <c r="O9" s="1"/>
      <c r="P9" s="1"/>
      <c r="Q9" s="1"/>
      <c r="R9" s="1"/>
      <c r="S9" s="1"/>
      <c r="T9" s="1"/>
    </row>
    <row r="10" spans="1:20">
      <c r="F10" s="1"/>
      <c r="G10" s="1"/>
      <c r="H10" s="1"/>
      <c r="N10" s="3"/>
      <c r="O10" s="1"/>
      <c r="P10" s="1"/>
      <c r="Q10" s="1"/>
      <c r="R10" s="1"/>
      <c r="S10" s="1"/>
      <c r="T10" s="1"/>
    </row>
    <row r="11" spans="1:20">
      <c r="F11" s="1"/>
      <c r="G11" s="1"/>
      <c r="H11" s="1"/>
      <c r="N11" s="3"/>
      <c r="O11" s="1"/>
      <c r="P11" s="1"/>
      <c r="Q11" s="1"/>
      <c r="R11" s="1"/>
      <c r="S11" s="1"/>
      <c r="T11" s="1"/>
    </row>
    <row r="12" spans="1:20">
      <c r="F12" s="1"/>
      <c r="G12" s="1"/>
      <c r="H12" s="1"/>
      <c r="N12" s="3"/>
      <c r="O12" s="1"/>
      <c r="P12" s="1"/>
      <c r="Q12" s="1"/>
      <c r="R12" s="1"/>
      <c r="S12" s="1"/>
      <c r="T12" s="1"/>
    </row>
    <row r="13" spans="1:20">
      <c r="F13" s="1"/>
      <c r="G13" s="1"/>
      <c r="H13" s="1"/>
      <c r="N13" s="3"/>
      <c r="O13" s="1"/>
      <c r="P13" s="1"/>
      <c r="Q13" s="1"/>
      <c r="R13" s="1"/>
      <c r="S13" s="1"/>
      <c r="T13" s="1"/>
    </row>
    <row r="14" spans="1:20">
      <c r="F14" s="1"/>
      <c r="G14" s="1"/>
      <c r="H14" s="1"/>
      <c r="N14" s="3"/>
      <c r="O14" s="1"/>
      <c r="P14" s="1"/>
      <c r="Q14" s="1"/>
      <c r="R14" s="1"/>
      <c r="S14" s="1"/>
      <c r="T14" s="1"/>
    </row>
    <row r="15" spans="1:20">
      <c r="F15" s="1"/>
      <c r="G15" s="1"/>
      <c r="H15" s="1"/>
      <c r="N15" s="3"/>
      <c r="O15" s="1"/>
      <c r="P15" s="1"/>
      <c r="Q15" s="1"/>
      <c r="R15" s="1"/>
      <c r="S15" s="1"/>
      <c r="T15" s="1"/>
    </row>
    <row r="16" spans="1:20">
      <c r="F16" s="1"/>
      <c r="G16" s="1"/>
      <c r="H16" s="1"/>
      <c r="N16" s="3"/>
      <c r="O16" s="1"/>
      <c r="P16" s="1"/>
      <c r="Q16" s="1"/>
      <c r="R16" s="1"/>
      <c r="S16" s="1"/>
      <c r="T16" s="1"/>
    </row>
    <row r="17" spans="9:14" s="1" customFormat="1">
      <c r="I17" s="3"/>
      <c r="J17" s="3"/>
      <c r="K17" s="3"/>
      <c r="L17" s="3"/>
      <c r="M17" s="3"/>
      <c r="N17" s="3"/>
    </row>
    <row r="18" spans="9:14" s="1" customFormat="1">
      <c r="I18" s="3"/>
      <c r="J18" s="3"/>
      <c r="K18" s="3"/>
      <c r="L18" s="3"/>
      <c r="M18" s="3"/>
      <c r="N18" s="3"/>
    </row>
    <row r="19" spans="9:14" s="1" customFormat="1">
      <c r="I19" s="3"/>
      <c r="J19" s="3"/>
      <c r="K19" s="3"/>
      <c r="L19" s="3"/>
      <c r="M19" s="3"/>
      <c r="N19" s="3"/>
    </row>
    <row r="20" spans="9:14" s="1" customFormat="1">
      <c r="I20" s="3"/>
      <c r="J20" s="3"/>
      <c r="K20" s="3"/>
      <c r="L20" s="3"/>
      <c r="M20" s="3"/>
      <c r="N20" s="3"/>
    </row>
    <row r="21" spans="9:14" s="1" customFormat="1">
      <c r="I21" s="3"/>
      <c r="J21" s="3"/>
      <c r="K21" s="3"/>
      <c r="L21" s="3"/>
      <c r="M21" s="3"/>
      <c r="N21" s="3"/>
    </row>
    <row r="22" spans="9:14" s="1" customFormat="1">
      <c r="I22" s="3"/>
      <c r="J22" s="3"/>
      <c r="K22" s="3"/>
      <c r="L22" s="3"/>
      <c r="M22" s="3"/>
      <c r="N22" s="3"/>
    </row>
    <row r="23" spans="9:14" s="1" customFormat="1">
      <c r="I23" s="3"/>
      <c r="J23" s="3"/>
      <c r="K23" s="3"/>
      <c r="L23" s="3"/>
      <c r="M23" s="3"/>
      <c r="N23" s="3"/>
    </row>
    <row r="24" spans="9:14" s="1" customFormat="1">
      <c r="I24" s="3"/>
      <c r="J24" s="3"/>
      <c r="K24" s="3"/>
      <c r="L24" s="3"/>
      <c r="M24" s="3"/>
      <c r="N24" s="3"/>
    </row>
    <row r="25" spans="9:14" s="1" customFormat="1">
      <c r="I25" s="3"/>
      <c r="J25" s="3"/>
      <c r="K25" s="3"/>
      <c r="L25" s="3"/>
      <c r="M25" s="3"/>
      <c r="N25" s="3"/>
    </row>
    <row r="26" spans="9:14" s="1" customFormat="1">
      <c r="I26" s="3"/>
      <c r="J26" s="3"/>
      <c r="K26" s="3"/>
      <c r="L26" s="3"/>
      <c r="M26" s="3"/>
      <c r="N26" s="3"/>
    </row>
    <row r="27" spans="9:14" s="1" customFormat="1">
      <c r="I27" s="3"/>
      <c r="J27" s="3"/>
      <c r="K27" s="3"/>
      <c r="L27" s="3"/>
      <c r="M27" s="3"/>
      <c r="N27" s="3"/>
    </row>
    <row r="28" spans="9:14" s="1" customFormat="1">
      <c r="I28" s="3"/>
      <c r="J28" s="3"/>
      <c r="K28" s="3"/>
      <c r="L28" s="3"/>
      <c r="M28" s="3"/>
      <c r="N28" s="3"/>
    </row>
    <row r="29" spans="9:14" s="1" customFormat="1">
      <c r="I29" s="3"/>
      <c r="J29" s="3"/>
      <c r="K29" s="3"/>
      <c r="L29" s="3"/>
      <c r="M29" s="3"/>
      <c r="N29" s="3"/>
    </row>
    <row r="30" spans="9:14" s="1" customFormat="1">
      <c r="I30" s="3"/>
      <c r="J30" s="3"/>
      <c r="K30" s="3"/>
      <c r="L30" s="3"/>
      <c r="M30" s="3"/>
      <c r="N30" s="3"/>
    </row>
    <row r="31" spans="9:14" s="1" customFormat="1">
      <c r="I31" s="3"/>
      <c r="J31" s="3"/>
      <c r="K31" s="3"/>
      <c r="L31" s="3"/>
      <c r="M31" s="3"/>
      <c r="N31" s="3"/>
    </row>
    <row r="32" spans="9:14" s="1" customFormat="1">
      <c r="I32" s="3"/>
      <c r="J32" s="3"/>
      <c r="K32" s="3"/>
      <c r="L32" s="3"/>
      <c r="M32" s="3"/>
      <c r="N32" s="3"/>
    </row>
  </sheetData>
  <sheetProtection selectLockedCells="1" selectUnlockedCells="1"/>
  <autoFilter ref="A2:T5" xr:uid="{00000000-0009-0000-0000-000011000000}"/>
  <mergeCells count="5">
    <mergeCell ref="L1:Q1"/>
    <mergeCell ref="F1:K1"/>
    <mergeCell ref="R1:R2"/>
    <mergeCell ref="S1:S2"/>
    <mergeCell ref="T1:T2"/>
  </mergeCells>
  <conditionalFormatting sqref="B1:B1048576">
    <cfRule type="duplicateValues" dxfId="54" priority="1327751"/>
  </conditionalFormatting>
  <conditionalFormatting sqref="B6:B1048576">
    <cfRule type="duplicateValues" dxfId="53" priority="1327754"/>
  </conditionalFormatting>
  <pageMargins left="0.45833333333333298" right="0.45833333333333298" top="0.74791666666666701" bottom="0.74791666666666701" header="0.51180555555555596" footer="0.51180555555555596"/>
  <pageSetup paperSize="9" scale="55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6"/>
  <sheetViews>
    <sheetView zoomScaleNormal="100" zoomScaleSheetLayoutView="82" workbookViewId="0">
      <pane xSplit="4" ySplit="2" topLeftCell="E3" activePane="bottomRight" state="frozen"/>
      <selection activeCell="C13" sqref="C13"/>
      <selection pane="topRight" activeCell="C13" sqref="C13"/>
      <selection pane="bottomLeft" activeCell="C13" sqref="C13"/>
      <selection pane="bottomRight" activeCell="A6" sqref="A1:XFD6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10" customFormat="1" ht="54" customHeight="1">
      <c r="A1" s="184" t="s">
        <v>8</v>
      </c>
      <c r="B1" s="185" t="s">
        <v>25</v>
      </c>
      <c r="C1" s="186" t="s">
        <v>26</v>
      </c>
      <c r="D1" s="187" t="s">
        <v>62</v>
      </c>
      <c r="E1" s="188" t="s">
        <v>123</v>
      </c>
      <c r="F1" s="189" t="s">
        <v>31</v>
      </c>
      <c r="G1" s="189" t="s">
        <v>185</v>
      </c>
      <c r="H1" s="189" t="s">
        <v>186</v>
      </c>
      <c r="I1" s="189" t="s">
        <v>187</v>
      </c>
    </row>
    <row r="2" spans="1:9" s="19" customFormat="1" ht="15.75" customHeight="1">
      <c r="A2" s="190"/>
      <c r="B2" s="181">
        <v>1</v>
      </c>
      <c r="C2" s="181">
        <f t="shared" ref="C2:E2" si="0">B2+1</f>
        <v>2</v>
      </c>
      <c r="D2" s="191">
        <v>3</v>
      </c>
      <c r="E2" s="181">
        <f t="shared" si="0"/>
        <v>4</v>
      </c>
      <c r="F2" s="181">
        <f t="shared" ref="F2" si="1">E2+1</f>
        <v>5</v>
      </c>
      <c r="G2" s="181">
        <f t="shared" ref="G2" si="2">F2+1</f>
        <v>6</v>
      </c>
      <c r="H2" s="181">
        <f t="shared" ref="H2" si="3">G2+1</f>
        <v>7</v>
      </c>
      <c r="I2" s="181">
        <f t="shared" ref="I2" si="4">H2+1</f>
        <v>8</v>
      </c>
    </row>
    <row r="3" spans="1:9" s="19" customFormat="1" ht="15.75" customHeight="1">
      <c r="A3" s="192">
        <f>ROW()-8</f>
        <v>-5</v>
      </c>
      <c r="B3" s="182" t="s">
        <v>181</v>
      </c>
      <c r="C3" s="193" t="s">
        <v>179</v>
      </c>
      <c r="D3" s="194">
        <v>43466</v>
      </c>
      <c r="E3" s="195">
        <f>IFERROR(VLOOKUP(B3,'Template Payroll'!$B$3:$J$3,9,0),0)</f>
        <v>47000000</v>
      </c>
      <c r="F3" s="196">
        <v>2</v>
      </c>
      <c r="G3" s="180">
        <f t="shared" ref="G3:G6" si="5">ROUND((E3/26/8)*30%*F3,0)</f>
        <v>135577</v>
      </c>
      <c r="H3" s="197">
        <f>G3-I3</f>
        <v>0</v>
      </c>
      <c r="I3" s="197">
        <f>G3</f>
        <v>135577</v>
      </c>
    </row>
    <row r="4" spans="1:9" s="19" customFormat="1" ht="15.75" customHeight="1">
      <c r="A4" s="192">
        <f t="shared" ref="A4:A6" si="6">ROW()-8</f>
        <v>-4</v>
      </c>
      <c r="B4" s="182" t="s">
        <v>182</v>
      </c>
      <c r="C4" s="193" t="s">
        <v>180</v>
      </c>
      <c r="D4" s="194">
        <v>43831</v>
      </c>
      <c r="E4" s="195">
        <f>IFERROR(VLOOKUP(B4,'Template Payroll'!$B$3:$J$3,9,0),0)</f>
        <v>0</v>
      </c>
      <c r="F4" s="196">
        <v>3</v>
      </c>
      <c r="G4" s="180">
        <f t="shared" si="5"/>
        <v>0</v>
      </c>
      <c r="H4" s="197">
        <f t="shared" ref="H4:H6" si="7">G4-I4</f>
        <v>0</v>
      </c>
      <c r="I4" s="197">
        <f t="shared" ref="I4:I6" si="8">G4</f>
        <v>0</v>
      </c>
    </row>
    <row r="5" spans="1:9" s="19" customFormat="1" ht="15.75" customHeight="1">
      <c r="A5" s="192">
        <f t="shared" si="6"/>
        <v>-3</v>
      </c>
      <c r="B5" s="182" t="s">
        <v>163</v>
      </c>
      <c r="C5" s="193" t="s">
        <v>193</v>
      </c>
      <c r="D5" s="194">
        <v>44197</v>
      </c>
      <c r="E5" s="195">
        <f>IFERROR(VLOOKUP(B5,'Template Payroll'!$B$3:$J$3,9,0),0)</f>
        <v>0</v>
      </c>
      <c r="F5" s="196">
        <v>4</v>
      </c>
      <c r="G5" s="180">
        <f t="shared" si="5"/>
        <v>0</v>
      </c>
      <c r="H5" s="197">
        <f t="shared" si="7"/>
        <v>0</v>
      </c>
      <c r="I5" s="197">
        <f t="shared" si="8"/>
        <v>0</v>
      </c>
    </row>
    <row r="6" spans="1:9" s="19" customFormat="1" ht="15.75" customHeight="1">
      <c r="A6" s="192">
        <f t="shared" si="6"/>
        <v>-2</v>
      </c>
      <c r="B6" s="182" t="s">
        <v>164</v>
      </c>
      <c r="C6" s="193" t="s">
        <v>194</v>
      </c>
      <c r="D6" s="194">
        <v>44562</v>
      </c>
      <c r="E6" s="195">
        <f>IFERROR(VLOOKUP(B6,'Template Payroll'!$B$3:$J$3,9,0),0)</f>
        <v>0</v>
      </c>
      <c r="F6" s="196">
        <v>1.5</v>
      </c>
      <c r="G6" s="180">
        <f t="shared" si="5"/>
        <v>0</v>
      </c>
      <c r="H6" s="197">
        <f t="shared" si="7"/>
        <v>0</v>
      </c>
      <c r="I6" s="197">
        <f t="shared" si="8"/>
        <v>0</v>
      </c>
    </row>
  </sheetData>
  <sheetProtection selectLockedCells="1" selectUnlockedCells="1"/>
  <autoFilter ref="A1:G6" xr:uid="{00000000-0009-0000-0000-000015000000}"/>
  <conditionalFormatting sqref="B1:B1048576">
    <cfRule type="duplicateValues" dxfId="52" priority="1"/>
    <cfRule type="duplicateValues" dxfId="51" priority="188938"/>
  </conditionalFormatting>
  <conditionalFormatting sqref="B1:B1048576">
    <cfRule type="duplicateValues" dxfId="50" priority="1327755"/>
    <cfRule type="duplicateValues" dxfId="49" priority="1327756"/>
  </conditionalFormatting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sqref="A1:XFD5"/>
    </sheetView>
  </sheetViews>
  <sheetFormatPr baseColWidth="10" defaultColWidth="9.1640625" defaultRowHeight="14"/>
  <cols>
    <col min="1" max="1" width="7.5" style="31" customWidth="1"/>
    <col min="2" max="2" width="12.6640625" style="31" customWidth="1"/>
    <col min="3" max="3" width="26.83203125" style="31" customWidth="1"/>
    <col min="4" max="4" width="10.1640625" style="61" hidden="1" customWidth="1"/>
    <col min="5" max="5" width="10.1640625" style="60" hidden="1" customWidth="1"/>
    <col min="6" max="6" width="10.1640625" style="31" hidden="1" customWidth="1"/>
    <col min="7" max="7" width="18.83203125" style="31" customWidth="1"/>
    <col min="8" max="10" width="16.33203125" style="31" customWidth="1"/>
    <col min="11" max="11" width="13.6640625" style="31" customWidth="1"/>
    <col min="12" max="12" width="15.5" style="31" hidden="1" customWidth="1"/>
    <col min="13" max="13" width="11.83203125" style="31" hidden="1" customWidth="1"/>
    <col min="14" max="16384" width="9.1640625" style="31"/>
  </cols>
  <sheetData>
    <row r="1" spans="1:13" s="40" customFormat="1" ht="21.75" hidden="1" customHeight="1">
      <c r="C1" s="43">
        <v>42004</v>
      </c>
      <c r="D1" s="44">
        <v>41974</v>
      </c>
      <c r="E1" s="41"/>
      <c r="F1" s="45"/>
      <c r="G1" s="45" t="s">
        <v>0</v>
      </c>
      <c r="H1" s="71">
        <f>SUBTOTAL(9,H4:H5)</f>
        <v>4600000</v>
      </c>
      <c r="I1" s="71">
        <f>SUBTOTAL(9,I4:I5)</f>
        <v>0</v>
      </c>
      <c r="J1" s="72">
        <f>SUBTOTAL(9,J4:J5)</f>
        <v>4000000</v>
      </c>
      <c r="K1" s="71">
        <f>SUBTOTAL(9,K4:K5)</f>
        <v>600000</v>
      </c>
    </row>
    <row r="2" spans="1:13" s="47" customFormat="1" ht="20.25" hidden="1" customHeight="1">
      <c r="A2" s="46"/>
      <c r="B2" s="46"/>
      <c r="D2" s="48">
        <v>44561</v>
      </c>
      <c r="E2" s="49"/>
      <c r="F2" s="50">
        <v>42339</v>
      </c>
      <c r="G2" s="51">
        <v>364</v>
      </c>
      <c r="H2" s="89">
        <f>SUBTOTAL(9,H4:H7)</f>
        <v>10210000</v>
      </c>
      <c r="I2" s="89">
        <f>SUBTOTAL(9,I4:I7)</f>
        <v>5610000</v>
      </c>
      <c r="J2" s="89">
        <f>SUBTOTAL(9,J4:J7)</f>
        <v>4000000</v>
      </c>
      <c r="K2" s="89">
        <f>SUBTOTAL(9,K4:K7)</f>
        <v>600000</v>
      </c>
    </row>
    <row r="3" spans="1:13" s="42" customFormat="1" ht="27.75" customHeight="1">
      <c r="A3" s="36" t="s">
        <v>8</v>
      </c>
      <c r="B3" s="37" t="s">
        <v>9</v>
      </c>
      <c r="C3" s="52" t="s">
        <v>10</v>
      </c>
      <c r="D3" s="38" t="s">
        <v>56</v>
      </c>
      <c r="E3" s="53" t="s">
        <v>60</v>
      </c>
      <c r="F3" s="36" t="s">
        <v>11</v>
      </c>
      <c r="G3" s="36" t="s">
        <v>12</v>
      </c>
      <c r="H3" s="39" t="s">
        <v>63</v>
      </c>
      <c r="I3" s="54" t="s">
        <v>82</v>
      </c>
      <c r="J3" s="54" t="s">
        <v>66</v>
      </c>
      <c r="K3" s="54" t="s">
        <v>65</v>
      </c>
    </row>
    <row r="4" spans="1:13" s="55" customFormat="1" ht="15.75" customHeight="1">
      <c r="A4" s="122">
        <f>SUBTOTAL(3,$B$4:B4)</f>
        <v>1</v>
      </c>
      <c r="B4" s="130" t="s">
        <v>166</v>
      </c>
      <c r="C4" s="73" t="s">
        <v>195</v>
      </c>
      <c r="D4" s="64"/>
      <c r="E4" s="64"/>
      <c r="F4" s="73"/>
      <c r="G4" s="73" t="s">
        <v>70</v>
      </c>
      <c r="H4" s="80">
        <f t="shared" ref="H4:H6" si="0">ROUND(SUM($I4:$K4),0)</f>
        <v>2000000</v>
      </c>
      <c r="I4" s="80">
        <v>0</v>
      </c>
      <c r="J4" s="80">
        <v>2000000</v>
      </c>
      <c r="K4" s="80">
        <v>0</v>
      </c>
      <c r="L4" s="55" t="e">
        <f>VLOOKUP(B4,#REF!,36,0)</f>
        <v>#REF!</v>
      </c>
      <c r="M4" s="65" t="e">
        <f>L4=H4</f>
        <v>#REF!</v>
      </c>
    </row>
    <row r="5" spans="1:13" s="55" customFormat="1" ht="15.75" customHeight="1">
      <c r="A5" s="122">
        <f>SUBTOTAL(3,$B$4:B5)</f>
        <v>2</v>
      </c>
      <c r="B5" s="130" t="s">
        <v>167</v>
      </c>
      <c r="C5" s="73" t="s">
        <v>196</v>
      </c>
      <c r="D5" s="64"/>
      <c r="E5" s="64"/>
      <c r="F5" s="73"/>
      <c r="G5" s="73" t="s">
        <v>70</v>
      </c>
      <c r="H5" s="80">
        <f t="shared" si="0"/>
        <v>2600000</v>
      </c>
      <c r="I5" s="80">
        <v>0</v>
      </c>
      <c r="J5" s="80">
        <v>2000000</v>
      </c>
      <c r="K5" s="80">
        <v>600000</v>
      </c>
      <c r="L5" s="55" t="e">
        <f>VLOOKUP(B5,#REF!,36,0)</f>
        <v>#REF!</v>
      </c>
      <c r="M5" s="65" t="e">
        <f t="shared" ref="M5:M6" si="1">L5=H5</f>
        <v>#REF!</v>
      </c>
    </row>
    <row r="6" spans="1:13" s="55" customFormat="1" ht="15.75" customHeight="1">
      <c r="A6" s="122">
        <f>SUBTOTAL(3,$B$4:B6)</f>
        <v>3</v>
      </c>
      <c r="B6" s="131" t="s">
        <v>183</v>
      </c>
      <c r="C6" s="73" t="s">
        <v>197</v>
      </c>
      <c r="D6" s="76"/>
      <c r="E6" s="76"/>
      <c r="F6" s="75"/>
      <c r="G6" s="78" t="s">
        <v>61</v>
      </c>
      <c r="H6" s="80">
        <f t="shared" si="0"/>
        <v>5610000</v>
      </c>
      <c r="I6" s="80">
        <v>5610000</v>
      </c>
      <c r="J6" s="81"/>
      <c r="K6" s="81"/>
      <c r="L6" s="55" t="e">
        <f>VLOOKUP(B6,#REF!,36,0)</f>
        <v>#REF!</v>
      </c>
      <c r="M6" s="65" t="e">
        <f t="shared" si="1"/>
        <v>#REF!</v>
      </c>
    </row>
    <row r="7" spans="1:13" s="55" customFormat="1" ht="15.75" hidden="1" customHeight="1">
      <c r="A7" s="74"/>
      <c r="B7" s="131"/>
      <c r="C7" s="73"/>
      <c r="D7" s="76"/>
      <c r="E7" s="76"/>
      <c r="F7" s="75"/>
      <c r="G7" s="78"/>
      <c r="H7" s="80"/>
      <c r="I7" s="80"/>
      <c r="J7" s="81"/>
      <c r="K7" s="81"/>
      <c r="M7" s="65"/>
    </row>
    <row r="8" spans="1:13" s="55" customFormat="1" ht="20.25" customHeight="1">
      <c r="A8" s="211" t="s">
        <v>64</v>
      </c>
      <c r="B8" s="212"/>
      <c r="C8" s="213"/>
      <c r="D8" s="56"/>
      <c r="E8" s="57"/>
      <c r="F8" s="58"/>
      <c r="G8" s="58"/>
      <c r="H8" s="58">
        <f>SUM(H4:H7)</f>
        <v>10210000</v>
      </c>
      <c r="I8" s="58">
        <f>SUM(I4:I7)</f>
        <v>5610000</v>
      </c>
      <c r="J8" s="58">
        <f>SUM(J4:J7)</f>
        <v>4000000</v>
      </c>
      <c r="K8" s="58">
        <f>SUM(K4:K7)</f>
        <v>600000</v>
      </c>
      <c r="L8" s="67">
        <f>H8-I8-J8-K8</f>
        <v>0</v>
      </c>
    </row>
    <row r="9" spans="1:13" ht="15" customHeight="1">
      <c r="D9" s="59"/>
    </row>
  </sheetData>
  <sheetProtection selectLockedCells="1" selectUnlockedCells="1"/>
  <autoFilter ref="A3:K8" xr:uid="{00000000-0009-0000-0000-000007000000}"/>
  <mergeCells count="1">
    <mergeCell ref="A8:C8"/>
  </mergeCells>
  <phoneticPr fontId="306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9">
    <cfRule type="duplicateValues" dxfId="42" priority="1327597"/>
  </conditionalFormatting>
  <conditionalFormatting sqref="B9:B1048576 B1:B3">
    <cfRule type="duplicateValues" dxfId="41" priority="60"/>
  </conditionalFormatting>
  <conditionalFormatting sqref="B9:B1048576">
    <cfRule type="duplicateValues" dxfId="40" priority="56"/>
    <cfRule type="duplicateValues" dxfId="39" priority="164535"/>
  </conditionalFormatting>
  <conditionalFormatting sqref="B10:B1048576 B1:B3">
    <cfRule type="duplicateValues" dxfId="38" priority="1327608"/>
  </conditionalFormatting>
  <conditionalFormatting sqref="B10:B1048576">
    <cfRule type="duplicateValues" dxfId="37" priority="1327611"/>
    <cfRule type="duplicateValues" dxfId="36" priority="1327612"/>
  </conditionalFormatting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7"/>
  <sheetViews>
    <sheetView zoomScale="90" zoomScaleNormal="90" workbookViewId="0">
      <selection activeCell="J56" sqref="J56"/>
    </sheetView>
  </sheetViews>
  <sheetFormatPr baseColWidth="10" defaultColWidth="9.1640625" defaultRowHeight="15"/>
  <cols>
    <col min="1" max="1" width="7.5" style="82" customWidth="1"/>
    <col min="2" max="2" width="13.5" style="82" customWidth="1"/>
    <col min="3" max="3" width="27.83203125" style="82" customWidth="1"/>
    <col min="4" max="4" width="21" style="82" customWidth="1"/>
    <col min="5" max="5" width="22.5" style="82" customWidth="1"/>
    <col min="6" max="6" width="15" style="82" customWidth="1"/>
    <col min="7" max="7" width="13.33203125" style="82" customWidth="1"/>
    <col min="8" max="8" width="16.5" style="82" customWidth="1"/>
    <col min="9" max="9" width="19.6640625" style="82" customWidth="1"/>
    <col min="10" max="10" width="10.5" style="82" customWidth="1"/>
    <col min="11" max="11" width="6.6640625" style="82" customWidth="1"/>
    <col min="12" max="12" width="11.33203125" style="82" bestFit="1" customWidth="1"/>
    <col min="13" max="14" width="12.5" style="82" customWidth="1"/>
    <col min="15" max="15" width="13" style="82" customWidth="1"/>
    <col min="16" max="16" width="12.83203125" style="82" customWidth="1"/>
    <col min="17" max="16384" width="9.1640625" style="82"/>
  </cols>
  <sheetData>
    <row r="1" spans="1:12" ht="8.25" customHeight="1">
      <c r="A1" s="214" t="s">
        <v>8</v>
      </c>
      <c r="B1" s="214" t="s">
        <v>9</v>
      </c>
      <c r="C1" s="214" t="s">
        <v>10</v>
      </c>
      <c r="D1" s="214" t="s">
        <v>169</v>
      </c>
      <c r="E1" s="214" t="s">
        <v>170</v>
      </c>
      <c r="F1" s="214" t="s">
        <v>105</v>
      </c>
    </row>
    <row r="2" spans="1:12">
      <c r="A2" s="214"/>
      <c r="B2" s="214"/>
      <c r="C2" s="214"/>
      <c r="D2" s="214"/>
      <c r="E2" s="214"/>
      <c r="F2" s="214"/>
    </row>
    <row r="3" spans="1:12" ht="8.25" customHeight="1">
      <c r="A3" s="214"/>
      <c r="B3" s="214"/>
      <c r="C3" s="214"/>
      <c r="D3" s="214"/>
      <c r="E3" s="214"/>
      <c r="F3" s="214"/>
    </row>
    <row r="4" spans="1:12" ht="18" customHeight="1">
      <c r="A4" s="167">
        <v>1</v>
      </c>
      <c r="B4" s="164" t="s">
        <v>163</v>
      </c>
      <c r="C4" s="156" t="s">
        <v>192</v>
      </c>
      <c r="D4" s="126">
        <v>2000000</v>
      </c>
      <c r="E4" s="168" t="e">
        <f>VLOOKUP(B4,'TimeTB 2'!$C$4:$AU$5,45,0)</f>
        <v>#N/A</v>
      </c>
      <c r="F4" s="126" t="e">
        <f>D4/26*E4</f>
        <v>#N/A</v>
      </c>
    </row>
    <row r="5" spans="1:12" ht="16" hidden="1">
      <c r="A5" s="169"/>
      <c r="B5" s="169"/>
      <c r="C5" s="169"/>
      <c r="D5" s="83"/>
      <c r="E5" s="170"/>
      <c r="F5" s="84">
        <f>E5*D5</f>
        <v>0</v>
      </c>
    </row>
    <row r="6" spans="1:12" ht="21" customHeight="1">
      <c r="A6" s="171"/>
      <c r="B6" s="172"/>
      <c r="C6" s="152" t="s">
        <v>64</v>
      </c>
      <c r="D6" s="161">
        <f>SUM(D4:D5)</f>
        <v>2000000</v>
      </c>
      <c r="E6" s="153"/>
      <c r="F6" s="173" t="e">
        <f>SUM(F4:F5)</f>
        <v>#N/A</v>
      </c>
    </row>
    <row r="7" spans="1:12" ht="26.25" customHeight="1">
      <c r="A7" s="95" t="s">
        <v>89</v>
      </c>
      <c r="B7" s="96"/>
      <c r="C7" s="96"/>
      <c r="D7" s="96"/>
    </row>
    <row r="8" spans="1:12" ht="34">
      <c r="A8" s="92" t="s">
        <v>8</v>
      </c>
      <c r="B8" s="93" t="s">
        <v>9</v>
      </c>
      <c r="C8" s="93" t="s">
        <v>10</v>
      </c>
      <c r="D8" s="94" t="s">
        <v>88</v>
      </c>
      <c r="E8" s="94" t="s">
        <v>83</v>
      </c>
      <c r="F8" s="102" t="s">
        <v>105</v>
      </c>
    </row>
    <row r="9" spans="1:12" ht="16">
      <c r="A9" s="86">
        <v>1</v>
      </c>
      <c r="B9" s="164" t="s">
        <v>164</v>
      </c>
      <c r="C9" s="156" t="s">
        <v>193</v>
      </c>
      <c r="D9" s="165">
        <v>500000</v>
      </c>
      <c r="E9" s="165"/>
      <c r="F9" s="166">
        <f t="shared" ref="F9:F10" si="0">D9+E9</f>
        <v>500000</v>
      </c>
    </row>
    <row r="10" spans="1:12" ht="16">
      <c r="A10" s="86">
        <f t="shared" ref="A10" si="1">1+A9</f>
        <v>2</v>
      </c>
      <c r="B10" s="164" t="s">
        <v>165</v>
      </c>
      <c r="C10" s="156" t="s">
        <v>194</v>
      </c>
      <c r="D10" s="165">
        <v>500000</v>
      </c>
      <c r="E10" s="165"/>
      <c r="F10" s="166">
        <f t="shared" si="0"/>
        <v>500000</v>
      </c>
    </row>
    <row r="11" spans="1:12" ht="25.5" customHeight="1">
      <c r="A11" s="115"/>
      <c r="B11" s="115"/>
      <c r="C11" s="145" t="s">
        <v>64</v>
      </c>
      <c r="D11" s="85"/>
      <c r="E11" s="85"/>
      <c r="F11" s="117">
        <f>SUM(F9:F10)</f>
        <v>1000000</v>
      </c>
    </row>
    <row r="12" spans="1:12" ht="9" customHeight="1"/>
    <row r="13" spans="1:12" ht="9" customHeight="1"/>
    <row r="14" spans="1:12" ht="36" hidden="1" customHeight="1">
      <c r="A14" s="121" t="s">
        <v>122</v>
      </c>
      <c r="B14" s="109"/>
      <c r="C14" s="109"/>
      <c r="D14" s="109"/>
      <c r="E14" s="109"/>
      <c r="F14" s="109"/>
    </row>
    <row r="15" spans="1:12" ht="21.75" hidden="1" customHeight="1">
      <c r="A15" s="108" t="s">
        <v>8</v>
      </c>
      <c r="B15" s="110" t="s">
        <v>79</v>
      </c>
      <c r="C15" s="111" t="s">
        <v>30</v>
      </c>
      <c r="D15" s="112" t="s">
        <v>86</v>
      </c>
      <c r="E15" s="113" t="s">
        <v>87</v>
      </c>
      <c r="F15" s="114" t="s">
        <v>105</v>
      </c>
    </row>
    <row r="16" spans="1:12" ht="16" hidden="1">
      <c r="A16" s="87"/>
      <c r="B16" s="98"/>
      <c r="C16" s="120"/>
      <c r="D16" s="90"/>
      <c r="E16" s="124"/>
      <c r="F16" s="91"/>
      <c r="H16" s="138"/>
      <c r="I16" s="151"/>
      <c r="L16" s="138"/>
    </row>
    <row r="17" spans="1:12" ht="16" hidden="1">
      <c r="A17" s="87"/>
      <c r="B17" s="98"/>
      <c r="C17" s="120"/>
      <c r="D17" s="90"/>
      <c r="E17" s="124"/>
      <c r="F17" s="91"/>
      <c r="H17" s="138"/>
      <c r="L17" s="138"/>
    </row>
    <row r="18" spans="1:12" ht="16" hidden="1">
      <c r="A18" s="87"/>
      <c r="B18" s="98"/>
      <c r="C18" s="120"/>
      <c r="D18" s="90"/>
      <c r="E18" s="125"/>
      <c r="F18" s="123"/>
      <c r="H18" s="138"/>
      <c r="L18" s="138"/>
    </row>
    <row r="19" spans="1:12" ht="16" hidden="1">
      <c r="A19" s="87"/>
      <c r="B19" s="98"/>
      <c r="C19" s="120"/>
      <c r="D19" s="90"/>
      <c r="E19" s="125"/>
      <c r="F19" s="123"/>
      <c r="H19" s="138"/>
      <c r="I19" s="141"/>
      <c r="L19" s="138"/>
    </row>
    <row r="20" spans="1:12" ht="16" hidden="1">
      <c r="A20" s="87"/>
      <c r="B20" s="100"/>
      <c r="C20" s="120"/>
      <c r="D20" s="90"/>
      <c r="E20" s="125"/>
      <c r="F20" s="123"/>
      <c r="H20" s="138"/>
      <c r="J20" s="137"/>
      <c r="L20" s="138"/>
    </row>
    <row r="21" spans="1:12" ht="16" hidden="1">
      <c r="A21" s="87"/>
      <c r="B21" s="139"/>
      <c r="C21" s="120"/>
      <c r="D21" s="90"/>
      <c r="E21" s="140"/>
      <c r="F21" s="123"/>
      <c r="H21" s="138"/>
      <c r="J21" s="137"/>
      <c r="L21" s="138"/>
    </row>
    <row r="22" spans="1:12" ht="16" hidden="1">
      <c r="A22" s="87"/>
      <c r="B22" s="139"/>
      <c r="C22" s="120"/>
      <c r="D22" s="90"/>
      <c r="E22" s="140"/>
      <c r="F22" s="123"/>
      <c r="H22" s="138"/>
      <c r="J22" s="137"/>
      <c r="L22" s="138"/>
    </row>
    <row r="23" spans="1:12" ht="16" hidden="1">
      <c r="A23" s="87"/>
      <c r="B23" s="139"/>
      <c r="C23" s="120"/>
      <c r="D23" s="90"/>
      <c r="E23" s="140"/>
      <c r="F23" s="123"/>
      <c r="H23" s="138"/>
      <c r="J23" s="137"/>
      <c r="L23" s="138"/>
    </row>
    <row r="24" spans="1:12" ht="16" hidden="1">
      <c r="A24" s="87">
        <f>ROW()-85</f>
        <v>-61</v>
      </c>
      <c r="B24" s="139"/>
      <c r="C24" s="120" t="e">
        <f>VLOOKUP($B24,#REF!,3,0)</f>
        <v>#REF!</v>
      </c>
      <c r="D24" s="90">
        <f>IFERROR(VLOOKUP(B24,#REF!,81,0),0)</f>
        <v>0</v>
      </c>
      <c r="E24" s="140"/>
      <c r="F24" s="123">
        <f>ROUND((D24/26*E24),0)</f>
        <v>0</v>
      </c>
      <c r="G24" s="82" t="e">
        <f>VLOOKUP(B24,#REF!,74,0)</f>
        <v>#REF!</v>
      </c>
      <c r="H24" s="138" t="e">
        <f>G24-E24</f>
        <v>#REF!</v>
      </c>
      <c r="J24" s="137"/>
      <c r="L24" s="138"/>
    </row>
    <row r="25" spans="1:12" ht="16" hidden="1">
      <c r="A25" s="87">
        <f>ROW()-85</f>
        <v>-60</v>
      </c>
      <c r="B25" s="98"/>
      <c r="C25" s="120" t="e">
        <f>VLOOKUP($B25,#REF!,3,0)</f>
        <v>#REF!</v>
      </c>
      <c r="D25" s="90">
        <f>IFERROR(VLOOKUP(B25,#REF!,81,0),0)</f>
        <v>0</v>
      </c>
      <c r="E25" s="79"/>
      <c r="F25" s="123">
        <f>ROUND((D25/26*E25),0)</f>
        <v>0</v>
      </c>
      <c r="G25" s="82" t="e">
        <f>VLOOKUP(B25,#REF!,74,0)</f>
        <v>#REF!</v>
      </c>
      <c r="H25" s="138" t="e">
        <f>G25-E25</f>
        <v>#REF!</v>
      </c>
      <c r="J25" s="137"/>
      <c r="L25" s="138"/>
    </row>
    <row r="26" spans="1:12" ht="16" hidden="1">
      <c r="A26" s="87">
        <f>ROW()-85</f>
        <v>-59</v>
      </c>
      <c r="B26" s="98"/>
      <c r="C26" s="120" t="e">
        <f>VLOOKUP($B26,#REF!,3,0)</f>
        <v>#REF!</v>
      </c>
      <c r="D26" s="90">
        <f>IFERROR(VLOOKUP(B26,#REF!,81,0),0)</f>
        <v>0</v>
      </c>
      <c r="E26" s="125"/>
      <c r="F26" s="123">
        <f>ROUND((D26/26*E26),0)</f>
        <v>0</v>
      </c>
      <c r="G26" s="82" t="e">
        <f>VLOOKUP(B26,#REF!,74,0)</f>
        <v>#REF!</v>
      </c>
      <c r="H26" s="138" t="e">
        <f>G26-E26</f>
        <v>#REF!</v>
      </c>
      <c r="J26" s="137"/>
      <c r="L26" s="138"/>
    </row>
    <row r="27" spans="1:12" ht="16" hidden="1">
      <c r="A27" s="87">
        <f>ROW()-85</f>
        <v>-58</v>
      </c>
      <c r="B27" s="98"/>
      <c r="C27" s="120" t="e">
        <f>VLOOKUP($B27,#REF!,3,0)</f>
        <v>#REF!</v>
      </c>
      <c r="D27" s="90">
        <f>IFERROR(VLOOKUP(B27,#REF!,81,0),0)</f>
        <v>0</v>
      </c>
      <c r="E27" s="125"/>
      <c r="F27" s="123">
        <f>ROUND((D27/26*E27),0)</f>
        <v>0</v>
      </c>
      <c r="G27" s="82" t="e">
        <f>VLOOKUP(B27,#REF!,74,0)</f>
        <v>#REF!</v>
      </c>
      <c r="H27" s="138" t="e">
        <f>G27-E27</f>
        <v>#REF!</v>
      </c>
    </row>
    <row r="28" spans="1:12" ht="16" hidden="1">
      <c r="A28" s="87">
        <f>ROW()-85</f>
        <v>-57</v>
      </c>
      <c r="B28" s="98"/>
      <c r="C28" s="120"/>
      <c r="D28" s="90"/>
      <c r="E28" s="79"/>
      <c r="F28" s="123"/>
    </row>
    <row r="29" spans="1:12" ht="24.75" hidden="1" customHeight="1">
      <c r="A29" s="116"/>
      <c r="B29" s="115"/>
      <c r="C29" s="145" t="s">
        <v>64</v>
      </c>
      <c r="D29" s="118"/>
      <c r="E29" s="119">
        <f>SUM(E16:E28)</f>
        <v>0</v>
      </c>
      <c r="F29" s="117">
        <f>SUM(F16:F28)</f>
        <v>0</v>
      </c>
    </row>
    <row r="32" spans="1:12" ht="21.75" hidden="1" customHeight="1">
      <c r="G32" s="136"/>
    </row>
    <row r="33" spans="7:16" ht="19.5" hidden="1" customHeight="1">
      <c r="G33" s="132"/>
      <c r="H33" s="132"/>
      <c r="I33" s="132"/>
      <c r="J33" s="132"/>
      <c r="K33" s="132"/>
      <c r="L33" s="133"/>
      <c r="M33" s="133"/>
      <c r="N33" s="133"/>
      <c r="O33" s="133"/>
      <c r="P33" s="133"/>
    </row>
    <row r="34" spans="7:16" ht="19" hidden="1">
      <c r="G34" s="132"/>
      <c r="H34" s="132"/>
      <c r="I34" s="132"/>
      <c r="J34" s="132"/>
      <c r="K34" s="132"/>
      <c r="L34" s="134"/>
      <c r="M34" s="135"/>
      <c r="N34" s="134"/>
      <c r="O34" s="134"/>
      <c r="P34" s="135"/>
    </row>
    <row r="35" spans="7:16" ht="19" hidden="1">
      <c r="G35" s="132"/>
      <c r="H35" s="132"/>
      <c r="I35" s="132"/>
      <c r="J35" s="132"/>
      <c r="K35" s="132"/>
      <c r="L35" s="134"/>
      <c r="M35" s="135"/>
      <c r="N35" s="134"/>
      <c r="O35" s="134"/>
      <c r="P35" s="135"/>
    </row>
    <row r="36" spans="7:16" ht="19" hidden="1">
      <c r="G36" s="132"/>
      <c r="H36" s="132"/>
      <c r="I36" s="132"/>
      <c r="J36" s="132"/>
      <c r="K36" s="132"/>
      <c r="L36" s="134"/>
      <c r="M36" s="135"/>
      <c r="N36" s="134"/>
      <c r="O36" s="134"/>
      <c r="P36" s="135"/>
    </row>
    <row r="37" spans="7:16" hidden="1"/>
  </sheetData>
  <autoFilter ref="A8:F11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9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D24" sqref="D24"/>
    </sheetView>
  </sheetViews>
  <sheetFormatPr baseColWidth="10" defaultColWidth="8.83203125" defaultRowHeight="15"/>
  <cols>
    <col min="1" max="1" width="9.1640625" style="400"/>
    <col min="2" max="2" width="17.5" style="400" customWidth="1"/>
    <col min="3" max="3" width="30.1640625" style="400" customWidth="1"/>
    <col min="4" max="4" width="14.5" style="400" customWidth="1"/>
    <col min="5" max="5" width="14.6640625" style="400" customWidth="1"/>
    <col min="6" max="7" width="13.5" style="400" customWidth="1"/>
    <col min="8" max="8" width="15.5" style="400" customWidth="1"/>
    <col min="9" max="9" width="24.33203125" style="400" customWidth="1"/>
    <col min="10" max="249" width="9.1640625" style="400"/>
    <col min="250" max="250" width="10.33203125" style="400" bestFit="1" customWidth="1"/>
    <col min="251" max="251" width="30.1640625" style="400" bestFit="1" customWidth="1"/>
    <col min="252" max="252" width="21" style="400" customWidth="1"/>
    <col min="253" max="254" width="13.5" style="400" customWidth="1"/>
    <col min="255" max="255" width="21.83203125" style="400" bestFit="1" customWidth="1"/>
    <col min="256" max="256" width="12" style="400" customWidth="1"/>
    <col min="257" max="257" width="11.5" style="400" bestFit="1" customWidth="1"/>
    <col min="258" max="258" width="13.5" style="400" customWidth="1"/>
    <col min="259" max="259" width="15.5" style="400" customWidth="1"/>
    <col min="260" max="261" width="18.5" style="400" customWidth="1"/>
    <col min="262" max="262" width="17.83203125" style="400" customWidth="1"/>
    <col min="263" max="505" width="9.1640625" style="400"/>
    <col min="506" max="506" width="10.33203125" style="400" bestFit="1" customWidth="1"/>
    <col min="507" max="507" width="30.1640625" style="400" bestFit="1" customWidth="1"/>
    <col min="508" max="508" width="21" style="400" customWidth="1"/>
    <col min="509" max="510" width="13.5" style="400" customWidth="1"/>
    <col min="511" max="511" width="21.83203125" style="400" bestFit="1" customWidth="1"/>
    <col min="512" max="512" width="12" style="400" customWidth="1"/>
    <col min="513" max="513" width="11.5" style="400" bestFit="1" customWidth="1"/>
    <col min="514" max="514" width="13.5" style="400" customWidth="1"/>
    <col min="515" max="515" width="15.5" style="400" customWidth="1"/>
    <col min="516" max="517" width="18.5" style="400" customWidth="1"/>
    <col min="518" max="518" width="17.83203125" style="400" customWidth="1"/>
    <col min="519" max="761" width="9.1640625" style="400"/>
    <col min="762" max="762" width="10.33203125" style="400" bestFit="1" customWidth="1"/>
    <col min="763" max="763" width="30.1640625" style="400" bestFit="1" customWidth="1"/>
    <col min="764" max="764" width="21" style="400" customWidth="1"/>
    <col min="765" max="766" width="13.5" style="400" customWidth="1"/>
    <col min="767" max="767" width="21.83203125" style="400" bestFit="1" customWidth="1"/>
    <col min="768" max="768" width="12" style="400" customWidth="1"/>
    <col min="769" max="769" width="11.5" style="400" bestFit="1" customWidth="1"/>
    <col min="770" max="770" width="13.5" style="400" customWidth="1"/>
    <col min="771" max="771" width="15.5" style="400" customWidth="1"/>
    <col min="772" max="773" width="18.5" style="400" customWidth="1"/>
    <col min="774" max="774" width="17.83203125" style="400" customWidth="1"/>
    <col min="775" max="1017" width="9.1640625" style="400"/>
    <col min="1018" max="1018" width="10.33203125" style="400" bestFit="1" customWidth="1"/>
    <col min="1019" max="1019" width="30.1640625" style="400" bestFit="1" customWidth="1"/>
    <col min="1020" max="1020" width="21" style="400" customWidth="1"/>
    <col min="1021" max="1022" width="13.5" style="400" customWidth="1"/>
    <col min="1023" max="1023" width="21.83203125" style="400" bestFit="1" customWidth="1"/>
    <col min="1024" max="1024" width="12" style="400" customWidth="1"/>
    <col min="1025" max="1025" width="11.5" style="400" bestFit="1" customWidth="1"/>
    <col min="1026" max="1026" width="13.5" style="400" customWidth="1"/>
    <col min="1027" max="1027" width="15.5" style="400" customWidth="1"/>
    <col min="1028" max="1029" width="18.5" style="400" customWidth="1"/>
    <col min="1030" max="1030" width="17.83203125" style="400" customWidth="1"/>
    <col min="1031" max="1273" width="9.1640625" style="400"/>
    <col min="1274" max="1274" width="10.33203125" style="400" bestFit="1" customWidth="1"/>
    <col min="1275" max="1275" width="30.1640625" style="400" bestFit="1" customWidth="1"/>
    <col min="1276" max="1276" width="21" style="400" customWidth="1"/>
    <col min="1277" max="1278" width="13.5" style="400" customWidth="1"/>
    <col min="1279" max="1279" width="21.83203125" style="400" bestFit="1" customWidth="1"/>
    <col min="1280" max="1280" width="12" style="400" customWidth="1"/>
    <col min="1281" max="1281" width="11.5" style="400" bestFit="1" customWidth="1"/>
    <col min="1282" max="1282" width="13.5" style="400" customWidth="1"/>
    <col min="1283" max="1283" width="15.5" style="400" customWidth="1"/>
    <col min="1284" max="1285" width="18.5" style="400" customWidth="1"/>
    <col min="1286" max="1286" width="17.83203125" style="400" customWidth="1"/>
    <col min="1287" max="1529" width="9.1640625" style="400"/>
    <col min="1530" max="1530" width="10.33203125" style="400" bestFit="1" customWidth="1"/>
    <col min="1531" max="1531" width="30.1640625" style="400" bestFit="1" customWidth="1"/>
    <col min="1532" max="1532" width="21" style="400" customWidth="1"/>
    <col min="1533" max="1534" width="13.5" style="400" customWidth="1"/>
    <col min="1535" max="1535" width="21.83203125" style="400" bestFit="1" customWidth="1"/>
    <col min="1536" max="1536" width="12" style="400" customWidth="1"/>
    <col min="1537" max="1537" width="11.5" style="400" bestFit="1" customWidth="1"/>
    <col min="1538" max="1538" width="13.5" style="400" customWidth="1"/>
    <col min="1539" max="1539" width="15.5" style="400" customWidth="1"/>
    <col min="1540" max="1541" width="18.5" style="400" customWidth="1"/>
    <col min="1542" max="1542" width="17.83203125" style="400" customWidth="1"/>
    <col min="1543" max="1785" width="9.1640625" style="400"/>
    <col min="1786" max="1786" width="10.33203125" style="400" bestFit="1" customWidth="1"/>
    <col min="1787" max="1787" width="30.1640625" style="400" bestFit="1" customWidth="1"/>
    <col min="1788" max="1788" width="21" style="400" customWidth="1"/>
    <col min="1789" max="1790" width="13.5" style="400" customWidth="1"/>
    <col min="1791" max="1791" width="21.83203125" style="400" bestFit="1" customWidth="1"/>
    <col min="1792" max="1792" width="12" style="400" customWidth="1"/>
    <col min="1793" max="1793" width="11.5" style="400" bestFit="1" customWidth="1"/>
    <col min="1794" max="1794" width="13.5" style="400" customWidth="1"/>
    <col min="1795" max="1795" width="15.5" style="400" customWidth="1"/>
    <col min="1796" max="1797" width="18.5" style="400" customWidth="1"/>
    <col min="1798" max="1798" width="17.83203125" style="400" customWidth="1"/>
    <col min="1799" max="2041" width="9.1640625" style="400"/>
    <col min="2042" max="2042" width="10.33203125" style="400" bestFit="1" customWidth="1"/>
    <col min="2043" max="2043" width="30.1640625" style="400" bestFit="1" customWidth="1"/>
    <col min="2044" max="2044" width="21" style="400" customWidth="1"/>
    <col min="2045" max="2046" width="13.5" style="400" customWidth="1"/>
    <col min="2047" max="2047" width="21.83203125" style="400" bestFit="1" customWidth="1"/>
    <col min="2048" max="2048" width="12" style="400" customWidth="1"/>
    <col min="2049" max="2049" width="11.5" style="400" bestFit="1" customWidth="1"/>
    <col min="2050" max="2050" width="13.5" style="400" customWidth="1"/>
    <col min="2051" max="2051" width="15.5" style="400" customWidth="1"/>
    <col min="2052" max="2053" width="18.5" style="400" customWidth="1"/>
    <col min="2054" max="2054" width="17.83203125" style="400" customWidth="1"/>
    <col min="2055" max="2297" width="9.1640625" style="400"/>
    <col min="2298" max="2298" width="10.33203125" style="400" bestFit="1" customWidth="1"/>
    <col min="2299" max="2299" width="30.1640625" style="400" bestFit="1" customWidth="1"/>
    <col min="2300" max="2300" width="21" style="400" customWidth="1"/>
    <col min="2301" max="2302" width="13.5" style="400" customWidth="1"/>
    <col min="2303" max="2303" width="21.83203125" style="400" bestFit="1" customWidth="1"/>
    <col min="2304" max="2304" width="12" style="400" customWidth="1"/>
    <col min="2305" max="2305" width="11.5" style="400" bestFit="1" customWidth="1"/>
    <col min="2306" max="2306" width="13.5" style="400" customWidth="1"/>
    <col min="2307" max="2307" width="15.5" style="400" customWidth="1"/>
    <col min="2308" max="2309" width="18.5" style="400" customWidth="1"/>
    <col min="2310" max="2310" width="17.83203125" style="400" customWidth="1"/>
    <col min="2311" max="2553" width="9.1640625" style="400"/>
    <col min="2554" max="2554" width="10.33203125" style="400" bestFit="1" customWidth="1"/>
    <col min="2555" max="2555" width="30.1640625" style="400" bestFit="1" customWidth="1"/>
    <col min="2556" max="2556" width="21" style="400" customWidth="1"/>
    <col min="2557" max="2558" width="13.5" style="400" customWidth="1"/>
    <col min="2559" max="2559" width="21.83203125" style="400" bestFit="1" customWidth="1"/>
    <col min="2560" max="2560" width="12" style="400" customWidth="1"/>
    <col min="2561" max="2561" width="11.5" style="400" bestFit="1" customWidth="1"/>
    <col min="2562" max="2562" width="13.5" style="400" customWidth="1"/>
    <col min="2563" max="2563" width="15.5" style="400" customWidth="1"/>
    <col min="2564" max="2565" width="18.5" style="400" customWidth="1"/>
    <col min="2566" max="2566" width="17.83203125" style="400" customWidth="1"/>
    <col min="2567" max="2809" width="9.1640625" style="400"/>
    <col min="2810" max="2810" width="10.33203125" style="400" bestFit="1" customWidth="1"/>
    <col min="2811" max="2811" width="30.1640625" style="400" bestFit="1" customWidth="1"/>
    <col min="2812" max="2812" width="21" style="400" customWidth="1"/>
    <col min="2813" max="2814" width="13.5" style="400" customWidth="1"/>
    <col min="2815" max="2815" width="21.83203125" style="400" bestFit="1" customWidth="1"/>
    <col min="2816" max="2816" width="12" style="400" customWidth="1"/>
    <col min="2817" max="2817" width="11.5" style="400" bestFit="1" customWidth="1"/>
    <col min="2818" max="2818" width="13.5" style="400" customWidth="1"/>
    <col min="2819" max="2819" width="15.5" style="400" customWidth="1"/>
    <col min="2820" max="2821" width="18.5" style="400" customWidth="1"/>
    <col min="2822" max="2822" width="17.83203125" style="400" customWidth="1"/>
    <col min="2823" max="3065" width="9.1640625" style="400"/>
    <col min="3066" max="3066" width="10.33203125" style="400" bestFit="1" customWidth="1"/>
    <col min="3067" max="3067" width="30.1640625" style="400" bestFit="1" customWidth="1"/>
    <col min="3068" max="3068" width="21" style="400" customWidth="1"/>
    <col min="3069" max="3070" width="13.5" style="400" customWidth="1"/>
    <col min="3071" max="3071" width="21.83203125" style="400" bestFit="1" customWidth="1"/>
    <col min="3072" max="3072" width="12" style="400" customWidth="1"/>
    <col min="3073" max="3073" width="11.5" style="400" bestFit="1" customWidth="1"/>
    <col min="3074" max="3074" width="13.5" style="400" customWidth="1"/>
    <col min="3075" max="3075" width="15.5" style="400" customWidth="1"/>
    <col min="3076" max="3077" width="18.5" style="400" customWidth="1"/>
    <col min="3078" max="3078" width="17.83203125" style="400" customWidth="1"/>
    <col min="3079" max="3321" width="9.1640625" style="400"/>
    <col min="3322" max="3322" width="10.33203125" style="400" bestFit="1" customWidth="1"/>
    <col min="3323" max="3323" width="30.1640625" style="400" bestFit="1" customWidth="1"/>
    <col min="3324" max="3324" width="21" style="400" customWidth="1"/>
    <col min="3325" max="3326" width="13.5" style="400" customWidth="1"/>
    <col min="3327" max="3327" width="21.83203125" style="400" bestFit="1" customWidth="1"/>
    <col min="3328" max="3328" width="12" style="400" customWidth="1"/>
    <col min="3329" max="3329" width="11.5" style="400" bestFit="1" customWidth="1"/>
    <col min="3330" max="3330" width="13.5" style="400" customWidth="1"/>
    <col min="3331" max="3331" width="15.5" style="400" customWidth="1"/>
    <col min="3332" max="3333" width="18.5" style="400" customWidth="1"/>
    <col min="3334" max="3334" width="17.83203125" style="400" customWidth="1"/>
    <col min="3335" max="3577" width="9.1640625" style="400"/>
    <col min="3578" max="3578" width="10.33203125" style="400" bestFit="1" customWidth="1"/>
    <col min="3579" max="3579" width="30.1640625" style="400" bestFit="1" customWidth="1"/>
    <col min="3580" max="3580" width="21" style="400" customWidth="1"/>
    <col min="3581" max="3582" width="13.5" style="400" customWidth="1"/>
    <col min="3583" max="3583" width="21.83203125" style="400" bestFit="1" customWidth="1"/>
    <col min="3584" max="3584" width="12" style="400" customWidth="1"/>
    <col min="3585" max="3585" width="11.5" style="400" bestFit="1" customWidth="1"/>
    <col min="3586" max="3586" width="13.5" style="400" customWidth="1"/>
    <col min="3587" max="3587" width="15.5" style="400" customWidth="1"/>
    <col min="3588" max="3589" width="18.5" style="400" customWidth="1"/>
    <col min="3590" max="3590" width="17.83203125" style="400" customWidth="1"/>
    <col min="3591" max="3833" width="9.1640625" style="400"/>
    <col min="3834" max="3834" width="10.33203125" style="400" bestFit="1" customWidth="1"/>
    <col min="3835" max="3835" width="30.1640625" style="400" bestFit="1" customWidth="1"/>
    <col min="3836" max="3836" width="21" style="400" customWidth="1"/>
    <col min="3837" max="3838" width="13.5" style="400" customWidth="1"/>
    <col min="3839" max="3839" width="21.83203125" style="400" bestFit="1" customWidth="1"/>
    <col min="3840" max="3840" width="12" style="400" customWidth="1"/>
    <col min="3841" max="3841" width="11.5" style="400" bestFit="1" customWidth="1"/>
    <col min="3842" max="3842" width="13.5" style="400" customWidth="1"/>
    <col min="3843" max="3843" width="15.5" style="400" customWidth="1"/>
    <col min="3844" max="3845" width="18.5" style="400" customWidth="1"/>
    <col min="3846" max="3846" width="17.83203125" style="400" customWidth="1"/>
    <col min="3847" max="4089" width="9.1640625" style="400"/>
    <col min="4090" max="4090" width="10.33203125" style="400" bestFit="1" customWidth="1"/>
    <col min="4091" max="4091" width="30.1640625" style="400" bestFit="1" customWidth="1"/>
    <col min="4092" max="4092" width="21" style="400" customWidth="1"/>
    <col min="4093" max="4094" width="13.5" style="400" customWidth="1"/>
    <col min="4095" max="4095" width="21.83203125" style="400" bestFit="1" customWidth="1"/>
    <col min="4096" max="4096" width="12" style="400" customWidth="1"/>
    <col min="4097" max="4097" width="11.5" style="400" bestFit="1" customWidth="1"/>
    <col min="4098" max="4098" width="13.5" style="400" customWidth="1"/>
    <col min="4099" max="4099" width="15.5" style="400" customWidth="1"/>
    <col min="4100" max="4101" width="18.5" style="400" customWidth="1"/>
    <col min="4102" max="4102" width="17.83203125" style="400" customWidth="1"/>
    <col min="4103" max="4345" width="9.1640625" style="400"/>
    <col min="4346" max="4346" width="10.33203125" style="400" bestFit="1" customWidth="1"/>
    <col min="4347" max="4347" width="30.1640625" style="400" bestFit="1" customWidth="1"/>
    <col min="4348" max="4348" width="21" style="400" customWidth="1"/>
    <col min="4349" max="4350" width="13.5" style="400" customWidth="1"/>
    <col min="4351" max="4351" width="21.83203125" style="400" bestFit="1" customWidth="1"/>
    <col min="4352" max="4352" width="12" style="400" customWidth="1"/>
    <col min="4353" max="4353" width="11.5" style="400" bestFit="1" customWidth="1"/>
    <col min="4354" max="4354" width="13.5" style="400" customWidth="1"/>
    <col min="4355" max="4355" width="15.5" style="400" customWidth="1"/>
    <col min="4356" max="4357" width="18.5" style="400" customWidth="1"/>
    <col min="4358" max="4358" width="17.83203125" style="400" customWidth="1"/>
    <col min="4359" max="4601" width="9.1640625" style="400"/>
    <col min="4602" max="4602" width="10.33203125" style="400" bestFit="1" customWidth="1"/>
    <col min="4603" max="4603" width="30.1640625" style="400" bestFit="1" customWidth="1"/>
    <col min="4604" max="4604" width="21" style="400" customWidth="1"/>
    <col min="4605" max="4606" width="13.5" style="400" customWidth="1"/>
    <col min="4607" max="4607" width="21.83203125" style="400" bestFit="1" customWidth="1"/>
    <col min="4608" max="4608" width="12" style="400" customWidth="1"/>
    <col min="4609" max="4609" width="11.5" style="400" bestFit="1" customWidth="1"/>
    <col min="4610" max="4610" width="13.5" style="400" customWidth="1"/>
    <col min="4611" max="4611" width="15.5" style="400" customWidth="1"/>
    <col min="4612" max="4613" width="18.5" style="400" customWidth="1"/>
    <col min="4614" max="4614" width="17.83203125" style="400" customWidth="1"/>
    <col min="4615" max="4857" width="9.1640625" style="400"/>
    <col min="4858" max="4858" width="10.33203125" style="400" bestFit="1" customWidth="1"/>
    <col min="4859" max="4859" width="30.1640625" style="400" bestFit="1" customWidth="1"/>
    <col min="4860" max="4860" width="21" style="400" customWidth="1"/>
    <col min="4861" max="4862" width="13.5" style="400" customWidth="1"/>
    <col min="4863" max="4863" width="21.83203125" style="400" bestFit="1" customWidth="1"/>
    <col min="4864" max="4864" width="12" style="400" customWidth="1"/>
    <col min="4865" max="4865" width="11.5" style="400" bestFit="1" customWidth="1"/>
    <col min="4866" max="4866" width="13.5" style="400" customWidth="1"/>
    <col min="4867" max="4867" width="15.5" style="400" customWidth="1"/>
    <col min="4868" max="4869" width="18.5" style="400" customWidth="1"/>
    <col min="4870" max="4870" width="17.83203125" style="400" customWidth="1"/>
    <col min="4871" max="5113" width="9.1640625" style="400"/>
    <col min="5114" max="5114" width="10.33203125" style="400" bestFit="1" customWidth="1"/>
    <col min="5115" max="5115" width="30.1640625" style="400" bestFit="1" customWidth="1"/>
    <col min="5116" max="5116" width="21" style="400" customWidth="1"/>
    <col min="5117" max="5118" width="13.5" style="400" customWidth="1"/>
    <col min="5119" max="5119" width="21.83203125" style="400" bestFit="1" customWidth="1"/>
    <col min="5120" max="5120" width="12" style="400" customWidth="1"/>
    <col min="5121" max="5121" width="11.5" style="400" bestFit="1" customWidth="1"/>
    <col min="5122" max="5122" width="13.5" style="400" customWidth="1"/>
    <col min="5123" max="5123" width="15.5" style="400" customWidth="1"/>
    <col min="5124" max="5125" width="18.5" style="400" customWidth="1"/>
    <col min="5126" max="5126" width="17.83203125" style="400" customWidth="1"/>
    <col min="5127" max="5369" width="9.1640625" style="400"/>
    <col min="5370" max="5370" width="10.33203125" style="400" bestFit="1" customWidth="1"/>
    <col min="5371" max="5371" width="30.1640625" style="400" bestFit="1" customWidth="1"/>
    <col min="5372" max="5372" width="21" style="400" customWidth="1"/>
    <col min="5373" max="5374" width="13.5" style="400" customWidth="1"/>
    <col min="5375" max="5375" width="21.83203125" style="400" bestFit="1" customWidth="1"/>
    <col min="5376" max="5376" width="12" style="400" customWidth="1"/>
    <col min="5377" max="5377" width="11.5" style="400" bestFit="1" customWidth="1"/>
    <col min="5378" max="5378" width="13.5" style="400" customWidth="1"/>
    <col min="5379" max="5379" width="15.5" style="400" customWidth="1"/>
    <col min="5380" max="5381" width="18.5" style="400" customWidth="1"/>
    <col min="5382" max="5382" width="17.83203125" style="400" customWidth="1"/>
    <col min="5383" max="5625" width="9.1640625" style="400"/>
    <col min="5626" max="5626" width="10.33203125" style="400" bestFit="1" customWidth="1"/>
    <col min="5627" max="5627" width="30.1640625" style="400" bestFit="1" customWidth="1"/>
    <col min="5628" max="5628" width="21" style="400" customWidth="1"/>
    <col min="5629" max="5630" width="13.5" style="400" customWidth="1"/>
    <col min="5631" max="5631" width="21.83203125" style="400" bestFit="1" customWidth="1"/>
    <col min="5632" max="5632" width="12" style="400" customWidth="1"/>
    <col min="5633" max="5633" width="11.5" style="400" bestFit="1" customWidth="1"/>
    <col min="5634" max="5634" width="13.5" style="400" customWidth="1"/>
    <col min="5635" max="5635" width="15.5" style="400" customWidth="1"/>
    <col min="5636" max="5637" width="18.5" style="400" customWidth="1"/>
    <col min="5638" max="5638" width="17.83203125" style="400" customWidth="1"/>
    <col min="5639" max="5881" width="9.1640625" style="400"/>
    <col min="5882" max="5882" width="10.33203125" style="400" bestFit="1" customWidth="1"/>
    <col min="5883" max="5883" width="30.1640625" style="400" bestFit="1" customWidth="1"/>
    <col min="5884" max="5884" width="21" style="400" customWidth="1"/>
    <col min="5885" max="5886" width="13.5" style="400" customWidth="1"/>
    <col min="5887" max="5887" width="21.83203125" style="400" bestFit="1" customWidth="1"/>
    <col min="5888" max="5888" width="12" style="400" customWidth="1"/>
    <col min="5889" max="5889" width="11.5" style="400" bestFit="1" customWidth="1"/>
    <col min="5890" max="5890" width="13.5" style="400" customWidth="1"/>
    <col min="5891" max="5891" width="15.5" style="400" customWidth="1"/>
    <col min="5892" max="5893" width="18.5" style="400" customWidth="1"/>
    <col min="5894" max="5894" width="17.83203125" style="400" customWidth="1"/>
    <col min="5895" max="6137" width="9.1640625" style="400"/>
    <col min="6138" max="6138" width="10.33203125" style="400" bestFit="1" customWidth="1"/>
    <col min="6139" max="6139" width="30.1640625" style="400" bestFit="1" customWidth="1"/>
    <col min="6140" max="6140" width="21" style="400" customWidth="1"/>
    <col min="6141" max="6142" width="13.5" style="400" customWidth="1"/>
    <col min="6143" max="6143" width="21.83203125" style="400" bestFit="1" customWidth="1"/>
    <col min="6144" max="6144" width="12" style="400" customWidth="1"/>
    <col min="6145" max="6145" width="11.5" style="400" bestFit="1" customWidth="1"/>
    <col min="6146" max="6146" width="13.5" style="400" customWidth="1"/>
    <col min="6147" max="6147" width="15.5" style="400" customWidth="1"/>
    <col min="6148" max="6149" width="18.5" style="400" customWidth="1"/>
    <col min="6150" max="6150" width="17.83203125" style="400" customWidth="1"/>
    <col min="6151" max="6393" width="9.1640625" style="400"/>
    <col min="6394" max="6394" width="10.33203125" style="400" bestFit="1" customWidth="1"/>
    <col min="6395" max="6395" width="30.1640625" style="400" bestFit="1" customWidth="1"/>
    <col min="6396" max="6396" width="21" style="400" customWidth="1"/>
    <col min="6397" max="6398" width="13.5" style="400" customWidth="1"/>
    <col min="6399" max="6399" width="21.83203125" style="400" bestFit="1" customWidth="1"/>
    <col min="6400" max="6400" width="12" style="400" customWidth="1"/>
    <col min="6401" max="6401" width="11.5" style="400" bestFit="1" customWidth="1"/>
    <col min="6402" max="6402" width="13.5" style="400" customWidth="1"/>
    <col min="6403" max="6403" width="15.5" style="400" customWidth="1"/>
    <col min="6404" max="6405" width="18.5" style="400" customWidth="1"/>
    <col min="6406" max="6406" width="17.83203125" style="400" customWidth="1"/>
    <col min="6407" max="6649" width="9.1640625" style="400"/>
    <col min="6650" max="6650" width="10.33203125" style="400" bestFit="1" customWidth="1"/>
    <col min="6651" max="6651" width="30.1640625" style="400" bestFit="1" customWidth="1"/>
    <col min="6652" max="6652" width="21" style="400" customWidth="1"/>
    <col min="6653" max="6654" width="13.5" style="400" customWidth="1"/>
    <col min="6655" max="6655" width="21.83203125" style="400" bestFit="1" customWidth="1"/>
    <col min="6656" max="6656" width="12" style="400" customWidth="1"/>
    <col min="6657" max="6657" width="11.5" style="400" bestFit="1" customWidth="1"/>
    <col min="6658" max="6658" width="13.5" style="400" customWidth="1"/>
    <col min="6659" max="6659" width="15.5" style="400" customWidth="1"/>
    <col min="6660" max="6661" width="18.5" style="400" customWidth="1"/>
    <col min="6662" max="6662" width="17.83203125" style="400" customWidth="1"/>
    <col min="6663" max="6905" width="9.1640625" style="400"/>
    <col min="6906" max="6906" width="10.33203125" style="400" bestFit="1" customWidth="1"/>
    <col min="6907" max="6907" width="30.1640625" style="400" bestFit="1" customWidth="1"/>
    <col min="6908" max="6908" width="21" style="400" customWidth="1"/>
    <col min="6909" max="6910" width="13.5" style="400" customWidth="1"/>
    <col min="6911" max="6911" width="21.83203125" style="400" bestFit="1" customWidth="1"/>
    <col min="6912" max="6912" width="12" style="400" customWidth="1"/>
    <col min="6913" max="6913" width="11.5" style="400" bestFit="1" customWidth="1"/>
    <col min="6914" max="6914" width="13.5" style="400" customWidth="1"/>
    <col min="6915" max="6915" width="15.5" style="400" customWidth="1"/>
    <col min="6916" max="6917" width="18.5" style="400" customWidth="1"/>
    <col min="6918" max="6918" width="17.83203125" style="400" customWidth="1"/>
    <col min="6919" max="7161" width="9.1640625" style="400"/>
    <col min="7162" max="7162" width="10.33203125" style="400" bestFit="1" customWidth="1"/>
    <col min="7163" max="7163" width="30.1640625" style="400" bestFit="1" customWidth="1"/>
    <col min="7164" max="7164" width="21" style="400" customWidth="1"/>
    <col min="7165" max="7166" width="13.5" style="400" customWidth="1"/>
    <col min="7167" max="7167" width="21.83203125" style="400" bestFit="1" customWidth="1"/>
    <col min="7168" max="7168" width="12" style="400" customWidth="1"/>
    <col min="7169" max="7169" width="11.5" style="400" bestFit="1" customWidth="1"/>
    <col min="7170" max="7170" width="13.5" style="400" customWidth="1"/>
    <col min="7171" max="7171" width="15.5" style="400" customWidth="1"/>
    <col min="7172" max="7173" width="18.5" style="400" customWidth="1"/>
    <col min="7174" max="7174" width="17.83203125" style="400" customWidth="1"/>
    <col min="7175" max="7417" width="9.1640625" style="400"/>
    <col min="7418" max="7418" width="10.33203125" style="400" bestFit="1" customWidth="1"/>
    <col min="7419" max="7419" width="30.1640625" style="400" bestFit="1" customWidth="1"/>
    <col min="7420" max="7420" width="21" style="400" customWidth="1"/>
    <col min="7421" max="7422" width="13.5" style="400" customWidth="1"/>
    <col min="7423" max="7423" width="21.83203125" style="400" bestFit="1" customWidth="1"/>
    <col min="7424" max="7424" width="12" style="400" customWidth="1"/>
    <col min="7425" max="7425" width="11.5" style="400" bestFit="1" customWidth="1"/>
    <col min="7426" max="7426" width="13.5" style="400" customWidth="1"/>
    <col min="7427" max="7427" width="15.5" style="400" customWidth="1"/>
    <col min="7428" max="7429" width="18.5" style="400" customWidth="1"/>
    <col min="7430" max="7430" width="17.83203125" style="400" customWidth="1"/>
    <col min="7431" max="7673" width="9.1640625" style="400"/>
    <col min="7674" max="7674" width="10.33203125" style="400" bestFit="1" customWidth="1"/>
    <col min="7675" max="7675" width="30.1640625" style="400" bestFit="1" customWidth="1"/>
    <col min="7676" max="7676" width="21" style="400" customWidth="1"/>
    <col min="7677" max="7678" width="13.5" style="400" customWidth="1"/>
    <col min="7679" max="7679" width="21.83203125" style="400" bestFit="1" customWidth="1"/>
    <col min="7680" max="7680" width="12" style="400" customWidth="1"/>
    <col min="7681" max="7681" width="11.5" style="400" bestFit="1" customWidth="1"/>
    <col min="7682" max="7682" width="13.5" style="400" customWidth="1"/>
    <col min="7683" max="7683" width="15.5" style="400" customWidth="1"/>
    <col min="7684" max="7685" width="18.5" style="400" customWidth="1"/>
    <col min="7686" max="7686" width="17.83203125" style="400" customWidth="1"/>
    <col min="7687" max="7929" width="9.1640625" style="400"/>
    <col min="7930" max="7930" width="10.33203125" style="400" bestFit="1" customWidth="1"/>
    <col min="7931" max="7931" width="30.1640625" style="400" bestFit="1" customWidth="1"/>
    <col min="7932" max="7932" width="21" style="400" customWidth="1"/>
    <col min="7933" max="7934" width="13.5" style="400" customWidth="1"/>
    <col min="7935" max="7935" width="21.83203125" style="400" bestFit="1" customWidth="1"/>
    <col min="7936" max="7936" width="12" style="400" customWidth="1"/>
    <col min="7937" max="7937" width="11.5" style="400" bestFit="1" customWidth="1"/>
    <col min="7938" max="7938" width="13.5" style="400" customWidth="1"/>
    <col min="7939" max="7939" width="15.5" style="400" customWidth="1"/>
    <col min="7940" max="7941" width="18.5" style="400" customWidth="1"/>
    <col min="7942" max="7942" width="17.83203125" style="400" customWidth="1"/>
    <col min="7943" max="8185" width="9.1640625" style="400"/>
    <col min="8186" max="8186" width="10.33203125" style="400" bestFit="1" customWidth="1"/>
    <col min="8187" max="8187" width="30.1640625" style="400" bestFit="1" customWidth="1"/>
    <col min="8188" max="8188" width="21" style="400" customWidth="1"/>
    <col min="8189" max="8190" width="13.5" style="400" customWidth="1"/>
    <col min="8191" max="8191" width="21.83203125" style="400" bestFit="1" customWidth="1"/>
    <col min="8192" max="8192" width="12" style="400" customWidth="1"/>
    <col min="8193" max="8193" width="11.5" style="400" bestFit="1" customWidth="1"/>
    <col min="8194" max="8194" width="13.5" style="400" customWidth="1"/>
    <col min="8195" max="8195" width="15.5" style="400" customWidth="1"/>
    <col min="8196" max="8197" width="18.5" style="400" customWidth="1"/>
    <col min="8198" max="8198" width="17.83203125" style="400" customWidth="1"/>
    <col min="8199" max="8441" width="9.1640625" style="400"/>
    <col min="8442" max="8442" width="10.33203125" style="400" bestFit="1" customWidth="1"/>
    <col min="8443" max="8443" width="30.1640625" style="400" bestFit="1" customWidth="1"/>
    <col min="8444" max="8444" width="21" style="400" customWidth="1"/>
    <col min="8445" max="8446" width="13.5" style="400" customWidth="1"/>
    <col min="8447" max="8447" width="21.83203125" style="400" bestFit="1" customWidth="1"/>
    <col min="8448" max="8448" width="12" style="400" customWidth="1"/>
    <col min="8449" max="8449" width="11.5" style="400" bestFit="1" customWidth="1"/>
    <col min="8450" max="8450" width="13.5" style="400" customWidth="1"/>
    <col min="8451" max="8451" width="15.5" style="400" customWidth="1"/>
    <col min="8452" max="8453" width="18.5" style="400" customWidth="1"/>
    <col min="8454" max="8454" width="17.83203125" style="400" customWidth="1"/>
    <col min="8455" max="8697" width="9.1640625" style="400"/>
    <col min="8698" max="8698" width="10.33203125" style="400" bestFit="1" customWidth="1"/>
    <col min="8699" max="8699" width="30.1640625" style="400" bestFit="1" customWidth="1"/>
    <col min="8700" max="8700" width="21" style="400" customWidth="1"/>
    <col min="8701" max="8702" width="13.5" style="400" customWidth="1"/>
    <col min="8703" max="8703" width="21.83203125" style="400" bestFit="1" customWidth="1"/>
    <col min="8704" max="8704" width="12" style="400" customWidth="1"/>
    <col min="8705" max="8705" width="11.5" style="400" bestFit="1" customWidth="1"/>
    <col min="8706" max="8706" width="13.5" style="400" customWidth="1"/>
    <col min="8707" max="8707" width="15.5" style="400" customWidth="1"/>
    <col min="8708" max="8709" width="18.5" style="400" customWidth="1"/>
    <col min="8710" max="8710" width="17.83203125" style="400" customWidth="1"/>
    <col min="8711" max="8953" width="9.1640625" style="400"/>
    <col min="8954" max="8954" width="10.33203125" style="400" bestFit="1" customWidth="1"/>
    <col min="8955" max="8955" width="30.1640625" style="400" bestFit="1" customWidth="1"/>
    <col min="8956" max="8956" width="21" style="400" customWidth="1"/>
    <col min="8957" max="8958" width="13.5" style="400" customWidth="1"/>
    <col min="8959" max="8959" width="21.83203125" style="400" bestFit="1" customWidth="1"/>
    <col min="8960" max="8960" width="12" style="400" customWidth="1"/>
    <col min="8961" max="8961" width="11.5" style="400" bestFit="1" customWidth="1"/>
    <col min="8962" max="8962" width="13.5" style="400" customWidth="1"/>
    <col min="8963" max="8963" width="15.5" style="400" customWidth="1"/>
    <col min="8964" max="8965" width="18.5" style="400" customWidth="1"/>
    <col min="8966" max="8966" width="17.83203125" style="400" customWidth="1"/>
    <col min="8967" max="9209" width="9.1640625" style="400"/>
    <col min="9210" max="9210" width="10.33203125" style="400" bestFit="1" customWidth="1"/>
    <col min="9211" max="9211" width="30.1640625" style="400" bestFit="1" customWidth="1"/>
    <col min="9212" max="9212" width="21" style="400" customWidth="1"/>
    <col min="9213" max="9214" width="13.5" style="400" customWidth="1"/>
    <col min="9215" max="9215" width="21.83203125" style="400" bestFit="1" customWidth="1"/>
    <col min="9216" max="9216" width="12" style="400" customWidth="1"/>
    <col min="9217" max="9217" width="11.5" style="400" bestFit="1" customWidth="1"/>
    <col min="9218" max="9218" width="13.5" style="400" customWidth="1"/>
    <col min="9219" max="9219" width="15.5" style="400" customWidth="1"/>
    <col min="9220" max="9221" width="18.5" style="400" customWidth="1"/>
    <col min="9222" max="9222" width="17.83203125" style="400" customWidth="1"/>
    <col min="9223" max="9465" width="9.1640625" style="400"/>
    <col min="9466" max="9466" width="10.33203125" style="400" bestFit="1" customWidth="1"/>
    <col min="9467" max="9467" width="30.1640625" style="400" bestFit="1" customWidth="1"/>
    <col min="9468" max="9468" width="21" style="400" customWidth="1"/>
    <col min="9469" max="9470" width="13.5" style="400" customWidth="1"/>
    <col min="9471" max="9471" width="21.83203125" style="400" bestFit="1" customWidth="1"/>
    <col min="9472" max="9472" width="12" style="400" customWidth="1"/>
    <col min="9473" max="9473" width="11.5" style="400" bestFit="1" customWidth="1"/>
    <col min="9474" max="9474" width="13.5" style="400" customWidth="1"/>
    <col min="9475" max="9475" width="15.5" style="400" customWidth="1"/>
    <col min="9476" max="9477" width="18.5" style="400" customWidth="1"/>
    <col min="9478" max="9478" width="17.83203125" style="400" customWidth="1"/>
    <col min="9479" max="9721" width="9.1640625" style="400"/>
    <col min="9722" max="9722" width="10.33203125" style="400" bestFit="1" customWidth="1"/>
    <col min="9723" max="9723" width="30.1640625" style="400" bestFit="1" customWidth="1"/>
    <col min="9724" max="9724" width="21" style="400" customWidth="1"/>
    <col min="9725" max="9726" width="13.5" style="400" customWidth="1"/>
    <col min="9727" max="9727" width="21.83203125" style="400" bestFit="1" customWidth="1"/>
    <col min="9728" max="9728" width="12" style="400" customWidth="1"/>
    <col min="9729" max="9729" width="11.5" style="400" bestFit="1" customWidth="1"/>
    <col min="9730" max="9730" width="13.5" style="400" customWidth="1"/>
    <col min="9731" max="9731" width="15.5" style="400" customWidth="1"/>
    <col min="9732" max="9733" width="18.5" style="400" customWidth="1"/>
    <col min="9734" max="9734" width="17.83203125" style="400" customWidth="1"/>
    <col min="9735" max="9977" width="9.1640625" style="400"/>
    <col min="9978" max="9978" width="10.33203125" style="400" bestFit="1" customWidth="1"/>
    <col min="9979" max="9979" width="30.1640625" style="400" bestFit="1" customWidth="1"/>
    <col min="9980" max="9980" width="21" style="400" customWidth="1"/>
    <col min="9981" max="9982" width="13.5" style="400" customWidth="1"/>
    <col min="9983" max="9983" width="21.83203125" style="400" bestFit="1" customWidth="1"/>
    <col min="9984" max="9984" width="12" style="400" customWidth="1"/>
    <col min="9985" max="9985" width="11.5" style="400" bestFit="1" customWidth="1"/>
    <col min="9986" max="9986" width="13.5" style="400" customWidth="1"/>
    <col min="9987" max="9987" width="15.5" style="400" customWidth="1"/>
    <col min="9988" max="9989" width="18.5" style="400" customWidth="1"/>
    <col min="9990" max="9990" width="17.83203125" style="400" customWidth="1"/>
    <col min="9991" max="10233" width="9.1640625" style="400"/>
    <col min="10234" max="10234" width="10.33203125" style="400" bestFit="1" customWidth="1"/>
    <col min="10235" max="10235" width="30.1640625" style="400" bestFit="1" customWidth="1"/>
    <col min="10236" max="10236" width="21" style="400" customWidth="1"/>
    <col min="10237" max="10238" width="13.5" style="400" customWidth="1"/>
    <col min="10239" max="10239" width="21.83203125" style="400" bestFit="1" customWidth="1"/>
    <col min="10240" max="10240" width="12" style="400" customWidth="1"/>
    <col min="10241" max="10241" width="11.5" style="400" bestFit="1" customWidth="1"/>
    <col min="10242" max="10242" width="13.5" style="400" customWidth="1"/>
    <col min="10243" max="10243" width="15.5" style="400" customWidth="1"/>
    <col min="10244" max="10245" width="18.5" style="400" customWidth="1"/>
    <col min="10246" max="10246" width="17.83203125" style="400" customWidth="1"/>
    <col min="10247" max="10489" width="9.1640625" style="400"/>
    <col min="10490" max="10490" width="10.33203125" style="400" bestFit="1" customWidth="1"/>
    <col min="10491" max="10491" width="30.1640625" style="400" bestFit="1" customWidth="1"/>
    <col min="10492" max="10492" width="21" style="400" customWidth="1"/>
    <col min="10493" max="10494" width="13.5" style="400" customWidth="1"/>
    <col min="10495" max="10495" width="21.83203125" style="400" bestFit="1" customWidth="1"/>
    <col min="10496" max="10496" width="12" style="400" customWidth="1"/>
    <col min="10497" max="10497" width="11.5" style="400" bestFit="1" customWidth="1"/>
    <col min="10498" max="10498" width="13.5" style="400" customWidth="1"/>
    <col min="10499" max="10499" width="15.5" style="400" customWidth="1"/>
    <col min="10500" max="10501" width="18.5" style="400" customWidth="1"/>
    <col min="10502" max="10502" width="17.83203125" style="400" customWidth="1"/>
    <col min="10503" max="10745" width="9.1640625" style="400"/>
    <col min="10746" max="10746" width="10.33203125" style="400" bestFit="1" customWidth="1"/>
    <col min="10747" max="10747" width="30.1640625" style="400" bestFit="1" customWidth="1"/>
    <col min="10748" max="10748" width="21" style="400" customWidth="1"/>
    <col min="10749" max="10750" width="13.5" style="400" customWidth="1"/>
    <col min="10751" max="10751" width="21.83203125" style="400" bestFit="1" customWidth="1"/>
    <col min="10752" max="10752" width="12" style="400" customWidth="1"/>
    <col min="10753" max="10753" width="11.5" style="400" bestFit="1" customWidth="1"/>
    <col min="10754" max="10754" width="13.5" style="400" customWidth="1"/>
    <col min="10755" max="10755" width="15.5" style="400" customWidth="1"/>
    <col min="10756" max="10757" width="18.5" style="400" customWidth="1"/>
    <col min="10758" max="10758" width="17.83203125" style="400" customWidth="1"/>
    <col min="10759" max="11001" width="9.1640625" style="400"/>
    <col min="11002" max="11002" width="10.33203125" style="400" bestFit="1" customWidth="1"/>
    <col min="11003" max="11003" width="30.1640625" style="400" bestFit="1" customWidth="1"/>
    <col min="11004" max="11004" width="21" style="400" customWidth="1"/>
    <col min="11005" max="11006" width="13.5" style="400" customWidth="1"/>
    <col min="11007" max="11007" width="21.83203125" style="400" bestFit="1" customWidth="1"/>
    <col min="11008" max="11008" width="12" style="400" customWidth="1"/>
    <col min="11009" max="11009" width="11.5" style="400" bestFit="1" customWidth="1"/>
    <col min="11010" max="11010" width="13.5" style="400" customWidth="1"/>
    <col min="11011" max="11011" width="15.5" style="400" customWidth="1"/>
    <col min="11012" max="11013" width="18.5" style="400" customWidth="1"/>
    <col min="11014" max="11014" width="17.83203125" style="400" customWidth="1"/>
    <col min="11015" max="11257" width="9.1640625" style="400"/>
    <col min="11258" max="11258" width="10.33203125" style="400" bestFit="1" customWidth="1"/>
    <col min="11259" max="11259" width="30.1640625" style="400" bestFit="1" customWidth="1"/>
    <col min="11260" max="11260" width="21" style="400" customWidth="1"/>
    <col min="11261" max="11262" width="13.5" style="400" customWidth="1"/>
    <col min="11263" max="11263" width="21.83203125" style="400" bestFit="1" customWidth="1"/>
    <col min="11264" max="11264" width="12" style="400" customWidth="1"/>
    <col min="11265" max="11265" width="11.5" style="400" bestFit="1" customWidth="1"/>
    <col min="11266" max="11266" width="13.5" style="400" customWidth="1"/>
    <col min="11267" max="11267" width="15.5" style="400" customWidth="1"/>
    <col min="11268" max="11269" width="18.5" style="400" customWidth="1"/>
    <col min="11270" max="11270" width="17.83203125" style="400" customWidth="1"/>
    <col min="11271" max="11513" width="9.1640625" style="400"/>
    <col min="11514" max="11514" width="10.33203125" style="400" bestFit="1" customWidth="1"/>
    <col min="11515" max="11515" width="30.1640625" style="400" bestFit="1" customWidth="1"/>
    <col min="11516" max="11516" width="21" style="400" customWidth="1"/>
    <col min="11517" max="11518" width="13.5" style="400" customWidth="1"/>
    <col min="11519" max="11519" width="21.83203125" style="400" bestFit="1" customWidth="1"/>
    <col min="11520" max="11520" width="12" style="400" customWidth="1"/>
    <col min="11521" max="11521" width="11.5" style="400" bestFit="1" customWidth="1"/>
    <col min="11522" max="11522" width="13.5" style="400" customWidth="1"/>
    <col min="11523" max="11523" width="15.5" style="400" customWidth="1"/>
    <col min="11524" max="11525" width="18.5" style="400" customWidth="1"/>
    <col min="11526" max="11526" width="17.83203125" style="400" customWidth="1"/>
    <col min="11527" max="11769" width="9.1640625" style="400"/>
    <col min="11770" max="11770" width="10.33203125" style="400" bestFit="1" customWidth="1"/>
    <col min="11771" max="11771" width="30.1640625" style="400" bestFit="1" customWidth="1"/>
    <col min="11772" max="11772" width="21" style="400" customWidth="1"/>
    <col min="11773" max="11774" width="13.5" style="400" customWidth="1"/>
    <col min="11775" max="11775" width="21.83203125" style="400" bestFit="1" customWidth="1"/>
    <col min="11776" max="11776" width="12" style="400" customWidth="1"/>
    <col min="11777" max="11777" width="11.5" style="400" bestFit="1" customWidth="1"/>
    <col min="11778" max="11778" width="13.5" style="400" customWidth="1"/>
    <col min="11779" max="11779" width="15.5" style="400" customWidth="1"/>
    <col min="11780" max="11781" width="18.5" style="400" customWidth="1"/>
    <col min="11782" max="11782" width="17.83203125" style="400" customWidth="1"/>
    <col min="11783" max="12025" width="9.1640625" style="400"/>
    <col min="12026" max="12026" width="10.33203125" style="400" bestFit="1" customWidth="1"/>
    <col min="12027" max="12027" width="30.1640625" style="400" bestFit="1" customWidth="1"/>
    <col min="12028" max="12028" width="21" style="400" customWidth="1"/>
    <col min="12029" max="12030" width="13.5" style="400" customWidth="1"/>
    <col min="12031" max="12031" width="21.83203125" style="400" bestFit="1" customWidth="1"/>
    <col min="12032" max="12032" width="12" style="400" customWidth="1"/>
    <col min="12033" max="12033" width="11.5" style="400" bestFit="1" customWidth="1"/>
    <col min="12034" max="12034" width="13.5" style="400" customWidth="1"/>
    <col min="12035" max="12035" width="15.5" style="400" customWidth="1"/>
    <col min="12036" max="12037" width="18.5" style="400" customWidth="1"/>
    <col min="12038" max="12038" width="17.83203125" style="400" customWidth="1"/>
    <col min="12039" max="12281" width="9.1640625" style="400"/>
    <col min="12282" max="12282" width="10.33203125" style="400" bestFit="1" customWidth="1"/>
    <col min="12283" max="12283" width="30.1640625" style="400" bestFit="1" customWidth="1"/>
    <col min="12284" max="12284" width="21" style="400" customWidth="1"/>
    <col min="12285" max="12286" width="13.5" style="400" customWidth="1"/>
    <col min="12287" max="12287" width="21.83203125" style="400" bestFit="1" customWidth="1"/>
    <col min="12288" max="12288" width="12" style="400" customWidth="1"/>
    <col min="12289" max="12289" width="11.5" style="400" bestFit="1" customWidth="1"/>
    <col min="12290" max="12290" width="13.5" style="400" customWidth="1"/>
    <col min="12291" max="12291" width="15.5" style="400" customWidth="1"/>
    <col min="12292" max="12293" width="18.5" style="400" customWidth="1"/>
    <col min="12294" max="12294" width="17.83203125" style="400" customWidth="1"/>
    <col min="12295" max="12537" width="9.1640625" style="400"/>
    <col min="12538" max="12538" width="10.33203125" style="400" bestFit="1" customWidth="1"/>
    <col min="12539" max="12539" width="30.1640625" style="400" bestFit="1" customWidth="1"/>
    <col min="12540" max="12540" width="21" style="400" customWidth="1"/>
    <col min="12541" max="12542" width="13.5" style="400" customWidth="1"/>
    <col min="12543" max="12543" width="21.83203125" style="400" bestFit="1" customWidth="1"/>
    <col min="12544" max="12544" width="12" style="400" customWidth="1"/>
    <col min="12545" max="12545" width="11.5" style="400" bestFit="1" customWidth="1"/>
    <col min="12546" max="12546" width="13.5" style="400" customWidth="1"/>
    <col min="12547" max="12547" width="15.5" style="400" customWidth="1"/>
    <col min="12548" max="12549" width="18.5" style="400" customWidth="1"/>
    <col min="12550" max="12550" width="17.83203125" style="400" customWidth="1"/>
    <col min="12551" max="12793" width="9.1640625" style="400"/>
    <col min="12794" max="12794" width="10.33203125" style="400" bestFit="1" customWidth="1"/>
    <col min="12795" max="12795" width="30.1640625" style="400" bestFit="1" customWidth="1"/>
    <col min="12796" max="12796" width="21" style="400" customWidth="1"/>
    <col min="12797" max="12798" width="13.5" style="400" customWidth="1"/>
    <col min="12799" max="12799" width="21.83203125" style="400" bestFit="1" customWidth="1"/>
    <col min="12800" max="12800" width="12" style="400" customWidth="1"/>
    <col min="12801" max="12801" width="11.5" style="400" bestFit="1" customWidth="1"/>
    <col min="12802" max="12802" width="13.5" style="400" customWidth="1"/>
    <col min="12803" max="12803" width="15.5" style="400" customWidth="1"/>
    <col min="12804" max="12805" width="18.5" style="400" customWidth="1"/>
    <col min="12806" max="12806" width="17.83203125" style="400" customWidth="1"/>
    <col min="12807" max="13049" width="9.1640625" style="400"/>
    <col min="13050" max="13050" width="10.33203125" style="400" bestFit="1" customWidth="1"/>
    <col min="13051" max="13051" width="30.1640625" style="400" bestFit="1" customWidth="1"/>
    <col min="13052" max="13052" width="21" style="400" customWidth="1"/>
    <col min="13053" max="13054" width="13.5" style="400" customWidth="1"/>
    <col min="13055" max="13055" width="21.83203125" style="400" bestFit="1" customWidth="1"/>
    <col min="13056" max="13056" width="12" style="400" customWidth="1"/>
    <col min="13057" max="13057" width="11.5" style="400" bestFit="1" customWidth="1"/>
    <col min="13058" max="13058" width="13.5" style="400" customWidth="1"/>
    <col min="13059" max="13059" width="15.5" style="400" customWidth="1"/>
    <col min="13060" max="13061" width="18.5" style="400" customWidth="1"/>
    <col min="13062" max="13062" width="17.83203125" style="400" customWidth="1"/>
    <col min="13063" max="13305" width="9.1640625" style="400"/>
    <col min="13306" max="13306" width="10.33203125" style="400" bestFit="1" customWidth="1"/>
    <col min="13307" max="13307" width="30.1640625" style="400" bestFit="1" customWidth="1"/>
    <col min="13308" max="13308" width="21" style="400" customWidth="1"/>
    <col min="13309" max="13310" width="13.5" style="400" customWidth="1"/>
    <col min="13311" max="13311" width="21.83203125" style="400" bestFit="1" customWidth="1"/>
    <col min="13312" max="13312" width="12" style="400" customWidth="1"/>
    <col min="13313" max="13313" width="11.5" style="400" bestFit="1" customWidth="1"/>
    <col min="13314" max="13314" width="13.5" style="400" customWidth="1"/>
    <col min="13315" max="13315" width="15.5" style="400" customWidth="1"/>
    <col min="13316" max="13317" width="18.5" style="400" customWidth="1"/>
    <col min="13318" max="13318" width="17.83203125" style="400" customWidth="1"/>
    <col min="13319" max="13561" width="9.1640625" style="400"/>
    <col min="13562" max="13562" width="10.33203125" style="400" bestFit="1" customWidth="1"/>
    <col min="13563" max="13563" width="30.1640625" style="400" bestFit="1" customWidth="1"/>
    <col min="13564" max="13564" width="21" style="400" customWidth="1"/>
    <col min="13565" max="13566" width="13.5" style="400" customWidth="1"/>
    <col min="13567" max="13567" width="21.83203125" style="400" bestFit="1" customWidth="1"/>
    <col min="13568" max="13568" width="12" style="400" customWidth="1"/>
    <col min="13569" max="13569" width="11.5" style="400" bestFit="1" customWidth="1"/>
    <col min="13570" max="13570" width="13.5" style="400" customWidth="1"/>
    <col min="13571" max="13571" width="15.5" style="400" customWidth="1"/>
    <col min="13572" max="13573" width="18.5" style="400" customWidth="1"/>
    <col min="13574" max="13574" width="17.83203125" style="400" customWidth="1"/>
    <col min="13575" max="13817" width="9.1640625" style="400"/>
    <col min="13818" max="13818" width="10.33203125" style="400" bestFit="1" customWidth="1"/>
    <col min="13819" max="13819" width="30.1640625" style="400" bestFit="1" customWidth="1"/>
    <col min="13820" max="13820" width="21" style="400" customWidth="1"/>
    <col min="13821" max="13822" width="13.5" style="400" customWidth="1"/>
    <col min="13823" max="13823" width="21.83203125" style="400" bestFit="1" customWidth="1"/>
    <col min="13824" max="13824" width="12" style="400" customWidth="1"/>
    <col min="13825" max="13825" width="11.5" style="400" bestFit="1" customWidth="1"/>
    <col min="13826" max="13826" width="13.5" style="400" customWidth="1"/>
    <col min="13827" max="13827" width="15.5" style="400" customWidth="1"/>
    <col min="13828" max="13829" width="18.5" style="400" customWidth="1"/>
    <col min="13830" max="13830" width="17.83203125" style="400" customWidth="1"/>
    <col min="13831" max="14073" width="9.1640625" style="400"/>
    <col min="14074" max="14074" width="10.33203125" style="400" bestFit="1" customWidth="1"/>
    <col min="14075" max="14075" width="30.1640625" style="400" bestFit="1" customWidth="1"/>
    <col min="14076" max="14076" width="21" style="400" customWidth="1"/>
    <col min="14077" max="14078" width="13.5" style="400" customWidth="1"/>
    <col min="14079" max="14079" width="21.83203125" style="400" bestFit="1" customWidth="1"/>
    <col min="14080" max="14080" width="12" style="400" customWidth="1"/>
    <col min="14081" max="14081" width="11.5" style="400" bestFit="1" customWidth="1"/>
    <col min="14082" max="14082" width="13.5" style="400" customWidth="1"/>
    <col min="14083" max="14083" width="15.5" style="400" customWidth="1"/>
    <col min="14084" max="14085" width="18.5" style="400" customWidth="1"/>
    <col min="14086" max="14086" width="17.83203125" style="400" customWidth="1"/>
    <col min="14087" max="14329" width="9.1640625" style="400"/>
    <col min="14330" max="14330" width="10.33203125" style="400" bestFit="1" customWidth="1"/>
    <col min="14331" max="14331" width="30.1640625" style="400" bestFit="1" customWidth="1"/>
    <col min="14332" max="14332" width="21" style="400" customWidth="1"/>
    <col min="14333" max="14334" width="13.5" style="400" customWidth="1"/>
    <col min="14335" max="14335" width="21.83203125" style="400" bestFit="1" customWidth="1"/>
    <col min="14336" max="14336" width="12" style="400" customWidth="1"/>
    <col min="14337" max="14337" width="11.5" style="400" bestFit="1" customWidth="1"/>
    <col min="14338" max="14338" width="13.5" style="400" customWidth="1"/>
    <col min="14339" max="14339" width="15.5" style="400" customWidth="1"/>
    <col min="14340" max="14341" width="18.5" style="400" customWidth="1"/>
    <col min="14342" max="14342" width="17.83203125" style="400" customWidth="1"/>
    <col min="14343" max="14585" width="9.1640625" style="400"/>
    <col min="14586" max="14586" width="10.33203125" style="400" bestFit="1" customWidth="1"/>
    <col min="14587" max="14587" width="30.1640625" style="400" bestFit="1" customWidth="1"/>
    <col min="14588" max="14588" width="21" style="400" customWidth="1"/>
    <col min="14589" max="14590" width="13.5" style="400" customWidth="1"/>
    <col min="14591" max="14591" width="21.83203125" style="400" bestFit="1" customWidth="1"/>
    <col min="14592" max="14592" width="12" style="400" customWidth="1"/>
    <col min="14593" max="14593" width="11.5" style="400" bestFit="1" customWidth="1"/>
    <col min="14594" max="14594" width="13.5" style="400" customWidth="1"/>
    <col min="14595" max="14595" width="15.5" style="400" customWidth="1"/>
    <col min="14596" max="14597" width="18.5" style="400" customWidth="1"/>
    <col min="14598" max="14598" width="17.83203125" style="400" customWidth="1"/>
    <col min="14599" max="14841" width="9.1640625" style="400"/>
    <col min="14842" max="14842" width="10.33203125" style="400" bestFit="1" customWidth="1"/>
    <col min="14843" max="14843" width="30.1640625" style="400" bestFit="1" customWidth="1"/>
    <col min="14844" max="14844" width="21" style="400" customWidth="1"/>
    <col min="14845" max="14846" width="13.5" style="400" customWidth="1"/>
    <col min="14847" max="14847" width="21.83203125" style="400" bestFit="1" customWidth="1"/>
    <col min="14848" max="14848" width="12" style="400" customWidth="1"/>
    <col min="14849" max="14849" width="11.5" style="400" bestFit="1" customWidth="1"/>
    <col min="14850" max="14850" width="13.5" style="400" customWidth="1"/>
    <col min="14851" max="14851" width="15.5" style="400" customWidth="1"/>
    <col min="14852" max="14853" width="18.5" style="400" customWidth="1"/>
    <col min="14854" max="14854" width="17.83203125" style="400" customWidth="1"/>
    <col min="14855" max="15097" width="9.1640625" style="400"/>
    <col min="15098" max="15098" width="10.33203125" style="400" bestFit="1" customWidth="1"/>
    <col min="15099" max="15099" width="30.1640625" style="400" bestFit="1" customWidth="1"/>
    <col min="15100" max="15100" width="21" style="400" customWidth="1"/>
    <col min="15101" max="15102" width="13.5" style="400" customWidth="1"/>
    <col min="15103" max="15103" width="21.83203125" style="400" bestFit="1" customWidth="1"/>
    <col min="15104" max="15104" width="12" style="400" customWidth="1"/>
    <col min="15105" max="15105" width="11.5" style="400" bestFit="1" customWidth="1"/>
    <col min="15106" max="15106" width="13.5" style="400" customWidth="1"/>
    <col min="15107" max="15107" width="15.5" style="400" customWidth="1"/>
    <col min="15108" max="15109" width="18.5" style="400" customWidth="1"/>
    <col min="15110" max="15110" width="17.83203125" style="400" customWidth="1"/>
    <col min="15111" max="15353" width="9.1640625" style="400"/>
    <col min="15354" max="15354" width="10.33203125" style="400" bestFit="1" customWidth="1"/>
    <col min="15355" max="15355" width="30.1640625" style="400" bestFit="1" customWidth="1"/>
    <col min="15356" max="15356" width="21" style="400" customWidth="1"/>
    <col min="15357" max="15358" width="13.5" style="400" customWidth="1"/>
    <col min="15359" max="15359" width="21.83203125" style="400" bestFit="1" customWidth="1"/>
    <col min="15360" max="15360" width="12" style="400" customWidth="1"/>
    <col min="15361" max="15361" width="11.5" style="400" bestFit="1" customWidth="1"/>
    <col min="15362" max="15362" width="13.5" style="400" customWidth="1"/>
    <col min="15363" max="15363" width="15.5" style="400" customWidth="1"/>
    <col min="15364" max="15365" width="18.5" style="400" customWidth="1"/>
    <col min="15366" max="15366" width="17.83203125" style="400" customWidth="1"/>
    <col min="15367" max="15609" width="9.1640625" style="400"/>
    <col min="15610" max="15610" width="10.33203125" style="400" bestFit="1" customWidth="1"/>
    <col min="15611" max="15611" width="30.1640625" style="400" bestFit="1" customWidth="1"/>
    <col min="15612" max="15612" width="21" style="400" customWidth="1"/>
    <col min="15613" max="15614" width="13.5" style="400" customWidth="1"/>
    <col min="15615" max="15615" width="21.83203125" style="400" bestFit="1" customWidth="1"/>
    <col min="15616" max="15616" width="12" style="400" customWidth="1"/>
    <col min="15617" max="15617" width="11.5" style="400" bestFit="1" customWidth="1"/>
    <col min="15618" max="15618" width="13.5" style="400" customWidth="1"/>
    <col min="15619" max="15619" width="15.5" style="400" customWidth="1"/>
    <col min="15620" max="15621" width="18.5" style="400" customWidth="1"/>
    <col min="15622" max="15622" width="17.83203125" style="400" customWidth="1"/>
    <col min="15623" max="15865" width="9.1640625" style="400"/>
    <col min="15866" max="15866" width="10.33203125" style="400" bestFit="1" customWidth="1"/>
    <col min="15867" max="15867" width="30.1640625" style="400" bestFit="1" customWidth="1"/>
    <col min="15868" max="15868" width="21" style="400" customWidth="1"/>
    <col min="15869" max="15870" width="13.5" style="400" customWidth="1"/>
    <col min="15871" max="15871" width="21.83203125" style="400" bestFit="1" customWidth="1"/>
    <col min="15872" max="15872" width="12" style="400" customWidth="1"/>
    <col min="15873" max="15873" width="11.5" style="400" bestFit="1" customWidth="1"/>
    <col min="15874" max="15874" width="13.5" style="400" customWidth="1"/>
    <col min="15875" max="15875" width="15.5" style="400" customWidth="1"/>
    <col min="15876" max="15877" width="18.5" style="400" customWidth="1"/>
    <col min="15878" max="15878" width="17.83203125" style="400" customWidth="1"/>
    <col min="15879" max="16121" width="9.1640625" style="400"/>
    <col min="16122" max="16122" width="10.33203125" style="400" bestFit="1" customWidth="1"/>
    <col min="16123" max="16123" width="30.1640625" style="400" bestFit="1" customWidth="1"/>
    <col min="16124" max="16124" width="21" style="400" customWidth="1"/>
    <col min="16125" max="16126" width="13.5" style="400" customWidth="1"/>
    <col min="16127" max="16127" width="21.83203125" style="400" bestFit="1" customWidth="1"/>
    <col min="16128" max="16128" width="12" style="400" customWidth="1"/>
    <col min="16129" max="16129" width="11.5" style="400" bestFit="1" customWidth="1"/>
    <col min="16130" max="16130" width="13.5" style="400" customWidth="1"/>
    <col min="16131" max="16131" width="15.5" style="400" customWidth="1"/>
    <col min="16132" max="16133" width="18.5" style="400" customWidth="1"/>
    <col min="16134" max="16134" width="17.83203125" style="400" customWidth="1"/>
    <col min="16135" max="16384" width="9.1640625" style="400"/>
  </cols>
  <sheetData>
    <row r="1" spans="1:8" ht="43.5" customHeight="1">
      <c r="A1" s="397" t="s">
        <v>38</v>
      </c>
      <c r="B1" s="397" t="s">
        <v>217</v>
      </c>
      <c r="C1" s="397" t="s">
        <v>26</v>
      </c>
      <c r="D1" s="398" t="s">
        <v>218</v>
      </c>
      <c r="E1" s="398" t="s">
        <v>219</v>
      </c>
      <c r="F1" s="397" t="s">
        <v>220</v>
      </c>
      <c r="G1" s="397" t="s">
        <v>178</v>
      </c>
      <c r="H1" s="399" t="s">
        <v>221</v>
      </c>
    </row>
    <row r="2" spans="1:8" ht="17">
      <c r="A2" s="392">
        <f>ROW()-1</f>
        <v>1</v>
      </c>
      <c r="B2" s="393" t="s">
        <v>181</v>
      </c>
      <c r="C2" s="308" t="s">
        <v>191</v>
      </c>
      <c r="D2" s="401"/>
      <c r="E2" s="394">
        <v>200000</v>
      </c>
      <c r="F2" s="395"/>
      <c r="G2" s="395"/>
      <c r="H2" s="402">
        <f>SUM(D2:G2)</f>
        <v>200000</v>
      </c>
    </row>
    <row r="3" spans="1:8" ht="17">
      <c r="A3" s="392">
        <f t="shared" ref="A3:A5" si="0">ROW()-1</f>
        <v>2</v>
      </c>
      <c r="B3" s="393" t="s">
        <v>182</v>
      </c>
      <c r="C3" s="308" t="s">
        <v>192</v>
      </c>
      <c r="D3" s="401"/>
      <c r="E3" s="394"/>
      <c r="F3" s="395">
        <v>2000000</v>
      </c>
      <c r="G3" s="395"/>
      <c r="H3" s="402">
        <f>SUM(D3:G3)</f>
        <v>2000000</v>
      </c>
    </row>
    <row r="4" spans="1:8" ht="17">
      <c r="A4" s="392">
        <f t="shared" si="0"/>
        <v>3</v>
      </c>
      <c r="B4" s="393" t="s">
        <v>163</v>
      </c>
      <c r="C4" s="308" t="s">
        <v>193</v>
      </c>
      <c r="D4" s="401"/>
      <c r="E4" s="394"/>
      <c r="F4" s="395"/>
      <c r="G4" s="395">
        <v>1000000</v>
      </c>
      <c r="H4" s="402">
        <f>SUM(D4:G4)</f>
        <v>1000000</v>
      </c>
    </row>
    <row r="5" spans="1:8" ht="17">
      <c r="A5" s="392">
        <f t="shared" si="0"/>
        <v>4</v>
      </c>
      <c r="B5" s="393" t="s">
        <v>164</v>
      </c>
      <c r="C5" s="308" t="s">
        <v>194</v>
      </c>
      <c r="D5" s="401">
        <v>500000</v>
      </c>
      <c r="E5" s="394"/>
      <c r="F5" s="395"/>
      <c r="G5" s="395">
        <v>750000</v>
      </c>
      <c r="H5" s="402">
        <f>SUM(D5:G5)</f>
        <v>1250000</v>
      </c>
    </row>
    <row r="6" spans="1:8" ht="23.25" customHeight="1">
      <c r="A6" s="392"/>
      <c r="B6" s="403"/>
      <c r="C6" s="403"/>
      <c r="D6" s="404">
        <f>SUM(D2:D5)</f>
        <v>500000</v>
      </c>
      <c r="E6" s="404">
        <f>SUM(E2:E5)</f>
        <v>200000</v>
      </c>
      <c r="F6" s="404">
        <f>SUM(F2:F5)</f>
        <v>2000000</v>
      </c>
      <c r="G6" s="404">
        <f>SUM(G2:G5)</f>
        <v>1750000</v>
      </c>
      <c r="H6" s="404">
        <f>SUM(H2:H5)</f>
        <v>4450000</v>
      </c>
    </row>
    <row r="7" spans="1:8" ht="16">
      <c r="A7" s="396"/>
    </row>
    <row r="8" spans="1:8" ht="23.25" customHeight="1">
      <c r="A8" s="396"/>
      <c r="C8" s="405"/>
    </row>
    <row r="9" spans="1:8" ht="16">
      <c r="A9" s="396"/>
    </row>
    <row r="10" spans="1:8" ht="16">
      <c r="A10" s="396"/>
    </row>
    <row r="11" spans="1:8" ht="16">
      <c r="A11" s="396"/>
    </row>
    <row r="12" spans="1:8" ht="16">
      <c r="A12" s="396"/>
    </row>
    <row r="13" spans="1:8" ht="16">
      <c r="A13" s="396"/>
    </row>
    <row r="14" spans="1:8" ht="16">
      <c r="A14" s="396"/>
    </row>
    <row r="15" spans="1:8" ht="16">
      <c r="A15" s="396"/>
    </row>
    <row r="16" spans="1:8" ht="16">
      <c r="A16" s="396"/>
    </row>
    <row r="17" spans="1:1" ht="16">
      <c r="A17" s="396"/>
    </row>
    <row r="18" spans="1:1" ht="16">
      <c r="A18" s="396"/>
    </row>
    <row r="19" spans="1:1" ht="16">
      <c r="A19" s="396"/>
    </row>
  </sheetData>
  <autoFilter ref="A1:H19" xr:uid="{00000000-0009-0000-0000-00001B000000}"/>
  <conditionalFormatting sqref="B2:B1048576">
    <cfRule type="duplicateValues" dxfId="35" priority="45"/>
    <cfRule type="duplicateValues" dxfId="34" priority="46"/>
    <cfRule type="duplicateValues" dxfId="33" priority="19258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3:B5">
    <cfRule type="duplicateValues" dxfId="13" priority="1327590"/>
    <cfRule type="duplicateValues" dxfId="12" priority="1327591"/>
    <cfRule type="duplicateValues" dxfId="11" priority="1327592"/>
    <cfRule type="duplicateValues" dxfId="10" priority="1327593"/>
  </conditionalFormatting>
  <conditionalFormatting sqref="B6:B65157">
    <cfRule type="duplicateValues" dxfId="9" priority="167483" stopIfTrue="1"/>
    <cfRule type="duplicateValues" dxfId="8" priority="167484" stopIfTrue="1"/>
  </conditionalFormatting>
  <conditionalFormatting sqref="B6:B1048576">
    <cfRule type="duplicateValues" dxfId="7" priority="1276"/>
  </conditionalFormatting>
  <conditionalFormatting sqref="B1">
    <cfRule type="duplicateValues" dxfId="6" priority="4" stopIfTrue="1"/>
    <cfRule type="duplicateValues" dxfId="5" priority="5" stopIfTrue="1"/>
    <cfRule type="duplicateValues" dxfId="4" priority="6" stopIfTrue="1"/>
    <cfRule type="duplicateValues" dxfId="3" priority="7" stopIfTrue="1"/>
  </conditionalFormatting>
  <conditionalFormatting sqref="B1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20</vt:i4>
      </vt:variant>
    </vt:vector>
  </HeadingPairs>
  <TitlesOfParts>
    <vt:vector size="29" baseType="lpstr">
      <vt:lpstr>Template Payroll</vt:lpstr>
      <vt:lpstr>PC cơm </vt:lpstr>
      <vt:lpstr>TimeTB 2</vt:lpstr>
      <vt:lpstr> TimeTB 1</vt:lpstr>
      <vt:lpstr>OT 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'OT '!__xlnm._FilterDatabase</vt:lpstr>
      <vt:lpstr>Incentive!__xlnm.Print_Area</vt:lpstr>
      <vt:lpstr>Incentive!__xlnm.Print_Titles</vt:lpstr>
      <vt:lpstr>NS!__xlnm.Print_Titles</vt:lpstr>
      <vt:lpstr>'OT '!__xlnm.Print_Titles</vt:lpstr>
      <vt:lpstr>NS!ot_ID</vt:lpstr>
      <vt:lpstr>'OT '!ot_ID</vt:lpstr>
      <vt:lpstr>'OT '!ot_total</vt:lpstr>
      <vt:lpstr>'OT '!ot_untax</vt:lpstr>
      <vt:lpstr>Incentive!Print_Area</vt:lpstr>
      <vt:lpstr>'TimeTB 2'!Print_Area</vt:lpstr>
      <vt:lpstr>' TimeTB 1'!Print_Titles</vt:lpstr>
      <vt:lpstr>Incentive!Print_Titles</vt:lpstr>
      <vt:lpstr>NS!Print_Titles</vt:lpstr>
      <vt:lpstr>'OT '!Print_Titles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2026-01-03T06:07:05Z</dcterms:modified>
</cp:coreProperties>
</file>