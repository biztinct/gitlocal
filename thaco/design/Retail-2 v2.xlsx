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BAA2BE45-5755-BF41-8D15-C1EC9D94AF8B}" xr6:coauthVersionLast="47" xr6:coauthVersionMax="47" xr10:uidLastSave="{00000000-0000-0000-0000-000000000000}"/>
  <bookViews>
    <workbookView xWindow="300" yWindow="580" windowWidth="38100" windowHeight="20800" tabRatio="650" activeTab="4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1'!$A$3:$AT$10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2'!$A$3:$AX$5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2'!$B$1:$AX$27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N8" i="439"/>
  <c r="N10" i="439"/>
  <c r="N11" i="439"/>
  <c r="N5" i="439"/>
  <c r="P5" i="439" s="1"/>
  <c r="P8" i="439"/>
  <c r="P10" i="439"/>
  <c r="D10" i="440"/>
  <c r="D9" i="440"/>
  <c r="R9" i="440" s="1"/>
  <c r="D8" i="440"/>
  <c r="R8" i="440" s="1"/>
  <c r="D7" i="440"/>
  <c r="D6" i="440"/>
  <c r="R6" i="440" s="1"/>
  <c r="D5" i="440"/>
  <c r="R5" i="440" s="1"/>
  <c r="D4" i="440"/>
  <c r="R4" i="440" s="1"/>
  <c r="W1" i="340"/>
  <c r="T2" i="340"/>
  <c r="U2" i="340" s="1"/>
  <c r="T3" i="340"/>
  <c r="I8" i="430"/>
  <c r="Q11" i="340"/>
  <c r="G10" i="430" s="1"/>
  <c r="J10" i="430" s="1"/>
  <c r="P11" i="340"/>
  <c r="L11" i="340"/>
  <c r="K11" i="340"/>
  <c r="J11" i="340"/>
  <c r="I11" i="340"/>
  <c r="Q10" i="340"/>
  <c r="G9" i="430" s="1"/>
  <c r="J9" i="430" s="1"/>
  <c r="P10" i="340"/>
  <c r="L10" i="340"/>
  <c r="K10" i="340"/>
  <c r="J10" i="340"/>
  <c r="I10" i="340"/>
  <c r="Q9" i="340"/>
  <c r="G8" i="430" s="1"/>
  <c r="J8" i="430" s="1"/>
  <c r="P9" i="340"/>
  <c r="E8" i="430" s="1"/>
  <c r="H8" i="430" s="1"/>
  <c r="L9" i="340"/>
  <c r="K9" i="340"/>
  <c r="J9" i="340"/>
  <c r="I9" i="340"/>
  <c r="Q8" i="340"/>
  <c r="G7" i="430" s="1"/>
  <c r="J7" i="430" s="1"/>
  <c r="P8" i="340"/>
  <c r="L8" i="340"/>
  <c r="K8" i="340"/>
  <c r="J8" i="340"/>
  <c r="I8" i="340"/>
  <c r="Q7" i="340"/>
  <c r="G6" i="430" s="1"/>
  <c r="J6" i="430" s="1"/>
  <c r="P7" i="340"/>
  <c r="E6" i="430" s="1"/>
  <c r="H6" i="430" s="1"/>
  <c r="L7" i="340"/>
  <c r="K7" i="340"/>
  <c r="J7" i="340"/>
  <c r="I7" i="340"/>
  <c r="Q6" i="340"/>
  <c r="G5" i="430" s="1"/>
  <c r="J5" i="430" s="1"/>
  <c r="P6" i="340"/>
  <c r="E5" i="430" s="1"/>
  <c r="H5" i="430" s="1"/>
  <c r="L6" i="340"/>
  <c r="K6" i="340"/>
  <c r="J6" i="340"/>
  <c r="I6" i="340"/>
  <c r="AT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P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V2" i="340"/>
  <c r="U3" i="340"/>
  <c r="M9" i="340"/>
  <c r="O9" i="340" s="1"/>
  <c r="O10" i="439" s="1"/>
  <c r="Q10" i="439" s="1"/>
  <c r="V3" i="340"/>
  <c r="W2" i="340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R10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W3" i="340"/>
  <c r="X2" i="340"/>
  <c r="R11" i="439"/>
  <c r="Q7" i="439" l="1"/>
  <c r="R7" i="439" s="1"/>
  <c r="T7" i="439"/>
  <c r="U7" i="439" s="1"/>
  <c r="X3" i="340"/>
  <c r="Y2" i="340"/>
  <c r="Y3" i="340" l="1"/>
  <c r="Z2" i="340"/>
  <c r="AA2" i="340" l="1"/>
  <c r="Z3" i="340"/>
  <c r="D3" i="440"/>
  <c r="Q5" i="340"/>
  <c r="G4" i="430" s="1"/>
  <c r="I4" i="340"/>
  <c r="F4" i="328"/>
  <c r="N9" i="439" s="1"/>
  <c r="AM4" i="328"/>
  <c r="AA3" i="340" l="1"/>
  <c r="AB2" i="340"/>
  <c r="O3" i="440"/>
  <c r="P3" i="440"/>
  <c r="N3" i="440"/>
  <c r="L3" i="440"/>
  <c r="M3" i="440"/>
  <c r="K3" i="440"/>
  <c r="R3" i="440"/>
  <c r="AC2" i="340" l="1"/>
  <c r="AB3" i="340"/>
  <c r="Q3" i="440"/>
  <c r="AD2" i="340" l="1"/>
  <c r="AC3" i="340"/>
  <c r="S3" i="440"/>
  <c r="AK5" i="439" s="1"/>
  <c r="AA5" i="439"/>
  <c r="AE2" i="340" l="1"/>
  <c r="AD3" i="340"/>
  <c r="AH2" i="328"/>
  <c r="AI2" i="328" s="1"/>
  <c r="AF2" i="340" l="1"/>
  <c r="AE3" i="340"/>
  <c r="BF3" i="439"/>
  <c r="BG3" i="439"/>
  <c r="Q4" i="340"/>
  <c r="G3" i="430" s="1"/>
  <c r="P4" i="340"/>
  <c r="E3" i="430" s="1"/>
  <c r="P5" i="340"/>
  <c r="E4" i="430" s="1"/>
  <c r="L4" i="340"/>
  <c r="AF3" i="340" l="1"/>
  <c r="AG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H2" i="340" l="1"/>
  <c r="AG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AH3" i="340"/>
  <c r="AI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I3" i="340" l="1"/>
  <c r="AJ2" i="340"/>
  <c r="AJ3" i="340" l="1"/>
  <c r="AK2" i="340"/>
  <c r="AK3" i="340" l="1"/>
  <c r="AL2" i="340"/>
  <c r="AL3" i="340" l="1"/>
  <c r="AM2" i="340"/>
  <c r="AM3" i="340" l="1"/>
  <c r="AN2" i="340"/>
  <c r="AO2" i="340" l="1"/>
  <c r="AN3" i="340"/>
  <c r="G5" i="348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AT10" i="328"/>
  <c r="F10" i="328" s="1"/>
  <c r="AS10" i="328"/>
  <c r="AR10" i="328"/>
  <c r="AQ10" i="328"/>
  <c r="AP10" i="328"/>
  <c r="AO10" i="328"/>
  <c r="AN10" i="328"/>
  <c r="AM10" i="328"/>
  <c r="AL10" i="328"/>
  <c r="AK10" i="328"/>
  <c r="AT9" i="328"/>
  <c r="F9" i="328" s="1"/>
  <c r="AS9" i="328"/>
  <c r="AR9" i="328"/>
  <c r="AQ9" i="328"/>
  <c r="AP9" i="328"/>
  <c r="AO9" i="328"/>
  <c r="AN9" i="328"/>
  <c r="AM9" i="328"/>
  <c r="AL9" i="328"/>
  <c r="AK9" i="328"/>
  <c r="AT8" i="328"/>
  <c r="F8" i="328" s="1"/>
  <c r="AS8" i="328"/>
  <c r="AR8" i="328"/>
  <c r="AQ8" i="328"/>
  <c r="AP8" i="328"/>
  <c r="AO8" i="328"/>
  <c r="AN8" i="328"/>
  <c r="AM8" i="328"/>
  <c r="AL8" i="328"/>
  <c r="AK8" i="328"/>
  <c r="AT7" i="328"/>
  <c r="F7" i="328" s="1"/>
  <c r="AS7" i="328"/>
  <c r="AR7" i="328"/>
  <c r="AQ7" i="328"/>
  <c r="AP7" i="328"/>
  <c r="AO7" i="328"/>
  <c r="AN7" i="328"/>
  <c r="AM7" i="328"/>
  <c r="AL7" i="328"/>
  <c r="AK7" i="328"/>
  <c r="AT6" i="328"/>
  <c r="F6" i="328" s="1"/>
  <c r="AS6" i="328"/>
  <c r="AR6" i="328"/>
  <c r="AQ6" i="328"/>
  <c r="AP6" i="328"/>
  <c r="AO6" i="328"/>
  <c r="AN6" i="328"/>
  <c r="AM6" i="328"/>
  <c r="AL6" i="328"/>
  <c r="AK6" i="328"/>
  <c r="AW5" i="328"/>
  <c r="AT5" i="328"/>
  <c r="F5" i="328" s="1"/>
  <c r="N12" i="439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L5" i="340"/>
  <c r="K5" i="340"/>
  <c r="J5" i="340"/>
  <c r="I5" i="340"/>
  <c r="A5" i="340"/>
  <c r="A6" i="340" s="1"/>
  <c r="A7" i="340" s="1"/>
  <c r="A8" i="340" s="1"/>
  <c r="A9" i="340" s="1"/>
  <c r="A10" i="340" s="1"/>
  <c r="A11" i="340" s="1"/>
  <c r="K4" i="340"/>
  <c r="J4" i="340"/>
  <c r="J4" i="430"/>
  <c r="I4" i="430"/>
  <c r="H4" i="430"/>
  <c r="J3" i="430"/>
  <c r="I3" i="430"/>
  <c r="H3" i="430"/>
  <c r="K3" i="430" l="1"/>
  <c r="Y5" i="439" s="1"/>
  <c r="AU5" i="439" s="1"/>
  <c r="BQ5" i="439" s="1"/>
  <c r="AP2" i="340"/>
  <c r="AO3" i="340"/>
  <c r="H1" i="347"/>
  <c r="L6" i="347"/>
  <c r="H2" i="347"/>
  <c r="J2" i="347"/>
  <c r="J1" i="347"/>
  <c r="G5" i="347"/>
  <c r="I2" i="347"/>
  <c r="G4" i="347"/>
  <c r="I1" i="347"/>
  <c r="F9" i="366"/>
  <c r="K4" i="430"/>
  <c r="M4" i="340"/>
  <c r="O4" i="340" s="1"/>
  <c r="O5" i="439" s="1"/>
  <c r="M5" i="340"/>
  <c r="O5" i="340" s="1"/>
  <c r="O6" i="439" s="1"/>
  <c r="F27" i="366"/>
  <c r="Q6" i="439" l="1"/>
  <c r="R6" i="439" s="1"/>
  <c r="T6" i="439"/>
  <c r="U6" i="439" s="1"/>
  <c r="Z5" i="439"/>
  <c r="AQ2" i="340"/>
  <c r="AP3" i="340"/>
  <c r="Q5" i="439"/>
  <c r="R5" i="439" s="1"/>
  <c r="T5" i="439"/>
  <c r="U5" i="439" s="1"/>
  <c r="F4" i="366"/>
  <c r="L4" i="347"/>
  <c r="L5" i="347"/>
  <c r="G2" i="347"/>
  <c r="G1" i="347"/>
  <c r="AR2" i="340" l="1"/>
  <c r="AQ3" i="340"/>
  <c r="F8" i="366"/>
  <c r="F2" i="5"/>
  <c r="AB5" i="439" s="1"/>
  <c r="AJ5" i="439" s="1"/>
  <c r="AR3" i="340" l="1"/>
  <c r="AS2" i="340"/>
  <c r="H2" i="5"/>
  <c r="AL5" i="439" s="1"/>
  <c r="AV5" i="439" s="1"/>
  <c r="AW5" i="439" s="1"/>
  <c r="AT2" i="340" l="1"/>
  <c r="AS3" i="340"/>
  <c r="AX5" i="439"/>
  <c r="AY5" i="439"/>
  <c r="AZ5" i="439" s="1"/>
  <c r="G2" i="5"/>
  <c r="AT3" i="340" l="1"/>
  <c r="AU2" i="340"/>
  <c r="BR5" i="439"/>
  <c r="BM5" i="439"/>
  <c r="AU3" i="340" l="1"/>
  <c r="AV2" i="340"/>
  <c r="AV3" i="340" l="1"/>
  <c r="AW2" i="340"/>
  <c r="AW3" i="340" l="1"/>
  <c r="AX2" i="340"/>
  <c r="AX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BR8" i="439" s="1"/>
  <c r="AZ6" i="439"/>
  <c r="BR6" i="439" s="1"/>
  <c r="AZ11" i="439"/>
  <c r="BR11" i="439" s="1"/>
  <c r="BM8" i="439"/>
  <c r="BM6" i="439"/>
  <c r="BR10" i="439"/>
  <c r="BM10" i="439"/>
  <c r="AY7" i="439"/>
  <c r="AX7" i="439"/>
  <c r="BM11" i="439" l="1"/>
  <c r="AZ7" i="439"/>
  <c r="BR7" i="439" s="1"/>
  <c r="BM7" i="439" l="1"/>
  <c r="K9" i="430" l="1"/>
  <c r="K8" i="430"/>
  <c r="K10" i="430"/>
  <c r="K7" i="430"/>
  <c r="K6" i="430"/>
  <c r="K5" i="430"/>
  <c r="S9" i="440" l="1"/>
  <c r="Q9" i="440"/>
  <c r="K9" i="440"/>
  <c r="K8" i="440"/>
  <c r="Q8" i="440"/>
  <c r="S8" i="440"/>
  <c r="K7" i="440"/>
  <c r="Q7" i="440"/>
  <c r="R7" i="440"/>
  <c r="S4" i="440"/>
  <c r="Q4" i="440"/>
  <c r="K4" i="440"/>
  <c r="S5" i="440"/>
  <c r="Q5" i="440"/>
  <c r="K10" i="440"/>
  <c r="Q10" i="440"/>
  <c r="R10" i="440"/>
  <c r="M6" i="440"/>
  <c r="M9" i="440"/>
  <c r="M7" i="440"/>
  <c r="M4" i="440"/>
  <c r="M10" i="440"/>
  <c r="M5" i="440"/>
  <c r="M8" i="440"/>
  <c r="K5" i="440"/>
  <c r="K6" i="440"/>
  <c r="Q6" i="440"/>
  <c r="S6" i="440"/>
  <c r="N6" i="440"/>
  <c r="N9" i="440"/>
  <c r="N7" i="440"/>
  <c r="N10" i="440"/>
  <c r="N4" i="440"/>
  <c r="N5" i="440"/>
  <c r="N8" i="440"/>
  <c r="O8" i="440"/>
  <c r="O4" i="440"/>
  <c r="O7" i="440"/>
  <c r="O10" i="440"/>
  <c r="O6" i="440"/>
  <c r="O5" i="440"/>
  <c r="O9" i="440"/>
  <c r="P8" i="440"/>
  <c r="P6" i="440"/>
  <c r="P10" i="440"/>
  <c r="P7" i="440"/>
  <c r="P4" i="440"/>
  <c r="P5" i="440"/>
  <c r="P9" i="440"/>
  <c r="L4" i="440"/>
  <c r="L7" i="440"/>
  <c r="L8" i="440"/>
  <c r="L9" i="440"/>
  <c r="L6" i="440"/>
  <c r="L5" i="440"/>
  <c r="L10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<sst xmlns="http://schemas.openxmlformats.org/spreadsheetml/2006/main" count="691" uniqueCount="254">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</sst>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3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0" fillId="5" borderId="0" applyNumberFormat="0" applyBorder="0" applyAlignment="0" applyProtection="0"/>
    <xf numFmtId="0" fontId="260" fillId="6" borderId="0" applyNumberFormat="0" applyBorder="0" applyAlignment="0" applyProtection="0"/>
    <xf numFmtId="0" fontId="260" fillId="7" borderId="0" applyNumberFormat="0" applyBorder="0" applyAlignment="0" applyProtection="0"/>
    <xf numFmtId="0" fontId="260" fillId="8" borderId="0" applyNumberFormat="0" applyBorder="0" applyAlignment="0" applyProtection="0"/>
    <xf numFmtId="0" fontId="261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2" fillId="0" borderId="0"/>
    <xf numFmtId="0" fontId="273" fillId="0" borderId="0"/>
    <xf numFmtId="43" fontId="273" fillId="0" borderId="0" applyFont="0" applyFill="0" applyBorder="0" applyAlignment="0" applyProtection="0"/>
    <xf numFmtId="0" fontId="236" fillId="0" borderId="0"/>
    <xf numFmtId="0" fontId="236" fillId="11" borderId="0" applyNumberFormat="0" applyBorder="0" applyAlignment="0" applyProtection="0"/>
    <xf numFmtId="0" fontId="235" fillId="0" borderId="0"/>
    <xf numFmtId="0" fontId="273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79" fillId="0" borderId="0"/>
    <xf numFmtId="0" fontId="267" fillId="13" borderId="0" applyNumberFormat="0" applyBorder="0" applyAlignment="0" applyProtection="0"/>
    <xf numFmtId="0" fontId="267" fillId="12" borderId="0" applyNumberFormat="0" applyBorder="0" applyAlignment="0" applyProtection="0"/>
    <xf numFmtId="0" fontId="267" fillId="10" borderId="0" applyNumberFormat="0" applyBorder="0" applyAlignment="0" applyProtection="0"/>
    <xf numFmtId="0" fontId="267" fillId="14" borderId="0" applyNumberFormat="0" applyBorder="0" applyAlignment="0" applyProtection="0"/>
    <xf numFmtId="0" fontId="279" fillId="11" borderId="0" applyNumberFormat="0" applyBorder="0" applyAlignment="0" applyProtection="0"/>
    <xf numFmtId="0" fontId="280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2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1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5" fillId="0" borderId="0">
      <alignment vertical="center"/>
    </xf>
    <xf numFmtId="175" fontId="285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6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89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0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2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2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2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3" fillId="20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3" fillId="20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2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3" fillId="20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4" fillId="0" borderId="0"/>
    <xf numFmtId="0" fontId="60" fillId="0" borderId="0"/>
    <xf numFmtId="0" fontId="296" fillId="0" borderId="0"/>
    <xf numFmtId="0" fontId="59" fillId="0" borderId="0"/>
    <xf numFmtId="0" fontId="59" fillId="0" borderId="0"/>
    <xf numFmtId="0" fontId="297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1" fillId="0" borderId="0"/>
    <xf numFmtId="178" fontId="301" fillId="0" borderId="0" applyFont="0" applyFill="0" applyBorder="0" applyAlignment="0" applyProtection="0"/>
    <xf numFmtId="0" fontId="302" fillId="23" borderId="0" applyNumberFormat="0" applyBorder="0" applyAlignment="0" applyProtection="0"/>
    <xf numFmtId="0" fontId="301" fillId="24" borderId="0" applyNumberFormat="0" applyFont="0" applyBorder="0" applyAlignment="0" applyProtection="0"/>
    <xf numFmtId="0" fontId="302" fillId="23" borderId="0" applyNumberFormat="0" applyBorder="0" applyAlignment="0" applyProtection="0"/>
    <xf numFmtId="178" fontId="301" fillId="0" borderId="0" applyFont="0" applyFill="0" applyBorder="0" applyAlignment="0" applyProtection="0"/>
    <xf numFmtId="0" fontId="303" fillId="25" borderId="0" applyNumberFormat="0" applyBorder="0" applyAlignment="0" applyProtection="0"/>
    <xf numFmtId="0" fontId="304" fillId="0" borderId="0" applyNumberForma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5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3" fillId="20" borderId="14">
      <alignment horizontal="center" vertical="center"/>
    </xf>
    <xf numFmtId="0" fontId="262" fillId="26" borderId="0"/>
    <xf numFmtId="0" fontId="307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0" fillId="0" borderId="0"/>
    <xf numFmtId="43" fontId="301" fillId="0" borderId="0" applyFont="0" applyFill="0" applyBorder="0" applyAlignment="0" applyProtection="0"/>
    <xf numFmtId="0" fontId="50" fillId="0" borderId="0"/>
    <xf numFmtId="43" fontId="50" fillId="0" borderId="0"/>
    <xf numFmtId="0" fontId="283" fillId="20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3" fillId="20" borderId="3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3" fillId="20" borderId="34">
      <alignment horizontal="center" vertical="center"/>
    </xf>
    <xf numFmtId="0" fontId="262" fillId="26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3" fillId="20" borderId="3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4" fillId="0" borderId="0"/>
    <xf numFmtId="166" fontId="238" fillId="0" borderId="0" applyFill="0" applyBorder="0" applyAlignment="0" applyProtection="0"/>
    <xf numFmtId="0" fontId="239" fillId="2" borderId="3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7">
      <alignment horizontal="center" vertical="center"/>
    </xf>
    <xf numFmtId="0" fontId="35" fillId="0" borderId="0"/>
    <xf numFmtId="43" fontId="35" fillId="0" borderId="0"/>
    <xf numFmtId="0" fontId="283" fillId="20" borderId="3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1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3" fillId="20" borderId="3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3" fillId="20" borderId="3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3" fillId="20" borderId="3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1">
      <alignment horizontal="center" vertical="center"/>
    </xf>
    <xf numFmtId="0" fontId="21" fillId="11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3" fillId="20" borderId="47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1">
      <alignment horizontal="center" vertical="center"/>
    </xf>
    <xf numFmtId="0" fontId="21" fillId="0" borderId="0"/>
    <xf numFmtId="43" fontId="21" fillId="0" borderId="0"/>
    <xf numFmtId="0" fontId="283" fillId="20" borderId="42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7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39" fillId="2" borderId="45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49">
      <alignment horizontal="center" vertical="center"/>
    </xf>
    <xf numFmtId="0" fontId="20" fillId="0" borderId="0"/>
    <xf numFmtId="43" fontId="20" fillId="0" borderId="0"/>
    <xf numFmtId="0" fontId="283" fillId="20" borderId="5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5">
      <alignment horizontal="center" vertical="center"/>
    </xf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1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3" fillId="20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83" fillId="20" borderId="5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5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83" fillId="20" borderId="59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3" fillId="20" borderId="66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4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3" fillId="20" borderId="70">
      <alignment horizontal="center" vertical="center"/>
    </xf>
    <xf numFmtId="9" fontId="7" fillId="0" borderId="0"/>
    <xf numFmtId="0" fontId="283" fillId="20" borderId="71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1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03">
    <xf numFmtId="0" fontId="0" fillId="0" borderId="0" xfId="0"/>
    <xf numFmtId="0" fontId="264" fillId="0" borderId="0" xfId="623" applyFont="1" applyAlignment="1">
      <alignment vertical="center"/>
    </xf>
    <xf numFmtId="0" fontId="263" fillId="0" borderId="0" xfId="623" applyFont="1" applyAlignment="1">
      <alignment horizontal="center" vertical="center"/>
    </xf>
    <xf numFmtId="0" fontId="263" fillId="18" borderId="0" xfId="623" applyFont="1" applyFill="1" applyAlignment="1">
      <alignment vertical="center"/>
    </xf>
    <xf numFmtId="0" fontId="263" fillId="0" borderId="0" xfId="623" applyFont="1" applyAlignment="1">
      <alignment vertical="center"/>
    </xf>
    <xf numFmtId="0" fontId="249" fillId="0" borderId="0" xfId="629" applyFont="1"/>
    <xf numFmtId="0" fontId="299" fillId="0" borderId="0" xfId="0" applyFont="1"/>
    <xf numFmtId="0" fontId="299" fillId="17" borderId="0" xfId="0" applyFont="1" applyFill="1"/>
    <xf numFmtId="0" fontId="299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5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0" fillId="9" borderId="21" xfId="629" applyNumberFormat="1" applyFont="1" applyFill="1" applyBorder="1" applyAlignment="1">
      <alignment horizontal="center" vertical="center"/>
    </xf>
    <xf numFmtId="0" fontId="275" fillId="22" borderId="14" xfId="629" applyFont="1" applyFill="1" applyBorder="1" applyAlignment="1">
      <alignment horizontal="center" vertical="center" wrapText="1"/>
    </xf>
    <xf numFmtId="0" fontId="249" fillId="21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4" fillId="0" borderId="23" xfId="623" applyFont="1" applyBorder="1" applyAlignment="1">
      <alignment horizontal="center" vertical="center"/>
    </xf>
    <xf numFmtId="0" fontId="264" fillId="0" borderId="23" xfId="627" applyFont="1" applyBorder="1" applyAlignment="1">
      <alignment vertical="center"/>
    </xf>
    <xf numFmtId="14" fontId="257" fillId="21" borderId="14" xfId="629" applyNumberFormat="1" applyFont="1" applyFill="1" applyBorder="1" applyAlignment="1">
      <alignment vertical="center"/>
    </xf>
    <xf numFmtId="167" fontId="249" fillId="21" borderId="0" xfId="629" applyNumberFormat="1" applyFont="1" applyFill="1" applyAlignment="1">
      <alignment vertical="center"/>
    </xf>
    <xf numFmtId="169" fontId="264" fillId="0" borderId="32" xfId="626" applyNumberFormat="1" applyFont="1" applyBorder="1" applyAlignment="1">
      <alignment horizontal="center" vertical="center"/>
    </xf>
    <xf numFmtId="167" fontId="293" fillId="9" borderId="0" xfId="629" applyNumberFormat="1" applyFont="1" applyFill="1"/>
    <xf numFmtId="167" fontId="293" fillId="21" borderId="0" xfId="629" applyNumberFormat="1" applyFont="1" applyFill="1"/>
    <xf numFmtId="0" fontId="257" fillId="21" borderId="14" xfId="629" applyFont="1" applyFill="1" applyBorder="1" applyAlignment="1">
      <alignment vertical="center"/>
    </xf>
    <xf numFmtId="0" fontId="268" fillId="21" borderId="34" xfId="629" applyFont="1" applyFill="1" applyBorder="1" applyAlignment="1">
      <alignment vertical="center"/>
    </xf>
    <xf numFmtId="14" fontId="257" fillId="21" borderId="34" xfId="629" applyNumberFormat="1" applyFont="1" applyFill="1" applyBorder="1" applyAlignment="1">
      <alignment vertical="center"/>
    </xf>
    <xf numFmtId="0" fontId="257" fillId="21" borderId="34" xfId="629" applyFont="1" applyFill="1" applyBorder="1" applyAlignment="1">
      <alignment vertical="center"/>
    </xf>
    <xf numFmtId="0" fontId="291" fillId="0" borderId="34" xfId="581" applyFont="1" applyBorder="1" applyAlignment="1">
      <alignment horizontal="center"/>
    </xf>
    <xf numFmtId="167" fontId="257" fillId="17" borderId="14" xfId="629" applyNumberFormat="1" applyFont="1" applyFill="1" applyBorder="1" applyAlignment="1">
      <alignment vertical="center"/>
    </xf>
    <xf numFmtId="167" fontId="257" fillId="17" borderId="34" xfId="629" applyNumberFormat="1" applyFont="1" applyFill="1" applyBorder="1" applyAlignment="1">
      <alignment vertical="center"/>
    </xf>
    <xf numFmtId="0" fontId="44" fillId="0" borderId="0" xfId="709"/>
    <xf numFmtId="169" fontId="306" fillId="0" borderId="34" xfId="709" applyNumberFormat="1" applyFont="1" applyBorder="1" applyAlignment="1">
      <alignment horizontal="center" vertical="center"/>
    </xf>
    <xf numFmtId="180" fontId="291" fillId="0" borderId="34" xfId="711" applyNumberFormat="1" applyFont="1" applyBorder="1" applyAlignment="1">
      <alignment horizontal="center"/>
    </xf>
    <xf numFmtId="0" fontId="291" fillId="0" borderId="34" xfId="711" applyFont="1" applyBorder="1" applyAlignment="1">
      <alignment horizontal="center"/>
    </xf>
    <xf numFmtId="0" fontId="291" fillId="17" borderId="34" xfId="711" applyFont="1" applyFill="1" applyBorder="1" applyAlignment="1">
      <alignment horizontal="left"/>
    </xf>
    <xf numFmtId="0" fontId="257" fillId="21" borderId="0" xfId="0" applyFont="1" applyFill="1" applyAlignment="1">
      <alignment horizontal="center" wrapText="1"/>
    </xf>
    <xf numFmtId="0" fontId="308" fillId="9" borderId="0" xfId="629" applyFont="1" applyFill="1" applyAlignment="1">
      <alignment horizontal="center"/>
    </xf>
    <xf numFmtId="167" fontId="264" fillId="0" borderId="34" xfId="1" applyNumberFormat="1" applyFont="1" applyBorder="1" applyAlignment="1">
      <alignment horizontal="center"/>
    </xf>
    <xf numFmtId="171" fontId="264" fillId="0" borderId="34" xfId="1" applyNumberFormat="1" applyFont="1" applyBorder="1" applyAlignment="1">
      <alignment horizontal="center"/>
    </xf>
    <xf numFmtId="0" fontId="291" fillId="31" borderId="0" xfId="711" applyFont="1" applyFill="1" applyAlignment="1">
      <alignment horizontal="left"/>
    </xf>
    <xf numFmtId="0" fontId="291" fillId="31" borderId="34" xfId="711" applyFont="1" applyFill="1" applyBorder="1" applyAlignment="1">
      <alignment horizontal="center"/>
    </xf>
    <xf numFmtId="0" fontId="291" fillId="31" borderId="34" xfId="711" applyFont="1" applyFill="1" applyBorder="1" applyAlignment="1">
      <alignment horizontal="left" wrapText="1"/>
    </xf>
    <xf numFmtId="0" fontId="282" fillId="0" borderId="11" xfId="711" applyFont="1" applyBorder="1"/>
    <xf numFmtId="0" fontId="282" fillId="0" borderId="4" xfId="711" applyFont="1" applyBorder="1" applyAlignment="1">
      <alignment wrapText="1"/>
    </xf>
    <xf numFmtId="0" fontId="311" fillId="0" borderId="0" xfId="0" applyFont="1" applyAlignment="1" applyProtection="1">
      <alignment horizontal="center" vertical="center"/>
      <protection locked="0"/>
    </xf>
    <xf numFmtId="0" fontId="294" fillId="17" borderId="39" xfId="0" applyFont="1" applyFill="1" applyBorder="1"/>
    <xf numFmtId="0" fontId="257" fillId="21" borderId="39" xfId="0" applyFont="1" applyFill="1" applyBorder="1" applyAlignment="1">
      <alignment horizontal="center" wrapText="1"/>
    </xf>
    <xf numFmtId="0" fontId="0" fillId="17" borderId="39" xfId="0" applyFill="1" applyBorder="1"/>
    <xf numFmtId="0" fontId="264" fillId="0" borderId="39" xfId="623" applyFont="1" applyBorder="1" applyAlignment="1">
      <alignment horizontal="center" vertical="center"/>
    </xf>
    <xf numFmtId="0" fontId="291" fillId="31" borderId="34" xfId="711" applyFont="1" applyFill="1" applyBorder="1" applyAlignment="1">
      <alignment horizontal="center" vertical="center" wrapText="1"/>
    </xf>
    <xf numFmtId="0" fontId="264" fillId="0" borderId="40" xfId="623" applyFont="1" applyBorder="1" applyAlignment="1">
      <alignment horizontal="center" vertical="center"/>
    </xf>
    <xf numFmtId="0" fontId="291" fillId="29" borderId="10" xfId="711" applyFont="1" applyFill="1" applyBorder="1" applyAlignment="1">
      <alignment horizontal="left"/>
    </xf>
    <xf numFmtId="0" fontId="291" fillId="0" borderId="4" xfId="711" applyFont="1" applyBorder="1" applyAlignment="1">
      <alignment horizontal="center"/>
    </xf>
    <xf numFmtId="0" fontId="291" fillId="29" borderId="35" xfId="711" applyFont="1" applyFill="1" applyBorder="1" applyAlignment="1">
      <alignment horizontal="center"/>
    </xf>
    <xf numFmtId="0" fontId="291" fillId="29" borderId="35" xfId="711" applyFont="1" applyFill="1" applyBorder="1" applyAlignment="1">
      <alignment horizontal="left"/>
    </xf>
    <xf numFmtId="167" fontId="264" fillId="29" borderId="10" xfId="1" applyNumberFormat="1" applyFont="1" applyFill="1" applyBorder="1" applyAlignment="1">
      <alignment horizontal="center"/>
    </xf>
    <xf numFmtId="0" fontId="291" fillId="29" borderId="10" xfId="581" applyFont="1" applyFill="1" applyBorder="1" applyAlignment="1">
      <alignment horizontal="center"/>
    </xf>
    <xf numFmtId="43" fontId="264" fillId="29" borderId="10" xfId="1" applyNumberFormat="1" applyFont="1" applyFill="1" applyBorder="1" applyAlignment="1">
      <alignment horizontal="center"/>
    </xf>
    <xf numFmtId="0" fontId="291" fillId="29" borderId="25" xfId="711" applyFont="1" applyFill="1" applyBorder="1"/>
    <xf numFmtId="0" fontId="291" fillId="29" borderId="24" xfId="711" applyFont="1" applyFill="1" applyBorder="1"/>
    <xf numFmtId="182" fontId="282" fillId="29" borderId="34" xfId="711" applyNumberFormat="1" applyFont="1" applyFill="1" applyBorder="1" applyAlignment="1">
      <alignment horizontal="center"/>
    </xf>
    <xf numFmtId="0" fontId="291" fillId="29" borderId="26" xfId="711" applyFont="1" applyFill="1" applyBorder="1"/>
    <xf numFmtId="184" fontId="282" fillId="29" borderId="34" xfId="711" applyNumberFormat="1" applyFont="1" applyFill="1" applyBorder="1" applyAlignment="1">
      <alignment horizontal="center"/>
    </xf>
    <xf numFmtId="167" fontId="264" fillId="0" borderId="34" xfId="1" applyNumberFormat="1" applyFont="1" applyBorder="1" applyAlignment="1">
      <alignment horizontal="left"/>
    </xf>
    <xf numFmtId="0" fontId="282" fillId="0" borderId="4" xfId="711" applyFont="1" applyBorder="1" applyAlignment="1">
      <alignment horizontal="left"/>
    </xf>
    <xf numFmtId="171" fontId="264" fillId="0" borderId="39" xfId="1" applyNumberFormat="1" applyFont="1" applyBorder="1" applyAlignment="1">
      <alignment horizontal="center"/>
    </xf>
    <xf numFmtId="169" fontId="291" fillId="0" borderId="34" xfId="581" applyNumberFormat="1" applyFont="1" applyBorder="1" applyAlignment="1">
      <alignment horizontal="center"/>
    </xf>
    <xf numFmtId="169" fontId="291" fillId="0" borderId="39" xfId="581" applyNumberFormat="1" applyFont="1" applyBorder="1" applyAlignment="1">
      <alignment horizontal="center"/>
    </xf>
    <xf numFmtId="180" fontId="291" fillId="0" borderId="34" xfId="711" applyNumberFormat="1" applyFont="1" applyBorder="1" applyAlignment="1">
      <alignment horizontal="center" vertical="center"/>
    </xf>
    <xf numFmtId="14" fontId="263" fillId="17" borderId="23" xfId="623" applyNumberFormat="1" applyFont="1" applyFill="1" applyBorder="1" applyAlignment="1">
      <alignment vertical="center"/>
    </xf>
    <xf numFmtId="14" fontId="263" fillId="17" borderId="40" xfId="623" applyNumberFormat="1" applyFont="1" applyFill="1" applyBorder="1" applyAlignment="1">
      <alignment vertical="center"/>
    </xf>
    <xf numFmtId="14" fontId="263" fillId="17" borderId="39" xfId="623" applyNumberFormat="1" applyFont="1" applyFill="1" applyBorder="1" applyAlignment="1">
      <alignment vertical="center"/>
    </xf>
    <xf numFmtId="0" fontId="314" fillId="21" borderId="14" xfId="629" applyFont="1" applyFill="1" applyBorder="1" applyAlignment="1">
      <alignment horizontal="right" wrapText="1"/>
    </xf>
    <xf numFmtId="0" fontId="300" fillId="21" borderId="34" xfId="629" applyFont="1" applyFill="1" applyBorder="1" applyAlignment="1">
      <alignment horizontal="right" wrapText="1"/>
    </xf>
    <xf numFmtId="0" fontId="44" fillId="0" borderId="39" xfId="709" applyBorder="1"/>
    <xf numFmtId="0" fontId="19" fillId="0" borderId="39" xfId="709" applyFont="1" applyBorder="1"/>
    <xf numFmtId="167" fontId="238" fillId="0" borderId="39" xfId="1" applyNumberFormat="1" applyBorder="1"/>
    <xf numFmtId="167" fontId="238" fillId="15" borderId="39" xfId="1" applyNumberFormat="1" applyFill="1" applyBorder="1"/>
    <xf numFmtId="0" fontId="44" fillId="19" borderId="0" xfId="709" applyFill="1"/>
    <xf numFmtId="0" fontId="17" fillId="0" borderId="0" xfId="709" applyFont="1"/>
    <xf numFmtId="169" fontId="44" fillId="0" borderId="0" xfId="709" applyNumberFormat="1"/>
    <xf numFmtId="0" fontId="0" fillId="17" borderId="59" xfId="0" applyFill="1" applyBorder="1"/>
    <xf numFmtId="169" fontId="291" fillId="0" borderId="59" xfId="581" applyNumberFormat="1" applyFont="1" applyBorder="1" applyAlignment="1">
      <alignment horizontal="center"/>
    </xf>
    <xf numFmtId="0" fontId="13" fillId="0" borderId="0" xfId="709" applyFont="1"/>
    <xf numFmtId="0" fontId="282" fillId="29" borderId="24" xfId="711" applyFont="1" applyFill="1" applyBorder="1"/>
    <xf numFmtId="0" fontId="264" fillId="0" borderId="62" xfId="623" applyFont="1" applyBorder="1" applyAlignment="1">
      <alignment horizontal="center" vertical="center"/>
    </xf>
    <xf numFmtId="0" fontId="257" fillId="21" borderId="62" xfId="0" applyFont="1" applyFill="1" applyBorder="1" applyAlignment="1">
      <alignment horizontal="center" wrapText="1"/>
    </xf>
    <xf numFmtId="0" fontId="264" fillId="0" borderId="62" xfId="627" applyFont="1" applyBorder="1" applyAlignment="1">
      <alignment vertical="center"/>
    </xf>
    <xf numFmtId="14" fontId="263" fillId="17" borderId="62" xfId="623" applyNumberFormat="1" applyFont="1" applyFill="1" applyBorder="1" applyAlignment="1">
      <alignment vertical="center"/>
    </xf>
    <xf numFmtId="0" fontId="293" fillId="33" borderId="66" xfId="0" applyFont="1" applyFill="1" applyBorder="1" applyAlignment="1">
      <alignment horizontal="center"/>
    </xf>
    <xf numFmtId="0" fontId="319" fillId="17" borderId="0" xfId="666" applyFont="1" applyFill="1" applyAlignment="1">
      <alignment horizontal="center" vertical="center" wrapText="1"/>
    </xf>
    <xf numFmtId="0" fontId="321" fillId="17" borderId="69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1" fillId="0" borderId="71" xfId="6020" applyFont="1" applyBorder="1"/>
    <xf numFmtId="171" fontId="291" fillId="0" borderId="71" xfId="6021" applyNumberFormat="1" applyFont="1" applyBorder="1"/>
    <xf numFmtId="171" fontId="282" fillId="0" borderId="71" xfId="6020" applyNumberFormat="1" applyFont="1" applyBorder="1"/>
    <xf numFmtId="167" fontId="264" fillId="0" borderId="71" xfId="1" applyNumberFormat="1" applyFont="1" applyBorder="1"/>
    <xf numFmtId="0" fontId="291" fillId="0" borderId="71" xfId="6020" applyFont="1" applyBorder="1" applyAlignment="1">
      <alignment shrinkToFit="1"/>
    </xf>
    <xf numFmtId="0" fontId="317" fillId="17" borderId="0" xfId="6031" applyFont="1" applyFill="1"/>
    <xf numFmtId="0" fontId="278" fillId="17" borderId="0" xfId="6031" applyFont="1" applyFill="1"/>
    <xf numFmtId="171" fontId="278" fillId="17" borderId="0" xfId="6032" applyNumberFormat="1" applyFont="1" applyFill="1"/>
    <xf numFmtId="0" fontId="278" fillId="0" borderId="0" xfId="6031" applyFont="1"/>
    <xf numFmtId="0" fontId="283" fillId="17" borderId="0" xfId="6031" applyFont="1" applyFill="1"/>
    <xf numFmtId="172" fontId="283" fillId="17" borderId="0" xfId="6031" applyNumberFormat="1" applyFont="1" applyFill="1" applyAlignment="1">
      <alignment horizontal="center"/>
    </xf>
    <xf numFmtId="0" fontId="318" fillId="17" borderId="0" xfId="6031" applyFont="1" applyFill="1" applyAlignment="1">
      <alignment horizontal="center"/>
    </xf>
    <xf numFmtId="0" fontId="277" fillId="17" borderId="0" xfId="6031" applyFont="1" applyFill="1"/>
    <xf numFmtId="0" fontId="318" fillId="17" borderId="0" xfId="6031" applyFont="1" applyFill="1"/>
    <xf numFmtId="0" fontId="284" fillId="17" borderId="69" xfId="6031" applyFont="1" applyFill="1" applyBorder="1" applyAlignment="1">
      <alignment horizontal="left" vertical="center"/>
    </xf>
    <xf numFmtId="0" fontId="284" fillId="17" borderId="69" xfId="6031" applyFont="1" applyFill="1" applyBorder="1" applyAlignment="1">
      <alignment horizontal="center" vertical="center"/>
    </xf>
    <xf numFmtId="0" fontId="284" fillId="17" borderId="69" xfId="6031" applyFont="1" applyFill="1" applyBorder="1" applyAlignment="1">
      <alignment vertical="center"/>
    </xf>
    <xf numFmtId="0" fontId="269" fillId="17" borderId="69" xfId="6031" applyFont="1" applyFill="1" applyBorder="1" applyAlignment="1">
      <alignment vertical="center"/>
    </xf>
    <xf numFmtId="171" fontId="269" fillId="17" borderId="69" xfId="6032" applyNumberFormat="1" applyFont="1" applyFill="1" applyBorder="1" applyAlignment="1">
      <alignment vertical="center"/>
    </xf>
    <xf numFmtId="174" fontId="271" fillId="0" borderId="69" xfId="6032" applyNumberFormat="1" applyFont="1" applyBorder="1" applyAlignment="1">
      <alignment vertical="center"/>
    </xf>
    <xf numFmtId="171" fontId="269" fillId="0" borderId="69" xfId="6032" applyNumberFormat="1" applyFont="1" applyBorder="1" applyAlignment="1">
      <alignment horizontal="center" vertical="center"/>
    </xf>
    <xf numFmtId="171" fontId="269" fillId="32" borderId="69" xfId="6032" applyNumberFormat="1" applyFont="1" applyFill="1" applyBorder="1" applyAlignment="1">
      <alignment vertical="center"/>
    </xf>
    <xf numFmtId="171" fontId="320" fillId="0" borderId="69" xfId="6032" applyNumberFormat="1" applyFont="1" applyBorder="1" applyAlignment="1">
      <alignment vertical="center"/>
    </xf>
    <xf numFmtId="171" fontId="284" fillId="17" borderId="69" xfId="6031" applyNumberFormat="1" applyFont="1" applyFill="1" applyBorder="1" applyAlignment="1">
      <alignment vertical="center"/>
    </xf>
    <xf numFmtId="171" fontId="269" fillId="0" borderId="69" xfId="6032" applyNumberFormat="1" applyFont="1" applyBorder="1" applyAlignment="1">
      <alignment vertical="center"/>
    </xf>
    <xf numFmtId="171" fontId="269" fillId="0" borderId="69" xfId="6031" applyNumberFormat="1" applyFont="1" applyBorder="1" applyAlignment="1">
      <alignment vertical="center"/>
    </xf>
    <xf numFmtId="171" fontId="269" fillId="32" borderId="69" xfId="6031" applyNumberFormat="1" applyFont="1" applyFill="1" applyBorder="1" applyAlignment="1">
      <alignment vertical="center"/>
    </xf>
    <xf numFmtId="171" fontId="269" fillId="17" borderId="69" xfId="6031" applyNumberFormat="1" applyFont="1" applyFill="1" applyBorder="1" applyAlignment="1">
      <alignment vertical="center"/>
    </xf>
    <xf numFmtId="9" fontId="269" fillId="17" borderId="69" xfId="6032" applyNumberFormat="1" applyFont="1" applyFill="1" applyBorder="1" applyAlignment="1">
      <alignment vertical="center"/>
    </xf>
    <xf numFmtId="171" fontId="315" fillId="17" borderId="69" xfId="6032" applyNumberFormat="1" applyFont="1" applyFill="1" applyBorder="1" applyAlignment="1">
      <alignment vertical="center"/>
    </xf>
    <xf numFmtId="171" fontId="315" fillId="17" borderId="69" xfId="6031" applyNumberFormat="1" applyFont="1" applyFill="1" applyBorder="1" applyAlignment="1">
      <alignment vertical="center"/>
    </xf>
    <xf numFmtId="171" fontId="278" fillId="17" borderId="69" xfId="6031" applyNumberFormat="1" applyFont="1" applyFill="1" applyBorder="1" applyAlignment="1">
      <alignment vertical="center"/>
    </xf>
    <xf numFmtId="0" fontId="278" fillId="17" borderId="0" xfId="6031" applyFont="1" applyFill="1" applyAlignment="1">
      <alignment vertical="center"/>
    </xf>
    <xf numFmtId="0" fontId="278" fillId="0" borderId="0" xfId="6031" applyFont="1" applyAlignment="1">
      <alignment vertical="center"/>
    </xf>
    <xf numFmtId="0" fontId="278" fillId="17" borderId="0" xfId="6031" applyFont="1" applyFill="1" applyAlignment="1">
      <alignment shrinkToFit="1"/>
    </xf>
    <xf numFmtId="172" fontId="283" fillId="17" borderId="0" xfId="6031" applyNumberFormat="1" applyFont="1" applyFill="1" applyAlignment="1">
      <alignment shrinkToFit="1"/>
    </xf>
    <xf numFmtId="0" fontId="284" fillId="17" borderId="69" xfId="6031" applyFont="1" applyFill="1" applyBorder="1" applyAlignment="1">
      <alignment horizontal="left" vertical="center" shrinkToFit="1"/>
    </xf>
    <xf numFmtId="0" fontId="291" fillId="17" borderId="34" xfId="711" applyFont="1" applyFill="1" applyBorder="1" applyAlignment="1">
      <alignment horizontal="center" vertical="center"/>
    </xf>
    <xf numFmtId="167" fontId="264" fillId="0" borderId="10" xfId="712" applyNumberFormat="1" applyFont="1" applyBorder="1" applyAlignment="1">
      <alignment horizontal="center" vertical="center"/>
    </xf>
    <xf numFmtId="167" fontId="264" fillId="17" borderId="34" xfId="712" applyNumberFormat="1" applyFont="1" applyFill="1" applyBorder="1" applyAlignment="1">
      <alignment horizontal="center" vertical="center"/>
    </xf>
    <xf numFmtId="0" fontId="278" fillId="0" borderId="34" xfId="709" applyFont="1" applyBorder="1" applyAlignment="1">
      <alignment vertical="center"/>
    </xf>
    <xf numFmtId="167" fontId="264" fillId="0" borderId="34" xfId="712" applyNumberFormat="1" applyFont="1" applyBorder="1" applyAlignment="1">
      <alignment vertical="center"/>
    </xf>
    <xf numFmtId="0" fontId="278" fillId="0" borderId="34" xfId="709" applyFont="1" applyBorder="1"/>
    <xf numFmtId="167" fontId="264" fillId="0" borderId="34" xfId="712" applyNumberFormat="1" applyFont="1" applyBorder="1" applyAlignment="1">
      <alignment horizontal="center"/>
    </xf>
    <xf numFmtId="14" fontId="291" fillId="0" borderId="71" xfId="6020" applyNumberFormat="1" applyFont="1" applyBorder="1"/>
    <xf numFmtId="0" fontId="284" fillId="27" borderId="69" xfId="6031" applyFont="1" applyFill="1" applyBorder="1" applyAlignment="1">
      <alignment horizontal="left" vertical="center" shrinkToFit="1"/>
    </xf>
    <xf numFmtId="14" fontId="284" fillId="17" borderId="69" xfId="6031" applyNumberFormat="1" applyFont="1" applyFill="1" applyBorder="1" applyAlignment="1">
      <alignment horizontal="center" vertical="center"/>
    </xf>
    <xf numFmtId="0" fontId="284" fillId="16" borderId="69" xfId="6031" applyFont="1" applyFill="1" applyBorder="1" applyAlignment="1">
      <alignment horizontal="left" vertical="center" shrinkToFit="1"/>
    </xf>
    <xf numFmtId="1" fontId="278" fillId="17" borderId="69" xfId="6031" applyNumberFormat="1" applyFont="1" applyFill="1" applyBorder="1" applyAlignment="1">
      <alignment vertical="center"/>
    </xf>
    <xf numFmtId="171" fontId="269" fillId="17" borderId="69" xfId="6032" quotePrefix="1" applyNumberFormat="1" applyFont="1" applyFill="1" applyBorder="1" applyAlignment="1">
      <alignment vertical="center"/>
    </xf>
    <xf numFmtId="167" fontId="269" fillId="0" borderId="56" xfId="1" applyNumberFormat="1" applyFont="1" applyFill="1" applyBorder="1" applyAlignment="1" applyProtection="1">
      <alignment vertical="center"/>
    </xf>
    <xf numFmtId="0" fontId="323" fillId="0" borderId="0" xfId="0" applyFont="1" applyAlignment="1">
      <alignment wrapText="1"/>
    </xf>
    <xf numFmtId="0" fontId="1" fillId="0" borderId="0" xfId="6020" applyFont="1"/>
    <xf numFmtId="186" fontId="324" fillId="0" borderId="33" xfId="6021" applyNumberFormat="1" applyFont="1" applyBorder="1" applyAlignment="1">
      <alignment horizontal="center" vertical="center"/>
    </xf>
    <xf numFmtId="0" fontId="276" fillId="18" borderId="71" xfId="623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shrinkToFit="1"/>
    </xf>
    <xf numFmtId="185" fontId="276" fillId="0" borderId="67" xfId="6033" applyNumberFormat="1" applyFont="1" applyBorder="1" applyAlignment="1">
      <alignment horizontal="center" vertical="center" wrapText="1"/>
    </xf>
    <xf numFmtId="0" fontId="265" fillId="0" borderId="67" xfId="666" applyFont="1" applyFill="1" applyBorder="1" applyAlignment="1">
      <alignment horizontal="center" vertical="center" wrapText="1"/>
    </xf>
    <xf numFmtId="0" fontId="276" fillId="0" borderId="76" xfId="666" applyFont="1" applyFill="1" applyBorder="1" applyAlignment="1">
      <alignment horizontal="center" vertical="center" wrapText="1"/>
    </xf>
    <xf numFmtId="0" fontId="276" fillId="0" borderId="68" xfId="666" applyFont="1" applyFill="1" applyBorder="1" applyAlignment="1">
      <alignment horizontal="center" vertical="center" wrapText="1"/>
    </xf>
    <xf numFmtId="0" fontId="293" fillId="0" borderId="0" xfId="6031" applyFont="1" applyAlignment="1">
      <alignment wrapText="1"/>
    </xf>
    <xf numFmtId="0" fontId="293" fillId="0" borderId="72" xfId="6031" applyFont="1" applyBorder="1" applyAlignment="1">
      <alignment wrapText="1"/>
    </xf>
    <xf numFmtId="0" fontId="269" fillId="0" borderId="69" xfId="6031" applyFont="1" applyBorder="1" applyAlignment="1">
      <alignment vertical="center"/>
    </xf>
    <xf numFmtId="9" fontId="269" fillId="0" borderId="69" xfId="6032" applyNumberFormat="1" applyFont="1" applyBorder="1" applyAlignment="1">
      <alignment vertical="center"/>
    </xf>
    <xf numFmtId="171" fontId="269" fillId="0" borderId="69" xfId="6032" quotePrefix="1" applyNumberFormat="1" applyFont="1" applyBorder="1" applyAlignment="1">
      <alignment vertical="center"/>
    </xf>
    <xf numFmtId="171" fontId="315" fillId="0" borderId="69" xfId="6032" applyNumberFormat="1" applyFont="1" applyBorder="1" applyAlignment="1">
      <alignment vertical="center"/>
    </xf>
    <xf numFmtId="171" fontId="315" fillId="0" borderId="69" xfId="6031" applyNumberFormat="1" applyFont="1" applyBorder="1" applyAlignment="1">
      <alignment vertical="center"/>
    </xf>
    <xf numFmtId="176" fontId="269" fillId="0" borderId="39" xfId="627" applyNumberFormat="1" applyFont="1" applyBorder="1" applyAlignment="1">
      <alignment horizontal="left" vertical="center" wrapText="1"/>
    </xf>
    <xf numFmtId="0" fontId="263" fillId="0" borderId="0" xfId="6031" applyFont="1"/>
    <xf numFmtId="0" fontId="263" fillId="0" borderId="0" xfId="6031" applyFont="1" applyAlignment="1">
      <alignment shrinkToFit="1"/>
    </xf>
    <xf numFmtId="171" fontId="263" fillId="0" borderId="0" xfId="6032" applyNumberFormat="1" applyFont="1"/>
    <xf numFmtId="0" fontId="293" fillId="0" borderId="0" xfId="6031" applyFont="1"/>
    <xf numFmtId="0" fontId="276" fillId="0" borderId="0" xfId="666" applyFont="1" applyFill="1" applyAlignment="1">
      <alignment horizontal="center" vertical="center" wrapText="1"/>
    </xf>
    <xf numFmtId="0" fontId="276" fillId="0" borderId="0" xfId="666" applyFont="1" applyFill="1" applyAlignment="1">
      <alignment horizontal="center" vertical="center"/>
    </xf>
    <xf numFmtId="0" fontId="276" fillId="0" borderId="0" xfId="666" applyFont="1" applyFill="1" applyAlignment="1">
      <alignment horizontal="center" vertical="center" shrinkToFit="1"/>
    </xf>
    <xf numFmtId="0" fontId="293" fillId="0" borderId="0" xfId="6008" applyFont="1" applyFill="1" applyBorder="1" applyAlignment="1">
      <alignment horizontal="center" vertical="center" wrapText="1"/>
    </xf>
    <xf numFmtId="10" fontId="293" fillId="0" borderId="0" xfId="6008" applyNumberFormat="1" applyFont="1" applyFill="1" applyBorder="1">
      <alignment horizontal="center" vertical="center"/>
    </xf>
    <xf numFmtId="0" fontId="293" fillId="0" borderId="0" xfId="6008" applyFont="1" applyFill="1" applyBorder="1">
      <alignment horizontal="center" vertical="center"/>
    </xf>
    <xf numFmtId="0" fontId="269" fillId="0" borderId="69" xfId="6031" applyFont="1" applyBorder="1" applyAlignment="1">
      <alignment horizontal="left" vertical="center"/>
    </xf>
    <xf numFmtId="0" fontId="269" fillId="0" borderId="69" xfId="6031" applyFont="1" applyBorder="1" applyAlignment="1">
      <alignment horizontal="left" vertical="center" shrinkToFit="1"/>
    </xf>
    <xf numFmtId="0" fontId="269" fillId="0" borderId="69" xfId="6031" applyFont="1" applyBorder="1" applyAlignment="1">
      <alignment horizontal="center" vertical="center"/>
    </xf>
    <xf numFmtId="174" fontId="269" fillId="0" borderId="69" xfId="6032" applyNumberFormat="1" applyFont="1" applyBorder="1" applyAlignment="1">
      <alignment vertical="center"/>
    </xf>
    <xf numFmtId="171" fontId="263" fillId="0" borderId="69" xfId="6031" applyNumberFormat="1" applyFont="1" applyBorder="1" applyAlignment="1">
      <alignment vertical="center"/>
    </xf>
    <xf numFmtId="1" fontId="263" fillId="0" borderId="69" xfId="6031" applyNumberFormat="1" applyFont="1" applyBorder="1" applyAlignment="1">
      <alignment vertical="center"/>
    </xf>
    <xf numFmtId="0" fontId="325" fillId="0" borderId="69" xfId="667" applyFont="1" applyBorder="1" applyAlignment="1" applyProtection="1">
      <alignment vertical="center"/>
    </xf>
    <xf numFmtId="0" fontId="263" fillId="0" borderId="0" xfId="6031" applyFont="1" applyAlignment="1">
      <alignment vertical="center"/>
    </xf>
    <xf numFmtId="167" fontId="326" fillId="0" borderId="71" xfId="1" applyNumberFormat="1" applyFont="1" applyFill="1" applyBorder="1" applyAlignment="1">
      <alignment horizontal="center" vertical="center" wrapText="1"/>
    </xf>
    <xf numFmtId="10" fontId="327" fillId="0" borderId="71" xfId="6008" applyNumberFormat="1" applyFont="1" applyFill="1">
      <alignment horizontal="center" vertical="center"/>
    </xf>
    <xf numFmtId="0" fontId="257" fillId="0" borderId="39" xfId="0" applyFont="1" applyBorder="1" applyAlignment="1">
      <alignment horizontal="center" vertical="center" wrapText="1"/>
    </xf>
    <xf numFmtId="176" fontId="269" fillId="0" borderId="39" xfId="627" applyNumberFormat="1" applyFont="1" applyBorder="1" applyAlignment="1">
      <alignment horizontal="right" vertical="center" wrapText="1"/>
    </xf>
    <xf numFmtId="176" fontId="269" fillId="0" borderId="39" xfId="627" applyNumberFormat="1" applyFont="1" applyBorder="1" applyAlignment="1">
      <alignment horizontal="left" vertical="center" shrinkToFit="1"/>
    </xf>
    <xf numFmtId="14" fontId="253" fillId="0" borderId="34" xfId="0" applyNumberFormat="1" applyFont="1" applyBorder="1" applyAlignment="1">
      <alignment horizontal="center"/>
    </xf>
    <xf numFmtId="169" fontId="316" fillId="0" borderId="14" xfId="1" applyNumberFormat="1" applyFont="1" applyFill="1" applyBorder="1" applyAlignment="1">
      <alignment horizontal="center"/>
    </xf>
    <xf numFmtId="169" fontId="316" fillId="0" borderId="71" xfId="1" applyNumberFormat="1" applyFont="1" applyFill="1" applyBorder="1" applyAlignment="1">
      <alignment horizontal="center"/>
    </xf>
    <xf numFmtId="0" fontId="293" fillId="0" borderId="66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4" fillId="0" borderId="71" xfId="6020" applyFont="1" applyBorder="1"/>
    <xf numFmtId="0" fontId="293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0" xfId="1" applyNumberFormat="1" applyFill="1" applyBorder="1"/>
    <xf numFmtId="14" fontId="0" fillId="0" borderId="0" xfId="0" applyNumberFormat="1"/>
    <xf numFmtId="0" fontId="269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09" fillId="0" borderId="0" xfId="0" applyFont="1"/>
    <xf numFmtId="0" fontId="263" fillId="0" borderId="0" xfId="0" applyFont="1"/>
    <xf numFmtId="0" fontId="263" fillId="0" borderId="0" xfId="0" applyFont="1" applyAlignment="1">
      <alignment shrinkToFit="1"/>
    </xf>
    <xf numFmtId="14" fontId="263" fillId="0" borderId="0" xfId="0" applyNumberFormat="1" applyFont="1"/>
    <xf numFmtId="0" fontId="263" fillId="0" borderId="63" xfId="0" applyFont="1" applyBorder="1" applyAlignment="1">
      <alignment horizontal="left"/>
    </xf>
    <xf numFmtId="0" fontId="263" fillId="0" borderId="65" xfId="0" applyFont="1" applyBorder="1" applyAlignment="1">
      <alignment horizontal="left"/>
    </xf>
    <xf numFmtId="14" fontId="263" fillId="0" borderId="65" xfId="0" applyNumberFormat="1" applyFont="1" applyBorder="1" applyAlignment="1">
      <alignment horizontal="left"/>
    </xf>
    <xf numFmtId="0" fontId="263" fillId="0" borderId="64" xfId="0" applyFont="1" applyBorder="1" applyAlignment="1">
      <alignment horizontal="left"/>
    </xf>
    <xf numFmtId="183" fontId="328" fillId="0" borderId="0" xfId="0" applyNumberFormat="1" applyFont="1" applyAlignment="1">
      <alignment horizontal="left" wrapText="1"/>
    </xf>
    <xf numFmtId="14" fontId="328" fillId="0" borderId="0" xfId="0" applyNumberFormat="1" applyFont="1" applyAlignment="1">
      <alignment horizontal="left" wrapText="1"/>
    </xf>
    <xf numFmtId="181" fontId="328" fillId="0" borderId="0" xfId="0" quotePrefix="1" applyNumberFormat="1" applyFont="1" applyAlignment="1">
      <alignment horizontal="left" wrapText="1"/>
    </xf>
    <xf numFmtId="181" fontId="328" fillId="0" borderId="0" xfId="0" applyNumberFormat="1" applyFont="1" applyAlignment="1">
      <alignment horizontal="left" wrapText="1"/>
    </xf>
    <xf numFmtId="0" fontId="263" fillId="18" borderId="0" xfId="623" applyFont="1" applyFill="1" applyAlignment="1">
      <alignment horizontal="center" vertical="center"/>
    </xf>
    <xf numFmtId="0" fontId="269" fillId="17" borderId="69" xfId="6031" applyFont="1" applyFill="1" applyBorder="1" applyAlignment="1">
      <alignment horizontal="left" vertical="center"/>
    </xf>
    <xf numFmtId="0" fontId="269" fillId="17" borderId="69" xfId="6031" applyFont="1" applyFill="1" applyBorder="1" applyAlignment="1">
      <alignment horizontal="left" vertical="center" shrinkToFit="1"/>
    </xf>
    <xf numFmtId="0" fontId="264" fillId="0" borderId="71" xfId="6020" applyFont="1" applyBorder="1" applyAlignment="1">
      <alignment shrinkToFit="1"/>
    </xf>
    <xf numFmtId="0" fontId="294" fillId="0" borderId="0" xfId="0" applyFont="1"/>
    <xf numFmtId="0" fontId="309" fillId="33" borderId="0" xfId="0" applyFont="1" applyFill="1"/>
    <xf numFmtId="0" fontId="263" fillId="33" borderId="0" xfId="0" applyFont="1" applyFill="1"/>
    <xf numFmtId="0" fontId="263" fillId="33" borderId="0" xfId="0" applyFont="1" applyFill="1" applyAlignment="1">
      <alignment shrinkToFit="1"/>
    </xf>
    <xf numFmtId="14" fontId="263" fillId="33" borderId="0" xfId="0" applyNumberFormat="1" applyFont="1" applyFill="1"/>
    <xf numFmtId="0" fontId="269" fillId="28" borderId="0" xfId="0" applyFont="1" applyFill="1" applyAlignment="1">
      <alignment horizontal="center" vertical="center"/>
    </xf>
    <xf numFmtId="171" fontId="294" fillId="0" borderId="0" xfId="0" applyNumberFormat="1" applyFont="1"/>
    <xf numFmtId="170" fontId="238" fillId="0" borderId="0" xfId="1" applyNumberFormat="1" applyAlignment="1">
      <alignment horizontal="right"/>
    </xf>
    <xf numFmtId="0" fontId="294" fillId="17" borderId="0" xfId="0" applyFont="1" applyFill="1"/>
    <xf numFmtId="0" fontId="263" fillId="33" borderId="63" xfId="0" applyFont="1" applyFill="1" applyBorder="1" applyAlignment="1">
      <alignment horizontal="left"/>
    </xf>
    <xf numFmtId="0" fontId="263" fillId="33" borderId="65" xfId="0" applyFont="1" applyFill="1" applyBorder="1" applyAlignment="1">
      <alignment horizontal="left"/>
    </xf>
    <xf numFmtId="14" fontId="263" fillId="33" borderId="65" xfId="0" applyNumberFormat="1" applyFont="1" applyFill="1" applyBorder="1" applyAlignment="1">
      <alignment horizontal="left"/>
    </xf>
    <xf numFmtId="0" fontId="263" fillId="33" borderId="64" xfId="0" applyFont="1" applyFill="1" applyBorder="1" applyAlignment="1">
      <alignment horizontal="left"/>
    </xf>
    <xf numFmtId="0" fontId="269" fillId="30" borderId="0" xfId="0" applyFont="1" applyFill="1" applyAlignment="1">
      <alignment horizontal="center" vertical="center"/>
    </xf>
    <xf numFmtId="0" fontId="294" fillId="0" borderId="0" xfId="0" applyFont="1" applyAlignment="1">
      <alignment shrinkToFit="1"/>
    </xf>
    <xf numFmtId="14" fontId="294" fillId="0" borderId="0" xfId="0" applyNumberFormat="1" applyFont="1"/>
    <xf numFmtId="0" fontId="313" fillId="0" borderId="71" xfId="697" applyFont="1" applyBorder="1" applyAlignment="1">
      <alignment horizontal="left" vertical="center"/>
    </xf>
    <xf numFmtId="177" fontId="264" fillId="0" borderId="71" xfId="672" applyNumberFormat="1" applyFont="1" applyFill="1" applyBorder="1" applyAlignment="1">
      <alignment horizontal="left" vertical="center" wrapText="1"/>
    </xf>
    <xf numFmtId="171" fontId="264" fillId="0" borderId="71" xfId="3" applyNumberFormat="1" applyFont="1" applyFill="1" applyBorder="1" applyAlignment="1">
      <alignment horizontal="left" vertical="center" wrapText="1"/>
    </xf>
    <xf numFmtId="0" fontId="274" fillId="0" borderId="71" xfId="0" applyFont="1" applyBorder="1" applyAlignment="1">
      <alignment horizontal="center" vertical="center"/>
    </xf>
    <xf numFmtId="0" fontId="274" fillId="0" borderId="71" xfId="0" applyFont="1" applyBorder="1" applyAlignment="1">
      <alignment horizontal="center" vertical="center" wrapText="1"/>
    </xf>
    <xf numFmtId="0" fontId="274" fillId="0" borderId="71" xfId="669" applyFont="1" applyBorder="1" applyAlignment="1">
      <alignment horizontal="center" vertical="center" wrapText="1"/>
    </xf>
    <xf numFmtId="0" fontId="329" fillId="0" borderId="0" xfId="669" applyFont="1"/>
    <xf numFmtId="171" fontId="263" fillId="0" borderId="71" xfId="1" applyNumberFormat="1" applyFont="1" applyFill="1" applyBorder="1"/>
    <xf numFmtId="171" fontId="263" fillId="0" borderId="71" xfId="669" applyNumberFormat="1" applyFont="1" applyBorder="1"/>
    <xf numFmtId="0" fontId="330" fillId="0" borderId="0" xfId="669" applyFont="1"/>
    <xf numFmtId="0" fontId="327" fillId="0" borderId="0" xfId="6008" applyFont="1" applyFill="1" applyBorder="1" applyAlignment="1">
      <alignment horizontal="center" vertical="center" wrapText="1"/>
    </xf>
    <xf numFmtId="179" fontId="298" fillId="34" borderId="71" xfId="619" applyNumberFormat="1" applyFont="1" applyFill="1" applyBorder="1" applyAlignment="1">
      <alignment horizontal="center" vertical="center"/>
    </xf>
    <xf numFmtId="0" fontId="298" fillId="34" borderId="71" xfId="619" applyFont="1" applyFill="1" applyBorder="1" applyAlignment="1">
      <alignment horizontal="center" vertical="top"/>
    </xf>
    <xf numFmtId="0" fontId="269" fillId="34" borderId="71" xfId="0" applyFont="1" applyFill="1" applyBorder="1" applyAlignment="1">
      <alignment horizontal="center" vertical="center"/>
    </xf>
    <xf numFmtId="179" fontId="263" fillId="34" borderId="71" xfId="623" applyNumberFormat="1" applyFont="1" applyFill="1" applyBorder="1" applyAlignment="1">
      <alignment horizontal="center" vertical="center"/>
    </xf>
    <xf numFmtId="0" fontId="269" fillId="34" borderId="71" xfId="623" applyFont="1" applyFill="1" applyBorder="1" applyAlignment="1">
      <alignment horizontal="center" vertical="center"/>
    </xf>
    <xf numFmtId="0" fontId="293" fillId="34" borderId="23" xfId="129" applyFont="1" applyFill="1" applyBorder="1" applyAlignment="1">
      <alignment horizontal="center" vertical="center"/>
    </xf>
    <xf numFmtId="0" fontId="293" fillId="34" borderId="40" xfId="129" applyFont="1" applyFill="1" applyBorder="1" applyAlignment="1">
      <alignment horizontal="center" vertical="center"/>
    </xf>
    <xf numFmtId="0" fontId="269" fillId="34" borderId="44" xfId="0" applyFont="1" applyFill="1" applyBorder="1" applyAlignment="1">
      <alignment horizontal="center" vertical="center"/>
    </xf>
    <xf numFmtId="0" fontId="269" fillId="35" borderId="44" xfId="0" applyFont="1" applyFill="1" applyBorder="1" applyAlignment="1">
      <alignment horizontal="center" vertical="center"/>
    </xf>
    <xf numFmtId="0" fontId="293" fillId="34" borderId="39" xfId="129" applyFont="1" applyFill="1" applyBorder="1" applyAlignment="1">
      <alignment horizontal="center" vertical="center"/>
    </xf>
    <xf numFmtId="0" fontId="269" fillId="34" borderId="39" xfId="129" applyFont="1" applyFill="1" applyBorder="1" applyAlignment="1">
      <alignment horizontal="center" vertical="center"/>
    </xf>
    <xf numFmtId="0" fontId="293" fillId="34" borderId="62" xfId="129" applyFont="1" applyFill="1" applyBorder="1" applyAlignment="1">
      <alignment horizontal="center" vertical="center"/>
    </xf>
    <xf numFmtId="0" fontId="269" fillId="34" borderId="62" xfId="129" applyFont="1" applyFill="1" applyBorder="1" applyAlignment="1">
      <alignment horizontal="center" vertical="center"/>
    </xf>
    <xf numFmtId="0" fontId="293" fillId="34" borderId="36" xfId="0" applyFont="1" applyFill="1" applyBorder="1" applyAlignment="1">
      <alignment horizontal="center" vertical="center"/>
    </xf>
    <xf numFmtId="0" fontId="293" fillId="34" borderId="22" xfId="0" applyFont="1" applyFill="1" applyBorder="1" applyAlignment="1">
      <alignment horizontal="center" vertical="center"/>
    </xf>
    <xf numFmtId="169" fontId="293" fillId="34" borderId="22" xfId="0" quotePrefix="1" applyNumberFormat="1" applyFont="1" applyFill="1" applyBorder="1" applyAlignment="1">
      <alignment horizontal="center" vertical="center"/>
    </xf>
    <xf numFmtId="169" fontId="293" fillId="34" borderId="22" xfId="0" applyNumberFormat="1" applyFont="1" applyFill="1" applyBorder="1" applyAlignment="1">
      <alignment horizontal="center" vertical="center"/>
    </xf>
    <xf numFmtId="173" fontId="264" fillId="34" borderId="23" xfId="628" applyNumberFormat="1" applyFont="1" applyFill="1" applyBorder="1" applyAlignment="1">
      <alignment vertical="center"/>
    </xf>
    <xf numFmtId="17" fontId="276" fillId="34" borderId="30" xfId="623" applyNumberFormat="1" applyFont="1" applyFill="1" applyBorder="1" applyAlignment="1">
      <alignment vertical="center"/>
    </xf>
    <xf numFmtId="17" fontId="276" fillId="34" borderId="27" xfId="623" applyNumberFormat="1" applyFont="1" applyFill="1" applyBorder="1" applyAlignment="1">
      <alignment vertical="center"/>
    </xf>
    <xf numFmtId="0" fontId="294" fillId="34" borderId="34" xfId="0" applyFont="1" applyFill="1" applyBorder="1"/>
    <xf numFmtId="0" fontId="294" fillId="34" borderId="40" xfId="0" applyFont="1" applyFill="1" applyBorder="1"/>
    <xf numFmtId="0" fontId="294" fillId="34" borderId="39" xfId="0" applyFont="1" applyFill="1" applyBorder="1"/>
    <xf numFmtId="0" fontId="294" fillId="34" borderId="62" xfId="0" applyFont="1" applyFill="1" applyBorder="1"/>
    <xf numFmtId="0" fontId="269" fillId="35" borderId="59" xfId="0" applyFont="1" applyFill="1" applyBorder="1" applyAlignment="1">
      <alignment horizontal="center" vertical="center"/>
    </xf>
    <xf numFmtId="0" fontId="276" fillId="0" borderId="1" xfId="0" applyFont="1" applyBorder="1" applyAlignment="1">
      <alignment vertical="center" wrapText="1"/>
    </xf>
    <xf numFmtId="3" fontId="276" fillId="0" borderId="1" xfId="0" applyNumberFormat="1" applyFont="1" applyBorder="1" applyAlignment="1">
      <alignment horizontal="center" vertical="center" wrapText="1"/>
    </xf>
    <xf numFmtId="0" fontId="269" fillId="0" borderId="61" xfId="0" applyFont="1" applyBorder="1" applyAlignment="1">
      <alignment horizontal="center" vertical="center" wrapText="1"/>
    </xf>
    <xf numFmtId="14" fontId="269" fillId="0" borderId="0" xfId="0" applyNumberFormat="1" applyFont="1" applyAlignment="1">
      <alignment vertical="center"/>
    </xf>
    <xf numFmtId="3" fontId="276" fillId="0" borderId="71" xfId="0" applyNumberFormat="1" applyFont="1" applyBorder="1" applyAlignment="1">
      <alignment vertical="center"/>
    </xf>
    <xf numFmtId="166" fontId="269" fillId="0" borderId="8" xfId="1" applyFont="1" applyFill="1" applyBorder="1" applyAlignment="1" applyProtection="1">
      <alignment vertical="center"/>
    </xf>
    <xf numFmtId="166" fontId="269" fillId="0" borderId="2" xfId="1" applyFont="1" applyFill="1" applyBorder="1" applyAlignment="1" applyProtection="1">
      <alignment vertical="center"/>
    </xf>
    <xf numFmtId="167" fontId="269" fillId="0" borderId="1" xfId="1" applyNumberFormat="1" applyFont="1" applyFill="1" applyBorder="1" applyAlignment="1" applyProtection="1">
      <alignment vertical="center"/>
    </xf>
    <xf numFmtId="167" fontId="315" fillId="0" borderId="1" xfId="1" applyNumberFormat="1" applyFont="1" applyFill="1" applyBorder="1" applyAlignment="1" applyProtection="1">
      <alignment vertical="center"/>
    </xf>
    <xf numFmtId="167" fontId="315" fillId="0" borderId="2" xfId="1" applyNumberFormat="1" applyFont="1" applyFill="1" applyBorder="1" applyAlignment="1" applyProtection="1">
      <alignment vertical="center"/>
    </xf>
    <xf numFmtId="167" fontId="269" fillId="0" borderId="2" xfId="1" applyNumberFormat="1" applyFont="1" applyFill="1" applyBorder="1" applyAlignment="1" applyProtection="1">
      <alignment vertical="center"/>
    </xf>
    <xf numFmtId="9" fontId="332" fillId="0" borderId="1" xfId="0" applyNumberFormat="1" applyFont="1" applyBorder="1" applyAlignment="1">
      <alignment vertical="center" wrapText="1"/>
    </xf>
    <xf numFmtId="4" fontId="276" fillId="0" borderId="15" xfId="0" applyNumberFormat="1" applyFont="1" applyBorder="1" applyAlignment="1">
      <alignment vertical="center" wrapText="1"/>
    </xf>
    <xf numFmtId="4" fontId="276" fillId="0" borderId="16" xfId="0" applyNumberFormat="1" applyFont="1" applyBorder="1" applyAlignment="1">
      <alignment vertical="center" wrapText="1"/>
    </xf>
    <xf numFmtId="4" fontId="276" fillId="0" borderId="17" xfId="0" applyNumberFormat="1" applyFont="1" applyBorder="1" applyAlignment="1">
      <alignment vertical="center" wrapText="1"/>
    </xf>
    <xf numFmtId="176" fontId="269" fillId="17" borderId="71" xfId="627" applyNumberFormat="1" applyFont="1" applyFill="1" applyBorder="1" applyAlignment="1">
      <alignment horizontal="left" vertical="center" wrapText="1"/>
    </xf>
    <xf numFmtId="0" fontId="257" fillId="0" borderId="71" xfId="0" applyFont="1" applyBorder="1" applyAlignment="1">
      <alignment horizontal="center" vertical="center" wrapText="1"/>
    </xf>
    <xf numFmtId="176" fontId="269" fillId="17" borderId="71" xfId="627" applyNumberFormat="1" applyFont="1" applyFill="1" applyBorder="1" applyAlignment="1">
      <alignment horizontal="right" vertical="center" wrapText="1"/>
    </xf>
    <xf numFmtId="176" fontId="269" fillId="17" borderId="71" xfId="627" applyNumberFormat="1" applyFont="1" applyFill="1" applyBorder="1" applyAlignment="1">
      <alignment horizontal="left" vertical="center" shrinkToFit="1"/>
    </xf>
    <xf numFmtId="14" fontId="253" fillId="21" borderId="71" xfId="0" applyNumberFormat="1" applyFont="1" applyFill="1" applyBorder="1" applyAlignment="1">
      <alignment horizontal="center"/>
    </xf>
    <xf numFmtId="0" fontId="334" fillId="36" borderId="22" xfId="0" applyFont="1" applyFill="1" applyBorder="1" applyAlignment="1">
      <alignment horizontal="center" vertical="center"/>
    </xf>
    <xf numFmtId="1" fontId="238" fillId="17" borderId="71" xfId="1" applyNumberFormat="1" applyFill="1" applyBorder="1" applyAlignment="1">
      <alignment horizontal="center"/>
    </xf>
    <xf numFmtId="169" fontId="316" fillId="37" borderId="71" xfId="1" applyNumberFormat="1" applyFont="1" applyFill="1" applyBorder="1" applyAlignment="1">
      <alignment horizontal="center"/>
    </xf>
    <xf numFmtId="169" fontId="316" fillId="38" borderId="71" xfId="1" applyNumberFormat="1" applyFont="1" applyFill="1" applyBorder="1" applyAlignment="1">
      <alignment horizontal="center"/>
    </xf>
    <xf numFmtId="167" fontId="238" fillId="17" borderId="71" xfId="1" applyNumberFormat="1" applyFill="1" applyBorder="1"/>
    <xf numFmtId="169" fontId="238" fillId="17" borderId="71" xfId="1" applyNumberFormat="1" applyFill="1" applyBorder="1" applyAlignment="1">
      <alignment horizontal="center"/>
    </xf>
    <xf numFmtId="14" fontId="333" fillId="28" borderId="71" xfId="0" applyNumberFormat="1" applyFont="1" applyFill="1" applyBorder="1" applyAlignment="1">
      <alignment horizontal="center" vertical="center"/>
    </xf>
    <xf numFmtId="0" fontId="333" fillId="35" borderId="71" xfId="0" applyFont="1" applyFill="1" applyBorder="1" applyAlignment="1">
      <alignment horizontal="center" vertical="center"/>
    </xf>
    <xf numFmtId="0" fontId="333" fillId="39" borderId="71" xfId="0" applyFont="1" applyFill="1" applyBorder="1" applyAlignment="1">
      <alignment horizontal="center" vertical="center"/>
    </xf>
    <xf numFmtId="0" fontId="333" fillId="40" borderId="71" xfId="0" applyFont="1" applyFill="1" applyBorder="1" applyAlignment="1">
      <alignment horizontal="center" vertical="center"/>
    </xf>
    <xf numFmtId="0" fontId="333" fillId="34" borderId="71" xfId="0" applyFont="1" applyFill="1" applyBorder="1" applyAlignment="1">
      <alignment horizontal="center" vertical="center"/>
    </xf>
    <xf numFmtId="0" fontId="334" fillId="41" borderId="36" xfId="0" applyFont="1" applyFill="1" applyBorder="1" applyAlignment="1">
      <alignment horizontal="center" vertical="center"/>
    </xf>
    <xf numFmtId="0" fontId="334" fillId="41" borderId="22" xfId="0" applyFont="1" applyFill="1" applyBorder="1" applyAlignment="1">
      <alignment horizontal="center" vertical="center"/>
    </xf>
    <xf numFmtId="169" fontId="334" fillId="41" borderId="22" xfId="0" applyNumberFormat="1" applyFont="1" applyFill="1" applyBorder="1" applyAlignment="1">
      <alignment horizontal="center" vertical="center"/>
    </xf>
    <xf numFmtId="169" fontId="334" fillId="41" borderId="22" xfId="0" quotePrefix="1" applyNumberFormat="1" applyFont="1" applyFill="1" applyBorder="1" applyAlignment="1">
      <alignment horizontal="center" vertical="center"/>
    </xf>
    <xf numFmtId="0" fontId="256" fillId="17" borderId="93" xfId="0" applyFont="1" applyFill="1" applyBorder="1" applyAlignment="1">
      <alignment horizontal="center" vertical="center" wrapText="1"/>
    </xf>
    <xf numFmtId="14" fontId="256" fillId="0" borderId="71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2" xfId="1" applyNumberFormat="1" applyFont="1" applyFill="1" applyBorder="1" applyAlignment="1" applyProtection="1">
      <alignment vertical="center"/>
    </xf>
    <xf numFmtId="167" fontId="335" fillId="0" borderId="92" xfId="1" applyNumberFormat="1" applyFont="1" applyFill="1" applyBorder="1" applyAlignment="1" applyProtection="1">
      <alignment vertical="center"/>
    </xf>
    <xf numFmtId="167" fontId="336" fillId="0" borderId="5" xfId="1" applyNumberFormat="1" applyFont="1" applyFill="1" applyBorder="1" applyAlignment="1" applyProtection="1">
      <alignment vertical="center"/>
    </xf>
    <xf numFmtId="167" fontId="337" fillId="0" borderId="5" xfId="1" applyNumberFormat="1" applyFont="1" applyFill="1" applyBorder="1" applyAlignment="1" applyProtection="1">
      <alignment vertical="center"/>
    </xf>
    <xf numFmtId="14" fontId="256" fillId="42" borderId="71" xfId="0" applyNumberFormat="1" applyFont="1" applyFill="1" applyBorder="1" applyAlignment="1">
      <alignment vertical="center"/>
    </xf>
    <xf numFmtId="167" fontId="335" fillId="42" borderId="92" xfId="1" applyNumberFormat="1" applyFont="1" applyFill="1" applyBorder="1" applyAlignment="1" applyProtection="1">
      <alignment vertical="center"/>
    </xf>
    <xf numFmtId="167" fontId="336" fillId="42" borderId="5" xfId="1" applyNumberFormat="1" applyFont="1" applyFill="1" applyBorder="1" applyAlignment="1" applyProtection="1">
      <alignment vertical="center"/>
    </xf>
    <xf numFmtId="0" fontId="252" fillId="0" borderId="77" xfId="0" applyFont="1" applyBorder="1" applyAlignment="1">
      <alignment vertical="center" wrapText="1"/>
    </xf>
    <xf numFmtId="3" fontId="252" fillId="0" borderId="77" xfId="0" applyNumberFormat="1" applyFont="1" applyBorder="1" applyAlignment="1">
      <alignment vertical="center" wrapText="1"/>
    </xf>
    <xf numFmtId="0" fontId="252" fillId="0" borderId="77" xfId="0" applyFont="1" applyBorder="1" applyAlignment="1">
      <alignment horizontal="center" vertical="center" wrapText="1"/>
    </xf>
    <xf numFmtId="9" fontId="252" fillId="0" borderId="77" xfId="0" applyNumberFormat="1" applyFont="1" applyBorder="1" applyAlignment="1">
      <alignment horizontal="center" vertical="center" wrapText="1"/>
    </xf>
    <xf numFmtId="0" fontId="258" fillId="0" borderId="0" xfId="0" applyFont="1" applyAlignment="1">
      <alignment vertical="center"/>
    </xf>
    <xf numFmtId="0" fontId="314" fillId="0" borderId="71" xfId="0" applyFont="1" applyBorder="1" applyAlignment="1">
      <alignment horizontal="center" vertical="center" wrapText="1"/>
    </xf>
    <xf numFmtId="0" fontId="256" fillId="0" borderId="71" xfId="0" applyFont="1" applyBorder="1" applyAlignment="1">
      <alignment vertical="center"/>
    </xf>
    <xf numFmtId="14" fontId="269" fillId="0" borderId="71" xfId="0" applyNumberFormat="1" applyFont="1" applyBorder="1" applyAlignment="1">
      <alignment vertical="center"/>
    </xf>
    <xf numFmtId="3" fontId="253" fillId="0" borderId="71" xfId="0" applyNumberFormat="1" applyFont="1" applyBorder="1" applyAlignment="1">
      <alignment vertical="center"/>
    </xf>
    <xf numFmtId="170" fontId="257" fillId="0" borderId="71" xfId="1" applyNumberFormat="1" applyFont="1" applyFill="1" applyBorder="1" applyAlignment="1" applyProtection="1">
      <alignment vertical="center"/>
    </xf>
    <xf numFmtId="171" fontId="278" fillId="0" borderId="71" xfId="1" applyNumberFormat="1" applyFont="1" applyFill="1" applyBorder="1"/>
    <xf numFmtId="171" fontId="259" fillId="0" borderId="71" xfId="0" applyNumberFormat="1" applyFont="1" applyBorder="1" applyAlignment="1">
      <alignment horizontal="center" vertical="center"/>
    </xf>
    <xf numFmtId="0" fontId="259" fillId="0" borderId="0" xfId="0" applyFont="1" applyAlignment="1">
      <alignment horizontal="center" vertical="center"/>
    </xf>
    <xf numFmtId="0" fontId="258" fillId="0" borderId="0" xfId="0" applyFont="1"/>
    <xf numFmtId="3" fontId="258" fillId="0" borderId="0" xfId="0" applyNumberFormat="1" applyFont="1"/>
    <xf numFmtId="4" fontId="258" fillId="0" borderId="0" xfId="0" applyNumberFormat="1" applyFont="1"/>
    <xf numFmtId="0" fontId="318" fillId="17" borderId="0" xfId="6031" applyFont="1" applyFill="1" applyAlignment="1">
      <alignment horizontal="center"/>
    </xf>
    <xf numFmtId="0" fontId="323" fillId="0" borderId="80" xfId="0" applyFont="1" applyBorder="1" applyAlignment="1">
      <alignment horizontal="center" wrapText="1"/>
    </xf>
    <xf numFmtId="0" fontId="323" fillId="0" borderId="84" xfId="0" applyFont="1" applyBorder="1" applyAlignment="1">
      <alignment horizontal="center" wrapText="1"/>
    </xf>
    <xf numFmtId="0" fontId="322" fillId="0" borderId="33" xfId="6020" applyFont="1" applyBorder="1" applyAlignment="1">
      <alignment horizontal="center" vertical="center"/>
    </xf>
    <xf numFmtId="0" fontId="322" fillId="0" borderId="81" xfId="6020" applyFont="1" applyBorder="1" applyAlignment="1">
      <alignment horizontal="center" vertical="center"/>
    </xf>
    <xf numFmtId="0" fontId="322" fillId="0" borderId="22" xfId="6020" applyFont="1" applyBorder="1" applyAlignment="1">
      <alignment horizontal="center" vertical="center"/>
    </xf>
    <xf numFmtId="0" fontId="0" fillId="0" borderId="82" xfId="0" applyBorder="1"/>
    <xf numFmtId="0" fontId="322" fillId="0" borderId="22" xfId="6020" applyFont="1" applyBorder="1" applyAlignment="1">
      <alignment horizontal="center" vertical="center" wrapText="1"/>
    </xf>
    <xf numFmtId="0" fontId="323" fillId="0" borderId="78" xfId="0" applyFont="1" applyBorder="1" applyAlignment="1">
      <alignment horizontal="center" wrapText="1"/>
    </xf>
    <xf numFmtId="0" fontId="323" fillId="0" borderId="81" xfId="0" applyFont="1" applyBorder="1" applyAlignment="1">
      <alignment horizontal="center" wrapText="1"/>
    </xf>
    <xf numFmtId="0" fontId="323" fillId="0" borderId="79" xfId="0" applyFont="1" applyBorder="1" applyAlignment="1">
      <alignment horizontal="center" wrapText="1"/>
    </xf>
    <xf numFmtId="0" fontId="323" fillId="0" borderId="83" xfId="0" applyFont="1" applyBorder="1" applyAlignment="1">
      <alignment horizontal="center" wrapText="1"/>
    </xf>
    <xf numFmtId="0" fontId="276" fillId="0" borderId="86" xfId="0" applyFont="1" applyBorder="1" applyAlignment="1">
      <alignment horizontal="center" vertical="center" wrapText="1"/>
    </xf>
    <xf numFmtId="0" fontId="0" fillId="0" borderId="3" xfId="0" applyBorder="1"/>
    <xf numFmtId="0" fontId="0" fillId="0" borderId="60" xfId="0" applyBorder="1"/>
    <xf numFmtId="0" fontId="309" fillId="0" borderId="72" xfId="36" applyFont="1" applyBorder="1" applyAlignment="1">
      <alignment horizontal="center" vertical="center" wrapText="1"/>
    </xf>
    <xf numFmtId="0" fontId="309" fillId="0" borderId="0" xfId="36" applyFont="1" applyAlignment="1">
      <alignment horizontal="center" vertical="center" wrapText="1"/>
    </xf>
    <xf numFmtId="0" fontId="309" fillId="0" borderId="91" xfId="36" applyFont="1" applyBorder="1" applyAlignment="1">
      <alignment horizontal="center" vertical="center" wrapText="1"/>
    </xf>
    <xf numFmtId="14" fontId="276" fillId="0" borderId="71" xfId="36" applyNumberFormat="1" applyFont="1" applyBorder="1" applyAlignment="1">
      <alignment horizontal="center" vertical="center" wrapText="1"/>
    </xf>
    <xf numFmtId="0" fontId="0" fillId="0" borderId="35" xfId="0" applyBorder="1"/>
    <xf numFmtId="0" fontId="0" fillId="0" borderId="10" xfId="0" applyBorder="1"/>
    <xf numFmtId="0" fontId="276" fillId="0" borderId="85" xfId="36" applyFont="1" applyBorder="1" applyAlignment="1">
      <alignment horizontal="center" vertical="center" wrapText="1"/>
    </xf>
    <xf numFmtId="0" fontId="276" fillId="0" borderId="35" xfId="36" applyFont="1" applyBorder="1" applyAlignment="1">
      <alignment horizontal="center" vertical="center" wrapText="1"/>
    </xf>
    <xf numFmtId="0" fontId="276" fillId="0" borderId="10" xfId="36" applyFont="1" applyBorder="1" applyAlignment="1">
      <alignment horizontal="center" vertical="center" wrapText="1"/>
    </xf>
    <xf numFmtId="0" fontId="269" fillId="0" borderId="86" xfId="0" applyFont="1" applyBorder="1" applyAlignment="1">
      <alignment horizontal="center" vertical="center" wrapText="1"/>
    </xf>
    <xf numFmtId="0" fontId="312" fillId="0" borderId="10" xfId="0" applyFont="1" applyBorder="1" applyAlignment="1">
      <alignment horizontal="center" vertical="center" wrapText="1"/>
    </xf>
    <xf numFmtId="17" fontId="298" fillId="34" borderId="73" xfId="619" applyNumberFormat="1" applyFont="1" applyFill="1" applyBorder="1" applyAlignment="1">
      <alignment horizontal="center" vertical="center"/>
    </xf>
    <xf numFmtId="17" fontId="298" fillId="34" borderId="74" xfId="619" applyNumberFormat="1" applyFont="1" applyFill="1" applyBorder="1" applyAlignment="1">
      <alignment horizontal="center" vertical="center"/>
    </xf>
    <xf numFmtId="17" fontId="298" fillId="34" borderId="75" xfId="619" applyNumberFormat="1" applyFont="1" applyFill="1" applyBorder="1" applyAlignment="1">
      <alignment horizontal="center" vertical="center"/>
    </xf>
    <xf numFmtId="17" fontId="266" fillId="34" borderId="73" xfId="619" applyNumberFormat="1" applyFont="1" applyFill="1" applyBorder="1" applyAlignment="1">
      <alignment horizontal="center" vertical="center"/>
    </xf>
    <xf numFmtId="17" fontId="266" fillId="34" borderId="74" xfId="619" applyNumberFormat="1" applyFont="1" applyFill="1" applyBorder="1" applyAlignment="1">
      <alignment horizontal="center" vertical="center"/>
    </xf>
    <xf numFmtId="17" fontId="266" fillId="34" borderId="75" xfId="619" applyNumberFormat="1" applyFont="1" applyFill="1" applyBorder="1" applyAlignment="1">
      <alignment horizontal="center" vertical="center"/>
    </xf>
    <xf numFmtId="0" fontId="276" fillId="15" borderId="90" xfId="623" applyFont="1" applyFill="1" applyBorder="1" applyAlignment="1">
      <alignment horizontal="center" vertical="center" wrapText="1"/>
    </xf>
    <xf numFmtId="0" fontId="276" fillId="15" borderId="35" xfId="623" applyFont="1" applyFill="1" applyBorder="1" applyAlignment="1">
      <alignment horizontal="center" vertical="center" wrapText="1"/>
    </xf>
    <xf numFmtId="0" fontId="276" fillId="15" borderId="10" xfId="623" applyFont="1" applyFill="1" applyBorder="1" applyAlignment="1">
      <alignment horizontal="center" vertical="center" wrapText="1"/>
    </xf>
    <xf numFmtId="0" fontId="331" fillId="0" borderId="35" xfId="0" applyFont="1" applyBorder="1" applyAlignment="1">
      <alignment horizontal="center"/>
    </xf>
    <xf numFmtId="0" fontId="331" fillId="0" borderId="10" xfId="0" applyFont="1" applyBorder="1" applyAlignment="1">
      <alignment horizontal="center"/>
    </xf>
    <xf numFmtId="0" fontId="274" fillId="15" borderId="31" xfId="623" applyFont="1" applyFill="1" applyBorder="1" applyAlignment="1">
      <alignment horizontal="center" vertical="center" wrapText="1"/>
    </xf>
    <xf numFmtId="0" fontId="294" fillId="0" borderId="87" xfId="0" applyFont="1" applyBorder="1"/>
    <xf numFmtId="0" fontId="294" fillId="0" borderId="88" xfId="0" applyFont="1" applyBorder="1"/>
    <xf numFmtId="0" fontId="276" fillId="15" borderId="28" xfId="623" applyFont="1" applyFill="1" applyBorder="1" applyAlignment="1">
      <alignment horizontal="center" vertical="center" wrapText="1"/>
    </xf>
    <xf numFmtId="0" fontId="294" fillId="0" borderId="35" xfId="0" applyFont="1" applyBorder="1"/>
    <xf numFmtId="0" fontId="294" fillId="0" borderId="10" xfId="0" applyFont="1" applyBorder="1"/>
    <xf numFmtId="0" fontId="276" fillId="18" borderId="28" xfId="623" applyFont="1" applyFill="1" applyBorder="1" applyAlignment="1">
      <alignment horizontal="center" vertical="center" wrapText="1"/>
    </xf>
    <xf numFmtId="17" fontId="276" fillId="34" borderId="29" xfId="623" applyNumberFormat="1" applyFont="1" applyFill="1" applyBorder="1" applyAlignment="1">
      <alignment horizontal="center" vertical="center"/>
    </xf>
    <xf numFmtId="0" fontId="294" fillId="34" borderId="30" xfId="0" applyFont="1" applyFill="1" applyBorder="1"/>
    <xf numFmtId="17" fontId="276" fillId="34" borderId="71" xfId="623" applyNumberFormat="1" applyFont="1" applyFill="1" applyBorder="1" applyAlignment="1">
      <alignment horizontal="center" vertical="center"/>
    </xf>
    <xf numFmtId="0" fontId="294" fillId="34" borderId="74" xfId="0" applyFont="1" applyFill="1" applyBorder="1"/>
    <xf numFmtId="0" fontId="294" fillId="34" borderId="75" xfId="0" applyFont="1" applyFill="1" applyBorder="1"/>
    <xf numFmtId="0" fontId="276" fillId="0" borderId="28" xfId="623" applyFont="1" applyBorder="1" applyAlignment="1">
      <alignment horizontal="center" vertical="center" wrapText="1"/>
    </xf>
    <xf numFmtId="4" fontId="276" fillId="0" borderId="77" xfId="0" applyNumberFormat="1" applyFont="1" applyBorder="1" applyAlignment="1">
      <alignment horizontal="center" vertical="center" wrapText="1"/>
    </xf>
    <xf numFmtId="4" fontId="276" fillId="0" borderId="5" xfId="0" applyNumberFormat="1" applyFont="1" applyBorder="1" applyAlignment="1">
      <alignment horizontal="center" vertical="center" wrapText="1"/>
    </xf>
    <xf numFmtId="0" fontId="276" fillId="0" borderId="0" xfId="666" applyFont="1" applyFill="1" applyAlignment="1">
      <alignment horizontal="center" vertical="center" wrapText="1"/>
    </xf>
    <xf numFmtId="0" fontId="276" fillId="0" borderId="9" xfId="666" applyFont="1" applyFill="1" applyBorder="1" applyAlignment="1">
      <alignment horizontal="center" vertical="center" wrapText="1"/>
    </xf>
    <xf numFmtId="0" fontId="276" fillId="0" borderId="0" xfId="0" applyFont="1" applyAlignment="1">
      <alignment horizontal="center" vertical="center" wrapText="1"/>
    </xf>
    <xf numFmtId="0" fontId="276" fillId="0" borderId="4" xfId="0" applyFont="1" applyBorder="1" applyAlignment="1">
      <alignment horizontal="center" vertical="center" wrapText="1"/>
    </xf>
    <xf numFmtId="0" fontId="276" fillId="0" borderId="89" xfId="0" applyFont="1" applyBorder="1" applyAlignment="1">
      <alignment horizontal="center" vertical="center" wrapText="1"/>
    </xf>
    <xf numFmtId="0" fontId="291" fillId="29" borderId="34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="130" zoomScaleNormal="130" zoomScaleSheetLayoutView="80" workbookViewId="0">
      <pane xSplit="4" ySplit="4" topLeftCell="AG5" activePane="bottomRight" state="frozen"/>
      <selection pane="topRight" activeCell="E1" sqref="E1"/>
      <selection pane="bottomLeft" activeCell="A20" sqref="A20"/>
      <selection pane="bottomRight" activeCell="AP4" sqref="AP4"/>
    </sheetView>
  </sheetViews>
  <sheetFormatPr baseColWidth="10" defaultColWidth="9.33203125" defaultRowHeight="14" outlineLevelCol="1"/>
  <cols>
    <col min="1" max="1" width="5.6640625" style="178" customWidth="1"/>
    <col min="2" max="2" width="14.1640625" style="178" customWidth="1"/>
    <col min="3" max="3" width="12.5" style="178" customWidth="1" outlineLevel="1"/>
    <col min="4" max="4" width="19.5" style="179" customWidth="1"/>
    <col min="5" max="5" width="15.6640625" style="178" customWidth="1"/>
    <col min="6" max="6" width="26.1640625" style="178" customWidth="1" outlineLevel="1"/>
    <col min="7" max="7" width="17.5" style="178" customWidth="1"/>
    <col min="8" max="8" width="13" style="178" customWidth="1"/>
    <col min="9" max="9" width="15.33203125" style="178" customWidth="1" outlineLevel="1"/>
    <col min="10" max="12" width="15.83203125" style="178" customWidth="1"/>
    <col min="13" max="13" width="9.5" style="178" customWidth="1"/>
    <col min="14" max="14" width="16" style="178" customWidth="1"/>
    <col min="15" max="15" width="9.33203125" style="178" customWidth="1" outlineLevel="1"/>
    <col min="16" max="16" width="13.33203125" style="178" customWidth="1" outlineLevel="1"/>
    <col min="17" max="17" width="17.1640625" style="178" customWidth="1" outlineLevel="1"/>
    <col min="18" max="18" width="17.6640625" style="178" customWidth="1"/>
    <col min="19" max="19" width="12.83203125" style="178" customWidth="1" outlineLevel="1"/>
    <col min="20" max="20" width="14.5" style="178" customWidth="1" outlineLevel="1"/>
    <col min="21" max="21" width="16.5" style="178" customWidth="1"/>
    <col min="22" max="22" width="15" style="180" customWidth="1" outlineLevel="1"/>
    <col min="23" max="23" width="14.83203125" style="180" customWidth="1" outlineLevel="1"/>
    <col min="24" max="24" width="12.5" style="180" customWidth="1" outlineLevel="1"/>
    <col min="25" max="25" width="13.33203125" style="178" customWidth="1"/>
    <col min="26" max="26" width="13.5" style="178" customWidth="1" outlineLevel="1"/>
    <col min="27" max="27" width="12.6640625" style="178" customWidth="1"/>
    <col min="28" max="28" width="12.5" style="178" customWidth="1"/>
    <col min="29" max="29" width="12" style="178" customWidth="1" outlineLevel="1"/>
    <col min="30" max="30" width="12.33203125" style="178" customWidth="1"/>
    <col min="31" max="31" width="8.5" style="178" customWidth="1"/>
    <col min="32" max="33" width="13.5" style="178" customWidth="1"/>
    <col min="34" max="34" width="12.5" style="178" customWidth="1"/>
    <col min="35" max="35" width="11.83203125" style="178" customWidth="1"/>
    <col min="36" max="37" width="14.6640625" style="178" customWidth="1"/>
    <col min="38" max="38" width="13.5" style="178" customWidth="1"/>
    <col min="39" max="39" width="13" style="178" customWidth="1"/>
    <col min="40" max="40" width="15.1640625" style="178" customWidth="1"/>
    <col min="41" max="41" width="6" style="178" customWidth="1"/>
    <col min="42" max="42" width="14.5" style="178" customWidth="1"/>
    <col min="43" max="43" width="14.5" style="178" customWidth="1" outlineLevel="1"/>
    <col min="44" max="44" width="12.5" style="178" customWidth="1" outlineLevel="1"/>
    <col min="45" max="45" width="13.6640625" style="178" customWidth="1" outlineLevel="1"/>
    <col min="46" max="46" width="15.5" style="178" customWidth="1"/>
    <col min="47" max="49" width="13" style="178" customWidth="1"/>
    <col min="50" max="50" width="9.1640625" style="178" customWidth="1"/>
    <col min="51" max="51" width="11.5" style="178" customWidth="1"/>
    <col min="52" max="52" width="14" style="178" customWidth="1"/>
    <col min="53" max="53" width="12.5" style="178" customWidth="1" outlineLevel="1"/>
    <col min="54" max="54" width="12.33203125" style="178" customWidth="1" outlineLevel="1"/>
    <col min="55" max="55" width="12.5" style="178" customWidth="1" outlineLevel="1"/>
    <col min="56" max="56" width="15.33203125" style="178" customWidth="1" outlineLevel="1"/>
    <col min="57" max="57" width="15" style="178" customWidth="1"/>
    <col min="58" max="60" width="12.1640625" style="178" customWidth="1"/>
    <col min="61" max="61" width="11" style="178" customWidth="1"/>
    <col min="62" max="62" width="13" style="178" customWidth="1"/>
    <col min="63" max="63" width="14" style="178" customWidth="1"/>
    <col min="64" max="64" width="12.1640625" style="178" customWidth="1"/>
    <col min="65" max="65" width="18.6640625" style="178" customWidth="1"/>
    <col min="66" max="66" width="13.83203125" style="178" customWidth="1"/>
    <col min="67" max="67" width="14.5" style="178" customWidth="1" outlineLevel="1"/>
    <col min="68" max="68" width="14.33203125" style="178" customWidth="1" outlineLevel="1"/>
    <col min="69" max="69" width="15.6640625" style="178" customWidth="1" outlineLevel="1"/>
    <col min="70" max="75" width="13.6640625" style="178" customWidth="1" outlineLevel="1"/>
    <col min="76" max="76" width="15.5" style="178" customWidth="1" outlineLevel="1"/>
    <col min="77" max="78" width="9.33203125" style="178" customWidth="1"/>
    <col min="79" max="16384" width="9.33203125" style="178"/>
  </cols>
  <sheetData>
    <row r="1" spans="1:78" s="115" customFormat="1" ht="35">
      <c r="A1" s="114" t="s">
        <v>200</v>
      </c>
      <c r="B1" s="114"/>
      <c r="D1" s="143"/>
      <c r="V1" s="116"/>
      <c r="W1" s="116"/>
      <c r="X1" s="116"/>
      <c r="BI1" s="117"/>
      <c r="BJ1" s="117"/>
      <c r="BY1" s="117"/>
    </row>
    <row r="2" spans="1:78" s="115" customFormat="1" ht="22.5" customHeight="1">
      <c r="A2" s="118" t="s">
        <v>0</v>
      </c>
      <c r="C2" s="119"/>
      <c r="D2" s="144">
        <v>45773</v>
      </c>
      <c r="V2" s="116"/>
      <c r="W2" s="116"/>
      <c r="X2" s="116"/>
      <c r="Y2" s="105"/>
      <c r="Z2" s="120"/>
      <c r="AA2" s="120"/>
      <c r="AB2" s="120"/>
      <c r="AC2" s="120"/>
      <c r="AK2" s="345"/>
      <c r="AL2" s="345"/>
      <c r="AM2" s="345"/>
      <c r="AN2" s="345"/>
      <c r="AO2" s="345"/>
      <c r="AP2" s="345"/>
      <c r="AQ2" s="121"/>
      <c r="AR2" s="122"/>
      <c r="AS2" s="122"/>
      <c r="AT2" s="122"/>
      <c r="BI2" s="117"/>
      <c r="BJ2" s="117"/>
      <c r="BY2" s="117"/>
    </row>
    <row r="3" spans="1:78" s="181" customFormat="1" ht="48" customHeight="1">
      <c r="A3" s="183"/>
      <c r="B3" s="183"/>
      <c r="C3" s="183"/>
      <c r="D3" s="184"/>
      <c r="E3" s="183"/>
      <c r="F3" s="183"/>
      <c r="G3" s="183"/>
      <c r="H3" s="183"/>
      <c r="I3" s="183"/>
      <c r="J3" s="182"/>
      <c r="K3" s="183"/>
      <c r="M3" s="183"/>
      <c r="N3" s="182"/>
      <c r="O3" s="182"/>
      <c r="P3" s="182"/>
      <c r="Q3" s="182"/>
      <c r="R3" s="182"/>
      <c r="V3" s="182"/>
      <c r="W3" s="182"/>
      <c r="X3" s="182"/>
      <c r="Y3" s="182"/>
      <c r="Z3" s="182"/>
      <c r="AA3" s="182"/>
      <c r="AB3" s="182"/>
      <c r="AC3" s="182"/>
      <c r="AD3" s="182"/>
      <c r="AE3" s="182"/>
      <c r="AF3" s="182"/>
      <c r="AG3" s="182"/>
      <c r="AH3" s="182"/>
      <c r="AJ3" s="183"/>
      <c r="AK3" s="185"/>
      <c r="AL3" s="185"/>
      <c r="AN3" s="185"/>
      <c r="AO3" s="185"/>
      <c r="AP3" s="196">
        <v>6200000</v>
      </c>
      <c r="AQ3" s="197">
        <v>0.08</v>
      </c>
      <c r="AR3" s="197">
        <v>1.4999999999999999E-2</v>
      </c>
      <c r="AS3" s="197">
        <v>0.01</v>
      </c>
      <c r="AT3" s="186"/>
      <c r="AU3" s="185"/>
      <c r="AV3" s="185"/>
      <c r="AW3" s="185"/>
      <c r="AX3" s="185"/>
      <c r="AY3" s="187"/>
      <c r="AZ3" s="185"/>
      <c r="BA3" s="197">
        <v>0.17</v>
      </c>
      <c r="BB3" s="197">
        <v>0.03</v>
      </c>
      <c r="BC3" s="197">
        <v>0.01</v>
      </c>
      <c r="BD3" s="197">
        <v>5.0000000000000001E-3</v>
      </c>
      <c r="BE3" s="186"/>
      <c r="BF3" s="257">
        <f>2340000*20</f>
        <v>46800000</v>
      </c>
      <c r="BG3" s="257">
        <f>4960000*20</f>
        <v>99200000</v>
      </c>
      <c r="BH3" s="185" t="s">
        <v>198</v>
      </c>
      <c r="BI3" s="185" t="s">
        <v>199</v>
      </c>
      <c r="BJ3" s="185"/>
      <c r="BK3" s="185"/>
      <c r="BM3" s="187"/>
      <c r="BN3" s="185"/>
      <c r="BO3" s="185"/>
      <c r="BP3" s="185"/>
      <c r="BQ3" s="185"/>
      <c r="BR3" s="185"/>
      <c r="BS3" s="185"/>
      <c r="BT3" s="185"/>
      <c r="BU3" s="185"/>
      <c r="BV3" s="185"/>
      <c r="BW3" s="185"/>
      <c r="BX3" s="185"/>
    </row>
    <row r="4" spans="1:78" s="171" customFormat="1" ht="75.75" customHeight="1">
      <c r="A4" s="164" t="s">
        <v>24</v>
      </c>
      <c r="B4" s="164" t="s">
        <v>27</v>
      </c>
      <c r="C4" s="164" t="s">
        <v>141</v>
      </c>
      <c r="D4" s="165" t="s">
        <v>28</v>
      </c>
      <c r="E4" s="164" t="s">
        <v>142</v>
      </c>
      <c r="F4" s="164" t="s">
        <v>12</v>
      </c>
      <c r="G4" s="164" t="s">
        <v>29</v>
      </c>
      <c r="H4" s="164" t="s">
        <v>14</v>
      </c>
      <c r="I4" s="164" t="s">
        <v>117</v>
      </c>
      <c r="J4" s="164" t="s">
        <v>126</v>
      </c>
      <c r="K4" s="164" t="s">
        <v>143</v>
      </c>
      <c r="L4" s="164" t="s">
        <v>127</v>
      </c>
      <c r="M4" s="164" t="s">
        <v>144</v>
      </c>
      <c r="N4" s="164" t="s">
        <v>130</v>
      </c>
      <c r="O4" s="164" t="s">
        <v>128</v>
      </c>
      <c r="P4" s="164" t="s">
        <v>131</v>
      </c>
      <c r="Q4" s="164" t="s">
        <v>181</v>
      </c>
      <c r="R4" s="164" t="s">
        <v>129</v>
      </c>
      <c r="S4" s="164" t="s">
        <v>132</v>
      </c>
      <c r="T4" s="164" t="s">
        <v>182</v>
      </c>
      <c r="U4" s="164" t="s">
        <v>133</v>
      </c>
      <c r="V4" s="164" t="s">
        <v>15</v>
      </c>
      <c r="W4" s="164" t="s">
        <v>16</v>
      </c>
      <c r="X4" s="164" t="s">
        <v>17</v>
      </c>
      <c r="Y4" s="164" t="s">
        <v>18</v>
      </c>
      <c r="Z4" s="164" t="s">
        <v>124</v>
      </c>
      <c r="AA4" s="164" t="s">
        <v>19</v>
      </c>
      <c r="AB4" s="164" t="s">
        <v>145</v>
      </c>
      <c r="AC4" s="164" t="s">
        <v>118</v>
      </c>
      <c r="AD4" s="164" t="s">
        <v>146</v>
      </c>
      <c r="AE4" s="164" t="s">
        <v>119</v>
      </c>
      <c r="AF4" s="164" t="s">
        <v>120</v>
      </c>
      <c r="AG4" s="164" t="s">
        <v>121</v>
      </c>
      <c r="AH4" s="164" t="s">
        <v>147</v>
      </c>
      <c r="AI4" s="164" t="s">
        <v>134</v>
      </c>
      <c r="AJ4" s="164" t="s">
        <v>135</v>
      </c>
      <c r="AK4" s="164" t="s">
        <v>110</v>
      </c>
      <c r="AL4" s="164" t="s">
        <v>136</v>
      </c>
      <c r="AM4" s="164" t="s">
        <v>148</v>
      </c>
      <c r="AN4" s="164" t="s">
        <v>55</v>
      </c>
      <c r="AO4" s="164" t="s">
        <v>2</v>
      </c>
      <c r="AP4" s="164" t="s">
        <v>138</v>
      </c>
      <c r="AQ4" s="166" t="s">
        <v>149</v>
      </c>
      <c r="AR4" s="166" t="s">
        <v>150</v>
      </c>
      <c r="AS4" s="166" t="s">
        <v>151</v>
      </c>
      <c r="AT4" s="166" t="s">
        <v>152</v>
      </c>
      <c r="AU4" s="164" t="s">
        <v>153</v>
      </c>
      <c r="AV4" s="164" t="s">
        <v>154</v>
      </c>
      <c r="AW4" s="164" t="s">
        <v>155</v>
      </c>
      <c r="AX4" s="164" t="s">
        <v>3</v>
      </c>
      <c r="AY4" s="164" t="s">
        <v>4</v>
      </c>
      <c r="AZ4" s="164" t="s">
        <v>156</v>
      </c>
      <c r="BA4" s="166" t="s">
        <v>157</v>
      </c>
      <c r="BB4" s="166" t="s">
        <v>158</v>
      </c>
      <c r="BC4" s="166" t="s">
        <v>151</v>
      </c>
      <c r="BD4" s="166" t="s">
        <v>159</v>
      </c>
      <c r="BE4" s="166" t="s">
        <v>160</v>
      </c>
      <c r="BF4" s="167" t="s">
        <v>161</v>
      </c>
      <c r="BG4" s="167" t="s">
        <v>162</v>
      </c>
      <c r="BH4" s="167" t="s">
        <v>111</v>
      </c>
      <c r="BI4" s="167" t="s">
        <v>112</v>
      </c>
      <c r="BJ4" s="164" t="s">
        <v>113</v>
      </c>
      <c r="BK4" s="164" t="s">
        <v>114</v>
      </c>
      <c r="BL4" s="164" t="s">
        <v>137</v>
      </c>
      <c r="BM4" s="164" t="s">
        <v>5</v>
      </c>
      <c r="BN4" s="164" t="s">
        <v>163</v>
      </c>
      <c r="BO4" s="164" t="s">
        <v>115</v>
      </c>
      <c r="BP4" s="164" t="s">
        <v>116</v>
      </c>
      <c r="BQ4" s="164" t="s">
        <v>6</v>
      </c>
      <c r="BR4" s="164" t="s">
        <v>7</v>
      </c>
      <c r="BS4" s="168" t="s">
        <v>183</v>
      </c>
      <c r="BT4" s="168" t="s">
        <v>184</v>
      </c>
      <c r="BU4" s="168" t="s">
        <v>185</v>
      </c>
      <c r="BV4" s="168" t="s">
        <v>186</v>
      </c>
      <c r="BW4" s="168" t="s">
        <v>197</v>
      </c>
      <c r="BX4" s="169" t="s">
        <v>8</v>
      </c>
      <c r="BY4" s="170"/>
      <c r="BZ4" s="170"/>
    </row>
    <row r="5" spans="1:78" s="195" customFormat="1" ht="22.5" customHeight="1">
      <c r="A5" s="188">
        <v>1</v>
      </c>
      <c r="B5" s="188" t="s">
        <v>190</v>
      </c>
      <c r="C5" s="188"/>
      <c r="D5" s="189" t="s">
        <v>201</v>
      </c>
      <c r="E5" s="190" t="s">
        <v>108</v>
      </c>
      <c r="F5" s="190" t="s">
        <v>172</v>
      </c>
      <c r="G5" s="172" t="s">
        <v>164</v>
      </c>
      <c r="H5" s="172" t="s">
        <v>20</v>
      </c>
      <c r="I5" s="172" t="s">
        <v>122</v>
      </c>
      <c r="J5" s="159">
        <v>47000000</v>
      </c>
      <c r="K5" s="133">
        <v>10870000</v>
      </c>
      <c r="L5" s="133">
        <f t="shared" ref="L5:L12" si="0">J5-K5</f>
        <v>36130000</v>
      </c>
      <c r="M5" s="133">
        <v>26</v>
      </c>
      <c r="N5" s="191">
        <f>IFERROR(VLOOKUP(B5,' TimeTB 1'!$B$4:$AT$5,5,0),0)</f>
        <v>0</v>
      </c>
      <c r="O5" s="191">
        <f>VLOOKUP(B5,'TimeTB 2'!$B$4:$O$11,14,0)</f>
        <v>26</v>
      </c>
      <c r="P5" s="129">
        <f>ROUND(K5/M5*N5,0)</f>
        <v>0</v>
      </c>
      <c r="Q5" s="129">
        <f t="shared" ref="Q5:Q12" si="1">ROUND(K5/M5*O5,0)</f>
        <v>10870000</v>
      </c>
      <c r="R5" s="133">
        <f t="shared" ref="R5:R11" si="2">SUM(P5:Q5)</f>
        <v>10870000</v>
      </c>
      <c r="S5" s="129">
        <f t="shared" ref="S5:S12" si="3">ROUND(L5/26*N5,0)</f>
        <v>0</v>
      </c>
      <c r="T5" s="129">
        <f t="shared" ref="T5:T12" si="4">ROUND(L5/26*O5,0)</f>
        <v>36130000</v>
      </c>
      <c r="U5" s="133">
        <f t="shared" ref="U5:U12" si="5">SUM(S5:T5)</f>
        <v>36130000</v>
      </c>
      <c r="V5" s="133">
        <v>0</v>
      </c>
      <c r="W5" s="133">
        <v>0</v>
      </c>
      <c r="X5" s="133">
        <v>0</v>
      </c>
      <c r="Y5" s="133">
        <f>VLOOKUP(B5,'PC cơm '!$A$3:$K$4,11,0)</f>
        <v>1000000</v>
      </c>
      <c r="Z5" s="133">
        <f>SUM(V5:Y5)</f>
        <v>1000000</v>
      </c>
      <c r="AA5" s="133">
        <f>VLOOKUP(B5,OT!A3:S15,17,0)</f>
        <v>0</v>
      </c>
      <c r="AB5" s="133">
        <f>VLOOKUP(B5,NS!$A$2:$F$5,6,0)</f>
        <v>135577</v>
      </c>
      <c r="AC5" s="133">
        <v>0</v>
      </c>
      <c r="AD5" s="133">
        <v>0</v>
      </c>
      <c r="AE5" s="191">
        <v>0</v>
      </c>
      <c r="AF5" s="134">
        <f t="shared" ref="AF5:AF12" si="6">ROUND(J5/26*AE5,0)</f>
        <v>0</v>
      </c>
      <c r="AG5" s="134">
        <f>IFERROR(VLOOKUP(B5,Incentive!$A$4:$G$6,7,0),0)</f>
        <v>0</v>
      </c>
      <c r="AH5" s="134">
        <f>SUMIF(Others!$B$3:$B$9,$B5,Others!$F$3:$F$9)</f>
        <v>0</v>
      </c>
      <c r="AI5" s="134">
        <v>0</v>
      </c>
      <c r="AJ5" s="133">
        <f>AI5+AH5+AG5+AF5+AD5+AC5+AB5+AA5+Z5+U5+R5+BN5</f>
        <v>48335577</v>
      </c>
      <c r="AK5" s="133">
        <f>VLOOKUP(B5,OT!A3:S14,19,0)</f>
        <v>0</v>
      </c>
      <c r="AL5" s="133">
        <f>VLOOKUP(B5,NS!$A$2:$H$5,8,0)</f>
        <v>135577</v>
      </c>
      <c r="AM5" s="133">
        <f>AI5</f>
        <v>0</v>
      </c>
      <c r="AN5" s="133">
        <f>IF(BT5=1,0,15500000)</f>
        <v>15500000</v>
      </c>
      <c r="AO5" s="191">
        <v>4</v>
      </c>
      <c r="AP5" s="133">
        <f>AO5*$AP$3</f>
        <v>24800000</v>
      </c>
      <c r="AQ5" s="133">
        <f>BF5*$AQ$3</f>
        <v>869600</v>
      </c>
      <c r="AR5" s="133">
        <f>BF5*$AR$3</f>
        <v>163050</v>
      </c>
      <c r="AS5" s="133">
        <f>BG5*$AS$3</f>
        <v>108700</v>
      </c>
      <c r="AT5" s="134">
        <f>+AS5+AR5+AQ5</f>
        <v>1141350</v>
      </c>
      <c r="AU5" s="134">
        <f>IF(BT5=1,0,MIN(Y5,730000))</f>
        <v>730000</v>
      </c>
      <c r="AV5" s="134">
        <f>AJ5-AK5-AL5-AM5-AU5</f>
        <v>47470000</v>
      </c>
      <c r="AW5" s="134">
        <f>MAX(AV5-AN5-AP5-AT5,0)</f>
        <v>6028650</v>
      </c>
      <c r="AX5" s="173">
        <f t="shared" ref="AX5:AX12" si="7">IF(BT5=1,10%,IF(AW5&gt;0,IF(AW5&gt;80000000,0.35,IF(AW5&gt;52000000,0.3,IF(AW5&gt;32000000,0.25,IF(AW5&gt;18000000,0.2,IF(AW5&gt;10000000,0.15,IF(AW5&gt;5000000,0.1,0.05)))))),0))</f>
        <v>0.1</v>
      </c>
      <c r="AY5" s="174">
        <f>IF(BT5=1,0,IF(AW5&gt;80000000,9850000,IF(AW5&gt;52000000,5850000,IF(AW5&gt;32000000,3250000,IF(AW5&gt;18000000,1650000,IF(AW5&gt;10000000,750000,IF(AW5&gt;5000000,250000,0)))))))</f>
        <v>250000</v>
      </c>
      <c r="AZ5" s="175">
        <f>ROUND(AW5*AX5-AY5,0)</f>
        <v>352865</v>
      </c>
      <c r="BA5" s="133">
        <f>BF5*$BA$3</f>
        <v>1847900.0000000002</v>
      </c>
      <c r="BB5" s="133">
        <f>BF5*$BB$3</f>
        <v>326100</v>
      </c>
      <c r="BC5" s="133">
        <f>BG5*$BC$3</f>
        <v>108700</v>
      </c>
      <c r="BD5" s="133">
        <f>BG5*$BD$3</f>
        <v>54350</v>
      </c>
      <c r="BE5" s="133">
        <f>SUM(BA5:BD5)</f>
        <v>2337050</v>
      </c>
      <c r="BF5" s="133">
        <f t="shared" ref="BF5:BF12" si="8">MIN((IF(BS5=1,K5,0)),$BF$3)</f>
        <v>10870000</v>
      </c>
      <c r="BG5" s="133">
        <f t="shared" ref="BG5:BG12" si="9">MIN((IF(BS5=1,K5,0)),$BG$3)</f>
        <v>10870000</v>
      </c>
      <c r="BH5" s="133">
        <v>0</v>
      </c>
      <c r="BI5" s="133">
        <v>0</v>
      </c>
      <c r="BJ5" s="133">
        <f>IF(BS5=1,BF5*2%,0)</f>
        <v>217400</v>
      </c>
      <c r="BK5" s="133">
        <f>IF(BU5=1,40000,0)</f>
        <v>40000</v>
      </c>
      <c r="BL5" s="133">
        <f t="shared" ref="BL5:BL12" si="10">IF(BV5=0,0,IF(J5&lt;11000000,5000,IF(J5&lt;25000000,10000,IF(J5&lt;40000000,15000,20000)))*BW5)</f>
        <v>0</v>
      </c>
      <c r="BM5" s="176">
        <f>AJ5-AT5-AZ5-BK5-BL5-BN5-BO5-BP5</f>
        <v>46601362</v>
      </c>
      <c r="BN5" s="134">
        <f>IFERROR(VLOOKUP(B5,'Benefit tính thuế'!$A$2:$G$5,7,0),0)</f>
        <v>200000</v>
      </c>
      <c r="BO5" s="176">
        <v>0</v>
      </c>
      <c r="BP5" s="176">
        <v>0</v>
      </c>
      <c r="BQ5" s="192">
        <f>AN5+AP5+AU5</f>
        <v>41030000</v>
      </c>
      <c r="BR5" s="192">
        <f>+AZ5+AT5</f>
        <v>1494215</v>
      </c>
      <c r="BS5" s="192">
        <v>1</v>
      </c>
      <c r="BT5" s="193">
        <v>0</v>
      </c>
      <c r="BU5" s="192">
        <v>1</v>
      </c>
      <c r="BV5" s="192">
        <v>0</v>
      </c>
      <c r="BW5" s="192">
        <v>20</v>
      </c>
      <c r="BX5" s="194"/>
    </row>
    <row r="6" spans="1:78" s="141" customFormat="1" ht="22.5" customHeight="1">
      <c r="A6" s="123">
        <v>1</v>
      </c>
      <c r="B6" s="123" t="s">
        <v>191</v>
      </c>
      <c r="C6" s="123"/>
      <c r="D6" s="145" t="s">
        <v>202</v>
      </c>
      <c r="E6" s="124" t="s">
        <v>90</v>
      </c>
      <c r="F6" s="124" t="s">
        <v>173</v>
      </c>
      <c r="G6" s="125" t="s">
        <v>165</v>
      </c>
      <c r="H6" s="126" t="s">
        <v>20</v>
      </c>
      <c r="I6" s="126" t="s">
        <v>109</v>
      </c>
      <c r="J6" s="127">
        <v>31000000</v>
      </c>
      <c r="K6" s="127">
        <v>8350000</v>
      </c>
      <c r="L6" s="127">
        <f t="shared" si="0"/>
        <v>22650000</v>
      </c>
      <c r="M6" s="127">
        <v>26</v>
      </c>
      <c r="N6" s="191">
        <f>IFERROR(VLOOKUP(B6,' TimeTB 1'!$B$4:$AT$5,5,0),0)</f>
        <v>0</v>
      </c>
      <c r="O6" s="191">
        <f>VLOOKUP(B6,'TimeTB 2'!$B$4:$O$11,14,0)</f>
        <v>26</v>
      </c>
      <c r="P6" s="129">
        <f t="shared" ref="P6:P12" si="11">ROUND((K6/M6*N6),0)</f>
        <v>0</v>
      </c>
      <c r="Q6" s="129">
        <f t="shared" si="1"/>
        <v>8350000</v>
      </c>
      <c r="R6" s="130">
        <f t="shared" si="2"/>
        <v>8350000</v>
      </c>
      <c r="S6" s="129">
        <f t="shared" si="3"/>
        <v>0</v>
      </c>
      <c r="T6" s="129">
        <f t="shared" si="4"/>
        <v>22650000</v>
      </c>
      <c r="U6" s="130">
        <f t="shared" si="5"/>
        <v>22650000</v>
      </c>
      <c r="V6" s="127">
        <v>0</v>
      </c>
      <c r="W6" s="127">
        <v>0</v>
      </c>
      <c r="X6" s="127">
        <v>0</v>
      </c>
      <c r="Y6" s="127">
        <f>VLOOKUP(B6,'[20]PC cơm '!$B$7:$L$15,11,0)</f>
        <v>1120000</v>
      </c>
      <c r="Z6" s="130">
        <f>SUM(V6:Y6)</f>
        <v>1120000</v>
      </c>
      <c r="AA6" s="127">
        <f>VLOOKUP(B6,'[20]OT '!$B$7:$R$14,17,0)</f>
        <v>5827403</v>
      </c>
      <c r="AB6" s="131">
        <f>VLOOKUP(B6,[20]NS!$B$9:$G$16,6,0)</f>
        <v>134135</v>
      </c>
      <c r="AC6" s="131">
        <v>0</v>
      </c>
      <c r="AD6" s="127">
        <v>0</v>
      </c>
      <c r="AE6" s="128">
        <v>0</v>
      </c>
      <c r="AF6" s="132">
        <f t="shared" si="6"/>
        <v>0</v>
      </c>
      <c r="AG6" s="132">
        <f>IFERROR(VLOOKUP(B6,[20]Incentive!$B$9:$H$11,7,0),0)</f>
        <v>0</v>
      </c>
      <c r="AH6" s="132" t="e">
        <f>SUMIF([20]Others!$B$8:$B$15,$B6,[20]Others!$F$8:$F$15)</f>
        <v>#VALUE!</v>
      </c>
      <c r="AI6" s="132">
        <v>0</v>
      </c>
      <c r="AJ6" s="127" t="e">
        <f>AI6+AH6+AG6+AF6+AD6+AC6+AB6+AA6+Z6+U6+R6+BN6</f>
        <v>#VALUE!</v>
      </c>
      <c r="AK6" s="127">
        <f>VLOOKUP(B6,'[20]OT '!$B$7:$T$14,19,0)</f>
        <v>3740865</v>
      </c>
      <c r="AL6" s="131">
        <f>VLOOKUP(B6,[20]NS!$B$9:$I$16,8,0)</f>
        <v>134135</v>
      </c>
      <c r="AM6" s="131">
        <f>AI6</f>
        <v>0</v>
      </c>
      <c r="AN6" s="133">
        <f t="shared" ref="AN6:AN11" si="12">IF(BT6=1,0,15500000)</f>
        <v>15500000</v>
      </c>
      <c r="AO6" s="128">
        <v>1</v>
      </c>
      <c r="AP6" s="133">
        <f>AO6*$AP$3</f>
        <v>6200000</v>
      </c>
      <c r="AQ6" s="133">
        <f>BF6*$AQ$3</f>
        <v>668000</v>
      </c>
      <c r="AR6" s="133">
        <f>BF6*$AR$3</f>
        <v>125250</v>
      </c>
      <c r="AS6" s="133">
        <f>BG6*$AS$3</f>
        <v>83500</v>
      </c>
      <c r="AT6" s="134">
        <f>+AS6+AR6+AQ6</f>
        <v>876750</v>
      </c>
      <c r="AU6" s="135">
        <f>IF(BT6=1,0,MIN(Y6,730000))</f>
        <v>730000</v>
      </c>
      <c r="AV6" s="136" t="e">
        <f>AJ6-AK6-AL6-AM6-AU6</f>
        <v>#VALUE!</v>
      </c>
      <c r="AW6" s="136" t="e">
        <f>MAX(AV6-AN6-AP6-AT6,0)</f>
        <v>#VALUE!</v>
      </c>
      <c r="AX6" s="137" t="e">
        <f t="shared" si="7"/>
        <v>#VALUE!</v>
      </c>
      <c r="AY6" s="158" t="e">
        <f>IF(BT6=1,0,IF(AW6&gt;80000000,9850000,IF(AW6&gt;52000000,5850000,IF(AW6&gt;32000000,3250000,IF(AW6&gt;18000000,1650000,IF(AW6&gt;10000000,750000,IF(AW6&gt;5000000,250000,0)))))))</f>
        <v>#VALUE!</v>
      </c>
      <c r="AZ6" s="138" t="e">
        <f>ROUND(AW6*AX6-AY6,0)</f>
        <v>#VALUE!</v>
      </c>
      <c r="BA6" s="127">
        <f>BF6*$BA$3</f>
        <v>1419500</v>
      </c>
      <c r="BB6" s="127">
        <f>BF6*$BB$3</f>
        <v>250500</v>
      </c>
      <c r="BC6" s="127">
        <f>BG6*$BC$3</f>
        <v>83500</v>
      </c>
      <c r="BD6" s="127">
        <f>BG6*$BD$3</f>
        <v>41750</v>
      </c>
      <c r="BE6" s="127">
        <f>SUM(BA6:BD6)</f>
        <v>1795250</v>
      </c>
      <c r="BF6" s="133">
        <f t="shared" si="8"/>
        <v>8350000</v>
      </c>
      <c r="BG6" s="133">
        <f t="shared" si="9"/>
        <v>8350000</v>
      </c>
      <c r="BH6" s="133">
        <v>0</v>
      </c>
      <c r="BI6" s="133">
        <v>0</v>
      </c>
      <c r="BJ6" s="133">
        <f>IF(BS6=1,BF6*2%,0)</f>
        <v>167000</v>
      </c>
      <c r="BK6" s="133">
        <f>IF(BU6=1,40000,0)</f>
        <v>40000</v>
      </c>
      <c r="BL6" s="133">
        <f t="shared" si="10"/>
        <v>300000</v>
      </c>
      <c r="BM6" s="139" t="e">
        <f>AJ6-AT6-AZ6-BK6-BL6-BN6-BO6-BP6</f>
        <v>#VALUE!</v>
      </c>
      <c r="BN6" s="136">
        <f>IFERROR(VLOOKUP(B6,'[20]Benefit tính thuế'!$B$2:$H$5,7,0),0)</f>
        <v>2000000</v>
      </c>
      <c r="BO6" s="139">
        <v>0</v>
      </c>
      <c r="BP6" s="139">
        <v>0</v>
      </c>
      <c r="BQ6" s="140">
        <f>AN6+AP6+AU6</f>
        <v>22430000</v>
      </c>
      <c r="BR6" s="140" t="e">
        <f>+AZ6+AT6</f>
        <v>#VALUE!</v>
      </c>
      <c r="BS6" s="140">
        <v>1</v>
      </c>
      <c r="BT6" s="157">
        <v>0</v>
      </c>
      <c r="BU6" s="140">
        <v>1</v>
      </c>
      <c r="BV6" s="157">
        <v>1</v>
      </c>
      <c r="BW6" s="140">
        <v>20</v>
      </c>
      <c r="BX6" s="106"/>
      <c r="BY6" s="142"/>
    </row>
    <row r="7" spans="1:78" s="141" customFormat="1" ht="22.5" customHeight="1">
      <c r="A7" s="123">
        <v>1</v>
      </c>
      <c r="B7" s="123" t="s">
        <v>167</v>
      </c>
      <c r="C7" s="123"/>
      <c r="D7" s="145" t="s">
        <v>207</v>
      </c>
      <c r="E7" s="124" t="s">
        <v>88</v>
      </c>
      <c r="F7" s="124" t="s">
        <v>176</v>
      </c>
      <c r="G7" s="125" t="s">
        <v>58</v>
      </c>
      <c r="H7" s="126" t="s">
        <v>23</v>
      </c>
      <c r="I7" s="126" t="s">
        <v>107</v>
      </c>
      <c r="J7" s="127">
        <v>10448000</v>
      </c>
      <c r="K7" s="127">
        <v>7570000</v>
      </c>
      <c r="L7" s="127">
        <f>J7-K7</f>
        <v>2878000</v>
      </c>
      <c r="M7" s="127">
        <v>26</v>
      </c>
      <c r="N7" s="191">
        <f>IFERROR(VLOOKUP(B7,' TimeTB 1'!$B$4:$AT$5,5,0),0)</f>
        <v>0</v>
      </c>
      <c r="O7" s="191">
        <f>VLOOKUP(B7,'TimeTB 2'!$B$4:$O$11,14,0)</f>
        <v>25</v>
      </c>
      <c r="P7" s="129">
        <f>ROUND((K7/M7*N7),0)</f>
        <v>0</v>
      </c>
      <c r="Q7" s="129">
        <f>ROUND(K7/M7*O7,0)</f>
        <v>7278846</v>
      </c>
      <c r="R7" s="130">
        <f>SUM(P7:Q7)</f>
        <v>7278846</v>
      </c>
      <c r="S7" s="129">
        <f>ROUND(L7/26*N7,0)</f>
        <v>0</v>
      </c>
      <c r="T7" s="129">
        <f>ROUND(L7/26*O7,0)</f>
        <v>2767308</v>
      </c>
      <c r="U7" s="130">
        <f>SUM(S7:T7)</f>
        <v>2767308</v>
      </c>
      <c r="V7" s="127">
        <v>0</v>
      </c>
      <c r="W7" s="127">
        <v>0</v>
      </c>
      <c r="X7" s="127">
        <v>0</v>
      </c>
      <c r="Y7" s="127">
        <f>VLOOKUP(B7,'[20]PC cơm '!$B$7:$L$15,11,0)</f>
        <v>960000</v>
      </c>
      <c r="Z7" s="130">
        <f>SUM(V7:Y7)</f>
        <v>960000</v>
      </c>
      <c r="AA7" s="127">
        <f>VLOOKUP(B7,'[20]OT '!$B$7:$R$14,17,0)</f>
        <v>307663</v>
      </c>
      <c r="AB7" s="131">
        <f>VLOOKUP(B7,[20]NS!$B$9:$G$16,6,0)</f>
        <v>60277</v>
      </c>
      <c r="AC7" s="131">
        <v>0</v>
      </c>
      <c r="AD7" s="127">
        <v>0</v>
      </c>
      <c r="AE7" s="128">
        <v>0</v>
      </c>
      <c r="AF7" s="132">
        <f>ROUND(J7/26*AE7,0)</f>
        <v>0</v>
      </c>
      <c r="AG7" s="132">
        <f>IFERROR(VLOOKUP(B7,[20]Incentive!$B$9:$H$11,7,0),0)</f>
        <v>0</v>
      </c>
      <c r="AH7" s="132" t="e">
        <f>SUMIF([20]Others!$B$8:$B$15,$B7,[20]Others!$F$8:$F$15)</f>
        <v>#VALUE!</v>
      </c>
      <c r="AI7" s="132">
        <v>0</v>
      </c>
      <c r="AJ7" s="127" t="e">
        <f>AI7+AH7+AG7+AF7+AD7+AC7+AB7+AA7+Z7+U7+R7+BN7</f>
        <v>#VALUE!</v>
      </c>
      <c r="AK7" s="127">
        <f>VLOOKUP(B7,'[20]OT '!$B$7:$T$14,19,0)</f>
        <v>156971</v>
      </c>
      <c r="AL7" s="131">
        <f>VLOOKUP(B7,[20]NS!$B$9:$I$16,8,0)</f>
        <v>60277</v>
      </c>
      <c r="AM7" s="131">
        <f>AI7</f>
        <v>0</v>
      </c>
      <c r="AN7" s="133">
        <f t="shared" si="12"/>
        <v>15500000</v>
      </c>
      <c r="AO7" s="128">
        <v>0</v>
      </c>
      <c r="AP7" s="133">
        <f>AO7*$AP$3</f>
        <v>0</v>
      </c>
      <c r="AQ7" s="133">
        <f>BF7*$AQ$3</f>
        <v>605600</v>
      </c>
      <c r="AR7" s="133">
        <f>BF7*$AR$3</f>
        <v>113550</v>
      </c>
      <c r="AS7" s="133">
        <f>BG7*$AS$3</f>
        <v>75700</v>
      </c>
      <c r="AT7" s="134">
        <f>+AS7+AR7+AQ7</f>
        <v>794850</v>
      </c>
      <c r="AU7" s="135">
        <f>IF(BT7=1,0,MIN(Y7,730000))</f>
        <v>730000</v>
      </c>
      <c r="AV7" s="136" t="e">
        <f>AJ7-AK7-AL7-AM7-AU7</f>
        <v>#VALUE!</v>
      </c>
      <c r="AW7" s="136" t="e">
        <f>MAX(AV7-AN7-AP7-AT7,0)</f>
        <v>#VALUE!</v>
      </c>
      <c r="AX7" s="137" t="e">
        <f>IF(BT7=1,10%,IF(AW7&gt;0,IF(AW7&gt;80000000,0.35,IF(AW7&gt;52000000,0.3,IF(AW7&gt;32000000,0.25,IF(AW7&gt;18000000,0.2,IF(AW7&gt;10000000,0.15,IF(AW7&gt;5000000,0.1,0.05)))))),0))</f>
        <v>#VALUE!</v>
      </c>
      <c r="AY7" s="158" t="e">
        <f>IF(BT7=1,0,IF(AW7&gt;80000000,9850000,IF(AW7&gt;52000000,5850000,IF(AW7&gt;32000000,3250000,IF(AW7&gt;18000000,1650000,IF(AW7&gt;10000000,750000,IF(AW7&gt;5000000,250000,0)))))))</f>
        <v>#VALUE!</v>
      </c>
      <c r="AZ7" s="138" t="e">
        <f>ROUND(AW7*AX7-AY7,0)</f>
        <v>#VALUE!</v>
      </c>
      <c r="BA7" s="127">
        <f>BF7*$BA$3</f>
        <v>1286900</v>
      </c>
      <c r="BB7" s="127">
        <f>BF7*$BB$3</f>
        <v>227100</v>
      </c>
      <c r="BC7" s="127">
        <f>BG7*$BC$3</f>
        <v>75700</v>
      </c>
      <c r="BD7" s="127">
        <f>BG7*$BD$3</f>
        <v>37850</v>
      </c>
      <c r="BE7" s="127">
        <f>SUM(BA7:BD7)</f>
        <v>1627550</v>
      </c>
      <c r="BF7" s="133">
        <f>MIN((IF(BS7=1,K7,0)),$BF$3)</f>
        <v>7570000</v>
      </c>
      <c r="BG7" s="133">
        <f>MIN((IF(BS7=1,K7,0)),$BG$3)</f>
        <v>7570000</v>
      </c>
      <c r="BH7" s="133">
        <v>0</v>
      </c>
      <c r="BI7" s="133">
        <v>0</v>
      </c>
      <c r="BJ7" s="133">
        <f>IF(BS7=1,BF7*2%,0)</f>
        <v>151400</v>
      </c>
      <c r="BK7" s="133">
        <f>IF(BU7=1,40000,0)</f>
        <v>40000</v>
      </c>
      <c r="BL7" s="133">
        <f>IF(BV7=0,0,IF(J7&lt;11000000,5000,IF(J7&lt;25000000,10000,IF(J7&lt;40000000,15000,20000)))*BW7)</f>
        <v>0</v>
      </c>
      <c r="BM7" s="139" t="e">
        <f>AJ7-AT7-AZ7-BK7-BL7-BN7-BO7-BP7</f>
        <v>#VALUE!</v>
      </c>
      <c r="BN7" s="136">
        <f>IFERROR(VLOOKUP(B7,'[20]Benefit tính thuế'!$B$2:$H$5,7,0),0)</f>
        <v>1000000</v>
      </c>
      <c r="BO7" s="139">
        <v>0</v>
      </c>
      <c r="BP7" s="139">
        <v>0</v>
      </c>
      <c r="BQ7" s="140">
        <f>AN7+AP7+AU7</f>
        <v>16230000</v>
      </c>
      <c r="BR7" s="140" t="e">
        <f>+AZ7+AT7</f>
        <v>#VALUE!</v>
      </c>
      <c r="BS7" s="140">
        <v>1</v>
      </c>
      <c r="BT7" s="157">
        <v>0</v>
      </c>
      <c r="BU7" s="140">
        <v>1</v>
      </c>
      <c r="BV7" s="157">
        <v>0</v>
      </c>
      <c r="BW7" s="140">
        <v>20</v>
      </c>
      <c r="BX7" s="106"/>
      <c r="BY7" s="142"/>
    </row>
    <row r="8" spans="1:78" s="141" customFormat="1" ht="22.5" customHeight="1">
      <c r="A8" s="123">
        <v>2</v>
      </c>
      <c r="B8" s="123" t="s">
        <v>168</v>
      </c>
      <c r="C8" s="123"/>
      <c r="D8" s="154" t="s">
        <v>203</v>
      </c>
      <c r="E8" s="155">
        <v>44562</v>
      </c>
      <c r="F8" s="124" t="s">
        <v>179</v>
      </c>
      <c r="G8" s="125" t="s">
        <v>67</v>
      </c>
      <c r="H8" s="126" t="s">
        <v>23</v>
      </c>
      <c r="I8" s="126" t="s">
        <v>79</v>
      </c>
      <c r="J8" s="127">
        <v>8000000</v>
      </c>
      <c r="K8" s="127">
        <v>5310000</v>
      </c>
      <c r="L8" s="127">
        <f t="shared" si="0"/>
        <v>2690000</v>
      </c>
      <c r="M8" s="127">
        <v>26</v>
      </c>
      <c r="N8" s="191">
        <f>IFERROR(VLOOKUP(B8,' TimeTB 1'!$B$4:$AT$5,5,0),0)</f>
        <v>0</v>
      </c>
      <c r="O8" s="191">
        <f>VLOOKUP(B8,'TimeTB 2'!$B$4:$O$11,14,0)</f>
        <v>16</v>
      </c>
      <c r="P8" s="129">
        <f t="shared" si="11"/>
        <v>0</v>
      </c>
      <c r="Q8" s="129">
        <f t="shared" si="1"/>
        <v>3267692</v>
      </c>
      <c r="R8" s="130">
        <f t="shared" si="2"/>
        <v>3267692</v>
      </c>
      <c r="S8" s="129">
        <f t="shared" si="3"/>
        <v>0</v>
      </c>
      <c r="T8" s="129">
        <f t="shared" si="4"/>
        <v>1655385</v>
      </c>
      <c r="U8" s="130">
        <f t="shared" si="5"/>
        <v>1655385</v>
      </c>
      <c r="V8" s="127">
        <v>0</v>
      </c>
      <c r="W8" s="127">
        <v>0</v>
      </c>
      <c r="X8" s="127">
        <v>0</v>
      </c>
      <c r="Y8" s="127">
        <f>VLOOKUP(B8,'[20]PC cơm '!$B$7:$L$15,11,0)</f>
        <v>720000</v>
      </c>
      <c r="Z8" s="130">
        <f t="shared" ref="Z8:Z9" si="13">SUM(V8:Y8)</f>
        <v>720000</v>
      </c>
      <c r="AA8" s="127">
        <f>VLOOKUP(B8,'[20]OT '!$B$7:$R$14,17,0)</f>
        <v>965384</v>
      </c>
      <c r="AB8" s="131">
        <f>VLOOKUP(B8,[20]NS!$B$9:$G$16,6,0)</f>
        <v>17308</v>
      </c>
      <c r="AC8" s="131">
        <v>0</v>
      </c>
      <c r="AD8" s="127">
        <v>0</v>
      </c>
      <c r="AE8" s="128">
        <v>4</v>
      </c>
      <c r="AF8" s="132">
        <f t="shared" si="6"/>
        <v>1230769</v>
      </c>
      <c r="AG8" s="132">
        <f>IFERROR(VLOOKUP(B8,[20]Incentive!$B$9:$H$11,7,0),0)</f>
        <v>0</v>
      </c>
      <c r="AH8" s="132" t="e">
        <f>SUMIF([20]Others!$B$8:$B$15,$B8,[20]Others!$F$8:$F$15)</f>
        <v>#VALUE!</v>
      </c>
      <c r="AI8" s="132">
        <v>0</v>
      </c>
      <c r="AJ8" s="127" t="e">
        <f t="shared" ref="AJ8:AJ9" si="14">AI8+AH8+AG8+AF8+AD8+AC8+AB8+AA8+Z8+U8+R8+BN8</f>
        <v>#VALUE!</v>
      </c>
      <c r="AK8" s="127">
        <f>VLOOKUP(B8,'[20]OT '!$B$7:$T$14,19,0)</f>
        <v>657692</v>
      </c>
      <c r="AL8" s="131">
        <f>VLOOKUP(B8,[20]NS!$B$9:$I$16,8,0)</f>
        <v>17308</v>
      </c>
      <c r="AM8" s="131">
        <f t="shared" ref="AM8:AM9" si="15">AI8</f>
        <v>0</v>
      </c>
      <c r="AN8" s="133">
        <f t="shared" si="12"/>
        <v>15500000</v>
      </c>
      <c r="AO8" s="128">
        <v>0</v>
      </c>
      <c r="AP8" s="133">
        <f t="shared" ref="AP8:AP9" si="16">AO8*$AP$3</f>
        <v>0</v>
      </c>
      <c r="AQ8" s="133">
        <f t="shared" ref="AQ8:AQ9" si="17">BF8*$AQ$3</f>
        <v>0</v>
      </c>
      <c r="AR8" s="133">
        <f t="shared" ref="AR8:AR9" si="18">BF8*$AR$3</f>
        <v>0</v>
      </c>
      <c r="AS8" s="133">
        <f t="shared" ref="AS8:AS9" si="19">BG8*$AS$3</f>
        <v>0</v>
      </c>
      <c r="AT8" s="134">
        <f t="shared" ref="AT8:AT9" si="20">+AS8+AR8+AQ8</f>
        <v>0</v>
      </c>
      <c r="AU8" s="135">
        <f t="shared" ref="AU8:AU9" si="21">IF(BT8=1,0,MIN(Y8,730000))</f>
        <v>720000</v>
      </c>
      <c r="AV8" s="136" t="e">
        <f t="shared" ref="AV8:AV9" si="22">AJ8-AK8-AL8-AM8-AU8</f>
        <v>#VALUE!</v>
      </c>
      <c r="AW8" s="136" t="e">
        <f t="shared" ref="AW8:AW9" si="23">MAX(AV8-AN8-AP8-AT8,0)</f>
        <v>#VALUE!</v>
      </c>
      <c r="AX8" s="137" t="e">
        <f t="shared" si="7"/>
        <v>#VALUE!</v>
      </c>
      <c r="AY8" s="158" t="e">
        <f t="shared" ref="AY8" si="24">IF(BT8=1,0,IF(AW8&gt;80000000,9850000,IF(AW8&gt;52000000,5850000,IF(AW8&gt;32000000,3250000,IF(AW8&gt;18000000,1650000,IF(AW8&gt;10000000,750000,IF(AW8&gt;5000000,250000,0)))))))</f>
        <v>#VALUE!</v>
      </c>
      <c r="AZ8" s="138" t="e">
        <f t="shared" ref="AZ8:AZ9" si="25">ROUND(AW8*AX8-AY8,0)</f>
        <v>#VALUE!</v>
      </c>
      <c r="BA8" s="127">
        <f t="shared" ref="BA8:BA9" si="26">BF8*$BA$3</f>
        <v>0</v>
      </c>
      <c r="BB8" s="127">
        <f t="shared" ref="BB8:BB9" si="27">BF8*$BB$3</f>
        <v>0</v>
      </c>
      <c r="BC8" s="127">
        <f t="shared" ref="BC8:BC9" si="28">BG8*$BC$3</f>
        <v>0</v>
      </c>
      <c r="BD8" s="127">
        <f t="shared" ref="BD8:BD9" si="29">BG8*$BD$3</f>
        <v>0</v>
      </c>
      <c r="BE8" s="127">
        <f t="shared" ref="BE8:BE9" si="30">SUM(BA8:BD8)</f>
        <v>0</v>
      </c>
      <c r="BF8" s="133">
        <f t="shared" si="8"/>
        <v>0</v>
      </c>
      <c r="BG8" s="133">
        <f t="shared" si="9"/>
        <v>0</v>
      </c>
      <c r="BH8" s="133">
        <v>0</v>
      </c>
      <c r="BI8" s="133">
        <v>0</v>
      </c>
      <c r="BJ8" s="133">
        <f t="shared" ref="BJ8:BJ9" si="31">IF(BS8=1,BF8*2%,0)</f>
        <v>0</v>
      </c>
      <c r="BK8" s="133">
        <f t="shared" ref="BK8:BK9" si="32">IF(BU8=1,40000,0)</f>
        <v>0</v>
      </c>
      <c r="BL8" s="133">
        <f t="shared" si="10"/>
        <v>0</v>
      </c>
      <c r="BM8" s="139" t="e">
        <f t="shared" ref="BM8:BM9" si="33">AJ8-AT8-AZ8-BK8-BL8-BN8-BO8-BP8</f>
        <v>#VALUE!</v>
      </c>
      <c r="BN8" s="136">
        <f>IFERROR(VLOOKUP(B8,'[20]Benefit tính thuế'!$B$2:$H$5,7,0),0)</f>
        <v>1250000</v>
      </c>
      <c r="BO8" s="139">
        <v>0</v>
      </c>
      <c r="BP8" s="139">
        <v>0</v>
      </c>
      <c r="BQ8" s="140">
        <f t="shared" ref="BQ8:BQ9" si="34">AN8+AP8+AU8</f>
        <v>16220000</v>
      </c>
      <c r="BR8" s="140" t="e">
        <f t="shared" ref="BR8:BR9" si="35">+AZ8+AT8</f>
        <v>#VALUE!</v>
      </c>
      <c r="BS8" s="157">
        <v>0</v>
      </c>
      <c r="BT8" s="157">
        <v>0</v>
      </c>
      <c r="BU8" s="157">
        <v>0</v>
      </c>
      <c r="BV8" s="157">
        <v>0</v>
      </c>
      <c r="BW8" s="140">
        <v>20</v>
      </c>
      <c r="BX8" s="106"/>
      <c r="BY8" s="142"/>
    </row>
    <row r="9" spans="1:78" s="141" customFormat="1" ht="22.5" customHeight="1">
      <c r="A9" s="123">
        <v>3</v>
      </c>
      <c r="B9" s="123" t="s">
        <v>169</v>
      </c>
      <c r="C9" s="123"/>
      <c r="D9" s="156" t="s">
        <v>204</v>
      </c>
      <c r="E9" s="155">
        <v>45740</v>
      </c>
      <c r="F9" s="124" t="s">
        <v>179</v>
      </c>
      <c r="G9" s="125" t="s">
        <v>67</v>
      </c>
      <c r="H9" s="126" t="s">
        <v>23</v>
      </c>
      <c r="I9" s="126" t="s">
        <v>79</v>
      </c>
      <c r="J9" s="127">
        <v>8500000</v>
      </c>
      <c r="K9" s="127">
        <v>5310000</v>
      </c>
      <c r="L9" s="127">
        <f t="shared" si="0"/>
        <v>3190000</v>
      </c>
      <c r="M9" s="127">
        <v>26</v>
      </c>
      <c r="N9" s="191">
        <f>IFERROR(VLOOKUP(B9,' TimeTB 1'!$B$4:$AT$5,5,0),0)</f>
        <v>2</v>
      </c>
      <c r="O9" s="191">
        <f>VLOOKUP(B9,'TimeTB 2'!$B$4:$O$11,14,0)</f>
        <v>26</v>
      </c>
      <c r="P9" s="129">
        <f t="shared" si="11"/>
        <v>408462</v>
      </c>
      <c r="Q9" s="129">
        <f t="shared" si="1"/>
        <v>5310000</v>
      </c>
      <c r="R9" s="130">
        <f t="shared" si="2"/>
        <v>5718462</v>
      </c>
      <c r="S9" s="129">
        <f t="shared" si="3"/>
        <v>245385</v>
      </c>
      <c r="T9" s="129">
        <f t="shared" si="4"/>
        <v>3190000</v>
      </c>
      <c r="U9" s="130">
        <f t="shared" si="5"/>
        <v>3435385</v>
      </c>
      <c r="V9" s="127">
        <v>0</v>
      </c>
      <c r="W9" s="127">
        <v>0</v>
      </c>
      <c r="X9" s="127">
        <v>0</v>
      </c>
      <c r="Y9" s="127">
        <f>VLOOKUP(B9,'[20]PC cơm '!$B$7:$L$15,11,0)</f>
        <v>1120000</v>
      </c>
      <c r="Z9" s="130">
        <f t="shared" si="13"/>
        <v>1120000</v>
      </c>
      <c r="AA9" s="127">
        <f>VLOOKUP(B9,'[20]OT '!$B$7:$R$14,17,0)</f>
        <v>980769</v>
      </c>
      <c r="AB9" s="131">
        <f>VLOOKUP(B9,[20]NS!$B$9:$G$16,6,0)</f>
        <v>6130</v>
      </c>
      <c r="AC9" s="131">
        <v>0</v>
      </c>
      <c r="AD9" s="127">
        <v>0</v>
      </c>
      <c r="AE9" s="128">
        <v>0</v>
      </c>
      <c r="AF9" s="132">
        <f t="shared" si="6"/>
        <v>0</v>
      </c>
      <c r="AG9" s="132">
        <f>IFERROR(VLOOKUP(B9,[20]Incentive!$B$9:$H$11,7,0),0)</f>
        <v>0</v>
      </c>
      <c r="AH9" s="132" t="e">
        <f>SUMIF([20]Others!$B$8:$B$15,$B9,[20]Others!$F$8:$F$15)</f>
        <v>#VALUE!</v>
      </c>
      <c r="AI9" s="132">
        <v>0</v>
      </c>
      <c r="AJ9" s="127" t="e">
        <f t="shared" si="14"/>
        <v>#VALUE!</v>
      </c>
      <c r="AK9" s="127">
        <f>VLOOKUP(B9,'[20]OT '!$B$7:$T$14,19,0)</f>
        <v>0</v>
      </c>
      <c r="AL9" s="131">
        <f>VLOOKUP(B9,[20]NS!$B$9:$I$16,8,0)</f>
        <v>0</v>
      </c>
      <c r="AM9" s="131">
        <f t="shared" si="15"/>
        <v>0</v>
      </c>
      <c r="AN9" s="133">
        <f t="shared" si="12"/>
        <v>0</v>
      </c>
      <c r="AO9" s="128">
        <v>0</v>
      </c>
      <c r="AP9" s="133">
        <f t="shared" si="16"/>
        <v>0</v>
      </c>
      <c r="AQ9" s="133">
        <f t="shared" si="17"/>
        <v>0</v>
      </c>
      <c r="AR9" s="133">
        <f t="shared" si="18"/>
        <v>0</v>
      </c>
      <c r="AS9" s="133">
        <f t="shared" si="19"/>
        <v>0</v>
      </c>
      <c r="AT9" s="134">
        <f t="shared" si="20"/>
        <v>0</v>
      </c>
      <c r="AU9" s="135">
        <f t="shared" si="21"/>
        <v>0</v>
      </c>
      <c r="AV9" s="136" t="e">
        <f t="shared" si="22"/>
        <v>#VALUE!</v>
      </c>
      <c r="AW9" s="136" t="e">
        <f t="shared" si="23"/>
        <v>#VALUE!</v>
      </c>
      <c r="AX9" s="137">
        <f t="shared" si="7"/>
        <v>0.1</v>
      </c>
      <c r="AY9" s="158">
        <f>IF(BT9=1,0,IF(AW9&gt;80000000,9850000,IF(AW9&gt;52000000,5850000,IF(AW9&gt;32000000,3250000,IF(AW9&gt;18000000,1650000,IF(AW9&gt;10000000,750000,IF(AW9&gt;5000000,250000,0)))))))</f>
        <v>0</v>
      </c>
      <c r="AZ9" s="138" t="e">
        <f t="shared" si="25"/>
        <v>#VALUE!</v>
      </c>
      <c r="BA9" s="127">
        <f t="shared" si="26"/>
        <v>0</v>
      </c>
      <c r="BB9" s="127">
        <f t="shared" si="27"/>
        <v>0</v>
      </c>
      <c r="BC9" s="127">
        <f t="shared" si="28"/>
        <v>0</v>
      </c>
      <c r="BD9" s="127">
        <f t="shared" si="29"/>
        <v>0</v>
      </c>
      <c r="BE9" s="127">
        <f t="shared" si="30"/>
        <v>0</v>
      </c>
      <c r="BF9" s="133">
        <f t="shared" si="8"/>
        <v>0</v>
      </c>
      <c r="BG9" s="133">
        <f t="shared" si="9"/>
        <v>0</v>
      </c>
      <c r="BH9" s="133">
        <v>0</v>
      </c>
      <c r="BI9" s="133">
        <v>0</v>
      </c>
      <c r="BJ9" s="133">
        <f t="shared" si="31"/>
        <v>0</v>
      </c>
      <c r="BK9" s="133">
        <f t="shared" si="32"/>
        <v>0</v>
      </c>
      <c r="BL9" s="133">
        <f t="shared" si="10"/>
        <v>0</v>
      </c>
      <c r="BM9" s="139" t="e">
        <f t="shared" si="33"/>
        <v>#VALUE!</v>
      </c>
      <c r="BN9" s="136">
        <f>IFERROR(VLOOKUP(B9,'[20]Benefit tính thuế'!$B$2:$H$5,7,0),0)</f>
        <v>0</v>
      </c>
      <c r="BO9" s="139">
        <v>0</v>
      </c>
      <c r="BP9" s="139">
        <v>0</v>
      </c>
      <c r="BQ9" s="140">
        <f t="shared" si="34"/>
        <v>0</v>
      </c>
      <c r="BR9" s="140" t="e">
        <f t="shared" si="35"/>
        <v>#VALUE!</v>
      </c>
      <c r="BS9" s="157">
        <v>0</v>
      </c>
      <c r="BT9" s="140">
        <v>1</v>
      </c>
      <c r="BU9" s="157">
        <v>0</v>
      </c>
      <c r="BV9" s="157">
        <v>0</v>
      </c>
      <c r="BW9" s="140">
        <v>20</v>
      </c>
      <c r="BX9" s="106"/>
      <c r="BY9" s="142"/>
    </row>
    <row r="10" spans="1:78" s="141" customFormat="1" ht="22.5" customHeight="1">
      <c r="A10" s="123">
        <v>1</v>
      </c>
      <c r="B10" s="123" t="s">
        <v>170</v>
      </c>
      <c r="C10" s="123"/>
      <c r="D10" s="145" t="s">
        <v>205</v>
      </c>
      <c r="E10" s="124" t="s">
        <v>89</v>
      </c>
      <c r="F10" s="124" t="s">
        <v>174</v>
      </c>
      <c r="G10" s="125" t="s">
        <v>166</v>
      </c>
      <c r="H10" s="126" t="s">
        <v>22</v>
      </c>
      <c r="I10" s="298" t="s">
        <v>123</v>
      </c>
      <c r="J10" s="127">
        <v>7056000</v>
      </c>
      <c r="K10" s="127">
        <v>5310000</v>
      </c>
      <c r="L10" s="127">
        <f t="shared" si="0"/>
        <v>1746000</v>
      </c>
      <c r="M10" s="127">
        <v>26</v>
      </c>
      <c r="N10" s="191">
        <f>IFERROR(VLOOKUP(B10,' TimeTB 1'!$B$4:$AT$5,5,0),0)</f>
        <v>0</v>
      </c>
      <c r="O10" s="191">
        <f>VLOOKUP(B10,'TimeTB 2'!$B$4:$O$11,14,0)</f>
        <v>26</v>
      </c>
      <c r="P10" s="129">
        <f t="shared" si="11"/>
        <v>0</v>
      </c>
      <c r="Q10" s="129">
        <f t="shared" si="1"/>
        <v>5310000</v>
      </c>
      <c r="R10" s="130">
        <f t="shared" si="2"/>
        <v>5310000</v>
      </c>
      <c r="S10" s="129">
        <f t="shared" si="3"/>
        <v>0</v>
      </c>
      <c r="T10" s="129">
        <f t="shared" si="4"/>
        <v>1746000</v>
      </c>
      <c r="U10" s="130">
        <f t="shared" si="5"/>
        <v>1746000</v>
      </c>
      <c r="V10" s="127">
        <v>0</v>
      </c>
      <c r="W10" s="127">
        <v>0</v>
      </c>
      <c r="X10" s="127">
        <v>0</v>
      </c>
      <c r="Y10" s="127">
        <f>VLOOKUP(B10,'[20]PC cơm '!$B$7:$L$15,11,0)</f>
        <v>1120000</v>
      </c>
      <c r="Z10" s="130">
        <f>SUM(V10:Y10)</f>
        <v>1120000</v>
      </c>
      <c r="AA10" s="127">
        <f>VLOOKUP(B10,'[20]OT '!$B$7:$R$14,17,0)</f>
        <v>1596081</v>
      </c>
      <c r="AB10" s="131">
        <f>VLOOKUP(B10,[20]NS!$B$9:$G$16,6,0)</f>
        <v>10177</v>
      </c>
      <c r="AC10" s="131">
        <v>0</v>
      </c>
      <c r="AD10" s="127">
        <v>0</v>
      </c>
      <c r="AE10" s="128">
        <v>0</v>
      </c>
      <c r="AF10" s="132">
        <f t="shared" si="6"/>
        <v>0</v>
      </c>
      <c r="AG10" s="132">
        <f>IFERROR(VLOOKUP(B10,[20]Incentive!$B$9:$H$11,7,0),0)</f>
        <v>2000000</v>
      </c>
      <c r="AH10" s="132" t="e">
        <f>SUMIF([20]Others!$B$8:$B$15,$B10,[20]Others!$F$8:$F$15)</f>
        <v>#VALUE!</v>
      </c>
      <c r="AI10" s="132">
        <v>0</v>
      </c>
      <c r="AJ10" s="127" t="e">
        <f>AI10+AH10+AG10+AF10+AD10+AC10+AB10+AA10+Z10+U10+R10+BN10</f>
        <v>#VALUE!</v>
      </c>
      <c r="AK10" s="127">
        <f>VLOOKUP(B10,'[20]OT '!$B$7:$T$14,19,0)</f>
        <v>985466</v>
      </c>
      <c r="AL10" s="131">
        <f>VLOOKUP(B10,[20]NS!$B$9:$I$16,8,0)</f>
        <v>10177</v>
      </c>
      <c r="AM10" s="131">
        <f>AI10</f>
        <v>0</v>
      </c>
      <c r="AN10" s="133">
        <f t="shared" si="12"/>
        <v>15500000</v>
      </c>
      <c r="AO10" s="128">
        <v>0</v>
      </c>
      <c r="AP10" s="133">
        <f>AO10*$AP$3</f>
        <v>0</v>
      </c>
      <c r="AQ10" s="133">
        <f>BF10*$AQ$3</f>
        <v>424800</v>
      </c>
      <c r="AR10" s="133">
        <f>BF10*$AR$3</f>
        <v>79650</v>
      </c>
      <c r="AS10" s="133">
        <f>BG10*$AS$3</f>
        <v>53100</v>
      </c>
      <c r="AT10" s="134">
        <f>+AS10+AR10+AQ10</f>
        <v>557550</v>
      </c>
      <c r="AU10" s="135">
        <f>IF(BT10=1,0,MIN(Y10,730000))</f>
        <v>730000</v>
      </c>
      <c r="AV10" s="136" t="e">
        <f>AJ10-AK10-AL10-AM10-AU10</f>
        <v>#VALUE!</v>
      </c>
      <c r="AW10" s="136" t="e">
        <f>MAX(AV10-AN10-AP10-AT10,0)</f>
        <v>#VALUE!</v>
      </c>
      <c r="AX10" s="137" t="e">
        <f t="shared" si="7"/>
        <v>#VALUE!</v>
      </c>
      <c r="AY10" s="158" t="e">
        <f>IF(BT10=1,0,IF(AW10&gt;80000000,9850000,IF(AW10&gt;52000000,5850000,IF(AW10&gt;32000000,3250000,IF(AW10&gt;18000000,1650000,IF(AW10&gt;10000000,750000,IF(AW10&gt;5000000,250000,0)))))))</f>
        <v>#VALUE!</v>
      </c>
      <c r="AZ10" s="138" t="e">
        <f>ROUND(AW10*AX10-AY10,0)</f>
        <v>#VALUE!</v>
      </c>
      <c r="BA10" s="127">
        <f>BF10*$BA$3</f>
        <v>902700.00000000012</v>
      </c>
      <c r="BB10" s="127">
        <f>BF10*$BB$3</f>
        <v>159300</v>
      </c>
      <c r="BC10" s="127">
        <f>BG10*$BC$3</f>
        <v>53100</v>
      </c>
      <c r="BD10" s="127">
        <f>BG10*$BD$3</f>
        <v>26550</v>
      </c>
      <c r="BE10" s="127">
        <f>SUM(BA10:BD10)</f>
        <v>1141650</v>
      </c>
      <c r="BF10" s="133">
        <f t="shared" si="8"/>
        <v>5310000</v>
      </c>
      <c r="BG10" s="133">
        <f t="shared" si="9"/>
        <v>5310000</v>
      </c>
      <c r="BH10" s="133">
        <v>0</v>
      </c>
      <c r="BI10" s="133">
        <v>0</v>
      </c>
      <c r="BJ10" s="133">
        <f>IF(BS10=1,BF10*2%,0)</f>
        <v>106200</v>
      </c>
      <c r="BK10" s="133">
        <f>IF(BU10=1,40000,0)</f>
        <v>40000</v>
      </c>
      <c r="BL10" s="133">
        <f t="shared" si="10"/>
        <v>100000</v>
      </c>
      <c r="BM10" s="139" t="e">
        <f>AJ10-AT10-AZ10-BK10-BL10-BN10-BO10-BP10</f>
        <v>#VALUE!</v>
      </c>
      <c r="BN10" s="136">
        <f>IFERROR(VLOOKUP(B10,'[20]Benefit tính thuế'!$B$2:$H$5,7,0),0)</f>
        <v>0</v>
      </c>
      <c r="BO10" s="139">
        <v>0</v>
      </c>
      <c r="BP10" s="139">
        <v>0</v>
      </c>
      <c r="BQ10" s="140">
        <f>AN10+AP10+AU10</f>
        <v>16230000</v>
      </c>
      <c r="BR10" s="140" t="e">
        <f>+AZ10+AT10</f>
        <v>#VALUE!</v>
      </c>
      <c r="BS10" s="140">
        <v>1</v>
      </c>
      <c r="BT10" s="157">
        <v>0</v>
      </c>
      <c r="BU10" s="140">
        <v>1</v>
      </c>
      <c r="BV10" s="140">
        <v>1</v>
      </c>
      <c r="BW10" s="140">
        <v>20</v>
      </c>
      <c r="BX10" s="106"/>
      <c r="BY10" s="142"/>
    </row>
    <row r="11" spans="1:78" s="141" customFormat="1" ht="22.5" customHeight="1">
      <c r="A11" s="123">
        <v>1</v>
      </c>
      <c r="B11" s="123" t="s">
        <v>171</v>
      </c>
      <c r="C11" s="123"/>
      <c r="D11" s="145" t="s">
        <v>206</v>
      </c>
      <c r="E11" s="124" t="s">
        <v>91</v>
      </c>
      <c r="F11" s="124" t="s">
        <v>175</v>
      </c>
      <c r="G11" s="125" t="s">
        <v>21</v>
      </c>
      <c r="H11" s="126" t="s">
        <v>23</v>
      </c>
      <c r="I11" s="298" t="s">
        <v>84</v>
      </c>
      <c r="J11" s="127">
        <v>6841000</v>
      </c>
      <c r="K11" s="127">
        <v>5310000</v>
      </c>
      <c r="L11" s="127">
        <f t="shared" si="0"/>
        <v>1531000</v>
      </c>
      <c r="M11" s="127">
        <v>26</v>
      </c>
      <c r="N11" s="191">
        <f>IFERROR(VLOOKUP(B11,' TimeTB 1'!$B$4:$AT$5,5,0),0)</f>
        <v>0</v>
      </c>
      <c r="O11" s="191">
        <f>VLOOKUP(B11,'TimeTB 2'!$B$4:$O$11,14,0)</f>
        <v>26</v>
      </c>
      <c r="P11" s="129">
        <f t="shared" si="11"/>
        <v>0</v>
      </c>
      <c r="Q11" s="129">
        <f t="shared" si="1"/>
        <v>5310000</v>
      </c>
      <c r="R11" s="130">
        <f t="shared" si="2"/>
        <v>5310000</v>
      </c>
      <c r="S11" s="129">
        <f t="shared" si="3"/>
        <v>0</v>
      </c>
      <c r="T11" s="129">
        <f t="shared" si="4"/>
        <v>1531000</v>
      </c>
      <c r="U11" s="130">
        <f t="shared" si="5"/>
        <v>1531000</v>
      </c>
      <c r="V11" s="127">
        <v>0</v>
      </c>
      <c r="W11" s="127">
        <v>0</v>
      </c>
      <c r="X11" s="127">
        <v>0</v>
      </c>
      <c r="Y11" s="127">
        <f>VLOOKUP(B11,'[20]PC cơm '!$B$7:$L$15,11,0)</f>
        <v>960000</v>
      </c>
      <c r="Z11" s="130">
        <f>SUM(V11:Y11)</f>
        <v>960000</v>
      </c>
      <c r="AA11" s="127">
        <f>VLOOKUP(B11,'[20]OT '!$B$7:$R$14,17,0)</f>
        <v>0</v>
      </c>
      <c r="AB11" s="131">
        <f>VLOOKUP(B11,[20]NS!$B$9:$G$16,6,0)</f>
        <v>49334</v>
      </c>
      <c r="AC11" s="131">
        <v>0</v>
      </c>
      <c r="AD11" s="127">
        <v>0</v>
      </c>
      <c r="AE11" s="128">
        <v>0</v>
      </c>
      <c r="AF11" s="132">
        <f t="shared" si="6"/>
        <v>0</v>
      </c>
      <c r="AG11" s="132">
        <f>IFERROR(VLOOKUP(B11,[20]Incentive!$B$9:$H$11,7,0),0)</f>
        <v>2600000</v>
      </c>
      <c r="AH11" s="132" t="e">
        <f>SUMIF([20]Others!$B$8:$B$15,$B11,[20]Others!$F$8:$F$15)</f>
        <v>#VALUE!</v>
      </c>
      <c r="AI11" s="132">
        <v>0</v>
      </c>
      <c r="AJ11" s="127" t="e">
        <f>AI11+AH11+AG11+AF11+AD11+AC11+AB11+AA11+Z11+U11+R11+BN11</f>
        <v>#VALUE!</v>
      </c>
      <c r="AK11" s="127">
        <f>VLOOKUP(B11,'[20]OT '!$B$7:$T$14,19,0)</f>
        <v>0</v>
      </c>
      <c r="AL11" s="131">
        <f>VLOOKUP(B11,[20]NS!$B$9:$I$16,8,0)</f>
        <v>49334</v>
      </c>
      <c r="AM11" s="131">
        <f>AI11</f>
        <v>0</v>
      </c>
      <c r="AN11" s="133">
        <f t="shared" si="12"/>
        <v>15500000</v>
      </c>
      <c r="AO11" s="128">
        <v>0</v>
      </c>
      <c r="AP11" s="133">
        <f>AO11*$AP$3</f>
        <v>0</v>
      </c>
      <c r="AQ11" s="133">
        <f>BF11*$AQ$3</f>
        <v>424800</v>
      </c>
      <c r="AR11" s="133">
        <f>BF11*$AR$3</f>
        <v>79650</v>
      </c>
      <c r="AS11" s="133">
        <f>BG11*$AS$3</f>
        <v>53100</v>
      </c>
      <c r="AT11" s="134">
        <f>+AS11+AR11+AQ11</f>
        <v>557550</v>
      </c>
      <c r="AU11" s="135">
        <f>IF(BT11=1,0,MIN(Y11,730000))</f>
        <v>730000</v>
      </c>
      <c r="AV11" s="136" t="e">
        <f>AJ11-AK11-AL11-AM11-AU11</f>
        <v>#VALUE!</v>
      </c>
      <c r="AW11" s="136" t="e">
        <f>MAX(AV11-AN11-AP11-AT11,0)</f>
        <v>#VALUE!</v>
      </c>
      <c r="AX11" s="137" t="e">
        <f t="shared" si="7"/>
        <v>#VALUE!</v>
      </c>
      <c r="AY11" s="158" t="e">
        <f>IF(BT11=1,0,IF(AW11&gt;80000000,9850000,IF(AW11&gt;52000000,5850000,IF(AW11&gt;32000000,3250000,IF(AW11&gt;18000000,1650000,IF(AW11&gt;10000000,750000,IF(AW11&gt;5000000,250000,0)))))))</f>
        <v>#VALUE!</v>
      </c>
      <c r="AZ11" s="138" t="e">
        <f>ROUND(AW11*AX11-AY11,0)</f>
        <v>#VALUE!</v>
      </c>
      <c r="BA11" s="127">
        <f>BF11*$BA$3</f>
        <v>902700.00000000012</v>
      </c>
      <c r="BB11" s="127">
        <f>BF11*$BB$3</f>
        <v>159300</v>
      </c>
      <c r="BC11" s="127">
        <f>BG11*$BC$3</f>
        <v>53100</v>
      </c>
      <c r="BD11" s="127">
        <f>BG11*$BD$3</f>
        <v>26550</v>
      </c>
      <c r="BE11" s="127">
        <f>SUM(BA11:BD11)</f>
        <v>1141650</v>
      </c>
      <c r="BF11" s="133">
        <f t="shared" si="8"/>
        <v>5310000</v>
      </c>
      <c r="BG11" s="133">
        <f t="shared" si="9"/>
        <v>5310000</v>
      </c>
      <c r="BH11" s="133">
        <v>0</v>
      </c>
      <c r="BI11" s="133">
        <v>0</v>
      </c>
      <c r="BJ11" s="133">
        <f>IF(BS11=1,BF11*2%,0)</f>
        <v>106200</v>
      </c>
      <c r="BK11" s="133">
        <f>IF(BU11=1,40000,0)</f>
        <v>40000</v>
      </c>
      <c r="BL11" s="133">
        <f t="shared" si="10"/>
        <v>0</v>
      </c>
      <c r="BM11" s="139" t="e">
        <f>AJ11-AT11-AZ11-BK11-BL11-BN11-BO11-BP11</f>
        <v>#VALUE!</v>
      </c>
      <c r="BN11" s="136">
        <f>IFERROR(VLOOKUP(B11,'[20]Benefit tính thuế'!$B$2:$H$5,7,0),0)</f>
        <v>0</v>
      </c>
      <c r="BO11" s="139">
        <v>0</v>
      </c>
      <c r="BP11" s="139">
        <v>0</v>
      </c>
      <c r="BQ11" s="140">
        <f>AN11+AP11+AU11</f>
        <v>16230000</v>
      </c>
      <c r="BR11" s="140" t="e">
        <f>+AZ11+AT11</f>
        <v>#VALUE!</v>
      </c>
      <c r="BS11" s="140">
        <v>1</v>
      </c>
      <c r="BT11" s="157">
        <v>0</v>
      </c>
      <c r="BU11" s="140">
        <v>1</v>
      </c>
      <c r="BV11" s="157">
        <v>0</v>
      </c>
      <c r="BW11" s="140">
        <v>20</v>
      </c>
      <c r="BX11" s="106"/>
      <c r="BY11" s="142"/>
    </row>
    <row r="12" spans="1:78" s="141" customFormat="1" ht="22.5" customHeight="1">
      <c r="A12" s="123">
        <v>1</v>
      </c>
      <c r="B12" s="123" t="s">
        <v>192</v>
      </c>
      <c r="C12" s="123"/>
      <c r="D12" s="154" t="s">
        <v>208</v>
      </c>
      <c r="E12" s="155">
        <v>45738</v>
      </c>
      <c r="F12" s="124" t="s">
        <v>176</v>
      </c>
      <c r="G12" s="125" t="s">
        <v>58</v>
      </c>
      <c r="H12" s="126" t="s">
        <v>23</v>
      </c>
      <c r="I12" s="126" t="s">
        <v>107</v>
      </c>
      <c r="J12" s="127">
        <v>11000000</v>
      </c>
      <c r="K12" s="127">
        <v>5800000</v>
      </c>
      <c r="L12" s="127">
        <f t="shared" si="0"/>
        <v>5200000</v>
      </c>
      <c r="M12" s="127">
        <v>26</v>
      </c>
      <c r="N12" s="191">
        <f>IFERROR(VLOOKUP(B12,' TimeTB 1'!$B$4:$AT$5,5,0),0)</f>
        <v>4</v>
      </c>
      <c r="O12" s="191">
        <f>VLOOKUP(B12,'TimeTB 2'!$B$4:$O$11,14,0)</f>
        <v>26</v>
      </c>
      <c r="P12" s="129">
        <f t="shared" si="11"/>
        <v>892308</v>
      </c>
      <c r="Q12" s="129">
        <f t="shared" si="1"/>
        <v>5800000</v>
      </c>
      <c r="R12" s="130">
        <f>SUM(P12:Q12)</f>
        <v>6692308</v>
      </c>
      <c r="S12" s="129">
        <f t="shared" si="3"/>
        <v>800000</v>
      </c>
      <c r="T12" s="129">
        <f t="shared" si="4"/>
        <v>5200000</v>
      </c>
      <c r="U12" s="130">
        <f t="shared" si="5"/>
        <v>6000000</v>
      </c>
      <c r="V12" s="127">
        <v>0</v>
      </c>
      <c r="W12" s="127">
        <v>0</v>
      </c>
      <c r="X12" s="127">
        <v>0</v>
      </c>
      <c r="Y12" s="127">
        <f>VLOOKUP(B12,'[20]PC cơm '!$B$7:$L$15,11,0)</f>
        <v>1120000</v>
      </c>
      <c r="Z12" s="130">
        <f>SUM(V12:Y12)</f>
        <v>1120000</v>
      </c>
      <c r="AA12" s="127">
        <f>VLOOKUP(B12,'[20]OT '!$B$7:$R$14,17,0)</f>
        <v>2488221</v>
      </c>
      <c r="AB12" s="131">
        <f>VLOOKUP(B12,[20]NS!$B$9:$G$16,6,0)</f>
        <v>95192</v>
      </c>
      <c r="AC12" s="131">
        <v>0</v>
      </c>
      <c r="AD12" s="127">
        <v>0</v>
      </c>
      <c r="AE12" s="128">
        <v>0</v>
      </c>
      <c r="AF12" s="132">
        <f t="shared" si="6"/>
        <v>0</v>
      </c>
      <c r="AG12" s="132">
        <f>IFERROR(VLOOKUP(B12,[20]Incentive!$B$9:$H$11,7,0),0)</f>
        <v>5610000</v>
      </c>
      <c r="AH12" s="132" t="e">
        <f>SUMIF([20]Others!$B$8:$B$15,$B12,[20]Others!$F$8:$F$15)</f>
        <v>#VALUE!</v>
      </c>
      <c r="AI12" s="132">
        <v>0</v>
      </c>
      <c r="AJ12" s="127" t="e">
        <f>AI12+AH12+AG12+AF12+AD12+AC12+AB12+AA12+Z12+U12+R12+BN12</f>
        <v>#VALUE!</v>
      </c>
      <c r="AK12" s="127">
        <f>VLOOKUP(B12,'[20]OT '!$B$7:$T$14,19,0)</f>
        <v>0</v>
      </c>
      <c r="AL12" s="131">
        <f>VLOOKUP(B12,[20]NS!$B$9:$I$16,8,0)</f>
        <v>0</v>
      </c>
      <c r="AM12" s="131">
        <f>AI12</f>
        <v>0</v>
      </c>
      <c r="AN12" s="127">
        <f>IF(BT12=1,0,11000000)</f>
        <v>0</v>
      </c>
      <c r="AO12" s="128">
        <v>0</v>
      </c>
      <c r="AP12" s="133">
        <f>AO12*$AP$3</f>
        <v>0</v>
      </c>
      <c r="AQ12" s="133">
        <f>BF12*$AQ$3</f>
        <v>0</v>
      </c>
      <c r="AR12" s="133">
        <f>BF12*$AR$3</f>
        <v>0</v>
      </c>
      <c r="AS12" s="133">
        <f>BG12*$AS$3</f>
        <v>0</v>
      </c>
      <c r="AT12" s="134">
        <f>+AS12+AR12+AQ12</f>
        <v>0</v>
      </c>
      <c r="AU12" s="135">
        <f>IF(BT12=1,0,MIN(Y12,730000))</f>
        <v>0</v>
      </c>
      <c r="AV12" s="136" t="e">
        <f t="shared" ref="AV12" si="36">AJ12-AK12-AL12-AM12-AU12</f>
        <v>#VALUE!</v>
      </c>
      <c r="AW12" s="136" t="e">
        <f>MAX(AV12-AN12-AP12-AT12,0)</f>
        <v>#VALUE!</v>
      </c>
      <c r="AX12" s="137">
        <f t="shared" si="7"/>
        <v>0.1</v>
      </c>
      <c r="AY12" s="158">
        <f>IF(BT12=1,0,IF(AW12&gt;80000000,9850000,IF(AW12&gt;52000000,5850000,IF(AW12&gt;32000000,3250000,IF(AW12&gt;18000000,1650000,IF(AW12&gt;10000000,750000,IF(AW12&gt;5000000,250000,0)))))))</f>
        <v>0</v>
      </c>
      <c r="AZ12" s="138" t="e">
        <f>ROUND(AW12*AX12-AY12,0)</f>
        <v>#VALUE!</v>
      </c>
      <c r="BA12" s="127">
        <f>BF12*$BA$3</f>
        <v>0</v>
      </c>
      <c r="BB12" s="127">
        <f>BF12*$BB$3</f>
        <v>0</v>
      </c>
      <c r="BC12" s="127">
        <f>BG12*$BC$3</f>
        <v>0</v>
      </c>
      <c r="BD12" s="127">
        <f>BG12*$BD$3</f>
        <v>0</v>
      </c>
      <c r="BE12" s="127">
        <f>SUM(BA12:BD12)</f>
        <v>0</v>
      </c>
      <c r="BF12" s="133">
        <f t="shared" si="8"/>
        <v>0</v>
      </c>
      <c r="BG12" s="133">
        <f t="shared" si="9"/>
        <v>0</v>
      </c>
      <c r="BH12" s="133">
        <v>0</v>
      </c>
      <c r="BI12" s="133">
        <v>0</v>
      </c>
      <c r="BJ12" s="133">
        <f>IF(BS12=1,BF12*2%,0)</f>
        <v>0</v>
      </c>
      <c r="BK12" s="133">
        <f>IF(BU12=1,40000,0)</f>
        <v>0</v>
      </c>
      <c r="BL12" s="133">
        <f t="shared" si="10"/>
        <v>0</v>
      </c>
      <c r="BM12" s="139" t="e">
        <f>AJ12-AT12-AZ12-BK12-BL12-BN12-BO12-BP12</f>
        <v>#VALUE!</v>
      </c>
      <c r="BN12" s="136">
        <f>IFERROR(VLOOKUP(B12,'[20]Benefit tính thuế'!$B$2:$H$5,7,0),0)</f>
        <v>0</v>
      </c>
      <c r="BO12" s="139">
        <v>0</v>
      </c>
      <c r="BP12" s="139">
        <v>0</v>
      </c>
      <c r="BQ12" s="140">
        <f>AN12+AP12+AU12</f>
        <v>0</v>
      </c>
      <c r="BR12" s="140" t="e">
        <f>+AZ12+AT12</f>
        <v>#VALUE!</v>
      </c>
      <c r="BS12" s="157">
        <v>0</v>
      </c>
      <c r="BT12" s="140">
        <v>1</v>
      </c>
      <c r="BU12" s="157">
        <v>0</v>
      </c>
      <c r="BV12" s="157">
        <v>0</v>
      </c>
      <c r="BW12" s="140">
        <v>20</v>
      </c>
      <c r="BX12" s="106"/>
      <c r="BY12" s="14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C26" sqref="C26"/>
    </sheetView>
  </sheetViews>
  <sheetFormatPr baseColWidth="10" defaultColWidth="9.1640625" defaultRowHeight="15"/>
  <cols>
    <col min="1" max="1" width="14.1640625" style="108" customWidth="1"/>
    <col min="2" max="2" width="27.5" style="108" customWidth="1"/>
    <col min="3" max="3" width="14.33203125" style="108" customWidth="1"/>
    <col min="4" max="4" width="21" style="108" customWidth="1"/>
    <col min="5" max="5" width="9.6640625" style="108" customWidth="1"/>
    <col min="6" max="6" width="10.1640625" style="108" customWidth="1"/>
    <col min="7" max="7" width="9.1640625" style="108" customWidth="1"/>
    <col min="8" max="8" width="15.6640625" style="108" customWidth="1"/>
    <col min="9" max="9" width="11.6640625" style="108" customWidth="1"/>
    <col min="10" max="10" width="15" style="108" customWidth="1"/>
    <col min="11" max="11" width="15.1640625" style="108" customWidth="1"/>
    <col min="12" max="12" width="17.83203125" style="108" customWidth="1"/>
    <col min="13" max="16384" width="9.1640625" style="108"/>
  </cols>
  <sheetData>
    <row r="1" spans="1:12" s="161" customFormat="1" ht="63.75" customHeight="1">
      <c r="A1" s="348" t="s">
        <v>27</v>
      </c>
      <c r="B1" s="350" t="s">
        <v>11</v>
      </c>
      <c r="C1" s="350" t="s">
        <v>209</v>
      </c>
      <c r="D1" s="350" t="s">
        <v>210</v>
      </c>
      <c r="E1" s="352" t="s">
        <v>211</v>
      </c>
      <c r="F1" s="353" t="s">
        <v>212</v>
      </c>
      <c r="G1" s="353" t="s">
        <v>213</v>
      </c>
      <c r="H1" s="160" t="s">
        <v>214</v>
      </c>
      <c r="I1" s="160" t="s">
        <v>215</v>
      </c>
      <c r="J1" s="160" t="s">
        <v>216</v>
      </c>
      <c r="K1" s="355" t="s">
        <v>217</v>
      </c>
      <c r="L1" s="346" t="s">
        <v>218</v>
      </c>
    </row>
    <row r="2" spans="1:12" s="161" customFormat="1" ht="15.75" customHeight="1">
      <c r="A2" s="349"/>
      <c r="B2" s="351"/>
      <c r="C2" s="351"/>
      <c r="D2" s="351"/>
      <c r="E2" s="351"/>
      <c r="F2" s="354"/>
      <c r="G2" s="354"/>
      <c r="H2" s="162">
        <v>40000</v>
      </c>
      <c r="I2" s="162">
        <v>40000</v>
      </c>
      <c r="J2" s="162">
        <v>80000</v>
      </c>
      <c r="K2" s="356"/>
      <c r="L2" s="347"/>
    </row>
    <row r="3" spans="1:12" ht="16">
      <c r="A3" s="109" t="s">
        <v>190</v>
      </c>
      <c r="B3" s="109" t="s">
        <v>201</v>
      </c>
      <c r="C3" s="153">
        <v>43466</v>
      </c>
      <c r="D3" s="113" t="s">
        <v>164</v>
      </c>
      <c r="E3" s="112">
        <f>VLOOKUP($A3,'TimeTB 2'!$B$4:$P$11,15,0)</f>
        <v>25</v>
      </c>
      <c r="F3" s="112">
        <f>VLOOKUP($A3,'TimeTB 2'!$B$4:$R$11,17,0)</f>
        <v>0</v>
      </c>
      <c r="G3" s="112">
        <f>VLOOKUP($A3,'TimeTB 2'!$B$4:$R$11,16,0)</f>
        <v>0</v>
      </c>
      <c r="H3" s="110">
        <f>E3*$H$2</f>
        <v>1000000</v>
      </c>
      <c r="I3" s="110">
        <f>F3*$I$2</f>
        <v>0</v>
      </c>
      <c r="J3" s="110">
        <f>G3*$J$2</f>
        <v>0</v>
      </c>
      <c r="K3" s="111">
        <f>SUM(H3:J3)</f>
        <v>1000000</v>
      </c>
      <c r="L3" s="109"/>
    </row>
    <row r="4" spans="1:12" ht="16">
      <c r="A4" s="109" t="s">
        <v>191</v>
      </c>
      <c r="B4" s="109" t="s">
        <v>202</v>
      </c>
      <c r="C4" s="153">
        <v>43831</v>
      </c>
      <c r="D4" s="113" t="s">
        <v>165</v>
      </c>
      <c r="E4" s="112">
        <f>VLOOKUP($A4,'TimeTB 2'!$B$4:$P$11,15,0)</f>
        <v>26</v>
      </c>
      <c r="F4" s="112">
        <f>VLOOKUP($A4,'TimeTB 2'!$B$4:$R$11,17,0)</f>
        <v>0</v>
      </c>
      <c r="G4" s="112">
        <f>VLOOKUP($A4,'TimeTB 2'!$B$4:$R$11,16,0)</f>
        <v>1</v>
      </c>
      <c r="H4" s="110">
        <f>E4*$H$2</f>
        <v>1040000</v>
      </c>
      <c r="I4" s="110">
        <f>F4*$I$2</f>
        <v>0</v>
      </c>
      <c r="J4" s="110">
        <f>G4*$J$2</f>
        <v>80000</v>
      </c>
      <c r="K4" s="111">
        <f t="shared" ref="K4:K10" si="0">SUM(H4:J4)</f>
        <v>1120000</v>
      </c>
      <c r="L4" s="109"/>
    </row>
    <row r="5" spans="1:12" ht="16">
      <c r="A5" s="109" t="s">
        <v>167</v>
      </c>
      <c r="B5" s="109" t="s">
        <v>203</v>
      </c>
      <c r="C5" s="153">
        <v>44197</v>
      </c>
      <c r="D5" s="113" t="s">
        <v>58</v>
      </c>
      <c r="E5" s="112">
        <f>VLOOKUP($A5,'TimeTB 2'!$B$4:$P$11,15,0)</f>
        <v>24</v>
      </c>
      <c r="F5" s="112">
        <f>VLOOKUP($A5,'TimeTB 2'!$B$4:$R$11,17,0)</f>
        <v>0</v>
      </c>
      <c r="G5" s="112">
        <f>VLOOKUP($A5,'TimeTB 2'!$B$4:$R$11,16,0)</f>
        <v>0</v>
      </c>
      <c r="H5" s="110">
        <f>E5*$H$2</f>
        <v>960000</v>
      </c>
      <c r="I5" s="110">
        <f>F5*$I$2</f>
        <v>0</v>
      </c>
      <c r="J5" s="110">
        <f t="shared" ref="J5:J10" si="1">G5*$J$2</f>
        <v>0</v>
      </c>
      <c r="K5" s="111">
        <f t="shared" si="0"/>
        <v>960000</v>
      </c>
      <c r="L5" s="109"/>
    </row>
    <row r="6" spans="1:12" ht="16">
      <c r="A6" s="109" t="s">
        <v>168</v>
      </c>
      <c r="B6" s="109" t="s">
        <v>204</v>
      </c>
      <c r="C6" s="153">
        <v>44562</v>
      </c>
      <c r="D6" s="113" t="s">
        <v>253</v>
      </c>
      <c r="E6" s="112">
        <f>VLOOKUP($A6,'TimeTB 2'!$B$4:$P$11,15,0)</f>
        <v>16</v>
      </c>
      <c r="F6" s="112">
        <f>VLOOKUP($A6,'TimeTB 2'!$B$4:$R$11,17,0)</f>
        <v>0</v>
      </c>
      <c r="G6" s="112">
        <f>VLOOKUP($A6,'TimeTB 2'!$B$4:$R$11,16,0)</f>
        <v>1</v>
      </c>
      <c r="H6" s="110">
        <f t="shared" ref="H6:H10" si="2">E6*$H$2</f>
        <v>640000</v>
      </c>
      <c r="I6" s="110">
        <f t="shared" ref="I6:I10" si="3">F6*$I$2</f>
        <v>0</v>
      </c>
      <c r="J6" s="110">
        <f t="shared" si="1"/>
        <v>80000</v>
      </c>
      <c r="K6" s="111">
        <f t="shared" si="0"/>
        <v>720000</v>
      </c>
      <c r="L6" s="109"/>
    </row>
    <row r="7" spans="1:12" ht="16">
      <c r="A7" s="109" t="s">
        <v>169</v>
      </c>
      <c r="B7" s="109" t="s">
        <v>205</v>
      </c>
      <c r="C7" s="153">
        <v>45740</v>
      </c>
      <c r="D7" s="113" t="s">
        <v>253</v>
      </c>
      <c r="E7" s="112">
        <f>VLOOKUP($A7,'TimeTB 2'!$B$4:$P$11,15,0)</f>
        <v>26</v>
      </c>
      <c r="F7" s="112">
        <f>VLOOKUP($A7,'TimeTB 2'!$B$4:$R$11,17,0)</f>
        <v>0</v>
      </c>
      <c r="G7" s="112">
        <f>VLOOKUP($A7,'TimeTB 2'!$B$4:$R$11,16,0)</f>
        <v>1</v>
      </c>
      <c r="H7" s="110">
        <f t="shared" si="2"/>
        <v>1040000</v>
      </c>
      <c r="I7" s="110">
        <f t="shared" si="3"/>
        <v>0</v>
      </c>
      <c r="J7" s="110">
        <f t="shared" si="1"/>
        <v>80000</v>
      </c>
      <c r="K7" s="111">
        <f t="shared" si="0"/>
        <v>1120000</v>
      </c>
      <c r="L7" s="109"/>
    </row>
    <row r="8" spans="1:12" ht="16">
      <c r="A8" s="109" t="s">
        <v>170</v>
      </c>
      <c r="B8" s="109" t="s">
        <v>206</v>
      </c>
      <c r="C8" s="153">
        <v>44927</v>
      </c>
      <c r="D8" s="113" t="s">
        <v>67</v>
      </c>
      <c r="E8" s="112">
        <f>VLOOKUP($A8,'TimeTB 2'!$B$4:$P$11,15,0)</f>
        <v>26</v>
      </c>
      <c r="F8" s="112">
        <f>VLOOKUP($A8,'TimeTB 2'!$B$4:$R$11,17,0)</f>
        <v>0</v>
      </c>
      <c r="G8" s="112">
        <f>VLOOKUP($A8,'TimeTB 2'!$B$4:$R$11,16,0)</f>
        <v>1</v>
      </c>
      <c r="H8" s="110">
        <f t="shared" si="2"/>
        <v>1040000</v>
      </c>
      <c r="I8" s="110">
        <f t="shared" si="3"/>
        <v>0</v>
      </c>
      <c r="J8" s="110">
        <f t="shared" si="1"/>
        <v>80000</v>
      </c>
      <c r="K8" s="111">
        <f t="shared" si="0"/>
        <v>1120000</v>
      </c>
      <c r="L8" s="109"/>
    </row>
    <row r="9" spans="1:12" ht="16">
      <c r="A9" s="109" t="s">
        <v>171</v>
      </c>
      <c r="B9" s="109" t="s">
        <v>207</v>
      </c>
      <c r="C9" s="153">
        <v>45292</v>
      </c>
      <c r="D9" s="113" t="s">
        <v>67</v>
      </c>
      <c r="E9" s="112">
        <f>VLOOKUP($A9,'TimeTB 2'!$B$4:$P$11,15,0)</f>
        <v>24</v>
      </c>
      <c r="F9" s="112">
        <f>VLOOKUP($A9,'TimeTB 2'!$B$4:$R$11,17,0)</f>
        <v>0</v>
      </c>
      <c r="G9" s="112">
        <f>VLOOKUP($A9,'TimeTB 2'!$B$4:$R$11,16,0)</f>
        <v>0</v>
      </c>
      <c r="H9" s="110">
        <f t="shared" si="2"/>
        <v>960000</v>
      </c>
      <c r="I9" s="110">
        <f t="shared" si="3"/>
        <v>0</v>
      </c>
      <c r="J9" s="110">
        <f t="shared" si="1"/>
        <v>0</v>
      </c>
      <c r="K9" s="111">
        <f t="shared" si="0"/>
        <v>960000</v>
      </c>
      <c r="L9" s="109"/>
    </row>
    <row r="10" spans="1:12" ht="16">
      <c r="A10" s="109" t="s">
        <v>192</v>
      </c>
      <c r="B10" s="109" t="s">
        <v>208</v>
      </c>
      <c r="C10" s="153">
        <v>45738</v>
      </c>
      <c r="D10" s="113" t="s">
        <v>58</v>
      </c>
      <c r="E10" s="112">
        <f>VLOOKUP($A10,'TimeTB 2'!$B$4:$P$11,15,0)</f>
        <v>26</v>
      </c>
      <c r="F10" s="112">
        <f>VLOOKUP($A10,'TimeTB 2'!$B$4:$R$11,17,0)</f>
        <v>0</v>
      </c>
      <c r="G10" s="112">
        <f>VLOOKUP($A10,'TimeTB 2'!$B$4:$R$11,16,0)</f>
        <v>1</v>
      </c>
      <c r="H10" s="110">
        <f t="shared" si="2"/>
        <v>1040000</v>
      </c>
      <c r="I10" s="110">
        <f t="shared" si="3"/>
        <v>0</v>
      </c>
      <c r="J10" s="110">
        <f t="shared" si="1"/>
        <v>80000</v>
      </c>
      <c r="K10" s="111">
        <f t="shared" si="0"/>
        <v>1120000</v>
      </c>
      <c r="L10" s="109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625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1"/>
  <sheetViews>
    <sheetView view="pageBreakPreview" zoomScale="130" zoomScaleNormal="85" zoomScaleSheetLayoutView="130" workbookViewId="0">
      <pane xSplit="3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M4" sqref="M4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213" customWidth="1" outlineLevel="1"/>
    <col min="7" max="7" width="21.5" customWidth="1" outlineLevel="1"/>
    <col min="8" max="8" width="12.5" style="211" customWidth="1" outlineLevel="1"/>
    <col min="9" max="10" width="8.5" customWidth="1"/>
    <col min="11" max="11" width="10.83203125" customWidth="1"/>
    <col min="12" max="12" width="11.5" style="214" customWidth="1"/>
    <col min="13" max="13" width="12.6640625" customWidth="1"/>
    <col min="14" max="14" width="7.1640625" customWidth="1"/>
    <col min="15" max="18" width="12.83203125" style="206" customWidth="1"/>
    <col min="19" max="19" width="12.6640625" customWidth="1"/>
    <col min="20" max="20" width="4.83203125" style="6" customWidth="1"/>
    <col min="21" max="21" width="3.5" style="6" customWidth="1"/>
    <col min="22" max="22" width="5.1640625" style="6" customWidth="1"/>
    <col min="23" max="23" width="3.6640625" style="6" customWidth="1"/>
    <col min="24" max="25" width="3.5" style="8" customWidth="1"/>
    <col min="26" max="26" width="3.6640625" style="8" customWidth="1"/>
    <col min="27" max="27" width="3.6640625" style="6" customWidth="1"/>
    <col min="28" max="28" width="4.1640625" style="6" customWidth="1"/>
    <col min="29" max="29" width="3.6640625" style="6" customWidth="1"/>
    <col min="30" max="30" width="4.5" style="6" customWidth="1"/>
    <col min="31" max="31" width="3.6640625" style="6" customWidth="1"/>
    <col min="32" max="32" width="4.33203125" style="6" customWidth="1"/>
    <col min="33" max="33" width="3.6640625" style="6" customWidth="1"/>
    <col min="34" max="34" width="4.5" style="6" customWidth="1"/>
    <col min="35" max="35" width="5.1640625" style="6" customWidth="1"/>
    <col min="36" max="36" width="4.33203125" style="6" customWidth="1"/>
    <col min="37" max="37" width="3.6640625" style="6" customWidth="1"/>
    <col min="38" max="38" width="5" style="6" customWidth="1"/>
    <col min="39" max="41" width="3.6640625" style="6" customWidth="1"/>
    <col min="42" max="42" width="4.33203125" style="6" customWidth="1"/>
    <col min="43" max="43" width="5.33203125" style="6" customWidth="1"/>
    <col min="44" max="44" width="3.6640625" style="6" customWidth="1"/>
    <col min="45" max="45" width="5" style="6" customWidth="1"/>
    <col min="46" max="46" width="3.6640625" style="6" customWidth="1"/>
    <col min="47" max="47" width="4.5" style="6" customWidth="1"/>
    <col min="48" max="50" width="4.6640625" style="6" customWidth="1"/>
    <col min="51" max="51" width="9.1640625" customWidth="1"/>
    <col min="52" max="52" width="22" customWidth="1"/>
  </cols>
  <sheetData>
    <row r="1" spans="1:50" ht="18.75" customHeight="1">
      <c r="B1" s="366" t="s">
        <v>27</v>
      </c>
      <c r="C1" s="366" t="s">
        <v>11</v>
      </c>
      <c r="D1" s="366" t="s">
        <v>59</v>
      </c>
      <c r="E1" s="366" t="s">
        <v>34</v>
      </c>
      <c r="F1" s="366" t="s">
        <v>77</v>
      </c>
      <c r="G1" s="366" t="s">
        <v>78</v>
      </c>
      <c r="H1" s="363" t="s">
        <v>53</v>
      </c>
      <c r="I1" s="369" t="s">
        <v>219</v>
      </c>
      <c r="J1" s="369" t="s">
        <v>220</v>
      </c>
      <c r="K1" s="369" t="s">
        <v>105</v>
      </c>
      <c r="L1" s="369" t="s">
        <v>221</v>
      </c>
      <c r="M1" s="369" t="s">
        <v>61</v>
      </c>
      <c r="N1" s="370" t="s">
        <v>222</v>
      </c>
      <c r="O1" s="369" t="s">
        <v>223</v>
      </c>
      <c r="P1" s="357" t="s">
        <v>224</v>
      </c>
      <c r="Q1" s="357" t="s">
        <v>225</v>
      </c>
      <c r="R1" s="357" t="s">
        <v>226</v>
      </c>
      <c r="S1" s="360" t="s">
        <v>227</v>
      </c>
      <c r="T1" s="371">
        <v>45742</v>
      </c>
      <c r="U1" s="372"/>
      <c r="V1" s="373"/>
      <c r="W1" s="374">
        <f>EOMONTH(T1,0)+1</f>
        <v>45748</v>
      </c>
      <c r="X1" s="375"/>
      <c r="Y1" s="375"/>
      <c r="Z1" s="375"/>
      <c r="AA1" s="375"/>
      <c r="AB1" s="375"/>
      <c r="AC1" s="375"/>
      <c r="AD1" s="375"/>
      <c r="AE1" s="375"/>
      <c r="AF1" s="375"/>
      <c r="AG1" s="375"/>
      <c r="AH1" s="375"/>
      <c r="AI1" s="375"/>
      <c r="AJ1" s="375"/>
      <c r="AK1" s="375"/>
      <c r="AL1" s="375"/>
      <c r="AM1" s="375"/>
      <c r="AN1" s="375"/>
      <c r="AO1" s="375"/>
      <c r="AP1" s="375"/>
      <c r="AQ1" s="375"/>
      <c r="AR1" s="375"/>
      <c r="AS1" s="375"/>
      <c r="AT1" s="375"/>
      <c r="AU1" s="375"/>
      <c r="AV1" s="375"/>
      <c r="AW1" s="375"/>
      <c r="AX1" s="376"/>
    </row>
    <row r="2" spans="1:50" ht="45.75" customHeight="1">
      <c r="B2" s="367"/>
      <c r="C2" s="367"/>
      <c r="D2" s="367"/>
      <c r="E2" s="367"/>
      <c r="F2" s="367"/>
      <c r="G2" s="367"/>
      <c r="H2" s="364"/>
      <c r="I2" s="358"/>
      <c r="J2" s="358"/>
      <c r="K2" s="358"/>
      <c r="L2" s="358"/>
      <c r="M2" s="358"/>
      <c r="N2" s="364"/>
      <c r="O2" s="358"/>
      <c r="P2" s="358"/>
      <c r="Q2" s="358"/>
      <c r="R2" s="358"/>
      <c r="S2" s="361"/>
      <c r="T2" s="258">
        <f>T1</f>
        <v>45742</v>
      </c>
      <c r="U2" s="258">
        <f t="shared" ref="U2:AX2" si="0">+T2+1</f>
        <v>45743</v>
      </c>
      <c r="V2" s="258">
        <f t="shared" si="0"/>
        <v>45744</v>
      </c>
      <c r="W2" s="258">
        <f t="shared" si="0"/>
        <v>45745</v>
      </c>
      <c r="X2" s="258">
        <f t="shared" si="0"/>
        <v>45746</v>
      </c>
      <c r="Y2" s="258">
        <f t="shared" si="0"/>
        <v>45747</v>
      </c>
      <c r="Z2" s="258">
        <f t="shared" si="0"/>
        <v>45748</v>
      </c>
      <c r="AA2" s="258">
        <f t="shared" si="0"/>
        <v>45749</v>
      </c>
      <c r="AB2" s="258">
        <f t="shared" si="0"/>
        <v>45750</v>
      </c>
      <c r="AC2" s="258">
        <f t="shared" si="0"/>
        <v>45751</v>
      </c>
      <c r="AD2" s="258">
        <f t="shared" si="0"/>
        <v>45752</v>
      </c>
      <c r="AE2" s="258">
        <f t="shared" si="0"/>
        <v>45753</v>
      </c>
      <c r="AF2" s="258">
        <f t="shared" si="0"/>
        <v>45754</v>
      </c>
      <c r="AG2" s="258">
        <f t="shared" si="0"/>
        <v>45755</v>
      </c>
      <c r="AH2" s="258">
        <f t="shared" si="0"/>
        <v>45756</v>
      </c>
      <c r="AI2" s="258">
        <f t="shared" si="0"/>
        <v>45757</v>
      </c>
      <c r="AJ2" s="258">
        <f t="shared" si="0"/>
        <v>45758</v>
      </c>
      <c r="AK2" s="258">
        <f t="shared" si="0"/>
        <v>45759</v>
      </c>
      <c r="AL2" s="258">
        <f t="shared" si="0"/>
        <v>45760</v>
      </c>
      <c r="AM2" s="258">
        <f t="shared" si="0"/>
        <v>45761</v>
      </c>
      <c r="AN2" s="258">
        <f t="shared" si="0"/>
        <v>45762</v>
      </c>
      <c r="AO2" s="258">
        <f t="shared" si="0"/>
        <v>45763</v>
      </c>
      <c r="AP2" s="258">
        <f t="shared" si="0"/>
        <v>45764</v>
      </c>
      <c r="AQ2" s="258">
        <f t="shared" si="0"/>
        <v>45765</v>
      </c>
      <c r="AR2" s="258">
        <f t="shared" si="0"/>
        <v>45766</v>
      </c>
      <c r="AS2" s="258">
        <f t="shared" si="0"/>
        <v>45767</v>
      </c>
      <c r="AT2" s="258">
        <f t="shared" si="0"/>
        <v>45768</v>
      </c>
      <c r="AU2" s="258">
        <f t="shared" si="0"/>
        <v>45769</v>
      </c>
      <c r="AV2" s="258">
        <f t="shared" si="0"/>
        <v>45770</v>
      </c>
      <c r="AW2" s="258">
        <f t="shared" si="0"/>
        <v>45771</v>
      </c>
      <c r="AX2" s="258">
        <f t="shared" si="0"/>
        <v>45772</v>
      </c>
    </row>
    <row r="3" spans="1:50" ht="46.5" customHeight="1">
      <c r="B3" s="368"/>
      <c r="C3" s="368"/>
      <c r="D3" s="368"/>
      <c r="E3" s="368"/>
      <c r="F3" s="368"/>
      <c r="G3" s="368"/>
      <c r="H3" s="365"/>
      <c r="I3" s="359"/>
      <c r="J3" s="359"/>
      <c r="K3" s="359"/>
      <c r="L3" s="359"/>
      <c r="M3" s="359"/>
      <c r="N3" s="365"/>
      <c r="O3" s="359"/>
      <c r="P3" s="359"/>
      <c r="Q3" s="359"/>
      <c r="R3" s="359"/>
      <c r="S3" s="362"/>
      <c r="T3" s="259" t="str">
        <f t="shared" ref="T3:AX3" si="1">TEXT(T2,"ddd")</f>
        <v>Wed</v>
      </c>
      <c r="U3" s="259" t="str">
        <f t="shared" si="1"/>
        <v>Thu</v>
      </c>
      <c r="V3" s="259" t="str">
        <f t="shared" si="1"/>
        <v>Fri</v>
      </c>
      <c r="W3" s="259" t="str">
        <f t="shared" si="1"/>
        <v>Sat</v>
      </c>
      <c r="X3" s="259" t="str">
        <f t="shared" si="1"/>
        <v>Sun</v>
      </c>
      <c r="Y3" s="259" t="str">
        <f t="shared" si="1"/>
        <v>Mon</v>
      </c>
      <c r="Z3" s="259" t="str">
        <f t="shared" si="1"/>
        <v>Tue</v>
      </c>
      <c r="AA3" s="259" t="str">
        <f t="shared" si="1"/>
        <v>Wed</v>
      </c>
      <c r="AB3" s="259" t="str">
        <f t="shared" si="1"/>
        <v>Thu</v>
      </c>
      <c r="AC3" s="259" t="str">
        <f t="shared" si="1"/>
        <v>Fri</v>
      </c>
      <c r="AD3" s="259" t="str">
        <f t="shared" si="1"/>
        <v>Sat</v>
      </c>
      <c r="AE3" s="259" t="str">
        <f t="shared" si="1"/>
        <v>Sun</v>
      </c>
      <c r="AF3" s="259" t="str">
        <f t="shared" si="1"/>
        <v>Mon</v>
      </c>
      <c r="AG3" s="259" t="str">
        <f t="shared" si="1"/>
        <v>Tue</v>
      </c>
      <c r="AH3" s="259" t="str">
        <f t="shared" si="1"/>
        <v>Wed</v>
      </c>
      <c r="AI3" s="259" t="str">
        <f t="shared" si="1"/>
        <v>Thu</v>
      </c>
      <c r="AJ3" s="259" t="str">
        <f t="shared" si="1"/>
        <v>Fri</v>
      </c>
      <c r="AK3" s="259" t="str">
        <f t="shared" si="1"/>
        <v>Sat</v>
      </c>
      <c r="AL3" s="259" t="str">
        <f t="shared" si="1"/>
        <v>Sun</v>
      </c>
      <c r="AM3" s="259" t="str">
        <f t="shared" si="1"/>
        <v>Mon</v>
      </c>
      <c r="AN3" s="259" t="str">
        <f t="shared" si="1"/>
        <v>Tue</v>
      </c>
      <c r="AO3" s="259" t="str">
        <f t="shared" si="1"/>
        <v>Wed</v>
      </c>
      <c r="AP3" s="259" t="str">
        <f t="shared" si="1"/>
        <v>Thu</v>
      </c>
      <c r="AQ3" s="259" t="str">
        <f t="shared" si="1"/>
        <v>Fri</v>
      </c>
      <c r="AR3" s="259" t="str">
        <f t="shared" si="1"/>
        <v>Sat</v>
      </c>
      <c r="AS3" s="259" t="str">
        <f t="shared" si="1"/>
        <v>Sun</v>
      </c>
      <c r="AT3" s="259" t="str">
        <f t="shared" si="1"/>
        <v>Mon</v>
      </c>
      <c r="AU3" s="259" t="str">
        <f t="shared" si="1"/>
        <v>Tue</v>
      </c>
      <c r="AV3" s="259" t="str">
        <f t="shared" si="1"/>
        <v>Wed</v>
      </c>
      <c r="AW3" s="259" t="str">
        <f t="shared" si="1"/>
        <v>Thu</v>
      </c>
      <c r="AX3" s="259" t="str">
        <f t="shared" si="1"/>
        <v>Fri</v>
      </c>
    </row>
    <row r="4" spans="1:50" ht="29.25" customHeight="1">
      <c r="A4">
        <v>1</v>
      </c>
      <c r="B4" s="198" t="s">
        <v>190</v>
      </c>
      <c r="C4" s="207" t="s">
        <v>201</v>
      </c>
      <c r="D4" s="177">
        <v>43466</v>
      </c>
      <c r="E4" s="199"/>
      <c r="F4" s="200"/>
      <c r="G4" s="177" t="s">
        <v>122</v>
      </c>
      <c r="H4" s="201"/>
      <c r="I4" s="271">
        <f t="shared" ref="I4:I11" si="2">COUNTIFS($T4:$AX4,"OFF ")+COUNTIFS($T4:$AX4,"OFF")</f>
        <v>4</v>
      </c>
      <c r="J4" s="272">
        <f t="shared" ref="J4:J11" si="3">+COUNTIF(T4:AX4,"UP")+0.5*COUNTIF(T4:AX4,"1/2UP")+COUNTIFS(T4:AX4,"SL1")+COUNTIFS(T4:AX4,"ML")+COUNTIFS(T4:AX4,"CC")</f>
        <v>0</v>
      </c>
      <c r="K4" s="272">
        <f t="shared" ref="K4:K11" si="4">COUNTIF($T4:$AX4,"AL")+0.5*(COUNTIF($T4:$AX4,"1/2AL"))+COUNTIF($T4:$AX4,"CL")+0.5*(COUNTIF($T4:$AX4,"1/2CL"))+COUNTIF($T4:$AX4,"LS")+COUNTIF($T4:$AX4,"HL")</f>
        <v>1</v>
      </c>
      <c r="L4" s="273">
        <f t="shared" ref="L4:L11" si="5">COUNTIF(T4:AX4,"X")+(COUNTIF(T4:AX4,"FP"))+COUNTIF(T4:AX4,"SL2")+(COUNTIF(T4:AX4,"LL"))+0.5*COUNTIF(T4:AX4,"1/2AL")+0.5*COUNTIF(T4:AX4,"1/2CL")+0.5*COUNTIF(T4:AX4,"1/2UP")</f>
        <v>25</v>
      </c>
      <c r="M4" s="208">
        <f>+K4+L4</f>
        <v>26</v>
      </c>
      <c r="N4" s="209"/>
      <c r="O4" s="202">
        <f t="shared" ref="O4:O5" si="6">MIN((M4+N4),26)</f>
        <v>26</v>
      </c>
      <c r="P4" s="273">
        <f t="shared" ref="P4:P11" si="7">COUNTIF(T4:AX4,"X")</f>
        <v>25</v>
      </c>
      <c r="Q4" s="273">
        <f t="shared" ref="Q4:Q11" si="8">COUNTIF(AF4:AF4,"X")</f>
        <v>0</v>
      </c>
      <c r="R4" s="203">
        <v>0</v>
      </c>
      <c r="S4" s="210"/>
      <c r="T4" s="260" t="s">
        <v>38</v>
      </c>
      <c r="U4" s="260" t="s">
        <v>38</v>
      </c>
      <c r="V4" s="260" t="s">
        <v>39</v>
      </c>
      <c r="W4" s="260" t="s">
        <v>38</v>
      </c>
      <c r="X4" s="260" t="s">
        <v>38</v>
      </c>
      <c r="Y4" s="260" t="s">
        <v>38</v>
      </c>
      <c r="Z4" s="260" t="s">
        <v>38</v>
      </c>
      <c r="AA4" s="260" t="s">
        <v>38</v>
      </c>
      <c r="AB4" s="260" t="s">
        <v>38</v>
      </c>
      <c r="AC4" s="260" t="s">
        <v>180</v>
      </c>
      <c r="AD4" s="260" t="s">
        <v>39</v>
      </c>
      <c r="AE4" s="260" t="s">
        <v>38</v>
      </c>
      <c r="AF4" s="260" t="s">
        <v>94</v>
      </c>
      <c r="AG4" s="260" t="s">
        <v>38</v>
      </c>
      <c r="AH4" s="260" t="s">
        <v>38</v>
      </c>
      <c r="AI4" s="260" t="s">
        <v>38</v>
      </c>
      <c r="AJ4" s="260" t="s">
        <v>39</v>
      </c>
      <c r="AK4" s="260" t="s">
        <v>38</v>
      </c>
      <c r="AL4" s="260" t="s">
        <v>38</v>
      </c>
      <c r="AM4" s="260" t="s">
        <v>38</v>
      </c>
      <c r="AN4" s="260" t="s">
        <v>38</v>
      </c>
      <c r="AO4" s="260" t="s">
        <v>38</v>
      </c>
      <c r="AP4" s="260" t="s">
        <v>38</v>
      </c>
      <c r="AQ4" s="260" t="s">
        <v>38</v>
      </c>
      <c r="AR4" s="260" t="s">
        <v>38</v>
      </c>
      <c r="AS4" s="260" t="s">
        <v>39</v>
      </c>
      <c r="AT4" s="260" t="s">
        <v>38</v>
      </c>
      <c r="AU4" s="260" t="s">
        <v>38</v>
      </c>
      <c r="AV4" s="260" t="s">
        <v>38</v>
      </c>
      <c r="AW4" s="260" t="s">
        <v>38</v>
      </c>
      <c r="AX4" s="260" t="s">
        <v>38</v>
      </c>
    </row>
    <row r="5" spans="1:50" ht="29.25" customHeight="1">
      <c r="A5">
        <f>+A3+1</f>
        <v>1</v>
      </c>
      <c r="B5" s="198" t="s">
        <v>191</v>
      </c>
      <c r="C5" s="207" t="s">
        <v>202</v>
      </c>
      <c r="D5" s="177">
        <v>43831</v>
      </c>
      <c r="E5" s="199"/>
      <c r="F5" s="200"/>
      <c r="G5" s="177" t="s">
        <v>109</v>
      </c>
      <c r="H5" s="201"/>
      <c r="I5" s="271">
        <f t="shared" si="2"/>
        <v>5</v>
      </c>
      <c r="J5" s="272">
        <f t="shared" si="3"/>
        <v>0</v>
      </c>
      <c r="K5" s="272">
        <f t="shared" si="4"/>
        <v>0</v>
      </c>
      <c r="L5" s="274">
        <f t="shared" si="5"/>
        <v>26</v>
      </c>
      <c r="M5" s="208">
        <f t="shared" ref="M5" si="9">+K5+L5</f>
        <v>26</v>
      </c>
      <c r="N5" s="209"/>
      <c r="O5" s="202">
        <f t="shared" si="6"/>
        <v>26</v>
      </c>
      <c r="P5" s="273">
        <f t="shared" si="7"/>
        <v>26</v>
      </c>
      <c r="Q5" s="273">
        <f t="shared" si="8"/>
        <v>1</v>
      </c>
      <c r="R5" s="203">
        <v>0</v>
      </c>
      <c r="S5" s="210"/>
      <c r="T5" s="260" t="s">
        <v>38</v>
      </c>
      <c r="U5" s="260" t="s">
        <v>38</v>
      </c>
      <c r="V5" s="260" t="s">
        <v>38</v>
      </c>
      <c r="W5" s="260" t="s">
        <v>39</v>
      </c>
      <c r="X5" s="260" t="s">
        <v>38</v>
      </c>
      <c r="Y5" s="260" t="s">
        <v>38</v>
      </c>
      <c r="Z5" s="260" t="s">
        <v>38</v>
      </c>
      <c r="AA5" s="260" t="s">
        <v>38</v>
      </c>
      <c r="AB5" s="260" t="s">
        <v>38</v>
      </c>
      <c r="AC5" s="260" t="s">
        <v>38</v>
      </c>
      <c r="AD5" s="260" t="s">
        <v>38</v>
      </c>
      <c r="AE5" s="260" t="s">
        <v>39</v>
      </c>
      <c r="AF5" s="260" t="s">
        <v>38</v>
      </c>
      <c r="AG5" s="260" t="s">
        <v>38</v>
      </c>
      <c r="AH5" s="260" t="s">
        <v>38</v>
      </c>
      <c r="AI5" s="260" t="s">
        <v>38</v>
      </c>
      <c r="AJ5" s="260" t="s">
        <v>38</v>
      </c>
      <c r="AK5" s="260" t="s">
        <v>39</v>
      </c>
      <c r="AL5" s="260" t="s">
        <v>38</v>
      </c>
      <c r="AM5" s="260" t="s">
        <v>38</v>
      </c>
      <c r="AN5" s="260" t="s">
        <v>38</v>
      </c>
      <c r="AO5" s="260" t="s">
        <v>38</v>
      </c>
      <c r="AP5" s="260" t="s">
        <v>38</v>
      </c>
      <c r="AQ5" s="260" t="s">
        <v>38</v>
      </c>
      <c r="AR5" s="260" t="s">
        <v>39</v>
      </c>
      <c r="AS5" s="260" t="s">
        <v>38</v>
      </c>
      <c r="AT5" s="260" t="s">
        <v>38</v>
      </c>
      <c r="AU5" s="260" t="s">
        <v>38</v>
      </c>
      <c r="AV5" s="260" t="s">
        <v>38</v>
      </c>
      <c r="AW5" s="260" t="s">
        <v>38</v>
      </c>
      <c r="AX5" s="260" t="s">
        <v>39</v>
      </c>
    </row>
    <row r="6" spans="1:50" ht="29.25" customHeight="1">
      <c r="A6">
        <f>+A5+1</f>
        <v>2</v>
      </c>
      <c r="B6" s="299" t="s">
        <v>167</v>
      </c>
      <c r="C6" s="109" t="s">
        <v>203</v>
      </c>
      <c r="D6" s="298">
        <v>44197</v>
      </c>
      <c r="E6" s="300"/>
      <c r="F6" s="301"/>
      <c r="G6" s="298" t="s">
        <v>249</v>
      </c>
      <c r="H6" s="302"/>
      <c r="I6" s="314">
        <f t="shared" si="2"/>
        <v>4</v>
      </c>
      <c r="J6" s="315">
        <f t="shared" si="3"/>
        <v>1</v>
      </c>
      <c r="K6" s="315">
        <f t="shared" si="4"/>
        <v>1</v>
      </c>
      <c r="L6" s="316">
        <f t="shared" si="5"/>
        <v>24</v>
      </c>
      <c r="M6" s="303">
        <f t="shared" ref="M6:M11" si="10">+K6+L6</f>
        <v>25</v>
      </c>
      <c r="N6" s="304"/>
      <c r="O6" s="305">
        <f t="shared" ref="O6:O11" si="11">MIN((M6+N6),26)</f>
        <v>25</v>
      </c>
      <c r="P6" s="317">
        <f t="shared" si="7"/>
        <v>24</v>
      </c>
      <c r="Q6" s="317">
        <f t="shared" si="8"/>
        <v>0</v>
      </c>
      <c r="R6" s="306">
        <v>0</v>
      </c>
      <c r="S6" s="307"/>
      <c r="T6" s="310" t="s">
        <v>38</v>
      </c>
      <c r="U6" s="310" t="s">
        <v>180</v>
      </c>
      <c r="V6" s="310" t="s">
        <v>38</v>
      </c>
      <c r="W6" s="310" t="s">
        <v>38</v>
      </c>
      <c r="X6" s="311" t="s">
        <v>39</v>
      </c>
      <c r="Y6" s="312" t="s">
        <v>38</v>
      </c>
      <c r="Z6" s="312" t="s">
        <v>38</v>
      </c>
      <c r="AA6" s="312" t="s">
        <v>38</v>
      </c>
      <c r="AB6" s="310" t="s">
        <v>38</v>
      </c>
      <c r="AC6" s="310" t="s">
        <v>38</v>
      </c>
      <c r="AD6" s="310" t="s">
        <v>39</v>
      </c>
      <c r="AE6" s="310" t="s">
        <v>38</v>
      </c>
      <c r="AF6" s="311" t="s">
        <v>94</v>
      </c>
      <c r="AG6" s="310" t="s">
        <v>38</v>
      </c>
      <c r="AH6" s="310" t="s">
        <v>39</v>
      </c>
      <c r="AI6" s="310" t="s">
        <v>38</v>
      </c>
      <c r="AJ6" s="310" t="s">
        <v>38</v>
      </c>
      <c r="AK6" s="311" t="s">
        <v>38</v>
      </c>
      <c r="AL6" s="310" t="s">
        <v>38</v>
      </c>
      <c r="AM6" s="310" t="s">
        <v>38</v>
      </c>
      <c r="AN6" s="310" t="s">
        <v>38</v>
      </c>
      <c r="AO6" s="310" t="s">
        <v>66</v>
      </c>
      <c r="AP6" s="313" t="s">
        <v>38</v>
      </c>
      <c r="AQ6" s="310" t="s">
        <v>38</v>
      </c>
      <c r="AR6" s="310" t="s">
        <v>38</v>
      </c>
      <c r="AS6" s="310" t="s">
        <v>39</v>
      </c>
      <c r="AT6" s="310" t="s">
        <v>38</v>
      </c>
      <c r="AU6" s="310" t="s">
        <v>38</v>
      </c>
      <c r="AV6" s="313" t="s">
        <v>38</v>
      </c>
      <c r="AW6" s="310" t="s">
        <v>38</v>
      </c>
      <c r="AX6" s="310" t="s">
        <v>38</v>
      </c>
    </row>
    <row r="7" spans="1:50" ht="29.25" customHeight="1">
      <c r="A7">
        <f t="shared" ref="A7:A11" si="12">+A6+1</f>
        <v>3</v>
      </c>
      <c r="B7" s="299" t="s">
        <v>168</v>
      </c>
      <c r="C7" s="109" t="s">
        <v>204</v>
      </c>
      <c r="D7" s="298">
        <v>44562</v>
      </c>
      <c r="E7" s="300"/>
      <c r="F7" s="301"/>
      <c r="G7" s="298" t="s">
        <v>250</v>
      </c>
      <c r="H7" s="302"/>
      <c r="I7" s="314">
        <f t="shared" si="2"/>
        <v>2</v>
      </c>
      <c r="J7" s="315">
        <f t="shared" si="3"/>
        <v>0</v>
      </c>
      <c r="K7" s="315">
        <f t="shared" si="4"/>
        <v>0</v>
      </c>
      <c r="L7" s="316">
        <f t="shared" si="5"/>
        <v>16</v>
      </c>
      <c r="M7" s="303">
        <f t="shared" si="10"/>
        <v>16</v>
      </c>
      <c r="N7" s="308"/>
      <c r="O7" s="305">
        <f t="shared" si="11"/>
        <v>16</v>
      </c>
      <c r="P7" s="317">
        <f t="shared" si="7"/>
        <v>16</v>
      </c>
      <c r="Q7" s="317">
        <f t="shared" si="8"/>
        <v>1</v>
      </c>
      <c r="R7" s="306">
        <v>0</v>
      </c>
      <c r="S7" s="307"/>
      <c r="T7" s="310" t="s">
        <v>38</v>
      </c>
      <c r="U7" s="310" t="s">
        <v>38</v>
      </c>
      <c r="V7" s="310" t="s">
        <v>38</v>
      </c>
      <c r="W7" s="310" t="s">
        <v>38</v>
      </c>
      <c r="X7" s="311" t="s">
        <v>39</v>
      </c>
      <c r="Y7" s="312" t="s">
        <v>38</v>
      </c>
      <c r="Z7" s="312" t="s">
        <v>38</v>
      </c>
      <c r="AA7" s="312" t="s">
        <v>38</v>
      </c>
      <c r="AB7" s="310" t="s">
        <v>38</v>
      </c>
      <c r="AC7" s="310" t="s">
        <v>38</v>
      </c>
      <c r="AD7" s="310" t="s">
        <v>38</v>
      </c>
      <c r="AE7" s="310" t="s">
        <v>39</v>
      </c>
      <c r="AF7" s="310" t="s">
        <v>38</v>
      </c>
      <c r="AG7" s="310" t="s">
        <v>38</v>
      </c>
      <c r="AH7" s="310" t="s">
        <v>38</v>
      </c>
      <c r="AI7" s="310" t="s">
        <v>38</v>
      </c>
      <c r="AJ7" s="310" t="s">
        <v>38</v>
      </c>
      <c r="AK7" s="311" t="s">
        <v>38</v>
      </c>
      <c r="AL7" s="310"/>
      <c r="AM7" s="310"/>
      <c r="AN7" s="310"/>
      <c r="AO7" s="310"/>
      <c r="AP7" s="313"/>
      <c r="AQ7" s="310"/>
      <c r="AR7" s="310"/>
      <c r="AS7" s="310"/>
      <c r="AT7" s="310"/>
      <c r="AU7" s="310"/>
      <c r="AV7" s="313"/>
      <c r="AW7" s="310"/>
      <c r="AX7" s="310"/>
    </row>
    <row r="8" spans="1:50" ht="29.25" customHeight="1">
      <c r="A8">
        <f t="shared" si="12"/>
        <v>4</v>
      </c>
      <c r="B8" s="299" t="s">
        <v>169</v>
      </c>
      <c r="C8" s="109" t="s">
        <v>205</v>
      </c>
      <c r="D8" s="298">
        <v>45740</v>
      </c>
      <c r="E8" s="300"/>
      <c r="F8" s="301"/>
      <c r="G8" s="298" t="s">
        <v>251</v>
      </c>
      <c r="H8" s="302"/>
      <c r="I8" s="314">
        <f t="shared" si="2"/>
        <v>4</v>
      </c>
      <c r="J8" s="315">
        <f t="shared" si="3"/>
        <v>0</v>
      </c>
      <c r="K8" s="315">
        <f t="shared" si="4"/>
        <v>0.5</v>
      </c>
      <c r="L8" s="316">
        <f t="shared" si="5"/>
        <v>26.5</v>
      </c>
      <c r="M8" s="303">
        <f t="shared" si="10"/>
        <v>27</v>
      </c>
      <c r="N8" s="304"/>
      <c r="O8" s="305">
        <f t="shared" si="11"/>
        <v>26</v>
      </c>
      <c r="P8" s="317">
        <f t="shared" si="7"/>
        <v>26</v>
      </c>
      <c r="Q8" s="317">
        <f t="shared" si="8"/>
        <v>1</v>
      </c>
      <c r="R8" s="306">
        <v>0</v>
      </c>
      <c r="S8" s="307"/>
      <c r="T8" s="310" t="s">
        <v>38</v>
      </c>
      <c r="U8" s="310" t="s">
        <v>39</v>
      </c>
      <c r="V8" s="310" t="s">
        <v>38</v>
      </c>
      <c r="W8" s="310" t="s">
        <v>38</v>
      </c>
      <c r="X8" s="311" t="s">
        <v>38</v>
      </c>
      <c r="Y8" s="312" t="s">
        <v>38</v>
      </c>
      <c r="Z8" s="312" t="s">
        <v>38</v>
      </c>
      <c r="AA8" s="312" t="s">
        <v>39</v>
      </c>
      <c r="AB8" s="310" t="s">
        <v>38</v>
      </c>
      <c r="AC8" s="310" t="s">
        <v>38</v>
      </c>
      <c r="AD8" s="310" t="s">
        <v>38</v>
      </c>
      <c r="AE8" s="310" t="s">
        <v>38</v>
      </c>
      <c r="AF8" s="310" t="s">
        <v>38</v>
      </c>
      <c r="AG8" s="310" t="s">
        <v>38</v>
      </c>
      <c r="AH8" s="310" t="s">
        <v>38</v>
      </c>
      <c r="AI8" s="310" t="s">
        <v>39</v>
      </c>
      <c r="AJ8" s="310" t="s">
        <v>38</v>
      </c>
      <c r="AK8" s="311" t="s">
        <v>38</v>
      </c>
      <c r="AL8" s="310" t="s">
        <v>38</v>
      </c>
      <c r="AM8" s="310" t="s">
        <v>38</v>
      </c>
      <c r="AN8" s="310" t="s">
        <v>38</v>
      </c>
      <c r="AO8" s="310" t="s">
        <v>82</v>
      </c>
      <c r="AP8" s="313" t="s">
        <v>38</v>
      </c>
      <c r="AQ8" s="310" t="s">
        <v>38</v>
      </c>
      <c r="AR8" s="310" t="s">
        <v>38</v>
      </c>
      <c r="AS8" s="310" t="s">
        <v>39</v>
      </c>
      <c r="AT8" s="310" t="s">
        <v>38</v>
      </c>
      <c r="AU8" s="310" t="s">
        <v>38</v>
      </c>
      <c r="AV8" s="313" t="s">
        <v>38</v>
      </c>
      <c r="AW8" s="310" t="s">
        <v>38</v>
      </c>
      <c r="AX8" s="310" t="s">
        <v>38</v>
      </c>
    </row>
    <row r="9" spans="1:50" ht="29.25" customHeight="1">
      <c r="A9">
        <f>+A8+1</f>
        <v>5</v>
      </c>
      <c r="B9" s="299" t="s">
        <v>170</v>
      </c>
      <c r="C9" s="109" t="s">
        <v>206</v>
      </c>
      <c r="D9" s="298">
        <v>44927</v>
      </c>
      <c r="E9" s="300"/>
      <c r="F9" s="301"/>
      <c r="G9" s="298" t="s">
        <v>123</v>
      </c>
      <c r="H9" s="302"/>
      <c r="I9" s="314">
        <f t="shared" si="2"/>
        <v>5</v>
      </c>
      <c r="J9" s="315">
        <f t="shared" si="3"/>
        <v>0</v>
      </c>
      <c r="K9" s="315">
        <f t="shared" si="4"/>
        <v>0</v>
      </c>
      <c r="L9" s="316">
        <f t="shared" si="5"/>
        <v>26</v>
      </c>
      <c r="M9" s="303">
        <f t="shared" si="10"/>
        <v>26</v>
      </c>
      <c r="N9" s="304"/>
      <c r="O9" s="305">
        <f t="shared" si="11"/>
        <v>26</v>
      </c>
      <c r="P9" s="317">
        <f t="shared" si="7"/>
        <v>26</v>
      </c>
      <c r="Q9" s="317">
        <f t="shared" si="8"/>
        <v>1</v>
      </c>
      <c r="R9" s="306">
        <v>0</v>
      </c>
      <c r="S9" s="307"/>
      <c r="T9" s="310" t="s">
        <v>38</v>
      </c>
      <c r="U9" s="310" t="s">
        <v>38</v>
      </c>
      <c r="V9" s="310" t="s">
        <v>38</v>
      </c>
      <c r="W9" s="310" t="s">
        <v>38</v>
      </c>
      <c r="X9" s="311" t="s">
        <v>39</v>
      </c>
      <c r="Y9" s="312" t="s">
        <v>38</v>
      </c>
      <c r="Z9" s="312" t="s">
        <v>39</v>
      </c>
      <c r="AA9" s="312" t="s">
        <v>38</v>
      </c>
      <c r="AB9" s="310" t="s">
        <v>38</v>
      </c>
      <c r="AC9" s="310" t="s">
        <v>38</v>
      </c>
      <c r="AD9" s="310" t="s">
        <v>38</v>
      </c>
      <c r="AE9" s="310" t="s">
        <v>38</v>
      </c>
      <c r="AF9" s="310" t="s">
        <v>38</v>
      </c>
      <c r="AG9" s="310" t="s">
        <v>38</v>
      </c>
      <c r="AH9" s="310" t="s">
        <v>38</v>
      </c>
      <c r="AI9" s="310" t="s">
        <v>38</v>
      </c>
      <c r="AJ9" s="310" t="s">
        <v>39</v>
      </c>
      <c r="AK9" s="311" t="s">
        <v>38</v>
      </c>
      <c r="AL9" s="311" t="s">
        <v>38</v>
      </c>
      <c r="AM9" s="310" t="s">
        <v>39</v>
      </c>
      <c r="AN9" s="310" t="s">
        <v>38</v>
      </c>
      <c r="AO9" s="310" t="s">
        <v>38</v>
      </c>
      <c r="AP9" s="313" t="s">
        <v>38</v>
      </c>
      <c r="AQ9" s="310" t="s">
        <v>38</v>
      </c>
      <c r="AR9" s="310" t="s">
        <v>38</v>
      </c>
      <c r="AS9" s="310" t="s">
        <v>39</v>
      </c>
      <c r="AT9" s="310" t="s">
        <v>38</v>
      </c>
      <c r="AU9" s="310" t="s">
        <v>38</v>
      </c>
      <c r="AV9" s="313" t="s">
        <v>38</v>
      </c>
      <c r="AW9" s="310" t="s">
        <v>38</v>
      </c>
      <c r="AX9" s="310" t="s">
        <v>38</v>
      </c>
    </row>
    <row r="10" spans="1:50" ht="29.25" customHeight="1">
      <c r="A10">
        <f t="shared" si="12"/>
        <v>6</v>
      </c>
      <c r="B10" s="299" t="s">
        <v>171</v>
      </c>
      <c r="C10" s="109" t="s">
        <v>207</v>
      </c>
      <c r="D10" s="298">
        <v>45292</v>
      </c>
      <c r="E10" s="300"/>
      <c r="F10" s="301"/>
      <c r="G10" s="298" t="s">
        <v>84</v>
      </c>
      <c r="H10" s="309"/>
      <c r="I10" s="314">
        <f t="shared" si="2"/>
        <v>4</v>
      </c>
      <c r="J10" s="315">
        <f t="shared" si="3"/>
        <v>1</v>
      </c>
      <c r="K10" s="315">
        <f t="shared" si="4"/>
        <v>2</v>
      </c>
      <c r="L10" s="316">
        <f t="shared" si="5"/>
        <v>24</v>
      </c>
      <c r="M10" s="303">
        <f t="shared" si="10"/>
        <v>26</v>
      </c>
      <c r="N10" s="304"/>
      <c r="O10" s="305">
        <f t="shared" si="11"/>
        <v>26</v>
      </c>
      <c r="P10" s="317">
        <f t="shared" si="7"/>
        <v>24</v>
      </c>
      <c r="Q10" s="317">
        <f t="shared" si="8"/>
        <v>0</v>
      </c>
      <c r="R10" s="306">
        <v>0</v>
      </c>
      <c r="S10" s="307"/>
      <c r="T10" s="310" t="s">
        <v>38</v>
      </c>
      <c r="U10" s="310" t="s">
        <v>38</v>
      </c>
      <c r="V10" s="310" t="s">
        <v>38</v>
      </c>
      <c r="W10" s="310" t="s">
        <v>38</v>
      </c>
      <c r="X10" s="311" t="s">
        <v>38</v>
      </c>
      <c r="Y10" s="312" t="s">
        <v>38</v>
      </c>
      <c r="Z10" s="312" t="s">
        <v>38</v>
      </c>
      <c r="AA10" s="312" t="s">
        <v>38</v>
      </c>
      <c r="AB10" s="310" t="s">
        <v>39</v>
      </c>
      <c r="AC10" s="310" t="s">
        <v>38</v>
      </c>
      <c r="AD10" s="310" t="s">
        <v>38</v>
      </c>
      <c r="AE10" s="310" t="s">
        <v>38</v>
      </c>
      <c r="AF10" s="311" t="s">
        <v>94</v>
      </c>
      <c r="AG10" s="310" t="s">
        <v>38</v>
      </c>
      <c r="AH10" s="310" t="s">
        <v>38</v>
      </c>
      <c r="AI10" s="310" t="s">
        <v>38</v>
      </c>
      <c r="AJ10" s="310" t="s">
        <v>38</v>
      </c>
      <c r="AK10" s="311" t="s">
        <v>39</v>
      </c>
      <c r="AL10" s="310" t="s">
        <v>38</v>
      </c>
      <c r="AM10" s="310" t="s">
        <v>38</v>
      </c>
      <c r="AN10" s="310" t="s">
        <v>38</v>
      </c>
      <c r="AO10" s="310" t="s">
        <v>36</v>
      </c>
      <c r="AP10" s="313" t="s">
        <v>38</v>
      </c>
      <c r="AQ10" s="310" t="s">
        <v>39</v>
      </c>
      <c r="AR10" s="310" t="s">
        <v>38</v>
      </c>
      <c r="AS10" s="310" t="s">
        <v>38</v>
      </c>
      <c r="AT10" s="310" t="s">
        <v>38</v>
      </c>
      <c r="AU10" s="310" t="s">
        <v>38</v>
      </c>
      <c r="AV10" s="313" t="s">
        <v>65</v>
      </c>
      <c r="AW10" s="310" t="s">
        <v>38</v>
      </c>
      <c r="AX10" s="310" t="s">
        <v>39</v>
      </c>
    </row>
    <row r="11" spans="1:50" ht="29.25" customHeight="1">
      <c r="A11">
        <f t="shared" si="12"/>
        <v>7</v>
      </c>
      <c r="B11" s="299" t="s">
        <v>192</v>
      </c>
      <c r="C11" s="109" t="s">
        <v>208</v>
      </c>
      <c r="D11" s="298">
        <v>45738</v>
      </c>
      <c r="E11" s="300"/>
      <c r="F11" s="301"/>
      <c r="G11" s="298" t="s">
        <v>252</v>
      </c>
      <c r="H11" s="302"/>
      <c r="I11" s="314">
        <f t="shared" si="2"/>
        <v>4</v>
      </c>
      <c r="J11" s="315">
        <f t="shared" si="3"/>
        <v>0</v>
      </c>
      <c r="K11" s="315">
        <f t="shared" si="4"/>
        <v>0</v>
      </c>
      <c r="L11" s="316">
        <f t="shared" si="5"/>
        <v>27</v>
      </c>
      <c r="M11" s="303">
        <f t="shared" si="10"/>
        <v>27</v>
      </c>
      <c r="N11" s="304"/>
      <c r="O11" s="305">
        <f t="shared" si="11"/>
        <v>26</v>
      </c>
      <c r="P11" s="317">
        <f t="shared" si="7"/>
        <v>26</v>
      </c>
      <c r="Q11" s="317">
        <f t="shared" si="8"/>
        <v>1</v>
      </c>
      <c r="R11" s="306">
        <v>0</v>
      </c>
      <c r="S11" s="307"/>
      <c r="T11" s="310" t="s">
        <v>38</v>
      </c>
      <c r="U11" s="310" t="s">
        <v>38</v>
      </c>
      <c r="V11" s="310" t="s">
        <v>38</v>
      </c>
      <c r="W11" s="310" t="s">
        <v>38</v>
      </c>
      <c r="X11" s="311" t="s">
        <v>39</v>
      </c>
      <c r="Y11" s="312" t="s">
        <v>38</v>
      </c>
      <c r="Z11" s="312" t="s">
        <v>38</v>
      </c>
      <c r="AA11" s="312" t="s">
        <v>38</v>
      </c>
      <c r="AB11" s="310" t="s">
        <v>38</v>
      </c>
      <c r="AC11" s="310" t="s">
        <v>38</v>
      </c>
      <c r="AD11" s="310" t="s">
        <v>38</v>
      </c>
      <c r="AE11" s="310" t="s">
        <v>39</v>
      </c>
      <c r="AF11" s="310" t="s">
        <v>38</v>
      </c>
      <c r="AG11" s="310" t="s">
        <v>38</v>
      </c>
      <c r="AH11" s="310" t="s">
        <v>38</v>
      </c>
      <c r="AI11" s="310" t="s">
        <v>69</v>
      </c>
      <c r="AJ11" s="310" t="s">
        <v>38</v>
      </c>
      <c r="AK11" s="311" t="s">
        <v>38</v>
      </c>
      <c r="AL11" s="310" t="s">
        <v>39</v>
      </c>
      <c r="AM11" s="310" t="s">
        <v>38</v>
      </c>
      <c r="AN11" s="310" t="s">
        <v>38</v>
      </c>
      <c r="AO11" s="310" t="s">
        <v>38</v>
      </c>
      <c r="AP11" s="313" t="s">
        <v>38</v>
      </c>
      <c r="AQ11" s="310" t="s">
        <v>38</v>
      </c>
      <c r="AR11" s="310" t="s">
        <v>38</v>
      </c>
      <c r="AS11" s="310" t="s">
        <v>39</v>
      </c>
      <c r="AT11" s="310" t="s">
        <v>38</v>
      </c>
      <c r="AU11" s="310" t="s">
        <v>38</v>
      </c>
      <c r="AV11" s="313" t="s">
        <v>38</v>
      </c>
      <c r="AW11" s="310" t="s">
        <v>38</v>
      </c>
      <c r="AX11" s="310" t="s">
        <v>38</v>
      </c>
    </row>
    <row r="12" spans="1:50" ht="28.5" customHeight="1">
      <c r="B12" s="215" t="s">
        <v>140</v>
      </c>
      <c r="C12" s="216"/>
      <c r="D12" s="216"/>
      <c r="E12" s="216"/>
      <c r="F12" s="217"/>
      <c r="G12" s="216"/>
      <c r="H12" s="218"/>
      <c r="T12" s="216"/>
      <c r="U12" s="216"/>
      <c r="AD12" s="59"/>
      <c r="AX12" s="212"/>
    </row>
    <row r="13" spans="1:50">
      <c r="B13" s="204" t="s">
        <v>38</v>
      </c>
      <c r="C13" s="219" t="s">
        <v>139</v>
      </c>
      <c r="D13" s="220"/>
      <c r="E13" s="220"/>
      <c r="F13" s="220"/>
      <c r="G13" s="220"/>
      <c r="H13" s="221"/>
      <c r="T13" s="220"/>
      <c r="U13" s="222"/>
      <c r="AD13" s="59"/>
      <c r="AX13" s="212"/>
    </row>
    <row r="14" spans="1:50">
      <c r="B14" s="204" t="s">
        <v>94</v>
      </c>
      <c r="C14" s="219" t="s">
        <v>95</v>
      </c>
      <c r="D14" s="220"/>
      <c r="E14" s="220"/>
      <c r="F14" s="220"/>
      <c r="G14" s="220"/>
      <c r="H14" s="221"/>
      <c r="T14" s="220"/>
      <c r="U14" s="222"/>
      <c r="AX14" s="212"/>
    </row>
    <row r="15" spans="1:50">
      <c r="B15" s="204" t="s">
        <v>39</v>
      </c>
      <c r="C15" s="219" t="s">
        <v>96</v>
      </c>
      <c r="D15" s="220"/>
      <c r="E15" s="220"/>
      <c r="F15" s="220"/>
      <c r="G15" s="220"/>
      <c r="H15" s="221"/>
      <c r="T15" s="220"/>
      <c r="U15" s="222"/>
      <c r="AX15" s="212"/>
    </row>
    <row r="16" spans="1:50">
      <c r="B16" s="204" t="s">
        <v>64</v>
      </c>
      <c r="C16" s="219" t="s">
        <v>97</v>
      </c>
      <c r="D16" s="220"/>
      <c r="E16" s="220"/>
      <c r="F16" s="220"/>
      <c r="G16" s="220"/>
      <c r="H16" s="221"/>
      <c r="T16" s="220"/>
      <c r="U16" s="222"/>
      <c r="AX16" s="212"/>
    </row>
    <row r="17" spans="2:50">
      <c r="B17" s="204" t="s">
        <v>82</v>
      </c>
      <c r="C17" s="219" t="s">
        <v>98</v>
      </c>
      <c r="D17" s="220"/>
      <c r="E17" s="220"/>
      <c r="F17" s="220"/>
      <c r="G17" s="220"/>
      <c r="H17" s="221"/>
      <c r="T17" s="220"/>
      <c r="U17" s="222"/>
      <c r="AX17" s="212"/>
    </row>
    <row r="18" spans="2:50">
      <c r="B18" s="204" t="s">
        <v>69</v>
      </c>
      <c r="C18" s="219" t="s">
        <v>99</v>
      </c>
      <c r="D18" s="220"/>
      <c r="E18" s="220"/>
      <c r="F18" s="220"/>
      <c r="G18" s="220"/>
      <c r="H18" s="221"/>
      <c r="T18" s="220"/>
      <c r="U18" s="222"/>
      <c r="AX18" s="212"/>
    </row>
    <row r="19" spans="2:50">
      <c r="B19" s="204" t="s">
        <v>66</v>
      </c>
      <c r="C19" s="219" t="s">
        <v>100</v>
      </c>
      <c r="D19" s="220"/>
      <c r="E19" s="220"/>
      <c r="F19" s="220"/>
      <c r="G19" s="220"/>
      <c r="H19" s="221"/>
      <c r="T19" s="220"/>
      <c r="U19" s="222"/>
      <c r="AX19" s="212"/>
    </row>
    <row r="20" spans="2:50">
      <c r="B20" s="204" t="s">
        <v>93</v>
      </c>
      <c r="C20" s="219" t="s">
        <v>101</v>
      </c>
      <c r="D20" s="220"/>
      <c r="E20" s="220"/>
      <c r="F20" s="220"/>
      <c r="G20" s="220"/>
      <c r="H20" s="221"/>
      <c r="T20" s="220"/>
      <c r="U20" s="222"/>
      <c r="AX20" s="212"/>
    </row>
    <row r="21" spans="2:50">
      <c r="B21" s="204" t="s">
        <v>65</v>
      </c>
      <c r="C21" s="219" t="s">
        <v>102</v>
      </c>
      <c r="D21" s="220"/>
      <c r="E21" s="220"/>
      <c r="F21" s="220"/>
      <c r="G21" s="220"/>
      <c r="H21" s="221"/>
      <c r="T21" s="220"/>
      <c r="U21" s="222"/>
      <c r="AX21" s="212"/>
    </row>
    <row r="22" spans="2:50">
      <c r="B22" s="204" t="s">
        <v>35</v>
      </c>
      <c r="C22" s="219" t="s">
        <v>70</v>
      </c>
      <c r="D22" s="220"/>
      <c r="E22" s="220"/>
      <c r="F22" s="220"/>
      <c r="G22" s="220"/>
      <c r="H22" s="221"/>
      <c r="T22" s="220"/>
      <c r="U22" s="222"/>
      <c r="AX22" s="212"/>
    </row>
    <row r="23" spans="2:50">
      <c r="B23" s="204" t="s">
        <v>68</v>
      </c>
      <c r="C23" s="219" t="s">
        <v>71</v>
      </c>
      <c r="D23" s="220"/>
      <c r="E23" s="220"/>
      <c r="F23" s="220"/>
      <c r="G23" s="220"/>
      <c r="H23" s="221"/>
      <c r="T23" s="220"/>
      <c r="U23" s="222"/>
      <c r="AX23" s="212"/>
    </row>
    <row r="24" spans="2:50" ht="22.5" customHeight="1">
      <c r="B24" s="204" t="s">
        <v>72</v>
      </c>
      <c r="C24" s="219" t="s">
        <v>73</v>
      </c>
      <c r="D24" s="220"/>
      <c r="E24" s="220"/>
      <c r="F24" s="220"/>
      <c r="G24" s="220"/>
      <c r="H24" s="221"/>
      <c r="T24" s="220"/>
      <c r="U24" s="222"/>
      <c r="AX24" s="212"/>
    </row>
    <row r="25" spans="2:50" ht="22.5" customHeight="1">
      <c r="B25" s="204" t="s">
        <v>74</v>
      </c>
      <c r="C25" s="219" t="s">
        <v>75</v>
      </c>
      <c r="D25" s="220"/>
      <c r="E25" s="220"/>
      <c r="F25" s="220"/>
      <c r="G25" s="220"/>
      <c r="H25" s="221"/>
      <c r="T25" s="220"/>
      <c r="U25" s="222"/>
      <c r="AX25" s="212"/>
    </row>
    <row r="26" spans="2:50" ht="22.5" customHeight="1">
      <c r="B26" s="204" t="s">
        <v>36</v>
      </c>
      <c r="C26" s="219" t="s">
        <v>103</v>
      </c>
      <c r="D26" s="220"/>
      <c r="E26" s="220"/>
      <c r="F26" s="220"/>
      <c r="G26" s="220"/>
      <c r="H26" s="221"/>
      <c r="T26" s="220"/>
      <c r="U26" s="222"/>
      <c r="AX26" s="212"/>
    </row>
    <row r="27" spans="2:50" ht="22.5" customHeight="1">
      <c r="B27" s="204" t="s">
        <v>37</v>
      </c>
      <c r="C27" s="219" t="s">
        <v>104</v>
      </c>
      <c r="D27" s="220"/>
      <c r="E27" s="220"/>
      <c r="F27" s="220"/>
      <c r="G27" s="220"/>
      <c r="H27" s="221"/>
      <c r="T27" s="220"/>
      <c r="U27" s="222"/>
      <c r="AX27" s="212"/>
    </row>
    <row r="28" spans="2:50">
      <c r="AX28" s="212"/>
    </row>
    <row r="29" spans="2:50">
      <c r="B29" s="205"/>
      <c r="G29" s="223"/>
      <c r="H29" s="224"/>
      <c r="AX29" s="212"/>
    </row>
    <row r="30" spans="2:50" ht="18" customHeight="1">
      <c r="G30" s="223"/>
      <c r="H30" s="224"/>
      <c r="AX30" s="212"/>
    </row>
    <row r="31" spans="2:50" ht="17.25" customHeight="1">
      <c r="G31" s="223"/>
      <c r="H31" s="224"/>
      <c r="AX31" s="212"/>
    </row>
    <row r="32" spans="2:50" ht="38.25" customHeight="1">
      <c r="G32" s="223"/>
      <c r="H32" s="224"/>
      <c r="AX32" s="212"/>
    </row>
    <row r="33" spans="7:50">
      <c r="G33" s="223"/>
      <c r="H33" s="224"/>
      <c r="AX33" s="212"/>
    </row>
    <row r="34" spans="7:50">
      <c r="G34" s="223"/>
      <c r="H34" s="224"/>
      <c r="AX34" s="212"/>
    </row>
    <row r="35" spans="7:50">
      <c r="G35" s="225"/>
      <c r="H35" s="224"/>
      <c r="AX35" s="212"/>
    </row>
    <row r="36" spans="7:50">
      <c r="G36" s="226"/>
      <c r="H36" s="224"/>
      <c r="AX36" s="212"/>
    </row>
    <row r="37" spans="7:50">
      <c r="G37" s="226"/>
      <c r="H37" s="224"/>
      <c r="AX37" s="212"/>
    </row>
    <row r="38" spans="7:50">
      <c r="AX38" s="212"/>
    </row>
    <row r="39" spans="7:50">
      <c r="AX39" s="212"/>
    </row>
    <row r="40" spans="7:50">
      <c r="AX40" s="212"/>
    </row>
    <row r="41" spans="7:50">
      <c r="AX41" s="212"/>
    </row>
  </sheetData>
  <autoFilter ref="A3:AX5" xr:uid="{00000000-0009-0000-0000-00000D000000}"/>
  <mergeCells count="20">
    <mergeCell ref="T1:V1"/>
    <mergeCell ref="W1:AX1"/>
    <mergeCell ref="K1:K3"/>
    <mergeCell ref="L1:L3"/>
    <mergeCell ref="O1:O3"/>
    <mergeCell ref="P1:P3"/>
    <mergeCell ref="Q1:Q3"/>
    <mergeCell ref="R1:R3"/>
    <mergeCell ref="S1:S3"/>
    <mergeCell ref="H1:H3"/>
    <mergeCell ref="B1:B3"/>
    <mergeCell ref="C1:C3"/>
    <mergeCell ref="D1:D3"/>
    <mergeCell ref="E1:E3"/>
    <mergeCell ref="F1:F3"/>
    <mergeCell ref="G1:G3"/>
    <mergeCell ref="I1:I3"/>
    <mergeCell ref="J1:J3"/>
    <mergeCell ref="M1:M3"/>
    <mergeCell ref="N1:N3"/>
  </mergeCells>
  <phoneticPr fontId="299" type="noConversion"/>
  <conditionalFormatting sqref="B6:B11">
    <cfRule type="duplicateValues" dxfId="624" priority="270"/>
    <cfRule type="duplicateValues" dxfId="623" priority="269"/>
    <cfRule type="duplicateValues" dxfId="622" priority="268"/>
    <cfRule type="duplicateValues" dxfId="621" priority="267"/>
    <cfRule type="duplicateValues" dxfId="620" priority="266"/>
    <cfRule type="duplicateValues" dxfId="619" priority="271"/>
    <cfRule type="duplicateValues" dxfId="618" priority="265"/>
    <cfRule type="duplicateValues" dxfId="617" priority="264"/>
    <cfRule type="duplicateValues" dxfId="616" priority="263"/>
    <cfRule type="duplicateValues" dxfId="615" priority="262"/>
    <cfRule type="duplicateValues" dxfId="614" priority="261"/>
  </conditionalFormatting>
  <conditionalFormatting sqref="B12:B1048576 B4:B5">
    <cfRule type="duplicateValues" dxfId="613" priority="1327548"/>
    <cfRule type="duplicateValues" dxfId="612" priority="19937"/>
    <cfRule type="duplicateValues" dxfId="611" priority="249856"/>
    <cfRule type="duplicateValues" dxfId="610" priority="1327549"/>
    <cfRule type="duplicateValues" dxfId="609" priority="1327556"/>
  </conditionalFormatting>
  <conditionalFormatting sqref="B28:B1048576 B4:B5">
    <cfRule type="duplicateValues" dxfId="608" priority="575869"/>
    <cfRule type="duplicateValues" dxfId="607" priority="575852"/>
    <cfRule type="duplicateValues" dxfId="606" priority="575845"/>
    <cfRule type="duplicateValues" dxfId="605" priority="575859"/>
    <cfRule type="duplicateValues" dxfId="604" priority="575837"/>
  </conditionalFormatting>
  <conditionalFormatting sqref="B29">
    <cfRule type="duplicateValues" dxfId="603" priority="49389"/>
    <cfRule type="duplicateValues" dxfId="602" priority="49388"/>
  </conditionalFormatting>
  <conditionalFormatting sqref="B42:B1048576 B28 B4:B5">
    <cfRule type="duplicateValues" dxfId="601" priority="575879"/>
  </conditionalFormatting>
  <conditionalFormatting sqref="B42:B1048576">
    <cfRule type="duplicateValues" dxfId="600" priority="575877"/>
  </conditionalFormatting>
  <conditionalFormatting sqref="C12:C27">
    <cfRule type="duplicateValues" dxfId="599" priority="1327976" stopIfTrue="1"/>
    <cfRule type="duplicateValues" dxfId="598" priority="1327977"/>
    <cfRule type="duplicateValues" dxfId="597" priority="1327973"/>
    <cfRule type="duplicateValues" dxfId="596" priority="1327975" stopIfTrue="1"/>
    <cfRule type="expression" dxfId="595" priority="1327980" stopIfTrue="1">
      <formula>AND(COUNTIF(#REF!, C12)+COUNTIF(#REF!, C12)&gt;1,NOT(ISBLANK(C12)))</formula>
    </cfRule>
    <cfRule type="duplicateValues" dxfId="594" priority="1327979" stopIfTrue="1"/>
    <cfRule type="duplicateValues" dxfId="593" priority="1327978" stopIfTrue="1"/>
    <cfRule type="duplicateValues" dxfId="592" priority="1327974"/>
  </conditionalFormatting>
  <conditionalFormatting sqref="D12">
    <cfRule type="duplicateValues" dxfId="591" priority="45166"/>
    <cfRule type="duplicateValues" dxfId="590" priority="45173"/>
    <cfRule type="duplicateValues" dxfId="589" priority="45174"/>
  </conditionalFormatting>
  <conditionalFormatting sqref="H10">
    <cfRule type="expression" dxfId="588" priority="260">
      <formula>XDT1047220="1/2UP"</formula>
    </cfRule>
    <cfRule type="expression" dxfId="587" priority="258">
      <formula>XDT1047220="LS"</formula>
    </cfRule>
    <cfRule type="expression" dxfId="586" priority="259">
      <formula>XDT1047220="1/2CL"</formula>
    </cfRule>
  </conditionalFormatting>
  <conditionalFormatting sqref="T4:U5 X4:Y5">
    <cfRule type="expression" dxfId="585" priority="2101">
      <formula>T4="CC"</formula>
    </cfRule>
    <cfRule type="expression" dxfId="584" priority="2104">
      <formula>T4="UP"</formula>
    </cfRule>
    <cfRule type="expression" dxfId="583" priority="2103">
      <formula>T4="SL1"</formula>
    </cfRule>
    <cfRule type="expression" dxfId="582" priority="2102">
      <formula>T4="ML"</formula>
    </cfRule>
  </conditionalFormatting>
  <conditionalFormatting sqref="T4:U5 AA4:AC4 AA5 AC5">
    <cfRule type="expression" dxfId="581" priority="2097">
      <formula>T4="1/2AL"</formula>
    </cfRule>
  </conditionalFormatting>
  <conditionalFormatting sqref="T4:U5">
    <cfRule type="expression" dxfId="580" priority="2091">
      <formula>XDU1047216="LS"</formula>
    </cfRule>
    <cfRule type="expression" dxfId="579" priority="2092">
      <formula>XDU1047216="1/2CL"</formula>
    </cfRule>
    <cfRule type="expression" dxfId="578" priority="2093">
      <formula>XDU1047216="1/2UP"</formula>
    </cfRule>
    <cfRule type="expression" dxfId="577" priority="2094">
      <formula>#REF!="1/2UP"</formula>
    </cfRule>
    <cfRule type="expression" dxfId="576" priority="2095">
      <formula>#REF!="LS"</formula>
    </cfRule>
    <cfRule type="expression" dxfId="575" priority="2096">
      <formula>#REF!="1/2CL"</formula>
    </cfRule>
    <cfRule type="expression" dxfId="574" priority="2081">
      <formula>T4="CL"</formula>
    </cfRule>
    <cfRule type="expression" dxfId="573" priority="2083">
      <formula>T4="CC"</formula>
    </cfRule>
    <cfRule type="expression" dxfId="572" priority="2079">
      <formula>XDU1047254="1/2UP"</formula>
    </cfRule>
    <cfRule type="expression" dxfId="571" priority="2084">
      <formula>T4="ML"</formula>
    </cfRule>
    <cfRule type="expression" dxfId="570" priority="2090">
      <formula>T4="OFF"</formula>
    </cfRule>
    <cfRule type="expression" dxfId="569" priority="2089">
      <formula>T4="AL"</formula>
    </cfRule>
    <cfRule type="expression" dxfId="568" priority="2088">
      <formula>T4="1/2AL"</formula>
    </cfRule>
    <cfRule type="expression" dxfId="567" priority="2087">
      <formula>T4="UP"</formula>
    </cfRule>
    <cfRule type="expression" dxfId="566" priority="2086">
      <formula>T4="FP"</formula>
    </cfRule>
    <cfRule type="expression" dxfId="565" priority="2085">
      <formula>T4="SL1"</formula>
    </cfRule>
  </conditionalFormatting>
  <conditionalFormatting sqref="T4:U11">
    <cfRule type="expression" dxfId="564" priority="237">
      <formula>T4="1/2UP"</formula>
    </cfRule>
  </conditionalFormatting>
  <conditionalFormatting sqref="T6:U11 X6:Y11">
    <cfRule type="expression" dxfId="563" priority="256">
      <formula>T6="SL1"</formula>
    </cfRule>
    <cfRule type="expression" dxfId="562" priority="257">
      <formula>T6="UP"</formula>
    </cfRule>
    <cfRule type="expression" dxfId="561" priority="255">
      <formula>T6="ML"</formula>
    </cfRule>
    <cfRule type="expression" dxfId="560" priority="254">
      <formula>T6="CC"</formula>
    </cfRule>
  </conditionalFormatting>
  <conditionalFormatting sqref="T6:U11 AA6:AC11">
    <cfRule type="expression" dxfId="559" priority="253">
      <formula>T6="1/2AL"</formula>
    </cfRule>
  </conditionalFormatting>
  <conditionalFormatting sqref="T6:U11">
    <cfRule type="expression" dxfId="558" priority="245">
      <formula>T6="AL"</formula>
    </cfRule>
    <cfRule type="expression" dxfId="557" priority="240">
      <formula>T6="ML"</formula>
    </cfRule>
    <cfRule type="expression" dxfId="556" priority="239">
      <formula>T6="CC"</formula>
    </cfRule>
    <cfRule type="expression" dxfId="555" priority="238">
      <formula>T6="CL"</formula>
    </cfRule>
    <cfRule type="expression" dxfId="554" priority="241">
      <formula>T6="SL1"</formula>
    </cfRule>
    <cfRule type="expression" dxfId="553" priority="236">
      <formula>XDU1047259="1/2UP"</formula>
    </cfRule>
    <cfRule type="expression" dxfId="552" priority="242">
      <formula>T6="FP"</formula>
    </cfRule>
    <cfRule type="expression" dxfId="551" priority="246">
      <formula>T6="OFF"</formula>
    </cfRule>
    <cfRule type="expression" dxfId="550" priority="244">
      <formula>T6="1/2AL"</formula>
    </cfRule>
    <cfRule type="expression" dxfId="549" priority="247">
      <formula>XDU1047221="LS"</formula>
    </cfRule>
    <cfRule type="expression" dxfId="548" priority="243">
      <formula>T6="UP"</formula>
    </cfRule>
    <cfRule type="expression" dxfId="547" priority="252">
      <formula>#REF!="1/2CL"</formula>
    </cfRule>
    <cfRule type="expression" dxfId="546" priority="251">
      <formula>#REF!="LS"</formula>
    </cfRule>
    <cfRule type="expression" dxfId="545" priority="250">
      <formula>#REF!="1/2UP"</formula>
    </cfRule>
    <cfRule type="expression" dxfId="544" priority="249">
      <formula>XDU1047221="1/2UP"</formula>
    </cfRule>
    <cfRule type="expression" dxfId="543" priority="248">
      <formula>XDU1047221="1/2CL"</formula>
    </cfRule>
  </conditionalFormatting>
  <conditionalFormatting sqref="T4:V5 X4:Y5">
    <cfRule type="expression" dxfId="542" priority="2100">
      <formula>T4="FP"</formula>
    </cfRule>
  </conditionalFormatting>
  <conditionalFormatting sqref="T4:V5 AA4:AC4 AA5 AC5">
    <cfRule type="expression" dxfId="541" priority="2098">
      <formula>T4="AL"</formula>
    </cfRule>
  </conditionalFormatting>
  <conditionalFormatting sqref="T4:V5">
    <cfRule type="expression" dxfId="540" priority="2082">
      <formula>T4="NOT"</formula>
    </cfRule>
  </conditionalFormatting>
  <conditionalFormatting sqref="T6:V11 X6:Y11">
    <cfRule type="expression" dxfId="539" priority="235">
      <formula>T6="FP"</formula>
    </cfRule>
  </conditionalFormatting>
  <conditionalFormatting sqref="T6:V11 AA6:AC11">
    <cfRule type="expression" dxfId="538" priority="234">
      <formula>T6="AL"</formula>
    </cfRule>
  </conditionalFormatting>
  <conditionalFormatting sqref="T6:V11">
    <cfRule type="expression" dxfId="537" priority="233">
      <formula>T6="NOT"</formula>
    </cfRule>
  </conditionalFormatting>
  <conditionalFormatting sqref="U4:V5 X4:Y5">
    <cfRule type="expression" dxfId="536" priority="1328021">
      <formula>$V$4:$Z$5="HL"</formula>
    </cfRule>
  </conditionalFormatting>
  <conditionalFormatting sqref="U6:V11 X6:Y11">
    <cfRule type="expression" dxfId="535" priority="232">
      <formula>$V$10:$Z$17="HL"</formula>
    </cfRule>
  </conditionalFormatting>
  <conditionalFormatting sqref="V4:V5 AP4:AS5">
    <cfRule type="expression" dxfId="534" priority="10671">
      <formula>V4="1/2UP"</formula>
    </cfRule>
  </conditionalFormatting>
  <conditionalFormatting sqref="V4:V5 AR4:AS5">
    <cfRule type="expression" dxfId="533" priority="10681">
      <formula>V4="1/2AL"</formula>
    </cfRule>
    <cfRule type="expression" dxfId="532" priority="10682">
      <formula>V4="OFF"</formula>
    </cfRule>
  </conditionalFormatting>
  <conditionalFormatting sqref="V4:V5">
    <cfRule type="expression" dxfId="531" priority="2151">
      <formula>V4="CL"</formula>
    </cfRule>
    <cfRule type="expression" dxfId="530" priority="2078">
      <formula>XDW1047222="LS"</formula>
    </cfRule>
  </conditionalFormatting>
  <conditionalFormatting sqref="V6:V11">
    <cfRule type="expression" dxfId="529" priority="231">
      <formula>V6="CL"</formula>
    </cfRule>
    <cfRule type="expression" dxfId="528" priority="230">
      <formula>XDW1047227="LS"</formula>
    </cfRule>
  </conditionalFormatting>
  <conditionalFormatting sqref="V4:W5">
    <cfRule type="expression" dxfId="527" priority="2007">
      <formula>XDW1047222="1/2CL"</formula>
    </cfRule>
    <cfRule type="expression" dxfId="526" priority="2009">
      <formula>XDW1047222="1/2UP"</formula>
    </cfRule>
  </conditionalFormatting>
  <conditionalFormatting sqref="V6:W11">
    <cfRule type="expression" dxfId="525" priority="229">
      <formula>XDW1047227="1/2UP"</formula>
    </cfRule>
    <cfRule type="expression" dxfId="524" priority="228">
      <formula>XDW1047227="1/2CL"</formula>
    </cfRule>
  </conditionalFormatting>
  <conditionalFormatting sqref="W4:W5">
    <cfRule type="expression" dxfId="523" priority="2006">
      <formula>XDX1047222="LS"</formula>
    </cfRule>
    <cfRule type="expression" dxfId="522" priority="2008">
      <formula>W4="1/2UP"</formula>
    </cfRule>
  </conditionalFormatting>
  <conditionalFormatting sqref="W4:W11">
    <cfRule type="expression" dxfId="521" priority="216">
      <formula>W4="NOT"</formula>
    </cfRule>
    <cfRule type="expression" dxfId="520" priority="223">
      <formula>W4="1/2AL"</formula>
    </cfRule>
    <cfRule type="expression" dxfId="519" priority="218">
      <formula>W4="FP"</formula>
    </cfRule>
    <cfRule type="expression" dxfId="518" priority="219">
      <formula>W4="CC"</formula>
    </cfRule>
    <cfRule type="expression" dxfId="517" priority="220">
      <formula>W4="ML"</formula>
    </cfRule>
    <cfRule type="expression" dxfId="516" priority="221">
      <formula>W4="SL1"</formula>
    </cfRule>
    <cfRule type="expression" dxfId="515" priority="225">
      <formula>W4="OFF"</formula>
    </cfRule>
    <cfRule type="expression" dxfId="514" priority="224">
      <formula>W4="AL"</formula>
    </cfRule>
    <cfRule type="expression" dxfId="513" priority="217">
      <formula>W4="CL"</formula>
    </cfRule>
    <cfRule type="expression" dxfId="512" priority="222">
      <formula>W4="UP"</formula>
    </cfRule>
  </conditionalFormatting>
  <conditionalFormatting sqref="W6:W11">
    <cfRule type="expression" dxfId="511" priority="226">
      <formula>XDX1047227="LS"</formula>
    </cfRule>
    <cfRule type="expression" dxfId="510" priority="227">
      <formula>W6="1/2UP"</formula>
    </cfRule>
  </conditionalFormatting>
  <conditionalFormatting sqref="X4">
    <cfRule type="expression" dxfId="509" priority="410">
      <formula>XDY1047274="1/2UP"</formula>
    </cfRule>
    <cfRule type="expression" dxfId="508" priority="409">
      <formula>XDY1047274="1/2CL"</formula>
    </cfRule>
    <cfRule type="expression" dxfId="507" priority="408">
      <formula>XDY1047274="LS"</formula>
    </cfRule>
  </conditionalFormatting>
  <conditionalFormatting sqref="X4:X5">
    <cfRule type="expression" dxfId="506" priority="2123">
      <formula>#REF!="LS"</formula>
    </cfRule>
    <cfRule type="expression" dxfId="505" priority="2124">
      <formula>#REF!="1/2CL"</formula>
    </cfRule>
    <cfRule type="expression" dxfId="504" priority="2122">
      <formula>XDY1047216="1/2UP"</formula>
    </cfRule>
    <cfRule type="expression" dxfId="503" priority="2121">
      <formula>XDY1047216="1/2CL"</formula>
    </cfRule>
    <cfRule type="expression" dxfId="502" priority="2120">
      <formula>XDY1047216="LS"</formula>
    </cfRule>
    <cfRule type="expression" dxfId="501" priority="2117">
      <formula>#REF!="1/2UP"</formula>
    </cfRule>
  </conditionalFormatting>
  <conditionalFormatting sqref="X6:X11">
    <cfRule type="expression" dxfId="500" priority="210">
      <formula>#REF!="1/2UP"</formula>
    </cfRule>
    <cfRule type="expression" dxfId="499" priority="211">
      <formula>XDY1047221="LS"</formula>
    </cfRule>
    <cfRule type="expression" dxfId="498" priority="213">
      <formula>XDY1047221="1/2UP"</formula>
    </cfRule>
    <cfRule type="expression" dxfId="497" priority="214">
      <formula>#REF!="LS"</formula>
    </cfRule>
    <cfRule type="expression" dxfId="496" priority="215">
      <formula>#REF!="1/2CL"</formula>
    </cfRule>
    <cfRule type="expression" dxfId="495" priority="212">
      <formula>XDY1047221="1/2CL"</formula>
    </cfRule>
  </conditionalFormatting>
  <conditionalFormatting sqref="X4:Y4">
    <cfRule type="expression" dxfId="494" priority="397">
      <formula>X4="OFF"</formula>
    </cfRule>
    <cfRule type="expression" dxfId="493" priority="398">
      <formula>X4="1/2AL"</formula>
    </cfRule>
    <cfRule type="expression" dxfId="492" priority="399">
      <formula>X4="AL"</formula>
    </cfRule>
    <cfRule type="expression" dxfId="491" priority="392">
      <formula>X4="FP"</formula>
    </cfRule>
    <cfRule type="expression" dxfId="490" priority="395">
      <formula>X4="SL1"</formula>
    </cfRule>
    <cfRule type="expression" dxfId="489" priority="394">
      <formula>X4="ML"</formula>
    </cfRule>
    <cfRule type="expression" dxfId="488" priority="393">
      <formula>X4="CC"</formula>
    </cfRule>
    <cfRule type="expression" dxfId="487" priority="396">
      <formula>X4="UP"</formula>
    </cfRule>
  </conditionalFormatting>
  <conditionalFormatting sqref="X4:Y5">
    <cfRule type="expression" dxfId="486" priority="2073">
      <formula>X4="OFF"</formula>
    </cfRule>
    <cfRule type="expression" dxfId="485" priority="2072">
      <formula>X4="AL"</formula>
    </cfRule>
    <cfRule type="expression" dxfId="484" priority="2071">
      <formula>X4="1/2AL"</formula>
    </cfRule>
  </conditionalFormatting>
  <conditionalFormatting sqref="X6:Y11">
    <cfRule type="expression" dxfId="483" priority="207">
      <formula>X6="1/2AL"</formula>
    </cfRule>
    <cfRule type="expression" dxfId="482" priority="209">
      <formula>X6="OFF"</formula>
    </cfRule>
    <cfRule type="expression" dxfId="481" priority="208">
      <formula>X6="AL"</formula>
    </cfRule>
  </conditionalFormatting>
  <conditionalFormatting sqref="X4:AI4 X5:AA5 AC5:AI5 T4:U5">
    <cfRule type="expression" dxfId="480" priority="9693">
      <formula>XDU1047254="1/2CL"</formula>
    </cfRule>
    <cfRule type="expression" dxfId="479" priority="9692">
      <formula>XDU1047254="LS"</formula>
    </cfRule>
  </conditionalFormatting>
  <conditionalFormatting sqref="X4:AI4 X5:AA5 AC5:AI5">
    <cfRule type="expression" dxfId="478" priority="3082">
      <formula>XDY1047254="1/2UP"</formula>
    </cfRule>
    <cfRule type="expression" dxfId="477" priority="3091">
      <formula>X4="1/2AL"</formula>
    </cfRule>
    <cfRule type="expression" dxfId="476" priority="2112">
      <formula>X4="FP"</formula>
    </cfRule>
    <cfRule type="expression" dxfId="475" priority="3084">
      <formula>X4="CL"</formula>
    </cfRule>
    <cfRule type="expression" dxfId="474" priority="3083">
      <formula>X4="1/2UP"</formula>
    </cfRule>
    <cfRule type="expression" dxfId="473" priority="2108">
      <formula>X4="NOT"</formula>
    </cfRule>
    <cfRule type="expression" dxfId="472" priority="3093">
      <formula>X4="OFF"</formula>
    </cfRule>
    <cfRule type="expression" dxfId="471" priority="3092">
      <formula>X4="AL"</formula>
    </cfRule>
    <cfRule type="expression" dxfId="470" priority="3090">
      <formula>X4="UP"</formula>
    </cfRule>
    <cfRule type="expression" dxfId="469" priority="3088">
      <formula>X4="SL1"</formula>
    </cfRule>
    <cfRule type="expression" dxfId="468" priority="3087">
      <formula>X4="ML"</formula>
    </cfRule>
    <cfRule type="expression" dxfId="467" priority="3086">
      <formula>X4="CC"</formula>
    </cfRule>
  </conditionalFormatting>
  <conditionalFormatting sqref="X6:AI11 T6:U11">
    <cfRule type="expression" dxfId="466" priority="202">
      <formula>XDU1047259="LS"</formula>
    </cfRule>
    <cfRule type="expression" dxfId="465" priority="203">
      <formula>XDU1047259="1/2CL"</formula>
    </cfRule>
  </conditionalFormatting>
  <conditionalFormatting sqref="X6:AI11">
    <cfRule type="expression" dxfId="464" priority="199">
      <formula>X6="1/2AL"</formula>
    </cfRule>
    <cfRule type="expression" dxfId="463" priority="197">
      <formula>X6="SL1"</formula>
    </cfRule>
    <cfRule type="expression" dxfId="462" priority="193">
      <formula>X6="FP"</formula>
    </cfRule>
    <cfRule type="expression" dxfId="461" priority="196">
      <formula>X6="ML"</formula>
    </cfRule>
    <cfRule type="expression" dxfId="460" priority="204">
      <formula>X6="NOT"</formula>
    </cfRule>
    <cfRule type="expression" dxfId="459" priority="194">
      <formula>X6="CL"</formula>
    </cfRule>
    <cfRule type="expression" dxfId="458" priority="195">
      <formula>X6="CC"</formula>
    </cfRule>
    <cfRule type="expression" dxfId="457" priority="200">
      <formula>X6="AL"</formula>
    </cfRule>
    <cfRule type="expression" dxfId="456" priority="205">
      <formula>XDY1047259="1/2UP"</formula>
    </cfRule>
    <cfRule type="expression" dxfId="455" priority="198">
      <formula>X6="UP"</formula>
    </cfRule>
    <cfRule type="expression" dxfId="454" priority="206">
      <formula>X6="1/2UP"</formula>
    </cfRule>
    <cfRule type="expression" dxfId="453" priority="201">
      <formula>X6="OFF"</formula>
    </cfRule>
  </conditionalFormatting>
  <conditionalFormatting sqref="Y4:Y5">
    <cfRule type="expression" dxfId="452" priority="2074">
      <formula>Y4="CL"</formula>
    </cfRule>
    <cfRule type="expression" dxfId="451" priority="2075">
      <formula>Y4="NOT"</formula>
    </cfRule>
    <cfRule type="expression" dxfId="450" priority="2070">
      <formula>Y4="1/2UP"</formula>
    </cfRule>
  </conditionalFormatting>
  <conditionalFormatting sqref="Y6:Y11">
    <cfRule type="expression" dxfId="449" priority="192">
      <formula>Y6="NOT"</formula>
    </cfRule>
    <cfRule type="expression" dxfId="448" priority="191">
      <formula>Y6="CL"</formula>
    </cfRule>
    <cfRule type="expression" dxfId="447" priority="190">
      <formula>Y6="1/2UP"</formula>
    </cfRule>
  </conditionalFormatting>
  <conditionalFormatting sqref="Y4:Z5">
    <cfRule type="expression" dxfId="446" priority="10011">
      <formula>XDZ1047274="1/2UP"</formula>
    </cfRule>
    <cfRule type="expression" dxfId="445" priority="10010">
      <formula>XDZ1047274="1/2CL"</formula>
    </cfRule>
    <cfRule type="expression" dxfId="444" priority="10009">
      <formula>XDZ1047274="LS"</formula>
    </cfRule>
  </conditionalFormatting>
  <conditionalFormatting sqref="Y6:Z11">
    <cfRule type="expression" dxfId="443" priority="188">
      <formula>XDZ1047279="1/2CL"</formula>
    </cfRule>
    <cfRule type="expression" dxfId="442" priority="189">
      <formula>XDZ1047279="1/2UP"</formula>
    </cfRule>
    <cfRule type="expression" dxfId="441" priority="187">
      <formula>XDZ1047279="LS"</formula>
    </cfRule>
  </conditionalFormatting>
  <conditionalFormatting sqref="Z4:Z5">
    <cfRule type="expression" dxfId="440" priority="2067">
      <formula>Z4="OFF"</formula>
    </cfRule>
    <cfRule type="expression" dxfId="439" priority="2069">
      <formula>Z4="AL"</formula>
    </cfRule>
    <cfRule type="expression" dxfId="438" priority="2068">
      <formula>Z4="1/2AL"</formula>
    </cfRule>
  </conditionalFormatting>
  <conditionalFormatting sqref="Z6:Z11">
    <cfRule type="expression" dxfId="437" priority="186">
      <formula>Z6="AL"</formula>
    </cfRule>
    <cfRule type="expression" dxfId="436" priority="184">
      <formula>Z6="OFF"</formula>
    </cfRule>
    <cfRule type="expression" dxfId="435" priority="185">
      <formula>Z6="1/2AL"</formula>
    </cfRule>
  </conditionalFormatting>
  <conditionalFormatting sqref="Z4:AC4 Z5:AA5 AC5">
    <cfRule type="expression" dxfId="434" priority="2062">
      <formula>Z4="FP"</formula>
    </cfRule>
    <cfRule type="expression" dxfId="433" priority="2065">
      <formula>Z4="SL1"</formula>
    </cfRule>
    <cfRule type="expression" dxfId="432" priority="2064">
      <formula>Z4="ML"</formula>
    </cfRule>
    <cfRule type="expression" dxfId="431" priority="2066">
      <formula>Z4="UP"</formula>
    </cfRule>
    <cfRule type="expression" dxfId="430" priority="2063">
      <formula>Z4="CC"</formula>
    </cfRule>
  </conditionalFormatting>
  <conditionalFormatting sqref="Z6:AC11">
    <cfRule type="expression" dxfId="429" priority="182">
      <formula>Z6="SL1"</formula>
    </cfRule>
    <cfRule type="expression" dxfId="428" priority="180">
      <formula>Z6="CC"</formula>
    </cfRule>
    <cfRule type="expression" dxfId="427" priority="183">
      <formula>Z6="UP"</formula>
    </cfRule>
    <cfRule type="expression" dxfId="426" priority="181">
      <formula>Z6="ML"</formula>
    </cfRule>
    <cfRule type="expression" dxfId="425" priority="179">
      <formula>Z6="FP"</formula>
    </cfRule>
  </conditionalFormatting>
  <conditionalFormatting sqref="AA4:AC4 T4:U5 AA5 AC5">
    <cfRule type="expression" dxfId="424" priority="2099">
      <formula>T4="OFF"</formula>
    </cfRule>
  </conditionalFormatting>
  <conditionalFormatting sqref="AA4:AC4 AA5 AC5">
    <cfRule type="expression" dxfId="423" priority="2060">
      <formula>#REF!="1/2CL"</formula>
    </cfRule>
    <cfRule type="expression" dxfId="422" priority="2061">
      <formula>#REF!="1/2UP"</formula>
    </cfRule>
    <cfRule type="expression" dxfId="421" priority="2059">
      <formula>#REF!="LS"</formula>
    </cfRule>
  </conditionalFormatting>
  <conditionalFormatting sqref="AA6:AC11">
    <cfRule type="expression" dxfId="420" priority="175">
      <formula>#REF!="LS"</formula>
    </cfRule>
    <cfRule type="expression" dxfId="419" priority="176">
      <formula>#REF!="1/2CL"</formula>
    </cfRule>
    <cfRule type="expression" dxfId="418" priority="178">
      <formula>AA6="OFF"</formula>
    </cfRule>
    <cfRule type="expression" dxfId="417" priority="177">
      <formula>#REF!="1/2UP"</formula>
    </cfRule>
  </conditionalFormatting>
  <conditionalFormatting sqref="AA4:AD4 AA5 AC5:AD5">
    <cfRule type="expression" dxfId="416" priority="2058">
      <formula>XEB1047216="1/2UP"</formula>
    </cfRule>
  </conditionalFormatting>
  <conditionalFormatting sqref="AA4:AD4 AC5:AD5 AA5">
    <cfRule type="expression" dxfId="415" priority="2057">
      <formula>XEB1047216="1/2CL"</formula>
    </cfRule>
    <cfRule type="expression" dxfId="414" priority="2056">
      <formula>XEB1047216="LS"</formula>
    </cfRule>
  </conditionalFormatting>
  <conditionalFormatting sqref="AA6:AD11">
    <cfRule type="expression" dxfId="413" priority="174">
      <formula>XEB1047221="1/2UP"</formula>
    </cfRule>
    <cfRule type="expression" dxfId="412" priority="172">
      <formula>XEB1047221="LS"</formula>
    </cfRule>
    <cfRule type="expression" dxfId="411" priority="173">
      <formula>XEB1047221="1/2CL"</formula>
    </cfRule>
  </conditionalFormatting>
  <conditionalFormatting sqref="AB5">
    <cfRule type="expression" dxfId="410" priority="338">
      <formula>XEC1047255="1/2CL"</formula>
    </cfRule>
    <cfRule type="expression" dxfId="409" priority="339">
      <formula>XEC1047275="LS"</formula>
    </cfRule>
    <cfRule type="expression" dxfId="408" priority="340">
      <formula>XEC1047275="1/2CL"</formula>
    </cfRule>
    <cfRule type="expression" dxfId="407" priority="333">
      <formula>AB5="UP"</formula>
    </cfRule>
    <cfRule type="expression" dxfId="406" priority="332">
      <formula>AB5="SL1"</formula>
    </cfRule>
    <cfRule type="expression" dxfId="405" priority="331">
      <formula>AB5="ML"</formula>
    </cfRule>
    <cfRule type="expression" dxfId="404" priority="330">
      <formula>AB5="CC"</formula>
    </cfRule>
    <cfRule type="expression" dxfId="403" priority="329">
      <formula>AB5="CL"</formula>
    </cfRule>
    <cfRule type="expression" dxfId="402" priority="328">
      <formula>AB5="1/2UP"</formula>
    </cfRule>
    <cfRule type="expression" dxfId="401" priority="327">
      <formula>XEC1047255="1/2UP"</formula>
    </cfRule>
    <cfRule type="expression" dxfId="400" priority="326">
      <formula>AB5="FP"</formula>
    </cfRule>
    <cfRule type="expression" dxfId="399" priority="325">
      <formula>AB5="NOT"</formula>
    </cfRule>
    <cfRule type="expression" dxfId="398" priority="324">
      <formula>AB5="AL"</formula>
    </cfRule>
    <cfRule type="expression" dxfId="397" priority="323">
      <formula>AB5="1/2AL"</formula>
    </cfRule>
    <cfRule type="expression" dxfId="396" priority="322">
      <formula>AB5="OFF"</formula>
    </cfRule>
    <cfRule type="expression" dxfId="395" priority="321">
      <formula>AB5="UP"</formula>
    </cfRule>
    <cfRule type="expression" dxfId="394" priority="320">
      <formula>AB5="SL1"</formula>
    </cfRule>
    <cfRule type="expression" dxfId="393" priority="319">
      <formula>AB5="ML"</formula>
    </cfRule>
    <cfRule type="expression" dxfId="392" priority="318">
      <formula>AB5="CC"</formula>
    </cfRule>
    <cfRule type="expression" dxfId="391" priority="317">
      <formula>AB5="FP"</formula>
    </cfRule>
    <cfRule type="expression" dxfId="390" priority="341">
      <formula>XEC1047275="1/2UP"</formula>
    </cfRule>
    <cfRule type="expression" dxfId="389" priority="335">
      <formula>AB5="AL"</formula>
    </cfRule>
    <cfRule type="expression" dxfId="388" priority="336">
      <formula>AB5="OFF"</formula>
    </cfRule>
    <cfRule type="expression" dxfId="387" priority="337">
      <formula>XEC1047255="LS"</formula>
    </cfRule>
    <cfRule type="expression" dxfId="386" priority="334">
      <formula>AB5="1/2AL"</formula>
    </cfRule>
  </conditionalFormatting>
  <conditionalFormatting sqref="AD4:AD5">
    <cfRule type="expression" dxfId="385" priority="2050">
      <formula>AD4="AL"</formula>
    </cfRule>
    <cfRule type="expression" dxfId="384" priority="2041">
      <formula>XEE1047204="1/2UP"</formula>
    </cfRule>
    <cfRule type="expression" dxfId="383" priority="2042">
      <formula>XEE1047204="LS"</formula>
    </cfRule>
    <cfRule type="expression" dxfId="382" priority="2043">
      <formula>XEE1047204="1/2CL"</formula>
    </cfRule>
    <cfRule type="expression" dxfId="381" priority="2044">
      <formula>AD4="FP"</formula>
    </cfRule>
    <cfRule type="expression" dxfId="380" priority="2045">
      <formula>AD4="CC"</formula>
    </cfRule>
    <cfRule type="expression" dxfId="379" priority="2046">
      <formula>AD4="ML"</formula>
    </cfRule>
    <cfRule type="expression" dxfId="378" priority="2047">
      <formula>AD4="SL1"</formula>
    </cfRule>
    <cfRule type="expression" dxfId="377" priority="2048">
      <formula>AD4="UP"</formula>
    </cfRule>
    <cfRule type="expression" dxfId="376" priority="2051">
      <formula>AD4="OFF"</formula>
    </cfRule>
    <cfRule type="expression" dxfId="375" priority="2049">
      <formula>AD4="1/2AL"</formula>
    </cfRule>
  </conditionalFormatting>
  <conditionalFormatting sqref="AD6:AD11">
    <cfRule type="expression" dxfId="374" priority="171">
      <formula>AD6="OFF"</formula>
    </cfRule>
    <cfRule type="expression" dxfId="373" priority="166">
      <formula>AD6="ML"</formula>
    </cfRule>
    <cfRule type="expression" dxfId="372" priority="162">
      <formula>XEE1047209="LS"</formula>
    </cfRule>
    <cfRule type="expression" dxfId="371" priority="163">
      <formula>XEE1047209="1/2CL"</formula>
    </cfRule>
    <cfRule type="expression" dxfId="370" priority="164">
      <formula>AD6="FP"</formula>
    </cfRule>
    <cfRule type="expression" dxfId="369" priority="165">
      <formula>AD6="CC"</formula>
    </cfRule>
    <cfRule type="expression" dxfId="368" priority="170">
      <formula>AD6="AL"</formula>
    </cfRule>
    <cfRule type="expression" dxfId="367" priority="167">
      <formula>AD6="SL1"</formula>
    </cfRule>
    <cfRule type="expression" dxfId="366" priority="168">
      <formula>AD6="UP"</formula>
    </cfRule>
    <cfRule type="expression" dxfId="365" priority="169">
      <formula>AD6="1/2AL"</formula>
    </cfRule>
    <cfRule type="expression" dxfId="364" priority="161">
      <formula>XEE1047209="1/2UP"</formula>
    </cfRule>
  </conditionalFormatting>
  <conditionalFormatting sqref="AF5">
    <cfRule type="expression" dxfId="363" priority="287">
      <formula>AF5="CL"</formula>
    </cfRule>
  </conditionalFormatting>
  <conditionalFormatting sqref="AF7:AF9">
    <cfRule type="expression" dxfId="362" priority="160">
      <formula>AF7="CL"</formula>
    </cfRule>
  </conditionalFormatting>
  <conditionalFormatting sqref="AF11">
    <cfRule type="expression" dxfId="361" priority="159">
      <formula>AF11="CL"</formula>
    </cfRule>
  </conditionalFormatting>
  <conditionalFormatting sqref="AG4:AH11">
    <cfRule type="expression" dxfId="360" priority="158">
      <formula>AG4="CL"</formula>
    </cfRule>
  </conditionalFormatting>
  <conditionalFormatting sqref="AJ4:AJ5 AN4:AO4 AO5">
    <cfRule type="expression" dxfId="359" priority="2132">
      <formula>XEK1047264="LS"</formula>
    </cfRule>
    <cfRule type="expression" dxfId="358" priority="2133">
      <formula>XEK1047264="1/2CL"</formula>
    </cfRule>
  </conditionalFormatting>
  <conditionalFormatting sqref="AJ4:AJ5">
    <cfRule type="expression" dxfId="357" priority="2134">
      <formula>AJ4="NOT"</formula>
    </cfRule>
    <cfRule type="expression" dxfId="356" priority="2131">
      <formula>XEK1047264="1/2UP"</formula>
    </cfRule>
    <cfRule type="expression" dxfId="355" priority="2135">
      <formula>AJ4="FP"</formula>
    </cfRule>
  </conditionalFormatting>
  <conditionalFormatting sqref="AJ6:AJ8 AJ10:AJ11 AK6:AO11">
    <cfRule type="expression" dxfId="354" priority="157">
      <formula>AJ6="CL"</formula>
    </cfRule>
  </conditionalFormatting>
  <conditionalFormatting sqref="AJ6:AJ8 AJ10:AJ11 AN6:AO11">
    <cfRule type="expression" dxfId="353" priority="155">
      <formula>XEK1047269="LS"</formula>
    </cfRule>
    <cfRule type="expression" dxfId="352" priority="156">
      <formula>XEK1047269="1/2CL"</formula>
    </cfRule>
  </conditionalFormatting>
  <conditionalFormatting sqref="AJ6:AJ8 AJ10:AJ11">
    <cfRule type="expression" dxfId="351" priority="152">
      <formula>XEK1047269="1/2UP"</formula>
    </cfRule>
    <cfRule type="expression" dxfId="350" priority="153">
      <formula>AJ6="NOT"</formula>
    </cfRule>
    <cfRule type="expression" dxfId="349" priority="154">
      <formula>AJ6="FP"</formula>
    </cfRule>
  </conditionalFormatting>
  <conditionalFormatting sqref="AJ6:AJ8 AK6:AO11 AJ10:AJ11">
    <cfRule type="expression" dxfId="348" priority="121">
      <formula>AJ6="AL"</formula>
    </cfRule>
    <cfRule type="expression" dxfId="347" priority="122">
      <formula>AJ6="OFF"</formula>
    </cfRule>
    <cfRule type="expression" dxfId="346" priority="120">
      <formula>AJ6="1/2AL"</formula>
    </cfRule>
    <cfRule type="expression" dxfId="345" priority="119">
      <formula>AJ6="UP"</formula>
    </cfRule>
  </conditionalFormatting>
  <conditionalFormatting sqref="AJ6:AJ8 AN6:AO11 AJ10:AJ11">
    <cfRule type="expression" dxfId="344" priority="118">
      <formula>AJ6="1/2UP"</formula>
    </cfRule>
  </conditionalFormatting>
  <conditionalFormatting sqref="AJ9">
    <cfRule type="expression" dxfId="343" priority="137">
      <formula>AJ9="1/2AL"</formula>
    </cfRule>
    <cfRule type="expression" dxfId="342" priority="145">
      <formula>XEL1047270="1/2CL"</formula>
    </cfRule>
    <cfRule type="expression" dxfId="341" priority="146">
      <formula>XEK1047266="1/2UP"</formula>
    </cfRule>
    <cfRule type="expression" dxfId="340" priority="147">
      <formula>AJ9="NOT"</formula>
    </cfRule>
    <cfRule type="expression" dxfId="339" priority="132">
      <formula>AJ9="CL"</formula>
    </cfRule>
    <cfRule type="expression" dxfId="338" priority="136">
      <formula>AJ9="UP"</formula>
    </cfRule>
    <cfRule type="expression" dxfId="337" priority="138">
      <formula>AJ9="AL"</formula>
    </cfRule>
    <cfRule type="expression" dxfId="336" priority="139">
      <formula>AJ9="OFF"</formula>
    </cfRule>
    <cfRule type="expression" dxfId="335" priority="148">
      <formula>AJ9="FP"</formula>
    </cfRule>
    <cfRule type="expression" dxfId="334" priority="141">
      <formula>XEK1047266="1/2CL"</formula>
    </cfRule>
    <cfRule type="expression" dxfId="333" priority="142">
      <formula>AJ9="1/2UP"</formula>
    </cfRule>
    <cfRule type="expression" dxfId="332" priority="143">
      <formula>XEL1047270="1/2UP"</formula>
    </cfRule>
    <cfRule type="expression" dxfId="331" priority="144">
      <formula>XEL1047270="LS"</formula>
    </cfRule>
    <cfRule type="expression" dxfId="330" priority="140">
      <formula>XEK1047266="LS"</formula>
    </cfRule>
  </conditionalFormatting>
  <conditionalFormatting sqref="AJ4:AL5 AN4:AO4 AO5">
    <cfRule type="expression" dxfId="329" priority="2137">
      <formula>AJ4="CC"</formula>
    </cfRule>
    <cfRule type="expression" dxfId="328" priority="2139">
      <formula>AJ4="SL1"</formula>
    </cfRule>
    <cfRule type="expression" dxfId="327" priority="2138">
      <formula>AJ4="ML"</formula>
    </cfRule>
  </conditionalFormatting>
  <conditionalFormatting sqref="AJ4:AL5">
    <cfRule type="expression" dxfId="326" priority="2136">
      <formula>AJ4="CL"</formula>
    </cfRule>
  </conditionalFormatting>
  <conditionalFormatting sqref="AJ6:AO11">
    <cfRule type="expression" dxfId="325" priority="135">
      <formula>AJ6="SL1"</formula>
    </cfRule>
    <cfRule type="expression" dxfId="324" priority="134">
      <formula>AJ6="ML"</formula>
    </cfRule>
    <cfRule type="expression" dxfId="323" priority="133">
      <formula>AJ6="CC"</formula>
    </cfRule>
  </conditionalFormatting>
  <conditionalFormatting sqref="AK4:AL5">
    <cfRule type="expression" dxfId="322" priority="2013">
      <formula>AK4="FP"</formula>
    </cfRule>
    <cfRule type="expression" dxfId="321" priority="2012">
      <formula>AK4="NOT"</formula>
    </cfRule>
    <cfRule type="expression" dxfId="320" priority="1327652">
      <formula>XEM1047262="1/2CL"</formula>
    </cfRule>
    <cfRule type="expression" dxfId="319" priority="1327649">
      <formula>AK4="1/2UP"</formula>
    </cfRule>
    <cfRule type="expression" dxfId="318" priority="1327651">
      <formula>XEM1047262="LS"</formula>
    </cfRule>
    <cfRule type="expression" dxfId="317" priority="1327650">
      <formula>XEM1047262="1/2UP"</formula>
    </cfRule>
    <cfRule type="expression" dxfId="316" priority="1327653">
      <formula>XEL1047258="1/2UP"</formula>
    </cfRule>
    <cfRule type="expression" dxfId="315" priority="1327647">
      <formula>XEL1047258="LS"</formula>
    </cfRule>
    <cfRule type="expression" dxfId="314" priority="1327648">
      <formula>XEL1047258="1/2CL"</formula>
    </cfRule>
  </conditionalFormatting>
  <conditionalFormatting sqref="AK6:AM11">
    <cfRule type="expression" dxfId="313" priority="128">
      <formula>XEM1047267="1/2UP"</formula>
    </cfRule>
    <cfRule type="expression" dxfId="312" priority="131">
      <formula>XEL1047263="1/2UP"</formula>
    </cfRule>
    <cfRule type="expression" dxfId="311" priority="130">
      <formula>XEM1047267="1/2CL"</formula>
    </cfRule>
    <cfRule type="expression" dxfId="310" priority="129">
      <formula>XEM1047267="LS"</formula>
    </cfRule>
    <cfRule type="expression" dxfId="309" priority="125">
      <formula>XEL1047263="LS"</formula>
    </cfRule>
    <cfRule type="expression" dxfId="308" priority="127">
      <formula>AK6="1/2UP"</formula>
    </cfRule>
    <cfRule type="expression" dxfId="307" priority="126">
      <formula>XEL1047263="1/2CL"</formula>
    </cfRule>
  </conditionalFormatting>
  <conditionalFormatting sqref="AK6:AO11">
    <cfRule type="expression" dxfId="306" priority="124">
      <formula>AK6="FP"</formula>
    </cfRule>
    <cfRule type="expression" dxfId="305" priority="123">
      <formula>AK6="NOT"</formula>
    </cfRule>
  </conditionalFormatting>
  <conditionalFormatting sqref="AM4">
    <cfRule type="expression" dxfId="304" priority="390">
      <formula>XEN1047274="1/2CL"</formula>
    </cfRule>
    <cfRule type="expression" dxfId="303" priority="373">
      <formula>AM4="1/2AL"</formula>
    </cfRule>
    <cfRule type="expression" dxfId="302" priority="391">
      <formula>XEN1047274="1/2UP"</formula>
    </cfRule>
    <cfRule type="expression" dxfId="301" priority="385">
      <formula>AM4="AL"</formula>
    </cfRule>
    <cfRule type="expression" dxfId="300" priority="389">
      <formula>XEN1047274="LS"</formula>
    </cfRule>
    <cfRule type="expression" dxfId="299" priority="388">
      <formula>XEN1047254="1/2CL"</formula>
    </cfRule>
    <cfRule type="expression" dxfId="298" priority="374">
      <formula>AM4="AL"</formula>
    </cfRule>
    <cfRule type="expression" dxfId="297" priority="377">
      <formula>XEN1047254="1/2UP"</formula>
    </cfRule>
    <cfRule type="expression" dxfId="296" priority="386">
      <formula>AM4="OFF"</formula>
    </cfRule>
    <cfRule type="expression" dxfId="295" priority="387">
      <formula>XEN1047254="LS"</formula>
    </cfRule>
    <cfRule type="expression" dxfId="294" priority="383">
      <formula>AM4="UP"</formula>
    </cfRule>
    <cfRule type="expression" dxfId="293" priority="384">
      <formula>AM4="1/2AL"</formula>
    </cfRule>
    <cfRule type="expression" dxfId="292" priority="378">
      <formula>AM4="1/2UP"</formula>
    </cfRule>
    <cfRule type="expression" dxfId="291" priority="380">
      <formula>AM4="CC"</formula>
    </cfRule>
    <cfRule type="expression" dxfId="290" priority="381">
      <formula>AM4="ML"</formula>
    </cfRule>
    <cfRule type="expression" dxfId="289" priority="382">
      <formula>AM4="SL1"</formula>
    </cfRule>
  </conditionalFormatting>
  <conditionalFormatting sqref="AM4:AM5">
    <cfRule type="expression" dxfId="288" priority="304">
      <formula>AM4="FP"</formula>
    </cfRule>
    <cfRule type="expression" dxfId="287" priority="309">
      <formula>AM4="ML"</formula>
    </cfRule>
    <cfRule type="expression" dxfId="286" priority="310">
      <formula>AM4="SL1"</formula>
    </cfRule>
    <cfRule type="expression" dxfId="285" priority="311">
      <formula>AM4="UP"</formula>
    </cfRule>
    <cfRule type="expression" dxfId="284" priority="314">
      <formula>AM4="OFF"</formula>
    </cfRule>
    <cfRule type="expression" dxfId="283" priority="308">
      <formula>AM4="CC"</formula>
    </cfRule>
  </conditionalFormatting>
  <conditionalFormatting sqref="AM5">
    <cfRule type="expression" dxfId="282" priority="302">
      <formula>AM5="CL"</formula>
    </cfRule>
    <cfRule type="expression" dxfId="281" priority="303">
      <formula>AM5="NOT"</formula>
    </cfRule>
    <cfRule type="expression" dxfId="280" priority="305">
      <formula>XEN1047255="1/2UP"</formula>
    </cfRule>
    <cfRule type="expression" dxfId="279" priority="306">
      <formula>AM5="1/2UP"</formula>
    </cfRule>
    <cfRule type="expression" dxfId="278" priority="316">
      <formula>XEN1047255="1/2CL"</formula>
    </cfRule>
    <cfRule type="expression" dxfId="277" priority="307">
      <formula>AM5="CL"</formula>
    </cfRule>
    <cfRule type="expression" dxfId="276" priority="312">
      <formula>AM5="1/2AL"</formula>
    </cfRule>
    <cfRule type="expression" dxfId="275" priority="315">
      <formula>XEN1047255="LS"</formula>
    </cfRule>
    <cfRule type="expression" dxfId="274" priority="313">
      <formula>AM5="AL"</formula>
    </cfRule>
  </conditionalFormatting>
  <conditionalFormatting sqref="AM4:AO4">
    <cfRule type="expression" dxfId="273" priority="375">
      <formula>AM4="NOT"</formula>
    </cfRule>
    <cfRule type="expression" dxfId="272" priority="376">
      <formula>AM4="FP"</formula>
    </cfRule>
    <cfRule type="expression" dxfId="271" priority="379">
      <formula>AM4="CL"</formula>
    </cfRule>
  </conditionalFormatting>
  <conditionalFormatting sqref="AN5">
    <cfRule type="expression" dxfId="270" priority="357">
      <formula>AN5="SL1"</formula>
    </cfRule>
    <cfRule type="expression" dxfId="269" priority="348">
      <formula>AN5="1/2AL"</formula>
    </cfRule>
    <cfRule type="expression" dxfId="268" priority="366">
      <formula>XEO1047275="1/2UP"</formula>
    </cfRule>
    <cfRule type="expression" dxfId="267" priority="342">
      <formula>AN5="FP"</formula>
    </cfRule>
    <cfRule type="expression" dxfId="266" priority="343">
      <formula>AN5="CC"</formula>
    </cfRule>
    <cfRule type="expression" dxfId="265" priority="344">
      <formula>AN5="ML"</formula>
    </cfRule>
    <cfRule type="expression" dxfId="264" priority="345">
      <formula>AN5="SL1"</formula>
    </cfRule>
    <cfRule type="expression" dxfId="263" priority="346">
      <formula>AN5="UP"</formula>
    </cfRule>
    <cfRule type="expression" dxfId="262" priority="347">
      <formula>AN5="OFF"</formula>
    </cfRule>
    <cfRule type="expression" dxfId="261" priority="349">
      <formula>AN5="AL"</formula>
    </cfRule>
    <cfRule type="expression" dxfId="260" priority="352">
      <formula>XEO1047255="1/2UP"</formula>
    </cfRule>
    <cfRule type="expression" dxfId="259" priority="353">
      <formula>AN5="1/2UP"</formula>
    </cfRule>
    <cfRule type="expression" dxfId="258" priority="355">
      <formula>AN5="CC"</formula>
    </cfRule>
    <cfRule type="expression" dxfId="257" priority="356">
      <formula>AN5="ML"</formula>
    </cfRule>
    <cfRule type="expression" dxfId="256" priority="358">
      <formula>AN5="UP"</formula>
    </cfRule>
    <cfRule type="expression" dxfId="255" priority="359">
      <formula>AN5="1/2AL"</formula>
    </cfRule>
    <cfRule type="expression" dxfId="254" priority="360">
      <formula>AN5="AL"</formula>
    </cfRule>
    <cfRule type="expression" dxfId="253" priority="361">
      <formula>AN5="OFF"</formula>
    </cfRule>
    <cfRule type="expression" dxfId="252" priority="362">
      <formula>XEO1047255="LS"</formula>
    </cfRule>
    <cfRule type="expression" dxfId="251" priority="363">
      <formula>XEO1047255="1/2CL"</formula>
    </cfRule>
    <cfRule type="expression" dxfId="250" priority="364">
      <formula>XEO1047275="LS"</formula>
    </cfRule>
    <cfRule type="expression" dxfId="249" priority="365">
      <formula>XEO1047275="1/2CL"</formula>
    </cfRule>
  </conditionalFormatting>
  <conditionalFormatting sqref="AN4:AO4 AJ4:AJ5 AO5">
    <cfRule type="expression" dxfId="248" priority="2144">
      <formula>AJ4="1/2UP"</formula>
    </cfRule>
  </conditionalFormatting>
  <conditionalFormatting sqref="AN4:AO4 AJ4:AL5 AO5">
    <cfRule type="expression" dxfId="247" priority="2141">
      <formula>AJ4="1/2AL"</formula>
    </cfRule>
    <cfRule type="expression" dxfId="246" priority="2142">
      <formula>AJ4="AL"</formula>
    </cfRule>
    <cfRule type="expression" dxfId="245" priority="2140">
      <formula>AJ4="UP"</formula>
    </cfRule>
    <cfRule type="expression" dxfId="244" priority="2143">
      <formula>AJ4="OFF"</formula>
    </cfRule>
  </conditionalFormatting>
  <conditionalFormatting sqref="AN4:AO4 AO5">
    <cfRule type="expression" dxfId="243" priority="1327668">
      <formula>XEO1047264="1/2UP"</formula>
    </cfRule>
  </conditionalFormatting>
  <conditionalFormatting sqref="AN5:AO5">
    <cfRule type="expression" dxfId="242" priority="354">
      <formula>AN5="CL"</formula>
    </cfRule>
    <cfRule type="expression" dxfId="241" priority="351">
      <formula>AN5="FP"</formula>
    </cfRule>
    <cfRule type="expression" dxfId="240" priority="350">
      <formula>AN5="NOT"</formula>
    </cfRule>
  </conditionalFormatting>
  <conditionalFormatting sqref="AN6:AO11">
    <cfRule type="expression" dxfId="239" priority="117">
      <formula>XEO1047269="1/2UP"</formula>
    </cfRule>
  </conditionalFormatting>
  <conditionalFormatting sqref="AP4:AQ11">
    <cfRule type="expression" dxfId="238" priority="1328131">
      <formula>#REF!="1/2UP"</formula>
    </cfRule>
    <cfRule type="expression" dxfId="237" priority="1328130">
      <formula>#REF!="1/2CL"</formula>
    </cfRule>
    <cfRule type="expression" dxfId="236" priority="1328129">
      <formula>#REF!="LS"</formula>
    </cfRule>
    <cfRule type="expression" dxfId="235" priority="1328128">
      <formula>AP4="AL"</formula>
    </cfRule>
    <cfRule type="expression" dxfId="234" priority="1328125">
      <formula>AP4="UP"</formula>
    </cfRule>
    <cfRule type="expression" dxfId="233" priority="1328127">
      <formula>AP4="OFF"</formula>
    </cfRule>
    <cfRule type="expression" dxfId="232" priority="1328126">
      <formula>AP4="1/2AL"</formula>
    </cfRule>
  </conditionalFormatting>
  <conditionalFormatting sqref="AP4:AS5 V4:V5">
    <cfRule type="expression" dxfId="231" priority="10667">
      <formula>V4="ML"</formula>
    </cfRule>
    <cfRule type="expression" dxfId="230" priority="10668">
      <formula>V4="SL1"</formula>
    </cfRule>
    <cfRule type="expression" dxfId="229" priority="10666">
      <formula>V4="CC"</formula>
    </cfRule>
  </conditionalFormatting>
  <conditionalFormatting sqref="AP4:AS5">
    <cfRule type="expression" dxfId="228" priority="9638">
      <formula>AP4="NOT"</formula>
    </cfRule>
    <cfRule type="expression" dxfId="227" priority="10672">
      <formula>AP4="CL"</formula>
    </cfRule>
    <cfRule type="expression" dxfId="226" priority="10693">
      <formula>AP4="FP"</formula>
    </cfRule>
  </conditionalFormatting>
  <conditionalFormatting sqref="AP6:AS8 V6:V11 AP9:AR9 H10 AP10:AS11 AV11:AX11">
    <cfRule type="expression" dxfId="225" priority="105">
      <formula>H6="SL1"</formula>
    </cfRule>
    <cfRule type="expression" dxfId="224" priority="104">
      <formula>H6="ML"</formula>
    </cfRule>
    <cfRule type="expression" dxfId="223" priority="103">
      <formula>H6="CC"</formula>
    </cfRule>
  </conditionalFormatting>
  <conditionalFormatting sqref="AP6:AS8 AP9:AR9 H10 AP10:AS11 AV11:AX11 V6:V11">
    <cfRule type="expression" dxfId="222" priority="109">
      <formula>H6="1/2UP"</formula>
    </cfRule>
  </conditionalFormatting>
  <conditionalFormatting sqref="AP6:AS8 AP9:AR9 H10 AP10:AS11 AV11:AX11">
    <cfRule type="expression" dxfId="221" priority="106">
      <formula>H6="NOT"</formula>
    </cfRule>
    <cfRule type="expression" dxfId="220" priority="108">
      <formula>H6="FP"</formula>
    </cfRule>
  </conditionalFormatting>
  <conditionalFormatting sqref="AP6:AS11 H10 AV11:AX11">
    <cfRule type="expression" dxfId="219" priority="107">
      <formula>H6="CL"</formula>
    </cfRule>
  </conditionalFormatting>
  <conditionalFormatting sqref="AR4:AS5 V4:V5">
    <cfRule type="expression" dxfId="218" priority="10680">
      <formula>V4="UP"</formula>
    </cfRule>
  </conditionalFormatting>
  <conditionalFormatting sqref="AR4:AS5">
    <cfRule type="expression" dxfId="217" priority="6890">
      <formula>C1047222="1/2CL"</formula>
    </cfRule>
    <cfRule type="expression" dxfId="216" priority="6889">
      <formula>C1047222="LS"</formula>
    </cfRule>
    <cfRule type="expression" dxfId="215" priority="6891">
      <formula>C1047222="1/2UP"</formula>
    </cfRule>
    <cfRule type="expression" dxfId="214" priority="9637">
      <formula>AR4="AL"</formula>
    </cfRule>
  </conditionalFormatting>
  <conditionalFormatting sqref="AR6:AS8 T6:V11 AR9 H10 AR10:AS11">
    <cfRule type="expression" dxfId="213" priority="102">
      <formula>H6="OFF"</formula>
    </cfRule>
  </conditionalFormatting>
  <conditionalFormatting sqref="AR6:AS8 V6:V11 AR9 H10 AR10:AS11">
    <cfRule type="expression" dxfId="212" priority="101">
      <formula>H6="1/2AL"</formula>
    </cfRule>
  </conditionalFormatting>
  <conditionalFormatting sqref="AR6:AS8 AR9 H10 AR10:AS11 V6:V11">
    <cfRule type="expression" dxfId="211" priority="100">
      <formula>H6="UP"</formula>
    </cfRule>
  </conditionalFormatting>
  <conditionalFormatting sqref="AR6:AS8 AR9 AR10:AS11 H10">
    <cfRule type="expression" dxfId="210" priority="99">
      <formula>H6="AL"</formula>
    </cfRule>
  </conditionalFormatting>
  <conditionalFormatting sqref="AR6:AS8 AR9 AR10:AS11">
    <cfRule type="expression" dxfId="209" priority="98">
      <formula>C1047227="1/2UP"</formula>
    </cfRule>
    <cfRule type="expression" dxfId="208" priority="96">
      <formula>C1047227="LS"</formula>
    </cfRule>
    <cfRule type="expression" dxfId="207" priority="97">
      <formula>C1047227="1/2CL"</formula>
    </cfRule>
  </conditionalFormatting>
  <conditionalFormatting sqref="AS9 AV10:AX10">
    <cfRule type="expression" dxfId="206" priority="1328059">
      <formula>AS9="NOT"</formula>
    </cfRule>
  </conditionalFormatting>
  <conditionalFormatting sqref="AS9 AX10">
    <cfRule type="expression" dxfId="205" priority="1328051">
      <formula>AS9="OFF"</formula>
    </cfRule>
    <cfRule type="expression" dxfId="204" priority="1328048">
      <formula>AS9="UP"</formula>
    </cfRule>
    <cfRule type="expression" dxfId="203" priority="1328049">
      <formula>AS9="1/2AL"</formula>
    </cfRule>
    <cfRule type="expression" dxfId="202" priority="1328058">
      <formula>#REF!="1/2UP"</formula>
    </cfRule>
    <cfRule type="expression" dxfId="201" priority="1328050">
      <formula>AS9="AL"</formula>
    </cfRule>
    <cfRule type="expression" dxfId="200" priority="1328052">
      <formula>#REF!="LS"</formula>
    </cfRule>
    <cfRule type="expression" dxfId="199" priority="1328057">
      <formula>#REF!="1/2CL"</formula>
    </cfRule>
    <cfRule type="expression" dxfId="198" priority="1328056">
      <formula>#REF!="LS"</formula>
    </cfRule>
    <cfRule type="expression" dxfId="197" priority="1328053">
      <formula>#REF!="1/2CL"</formula>
    </cfRule>
    <cfRule type="expression" dxfId="196" priority="1328055">
      <formula>#REF!="1/2UP"</formula>
    </cfRule>
    <cfRule type="expression" dxfId="195" priority="1328054">
      <formula>AS9="1/2UP"</formula>
    </cfRule>
    <cfRule type="expression" dxfId="194" priority="1328060">
      <formula>AS9="FP"</formula>
    </cfRule>
  </conditionalFormatting>
  <conditionalFormatting sqref="AT4:AU5">
    <cfRule type="expression" dxfId="193" priority="465">
      <formula>AT4="FP"</formula>
    </cfRule>
    <cfRule type="expression" dxfId="192" priority="533">
      <formula>AT4="1/2UP"</formula>
    </cfRule>
    <cfRule type="expression" dxfId="191" priority="464">
      <formula>AT4="NOT"</formula>
    </cfRule>
    <cfRule type="expression" dxfId="190" priority="466">
      <formula>AT4="CL"</formula>
    </cfRule>
    <cfRule type="expression" dxfId="189" priority="467">
      <formula>AT4="CC"</formula>
    </cfRule>
    <cfRule type="expression" dxfId="188" priority="463">
      <formula>E1047264="1/2CL"</formula>
    </cfRule>
    <cfRule type="expression" dxfId="187" priority="468">
      <formula>AT4="ML"</formula>
    </cfRule>
    <cfRule type="expression" dxfId="186" priority="469">
      <formula>AT4="SL1"</formula>
    </cfRule>
    <cfRule type="expression" dxfId="185" priority="531">
      <formula>AT4="AL"</formula>
    </cfRule>
    <cfRule type="expression" dxfId="184" priority="534">
      <formula>E1047264="1/2UP"</formula>
    </cfRule>
    <cfRule type="expression" dxfId="183" priority="462">
      <formula>E1047264="LS"</formula>
    </cfRule>
  </conditionalFormatting>
  <conditionalFormatting sqref="AT6:AU9">
    <cfRule type="expression" dxfId="182" priority="77">
      <formula>AT6="1/2UP"</formula>
    </cfRule>
    <cfRule type="expression" dxfId="181" priority="78">
      <formula>E1047269="1/2UP"</formula>
    </cfRule>
    <cfRule type="expression" dxfId="180" priority="76">
      <formula>AT6="AL"</formula>
    </cfRule>
  </conditionalFormatting>
  <conditionalFormatting sqref="AT6:AU11">
    <cfRule type="expression" dxfId="179" priority="72">
      <formula>AT6="CL"</formula>
    </cfRule>
    <cfRule type="expression" dxfId="178" priority="71">
      <formula>AT6="FP"</formula>
    </cfRule>
    <cfRule type="expression" dxfId="177" priority="70">
      <formula>AT6="NOT"</formula>
    </cfRule>
    <cfRule type="expression" dxfId="176" priority="69">
      <formula>E1047269="1/2CL"</formula>
    </cfRule>
    <cfRule type="expression" dxfId="175" priority="68">
      <formula>E1047269="LS"</formula>
    </cfRule>
    <cfRule type="expression" dxfId="174" priority="73">
      <formula>AT6="CC"</formula>
    </cfRule>
    <cfRule type="expression" dxfId="173" priority="74">
      <formula>AT6="ML"</formula>
    </cfRule>
    <cfRule type="expression" dxfId="172" priority="75">
      <formula>AT6="SL1"</formula>
    </cfRule>
  </conditionalFormatting>
  <conditionalFormatting sqref="AT10:AU11">
    <cfRule type="expression" dxfId="171" priority="67">
      <formula>E1047273="1/2UP"</formula>
    </cfRule>
    <cfRule type="expression" dxfId="170" priority="66">
      <formula>AT10="1/2UP"</formula>
    </cfRule>
    <cfRule type="expression" dxfId="169" priority="65">
      <formula>AT10="OFF"</formula>
    </cfRule>
  </conditionalFormatting>
  <conditionalFormatting sqref="AT4:AW5">
    <cfRule type="expression" dxfId="168" priority="532">
      <formula>AT4="OFF"</formula>
    </cfRule>
    <cfRule type="expression" dxfId="167" priority="529">
      <formula>AT4="UP"</formula>
    </cfRule>
    <cfRule type="expression" dxfId="166" priority="530">
      <formula>AT4="1/2AL"</formula>
    </cfRule>
  </conditionalFormatting>
  <conditionalFormatting sqref="AT6:AW9">
    <cfRule type="expression" dxfId="165" priority="61">
      <formula>AT6="OFF"</formula>
    </cfRule>
  </conditionalFormatting>
  <conditionalFormatting sqref="AT6:AW11">
    <cfRule type="expression" dxfId="164" priority="42">
      <formula>AT6="UP"</formula>
    </cfRule>
    <cfRule type="expression" dxfId="163" priority="43">
      <formula>AT6="1/2AL"</formula>
    </cfRule>
  </conditionalFormatting>
  <conditionalFormatting sqref="AT10:AW11">
    <cfRule type="expression" dxfId="162" priority="45">
      <formula>AT10="AL"</formula>
    </cfRule>
  </conditionalFormatting>
  <conditionalFormatting sqref="AV4:AW4">
    <cfRule type="expression" dxfId="161" priority="1328084">
      <formula>G1047271="1/2UP"</formula>
    </cfRule>
    <cfRule type="expression" dxfId="160" priority="1328082">
      <formula>G1047271="LS"</formula>
    </cfRule>
    <cfRule type="expression" dxfId="159" priority="1328083">
      <formula>G1047271="1/2CL"</formula>
    </cfRule>
  </conditionalFormatting>
  <conditionalFormatting sqref="AV5:AW5">
    <cfRule type="expression" dxfId="158" priority="1328093">
      <formula>AV5="1/2UP"</formula>
    </cfRule>
    <cfRule type="expression" dxfId="157" priority="1328090">
      <formula>AV5="CC"</formula>
    </cfRule>
    <cfRule type="expression" dxfId="156" priority="1328089">
      <formula>G1047272="1/2UP"</formula>
    </cfRule>
    <cfRule type="expression" dxfId="155" priority="1328088">
      <formula>G1047272="1/2CL"</formula>
    </cfRule>
    <cfRule type="expression" dxfId="154" priority="1328087">
      <formula>G1047272="LS"</formula>
    </cfRule>
    <cfRule type="expression" dxfId="153" priority="1328092">
      <formula>AV5="SL1"</formula>
    </cfRule>
    <cfRule type="expression" dxfId="152" priority="1328091">
      <formula>AV5="ML"</formula>
    </cfRule>
    <cfRule type="expression" dxfId="151" priority="1328094">
      <formula>AV5="CL"</formula>
    </cfRule>
    <cfRule type="expression" dxfId="150" priority="1328095">
      <formula>AV5="FP"</formula>
    </cfRule>
    <cfRule type="expression" dxfId="149" priority="1328085">
      <formula>AV5="AL"</formula>
    </cfRule>
    <cfRule type="expression" dxfId="148" priority="1328086">
      <formula>AV5="NOT"</formula>
    </cfRule>
  </conditionalFormatting>
  <conditionalFormatting sqref="AV6:AW11">
    <cfRule type="expression" dxfId="147" priority="1328096">
      <formula>G1047276="LS"</formula>
    </cfRule>
    <cfRule type="expression" dxfId="146" priority="1328097">
      <formula>G1047276="1/2CL"</formula>
    </cfRule>
    <cfRule type="expression" dxfId="145" priority="1328098">
      <formula>G1047276="1/2UP"</formula>
    </cfRule>
  </conditionalFormatting>
  <conditionalFormatting sqref="AV10:AW10">
    <cfRule type="expression" dxfId="144" priority="1328109">
      <formula>AV10="1/2UP"</formula>
    </cfRule>
    <cfRule type="expression" dxfId="143" priority="1328110">
      <formula>AV10="CL"</formula>
    </cfRule>
    <cfRule type="expression" dxfId="142" priority="1328106">
      <formula>AV10="CC"</formula>
    </cfRule>
    <cfRule type="expression" dxfId="141" priority="1328111">
      <formula>AV10="FP"</formula>
    </cfRule>
    <cfRule type="expression" dxfId="140" priority="1328107">
      <formula>AV10="ML"</formula>
    </cfRule>
    <cfRule type="expression" dxfId="139" priority="1328108">
      <formula>AV10="SL1"</formula>
    </cfRule>
  </conditionalFormatting>
  <conditionalFormatting sqref="AV10:AW11">
    <cfRule type="expression" dxfId="138" priority="44">
      <formula>AV10="OFF"</formula>
    </cfRule>
  </conditionalFormatting>
  <conditionalFormatting sqref="AV4:AX4">
    <cfRule type="expression" dxfId="137" priority="722">
      <formula>AV4="CC"</formula>
    </cfRule>
    <cfRule type="expression" dxfId="136" priority="726">
      <formula>AV4="CL"</formula>
    </cfRule>
    <cfRule type="expression" dxfId="135" priority="724">
      <formula>AV4="SL1"</formula>
    </cfRule>
    <cfRule type="expression" dxfId="134" priority="723">
      <formula>AV4="ML"</formula>
    </cfRule>
    <cfRule type="expression" dxfId="133" priority="718">
      <formula>AV4="NOT"</formula>
    </cfRule>
    <cfRule type="expression" dxfId="132" priority="730">
      <formula>AV4="FP"</formula>
    </cfRule>
    <cfRule type="expression" dxfId="131" priority="713">
      <formula>AV4="AL"</formula>
    </cfRule>
    <cfRule type="expression" dxfId="130" priority="725">
      <formula>AV4="1/2UP"</formula>
    </cfRule>
  </conditionalFormatting>
  <conditionalFormatting sqref="AV6:AX9">
    <cfRule type="expression" dxfId="129" priority="32">
      <formula>AV6="NOT"</formula>
    </cfRule>
    <cfRule type="expression" dxfId="128" priority="31">
      <formula>AV6="AL"</formula>
    </cfRule>
    <cfRule type="expression" dxfId="127" priority="38">
      <formula>AV6="FP"</formula>
    </cfRule>
    <cfRule type="expression" dxfId="126" priority="33">
      <formula>AV6="CC"</formula>
    </cfRule>
    <cfRule type="expression" dxfId="125" priority="37">
      <formula>AV6="CL"</formula>
    </cfRule>
    <cfRule type="expression" dxfId="124" priority="34">
      <formula>AV6="ML"</formula>
    </cfRule>
    <cfRule type="expression" dxfId="123" priority="35">
      <formula>AV6="SL1"</formula>
    </cfRule>
    <cfRule type="expression" dxfId="122" priority="36">
      <formula>AV6="1/2UP"</formula>
    </cfRule>
  </conditionalFormatting>
  <conditionalFormatting sqref="AX4">
    <cfRule type="expression" dxfId="121" priority="728">
      <formula>AX4="1/2AL"</formula>
    </cfRule>
    <cfRule type="expression" dxfId="120" priority="729">
      <formula>AX4="OFF"</formula>
    </cfRule>
    <cfRule type="expression" dxfId="119" priority="727">
      <formula>AX4="UP"</formula>
    </cfRule>
  </conditionalFormatting>
  <conditionalFormatting sqref="AX4:AX5">
    <cfRule type="expression" dxfId="118" priority="290">
      <formula>T1047222="1/2UP"</formula>
    </cfRule>
    <cfRule type="expression" dxfId="117" priority="288">
      <formula>T1047222="LS"</formula>
    </cfRule>
    <cfRule type="expression" dxfId="116" priority="289">
      <formula>T1047222="1/2CL"</formula>
    </cfRule>
  </conditionalFormatting>
  <conditionalFormatting sqref="AX5">
    <cfRule type="expression" dxfId="115" priority="298">
      <formula>AX5="UP"</formula>
    </cfRule>
    <cfRule type="expression" dxfId="114" priority="295">
      <formula>AX5="SL1"</formula>
    </cfRule>
    <cfRule type="expression" dxfId="113" priority="300">
      <formula>AX5="OFF"</formula>
    </cfRule>
    <cfRule type="expression" dxfId="112" priority="301">
      <formula>AX5="FP"</formula>
    </cfRule>
    <cfRule type="expression" dxfId="111" priority="291">
      <formula>AX5="AL"</formula>
    </cfRule>
    <cfRule type="expression" dxfId="110" priority="299">
      <formula>AX5="1/2AL"</formula>
    </cfRule>
    <cfRule type="expression" dxfId="109" priority="292">
      <formula>AX5="NOT"</formula>
    </cfRule>
    <cfRule type="expression" dxfId="108" priority="293">
      <formula>AX5="CC"</formula>
    </cfRule>
    <cfRule type="expression" dxfId="107" priority="297">
      <formula>AX5="CL"</formula>
    </cfRule>
    <cfRule type="expression" dxfId="106" priority="294">
      <formula>AX5="ML"</formula>
    </cfRule>
    <cfRule type="expression" dxfId="105" priority="296">
      <formula>AX5="1/2UP"</formula>
    </cfRule>
  </conditionalFormatting>
  <conditionalFormatting sqref="AX6:AX9">
    <cfRule type="expression" dxfId="104" priority="30">
      <formula>T1047227="1/2UP"</formula>
    </cfRule>
    <cfRule type="expression" dxfId="103" priority="27">
      <formula>AX6="OFF"</formula>
    </cfRule>
    <cfRule type="expression" dxfId="102" priority="26">
      <formula>AX6="1/2AL"</formula>
    </cfRule>
    <cfRule type="expression" dxfId="101" priority="25">
      <formula>AX6="UP"</formula>
    </cfRule>
    <cfRule type="expression" dxfId="100" priority="29">
      <formula>T1047227="1/2CL"</formula>
    </cfRule>
    <cfRule type="expression" dxfId="99" priority="28">
      <formula>T1047227="LS"</formula>
    </cfRule>
  </conditionalFormatting>
  <conditionalFormatting sqref="AX10 AS9">
    <cfRule type="expression" dxfId="98" priority="1328047">
      <formula>AS9="SL1"</formula>
    </cfRule>
    <cfRule type="expression" dxfId="97" priority="1328046">
      <formula>AS9="ML"</formula>
    </cfRule>
    <cfRule type="expression" dxfId="96" priority="1328045">
      <formula>AS9="CC"</formula>
    </cfRule>
  </conditionalFormatting>
  <conditionalFormatting sqref="AX10">
    <cfRule type="expression" dxfId="95" priority="1328044">
      <formula>AX10="CL"</formula>
    </cfRule>
  </conditionalFormatting>
  <conditionalFormatting sqref="AX11">
    <cfRule type="expression" dxfId="94" priority="1">
      <formula>T1047232="LS"</formula>
    </cfRule>
    <cfRule type="expression" dxfId="93" priority="2">
      <formula>T1047232="1/2CL"</formula>
    </cfRule>
    <cfRule type="expression" dxfId="92" priority="3">
      <formula>T1047232="1/2UP"</formula>
    </cfRule>
    <cfRule type="expression" dxfId="91" priority="4">
      <formula>AX11="AL"</formula>
    </cfRule>
    <cfRule type="expression" dxfId="90" priority="5">
      <formula>AX11="UP"</formula>
    </cfRule>
    <cfRule type="expression" dxfId="89" priority="6">
      <formula>AX11="1/2AL"</formula>
    </cfRule>
    <cfRule type="expression" dxfId="88" priority="7">
      <formula>AX11="OFF"</formula>
    </cfRule>
  </conditionalFormatting>
  <dataValidations disablePrompts="1" count="1">
    <dataValidation type="list" allowBlank="1" showInputMessage="1" showErrorMessage="1" sqref="AD12:AD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40"/>
  <sheetViews>
    <sheetView view="pageBreakPreview" zoomScale="110" zoomScaleNormal="66" zoomScaleSheetLayoutView="110" workbookViewId="0">
      <pane xSplit="6" ySplit="3" topLeftCell="AD4" activePane="bottomRight" state="frozen"/>
      <selection activeCell="C13" sqref="C13"/>
      <selection pane="topRight" activeCell="C13" sqref="C13"/>
      <selection pane="bottomLeft" activeCell="C13" sqref="C13"/>
      <selection pane="bottomRight" activeCell="AA26" sqref="AA26"/>
    </sheetView>
  </sheetViews>
  <sheetFormatPr baseColWidth="10" defaultColWidth="13.5" defaultRowHeight="14" outlineLevelCol="1"/>
  <cols>
    <col min="1" max="1" width="11.5" style="227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227" customWidth="1"/>
    <col min="7" max="7" width="14.5" style="4" bestFit="1" customWidth="1"/>
    <col min="8" max="29" width="5.33203125" style="4" customWidth="1"/>
    <col min="30" max="33" width="6.5" style="4" customWidth="1"/>
    <col min="34" max="35" width="5.33203125" style="4" customWidth="1"/>
    <col min="36" max="36" width="7.83203125" style="4" customWidth="1"/>
    <col min="37" max="37" width="11.33203125" style="4" customWidth="1"/>
    <col min="38" max="38" width="8.6640625" style="3" customWidth="1"/>
    <col min="39" max="39" width="16.5" style="3" customWidth="1"/>
    <col min="40" max="42" width="11.6640625" style="3" customWidth="1" outlineLevel="1"/>
    <col min="43" max="43" width="17.6640625" style="3" customWidth="1" outlineLevel="1"/>
    <col min="44" max="44" width="11.6640625" style="3" customWidth="1" outlineLevel="1"/>
    <col min="45" max="45" width="14.83203125" style="3" customWidth="1" outlineLevel="1"/>
    <col min="46" max="46" width="15.5" style="3" customWidth="1"/>
    <col min="47" max="47" width="10.1640625" style="3" hidden="1" customWidth="1"/>
    <col min="48" max="48" width="28.6640625" style="3" hidden="1" customWidth="1"/>
    <col min="49" max="49" width="0" style="3" hidden="1" customWidth="1"/>
    <col min="50" max="16384" width="13.5" style="3"/>
  </cols>
  <sheetData>
    <row r="1" spans="1:50" s="227" customFormat="1" ht="21.75" customHeight="1">
      <c r="A1" s="388" t="s">
        <v>12</v>
      </c>
      <c r="B1" s="394" t="s">
        <v>27</v>
      </c>
      <c r="C1" s="388" t="s">
        <v>11</v>
      </c>
      <c r="D1" s="388" t="s">
        <v>45</v>
      </c>
      <c r="E1" s="388" t="s">
        <v>59</v>
      </c>
      <c r="F1" s="382" t="s">
        <v>236</v>
      </c>
      <c r="G1" s="389">
        <v>45444</v>
      </c>
      <c r="H1" s="390"/>
      <c r="I1" s="391">
        <v>45689</v>
      </c>
      <c r="J1" s="392"/>
      <c r="K1" s="392"/>
      <c r="L1" s="392"/>
      <c r="M1" s="392"/>
      <c r="N1" s="392"/>
      <c r="O1" s="392"/>
      <c r="P1" s="392"/>
      <c r="Q1" s="392"/>
      <c r="R1" s="392"/>
      <c r="S1" s="392"/>
      <c r="T1" s="392"/>
      <c r="U1" s="392"/>
      <c r="V1" s="392"/>
      <c r="W1" s="392"/>
      <c r="X1" s="392"/>
      <c r="Y1" s="392"/>
      <c r="Z1" s="392"/>
      <c r="AA1" s="392"/>
      <c r="AB1" s="392"/>
      <c r="AC1" s="392"/>
      <c r="AD1" s="392"/>
      <c r="AE1" s="392"/>
      <c r="AF1" s="392"/>
      <c r="AG1" s="393"/>
      <c r="AH1" s="276"/>
      <c r="AI1" s="276"/>
      <c r="AJ1" s="277"/>
      <c r="AK1" s="385" t="s">
        <v>40</v>
      </c>
      <c r="AL1" s="377" t="s">
        <v>41</v>
      </c>
      <c r="AM1" s="385" t="s">
        <v>232</v>
      </c>
      <c r="AN1" s="380" t="s">
        <v>233</v>
      </c>
      <c r="AO1" s="377" t="s">
        <v>234</v>
      </c>
      <c r="AP1" s="377" t="s">
        <v>31</v>
      </c>
      <c r="AQ1" s="377" t="s">
        <v>42</v>
      </c>
      <c r="AR1" s="377" t="s">
        <v>43</v>
      </c>
      <c r="AS1" s="377" t="s">
        <v>44</v>
      </c>
      <c r="AT1" s="385" t="s">
        <v>235</v>
      </c>
    </row>
    <row r="2" spans="1:50" s="2" customFormat="1" ht="33.75" customHeight="1">
      <c r="A2" s="387"/>
      <c r="B2" s="386"/>
      <c r="C2" s="386"/>
      <c r="D2" s="386"/>
      <c r="E2" s="386"/>
      <c r="F2" s="383"/>
      <c r="G2" s="261">
        <v>45411</v>
      </c>
      <c r="H2" s="261">
        <v>45412</v>
      </c>
      <c r="I2" s="261">
        <v>45566</v>
      </c>
      <c r="J2" s="261">
        <v>45567</v>
      </c>
      <c r="K2" s="261">
        <v>45568</v>
      </c>
      <c r="L2" s="261">
        <v>45569</v>
      </c>
      <c r="M2" s="261">
        <v>45570</v>
      </c>
      <c r="N2" s="261">
        <v>45571</v>
      </c>
      <c r="O2" s="261">
        <v>45572</v>
      </c>
      <c r="P2" s="261">
        <v>45573</v>
      </c>
      <c r="Q2" s="261">
        <v>45574</v>
      </c>
      <c r="R2" s="261">
        <v>45575</v>
      </c>
      <c r="S2" s="261">
        <v>45576</v>
      </c>
      <c r="T2" s="261">
        <v>45577</v>
      </c>
      <c r="U2" s="261">
        <v>45578</v>
      </c>
      <c r="V2" s="261">
        <v>45579</v>
      </c>
      <c r="W2" s="261">
        <v>45580</v>
      </c>
      <c r="X2" s="261">
        <v>45581</v>
      </c>
      <c r="Y2" s="261">
        <v>45582</v>
      </c>
      <c r="Z2" s="261">
        <v>45583</v>
      </c>
      <c r="AA2" s="261">
        <v>45584</v>
      </c>
      <c r="AB2" s="261">
        <v>45585</v>
      </c>
      <c r="AC2" s="261">
        <v>45586</v>
      </c>
      <c r="AD2" s="261">
        <v>45587</v>
      </c>
      <c r="AE2" s="261">
        <v>45588</v>
      </c>
      <c r="AF2" s="261">
        <v>45589</v>
      </c>
      <c r="AG2" s="261">
        <v>45590</v>
      </c>
      <c r="AH2" s="261">
        <f>1+AG2</f>
        <v>45591</v>
      </c>
      <c r="AI2" s="261">
        <f>1+AH2</f>
        <v>45592</v>
      </c>
      <c r="AJ2" s="261"/>
      <c r="AK2" s="386"/>
      <c r="AL2" s="378"/>
      <c r="AM2" s="386"/>
      <c r="AN2" s="380"/>
      <c r="AO2" s="378"/>
      <c r="AP2" s="378"/>
      <c r="AQ2" s="378"/>
      <c r="AR2" s="378"/>
      <c r="AS2" s="378"/>
      <c r="AT2" s="386"/>
    </row>
    <row r="3" spans="1:50" s="2" customFormat="1" ht="27" customHeight="1">
      <c r="A3" s="163"/>
      <c r="B3" s="387"/>
      <c r="C3" s="387"/>
      <c r="D3" s="387"/>
      <c r="E3" s="387"/>
      <c r="F3" s="384"/>
      <c r="G3" s="262" t="s">
        <v>52</v>
      </c>
      <c r="H3" s="262" t="s">
        <v>46</v>
      </c>
      <c r="I3" s="262" t="s">
        <v>47</v>
      </c>
      <c r="J3" s="262" t="s">
        <v>48</v>
      </c>
      <c r="K3" s="262" t="s">
        <v>49</v>
      </c>
      <c r="L3" s="262" t="s">
        <v>50</v>
      </c>
      <c r="M3" s="262" t="s">
        <v>51</v>
      </c>
      <c r="N3" s="262" t="s">
        <v>52</v>
      </c>
      <c r="O3" s="262" t="s">
        <v>46</v>
      </c>
      <c r="P3" s="262" t="s">
        <v>47</v>
      </c>
      <c r="Q3" s="262" t="s">
        <v>48</v>
      </c>
      <c r="R3" s="262" t="s">
        <v>49</v>
      </c>
      <c r="S3" s="262" t="s">
        <v>50</v>
      </c>
      <c r="T3" s="262" t="s">
        <v>51</v>
      </c>
      <c r="U3" s="262" t="s">
        <v>52</v>
      </c>
      <c r="V3" s="262" t="s">
        <v>46</v>
      </c>
      <c r="W3" s="262" t="s">
        <v>47</v>
      </c>
      <c r="X3" s="262" t="s">
        <v>48</v>
      </c>
      <c r="Y3" s="262" t="s">
        <v>49</v>
      </c>
      <c r="Z3" s="262" t="s">
        <v>50</v>
      </c>
      <c r="AA3" s="262" t="s">
        <v>51</v>
      </c>
      <c r="AB3" s="262" t="s">
        <v>52</v>
      </c>
      <c r="AC3" s="262" t="s">
        <v>46</v>
      </c>
      <c r="AD3" s="262" t="s">
        <v>47</v>
      </c>
      <c r="AE3" s="262" t="s">
        <v>48</v>
      </c>
      <c r="AF3" s="262" t="s">
        <v>49</v>
      </c>
      <c r="AG3" s="262" t="s">
        <v>50</v>
      </c>
      <c r="AH3" s="262" t="s">
        <v>46</v>
      </c>
      <c r="AI3" s="262" t="s">
        <v>46</v>
      </c>
      <c r="AJ3" s="262" t="s">
        <v>51</v>
      </c>
      <c r="AK3" s="387"/>
      <c r="AL3" s="379"/>
      <c r="AM3" s="387"/>
      <c r="AN3" s="381"/>
      <c r="AO3" s="379"/>
      <c r="AP3" s="379"/>
      <c r="AQ3" s="379"/>
      <c r="AR3" s="379"/>
      <c r="AS3" s="379"/>
      <c r="AT3" s="387"/>
    </row>
    <row r="4" spans="1:50" s="1" customFormat="1" ht="23.25" customHeight="1">
      <c r="A4" s="31"/>
      <c r="B4" s="228" t="s">
        <v>169</v>
      </c>
      <c r="C4" s="229" t="s">
        <v>207</v>
      </c>
      <c r="D4" s="84"/>
      <c r="E4" s="84">
        <v>45740</v>
      </c>
      <c r="F4" s="35">
        <f t="shared" ref="F4:F10" si="0">IF(OR(AT4=26,AT4=26),26,AT4)</f>
        <v>2</v>
      </c>
      <c r="G4" s="263" t="s">
        <v>83</v>
      </c>
      <c r="H4" s="263" t="s">
        <v>23</v>
      </c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4"/>
      <c r="AD4" s="265"/>
      <c r="AE4" s="265"/>
      <c r="AF4" s="266" t="s">
        <v>38</v>
      </c>
      <c r="AG4" s="266" t="s">
        <v>38</v>
      </c>
      <c r="AH4" s="278"/>
      <c r="AI4" s="278"/>
      <c r="AJ4" s="263"/>
      <c r="AK4" s="275">
        <f t="shared" ref="AK4:AK10" si="1">COUNTIF(G4:AJ4,"OFF")</f>
        <v>0</v>
      </c>
      <c r="AL4" s="275">
        <f t="shared" ref="AL4:AL10" si="2">COUNTA(G4:AJ4)</f>
        <v>4</v>
      </c>
      <c r="AM4" s="275">
        <f>COUNTIF(G4:AJ4,#REF!)+(COUNTIF(G4:AJ4,#REF!)/2)</f>
        <v>0</v>
      </c>
      <c r="AN4" s="275">
        <f>COUNTIF(G4:AJ4,#REF!)+(COUNTIF(G4:AJ4,#REF!)/2)</f>
        <v>0</v>
      </c>
      <c r="AO4" s="275">
        <f>COUNTIF(G4:AJ4,#REF!)+(COUNTIF(G4:AJ4,#REF!)/2)+COUNTIF(G4:AJ4,#REF!)</f>
        <v>0</v>
      </c>
      <c r="AP4" s="275">
        <f>COUNTIF(G4:AJ4,#REF!)</f>
        <v>0</v>
      </c>
      <c r="AQ4" s="275">
        <f>COUNTIF(G4:AJ4,#REF!)+(COUNTIF(G4:AJ4,#REF!)/2)</f>
        <v>0</v>
      </c>
      <c r="AR4" s="275">
        <f>COUNTIF(G4:AJ4,#REF!)+(COUNTIF(G4:AJ4,#REF!)/2)</f>
        <v>0</v>
      </c>
      <c r="AS4" s="275">
        <f>COUNTIF(G4:AJ4,#REF!)+(COUNTIF(G4:AJ4,#REF!)/2)</f>
        <v>0</v>
      </c>
      <c r="AT4" s="275">
        <f t="shared" ref="AT4:AT10" si="3">COUNTIF(G4:AG4,"X")</f>
        <v>2</v>
      </c>
    </row>
    <row r="5" spans="1:50" s="1" customFormat="1" ht="23.25" customHeight="1">
      <c r="A5" s="65"/>
      <c r="B5" s="228" t="s">
        <v>192</v>
      </c>
      <c r="C5" s="229" t="s">
        <v>208</v>
      </c>
      <c r="D5" s="230"/>
      <c r="E5" s="85">
        <v>45738</v>
      </c>
      <c r="F5" s="35">
        <f t="shared" si="0"/>
        <v>4</v>
      </c>
      <c r="G5" s="264" t="s">
        <v>83</v>
      </c>
      <c r="H5" s="264" t="s">
        <v>23</v>
      </c>
      <c r="I5" s="264"/>
      <c r="J5" s="264"/>
      <c r="K5" s="264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  <c r="Z5" s="264"/>
      <c r="AA5" s="264"/>
      <c r="AB5" s="264"/>
      <c r="AC5" s="264"/>
      <c r="AD5" s="266" t="s">
        <v>38</v>
      </c>
      <c r="AE5" s="266" t="s">
        <v>38</v>
      </c>
      <c r="AF5" s="266" t="s">
        <v>38</v>
      </c>
      <c r="AG5" s="266" t="s">
        <v>38</v>
      </c>
      <c r="AH5" s="279"/>
      <c r="AI5" s="279"/>
      <c r="AJ5" s="264"/>
      <c r="AK5" s="275">
        <f t="shared" si="1"/>
        <v>0</v>
      </c>
      <c r="AL5" s="275">
        <f t="shared" si="2"/>
        <v>6</v>
      </c>
      <c r="AM5" s="275">
        <f>COUNTIF(G5:AJ5,#REF!)+(COUNTIF(G5:AJ5,#REF!)/2)</f>
        <v>0</v>
      </c>
      <c r="AN5" s="275">
        <f>COUNTIF(G5:AJ5,#REF!)+(COUNTIF(G5:AJ5,#REF!)/2)</f>
        <v>0</v>
      </c>
      <c r="AO5" s="275">
        <f>COUNTIF(G5:AJ5,#REF!)+(COUNTIF(G5:AJ5,#REF!)/2)+COUNTIF(G5:AJ5,#REF!)</f>
        <v>0</v>
      </c>
      <c r="AP5" s="275">
        <f>COUNTIF(G5:AJ5,#REF!)</f>
        <v>0</v>
      </c>
      <c r="AQ5" s="275">
        <f>COUNTIF(G5:AJ5,#REF!)+(COUNTIF(G5:AJ5,#REF!)/2)</f>
        <v>0</v>
      </c>
      <c r="AR5" s="275">
        <f>COUNTIF(G5:AJ5,#REF!)+(COUNTIF(G5:AJ5,#REF!)/2)</f>
        <v>0</v>
      </c>
      <c r="AS5" s="275">
        <f>COUNTIF(G5:AJ5,#REF!)+(COUNTIF(G5:AJ5,#REF!)/2)</f>
        <v>0</v>
      </c>
      <c r="AT5" s="275">
        <f t="shared" si="3"/>
        <v>4</v>
      </c>
      <c r="AW5" s="1" t="e">
        <f>VLOOKUP(B5,[21]Timetable_T03!$B$9:$AS$19,44,0)</f>
        <v>#N/A</v>
      </c>
    </row>
    <row r="6" spans="1:50" s="1" customFormat="1" ht="23.25" customHeight="1">
      <c r="A6" s="63"/>
      <c r="B6" s="61"/>
      <c r="C6" s="32"/>
      <c r="D6" s="86"/>
      <c r="E6" s="86"/>
      <c r="F6" s="35">
        <f t="shared" si="0"/>
        <v>0</v>
      </c>
      <c r="G6" s="267"/>
      <c r="H6" s="267"/>
      <c r="I6" s="267"/>
      <c r="J6" s="263"/>
      <c r="K6" s="268"/>
      <c r="L6" s="268"/>
      <c r="M6" s="263"/>
      <c r="N6" s="267"/>
      <c r="O6" s="267"/>
      <c r="P6" s="267"/>
      <c r="Q6" s="267"/>
      <c r="R6" s="267"/>
      <c r="S6" s="267"/>
      <c r="T6" s="267"/>
      <c r="U6" s="267"/>
      <c r="V6" s="267"/>
      <c r="W6" s="267"/>
      <c r="X6" s="267"/>
      <c r="Y6" s="267"/>
      <c r="Z6" s="267"/>
      <c r="AA6" s="267"/>
      <c r="AB6" s="267"/>
      <c r="AC6" s="264"/>
      <c r="AD6" s="264"/>
      <c r="AE6" s="264"/>
      <c r="AF6" s="264"/>
      <c r="AG6" s="264"/>
      <c r="AH6" s="280"/>
      <c r="AI6" s="280"/>
      <c r="AJ6" s="267"/>
      <c r="AK6" s="275">
        <f t="shared" si="1"/>
        <v>0</v>
      </c>
      <c r="AL6" s="275">
        <f t="shared" si="2"/>
        <v>0</v>
      </c>
      <c r="AM6" s="275">
        <f>COUNTIF(G6:AJ6,#REF!)+(COUNTIF(G6:AJ6,#REF!)/2)</f>
        <v>0</v>
      </c>
      <c r="AN6" s="275">
        <f>COUNTIF(G6:AJ6,#REF!)+(COUNTIF(G6:AJ6,#REF!)/2)</f>
        <v>0</v>
      </c>
      <c r="AO6" s="275">
        <f>COUNTIF(G6:AJ6,#REF!)+(COUNTIF(G6:AJ6,#REF!)/2)+COUNTIF(G6:AJ6,#REF!)</f>
        <v>0</v>
      </c>
      <c r="AP6" s="275">
        <f>COUNTIF(G6:AJ6,#REF!)</f>
        <v>0</v>
      </c>
      <c r="AQ6" s="275">
        <f>COUNTIF(G6:AJ6,#REF!)+(COUNTIF(G6:AJ6,#REF!)/2)</f>
        <v>0</v>
      </c>
      <c r="AR6" s="275">
        <f>COUNTIF(G6:AJ6,#REF!)+(COUNTIF(G6:AJ6,#REF!)/2)</f>
        <v>0</v>
      </c>
      <c r="AS6" s="275">
        <f>COUNTIF(G6:AJ6,#REF!)+(COUNTIF(G6:AJ6,#REF!)/2)</f>
        <v>0</v>
      </c>
      <c r="AT6" s="275">
        <f t="shared" si="3"/>
        <v>0</v>
      </c>
    </row>
    <row r="7" spans="1:50" s="1" customFormat="1" ht="23.25" customHeight="1">
      <c r="A7" s="100"/>
      <c r="B7" s="101"/>
      <c r="C7" s="102"/>
      <c r="D7" s="103"/>
      <c r="E7" s="103"/>
      <c r="F7" s="35">
        <f t="shared" si="0"/>
        <v>0</v>
      </c>
      <c r="G7" s="269"/>
      <c r="H7" s="269"/>
      <c r="I7" s="269"/>
      <c r="J7" s="263"/>
      <c r="K7" s="270"/>
      <c r="L7" s="270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69"/>
      <c r="X7" s="269"/>
      <c r="Y7" s="269"/>
      <c r="Z7" s="269"/>
      <c r="AA7" s="269"/>
      <c r="AB7" s="269"/>
      <c r="AC7" s="264"/>
      <c r="AD7" s="264"/>
      <c r="AE7" s="264"/>
      <c r="AF7" s="264"/>
      <c r="AG7" s="264"/>
      <c r="AH7" s="281"/>
      <c r="AI7" s="281"/>
      <c r="AJ7" s="269"/>
      <c r="AK7" s="275">
        <f t="shared" si="1"/>
        <v>0</v>
      </c>
      <c r="AL7" s="275">
        <f t="shared" si="2"/>
        <v>0</v>
      </c>
      <c r="AM7" s="275">
        <f>COUNTIF(G7:AJ7,#REF!)+(COUNTIF(G7:AJ7,#REF!)/2)</f>
        <v>0</v>
      </c>
      <c r="AN7" s="275">
        <f>COUNTIF(G7:AJ7,#REF!)+(COUNTIF(G7:AJ7,#REF!)/2)</f>
        <v>0</v>
      </c>
      <c r="AO7" s="275">
        <f>COUNTIF(G7:AJ7,#REF!)+(COUNTIF(G7:AJ7,#REF!)/2)+COUNTIF(G7:AJ7,#REF!)</f>
        <v>0</v>
      </c>
      <c r="AP7" s="275">
        <f>COUNTIF(G7:AJ7,#REF!)</f>
        <v>0</v>
      </c>
      <c r="AQ7" s="275">
        <f>COUNTIF(G7:AJ7,#REF!)+(COUNTIF(G7:AJ7,#REF!)/2)</f>
        <v>0</v>
      </c>
      <c r="AR7" s="275">
        <f>COUNTIF(G7:AJ7,#REF!)+(COUNTIF(G7:AJ7,#REF!)/2)</f>
        <v>0</v>
      </c>
      <c r="AS7" s="275">
        <f>COUNTIF(G7:AJ7,#REF!)+(COUNTIF(G7:AJ7,#REF!)/2)</f>
        <v>0</v>
      </c>
      <c r="AT7" s="275">
        <f t="shared" si="3"/>
        <v>0</v>
      </c>
    </row>
    <row r="8" spans="1:50" s="1" customFormat="1" ht="23.25" customHeight="1">
      <c r="A8" s="100"/>
      <c r="B8" s="101"/>
      <c r="C8" s="102"/>
      <c r="D8" s="103"/>
      <c r="E8" s="103"/>
      <c r="F8" s="35">
        <f t="shared" si="0"/>
        <v>0</v>
      </c>
      <c r="G8" s="269"/>
      <c r="H8" s="269"/>
      <c r="I8" s="269"/>
      <c r="J8" s="263"/>
      <c r="K8" s="270"/>
      <c r="L8" s="270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69"/>
      <c r="X8" s="269"/>
      <c r="Y8" s="269"/>
      <c r="Z8" s="269"/>
      <c r="AA8" s="269"/>
      <c r="AB8" s="269"/>
      <c r="AC8" s="264"/>
      <c r="AD8" s="264"/>
      <c r="AE8" s="264"/>
      <c r="AF8" s="264"/>
      <c r="AG8" s="264"/>
      <c r="AH8" s="281"/>
      <c r="AI8" s="281"/>
      <c r="AJ8" s="269"/>
      <c r="AK8" s="275">
        <f t="shared" si="1"/>
        <v>0</v>
      </c>
      <c r="AL8" s="275">
        <f t="shared" si="2"/>
        <v>0</v>
      </c>
      <c r="AM8" s="275">
        <f>COUNTIF(G8:AJ8,#REF!)+(COUNTIF(G8:AJ8,#REF!)/2)</f>
        <v>0</v>
      </c>
      <c r="AN8" s="275">
        <f>COUNTIF(G8:AJ8,#REF!)+(COUNTIF(G8:AJ8,#REF!)/2)</f>
        <v>0</v>
      </c>
      <c r="AO8" s="275">
        <f>COUNTIF(G8:AJ8,#REF!)+(COUNTIF(G8:AJ8,#REF!)/2)+COUNTIF(G8:AJ8,#REF!)</f>
        <v>0</v>
      </c>
      <c r="AP8" s="275">
        <f>COUNTIF(G8:AJ8,#REF!)</f>
        <v>0</v>
      </c>
      <c r="AQ8" s="275">
        <f>COUNTIF(G8:AJ8,#REF!)+(COUNTIF(G8:AJ8,#REF!)/2)</f>
        <v>0</v>
      </c>
      <c r="AR8" s="275">
        <f>COUNTIF(G8:AJ8,#REF!)+(COUNTIF(G8:AJ8,#REF!)/2)</f>
        <v>0</v>
      </c>
      <c r="AS8" s="275">
        <f>COUNTIF(G8:AJ8,#REF!)+(COUNTIF(G8:AJ8,#REF!)/2)</f>
        <v>0</v>
      </c>
      <c r="AT8" s="275">
        <f t="shared" si="3"/>
        <v>0</v>
      </c>
    </row>
    <row r="9" spans="1:50" s="1" customFormat="1" ht="24" customHeight="1">
      <c r="A9" s="31"/>
      <c r="B9" s="61"/>
      <c r="C9" s="32"/>
      <c r="D9" s="84"/>
      <c r="E9" s="84"/>
      <c r="F9" s="35">
        <f t="shared" si="0"/>
        <v>0</v>
      </c>
      <c r="G9" s="267"/>
      <c r="H9" s="267"/>
      <c r="I9" s="267"/>
      <c r="J9" s="263"/>
      <c r="K9" s="268"/>
      <c r="L9" s="268"/>
      <c r="M9" s="263"/>
      <c r="N9" s="267"/>
      <c r="O9" s="267"/>
      <c r="P9" s="267"/>
      <c r="Q9" s="267"/>
      <c r="R9" s="267"/>
      <c r="S9" s="267"/>
      <c r="T9" s="267"/>
      <c r="U9" s="267"/>
      <c r="V9" s="267"/>
      <c r="W9" s="267"/>
      <c r="X9" s="267"/>
      <c r="Y9" s="267"/>
      <c r="Z9" s="267"/>
      <c r="AA9" s="267"/>
      <c r="AB9" s="267"/>
      <c r="AC9" s="264"/>
      <c r="AD9" s="264"/>
      <c r="AE9" s="264"/>
      <c r="AF9" s="264"/>
      <c r="AG9" s="264"/>
      <c r="AH9" s="278"/>
      <c r="AI9" s="278"/>
      <c r="AJ9" s="263"/>
      <c r="AK9" s="275">
        <f t="shared" si="1"/>
        <v>0</v>
      </c>
      <c r="AL9" s="275">
        <f t="shared" si="2"/>
        <v>0</v>
      </c>
      <c r="AM9" s="275">
        <f>COUNTIF(G9:AJ9,#REF!)+(COUNTIF(G9:AJ9,#REF!)/2)</f>
        <v>0</v>
      </c>
      <c r="AN9" s="275">
        <f>COUNTIF(G9:AJ9,#REF!)+(COUNTIF(G9:AJ9,#REF!)/2)</f>
        <v>0</v>
      </c>
      <c r="AO9" s="275">
        <f>COUNTIF(G9:AJ9,#REF!)+(COUNTIF(G9:AJ9,#REF!)/2)+COUNTIF(G9:AJ9,#REF!)</f>
        <v>0</v>
      </c>
      <c r="AP9" s="275">
        <f>COUNTIF(G9:AJ9,#REF!)</f>
        <v>0</v>
      </c>
      <c r="AQ9" s="275">
        <f>COUNTIF(G9:AJ9,#REF!)+(COUNTIF(G9:AJ9,#REF!)/2)</f>
        <v>0</v>
      </c>
      <c r="AR9" s="275">
        <f>COUNTIF(G9:AJ9,#REF!)+(COUNTIF(G9:AJ9,#REF!)/2)</f>
        <v>0</v>
      </c>
      <c r="AS9" s="275">
        <f>COUNTIF(G9:AJ9,#REF!)+(COUNTIF(G9:AJ9,#REF!)/2)</f>
        <v>0</v>
      </c>
      <c r="AT9" s="275">
        <f t="shared" si="3"/>
        <v>0</v>
      </c>
    </row>
    <row r="10" spans="1:50" s="1" customFormat="1" ht="22.5" customHeight="1">
      <c r="A10" s="31"/>
      <c r="B10" s="61"/>
      <c r="C10" s="32"/>
      <c r="D10" s="84"/>
      <c r="E10" s="84"/>
      <c r="F10" s="35">
        <f t="shared" si="0"/>
        <v>0</v>
      </c>
      <c r="G10" s="263"/>
      <c r="H10" s="263"/>
      <c r="I10" s="263"/>
      <c r="J10" s="263"/>
      <c r="K10" s="263"/>
      <c r="L10" s="263"/>
      <c r="M10" s="263"/>
      <c r="N10" s="263"/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4"/>
      <c r="AD10" s="264"/>
      <c r="AE10" s="264"/>
      <c r="AF10" s="264"/>
      <c r="AG10" s="264"/>
      <c r="AH10" s="282" t="s">
        <v>38</v>
      </c>
      <c r="AI10" s="263"/>
      <c r="AJ10" s="263"/>
      <c r="AK10" s="275">
        <f t="shared" si="1"/>
        <v>0</v>
      </c>
      <c r="AL10" s="275">
        <f t="shared" si="2"/>
        <v>1</v>
      </c>
      <c r="AM10" s="275">
        <f>COUNTIF(G10:AJ10,#REF!)+(COUNTIF(G10:AJ10,#REF!)/2)</f>
        <v>0</v>
      </c>
      <c r="AN10" s="275">
        <f>COUNTIF(G10:AJ10,#REF!)+(COUNTIF(G10:AJ10,#REF!)/2)</f>
        <v>0</v>
      </c>
      <c r="AO10" s="275">
        <f>COUNTIF(G10:AJ10,#REF!)+(COUNTIF(G10:AJ10,#REF!)/2)+COUNTIF(G10:AJ10,#REF!)</f>
        <v>0</v>
      </c>
      <c r="AP10" s="275">
        <f>COUNTIF(G10:AJ10,#REF!)</f>
        <v>0</v>
      </c>
      <c r="AQ10" s="275">
        <f>COUNTIF(G10:AJ10,#REF!)+(COUNTIF(G10:AJ10,#REF!)/2)</f>
        <v>0</v>
      </c>
      <c r="AR10" s="275">
        <f>COUNTIF(G10:AJ10,#REF!)+(COUNTIF(G10:AJ10,#REF!)/2)</f>
        <v>0</v>
      </c>
      <c r="AS10" s="275">
        <f>COUNTIF(G10:AJ10,#REF!)+(COUNTIF(G10:AJ10,#REF!)/2)</f>
        <v>0</v>
      </c>
      <c r="AT10" s="275">
        <f t="shared" si="3"/>
        <v>0</v>
      </c>
    </row>
    <row r="14" spans="1:50" s="231" customFormat="1" ht="28.5" customHeight="1">
      <c r="B14" s="232" t="s">
        <v>140</v>
      </c>
      <c r="C14" s="233"/>
      <c r="D14" s="233"/>
      <c r="E14" s="233"/>
      <c r="F14" s="238"/>
      <c r="G14" s="234"/>
      <c r="H14" s="233"/>
      <c r="I14" s="235"/>
      <c r="J14" s="233"/>
      <c r="K14" s="233"/>
      <c r="L14" s="6"/>
      <c r="M14" s="6"/>
      <c r="N14" s="8"/>
      <c r="O14" s="8"/>
      <c r="P14" s="8"/>
      <c r="Q14" s="6"/>
      <c r="R14" s="6"/>
      <c r="S14" s="6"/>
      <c r="T14" s="59"/>
      <c r="U14" s="6"/>
      <c r="V14" s="6"/>
      <c r="W14" s="6"/>
      <c r="X14" s="7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236"/>
      <c r="AR14" s="237"/>
      <c r="AU14" s="238"/>
      <c r="AV14" s="238"/>
      <c r="AW14" s="238"/>
      <c r="AX14" s="239"/>
    </row>
    <row r="15" spans="1:50" s="231" customFormat="1" ht="19">
      <c r="B15" s="104" t="s">
        <v>38</v>
      </c>
      <c r="C15" s="240" t="s">
        <v>139</v>
      </c>
      <c r="D15" s="241"/>
      <c r="E15" s="241"/>
      <c r="F15" s="238"/>
      <c r="G15" s="241"/>
      <c r="H15" s="241"/>
      <c r="I15" s="242"/>
      <c r="J15" s="241"/>
      <c r="K15" s="243"/>
      <c r="L15" s="6"/>
      <c r="M15" s="6"/>
      <c r="N15" s="8"/>
      <c r="O15" s="8"/>
      <c r="P15" s="8"/>
      <c r="Q15" s="6"/>
      <c r="R15" s="6"/>
      <c r="S15" s="6"/>
      <c r="T15" s="59"/>
      <c r="U15" s="6"/>
      <c r="V15" s="6"/>
      <c r="W15" s="6"/>
      <c r="X15" s="7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236"/>
      <c r="AR15" s="237"/>
      <c r="AU15" s="238"/>
      <c r="AV15" s="238"/>
      <c r="AW15" s="238"/>
      <c r="AX15" s="239"/>
    </row>
    <row r="16" spans="1:50" s="231" customFormat="1" ht="19">
      <c r="B16" s="104" t="s">
        <v>94</v>
      </c>
      <c r="C16" s="240" t="s">
        <v>95</v>
      </c>
      <c r="D16" s="241"/>
      <c r="E16" s="241"/>
      <c r="F16" s="238"/>
      <c r="G16" s="241"/>
      <c r="H16" s="241"/>
      <c r="I16" s="242"/>
      <c r="J16" s="241"/>
      <c r="K16" s="243"/>
      <c r="L16" s="6"/>
      <c r="M16" s="6"/>
      <c r="N16" s="8"/>
      <c r="O16" s="8"/>
      <c r="P16" s="8"/>
      <c r="Q16" s="6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236"/>
      <c r="AR16" s="237"/>
      <c r="AU16" s="238"/>
      <c r="AV16" s="238"/>
      <c r="AW16" s="238"/>
      <c r="AX16" s="239"/>
    </row>
    <row r="17" spans="2:50" s="231" customFormat="1" ht="19">
      <c r="B17" s="104" t="s">
        <v>39</v>
      </c>
      <c r="C17" s="240" t="s">
        <v>96</v>
      </c>
      <c r="D17" s="241"/>
      <c r="E17" s="241"/>
      <c r="F17" s="238"/>
      <c r="G17" s="241"/>
      <c r="H17" s="241"/>
      <c r="I17" s="242"/>
      <c r="J17" s="241"/>
      <c r="K17" s="243"/>
      <c r="L17" s="6"/>
      <c r="M17" s="6"/>
      <c r="N17" s="8"/>
      <c r="O17" s="8"/>
      <c r="P17" s="8"/>
      <c r="Q17" s="6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244"/>
      <c r="AR17" s="237"/>
      <c r="AU17" s="238"/>
      <c r="AV17" s="238"/>
      <c r="AW17" s="238"/>
      <c r="AX17" s="239"/>
    </row>
    <row r="18" spans="2:50" s="231" customFormat="1" ht="19">
      <c r="B18" s="104" t="s">
        <v>64</v>
      </c>
      <c r="C18" s="240" t="s">
        <v>97</v>
      </c>
      <c r="D18" s="241"/>
      <c r="E18" s="241"/>
      <c r="F18" s="238"/>
      <c r="G18" s="241"/>
      <c r="H18" s="241"/>
      <c r="I18" s="242"/>
      <c r="J18" s="241"/>
      <c r="K18" s="243"/>
      <c r="L18" s="6"/>
      <c r="M18" s="6"/>
      <c r="N18" s="8"/>
      <c r="O18" s="8"/>
      <c r="P18" s="8"/>
      <c r="Q18" s="6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236"/>
      <c r="AR18" s="237"/>
      <c r="AU18" s="238"/>
      <c r="AV18" s="238"/>
      <c r="AW18" s="238"/>
      <c r="AX18" s="239"/>
    </row>
    <row r="19" spans="2:50" s="231" customFormat="1" ht="19">
      <c r="B19" s="104" t="s">
        <v>82</v>
      </c>
      <c r="C19" s="240" t="s">
        <v>98</v>
      </c>
      <c r="D19" s="241"/>
      <c r="E19" s="241"/>
      <c r="F19" s="238"/>
      <c r="G19" s="241"/>
      <c r="H19" s="241"/>
      <c r="I19" s="242"/>
      <c r="J19" s="241"/>
      <c r="K19" s="243"/>
      <c r="L19" s="6"/>
      <c r="M19" s="6"/>
      <c r="N19" s="8"/>
      <c r="O19" s="8"/>
      <c r="P19" s="8"/>
      <c r="Q19" s="6"/>
      <c r="R19" s="6"/>
      <c r="S19" s="6"/>
      <c r="T19" s="6"/>
      <c r="U19" s="6"/>
      <c r="V19" s="6"/>
      <c r="W19" s="6"/>
      <c r="X19" s="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236"/>
      <c r="AR19" s="237"/>
      <c r="AU19" s="238"/>
      <c r="AV19" s="238"/>
      <c r="AW19" s="238"/>
      <c r="AX19" s="239"/>
    </row>
    <row r="20" spans="2:50" s="231" customFormat="1" ht="19">
      <c r="B20" s="104" t="s">
        <v>69</v>
      </c>
      <c r="C20" s="240" t="s">
        <v>99</v>
      </c>
      <c r="D20" s="241"/>
      <c r="E20" s="241"/>
      <c r="F20" s="238"/>
      <c r="G20" s="241"/>
      <c r="H20" s="241"/>
      <c r="I20" s="242"/>
      <c r="J20" s="241"/>
      <c r="K20" s="243"/>
      <c r="L20" s="6"/>
      <c r="M20" s="6"/>
      <c r="N20" s="8"/>
      <c r="O20" s="8"/>
      <c r="P20" s="8"/>
      <c r="Q20" s="6"/>
      <c r="R20" s="6"/>
      <c r="S20" s="6"/>
      <c r="T20" s="6"/>
      <c r="U20" s="6"/>
      <c r="V20" s="6"/>
      <c r="W20" s="6"/>
      <c r="X20" s="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236"/>
      <c r="AR20" s="237"/>
      <c r="AU20" s="238"/>
      <c r="AV20" s="238"/>
      <c r="AW20" s="238"/>
      <c r="AX20" s="239"/>
    </row>
    <row r="21" spans="2:50" s="231" customFormat="1" ht="19">
      <c r="B21" s="104" t="s">
        <v>66</v>
      </c>
      <c r="C21" s="240" t="s">
        <v>100</v>
      </c>
      <c r="D21" s="241"/>
      <c r="E21" s="241"/>
      <c r="F21" s="238"/>
      <c r="G21" s="241"/>
      <c r="H21" s="241"/>
      <c r="I21" s="242"/>
      <c r="J21" s="241"/>
      <c r="K21" s="243"/>
      <c r="L21" s="6"/>
      <c r="M21" s="6"/>
      <c r="N21" s="8"/>
      <c r="O21" s="8"/>
      <c r="P21" s="8"/>
      <c r="Q21" s="6"/>
      <c r="R21" s="6"/>
      <c r="S21" s="6"/>
      <c r="T21" s="6"/>
      <c r="U21" s="6"/>
      <c r="V21" s="6"/>
      <c r="W21" s="6"/>
      <c r="X21" s="7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244"/>
      <c r="AR21" s="237"/>
      <c r="AU21" s="238"/>
      <c r="AV21" s="238"/>
      <c r="AW21" s="238"/>
      <c r="AX21" s="239"/>
    </row>
    <row r="22" spans="2:50" s="231" customFormat="1" ht="19">
      <c r="B22" s="104" t="s">
        <v>93</v>
      </c>
      <c r="C22" s="240" t="s">
        <v>101</v>
      </c>
      <c r="D22" s="241"/>
      <c r="E22" s="241"/>
      <c r="F22" s="238"/>
      <c r="G22" s="241"/>
      <c r="H22" s="241"/>
      <c r="I22" s="242"/>
      <c r="J22" s="241"/>
      <c r="K22" s="243"/>
      <c r="L22" s="6"/>
      <c r="M22" s="6"/>
      <c r="N22" s="8"/>
      <c r="O22" s="8"/>
      <c r="P22" s="8"/>
      <c r="Q22" s="6"/>
      <c r="R22" s="6"/>
      <c r="S22" s="6"/>
      <c r="T22" s="6"/>
      <c r="U22" s="6"/>
      <c r="V22" s="6"/>
      <c r="W22" s="6"/>
      <c r="X22" s="7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236"/>
      <c r="AR22" s="237"/>
      <c r="AU22" s="238"/>
      <c r="AV22" s="238"/>
      <c r="AW22" s="238"/>
      <c r="AX22" s="239"/>
    </row>
    <row r="23" spans="2:50" s="231" customFormat="1" ht="19">
      <c r="B23" s="104" t="s">
        <v>65</v>
      </c>
      <c r="C23" s="240" t="s">
        <v>102</v>
      </c>
      <c r="D23" s="241"/>
      <c r="E23" s="241"/>
      <c r="F23" s="238"/>
      <c r="G23" s="241"/>
      <c r="H23" s="241"/>
      <c r="I23" s="242"/>
      <c r="J23" s="241"/>
      <c r="K23" s="243"/>
      <c r="L23" s="6"/>
      <c r="M23" s="6"/>
      <c r="N23" s="8"/>
      <c r="O23" s="8"/>
      <c r="P23" s="8"/>
      <c r="Q23" s="6"/>
      <c r="R23" s="6"/>
      <c r="S23" s="6"/>
      <c r="T23" s="6"/>
      <c r="U23" s="6"/>
      <c r="V23" s="6"/>
      <c r="W23" s="6"/>
      <c r="X23" s="7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236"/>
      <c r="AR23" s="237"/>
      <c r="AU23" s="238"/>
      <c r="AV23" s="238"/>
      <c r="AW23" s="238"/>
      <c r="AX23" s="239"/>
    </row>
    <row r="24" spans="2:50" s="231" customFormat="1" ht="19">
      <c r="B24" s="104" t="s">
        <v>35</v>
      </c>
      <c r="C24" s="240" t="s">
        <v>70</v>
      </c>
      <c r="D24" s="241"/>
      <c r="E24" s="241"/>
      <c r="F24" s="238"/>
      <c r="G24" s="241"/>
      <c r="H24" s="241"/>
      <c r="I24" s="242"/>
      <c r="J24" s="241"/>
      <c r="K24" s="243"/>
      <c r="L24" s="6"/>
      <c r="M24" s="6"/>
      <c r="N24" s="8"/>
      <c r="O24" s="8"/>
      <c r="P24" s="8"/>
      <c r="Q24" s="6"/>
      <c r="R24" s="6"/>
      <c r="S24" s="6"/>
      <c r="T24" s="6"/>
      <c r="U24" s="6"/>
      <c r="V24" s="6"/>
      <c r="W24" s="6"/>
      <c r="X24" s="7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244"/>
      <c r="AR24" s="237"/>
      <c r="AU24" s="238"/>
      <c r="AV24" s="238"/>
      <c r="AW24" s="238"/>
      <c r="AX24" s="239"/>
    </row>
    <row r="25" spans="2:50" s="231" customFormat="1" ht="19">
      <c r="B25" s="104" t="s">
        <v>68</v>
      </c>
      <c r="C25" s="240" t="s">
        <v>71</v>
      </c>
      <c r="D25" s="241"/>
      <c r="E25" s="241"/>
      <c r="F25" s="238"/>
      <c r="G25" s="241"/>
      <c r="H25" s="241"/>
      <c r="I25" s="242"/>
      <c r="J25" s="241"/>
      <c r="K25" s="243"/>
      <c r="L25" s="6"/>
      <c r="M25" s="6"/>
      <c r="N25" s="8"/>
      <c r="O25" s="8"/>
      <c r="P25" s="8"/>
      <c r="Q25" s="6"/>
      <c r="R25" s="6"/>
      <c r="S25" s="6"/>
      <c r="T25" s="6"/>
      <c r="U25" s="6"/>
      <c r="V25" s="6"/>
      <c r="W25" s="6"/>
      <c r="X25" s="7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236"/>
      <c r="AR25" s="237"/>
      <c r="AU25" s="238"/>
      <c r="AV25" s="238"/>
      <c r="AW25" s="238"/>
      <c r="AX25" s="239"/>
    </row>
    <row r="26" spans="2:50" s="231" customFormat="1" ht="22.5" customHeight="1">
      <c r="B26" s="104" t="s">
        <v>72</v>
      </c>
      <c r="C26" s="240" t="s">
        <v>73</v>
      </c>
      <c r="D26" s="241"/>
      <c r="E26" s="241"/>
      <c r="F26" s="238"/>
      <c r="G26" s="241"/>
      <c r="H26" s="241"/>
      <c r="I26" s="242"/>
      <c r="J26" s="241"/>
      <c r="K26" s="243"/>
      <c r="L26" s="6"/>
      <c r="M26" s="6"/>
      <c r="N26" s="8"/>
      <c r="O26" s="8"/>
      <c r="P26" s="8"/>
      <c r="Q26" s="6"/>
      <c r="R26" s="6"/>
      <c r="S26" s="6"/>
      <c r="T26" s="6"/>
      <c r="U26" s="6"/>
      <c r="V26" s="6"/>
      <c r="W26" s="6"/>
      <c r="X26" s="7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236"/>
      <c r="AR26" s="237"/>
      <c r="AU26" s="238"/>
      <c r="AV26" s="238"/>
      <c r="AW26" s="238"/>
      <c r="AX26" s="239"/>
    </row>
    <row r="27" spans="2:50" s="231" customFormat="1" ht="22.5" customHeight="1">
      <c r="B27" s="104" t="s">
        <v>74</v>
      </c>
      <c r="C27" s="240" t="s">
        <v>75</v>
      </c>
      <c r="D27" s="241"/>
      <c r="E27" s="241"/>
      <c r="F27" s="238"/>
      <c r="G27" s="241"/>
      <c r="H27" s="241"/>
      <c r="I27" s="242"/>
      <c r="J27" s="241"/>
      <c r="K27" s="243"/>
      <c r="L27" s="6"/>
      <c r="M27" s="6"/>
      <c r="N27" s="8"/>
      <c r="O27" s="8"/>
      <c r="P27" s="8"/>
      <c r="Q27" s="6"/>
      <c r="R27" s="6"/>
      <c r="S27" s="6"/>
      <c r="T27" s="6"/>
      <c r="U27" s="6"/>
      <c r="V27" s="6"/>
      <c r="W27" s="6"/>
      <c r="X27" s="7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236"/>
      <c r="AR27" s="237"/>
      <c r="AU27" s="238"/>
      <c r="AV27" s="238"/>
      <c r="AW27" s="238"/>
      <c r="AX27" s="239"/>
    </row>
    <row r="28" spans="2:50" s="231" customFormat="1" ht="22.5" customHeight="1">
      <c r="B28" s="104" t="s">
        <v>36</v>
      </c>
      <c r="C28" s="240" t="s">
        <v>103</v>
      </c>
      <c r="D28" s="241"/>
      <c r="E28" s="241"/>
      <c r="F28" s="238"/>
      <c r="G28" s="241"/>
      <c r="H28" s="241"/>
      <c r="I28" s="242"/>
      <c r="J28" s="241"/>
      <c r="K28" s="243"/>
      <c r="L28" s="6"/>
      <c r="M28" s="6"/>
      <c r="N28" s="8"/>
      <c r="O28" s="8"/>
      <c r="P28" s="8"/>
      <c r="Q28" s="6"/>
      <c r="R28" s="6"/>
      <c r="S28" s="6"/>
      <c r="T28" s="6"/>
      <c r="U28" s="6"/>
      <c r="V28" s="6"/>
      <c r="W28" s="6"/>
      <c r="X28" s="7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244"/>
      <c r="AR28" s="237"/>
      <c r="AU28" s="238"/>
      <c r="AV28" s="238"/>
      <c r="AW28" s="238"/>
      <c r="AX28" s="239"/>
    </row>
    <row r="29" spans="2:50" s="231" customFormat="1" ht="22.5" customHeight="1">
      <c r="B29" s="104" t="s">
        <v>37</v>
      </c>
      <c r="C29" s="240" t="s">
        <v>104</v>
      </c>
      <c r="D29" s="241"/>
      <c r="E29" s="241"/>
      <c r="F29" s="238"/>
      <c r="G29" s="241"/>
      <c r="H29" s="241"/>
      <c r="I29" s="242"/>
      <c r="J29" s="241"/>
      <c r="K29" s="243"/>
      <c r="L29" s="6"/>
      <c r="M29" s="6"/>
      <c r="N29" s="8"/>
      <c r="O29" s="8"/>
      <c r="P29" s="8"/>
      <c r="Q29" s="6"/>
      <c r="R29" s="6"/>
      <c r="S29" s="6"/>
      <c r="T29" s="6"/>
      <c r="U29" s="6"/>
      <c r="V29" s="6"/>
      <c r="W29" s="6"/>
      <c r="X29" s="7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236"/>
      <c r="AR29" s="237"/>
      <c r="AU29" s="238"/>
      <c r="AV29" s="238"/>
      <c r="AW29" s="238"/>
      <c r="AX29" s="239"/>
    </row>
    <row r="30" spans="2:50" s="231" customFormat="1" ht="19">
      <c r="F30" s="238"/>
      <c r="G30" s="245"/>
      <c r="I30" s="246"/>
      <c r="J30" s="6"/>
      <c r="K30" s="6"/>
      <c r="L30" s="6"/>
      <c r="M30" s="6"/>
      <c r="N30" s="8"/>
      <c r="O30" s="8"/>
      <c r="P30" s="8"/>
      <c r="Q30" s="6"/>
      <c r="R30" s="6"/>
      <c r="S30" s="6"/>
      <c r="T30" s="6"/>
      <c r="U30" s="6"/>
      <c r="V30" s="6"/>
      <c r="W30" s="6"/>
      <c r="X30" s="7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236"/>
      <c r="AR30" s="237"/>
      <c r="AU30" s="238"/>
      <c r="AV30" s="238"/>
      <c r="AW30" s="238"/>
      <c r="AX30" s="239"/>
    </row>
    <row r="31" spans="2:50" s="231" customFormat="1" ht="19">
      <c r="B31" s="50"/>
      <c r="F31" s="238"/>
      <c r="G31" s="245"/>
      <c r="H31" s="223"/>
      <c r="I31" s="224"/>
      <c r="J31" s="6"/>
      <c r="K31" s="6"/>
      <c r="L31" s="6"/>
      <c r="M31" s="6"/>
      <c r="N31" s="8"/>
      <c r="O31" s="8"/>
      <c r="P31" s="8"/>
      <c r="Q31" s="6"/>
      <c r="R31" s="6"/>
      <c r="S31" s="6"/>
      <c r="T31" s="6"/>
      <c r="U31" s="6"/>
      <c r="V31" s="6"/>
      <c r="W31" s="6"/>
      <c r="X31" s="7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236"/>
      <c r="AR31" s="237"/>
      <c r="AU31" s="238"/>
      <c r="AV31" s="238"/>
      <c r="AW31" s="238"/>
      <c r="AX31" s="239"/>
    </row>
    <row r="32" spans="2:50" s="231" customFormat="1" ht="18" customHeight="1">
      <c r="F32" s="238"/>
      <c r="G32" s="245"/>
      <c r="H32" s="223"/>
      <c r="I32" s="224"/>
      <c r="J32" s="6"/>
      <c r="K32" s="6"/>
      <c r="L32" s="6"/>
      <c r="M32" s="6"/>
      <c r="N32" s="8"/>
      <c r="O32" s="8"/>
      <c r="P32" s="8"/>
      <c r="Q32" s="6"/>
      <c r="R32" s="6"/>
      <c r="S32" s="6"/>
      <c r="T32" s="6"/>
      <c r="U32" s="6"/>
      <c r="V32" s="6"/>
      <c r="W32" s="6"/>
      <c r="X32" s="7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236"/>
      <c r="AR32" s="237"/>
      <c r="AU32" s="238"/>
      <c r="AV32" s="238"/>
      <c r="AW32" s="238"/>
      <c r="AX32" s="239"/>
    </row>
    <row r="33" spans="6:50" s="231" customFormat="1" ht="17.25" customHeight="1">
      <c r="F33" s="238"/>
      <c r="G33" s="245"/>
      <c r="H33" s="223"/>
      <c r="I33" s="224"/>
      <c r="J33" s="6"/>
      <c r="K33" s="6"/>
      <c r="L33" s="6"/>
      <c r="M33" s="6"/>
      <c r="N33" s="8"/>
      <c r="O33" s="8"/>
      <c r="P33" s="8"/>
      <c r="Q33" s="6"/>
      <c r="R33" s="6"/>
      <c r="S33" s="6"/>
      <c r="T33" s="6"/>
      <c r="U33" s="6"/>
      <c r="V33" s="6"/>
      <c r="W33" s="6"/>
      <c r="X33" s="7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236"/>
      <c r="AR33" s="237"/>
      <c r="AU33" s="238"/>
      <c r="AV33" s="238"/>
      <c r="AW33" s="238"/>
      <c r="AX33" s="239"/>
    </row>
    <row r="34" spans="6:50" s="231" customFormat="1" ht="38.25" customHeight="1">
      <c r="F34" s="238"/>
      <c r="G34" s="245"/>
      <c r="H34" s="223"/>
      <c r="I34" s="224"/>
      <c r="J34" s="6"/>
      <c r="K34" s="6"/>
      <c r="L34" s="6"/>
      <c r="M34" s="6"/>
      <c r="N34" s="8"/>
      <c r="O34" s="8"/>
      <c r="P34" s="8"/>
      <c r="Q34" s="6"/>
      <c r="R34" s="6"/>
      <c r="S34" s="6"/>
      <c r="T34" s="6"/>
      <c r="U34" s="6"/>
      <c r="V34" s="6"/>
      <c r="W34" s="6"/>
      <c r="X34" s="7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236"/>
      <c r="AR34" s="237"/>
      <c r="AU34" s="238"/>
      <c r="AV34" s="238"/>
      <c r="AW34" s="238"/>
      <c r="AX34" s="239"/>
    </row>
    <row r="35" spans="6:50" s="231" customFormat="1" ht="19">
      <c r="F35" s="238"/>
      <c r="G35" s="245"/>
      <c r="H35" s="223"/>
      <c r="I35" s="224"/>
      <c r="J35" s="6"/>
      <c r="K35" s="6"/>
      <c r="L35" s="6"/>
      <c r="M35" s="6"/>
      <c r="N35" s="8"/>
      <c r="O35" s="8"/>
      <c r="P35" s="8"/>
      <c r="Q35" s="6"/>
      <c r="R35" s="6"/>
      <c r="S35" s="6"/>
      <c r="T35" s="6"/>
      <c r="U35" s="6"/>
      <c r="V35" s="6"/>
      <c r="W35" s="6"/>
      <c r="X35" s="7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244"/>
      <c r="AR35" s="237"/>
      <c r="AU35" s="238"/>
      <c r="AV35" s="238"/>
      <c r="AW35" s="238"/>
      <c r="AX35" s="239"/>
    </row>
    <row r="36" spans="6:50" s="231" customFormat="1" ht="19">
      <c r="F36" s="238"/>
      <c r="G36" s="245"/>
      <c r="H36" s="223"/>
      <c r="I36" s="224"/>
      <c r="J36" s="6"/>
      <c r="K36" s="6"/>
      <c r="L36" s="6"/>
      <c r="M36" s="6"/>
      <c r="N36" s="8"/>
      <c r="O36" s="8"/>
      <c r="P36" s="8"/>
      <c r="Q36" s="6"/>
      <c r="R36" s="6"/>
      <c r="S36" s="6"/>
      <c r="T36" s="6"/>
      <c r="U36" s="6"/>
      <c r="V36" s="6"/>
      <c r="W36" s="6"/>
      <c r="X36" s="7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236"/>
      <c r="AR36" s="237"/>
      <c r="AU36" s="238"/>
      <c r="AV36" s="238"/>
      <c r="AW36" s="238"/>
      <c r="AX36" s="239"/>
    </row>
    <row r="37" spans="6:50" s="231" customFormat="1" ht="19">
      <c r="F37" s="238"/>
      <c r="G37" s="245"/>
      <c r="H37" s="225"/>
      <c r="I37" s="224"/>
      <c r="J37" s="6"/>
      <c r="K37" s="6"/>
      <c r="L37" s="6"/>
      <c r="M37" s="6"/>
      <c r="N37" s="8"/>
      <c r="O37" s="8"/>
      <c r="P37" s="8"/>
      <c r="Q37" s="6"/>
      <c r="R37" s="6"/>
      <c r="S37" s="6"/>
      <c r="T37" s="6"/>
      <c r="U37" s="6"/>
      <c r="V37" s="6"/>
      <c r="W37" s="6"/>
      <c r="X37" s="7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236"/>
      <c r="AR37" s="237"/>
      <c r="AU37" s="238"/>
      <c r="AV37" s="238"/>
      <c r="AW37" s="238"/>
      <c r="AX37" s="239"/>
    </row>
    <row r="38" spans="6:50" s="231" customFormat="1" ht="19">
      <c r="F38" s="238"/>
      <c r="G38" s="245"/>
      <c r="H38" s="226"/>
      <c r="I38" s="224"/>
      <c r="J38" s="6"/>
      <c r="K38" s="6"/>
      <c r="L38" s="6"/>
      <c r="M38" s="6"/>
      <c r="N38" s="8"/>
      <c r="O38" s="8"/>
      <c r="P38" s="8"/>
      <c r="Q38" s="6"/>
      <c r="R38" s="6"/>
      <c r="S38" s="6"/>
      <c r="T38" s="6"/>
      <c r="U38" s="6"/>
      <c r="V38" s="6"/>
      <c r="W38" s="6"/>
      <c r="X38" s="7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236"/>
      <c r="AR38" s="237"/>
      <c r="AU38" s="238"/>
      <c r="AV38" s="238"/>
      <c r="AW38" s="238"/>
      <c r="AX38" s="239"/>
    </row>
    <row r="39" spans="6:50" s="231" customFormat="1" ht="19">
      <c r="F39" s="238"/>
      <c r="G39" s="245"/>
      <c r="H39" s="226"/>
      <c r="I39" s="224"/>
      <c r="J39" s="6"/>
      <c r="K39" s="6"/>
      <c r="L39" s="6"/>
      <c r="M39" s="6"/>
      <c r="N39" s="8"/>
      <c r="O39" s="8"/>
      <c r="P39" s="8"/>
      <c r="Q39" s="6"/>
      <c r="R39" s="6"/>
      <c r="S39" s="6"/>
      <c r="T39" s="6"/>
      <c r="U39" s="6"/>
      <c r="V39" s="6"/>
      <c r="W39" s="6"/>
      <c r="X39" s="7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244"/>
      <c r="AR39" s="237"/>
      <c r="AU39" s="238"/>
      <c r="AV39" s="238"/>
      <c r="AW39" s="238"/>
      <c r="AX39" s="239"/>
    </row>
    <row r="40" spans="6:50" s="231" customFormat="1" ht="19">
      <c r="F40" s="238"/>
      <c r="G40" s="245"/>
      <c r="I40" s="246"/>
      <c r="J40" s="6"/>
      <c r="K40" s="6"/>
      <c r="L40" s="6"/>
      <c r="M40" s="6"/>
      <c r="N40" s="8"/>
      <c r="O40" s="8"/>
      <c r="P40" s="8"/>
      <c r="Q40" s="6"/>
      <c r="R40" s="6"/>
      <c r="S40" s="6"/>
      <c r="T40" s="6"/>
      <c r="U40" s="6"/>
      <c r="V40" s="6"/>
      <c r="W40" s="6"/>
      <c r="X40" s="7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236"/>
      <c r="AR40" s="237"/>
      <c r="AU40" s="238"/>
      <c r="AV40" s="238"/>
      <c r="AW40" s="238"/>
      <c r="AX40" s="239"/>
    </row>
  </sheetData>
  <autoFilter ref="A3:AT10" xr:uid="{00000000-0009-0000-0000-00000E000000}"/>
  <mergeCells count="18">
    <mergeCell ref="A1:A2"/>
    <mergeCell ref="B1:B3"/>
    <mergeCell ref="C1:C3"/>
    <mergeCell ref="D1:D3"/>
    <mergeCell ref="AT1:AT3"/>
    <mergeCell ref="AS1:AS3"/>
    <mergeCell ref="AR1:AR3"/>
    <mergeCell ref="AQ1:AQ3"/>
    <mergeCell ref="E1:E3"/>
    <mergeCell ref="G1:H1"/>
    <mergeCell ref="I1:AG1"/>
    <mergeCell ref="AM1:AM3"/>
    <mergeCell ref="AK1:AK3"/>
    <mergeCell ref="AP1:AP3"/>
    <mergeCell ref="AO1:AO3"/>
    <mergeCell ref="AN1:AN3"/>
    <mergeCell ref="AL1:AL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B4:C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tabSelected="1" workbookViewId="0">
      <selection activeCell="H17" sqref="H17"/>
    </sheetView>
  </sheetViews>
  <sheetFormatPr baseColWidth="10" defaultRowHeight="13"/>
  <sheetData>
    <row r="1" spans="1:19" ht="28">
      <c r="A1" s="397" t="s">
        <v>27</v>
      </c>
      <c r="B1" s="399" t="s">
        <v>28</v>
      </c>
      <c r="C1" s="401" t="s">
        <v>59</v>
      </c>
      <c r="D1" s="283" t="s">
        <v>193</v>
      </c>
      <c r="E1" s="295" t="s">
        <v>237</v>
      </c>
      <c r="F1" s="295" t="s">
        <v>238</v>
      </c>
      <c r="G1" s="296" t="s">
        <v>239</v>
      </c>
      <c r="H1" s="296" t="s">
        <v>240</v>
      </c>
      <c r="I1" s="296" t="s">
        <v>241</v>
      </c>
      <c r="J1" s="297" t="s">
        <v>242</v>
      </c>
      <c r="K1" s="295" t="s">
        <v>243</v>
      </c>
      <c r="L1" s="295" t="s">
        <v>244</v>
      </c>
      <c r="M1" s="295" t="s">
        <v>245</v>
      </c>
      <c r="N1" s="295" t="s">
        <v>246</v>
      </c>
      <c r="O1" s="295" t="s">
        <v>247</v>
      </c>
      <c r="P1" s="295" t="s">
        <v>248</v>
      </c>
      <c r="Q1" s="395" t="s">
        <v>56</v>
      </c>
      <c r="R1" s="395" t="s">
        <v>25</v>
      </c>
      <c r="S1" s="395" t="s">
        <v>26</v>
      </c>
    </row>
    <row r="2" spans="1:19" ht="14">
      <c r="A2" s="398"/>
      <c r="B2" s="400"/>
      <c r="C2" s="401"/>
      <c r="D2" s="284" t="s">
        <v>30</v>
      </c>
      <c r="E2" s="294">
        <v>1.5</v>
      </c>
      <c r="F2" s="294">
        <v>2.15</v>
      </c>
      <c r="G2" s="294">
        <v>2</v>
      </c>
      <c r="H2" s="294">
        <v>2.8</v>
      </c>
      <c r="I2" s="294">
        <v>3</v>
      </c>
      <c r="J2" s="294">
        <v>4.0999999999999996</v>
      </c>
      <c r="K2" s="294">
        <v>1.5</v>
      </c>
      <c r="L2" s="294">
        <v>2.15</v>
      </c>
      <c r="M2" s="294">
        <v>2</v>
      </c>
      <c r="N2" s="294">
        <v>2.8</v>
      </c>
      <c r="O2" s="294">
        <v>3</v>
      </c>
      <c r="P2" s="294">
        <v>4.0999999999999996</v>
      </c>
      <c r="Q2" s="396"/>
      <c r="R2" s="396"/>
      <c r="S2" s="396"/>
    </row>
    <row r="3" spans="1:19" ht="16">
      <c r="A3" s="285" t="s">
        <v>190</v>
      </c>
      <c r="B3" s="207" t="s">
        <v>201</v>
      </c>
      <c r="C3" s="286">
        <v>43466</v>
      </c>
      <c r="D3" s="287">
        <f>VLOOKUP(A3,'Template Payroll'!$B$5:$J$5,9,0)</f>
        <v>47000000</v>
      </c>
      <c r="E3" s="288">
        <v>0</v>
      </c>
      <c r="F3" s="289">
        <v>0</v>
      </c>
      <c r="G3" s="289">
        <v>0</v>
      </c>
      <c r="H3" s="289">
        <v>0</v>
      </c>
      <c r="I3" s="289"/>
      <c r="J3" s="289"/>
      <c r="K3" s="290">
        <f>ROUND(D3/26/8*$K2*E3,0)</f>
        <v>0</v>
      </c>
      <c r="L3" s="290">
        <f>ROUND(D3/26/8*$L2*F3,0)</f>
        <v>0</v>
      </c>
      <c r="M3" s="290">
        <f>ROUND(D3/26/8*$M2*G3,0)</f>
        <v>0</v>
      </c>
      <c r="N3" s="290">
        <f>ROUND(D3/26/8*$N2*H3,0)</f>
        <v>0</v>
      </c>
      <c r="O3" s="290">
        <f>ROUND(D3/26/8*$O2*I3,0)</f>
        <v>0</v>
      </c>
      <c r="P3" s="290">
        <f>ROUND(D3/26/8*$P2*J3,0)</f>
        <v>0</v>
      </c>
      <c r="Q3" s="291">
        <f>ROUND(SUM(K3:P3),0)</f>
        <v>0</v>
      </c>
      <c r="R3" s="292">
        <f>ROUND(SUM(E3:J3)*D3/26/8,0)</f>
        <v>0</v>
      </c>
      <c r="S3" s="293">
        <f>ROUND(Q3-R3,0)</f>
        <v>0</v>
      </c>
    </row>
    <row r="4" spans="1:19" ht="16">
      <c r="A4" s="318" t="s">
        <v>191</v>
      </c>
      <c r="B4" s="109" t="s">
        <v>202</v>
      </c>
      <c r="C4" s="319">
        <v>43831</v>
      </c>
      <c r="D4" s="320">
        <f>VLOOKUP(A4,'[20]Template Payroll'!$B$6:$J$18,9,0)</f>
        <v>31000000</v>
      </c>
      <c r="E4" s="321">
        <v>0</v>
      </c>
      <c r="F4" s="321">
        <v>6</v>
      </c>
      <c r="G4" s="321">
        <v>0</v>
      </c>
      <c r="H4" s="321">
        <v>0</v>
      </c>
      <c r="I4" s="321">
        <v>6</v>
      </c>
      <c r="J4" s="321">
        <v>2</v>
      </c>
      <c r="K4" s="322">
        <f t="shared" ref="K4:K10" ca="1" si="0">ROUND(D4/26/8*$K$5*E4,0)</f>
        <v>0</v>
      </c>
      <c r="L4" s="322">
        <f t="shared" ref="L4:L10" ca="1" si="1">ROUND(D4/26/8*$L$5*F4,0)</f>
        <v>1922596</v>
      </c>
      <c r="M4" s="322">
        <f t="shared" ref="M4:M10" ca="1" si="2">ROUND(D4/26/8*$M$5*G4,0)</f>
        <v>0</v>
      </c>
      <c r="N4" s="322">
        <f t="shared" ref="N4:N10" ca="1" si="3">ROUND(D4/26/8*$N$5*H4,0)</f>
        <v>0</v>
      </c>
      <c r="O4" s="322">
        <f t="shared" ref="O4:O10" ca="1" si="4">ROUND(D4/26/8*$O$5*I4,0)</f>
        <v>2682692</v>
      </c>
      <c r="P4" s="322">
        <f t="shared" ref="P4:P10" ca="1" si="5">ROUND(D4/26/8*$P$5*J4,0)</f>
        <v>1222115</v>
      </c>
      <c r="Q4" s="323">
        <f ca="1">ROUND(SUM(K4:P4),0)</f>
        <v>5827403</v>
      </c>
      <c r="R4" s="324">
        <f>ROUND(SUM(E4:J4)*D4/26/8,0)</f>
        <v>2086538</v>
      </c>
      <c r="S4" s="325">
        <f ca="1">ROUND(Q4-R4,0)</f>
        <v>3740865</v>
      </c>
    </row>
    <row r="5" spans="1:19" ht="16">
      <c r="A5" s="318" t="s">
        <v>167</v>
      </c>
      <c r="B5" s="109" t="s">
        <v>203</v>
      </c>
      <c r="C5" s="319">
        <v>44197</v>
      </c>
      <c r="D5" s="320">
        <f>VLOOKUP(A5,'[20]Template Payroll'!$B$6:$J$18,9,0)</f>
        <v>10448000</v>
      </c>
      <c r="E5" s="321">
        <v>0.5</v>
      </c>
      <c r="F5" s="321">
        <v>2.5</v>
      </c>
      <c r="G5" s="321">
        <v>0</v>
      </c>
      <c r="H5" s="321">
        <v>0</v>
      </c>
      <c r="I5" s="321">
        <v>0</v>
      </c>
      <c r="J5" s="321">
        <v>0</v>
      </c>
      <c r="K5" s="322">
        <f t="shared" ca="1" si="0"/>
        <v>37673</v>
      </c>
      <c r="L5" s="322">
        <f t="shared" ca="1" si="1"/>
        <v>269990</v>
      </c>
      <c r="M5" s="322">
        <f t="shared" ca="1" si="2"/>
        <v>0</v>
      </c>
      <c r="N5" s="322">
        <f t="shared" ca="1" si="3"/>
        <v>0</v>
      </c>
      <c r="O5" s="322">
        <f t="shared" ca="1" si="4"/>
        <v>0</v>
      </c>
      <c r="P5" s="322">
        <f t="shared" ca="1" si="5"/>
        <v>0</v>
      </c>
      <c r="Q5" s="323">
        <f t="shared" ref="Q5:Q10" ca="1" si="6">ROUND(SUM(K5:P5),0)</f>
        <v>307663</v>
      </c>
      <c r="R5" s="324">
        <f t="shared" ref="R5:R9" si="7">ROUND(SUM(E5:J5)*D5/26/8,0)</f>
        <v>150692</v>
      </c>
      <c r="S5" s="325">
        <f t="shared" ref="S5:S9" ca="1" si="8">ROUND(Q5-R5,0)</f>
        <v>156971</v>
      </c>
    </row>
    <row r="6" spans="1:19" ht="16">
      <c r="A6" s="318" t="s">
        <v>168</v>
      </c>
      <c r="B6" s="109" t="s">
        <v>204</v>
      </c>
      <c r="C6" s="319">
        <v>44562</v>
      </c>
      <c r="D6" s="320">
        <f>VLOOKUP(A6,'[20]Template Payroll'!$B$6:$J$18,9,0)</f>
        <v>8000000</v>
      </c>
      <c r="E6" s="321">
        <v>0</v>
      </c>
      <c r="F6" s="321">
        <v>0</v>
      </c>
      <c r="G6" s="321">
        <v>0</v>
      </c>
      <c r="H6" s="321">
        <v>0</v>
      </c>
      <c r="I6" s="321">
        <v>7</v>
      </c>
      <c r="J6" s="321">
        <v>1</v>
      </c>
      <c r="K6" s="322">
        <f t="shared" ca="1" si="0"/>
        <v>0</v>
      </c>
      <c r="L6" s="322">
        <f t="shared" ca="1" si="1"/>
        <v>0</v>
      </c>
      <c r="M6" s="322">
        <f t="shared" ca="1" si="2"/>
        <v>0</v>
      </c>
      <c r="N6" s="322">
        <f t="shared" ca="1" si="3"/>
        <v>0</v>
      </c>
      <c r="O6" s="322">
        <f t="shared" ca="1" si="4"/>
        <v>807692</v>
      </c>
      <c r="P6" s="322">
        <f t="shared" ca="1" si="5"/>
        <v>157692</v>
      </c>
      <c r="Q6" s="323">
        <f t="shared" ca="1" si="6"/>
        <v>965384</v>
      </c>
      <c r="R6" s="324">
        <f t="shared" si="7"/>
        <v>307692</v>
      </c>
      <c r="S6" s="325">
        <f t="shared" ca="1" si="8"/>
        <v>657692</v>
      </c>
    </row>
    <row r="7" spans="1:19" ht="16">
      <c r="A7" s="318" t="s">
        <v>169</v>
      </c>
      <c r="B7" s="109" t="s">
        <v>205</v>
      </c>
      <c r="C7" s="326">
        <v>45740</v>
      </c>
      <c r="D7" s="320">
        <f>VLOOKUP(A7,'[20]Template Payroll'!$B$6:$J$18,9,0)</f>
        <v>8500000</v>
      </c>
      <c r="E7" s="321">
        <v>0</v>
      </c>
      <c r="F7" s="321">
        <v>0</v>
      </c>
      <c r="G7" s="321">
        <v>0</v>
      </c>
      <c r="H7" s="321">
        <v>0</v>
      </c>
      <c r="I7" s="321">
        <v>8</v>
      </c>
      <c r="J7" s="321">
        <v>0</v>
      </c>
      <c r="K7" s="322">
        <f t="shared" ca="1" si="0"/>
        <v>0</v>
      </c>
      <c r="L7" s="322">
        <f t="shared" ca="1" si="1"/>
        <v>0</v>
      </c>
      <c r="M7" s="322">
        <f t="shared" ca="1" si="2"/>
        <v>0</v>
      </c>
      <c r="N7" s="322">
        <f t="shared" ca="1" si="3"/>
        <v>0</v>
      </c>
      <c r="O7" s="322">
        <f t="shared" ca="1" si="4"/>
        <v>980769</v>
      </c>
      <c r="P7" s="322">
        <f t="shared" ca="1" si="5"/>
        <v>0</v>
      </c>
      <c r="Q7" s="327">
        <f t="shared" ca="1" si="6"/>
        <v>980769</v>
      </c>
      <c r="R7" s="328">
        <f ca="1">Q7</f>
        <v>980769</v>
      </c>
      <c r="S7" s="325">
        <v>0</v>
      </c>
    </row>
    <row r="8" spans="1:19" ht="16">
      <c r="A8" s="318" t="s">
        <v>170</v>
      </c>
      <c r="B8" s="109" t="s">
        <v>206</v>
      </c>
      <c r="C8" s="319">
        <v>44927</v>
      </c>
      <c r="D8" s="320">
        <f>VLOOKUP(A8,'[20]Template Payroll'!$B$6:$J$18,9,0)</f>
        <v>7056000</v>
      </c>
      <c r="E8" s="321">
        <v>1</v>
      </c>
      <c r="F8" s="321">
        <v>9</v>
      </c>
      <c r="G8" s="321">
        <v>0</v>
      </c>
      <c r="H8" s="321">
        <v>0</v>
      </c>
      <c r="I8" s="321">
        <v>6</v>
      </c>
      <c r="J8" s="321">
        <v>2</v>
      </c>
      <c r="K8" s="322">
        <f t="shared" ca="1" si="0"/>
        <v>50885</v>
      </c>
      <c r="L8" s="322">
        <f t="shared" ca="1" si="1"/>
        <v>656412</v>
      </c>
      <c r="M8" s="322">
        <f t="shared" ca="1" si="2"/>
        <v>0</v>
      </c>
      <c r="N8" s="322">
        <f t="shared" ca="1" si="3"/>
        <v>0</v>
      </c>
      <c r="O8" s="322">
        <f t="shared" ca="1" si="4"/>
        <v>610615</v>
      </c>
      <c r="P8" s="322">
        <f t="shared" ca="1" si="5"/>
        <v>278169</v>
      </c>
      <c r="Q8" s="323">
        <f t="shared" ca="1" si="6"/>
        <v>1596081</v>
      </c>
      <c r="R8" s="324">
        <f t="shared" si="7"/>
        <v>610615</v>
      </c>
      <c r="S8" s="325">
        <f t="shared" ca="1" si="8"/>
        <v>985466</v>
      </c>
    </row>
    <row r="9" spans="1:19" ht="16">
      <c r="A9" s="318" t="s">
        <v>171</v>
      </c>
      <c r="B9" s="109" t="s">
        <v>207</v>
      </c>
      <c r="C9" s="319">
        <v>45292</v>
      </c>
      <c r="D9" s="320">
        <f>VLOOKUP(A9,'[20]Template Payroll'!$B$6:$J$18,9,0)</f>
        <v>6841000</v>
      </c>
      <c r="E9" s="321">
        <v>0</v>
      </c>
      <c r="F9" s="321">
        <v>0</v>
      </c>
      <c r="G9" s="321">
        <v>0</v>
      </c>
      <c r="H9" s="321">
        <v>0</v>
      </c>
      <c r="I9" s="321">
        <v>0</v>
      </c>
      <c r="J9" s="321">
        <v>0</v>
      </c>
      <c r="K9" s="322">
        <f t="shared" ca="1" si="0"/>
        <v>0</v>
      </c>
      <c r="L9" s="322">
        <f t="shared" ca="1" si="1"/>
        <v>0</v>
      </c>
      <c r="M9" s="322">
        <f t="shared" ca="1" si="2"/>
        <v>0</v>
      </c>
      <c r="N9" s="322">
        <f t="shared" ca="1" si="3"/>
        <v>0</v>
      </c>
      <c r="O9" s="322">
        <f t="shared" ca="1" si="4"/>
        <v>0</v>
      </c>
      <c r="P9" s="322">
        <f t="shared" ca="1" si="5"/>
        <v>0</v>
      </c>
      <c r="Q9" s="323">
        <f t="shared" ca="1" si="6"/>
        <v>0</v>
      </c>
      <c r="R9" s="324">
        <f t="shared" si="7"/>
        <v>0</v>
      </c>
      <c r="S9" s="325">
        <f t="shared" ca="1" si="8"/>
        <v>0</v>
      </c>
    </row>
    <row r="10" spans="1:19" ht="16">
      <c r="A10" s="318" t="s">
        <v>192</v>
      </c>
      <c r="B10" s="109" t="s">
        <v>208</v>
      </c>
      <c r="C10" s="326">
        <v>45738</v>
      </c>
      <c r="D10" s="320">
        <f>VLOOKUP(A10,'[20]Template Payroll'!$B$6:$J$18,9,0)</f>
        <v>11000000</v>
      </c>
      <c r="E10" s="321">
        <v>1</v>
      </c>
      <c r="F10" s="321">
        <v>9</v>
      </c>
      <c r="G10" s="321">
        <v>0</v>
      </c>
      <c r="H10" s="321">
        <v>0</v>
      </c>
      <c r="I10" s="321">
        <v>6</v>
      </c>
      <c r="J10" s="321">
        <v>2</v>
      </c>
      <c r="K10" s="322">
        <f t="shared" ca="1" si="0"/>
        <v>79327</v>
      </c>
      <c r="L10" s="322">
        <f t="shared" ca="1" si="1"/>
        <v>1023317</v>
      </c>
      <c r="M10" s="322">
        <f t="shared" ca="1" si="2"/>
        <v>0</v>
      </c>
      <c r="N10" s="322">
        <f t="shared" ca="1" si="3"/>
        <v>0</v>
      </c>
      <c r="O10" s="322">
        <f t="shared" ca="1" si="4"/>
        <v>951923</v>
      </c>
      <c r="P10" s="322">
        <f t="shared" ca="1" si="5"/>
        <v>433654</v>
      </c>
      <c r="Q10" s="327">
        <f t="shared" ca="1" si="6"/>
        <v>2488221</v>
      </c>
      <c r="R10" s="328">
        <f ca="1">Q10</f>
        <v>2488221</v>
      </c>
      <c r="S10" s="325">
        <v>0</v>
      </c>
    </row>
  </sheetData>
  <mergeCells count="6">
    <mergeCell ref="Q1:Q2"/>
    <mergeCell ref="R1:R2"/>
    <mergeCell ref="S1:S2"/>
    <mergeCell ref="A1:A2"/>
    <mergeCell ref="B1:B2"/>
    <mergeCell ref="C1:C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H9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9" defaultRowHeight="12"/>
  <cols>
    <col min="1" max="1" width="12.83203125" style="342" customWidth="1"/>
    <col min="2" max="2" width="19.1640625" style="342" customWidth="1"/>
    <col min="3" max="3" width="17.5" style="343" customWidth="1"/>
    <col min="4" max="4" width="17.5" style="342" customWidth="1"/>
    <col min="5" max="5" width="12.5" style="344" customWidth="1"/>
    <col min="6" max="6" width="17.33203125" style="344" customWidth="1"/>
    <col min="7" max="7" width="15.83203125" style="342" customWidth="1"/>
    <col min="8" max="8" width="15" style="342" customWidth="1"/>
    <col min="9" max="203" width="9" style="342"/>
    <col min="204" max="204" width="3.5" style="342" customWidth="1"/>
    <col min="205" max="205" width="19.1640625" style="342" customWidth="1"/>
    <col min="206" max="206" width="10.1640625" style="342" customWidth="1"/>
    <col min="207" max="207" width="10.6640625" style="342" customWidth="1"/>
    <col min="208" max="208" width="8.33203125" style="342" customWidth="1"/>
    <col min="209" max="209" width="8.6640625" style="342" customWidth="1"/>
    <col min="210" max="210" width="6.33203125" style="342" customWidth="1"/>
    <col min="211" max="211" width="7.1640625" style="342" customWidth="1"/>
    <col min="212" max="212" width="5.6640625" style="342" customWidth="1"/>
    <col min="213" max="213" width="5.83203125" style="342" customWidth="1"/>
    <col min="214" max="214" width="5.33203125" style="342" customWidth="1"/>
    <col min="215" max="215" width="6" style="342" customWidth="1"/>
    <col min="216" max="216" width="6.5" style="342" customWidth="1"/>
    <col min="217" max="217" width="6.1640625" style="342" customWidth="1"/>
    <col min="218" max="220" width="6.5" style="342" customWidth="1"/>
    <col min="221" max="221" width="7.1640625" style="342" customWidth="1"/>
    <col min="222" max="222" width="7.83203125" style="342" customWidth="1"/>
    <col min="223" max="223" width="5.5" style="342" customWidth="1"/>
    <col min="224" max="224" width="8.83203125" style="342" customWidth="1"/>
    <col min="225" max="225" width="12.5" style="342" customWidth="1"/>
    <col min="226" max="226" width="13.5" style="342" customWidth="1"/>
    <col min="227" max="228" width="7.5" style="342" customWidth="1"/>
    <col min="229" max="229" width="6" style="342" customWidth="1"/>
    <col min="230" max="230" width="8.5" style="342" customWidth="1"/>
    <col min="231" max="231" width="7.1640625" style="342" customWidth="1"/>
    <col min="232" max="16384" width="9" style="342"/>
  </cols>
  <sheetData>
    <row r="1" spans="1:8" s="333" customFormat="1" ht="54" customHeight="1">
      <c r="A1" s="164" t="s">
        <v>27</v>
      </c>
      <c r="B1" s="329" t="s">
        <v>28</v>
      </c>
      <c r="C1" s="330" t="s">
        <v>59</v>
      </c>
      <c r="D1" s="331" t="s">
        <v>126</v>
      </c>
      <c r="E1" s="332" t="s">
        <v>33</v>
      </c>
      <c r="F1" s="332" t="s">
        <v>194</v>
      </c>
      <c r="G1" s="332" t="s">
        <v>195</v>
      </c>
      <c r="H1" s="332" t="s">
        <v>196</v>
      </c>
    </row>
    <row r="2" spans="1:8" s="341" customFormat="1" ht="15.75" customHeight="1">
      <c r="A2" s="334" t="s">
        <v>190</v>
      </c>
      <c r="B2" s="335" t="s">
        <v>188</v>
      </c>
      <c r="C2" s="336">
        <v>43466</v>
      </c>
      <c r="D2" s="337">
        <f>IFERROR(VLOOKUP(A2,'Template Payroll'!$B$5:$J$12,9,0),0)</f>
        <v>47000000</v>
      </c>
      <c r="E2" s="338">
        <v>2</v>
      </c>
      <c r="F2" s="339">
        <f t="shared" ref="F2:F9" si="0">ROUND((D2/26/8)*30%*E2,0)</f>
        <v>135577</v>
      </c>
      <c r="G2" s="340">
        <f>F2-H2</f>
        <v>0</v>
      </c>
      <c r="H2" s="340">
        <f>F2</f>
        <v>135577</v>
      </c>
    </row>
    <row r="3" spans="1:8" s="341" customFormat="1" ht="15.75" customHeight="1">
      <c r="A3" s="334" t="s">
        <v>191</v>
      </c>
      <c r="B3" s="335" t="s">
        <v>189</v>
      </c>
      <c r="C3" s="336">
        <v>43831</v>
      </c>
      <c r="D3" s="337">
        <f>IFERROR(VLOOKUP(A3,'Template Payroll'!$B$5:$J$12,9,0),0)</f>
        <v>31000000</v>
      </c>
      <c r="E3" s="338">
        <v>3</v>
      </c>
      <c r="F3" s="339">
        <f t="shared" si="0"/>
        <v>134135</v>
      </c>
      <c r="G3" s="340">
        <f t="shared" ref="G3:G9" si="1">F3-H3</f>
        <v>0</v>
      </c>
      <c r="H3" s="340">
        <f t="shared" ref="H3:H9" si="2">F3</f>
        <v>134135</v>
      </c>
    </row>
    <row r="4" spans="1:8" s="341" customFormat="1" ht="15.75" customHeight="1">
      <c r="A4" s="334" t="s">
        <v>167</v>
      </c>
      <c r="B4" s="335" t="s">
        <v>203</v>
      </c>
      <c r="C4" s="336">
        <v>44197</v>
      </c>
      <c r="D4" s="337">
        <f>IFERROR(VLOOKUP(A4,'Template Payroll'!$B$5:$J$12,9,0),0)</f>
        <v>10448000</v>
      </c>
      <c r="E4" s="338">
        <v>4</v>
      </c>
      <c r="F4" s="339">
        <f t="shared" si="0"/>
        <v>60277</v>
      </c>
      <c r="G4" s="340">
        <f t="shared" si="1"/>
        <v>0</v>
      </c>
      <c r="H4" s="340">
        <f t="shared" si="2"/>
        <v>60277</v>
      </c>
    </row>
    <row r="5" spans="1:8" s="341" customFormat="1" ht="15.75" customHeight="1">
      <c r="A5" s="334" t="s">
        <v>168</v>
      </c>
      <c r="B5" s="335" t="s">
        <v>204</v>
      </c>
      <c r="C5" s="336">
        <v>44562</v>
      </c>
      <c r="D5" s="337">
        <f>IFERROR(VLOOKUP(A5,'Template Payroll'!$B$5:$J$12,9,0),0)</f>
        <v>8000000</v>
      </c>
      <c r="E5" s="338">
        <v>1.5</v>
      </c>
      <c r="F5" s="339">
        <f t="shared" si="0"/>
        <v>17308</v>
      </c>
      <c r="G5" s="340">
        <f t="shared" si="1"/>
        <v>0</v>
      </c>
      <c r="H5" s="340">
        <f t="shared" si="2"/>
        <v>17308</v>
      </c>
    </row>
    <row r="6" spans="1:8" ht="14">
      <c r="A6" s="334" t="s">
        <v>169</v>
      </c>
      <c r="B6" s="335" t="s">
        <v>205</v>
      </c>
      <c r="C6" s="336">
        <v>45740</v>
      </c>
      <c r="D6" s="337">
        <f>IFERROR(VLOOKUP(A6,'Template Payroll'!$B$5:$J$12,9,0),0)</f>
        <v>8500000</v>
      </c>
      <c r="E6" s="338">
        <v>0.5</v>
      </c>
      <c r="F6" s="339">
        <f t="shared" si="0"/>
        <v>6130</v>
      </c>
      <c r="G6" s="340">
        <f t="shared" si="1"/>
        <v>0</v>
      </c>
      <c r="H6" s="340">
        <f t="shared" si="2"/>
        <v>6130</v>
      </c>
    </row>
    <row r="7" spans="1:8" ht="14">
      <c r="A7" s="334" t="s">
        <v>170</v>
      </c>
      <c r="B7" s="335" t="s">
        <v>206</v>
      </c>
      <c r="C7" s="336">
        <v>44927</v>
      </c>
      <c r="D7" s="337">
        <f>IFERROR(VLOOKUP(A7,'Template Payroll'!$B$5:$J$12,9,0),0)</f>
        <v>7056000</v>
      </c>
      <c r="E7" s="338">
        <v>1</v>
      </c>
      <c r="F7" s="339">
        <f t="shared" si="0"/>
        <v>10177</v>
      </c>
      <c r="G7" s="340">
        <f t="shared" si="1"/>
        <v>0</v>
      </c>
      <c r="H7" s="340">
        <f t="shared" si="2"/>
        <v>10177</v>
      </c>
    </row>
    <row r="8" spans="1:8" ht="14">
      <c r="A8" s="334" t="s">
        <v>171</v>
      </c>
      <c r="B8" s="335" t="s">
        <v>207</v>
      </c>
      <c r="C8" s="336">
        <v>45292</v>
      </c>
      <c r="D8" s="337">
        <f>IFERROR(VLOOKUP(A8,'Template Payroll'!$B$5:$J$12,9,0),0)</f>
        <v>6841000</v>
      </c>
      <c r="E8" s="338">
        <v>5</v>
      </c>
      <c r="F8" s="339">
        <f t="shared" si="0"/>
        <v>49334</v>
      </c>
      <c r="G8" s="340">
        <f t="shared" si="1"/>
        <v>0</v>
      </c>
      <c r="H8" s="340">
        <f t="shared" si="2"/>
        <v>49334</v>
      </c>
    </row>
    <row r="9" spans="1:8" ht="14">
      <c r="A9" s="334" t="s">
        <v>192</v>
      </c>
      <c r="B9" s="335" t="s">
        <v>208</v>
      </c>
      <c r="C9" s="336">
        <v>45738</v>
      </c>
      <c r="D9" s="337">
        <f>IFERROR(VLOOKUP(A9,'Template Payroll'!$B$5:$J$12,9,0),0)</f>
        <v>11000000</v>
      </c>
      <c r="E9" s="338">
        <v>6</v>
      </c>
      <c r="F9" s="339">
        <f t="shared" si="0"/>
        <v>95192</v>
      </c>
      <c r="G9" s="340">
        <f t="shared" si="1"/>
        <v>0</v>
      </c>
      <c r="H9" s="340">
        <f t="shared" si="2"/>
        <v>95192</v>
      </c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I48" sqref="I48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30" hidden="1" customWidth="1"/>
    <col min="4" max="4" width="10.1640625" style="2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2" s="12" customFormat="1" ht="21.75" hidden="1" customHeight="1">
      <c r="B1" s="15">
        <v>42004</v>
      </c>
      <c r="C1" s="16">
        <v>41974</v>
      </c>
      <c r="D1" s="13"/>
      <c r="E1" s="17"/>
      <c r="F1" s="17" t="s">
        <v>1</v>
      </c>
      <c r="G1" s="36">
        <f>SUBTOTAL(9,G4:G5)</f>
        <v>4600000</v>
      </c>
      <c r="H1" s="36">
        <f>SUBTOTAL(9,H4:H5)</f>
        <v>0</v>
      </c>
      <c r="I1" s="37">
        <f>SUBTOTAL(9,I4:I5)</f>
        <v>4000000</v>
      </c>
      <c r="J1" s="36">
        <f>SUBTOTAL(9,J4:J5)</f>
        <v>600000</v>
      </c>
    </row>
    <row r="2" spans="1:12" s="19" customFormat="1" ht="20.25" hidden="1" customHeight="1">
      <c r="A2" s="18"/>
      <c r="C2" s="20">
        <v>44561</v>
      </c>
      <c r="D2" s="21"/>
      <c r="E2" s="22">
        <v>42339</v>
      </c>
      <c r="F2" s="23">
        <v>364</v>
      </c>
      <c r="G2" s="51">
        <f>SUBTOTAL(9,G4:G7)</f>
        <v>10210000</v>
      </c>
      <c r="H2" s="51">
        <f>SUBTOTAL(9,H4:H7)</f>
        <v>5610000</v>
      </c>
      <c r="I2" s="51">
        <f>SUBTOTAL(9,I4:I7)</f>
        <v>4000000</v>
      </c>
      <c r="J2" s="51">
        <f>SUBTOTAL(9,J4:J7)</f>
        <v>600000</v>
      </c>
    </row>
    <row r="3" spans="1:12" s="14" customFormat="1" ht="27.75" customHeight="1">
      <c r="A3" s="164" t="s">
        <v>27</v>
      </c>
      <c r="B3" s="24" t="s">
        <v>11</v>
      </c>
      <c r="C3" s="10" t="s">
        <v>54</v>
      </c>
      <c r="D3" s="25" t="s">
        <v>57</v>
      </c>
      <c r="E3" s="9" t="s">
        <v>12</v>
      </c>
      <c r="F3" s="9" t="s">
        <v>13</v>
      </c>
      <c r="G3" s="11" t="s">
        <v>60</v>
      </c>
      <c r="H3" s="26" t="s">
        <v>80</v>
      </c>
      <c r="I3" s="26" t="s">
        <v>63</v>
      </c>
      <c r="J3" s="26" t="s">
        <v>62</v>
      </c>
    </row>
    <row r="4" spans="1:12" s="27" customFormat="1" ht="15.75" customHeight="1">
      <c r="A4" s="87" t="s">
        <v>170</v>
      </c>
      <c r="B4" s="38" t="s">
        <v>206</v>
      </c>
      <c r="C4" s="33"/>
      <c r="D4" s="33"/>
      <c r="E4" s="38"/>
      <c r="F4" s="38" t="s">
        <v>67</v>
      </c>
      <c r="G4" s="43">
        <f t="shared" ref="G4:G6" si="0">ROUND(SUM($H4:$J4),0)</f>
        <v>2000000</v>
      </c>
      <c r="H4" s="43">
        <v>0</v>
      </c>
      <c r="I4" s="43">
        <v>2000000</v>
      </c>
      <c r="J4" s="43">
        <v>0</v>
      </c>
      <c r="K4" s="27" t="e">
        <f>VLOOKUP(A4,#REF!,36,0)</f>
        <v>#REF!</v>
      </c>
      <c r="L4" s="34" t="e">
        <f>K4=G4</f>
        <v>#REF!</v>
      </c>
    </row>
    <row r="5" spans="1:12" s="27" customFormat="1" ht="15.75" customHeight="1">
      <c r="A5" s="87" t="s">
        <v>171</v>
      </c>
      <c r="B5" s="38" t="s">
        <v>207</v>
      </c>
      <c r="C5" s="33"/>
      <c r="D5" s="33"/>
      <c r="E5" s="38"/>
      <c r="F5" s="38" t="s">
        <v>67</v>
      </c>
      <c r="G5" s="43">
        <f t="shared" si="0"/>
        <v>2600000</v>
      </c>
      <c r="H5" s="43">
        <v>0</v>
      </c>
      <c r="I5" s="43">
        <v>2000000</v>
      </c>
      <c r="J5" s="43">
        <v>600000</v>
      </c>
      <c r="K5" s="27" t="e">
        <f>VLOOKUP(A5,#REF!,36,0)</f>
        <v>#REF!</v>
      </c>
      <c r="L5" s="34" t="e">
        <f t="shared" ref="L5:L6" si="1">K5=G5</f>
        <v>#REF!</v>
      </c>
    </row>
    <row r="6" spans="1:12" s="27" customFormat="1" ht="15.75" customHeight="1">
      <c r="A6" s="88" t="s">
        <v>192</v>
      </c>
      <c r="B6" s="38" t="s">
        <v>208</v>
      </c>
      <c r="C6" s="40"/>
      <c r="D6" s="40"/>
      <c r="E6" s="39"/>
      <c r="F6" s="41" t="s">
        <v>58</v>
      </c>
      <c r="G6" s="43">
        <f t="shared" si="0"/>
        <v>5610000</v>
      </c>
      <c r="H6" s="43">
        <v>5610000</v>
      </c>
      <c r="I6" s="44"/>
      <c r="J6" s="44"/>
      <c r="K6" s="27" t="e">
        <f>VLOOKUP(A6,#REF!,36,0)</f>
        <v>#REF!</v>
      </c>
      <c r="L6" s="34" t="e">
        <f t="shared" si="1"/>
        <v>#REF!</v>
      </c>
    </row>
    <row r="7" spans="1:12" s="27" customFormat="1" ht="15.75" customHeight="1">
      <c r="A7" s="88"/>
      <c r="B7" s="38"/>
      <c r="C7" s="40"/>
      <c r="D7" s="40"/>
      <c r="E7" s="39"/>
      <c r="F7" s="41"/>
      <c r="G7" s="43"/>
      <c r="H7" s="43"/>
      <c r="I7" s="44"/>
      <c r="J7" s="44"/>
      <c r="L7" s="34"/>
    </row>
    <row r="8" spans="1:12" ht="15" customHeight="1">
      <c r="C8" s="28"/>
    </row>
  </sheetData>
  <sheetProtection selectLockedCells="1" selectUnlockedCells="1"/>
  <autoFilter ref="A3:J7" xr:uid="{00000000-0009-0000-0000-000007000000}"/>
  <phoneticPr fontId="299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A10" sqref="A10"/>
    </sheetView>
  </sheetViews>
  <sheetFormatPr baseColWidth="10" defaultColWidth="9.1640625" defaultRowHeight="15"/>
  <cols>
    <col min="1" max="1" width="7.5" style="45" customWidth="1"/>
    <col min="2" max="2" width="13.5" style="45" customWidth="1"/>
    <col min="3" max="3" width="27.83203125" style="45" customWidth="1"/>
    <col min="4" max="4" width="21" style="45" customWidth="1"/>
    <col min="5" max="5" width="22.5" style="45" customWidth="1"/>
    <col min="6" max="6" width="15" style="45" customWidth="1"/>
    <col min="7" max="7" width="13.33203125" style="45" customWidth="1"/>
    <col min="8" max="8" width="16.5" style="45" customWidth="1"/>
    <col min="9" max="9" width="19.6640625" style="45" customWidth="1"/>
    <col min="10" max="10" width="10.5" style="45" customWidth="1"/>
    <col min="11" max="11" width="6.6640625" style="45" customWidth="1"/>
    <col min="12" max="12" width="11.33203125" style="45" bestFit="1" customWidth="1"/>
    <col min="13" max="14" width="12.5" style="45" customWidth="1"/>
    <col min="15" max="15" width="13" style="45" customWidth="1"/>
    <col min="16" max="16" width="12.83203125" style="45" customWidth="1"/>
    <col min="17" max="16384" width="9.1640625" style="45"/>
  </cols>
  <sheetData>
    <row r="1" spans="1:12" ht="8.25" customHeight="1">
      <c r="A1" s="402" t="s">
        <v>9</v>
      </c>
      <c r="B1" s="402" t="s">
        <v>27</v>
      </c>
      <c r="C1" s="402" t="s">
        <v>11</v>
      </c>
      <c r="D1" s="402" t="s">
        <v>177</v>
      </c>
      <c r="E1" s="402" t="s">
        <v>178</v>
      </c>
      <c r="F1" s="402" t="s">
        <v>106</v>
      </c>
    </row>
    <row r="2" spans="1:12">
      <c r="A2" s="402"/>
      <c r="B2" s="402"/>
      <c r="C2" s="402"/>
      <c r="D2" s="402"/>
      <c r="E2" s="402"/>
      <c r="F2" s="402"/>
    </row>
    <row r="3" spans="1:12" ht="8.25" customHeight="1">
      <c r="A3" s="402"/>
      <c r="B3" s="402"/>
      <c r="C3" s="402"/>
      <c r="D3" s="402"/>
      <c r="E3" s="402"/>
      <c r="F3" s="402"/>
    </row>
    <row r="4" spans="1:12" ht="18" customHeight="1">
      <c r="A4" s="149">
        <v>1</v>
      </c>
      <c r="B4" s="146" t="s">
        <v>167</v>
      </c>
      <c r="C4" s="109" t="s">
        <v>202</v>
      </c>
      <c r="D4" s="83">
        <v>2000000</v>
      </c>
      <c r="E4" s="150">
        <f>VLOOKUP($B4,'TimeTB 2'!$B$4:$P$11,14,0)</f>
        <v>25</v>
      </c>
      <c r="F4" s="83">
        <f>D4/26*E4</f>
        <v>1923076.923076923</v>
      </c>
    </row>
    <row r="5" spans="1:12" ht="16" hidden="1">
      <c r="A5" s="151"/>
      <c r="B5" s="151"/>
      <c r="C5" s="151"/>
      <c r="D5" s="46"/>
      <c r="E5" s="152"/>
      <c r="F5" s="47">
        <f>E5*D5</f>
        <v>0</v>
      </c>
    </row>
    <row r="6" spans="1:12" ht="26.25" customHeight="1">
      <c r="A6" s="57" t="s">
        <v>92</v>
      </c>
      <c r="B6" s="58"/>
      <c r="C6" s="58"/>
      <c r="D6" s="58"/>
    </row>
    <row r="7" spans="1:12" ht="34">
      <c r="A7" s="54" t="s">
        <v>9</v>
      </c>
      <c r="B7" s="55" t="s">
        <v>10</v>
      </c>
      <c r="C7" s="55" t="s">
        <v>11</v>
      </c>
      <c r="D7" s="56" t="s">
        <v>87</v>
      </c>
      <c r="E7" s="56" t="s">
        <v>81</v>
      </c>
      <c r="F7" s="64" t="s">
        <v>106</v>
      </c>
    </row>
    <row r="8" spans="1:12" ht="16">
      <c r="A8" s="48">
        <v>1</v>
      </c>
      <c r="B8" s="146" t="s">
        <v>168</v>
      </c>
      <c r="C8" s="109" t="s">
        <v>203</v>
      </c>
      <c r="D8" s="147">
        <v>500000</v>
      </c>
      <c r="E8" s="147"/>
      <c r="F8" s="148">
        <f t="shared" ref="F8:F9" si="0">D8+E8</f>
        <v>500000</v>
      </c>
    </row>
    <row r="9" spans="1:12" ht="16">
      <c r="A9" s="48">
        <f t="shared" ref="A9" si="1">1+A8</f>
        <v>2</v>
      </c>
      <c r="B9" s="146" t="s">
        <v>169</v>
      </c>
      <c r="C9" s="109" t="s">
        <v>204</v>
      </c>
      <c r="D9" s="147">
        <v>500000</v>
      </c>
      <c r="E9" s="147"/>
      <c r="F9" s="148">
        <f t="shared" si="0"/>
        <v>500000</v>
      </c>
    </row>
    <row r="10" spans="1:12" ht="9" customHeight="1"/>
    <row r="11" spans="1:12" ht="9" customHeight="1"/>
    <row r="12" spans="1:12" ht="36" hidden="1" customHeight="1">
      <c r="A12" s="79" t="s">
        <v>125</v>
      </c>
      <c r="B12" s="67"/>
      <c r="C12" s="67"/>
      <c r="D12" s="67"/>
      <c r="E12" s="67"/>
      <c r="F12" s="67"/>
    </row>
    <row r="13" spans="1:12" ht="21.75" hidden="1" customHeight="1">
      <c r="A13" s="66" t="s">
        <v>9</v>
      </c>
      <c r="B13" s="68" t="s">
        <v>76</v>
      </c>
      <c r="C13" s="69" t="s">
        <v>32</v>
      </c>
      <c r="D13" s="70" t="s">
        <v>85</v>
      </c>
      <c r="E13" s="71" t="s">
        <v>86</v>
      </c>
      <c r="F13" s="72" t="s">
        <v>106</v>
      </c>
    </row>
    <row r="14" spans="1:12" ht="16" hidden="1">
      <c r="A14" s="49"/>
      <c r="B14" s="60"/>
      <c r="C14" s="78"/>
      <c r="D14" s="52"/>
      <c r="E14" s="81"/>
      <c r="F14" s="53"/>
      <c r="H14" s="95"/>
      <c r="I14" s="107"/>
      <c r="L14" s="95"/>
    </row>
    <row r="15" spans="1:12" ht="16" hidden="1">
      <c r="A15" s="49"/>
      <c r="B15" s="60"/>
      <c r="C15" s="78"/>
      <c r="D15" s="52"/>
      <c r="E15" s="81"/>
      <c r="F15" s="53"/>
      <c r="H15" s="95"/>
      <c r="L15" s="95"/>
    </row>
    <row r="16" spans="1:12" ht="16" hidden="1">
      <c r="A16" s="49"/>
      <c r="B16" s="60"/>
      <c r="C16" s="78"/>
      <c r="D16" s="52"/>
      <c r="E16" s="82"/>
      <c r="F16" s="80"/>
      <c r="H16" s="95"/>
      <c r="L16" s="95"/>
    </row>
    <row r="17" spans="1:16" ht="16" hidden="1">
      <c r="A17" s="49"/>
      <c r="B17" s="60"/>
      <c r="C17" s="78"/>
      <c r="D17" s="52"/>
      <c r="E17" s="82"/>
      <c r="F17" s="80"/>
      <c r="H17" s="95"/>
      <c r="I17" s="98"/>
      <c r="L17" s="95"/>
    </row>
    <row r="18" spans="1:16" ht="16" hidden="1">
      <c r="A18" s="49"/>
      <c r="B18" s="62"/>
      <c r="C18" s="78"/>
      <c r="D18" s="52"/>
      <c r="E18" s="82"/>
      <c r="F18" s="80"/>
      <c r="H18" s="95"/>
      <c r="J18" s="94"/>
      <c r="L18" s="95"/>
    </row>
    <row r="19" spans="1:16" ht="16" hidden="1">
      <c r="A19" s="49"/>
      <c r="B19" s="96"/>
      <c r="C19" s="78"/>
      <c r="D19" s="52"/>
      <c r="E19" s="97"/>
      <c r="F19" s="80"/>
      <c r="H19" s="95"/>
      <c r="J19" s="94"/>
      <c r="L19" s="95"/>
    </row>
    <row r="20" spans="1:16" ht="16" hidden="1">
      <c r="A20" s="49"/>
      <c r="B20" s="96"/>
      <c r="C20" s="78"/>
      <c r="D20" s="52"/>
      <c r="E20" s="97"/>
      <c r="F20" s="80"/>
      <c r="H20" s="95"/>
      <c r="J20" s="94"/>
      <c r="L20" s="95"/>
    </row>
    <row r="21" spans="1:16" ht="16" hidden="1">
      <c r="A21" s="49"/>
      <c r="B21" s="96"/>
      <c r="C21" s="78"/>
      <c r="D21" s="52"/>
      <c r="E21" s="97"/>
      <c r="F21" s="80"/>
      <c r="H21" s="95"/>
      <c r="J21" s="94"/>
      <c r="L21" s="95"/>
    </row>
    <row r="22" spans="1:16" ht="16" hidden="1">
      <c r="A22" s="49">
        <f>ROW()-85</f>
        <v>-63</v>
      </c>
      <c r="B22" s="96"/>
      <c r="C22" s="78" t="e">
        <f>VLOOKUP($B22,#REF!,3,0)</f>
        <v>#REF!</v>
      </c>
      <c r="D22" s="52">
        <f>IFERROR(VLOOKUP(B22,#REF!,81,0),0)</f>
        <v>0</v>
      </c>
      <c r="E22" s="97"/>
      <c r="F22" s="80">
        <f>ROUND((D22/26*E22),0)</f>
        <v>0</v>
      </c>
      <c r="G22" s="45" t="e">
        <f>VLOOKUP(B22,#REF!,74,0)</f>
        <v>#REF!</v>
      </c>
      <c r="H22" s="95" t="e">
        <f>G22-E22</f>
        <v>#REF!</v>
      </c>
      <c r="J22" s="94"/>
      <c r="L22" s="95"/>
    </row>
    <row r="23" spans="1:16" ht="16" hidden="1">
      <c r="A23" s="49">
        <f>ROW()-85</f>
        <v>-62</v>
      </c>
      <c r="B23" s="60"/>
      <c r="C23" s="78" t="e">
        <f>VLOOKUP($B23,#REF!,3,0)</f>
        <v>#REF!</v>
      </c>
      <c r="D23" s="52">
        <f>IFERROR(VLOOKUP(B23,#REF!,81,0),0)</f>
        <v>0</v>
      </c>
      <c r="E23" s="42"/>
      <c r="F23" s="80">
        <f>ROUND((D23/26*E23),0)</f>
        <v>0</v>
      </c>
      <c r="G23" s="45" t="e">
        <f>VLOOKUP(B23,#REF!,74,0)</f>
        <v>#REF!</v>
      </c>
      <c r="H23" s="95" t="e">
        <f>G23-E23</f>
        <v>#REF!</v>
      </c>
      <c r="J23" s="94"/>
      <c r="L23" s="95"/>
    </row>
    <row r="24" spans="1:16" ht="16" hidden="1">
      <c r="A24" s="49">
        <f>ROW()-85</f>
        <v>-61</v>
      </c>
      <c r="B24" s="60"/>
      <c r="C24" s="78" t="e">
        <f>VLOOKUP($B24,#REF!,3,0)</f>
        <v>#REF!</v>
      </c>
      <c r="D24" s="52">
        <f>IFERROR(VLOOKUP(B24,#REF!,81,0),0)</f>
        <v>0</v>
      </c>
      <c r="E24" s="82"/>
      <c r="F24" s="80">
        <f>ROUND((D24/26*E24),0)</f>
        <v>0</v>
      </c>
      <c r="G24" s="45" t="e">
        <f>VLOOKUP(B24,#REF!,74,0)</f>
        <v>#REF!</v>
      </c>
      <c r="H24" s="95" t="e">
        <f>G24-E24</f>
        <v>#REF!</v>
      </c>
      <c r="J24" s="94"/>
      <c r="L24" s="95"/>
    </row>
    <row r="25" spans="1:16" ht="16" hidden="1">
      <c r="A25" s="49">
        <f>ROW()-85</f>
        <v>-60</v>
      </c>
      <c r="B25" s="60"/>
      <c r="C25" s="78" t="e">
        <f>VLOOKUP($B25,#REF!,3,0)</f>
        <v>#REF!</v>
      </c>
      <c r="D25" s="52">
        <f>IFERROR(VLOOKUP(B25,#REF!,81,0),0)</f>
        <v>0</v>
      </c>
      <c r="E25" s="82"/>
      <c r="F25" s="80">
        <f>ROUND((D25/26*E25),0)</f>
        <v>0</v>
      </c>
      <c r="G25" s="45" t="e">
        <f>VLOOKUP(B25,#REF!,74,0)</f>
        <v>#REF!</v>
      </c>
      <c r="H25" s="95" t="e">
        <f>G25-E25</f>
        <v>#REF!</v>
      </c>
    </row>
    <row r="26" spans="1:16" ht="16" hidden="1">
      <c r="A26" s="49">
        <f>ROW()-85</f>
        <v>-59</v>
      </c>
      <c r="B26" s="60"/>
      <c r="C26" s="78"/>
      <c r="D26" s="52"/>
      <c r="E26" s="42"/>
      <c r="F26" s="80"/>
    </row>
    <row r="27" spans="1:16" ht="24.75" hidden="1" customHeight="1">
      <c r="A27" s="74"/>
      <c r="B27" s="73"/>
      <c r="C27" s="99" t="s">
        <v>61</v>
      </c>
      <c r="D27" s="76"/>
      <c r="E27" s="77">
        <f>SUM(E14:E26)</f>
        <v>0</v>
      </c>
      <c r="F27" s="75">
        <f>SUM(F14:F26)</f>
        <v>0</v>
      </c>
    </row>
    <row r="30" spans="1:16" ht="21.75" hidden="1" customHeight="1">
      <c r="G30" s="93"/>
    </row>
    <row r="31" spans="1:16" ht="19.5" hidden="1" customHeight="1">
      <c r="G31" s="89"/>
      <c r="H31" s="89"/>
      <c r="I31" s="89"/>
      <c r="J31" s="89"/>
      <c r="K31" s="89"/>
      <c r="L31" s="90"/>
      <c r="M31" s="90"/>
      <c r="N31" s="90"/>
      <c r="O31" s="90"/>
      <c r="P31" s="90"/>
    </row>
    <row r="32" spans="1:16" ht="19" hidden="1">
      <c r="G32" s="89"/>
      <c r="H32" s="89"/>
      <c r="I32" s="89"/>
      <c r="J32" s="89"/>
      <c r="K32" s="89"/>
      <c r="L32" s="91"/>
      <c r="M32" s="92"/>
      <c r="N32" s="91"/>
      <c r="O32" s="91"/>
      <c r="P32" s="92"/>
    </row>
    <row r="33" spans="7:16" ht="19" hidden="1">
      <c r="G33" s="89"/>
      <c r="H33" s="89"/>
      <c r="I33" s="89"/>
      <c r="J33" s="89"/>
      <c r="K33" s="89"/>
      <c r="L33" s="91"/>
      <c r="M33" s="92"/>
      <c r="N33" s="91"/>
      <c r="O33" s="91"/>
      <c r="P33" s="92"/>
    </row>
    <row r="34" spans="7:16" ht="19" hidden="1">
      <c r="G34" s="89"/>
      <c r="H34" s="89"/>
      <c r="I34" s="89"/>
      <c r="J34" s="89"/>
      <c r="K34" s="89"/>
      <c r="L34" s="91"/>
      <c r="M34" s="92"/>
      <c r="N34" s="91"/>
      <c r="O34" s="91"/>
      <c r="P34" s="92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H26" sqref="H26"/>
    </sheetView>
  </sheetViews>
  <sheetFormatPr baseColWidth="10" defaultColWidth="8.83203125" defaultRowHeight="15"/>
  <cols>
    <col min="1" max="1" width="17.5" style="253" customWidth="1"/>
    <col min="2" max="2" width="30.1640625" style="253" customWidth="1"/>
    <col min="3" max="3" width="14.5" style="253" customWidth="1"/>
    <col min="4" max="4" width="14.6640625" style="253" customWidth="1"/>
    <col min="5" max="6" width="13.5" style="253" customWidth="1"/>
    <col min="7" max="7" width="15.5" style="253" customWidth="1"/>
    <col min="8" max="8" width="24.33203125" style="253" customWidth="1"/>
    <col min="9" max="248" width="9.1640625" style="253"/>
    <col min="249" max="249" width="10.33203125" style="253" bestFit="1" customWidth="1"/>
    <col min="250" max="250" width="30.1640625" style="253" bestFit="1" customWidth="1"/>
    <col min="251" max="251" width="21" style="253" customWidth="1"/>
    <col min="252" max="253" width="13.5" style="253" customWidth="1"/>
    <col min="254" max="254" width="21.83203125" style="253" bestFit="1" customWidth="1"/>
    <col min="255" max="255" width="12" style="253" customWidth="1"/>
    <col min="256" max="256" width="11.5" style="253" bestFit="1" customWidth="1"/>
    <col min="257" max="257" width="13.5" style="253" customWidth="1"/>
    <col min="258" max="258" width="15.5" style="253" customWidth="1"/>
    <col min="259" max="260" width="18.5" style="253" customWidth="1"/>
    <col min="261" max="261" width="17.83203125" style="253" customWidth="1"/>
    <col min="262" max="504" width="9.1640625" style="253"/>
    <col min="505" max="505" width="10.33203125" style="253" bestFit="1" customWidth="1"/>
    <col min="506" max="506" width="30.1640625" style="253" bestFit="1" customWidth="1"/>
    <col min="507" max="507" width="21" style="253" customWidth="1"/>
    <col min="508" max="509" width="13.5" style="253" customWidth="1"/>
    <col min="510" max="510" width="21.83203125" style="253" bestFit="1" customWidth="1"/>
    <col min="511" max="511" width="12" style="253" customWidth="1"/>
    <col min="512" max="512" width="11.5" style="253" bestFit="1" customWidth="1"/>
    <col min="513" max="513" width="13.5" style="253" customWidth="1"/>
    <col min="514" max="514" width="15.5" style="253" customWidth="1"/>
    <col min="515" max="516" width="18.5" style="253" customWidth="1"/>
    <col min="517" max="517" width="17.83203125" style="253" customWidth="1"/>
    <col min="518" max="760" width="9.1640625" style="253"/>
    <col min="761" max="761" width="10.33203125" style="253" bestFit="1" customWidth="1"/>
    <col min="762" max="762" width="30.1640625" style="253" bestFit="1" customWidth="1"/>
    <col min="763" max="763" width="21" style="253" customWidth="1"/>
    <col min="764" max="765" width="13.5" style="253" customWidth="1"/>
    <col min="766" max="766" width="21.83203125" style="253" bestFit="1" customWidth="1"/>
    <col min="767" max="767" width="12" style="253" customWidth="1"/>
    <col min="768" max="768" width="11.5" style="253" bestFit="1" customWidth="1"/>
    <col min="769" max="769" width="13.5" style="253" customWidth="1"/>
    <col min="770" max="770" width="15.5" style="253" customWidth="1"/>
    <col min="771" max="772" width="18.5" style="253" customWidth="1"/>
    <col min="773" max="773" width="17.83203125" style="253" customWidth="1"/>
    <col min="774" max="1016" width="9.1640625" style="253"/>
    <col min="1017" max="1017" width="10.33203125" style="253" bestFit="1" customWidth="1"/>
    <col min="1018" max="1018" width="30.1640625" style="253" bestFit="1" customWidth="1"/>
    <col min="1019" max="1019" width="21" style="253" customWidth="1"/>
    <col min="1020" max="1021" width="13.5" style="253" customWidth="1"/>
    <col min="1022" max="1022" width="21.83203125" style="253" bestFit="1" customWidth="1"/>
    <col min="1023" max="1023" width="12" style="253" customWidth="1"/>
    <col min="1024" max="1024" width="11.5" style="253" bestFit="1" customWidth="1"/>
    <col min="1025" max="1025" width="13.5" style="253" customWidth="1"/>
    <col min="1026" max="1026" width="15.5" style="253" customWidth="1"/>
    <col min="1027" max="1028" width="18.5" style="253" customWidth="1"/>
    <col min="1029" max="1029" width="17.83203125" style="253" customWidth="1"/>
    <col min="1030" max="1272" width="9.1640625" style="253"/>
    <col min="1273" max="1273" width="10.33203125" style="253" bestFit="1" customWidth="1"/>
    <col min="1274" max="1274" width="30.1640625" style="253" bestFit="1" customWidth="1"/>
    <col min="1275" max="1275" width="21" style="253" customWidth="1"/>
    <col min="1276" max="1277" width="13.5" style="253" customWidth="1"/>
    <col min="1278" max="1278" width="21.83203125" style="253" bestFit="1" customWidth="1"/>
    <col min="1279" max="1279" width="12" style="253" customWidth="1"/>
    <col min="1280" max="1280" width="11.5" style="253" bestFit="1" customWidth="1"/>
    <col min="1281" max="1281" width="13.5" style="253" customWidth="1"/>
    <col min="1282" max="1282" width="15.5" style="253" customWidth="1"/>
    <col min="1283" max="1284" width="18.5" style="253" customWidth="1"/>
    <col min="1285" max="1285" width="17.83203125" style="253" customWidth="1"/>
    <col min="1286" max="1528" width="9.1640625" style="253"/>
    <col min="1529" max="1529" width="10.33203125" style="253" bestFit="1" customWidth="1"/>
    <col min="1530" max="1530" width="30.1640625" style="253" bestFit="1" customWidth="1"/>
    <col min="1531" max="1531" width="21" style="253" customWidth="1"/>
    <col min="1532" max="1533" width="13.5" style="253" customWidth="1"/>
    <col min="1534" max="1534" width="21.83203125" style="253" bestFit="1" customWidth="1"/>
    <col min="1535" max="1535" width="12" style="253" customWidth="1"/>
    <col min="1536" max="1536" width="11.5" style="253" bestFit="1" customWidth="1"/>
    <col min="1537" max="1537" width="13.5" style="253" customWidth="1"/>
    <col min="1538" max="1538" width="15.5" style="253" customWidth="1"/>
    <col min="1539" max="1540" width="18.5" style="253" customWidth="1"/>
    <col min="1541" max="1541" width="17.83203125" style="253" customWidth="1"/>
    <col min="1542" max="1784" width="9.1640625" style="253"/>
    <col min="1785" max="1785" width="10.33203125" style="253" bestFit="1" customWidth="1"/>
    <col min="1786" max="1786" width="30.1640625" style="253" bestFit="1" customWidth="1"/>
    <col min="1787" max="1787" width="21" style="253" customWidth="1"/>
    <col min="1788" max="1789" width="13.5" style="253" customWidth="1"/>
    <col min="1790" max="1790" width="21.83203125" style="253" bestFit="1" customWidth="1"/>
    <col min="1791" max="1791" width="12" style="253" customWidth="1"/>
    <col min="1792" max="1792" width="11.5" style="253" bestFit="1" customWidth="1"/>
    <col min="1793" max="1793" width="13.5" style="253" customWidth="1"/>
    <col min="1794" max="1794" width="15.5" style="253" customWidth="1"/>
    <col min="1795" max="1796" width="18.5" style="253" customWidth="1"/>
    <col min="1797" max="1797" width="17.83203125" style="253" customWidth="1"/>
    <col min="1798" max="2040" width="9.1640625" style="253"/>
    <col min="2041" max="2041" width="10.33203125" style="253" bestFit="1" customWidth="1"/>
    <col min="2042" max="2042" width="30.1640625" style="253" bestFit="1" customWidth="1"/>
    <col min="2043" max="2043" width="21" style="253" customWidth="1"/>
    <col min="2044" max="2045" width="13.5" style="253" customWidth="1"/>
    <col min="2046" max="2046" width="21.83203125" style="253" bestFit="1" customWidth="1"/>
    <col min="2047" max="2047" width="12" style="253" customWidth="1"/>
    <col min="2048" max="2048" width="11.5" style="253" bestFit="1" customWidth="1"/>
    <col min="2049" max="2049" width="13.5" style="253" customWidth="1"/>
    <col min="2050" max="2050" width="15.5" style="253" customWidth="1"/>
    <col min="2051" max="2052" width="18.5" style="253" customWidth="1"/>
    <col min="2053" max="2053" width="17.83203125" style="253" customWidth="1"/>
    <col min="2054" max="2296" width="9.1640625" style="253"/>
    <col min="2297" max="2297" width="10.33203125" style="253" bestFit="1" customWidth="1"/>
    <col min="2298" max="2298" width="30.1640625" style="253" bestFit="1" customWidth="1"/>
    <col min="2299" max="2299" width="21" style="253" customWidth="1"/>
    <col min="2300" max="2301" width="13.5" style="253" customWidth="1"/>
    <col min="2302" max="2302" width="21.83203125" style="253" bestFit="1" customWidth="1"/>
    <col min="2303" max="2303" width="12" style="253" customWidth="1"/>
    <col min="2304" max="2304" width="11.5" style="253" bestFit="1" customWidth="1"/>
    <col min="2305" max="2305" width="13.5" style="253" customWidth="1"/>
    <col min="2306" max="2306" width="15.5" style="253" customWidth="1"/>
    <col min="2307" max="2308" width="18.5" style="253" customWidth="1"/>
    <col min="2309" max="2309" width="17.83203125" style="253" customWidth="1"/>
    <col min="2310" max="2552" width="9.1640625" style="253"/>
    <col min="2553" max="2553" width="10.33203125" style="253" bestFit="1" customWidth="1"/>
    <col min="2554" max="2554" width="30.1640625" style="253" bestFit="1" customWidth="1"/>
    <col min="2555" max="2555" width="21" style="253" customWidth="1"/>
    <col min="2556" max="2557" width="13.5" style="253" customWidth="1"/>
    <col min="2558" max="2558" width="21.83203125" style="253" bestFit="1" customWidth="1"/>
    <col min="2559" max="2559" width="12" style="253" customWidth="1"/>
    <col min="2560" max="2560" width="11.5" style="253" bestFit="1" customWidth="1"/>
    <col min="2561" max="2561" width="13.5" style="253" customWidth="1"/>
    <col min="2562" max="2562" width="15.5" style="253" customWidth="1"/>
    <col min="2563" max="2564" width="18.5" style="253" customWidth="1"/>
    <col min="2565" max="2565" width="17.83203125" style="253" customWidth="1"/>
    <col min="2566" max="2808" width="9.1640625" style="253"/>
    <col min="2809" max="2809" width="10.33203125" style="253" bestFit="1" customWidth="1"/>
    <col min="2810" max="2810" width="30.1640625" style="253" bestFit="1" customWidth="1"/>
    <col min="2811" max="2811" width="21" style="253" customWidth="1"/>
    <col min="2812" max="2813" width="13.5" style="253" customWidth="1"/>
    <col min="2814" max="2814" width="21.83203125" style="253" bestFit="1" customWidth="1"/>
    <col min="2815" max="2815" width="12" style="253" customWidth="1"/>
    <col min="2816" max="2816" width="11.5" style="253" bestFit="1" customWidth="1"/>
    <col min="2817" max="2817" width="13.5" style="253" customWidth="1"/>
    <col min="2818" max="2818" width="15.5" style="253" customWidth="1"/>
    <col min="2819" max="2820" width="18.5" style="253" customWidth="1"/>
    <col min="2821" max="2821" width="17.83203125" style="253" customWidth="1"/>
    <col min="2822" max="3064" width="9.1640625" style="253"/>
    <col min="3065" max="3065" width="10.33203125" style="253" bestFit="1" customWidth="1"/>
    <col min="3066" max="3066" width="30.1640625" style="253" bestFit="1" customWidth="1"/>
    <col min="3067" max="3067" width="21" style="253" customWidth="1"/>
    <col min="3068" max="3069" width="13.5" style="253" customWidth="1"/>
    <col min="3070" max="3070" width="21.83203125" style="253" bestFit="1" customWidth="1"/>
    <col min="3071" max="3071" width="12" style="253" customWidth="1"/>
    <col min="3072" max="3072" width="11.5" style="253" bestFit="1" customWidth="1"/>
    <col min="3073" max="3073" width="13.5" style="253" customWidth="1"/>
    <col min="3074" max="3074" width="15.5" style="253" customWidth="1"/>
    <col min="3075" max="3076" width="18.5" style="253" customWidth="1"/>
    <col min="3077" max="3077" width="17.83203125" style="253" customWidth="1"/>
    <col min="3078" max="3320" width="9.1640625" style="253"/>
    <col min="3321" max="3321" width="10.33203125" style="253" bestFit="1" customWidth="1"/>
    <col min="3322" max="3322" width="30.1640625" style="253" bestFit="1" customWidth="1"/>
    <col min="3323" max="3323" width="21" style="253" customWidth="1"/>
    <col min="3324" max="3325" width="13.5" style="253" customWidth="1"/>
    <col min="3326" max="3326" width="21.83203125" style="253" bestFit="1" customWidth="1"/>
    <col min="3327" max="3327" width="12" style="253" customWidth="1"/>
    <col min="3328" max="3328" width="11.5" style="253" bestFit="1" customWidth="1"/>
    <col min="3329" max="3329" width="13.5" style="253" customWidth="1"/>
    <col min="3330" max="3330" width="15.5" style="253" customWidth="1"/>
    <col min="3331" max="3332" width="18.5" style="253" customWidth="1"/>
    <col min="3333" max="3333" width="17.83203125" style="253" customWidth="1"/>
    <col min="3334" max="3576" width="9.1640625" style="253"/>
    <col min="3577" max="3577" width="10.33203125" style="253" bestFit="1" customWidth="1"/>
    <col min="3578" max="3578" width="30.1640625" style="253" bestFit="1" customWidth="1"/>
    <col min="3579" max="3579" width="21" style="253" customWidth="1"/>
    <col min="3580" max="3581" width="13.5" style="253" customWidth="1"/>
    <col min="3582" max="3582" width="21.83203125" style="253" bestFit="1" customWidth="1"/>
    <col min="3583" max="3583" width="12" style="253" customWidth="1"/>
    <col min="3584" max="3584" width="11.5" style="253" bestFit="1" customWidth="1"/>
    <col min="3585" max="3585" width="13.5" style="253" customWidth="1"/>
    <col min="3586" max="3586" width="15.5" style="253" customWidth="1"/>
    <col min="3587" max="3588" width="18.5" style="253" customWidth="1"/>
    <col min="3589" max="3589" width="17.83203125" style="253" customWidth="1"/>
    <col min="3590" max="3832" width="9.1640625" style="253"/>
    <col min="3833" max="3833" width="10.33203125" style="253" bestFit="1" customWidth="1"/>
    <col min="3834" max="3834" width="30.1640625" style="253" bestFit="1" customWidth="1"/>
    <col min="3835" max="3835" width="21" style="253" customWidth="1"/>
    <col min="3836" max="3837" width="13.5" style="253" customWidth="1"/>
    <col min="3838" max="3838" width="21.83203125" style="253" bestFit="1" customWidth="1"/>
    <col min="3839" max="3839" width="12" style="253" customWidth="1"/>
    <col min="3840" max="3840" width="11.5" style="253" bestFit="1" customWidth="1"/>
    <col min="3841" max="3841" width="13.5" style="253" customWidth="1"/>
    <col min="3842" max="3842" width="15.5" style="253" customWidth="1"/>
    <col min="3843" max="3844" width="18.5" style="253" customWidth="1"/>
    <col min="3845" max="3845" width="17.83203125" style="253" customWidth="1"/>
    <col min="3846" max="4088" width="9.1640625" style="253"/>
    <col min="4089" max="4089" width="10.33203125" style="253" bestFit="1" customWidth="1"/>
    <col min="4090" max="4090" width="30.1640625" style="253" bestFit="1" customWidth="1"/>
    <col min="4091" max="4091" width="21" style="253" customWidth="1"/>
    <col min="4092" max="4093" width="13.5" style="253" customWidth="1"/>
    <col min="4094" max="4094" width="21.83203125" style="253" bestFit="1" customWidth="1"/>
    <col min="4095" max="4095" width="12" style="253" customWidth="1"/>
    <col min="4096" max="4096" width="11.5" style="253" bestFit="1" customWidth="1"/>
    <col min="4097" max="4097" width="13.5" style="253" customWidth="1"/>
    <col min="4098" max="4098" width="15.5" style="253" customWidth="1"/>
    <col min="4099" max="4100" width="18.5" style="253" customWidth="1"/>
    <col min="4101" max="4101" width="17.83203125" style="253" customWidth="1"/>
    <col min="4102" max="4344" width="9.1640625" style="253"/>
    <col min="4345" max="4345" width="10.33203125" style="253" bestFit="1" customWidth="1"/>
    <col min="4346" max="4346" width="30.1640625" style="253" bestFit="1" customWidth="1"/>
    <col min="4347" max="4347" width="21" style="253" customWidth="1"/>
    <col min="4348" max="4349" width="13.5" style="253" customWidth="1"/>
    <col min="4350" max="4350" width="21.83203125" style="253" bestFit="1" customWidth="1"/>
    <col min="4351" max="4351" width="12" style="253" customWidth="1"/>
    <col min="4352" max="4352" width="11.5" style="253" bestFit="1" customWidth="1"/>
    <col min="4353" max="4353" width="13.5" style="253" customWidth="1"/>
    <col min="4354" max="4354" width="15.5" style="253" customWidth="1"/>
    <col min="4355" max="4356" width="18.5" style="253" customWidth="1"/>
    <col min="4357" max="4357" width="17.83203125" style="253" customWidth="1"/>
    <col min="4358" max="4600" width="9.1640625" style="253"/>
    <col min="4601" max="4601" width="10.33203125" style="253" bestFit="1" customWidth="1"/>
    <col min="4602" max="4602" width="30.1640625" style="253" bestFit="1" customWidth="1"/>
    <col min="4603" max="4603" width="21" style="253" customWidth="1"/>
    <col min="4604" max="4605" width="13.5" style="253" customWidth="1"/>
    <col min="4606" max="4606" width="21.83203125" style="253" bestFit="1" customWidth="1"/>
    <col min="4607" max="4607" width="12" style="253" customWidth="1"/>
    <col min="4608" max="4608" width="11.5" style="253" bestFit="1" customWidth="1"/>
    <col min="4609" max="4609" width="13.5" style="253" customWidth="1"/>
    <col min="4610" max="4610" width="15.5" style="253" customWidth="1"/>
    <col min="4611" max="4612" width="18.5" style="253" customWidth="1"/>
    <col min="4613" max="4613" width="17.83203125" style="253" customWidth="1"/>
    <col min="4614" max="4856" width="9.1640625" style="253"/>
    <col min="4857" max="4857" width="10.33203125" style="253" bestFit="1" customWidth="1"/>
    <col min="4858" max="4858" width="30.1640625" style="253" bestFit="1" customWidth="1"/>
    <col min="4859" max="4859" width="21" style="253" customWidth="1"/>
    <col min="4860" max="4861" width="13.5" style="253" customWidth="1"/>
    <col min="4862" max="4862" width="21.83203125" style="253" bestFit="1" customWidth="1"/>
    <col min="4863" max="4863" width="12" style="253" customWidth="1"/>
    <col min="4864" max="4864" width="11.5" style="253" bestFit="1" customWidth="1"/>
    <col min="4865" max="4865" width="13.5" style="253" customWidth="1"/>
    <col min="4866" max="4866" width="15.5" style="253" customWidth="1"/>
    <col min="4867" max="4868" width="18.5" style="253" customWidth="1"/>
    <col min="4869" max="4869" width="17.83203125" style="253" customWidth="1"/>
    <col min="4870" max="5112" width="9.1640625" style="253"/>
    <col min="5113" max="5113" width="10.33203125" style="253" bestFit="1" customWidth="1"/>
    <col min="5114" max="5114" width="30.1640625" style="253" bestFit="1" customWidth="1"/>
    <col min="5115" max="5115" width="21" style="253" customWidth="1"/>
    <col min="5116" max="5117" width="13.5" style="253" customWidth="1"/>
    <col min="5118" max="5118" width="21.83203125" style="253" bestFit="1" customWidth="1"/>
    <col min="5119" max="5119" width="12" style="253" customWidth="1"/>
    <col min="5120" max="5120" width="11.5" style="253" bestFit="1" customWidth="1"/>
    <col min="5121" max="5121" width="13.5" style="253" customWidth="1"/>
    <col min="5122" max="5122" width="15.5" style="253" customWidth="1"/>
    <col min="5123" max="5124" width="18.5" style="253" customWidth="1"/>
    <col min="5125" max="5125" width="17.83203125" style="253" customWidth="1"/>
    <col min="5126" max="5368" width="9.1640625" style="253"/>
    <col min="5369" max="5369" width="10.33203125" style="253" bestFit="1" customWidth="1"/>
    <col min="5370" max="5370" width="30.1640625" style="253" bestFit="1" customWidth="1"/>
    <col min="5371" max="5371" width="21" style="253" customWidth="1"/>
    <col min="5372" max="5373" width="13.5" style="253" customWidth="1"/>
    <col min="5374" max="5374" width="21.83203125" style="253" bestFit="1" customWidth="1"/>
    <col min="5375" max="5375" width="12" style="253" customWidth="1"/>
    <col min="5376" max="5376" width="11.5" style="253" bestFit="1" customWidth="1"/>
    <col min="5377" max="5377" width="13.5" style="253" customWidth="1"/>
    <col min="5378" max="5378" width="15.5" style="253" customWidth="1"/>
    <col min="5379" max="5380" width="18.5" style="253" customWidth="1"/>
    <col min="5381" max="5381" width="17.83203125" style="253" customWidth="1"/>
    <col min="5382" max="5624" width="9.1640625" style="253"/>
    <col min="5625" max="5625" width="10.33203125" style="253" bestFit="1" customWidth="1"/>
    <col min="5626" max="5626" width="30.1640625" style="253" bestFit="1" customWidth="1"/>
    <col min="5627" max="5627" width="21" style="253" customWidth="1"/>
    <col min="5628" max="5629" width="13.5" style="253" customWidth="1"/>
    <col min="5630" max="5630" width="21.83203125" style="253" bestFit="1" customWidth="1"/>
    <col min="5631" max="5631" width="12" style="253" customWidth="1"/>
    <col min="5632" max="5632" width="11.5" style="253" bestFit="1" customWidth="1"/>
    <col min="5633" max="5633" width="13.5" style="253" customWidth="1"/>
    <col min="5634" max="5634" width="15.5" style="253" customWidth="1"/>
    <col min="5635" max="5636" width="18.5" style="253" customWidth="1"/>
    <col min="5637" max="5637" width="17.83203125" style="253" customWidth="1"/>
    <col min="5638" max="5880" width="9.1640625" style="253"/>
    <col min="5881" max="5881" width="10.33203125" style="253" bestFit="1" customWidth="1"/>
    <col min="5882" max="5882" width="30.1640625" style="253" bestFit="1" customWidth="1"/>
    <col min="5883" max="5883" width="21" style="253" customWidth="1"/>
    <col min="5884" max="5885" width="13.5" style="253" customWidth="1"/>
    <col min="5886" max="5886" width="21.83203125" style="253" bestFit="1" customWidth="1"/>
    <col min="5887" max="5887" width="12" style="253" customWidth="1"/>
    <col min="5888" max="5888" width="11.5" style="253" bestFit="1" customWidth="1"/>
    <col min="5889" max="5889" width="13.5" style="253" customWidth="1"/>
    <col min="5890" max="5890" width="15.5" style="253" customWidth="1"/>
    <col min="5891" max="5892" width="18.5" style="253" customWidth="1"/>
    <col min="5893" max="5893" width="17.83203125" style="253" customWidth="1"/>
    <col min="5894" max="6136" width="9.1640625" style="253"/>
    <col min="6137" max="6137" width="10.33203125" style="253" bestFit="1" customWidth="1"/>
    <col min="6138" max="6138" width="30.1640625" style="253" bestFit="1" customWidth="1"/>
    <col min="6139" max="6139" width="21" style="253" customWidth="1"/>
    <col min="6140" max="6141" width="13.5" style="253" customWidth="1"/>
    <col min="6142" max="6142" width="21.83203125" style="253" bestFit="1" customWidth="1"/>
    <col min="6143" max="6143" width="12" style="253" customWidth="1"/>
    <col min="6144" max="6144" width="11.5" style="253" bestFit="1" customWidth="1"/>
    <col min="6145" max="6145" width="13.5" style="253" customWidth="1"/>
    <col min="6146" max="6146" width="15.5" style="253" customWidth="1"/>
    <col min="6147" max="6148" width="18.5" style="253" customWidth="1"/>
    <col min="6149" max="6149" width="17.83203125" style="253" customWidth="1"/>
    <col min="6150" max="6392" width="9.1640625" style="253"/>
    <col min="6393" max="6393" width="10.33203125" style="253" bestFit="1" customWidth="1"/>
    <col min="6394" max="6394" width="30.1640625" style="253" bestFit="1" customWidth="1"/>
    <col min="6395" max="6395" width="21" style="253" customWidth="1"/>
    <col min="6396" max="6397" width="13.5" style="253" customWidth="1"/>
    <col min="6398" max="6398" width="21.83203125" style="253" bestFit="1" customWidth="1"/>
    <col min="6399" max="6399" width="12" style="253" customWidth="1"/>
    <col min="6400" max="6400" width="11.5" style="253" bestFit="1" customWidth="1"/>
    <col min="6401" max="6401" width="13.5" style="253" customWidth="1"/>
    <col min="6402" max="6402" width="15.5" style="253" customWidth="1"/>
    <col min="6403" max="6404" width="18.5" style="253" customWidth="1"/>
    <col min="6405" max="6405" width="17.83203125" style="253" customWidth="1"/>
    <col min="6406" max="6648" width="9.1640625" style="253"/>
    <col min="6649" max="6649" width="10.33203125" style="253" bestFit="1" customWidth="1"/>
    <col min="6650" max="6650" width="30.1640625" style="253" bestFit="1" customWidth="1"/>
    <col min="6651" max="6651" width="21" style="253" customWidth="1"/>
    <col min="6652" max="6653" width="13.5" style="253" customWidth="1"/>
    <col min="6654" max="6654" width="21.83203125" style="253" bestFit="1" customWidth="1"/>
    <col min="6655" max="6655" width="12" style="253" customWidth="1"/>
    <col min="6656" max="6656" width="11.5" style="253" bestFit="1" customWidth="1"/>
    <col min="6657" max="6657" width="13.5" style="253" customWidth="1"/>
    <col min="6658" max="6658" width="15.5" style="253" customWidth="1"/>
    <col min="6659" max="6660" width="18.5" style="253" customWidth="1"/>
    <col min="6661" max="6661" width="17.83203125" style="253" customWidth="1"/>
    <col min="6662" max="6904" width="9.1640625" style="253"/>
    <col min="6905" max="6905" width="10.33203125" style="253" bestFit="1" customWidth="1"/>
    <col min="6906" max="6906" width="30.1640625" style="253" bestFit="1" customWidth="1"/>
    <col min="6907" max="6907" width="21" style="253" customWidth="1"/>
    <col min="6908" max="6909" width="13.5" style="253" customWidth="1"/>
    <col min="6910" max="6910" width="21.83203125" style="253" bestFit="1" customWidth="1"/>
    <col min="6911" max="6911" width="12" style="253" customWidth="1"/>
    <col min="6912" max="6912" width="11.5" style="253" bestFit="1" customWidth="1"/>
    <col min="6913" max="6913" width="13.5" style="253" customWidth="1"/>
    <col min="6914" max="6914" width="15.5" style="253" customWidth="1"/>
    <col min="6915" max="6916" width="18.5" style="253" customWidth="1"/>
    <col min="6917" max="6917" width="17.83203125" style="253" customWidth="1"/>
    <col min="6918" max="7160" width="9.1640625" style="253"/>
    <col min="7161" max="7161" width="10.33203125" style="253" bestFit="1" customWidth="1"/>
    <col min="7162" max="7162" width="30.1640625" style="253" bestFit="1" customWidth="1"/>
    <col min="7163" max="7163" width="21" style="253" customWidth="1"/>
    <col min="7164" max="7165" width="13.5" style="253" customWidth="1"/>
    <col min="7166" max="7166" width="21.83203125" style="253" bestFit="1" customWidth="1"/>
    <col min="7167" max="7167" width="12" style="253" customWidth="1"/>
    <col min="7168" max="7168" width="11.5" style="253" bestFit="1" customWidth="1"/>
    <col min="7169" max="7169" width="13.5" style="253" customWidth="1"/>
    <col min="7170" max="7170" width="15.5" style="253" customWidth="1"/>
    <col min="7171" max="7172" width="18.5" style="253" customWidth="1"/>
    <col min="7173" max="7173" width="17.83203125" style="253" customWidth="1"/>
    <col min="7174" max="7416" width="9.1640625" style="253"/>
    <col min="7417" max="7417" width="10.33203125" style="253" bestFit="1" customWidth="1"/>
    <col min="7418" max="7418" width="30.1640625" style="253" bestFit="1" customWidth="1"/>
    <col min="7419" max="7419" width="21" style="253" customWidth="1"/>
    <col min="7420" max="7421" width="13.5" style="253" customWidth="1"/>
    <col min="7422" max="7422" width="21.83203125" style="253" bestFit="1" customWidth="1"/>
    <col min="7423" max="7423" width="12" style="253" customWidth="1"/>
    <col min="7424" max="7424" width="11.5" style="253" bestFit="1" customWidth="1"/>
    <col min="7425" max="7425" width="13.5" style="253" customWidth="1"/>
    <col min="7426" max="7426" width="15.5" style="253" customWidth="1"/>
    <col min="7427" max="7428" width="18.5" style="253" customWidth="1"/>
    <col min="7429" max="7429" width="17.83203125" style="253" customWidth="1"/>
    <col min="7430" max="7672" width="9.1640625" style="253"/>
    <col min="7673" max="7673" width="10.33203125" style="253" bestFit="1" customWidth="1"/>
    <col min="7674" max="7674" width="30.1640625" style="253" bestFit="1" customWidth="1"/>
    <col min="7675" max="7675" width="21" style="253" customWidth="1"/>
    <col min="7676" max="7677" width="13.5" style="253" customWidth="1"/>
    <col min="7678" max="7678" width="21.83203125" style="253" bestFit="1" customWidth="1"/>
    <col min="7679" max="7679" width="12" style="253" customWidth="1"/>
    <col min="7680" max="7680" width="11.5" style="253" bestFit="1" customWidth="1"/>
    <col min="7681" max="7681" width="13.5" style="253" customWidth="1"/>
    <col min="7682" max="7682" width="15.5" style="253" customWidth="1"/>
    <col min="7683" max="7684" width="18.5" style="253" customWidth="1"/>
    <col min="7685" max="7685" width="17.83203125" style="253" customWidth="1"/>
    <col min="7686" max="7928" width="9.1640625" style="253"/>
    <col min="7929" max="7929" width="10.33203125" style="253" bestFit="1" customWidth="1"/>
    <col min="7930" max="7930" width="30.1640625" style="253" bestFit="1" customWidth="1"/>
    <col min="7931" max="7931" width="21" style="253" customWidth="1"/>
    <col min="7932" max="7933" width="13.5" style="253" customWidth="1"/>
    <col min="7934" max="7934" width="21.83203125" style="253" bestFit="1" customWidth="1"/>
    <col min="7935" max="7935" width="12" style="253" customWidth="1"/>
    <col min="7936" max="7936" width="11.5" style="253" bestFit="1" customWidth="1"/>
    <col min="7937" max="7937" width="13.5" style="253" customWidth="1"/>
    <col min="7938" max="7938" width="15.5" style="253" customWidth="1"/>
    <col min="7939" max="7940" width="18.5" style="253" customWidth="1"/>
    <col min="7941" max="7941" width="17.83203125" style="253" customWidth="1"/>
    <col min="7942" max="8184" width="9.1640625" style="253"/>
    <col min="8185" max="8185" width="10.33203125" style="253" bestFit="1" customWidth="1"/>
    <col min="8186" max="8186" width="30.1640625" style="253" bestFit="1" customWidth="1"/>
    <col min="8187" max="8187" width="21" style="253" customWidth="1"/>
    <col min="8188" max="8189" width="13.5" style="253" customWidth="1"/>
    <col min="8190" max="8190" width="21.83203125" style="253" bestFit="1" customWidth="1"/>
    <col min="8191" max="8191" width="12" style="253" customWidth="1"/>
    <col min="8192" max="8192" width="11.5" style="253" bestFit="1" customWidth="1"/>
    <col min="8193" max="8193" width="13.5" style="253" customWidth="1"/>
    <col min="8194" max="8194" width="15.5" style="253" customWidth="1"/>
    <col min="8195" max="8196" width="18.5" style="253" customWidth="1"/>
    <col min="8197" max="8197" width="17.83203125" style="253" customWidth="1"/>
    <col min="8198" max="8440" width="9.1640625" style="253"/>
    <col min="8441" max="8441" width="10.33203125" style="253" bestFit="1" customWidth="1"/>
    <col min="8442" max="8442" width="30.1640625" style="253" bestFit="1" customWidth="1"/>
    <col min="8443" max="8443" width="21" style="253" customWidth="1"/>
    <col min="8444" max="8445" width="13.5" style="253" customWidth="1"/>
    <col min="8446" max="8446" width="21.83203125" style="253" bestFit="1" customWidth="1"/>
    <col min="8447" max="8447" width="12" style="253" customWidth="1"/>
    <col min="8448" max="8448" width="11.5" style="253" bestFit="1" customWidth="1"/>
    <col min="8449" max="8449" width="13.5" style="253" customWidth="1"/>
    <col min="8450" max="8450" width="15.5" style="253" customWidth="1"/>
    <col min="8451" max="8452" width="18.5" style="253" customWidth="1"/>
    <col min="8453" max="8453" width="17.83203125" style="253" customWidth="1"/>
    <col min="8454" max="8696" width="9.1640625" style="253"/>
    <col min="8697" max="8697" width="10.33203125" style="253" bestFit="1" customWidth="1"/>
    <col min="8698" max="8698" width="30.1640625" style="253" bestFit="1" customWidth="1"/>
    <col min="8699" max="8699" width="21" style="253" customWidth="1"/>
    <col min="8700" max="8701" width="13.5" style="253" customWidth="1"/>
    <col min="8702" max="8702" width="21.83203125" style="253" bestFit="1" customWidth="1"/>
    <col min="8703" max="8703" width="12" style="253" customWidth="1"/>
    <col min="8704" max="8704" width="11.5" style="253" bestFit="1" customWidth="1"/>
    <col min="8705" max="8705" width="13.5" style="253" customWidth="1"/>
    <col min="8706" max="8706" width="15.5" style="253" customWidth="1"/>
    <col min="8707" max="8708" width="18.5" style="253" customWidth="1"/>
    <col min="8709" max="8709" width="17.83203125" style="253" customWidth="1"/>
    <col min="8710" max="8952" width="9.1640625" style="253"/>
    <col min="8953" max="8953" width="10.33203125" style="253" bestFit="1" customWidth="1"/>
    <col min="8954" max="8954" width="30.1640625" style="253" bestFit="1" customWidth="1"/>
    <col min="8955" max="8955" width="21" style="253" customWidth="1"/>
    <col min="8956" max="8957" width="13.5" style="253" customWidth="1"/>
    <col min="8958" max="8958" width="21.83203125" style="253" bestFit="1" customWidth="1"/>
    <col min="8959" max="8959" width="12" style="253" customWidth="1"/>
    <col min="8960" max="8960" width="11.5" style="253" bestFit="1" customWidth="1"/>
    <col min="8961" max="8961" width="13.5" style="253" customWidth="1"/>
    <col min="8962" max="8962" width="15.5" style="253" customWidth="1"/>
    <col min="8963" max="8964" width="18.5" style="253" customWidth="1"/>
    <col min="8965" max="8965" width="17.83203125" style="253" customWidth="1"/>
    <col min="8966" max="9208" width="9.1640625" style="253"/>
    <col min="9209" max="9209" width="10.33203125" style="253" bestFit="1" customWidth="1"/>
    <col min="9210" max="9210" width="30.1640625" style="253" bestFit="1" customWidth="1"/>
    <col min="9211" max="9211" width="21" style="253" customWidth="1"/>
    <col min="9212" max="9213" width="13.5" style="253" customWidth="1"/>
    <col min="9214" max="9214" width="21.83203125" style="253" bestFit="1" customWidth="1"/>
    <col min="9215" max="9215" width="12" style="253" customWidth="1"/>
    <col min="9216" max="9216" width="11.5" style="253" bestFit="1" customWidth="1"/>
    <col min="9217" max="9217" width="13.5" style="253" customWidth="1"/>
    <col min="9218" max="9218" width="15.5" style="253" customWidth="1"/>
    <col min="9219" max="9220" width="18.5" style="253" customWidth="1"/>
    <col min="9221" max="9221" width="17.83203125" style="253" customWidth="1"/>
    <col min="9222" max="9464" width="9.1640625" style="253"/>
    <col min="9465" max="9465" width="10.33203125" style="253" bestFit="1" customWidth="1"/>
    <col min="9466" max="9466" width="30.1640625" style="253" bestFit="1" customWidth="1"/>
    <col min="9467" max="9467" width="21" style="253" customWidth="1"/>
    <col min="9468" max="9469" width="13.5" style="253" customWidth="1"/>
    <col min="9470" max="9470" width="21.83203125" style="253" bestFit="1" customWidth="1"/>
    <col min="9471" max="9471" width="12" style="253" customWidth="1"/>
    <col min="9472" max="9472" width="11.5" style="253" bestFit="1" customWidth="1"/>
    <col min="9473" max="9473" width="13.5" style="253" customWidth="1"/>
    <col min="9474" max="9474" width="15.5" style="253" customWidth="1"/>
    <col min="9475" max="9476" width="18.5" style="253" customWidth="1"/>
    <col min="9477" max="9477" width="17.83203125" style="253" customWidth="1"/>
    <col min="9478" max="9720" width="9.1640625" style="253"/>
    <col min="9721" max="9721" width="10.33203125" style="253" bestFit="1" customWidth="1"/>
    <col min="9722" max="9722" width="30.1640625" style="253" bestFit="1" customWidth="1"/>
    <col min="9723" max="9723" width="21" style="253" customWidth="1"/>
    <col min="9724" max="9725" width="13.5" style="253" customWidth="1"/>
    <col min="9726" max="9726" width="21.83203125" style="253" bestFit="1" customWidth="1"/>
    <col min="9727" max="9727" width="12" style="253" customWidth="1"/>
    <col min="9728" max="9728" width="11.5" style="253" bestFit="1" customWidth="1"/>
    <col min="9729" max="9729" width="13.5" style="253" customWidth="1"/>
    <col min="9730" max="9730" width="15.5" style="253" customWidth="1"/>
    <col min="9731" max="9732" width="18.5" style="253" customWidth="1"/>
    <col min="9733" max="9733" width="17.83203125" style="253" customWidth="1"/>
    <col min="9734" max="9976" width="9.1640625" style="253"/>
    <col min="9977" max="9977" width="10.33203125" style="253" bestFit="1" customWidth="1"/>
    <col min="9978" max="9978" width="30.1640625" style="253" bestFit="1" customWidth="1"/>
    <col min="9979" max="9979" width="21" style="253" customWidth="1"/>
    <col min="9980" max="9981" width="13.5" style="253" customWidth="1"/>
    <col min="9982" max="9982" width="21.83203125" style="253" bestFit="1" customWidth="1"/>
    <col min="9983" max="9983" width="12" style="253" customWidth="1"/>
    <col min="9984" max="9984" width="11.5" style="253" bestFit="1" customWidth="1"/>
    <col min="9985" max="9985" width="13.5" style="253" customWidth="1"/>
    <col min="9986" max="9986" width="15.5" style="253" customWidth="1"/>
    <col min="9987" max="9988" width="18.5" style="253" customWidth="1"/>
    <col min="9989" max="9989" width="17.83203125" style="253" customWidth="1"/>
    <col min="9990" max="10232" width="9.1640625" style="253"/>
    <col min="10233" max="10233" width="10.33203125" style="253" bestFit="1" customWidth="1"/>
    <col min="10234" max="10234" width="30.1640625" style="253" bestFit="1" customWidth="1"/>
    <col min="10235" max="10235" width="21" style="253" customWidth="1"/>
    <col min="10236" max="10237" width="13.5" style="253" customWidth="1"/>
    <col min="10238" max="10238" width="21.83203125" style="253" bestFit="1" customWidth="1"/>
    <col min="10239" max="10239" width="12" style="253" customWidth="1"/>
    <col min="10240" max="10240" width="11.5" style="253" bestFit="1" customWidth="1"/>
    <col min="10241" max="10241" width="13.5" style="253" customWidth="1"/>
    <col min="10242" max="10242" width="15.5" style="253" customWidth="1"/>
    <col min="10243" max="10244" width="18.5" style="253" customWidth="1"/>
    <col min="10245" max="10245" width="17.83203125" style="253" customWidth="1"/>
    <col min="10246" max="10488" width="9.1640625" style="253"/>
    <col min="10489" max="10489" width="10.33203125" style="253" bestFit="1" customWidth="1"/>
    <col min="10490" max="10490" width="30.1640625" style="253" bestFit="1" customWidth="1"/>
    <col min="10491" max="10491" width="21" style="253" customWidth="1"/>
    <col min="10492" max="10493" width="13.5" style="253" customWidth="1"/>
    <col min="10494" max="10494" width="21.83203125" style="253" bestFit="1" customWidth="1"/>
    <col min="10495" max="10495" width="12" style="253" customWidth="1"/>
    <col min="10496" max="10496" width="11.5" style="253" bestFit="1" customWidth="1"/>
    <col min="10497" max="10497" width="13.5" style="253" customWidth="1"/>
    <col min="10498" max="10498" width="15.5" style="253" customWidth="1"/>
    <col min="10499" max="10500" width="18.5" style="253" customWidth="1"/>
    <col min="10501" max="10501" width="17.83203125" style="253" customWidth="1"/>
    <col min="10502" max="10744" width="9.1640625" style="253"/>
    <col min="10745" max="10745" width="10.33203125" style="253" bestFit="1" customWidth="1"/>
    <col min="10746" max="10746" width="30.1640625" style="253" bestFit="1" customWidth="1"/>
    <col min="10747" max="10747" width="21" style="253" customWidth="1"/>
    <col min="10748" max="10749" width="13.5" style="253" customWidth="1"/>
    <col min="10750" max="10750" width="21.83203125" style="253" bestFit="1" customWidth="1"/>
    <col min="10751" max="10751" width="12" style="253" customWidth="1"/>
    <col min="10752" max="10752" width="11.5" style="253" bestFit="1" customWidth="1"/>
    <col min="10753" max="10753" width="13.5" style="253" customWidth="1"/>
    <col min="10754" max="10754" width="15.5" style="253" customWidth="1"/>
    <col min="10755" max="10756" width="18.5" style="253" customWidth="1"/>
    <col min="10757" max="10757" width="17.83203125" style="253" customWidth="1"/>
    <col min="10758" max="11000" width="9.1640625" style="253"/>
    <col min="11001" max="11001" width="10.33203125" style="253" bestFit="1" customWidth="1"/>
    <col min="11002" max="11002" width="30.1640625" style="253" bestFit="1" customWidth="1"/>
    <col min="11003" max="11003" width="21" style="253" customWidth="1"/>
    <col min="11004" max="11005" width="13.5" style="253" customWidth="1"/>
    <col min="11006" max="11006" width="21.83203125" style="253" bestFit="1" customWidth="1"/>
    <col min="11007" max="11007" width="12" style="253" customWidth="1"/>
    <col min="11008" max="11008" width="11.5" style="253" bestFit="1" customWidth="1"/>
    <col min="11009" max="11009" width="13.5" style="253" customWidth="1"/>
    <col min="11010" max="11010" width="15.5" style="253" customWidth="1"/>
    <col min="11011" max="11012" width="18.5" style="253" customWidth="1"/>
    <col min="11013" max="11013" width="17.83203125" style="253" customWidth="1"/>
    <col min="11014" max="11256" width="9.1640625" style="253"/>
    <col min="11257" max="11257" width="10.33203125" style="253" bestFit="1" customWidth="1"/>
    <col min="11258" max="11258" width="30.1640625" style="253" bestFit="1" customWidth="1"/>
    <col min="11259" max="11259" width="21" style="253" customWidth="1"/>
    <col min="11260" max="11261" width="13.5" style="253" customWidth="1"/>
    <col min="11262" max="11262" width="21.83203125" style="253" bestFit="1" customWidth="1"/>
    <col min="11263" max="11263" width="12" style="253" customWidth="1"/>
    <col min="11264" max="11264" width="11.5" style="253" bestFit="1" customWidth="1"/>
    <col min="11265" max="11265" width="13.5" style="253" customWidth="1"/>
    <col min="11266" max="11266" width="15.5" style="253" customWidth="1"/>
    <col min="11267" max="11268" width="18.5" style="253" customWidth="1"/>
    <col min="11269" max="11269" width="17.83203125" style="253" customWidth="1"/>
    <col min="11270" max="11512" width="9.1640625" style="253"/>
    <col min="11513" max="11513" width="10.33203125" style="253" bestFit="1" customWidth="1"/>
    <col min="11514" max="11514" width="30.1640625" style="253" bestFit="1" customWidth="1"/>
    <col min="11515" max="11515" width="21" style="253" customWidth="1"/>
    <col min="11516" max="11517" width="13.5" style="253" customWidth="1"/>
    <col min="11518" max="11518" width="21.83203125" style="253" bestFit="1" customWidth="1"/>
    <col min="11519" max="11519" width="12" style="253" customWidth="1"/>
    <col min="11520" max="11520" width="11.5" style="253" bestFit="1" customWidth="1"/>
    <col min="11521" max="11521" width="13.5" style="253" customWidth="1"/>
    <col min="11522" max="11522" width="15.5" style="253" customWidth="1"/>
    <col min="11523" max="11524" width="18.5" style="253" customWidth="1"/>
    <col min="11525" max="11525" width="17.83203125" style="253" customWidth="1"/>
    <col min="11526" max="11768" width="9.1640625" style="253"/>
    <col min="11769" max="11769" width="10.33203125" style="253" bestFit="1" customWidth="1"/>
    <col min="11770" max="11770" width="30.1640625" style="253" bestFit="1" customWidth="1"/>
    <col min="11771" max="11771" width="21" style="253" customWidth="1"/>
    <col min="11772" max="11773" width="13.5" style="253" customWidth="1"/>
    <col min="11774" max="11774" width="21.83203125" style="253" bestFit="1" customWidth="1"/>
    <col min="11775" max="11775" width="12" style="253" customWidth="1"/>
    <col min="11776" max="11776" width="11.5" style="253" bestFit="1" customWidth="1"/>
    <col min="11777" max="11777" width="13.5" style="253" customWidth="1"/>
    <col min="11778" max="11778" width="15.5" style="253" customWidth="1"/>
    <col min="11779" max="11780" width="18.5" style="253" customWidth="1"/>
    <col min="11781" max="11781" width="17.83203125" style="253" customWidth="1"/>
    <col min="11782" max="12024" width="9.1640625" style="253"/>
    <col min="12025" max="12025" width="10.33203125" style="253" bestFit="1" customWidth="1"/>
    <col min="12026" max="12026" width="30.1640625" style="253" bestFit="1" customWidth="1"/>
    <col min="12027" max="12027" width="21" style="253" customWidth="1"/>
    <col min="12028" max="12029" width="13.5" style="253" customWidth="1"/>
    <col min="12030" max="12030" width="21.83203125" style="253" bestFit="1" customWidth="1"/>
    <col min="12031" max="12031" width="12" style="253" customWidth="1"/>
    <col min="12032" max="12032" width="11.5" style="253" bestFit="1" customWidth="1"/>
    <col min="12033" max="12033" width="13.5" style="253" customWidth="1"/>
    <col min="12034" max="12034" width="15.5" style="253" customWidth="1"/>
    <col min="12035" max="12036" width="18.5" style="253" customWidth="1"/>
    <col min="12037" max="12037" width="17.83203125" style="253" customWidth="1"/>
    <col min="12038" max="12280" width="9.1640625" style="253"/>
    <col min="12281" max="12281" width="10.33203125" style="253" bestFit="1" customWidth="1"/>
    <col min="12282" max="12282" width="30.1640625" style="253" bestFit="1" customWidth="1"/>
    <col min="12283" max="12283" width="21" style="253" customWidth="1"/>
    <col min="12284" max="12285" width="13.5" style="253" customWidth="1"/>
    <col min="12286" max="12286" width="21.83203125" style="253" bestFit="1" customWidth="1"/>
    <col min="12287" max="12287" width="12" style="253" customWidth="1"/>
    <col min="12288" max="12288" width="11.5" style="253" bestFit="1" customWidth="1"/>
    <col min="12289" max="12289" width="13.5" style="253" customWidth="1"/>
    <col min="12290" max="12290" width="15.5" style="253" customWidth="1"/>
    <col min="12291" max="12292" width="18.5" style="253" customWidth="1"/>
    <col min="12293" max="12293" width="17.83203125" style="253" customWidth="1"/>
    <col min="12294" max="12536" width="9.1640625" style="253"/>
    <col min="12537" max="12537" width="10.33203125" style="253" bestFit="1" customWidth="1"/>
    <col min="12538" max="12538" width="30.1640625" style="253" bestFit="1" customWidth="1"/>
    <col min="12539" max="12539" width="21" style="253" customWidth="1"/>
    <col min="12540" max="12541" width="13.5" style="253" customWidth="1"/>
    <col min="12542" max="12542" width="21.83203125" style="253" bestFit="1" customWidth="1"/>
    <col min="12543" max="12543" width="12" style="253" customWidth="1"/>
    <col min="12544" max="12544" width="11.5" style="253" bestFit="1" customWidth="1"/>
    <col min="12545" max="12545" width="13.5" style="253" customWidth="1"/>
    <col min="12546" max="12546" width="15.5" style="253" customWidth="1"/>
    <col min="12547" max="12548" width="18.5" style="253" customWidth="1"/>
    <col min="12549" max="12549" width="17.83203125" style="253" customWidth="1"/>
    <col min="12550" max="12792" width="9.1640625" style="253"/>
    <col min="12793" max="12793" width="10.33203125" style="253" bestFit="1" customWidth="1"/>
    <col min="12794" max="12794" width="30.1640625" style="253" bestFit="1" customWidth="1"/>
    <col min="12795" max="12795" width="21" style="253" customWidth="1"/>
    <col min="12796" max="12797" width="13.5" style="253" customWidth="1"/>
    <col min="12798" max="12798" width="21.83203125" style="253" bestFit="1" customWidth="1"/>
    <col min="12799" max="12799" width="12" style="253" customWidth="1"/>
    <col min="12800" max="12800" width="11.5" style="253" bestFit="1" customWidth="1"/>
    <col min="12801" max="12801" width="13.5" style="253" customWidth="1"/>
    <col min="12802" max="12802" width="15.5" style="253" customWidth="1"/>
    <col min="12803" max="12804" width="18.5" style="253" customWidth="1"/>
    <col min="12805" max="12805" width="17.83203125" style="253" customWidth="1"/>
    <col min="12806" max="13048" width="9.1640625" style="253"/>
    <col min="13049" max="13049" width="10.33203125" style="253" bestFit="1" customWidth="1"/>
    <col min="13050" max="13050" width="30.1640625" style="253" bestFit="1" customWidth="1"/>
    <col min="13051" max="13051" width="21" style="253" customWidth="1"/>
    <col min="13052" max="13053" width="13.5" style="253" customWidth="1"/>
    <col min="13054" max="13054" width="21.83203125" style="253" bestFit="1" customWidth="1"/>
    <col min="13055" max="13055" width="12" style="253" customWidth="1"/>
    <col min="13056" max="13056" width="11.5" style="253" bestFit="1" customWidth="1"/>
    <col min="13057" max="13057" width="13.5" style="253" customWidth="1"/>
    <col min="13058" max="13058" width="15.5" style="253" customWidth="1"/>
    <col min="13059" max="13060" width="18.5" style="253" customWidth="1"/>
    <col min="13061" max="13061" width="17.83203125" style="253" customWidth="1"/>
    <col min="13062" max="13304" width="9.1640625" style="253"/>
    <col min="13305" max="13305" width="10.33203125" style="253" bestFit="1" customWidth="1"/>
    <col min="13306" max="13306" width="30.1640625" style="253" bestFit="1" customWidth="1"/>
    <col min="13307" max="13307" width="21" style="253" customWidth="1"/>
    <col min="13308" max="13309" width="13.5" style="253" customWidth="1"/>
    <col min="13310" max="13310" width="21.83203125" style="253" bestFit="1" customWidth="1"/>
    <col min="13311" max="13311" width="12" style="253" customWidth="1"/>
    <col min="13312" max="13312" width="11.5" style="253" bestFit="1" customWidth="1"/>
    <col min="13313" max="13313" width="13.5" style="253" customWidth="1"/>
    <col min="13314" max="13314" width="15.5" style="253" customWidth="1"/>
    <col min="13315" max="13316" width="18.5" style="253" customWidth="1"/>
    <col min="13317" max="13317" width="17.83203125" style="253" customWidth="1"/>
    <col min="13318" max="13560" width="9.1640625" style="253"/>
    <col min="13561" max="13561" width="10.33203125" style="253" bestFit="1" customWidth="1"/>
    <col min="13562" max="13562" width="30.1640625" style="253" bestFit="1" customWidth="1"/>
    <col min="13563" max="13563" width="21" style="253" customWidth="1"/>
    <col min="13564" max="13565" width="13.5" style="253" customWidth="1"/>
    <col min="13566" max="13566" width="21.83203125" style="253" bestFit="1" customWidth="1"/>
    <col min="13567" max="13567" width="12" style="253" customWidth="1"/>
    <col min="13568" max="13568" width="11.5" style="253" bestFit="1" customWidth="1"/>
    <col min="13569" max="13569" width="13.5" style="253" customWidth="1"/>
    <col min="13570" max="13570" width="15.5" style="253" customWidth="1"/>
    <col min="13571" max="13572" width="18.5" style="253" customWidth="1"/>
    <col min="13573" max="13573" width="17.83203125" style="253" customWidth="1"/>
    <col min="13574" max="13816" width="9.1640625" style="253"/>
    <col min="13817" max="13817" width="10.33203125" style="253" bestFit="1" customWidth="1"/>
    <col min="13818" max="13818" width="30.1640625" style="253" bestFit="1" customWidth="1"/>
    <col min="13819" max="13819" width="21" style="253" customWidth="1"/>
    <col min="13820" max="13821" width="13.5" style="253" customWidth="1"/>
    <col min="13822" max="13822" width="21.83203125" style="253" bestFit="1" customWidth="1"/>
    <col min="13823" max="13823" width="12" style="253" customWidth="1"/>
    <col min="13824" max="13824" width="11.5" style="253" bestFit="1" customWidth="1"/>
    <col min="13825" max="13825" width="13.5" style="253" customWidth="1"/>
    <col min="13826" max="13826" width="15.5" style="253" customWidth="1"/>
    <col min="13827" max="13828" width="18.5" style="253" customWidth="1"/>
    <col min="13829" max="13829" width="17.83203125" style="253" customWidth="1"/>
    <col min="13830" max="14072" width="9.1640625" style="253"/>
    <col min="14073" max="14073" width="10.33203125" style="253" bestFit="1" customWidth="1"/>
    <col min="14074" max="14074" width="30.1640625" style="253" bestFit="1" customWidth="1"/>
    <col min="14075" max="14075" width="21" style="253" customWidth="1"/>
    <col min="14076" max="14077" width="13.5" style="253" customWidth="1"/>
    <col min="14078" max="14078" width="21.83203125" style="253" bestFit="1" customWidth="1"/>
    <col min="14079" max="14079" width="12" style="253" customWidth="1"/>
    <col min="14080" max="14080" width="11.5" style="253" bestFit="1" customWidth="1"/>
    <col min="14081" max="14081" width="13.5" style="253" customWidth="1"/>
    <col min="14082" max="14082" width="15.5" style="253" customWidth="1"/>
    <col min="14083" max="14084" width="18.5" style="253" customWidth="1"/>
    <col min="14085" max="14085" width="17.83203125" style="253" customWidth="1"/>
    <col min="14086" max="14328" width="9.1640625" style="253"/>
    <col min="14329" max="14329" width="10.33203125" style="253" bestFit="1" customWidth="1"/>
    <col min="14330" max="14330" width="30.1640625" style="253" bestFit="1" customWidth="1"/>
    <col min="14331" max="14331" width="21" style="253" customWidth="1"/>
    <col min="14332" max="14333" width="13.5" style="253" customWidth="1"/>
    <col min="14334" max="14334" width="21.83203125" style="253" bestFit="1" customWidth="1"/>
    <col min="14335" max="14335" width="12" style="253" customWidth="1"/>
    <col min="14336" max="14336" width="11.5" style="253" bestFit="1" customWidth="1"/>
    <col min="14337" max="14337" width="13.5" style="253" customWidth="1"/>
    <col min="14338" max="14338" width="15.5" style="253" customWidth="1"/>
    <col min="14339" max="14340" width="18.5" style="253" customWidth="1"/>
    <col min="14341" max="14341" width="17.83203125" style="253" customWidth="1"/>
    <col min="14342" max="14584" width="9.1640625" style="253"/>
    <col min="14585" max="14585" width="10.33203125" style="253" bestFit="1" customWidth="1"/>
    <col min="14586" max="14586" width="30.1640625" style="253" bestFit="1" customWidth="1"/>
    <col min="14587" max="14587" width="21" style="253" customWidth="1"/>
    <col min="14588" max="14589" width="13.5" style="253" customWidth="1"/>
    <col min="14590" max="14590" width="21.83203125" style="253" bestFit="1" customWidth="1"/>
    <col min="14591" max="14591" width="12" style="253" customWidth="1"/>
    <col min="14592" max="14592" width="11.5" style="253" bestFit="1" customWidth="1"/>
    <col min="14593" max="14593" width="13.5" style="253" customWidth="1"/>
    <col min="14594" max="14594" width="15.5" style="253" customWidth="1"/>
    <col min="14595" max="14596" width="18.5" style="253" customWidth="1"/>
    <col min="14597" max="14597" width="17.83203125" style="253" customWidth="1"/>
    <col min="14598" max="14840" width="9.1640625" style="253"/>
    <col min="14841" max="14841" width="10.33203125" style="253" bestFit="1" customWidth="1"/>
    <col min="14842" max="14842" width="30.1640625" style="253" bestFit="1" customWidth="1"/>
    <col min="14843" max="14843" width="21" style="253" customWidth="1"/>
    <col min="14844" max="14845" width="13.5" style="253" customWidth="1"/>
    <col min="14846" max="14846" width="21.83203125" style="253" bestFit="1" customWidth="1"/>
    <col min="14847" max="14847" width="12" style="253" customWidth="1"/>
    <col min="14848" max="14848" width="11.5" style="253" bestFit="1" customWidth="1"/>
    <col min="14849" max="14849" width="13.5" style="253" customWidth="1"/>
    <col min="14850" max="14850" width="15.5" style="253" customWidth="1"/>
    <col min="14851" max="14852" width="18.5" style="253" customWidth="1"/>
    <col min="14853" max="14853" width="17.83203125" style="253" customWidth="1"/>
    <col min="14854" max="15096" width="9.1640625" style="253"/>
    <col min="15097" max="15097" width="10.33203125" style="253" bestFit="1" customWidth="1"/>
    <col min="15098" max="15098" width="30.1640625" style="253" bestFit="1" customWidth="1"/>
    <col min="15099" max="15099" width="21" style="253" customWidth="1"/>
    <col min="15100" max="15101" width="13.5" style="253" customWidth="1"/>
    <col min="15102" max="15102" width="21.83203125" style="253" bestFit="1" customWidth="1"/>
    <col min="15103" max="15103" width="12" style="253" customWidth="1"/>
    <col min="15104" max="15104" width="11.5" style="253" bestFit="1" customWidth="1"/>
    <col min="15105" max="15105" width="13.5" style="253" customWidth="1"/>
    <col min="15106" max="15106" width="15.5" style="253" customWidth="1"/>
    <col min="15107" max="15108" width="18.5" style="253" customWidth="1"/>
    <col min="15109" max="15109" width="17.83203125" style="253" customWidth="1"/>
    <col min="15110" max="15352" width="9.1640625" style="253"/>
    <col min="15353" max="15353" width="10.33203125" style="253" bestFit="1" customWidth="1"/>
    <col min="15354" max="15354" width="30.1640625" style="253" bestFit="1" customWidth="1"/>
    <col min="15355" max="15355" width="21" style="253" customWidth="1"/>
    <col min="15356" max="15357" width="13.5" style="253" customWidth="1"/>
    <col min="15358" max="15358" width="21.83203125" style="253" bestFit="1" customWidth="1"/>
    <col min="15359" max="15359" width="12" style="253" customWidth="1"/>
    <col min="15360" max="15360" width="11.5" style="253" bestFit="1" customWidth="1"/>
    <col min="15361" max="15361" width="13.5" style="253" customWidth="1"/>
    <col min="15362" max="15362" width="15.5" style="253" customWidth="1"/>
    <col min="15363" max="15364" width="18.5" style="253" customWidth="1"/>
    <col min="15365" max="15365" width="17.83203125" style="253" customWidth="1"/>
    <col min="15366" max="15608" width="9.1640625" style="253"/>
    <col min="15609" max="15609" width="10.33203125" style="253" bestFit="1" customWidth="1"/>
    <col min="15610" max="15610" width="30.1640625" style="253" bestFit="1" customWidth="1"/>
    <col min="15611" max="15611" width="21" style="253" customWidth="1"/>
    <col min="15612" max="15613" width="13.5" style="253" customWidth="1"/>
    <col min="15614" max="15614" width="21.83203125" style="253" bestFit="1" customWidth="1"/>
    <col min="15615" max="15615" width="12" style="253" customWidth="1"/>
    <col min="15616" max="15616" width="11.5" style="253" bestFit="1" customWidth="1"/>
    <col min="15617" max="15617" width="13.5" style="253" customWidth="1"/>
    <col min="15618" max="15618" width="15.5" style="253" customWidth="1"/>
    <col min="15619" max="15620" width="18.5" style="253" customWidth="1"/>
    <col min="15621" max="15621" width="17.83203125" style="253" customWidth="1"/>
    <col min="15622" max="15864" width="9.1640625" style="253"/>
    <col min="15865" max="15865" width="10.33203125" style="253" bestFit="1" customWidth="1"/>
    <col min="15866" max="15866" width="30.1640625" style="253" bestFit="1" customWidth="1"/>
    <col min="15867" max="15867" width="21" style="253" customWidth="1"/>
    <col min="15868" max="15869" width="13.5" style="253" customWidth="1"/>
    <col min="15870" max="15870" width="21.83203125" style="253" bestFit="1" customWidth="1"/>
    <col min="15871" max="15871" width="12" style="253" customWidth="1"/>
    <col min="15872" max="15872" width="11.5" style="253" bestFit="1" customWidth="1"/>
    <col min="15873" max="15873" width="13.5" style="253" customWidth="1"/>
    <col min="15874" max="15874" width="15.5" style="253" customWidth="1"/>
    <col min="15875" max="15876" width="18.5" style="253" customWidth="1"/>
    <col min="15877" max="15877" width="17.83203125" style="253" customWidth="1"/>
    <col min="15878" max="16120" width="9.1640625" style="253"/>
    <col min="16121" max="16121" width="10.33203125" style="253" bestFit="1" customWidth="1"/>
    <col min="16122" max="16122" width="30.1640625" style="253" bestFit="1" customWidth="1"/>
    <col min="16123" max="16123" width="21" style="253" customWidth="1"/>
    <col min="16124" max="16125" width="13.5" style="253" customWidth="1"/>
    <col min="16126" max="16126" width="21.83203125" style="253" bestFit="1" customWidth="1"/>
    <col min="16127" max="16127" width="12" style="253" customWidth="1"/>
    <col min="16128" max="16128" width="11.5" style="253" bestFit="1" customWidth="1"/>
    <col min="16129" max="16129" width="13.5" style="253" customWidth="1"/>
    <col min="16130" max="16130" width="15.5" style="253" customWidth="1"/>
    <col min="16131" max="16132" width="18.5" style="253" customWidth="1"/>
    <col min="16133" max="16133" width="17.83203125" style="253" customWidth="1"/>
    <col min="16134" max="16383" width="9.1640625" style="253"/>
    <col min="16384" max="16384" width="9.1640625" style="253" customWidth="1"/>
  </cols>
  <sheetData>
    <row r="1" spans="1:7" ht="43.5" customHeight="1">
      <c r="A1" s="164" t="s">
        <v>27</v>
      </c>
      <c r="B1" s="250" t="s">
        <v>28</v>
      </c>
      <c r="C1" s="251" t="s">
        <v>228</v>
      </c>
      <c r="D1" s="251" t="s">
        <v>229</v>
      </c>
      <c r="E1" s="250" t="s">
        <v>230</v>
      </c>
      <c r="F1" s="250" t="s">
        <v>187</v>
      </c>
      <c r="G1" s="252" t="s">
        <v>231</v>
      </c>
    </row>
    <row r="2" spans="1:7" ht="17">
      <c r="A2" s="247" t="s">
        <v>190</v>
      </c>
      <c r="B2" s="207" t="s">
        <v>201</v>
      </c>
      <c r="C2" s="254"/>
      <c r="D2" s="248">
        <v>200000</v>
      </c>
      <c r="E2" s="249"/>
      <c r="F2" s="249"/>
      <c r="G2" s="255">
        <f>SUM(C2:F2)</f>
        <v>200000</v>
      </c>
    </row>
    <row r="3" spans="1:7" ht="17">
      <c r="A3" s="247" t="s">
        <v>191</v>
      </c>
      <c r="B3" s="207" t="s">
        <v>202</v>
      </c>
      <c r="C3" s="254"/>
      <c r="D3" s="248"/>
      <c r="E3" s="249">
        <v>2000000</v>
      </c>
      <c r="F3" s="249"/>
      <c r="G3" s="255">
        <f>SUM(C3:F3)</f>
        <v>2000000</v>
      </c>
    </row>
    <row r="4" spans="1:7" ht="17">
      <c r="A4" s="247" t="s">
        <v>167</v>
      </c>
      <c r="B4" s="207" t="s">
        <v>203</v>
      </c>
      <c r="C4" s="254"/>
      <c r="D4" s="248"/>
      <c r="E4" s="249"/>
      <c r="F4" s="249">
        <v>1000000</v>
      </c>
      <c r="G4" s="255">
        <f>SUM(C4:F4)</f>
        <v>1000000</v>
      </c>
    </row>
    <row r="5" spans="1:7" ht="17">
      <c r="A5" s="247" t="s">
        <v>168</v>
      </c>
      <c r="B5" s="207" t="s">
        <v>204</v>
      </c>
      <c r="C5" s="254">
        <v>500000</v>
      </c>
      <c r="D5" s="248"/>
      <c r="E5" s="249"/>
      <c r="F5" s="249">
        <v>750000</v>
      </c>
      <c r="G5" s="255">
        <f>SUM(C5:F5)</f>
        <v>1250000</v>
      </c>
    </row>
    <row r="7" spans="1:7" ht="23.25" customHeight="1">
      <c r="B7" s="256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2026-01-07T02:45:01Z</dcterms:modified>
</cp:coreProperties>
</file>