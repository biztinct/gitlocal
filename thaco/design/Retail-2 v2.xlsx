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design/"/>
    </mc:Choice>
  </mc:AlternateContent>
  <xr:revisionPtr revIDLastSave="0" documentId="13_ncr:1_{CCDDCADC-46D9-CF4A-8F1D-F2812CC31755}" xr6:coauthVersionLast="47" xr6:coauthVersionMax="47" xr10:uidLastSave="{00000000-0000-0000-0000-000000000000}"/>
  <bookViews>
    <workbookView xWindow="38400" yWindow="800" windowWidth="38100" windowHeight="20800" tabRatio="650" activeTab="1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 " sheetId="337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Incentive!$A$3:A19</definedName>
    <definedName name="__xlnm._FilterDatabase" localSheetId="5">NS!$A$1:A7</definedName>
    <definedName name="__xlnm._FilterDatabase" localSheetId="4">'OT '!$A$2:A5</definedName>
    <definedName name="__xlnm._FilterDatabase_1" localSheetId="3">#REF!</definedName>
    <definedName name="__xlnm._FilterDatabase_1" localSheetId="6">#REF!</definedName>
    <definedName name="__xlnm._FilterDatabase_1" localSheetId="4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 localSheetId="4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 localSheetId="4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 localSheetId="4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 localSheetId="4">#REF!</definedName>
    <definedName name="__xlnm._FilterDatabase_7">#REF!</definedName>
    <definedName name="__xlnm.Print_Area" localSheetId="6">Incentive!$A$1:$H$9</definedName>
    <definedName name="__xlnm.Print_Titles" localSheetId="6">(Incentive!$A:$G,Incentive!$3:$3)</definedName>
    <definedName name="__xlnm.Print_Titles" localSheetId="5">NS!$1:$1</definedName>
    <definedName name="__xlnm.Print_Titles" localSheetId="4">'OT '!$1:$2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 hidden="1">' TimeTB 1'!$A$3:$AU$10</definedName>
    <definedName name="_xlnm._FilterDatabase" localSheetId="8" hidden="1">'Benefit tính thuế'!$A$1:$H$19</definedName>
    <definedName name="_xlnm._FilterDatabase" localSheetId="6" hidden="1">Incentive!$A$3:$K$8</definedName>
    <definedName name="_xlnm._FilterDatabase" localSheetId="5" hidden="1">NS!$A$1:$G$6</definedName>
    <definedName name="_xlnm._FilterDatabase" localSheetId="4" hidden="1">'OT '!$A$2:$T$4</definedName>
    <definedName name="_xlnm._FilterDatabase" localSheetId="7" hidden="1">Others!$A$8:$F$11</definedName>
    <definedName name="_xlnm._FilterDatabase" localSheetId="1" hidden="1">'PC cơm '!$A$2:$M$4</definedName>
    <definedName name="_xlnm._FilterDatabase" localSheetId="0" hidden="1">'Template Payroll'!$A$2:$CG$3</definedName>
    <definedName name="_xlnm._FilterDatabase" localSheetId="2" hidden="1">'TimeTB 2'!$A$3:$AY$5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 localSheetId="4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 localSheetId="4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 localSheetId="4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 localSheetId="4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 localSheetId="4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 localSheetId="4">#REF!</definedName>
    <definedName name="HUYEN_HOC_MON">#REF!</definedName>
    <definedName name="HUYEN_NHA_BE" localSheetId="3">#REF!</definedName>
    <definedName name="HUYEN_NHA_BE" localSheetId="6">#REF!</definedName>
    <definedName name="HUYEN_NHA_BE" localSheetId="4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NS!$B:$B</definedName>
    <definedName name="ot_ID" localSheetId="4">'OT '!$B:$B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4">'OT '!$R:$R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4">'OT '!$T:$T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4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4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4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4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4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4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4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 localSheetId="4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4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Incentive!$A$1:$K$9</definedName>
    <definedName name="_xlnm.Print_Area" localSheetId="2">'TimeTB 2'!$B$1:$AY$22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6">Incentive!$A:$G,Incentive!$3:$3</definedName>
    <definedName name="_xlnm.Print_Titles" localSheetId="5">NS!$1:$1</definedName>
    <definedName name="_xlnm.Print_Titles" localSheetId="4">'OT '!$1:$2</definedName>
    <definedName name="_xlnm.Print_Titles" localSheetId="1">'PC cơm '!$1:$2</definedName>
    <definedName name="_xlnm.Print_Titles" localSheetId="0">'Template Payroll'!$A:$H,'Template Payroll'!$2:$2</definedName>
    <definedName name="_xlnm.Print_Titles" localSheetId="2">'TimeTB 2'!$1:$3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 localSheetId="4">#REF!</definedName>
    <definedName name="QUAN_1">#REF!</definedName>
    <definedName name="QUAN_10" localSheetId="3">#REF!</definedName>
    <definedName name="QUAN_10" localSheetId="6">#REF!</definedName>
    <definedName name="QUAN_10" localSheetId="4">#REF!</definedName>
    <definedName name="QUAN_10">#REF!</definedName>
    <definedName name="QUAN_11" localSheetId="3">#REF!</definedName>
    <definedName name="QUAN_11" localSheetId="6">#REF!</definedName>
    <definedName name="QUAN_11" localSheetId="4">#REF!</definedName>
    <definedName name="QUAN_11">#REF!</definedName>
    <definedName name="QUAN_12" localSheetId="3">#REF!</definedName>
    <definedName name="QUAN_12" localSheetId="6">#REF!</definedName>
    <definedName name="QUAN_12" localSheetId="4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 localSheetId="4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 localSheetId="4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 localSheetId="4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 localSheetId="4">#REF!</definedName>
    <definedName name="QUAN_5">#REF!</definedName>
    <definedName name="QUAN_6" localSheetId="3">#REF!</definedName>
    <definedName name="QUAN_6" localSheetId="6">#REF!</definedName>
    <definedName name="QUAN_6" localSheetId="4">#REF!</definedName>
    <definedName name="QUAN_6">#REF!</definedName>
    <definedName name="QUAN_7" localSheetId="3">#REF!</definedName>
    <definedName name="QUAN_7" localSheetId="6">#REF!</definedName>
    <definedName name="QUAN_7" localSheetId="4">#REF!</definedName>
    <definedName name="QUAN_7">#REF!</definedName>
    <definedName name="QUAN_8" localSheetId="3">#REF!</definedName>
    <definedName name="QUAN_8" localSheetId="6">#REF!</definedName>
    <definedName name="QUAN_8" localSheetId="4">#REF!</definedName>
    <definedName name="QUAN_8">#REF!</definedName>
    <definedName name="QUAN_9" localSheetId="3">#REF!</definedName>
    <definedName name="QUAN_9" localSheetId="6">#REF!</definedName>
    <definedName name="QUAN_9" localSheetId="4">#REF!</definedName>
    <definedName name="QUAN_9">#REF!</definedName>
    <definedName name="QUAN_BINH_TAN" localSheetId="3">#REF!</definedName>
    <definedName name="QUAN_BINH_TAN" localSheetId="6">#REF!</definedName>
    <definedName name="QUAN_BINH_TAN" localSheetId="4">#REF!</definedName>
    <definedName name="QUAN_BINH_TAN">#REF!</definedName>
    <definedName name="QUAN_BINH_THANH" localSheetId="3">#REF!</definedName>
    <definedName name="QUAN_BINH_THANH" localSheetId="6">#REF!</definedName>
    <definedName name="QUAN_BINH_THANH" localSheetId="4">#REF!</definedName>
    <definedName name="QUAN_BINH_THANH">#REF!</definedName>
    <definedName name="QUAN_GO_VAP" localSheetId="3">#REF!</definedName>
    <definedName name="QUAN_GO_VAP" localSheetId="6">#REF!</definedName>
    <definedName name="QUAN_GO_VAP" localSheetId="4">#REF!</definedName>
    <definedName name="QUAN_GO_VAP">#REF!</definedName>
    <definedName name="QUAN_PHU_NHUAN" localSheetId="3">#REF!</definedName>
    <definedName name="QUAN_PHU_NHUAN" localSheetId="6">#REF!</definedName>
    <definedName name="QUAN_PHU_NHUAN" localSheetId="4">#REF!</definedName>
    <definedName name="QUAN_PHU_NHUAN">#REF!</definedName>
    <definedName name="QUAN_TAN_BINH" localSheetId="3">#REF!</definedName>
    <definedName name="QUAN_TAN_BINH" localSheetId="6">#REF!</definedName>
    <definedName name="QUAN_TAN_BINH" localSheetId="4">#REF!</definedName>
    <definedName name="QUAN_TAN_BINH">#REF!</definedName>
    <definedName name="QUAN_TAN_PHU" localSheetId="3">#REF!</definedName>
    <definedName name="QUAN_TAN_PHU" localSheetId="6">#REF!</definedName>
    <definedName name="QUAN_TAN_PHU" localSheetId="4">#REF!</definedName>
    <definedName name="QUAN_TAN_PHU">#REF!</definedName>
    <definedName name="QUAN_THU_DUC" localSheetId="3">#REF!</definedName>
    <definedName name="QUAN_THU_DUC" localSheetId="6">#REF!</definedName>
    <definedName name="QUAN_THU_DUC" localSheetId="4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4">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 localSheetId="4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37" l="1" a="1"/>
  <c r="E4" i="337" s="1"/>
  <c r="L4" i="337" s="1"/>
  <c r="R4" i="337" s="1"/>
  <c r="AW5" i="340"/>
  <c r="AO4" i="340"/>
  <c r="AU4" i="328"/>
  <c r="AT4" i="328"/>
  <c r="AM4" i="328"/>
  <c r="AH2" i="328" l="1"/>
  <c r="AI2" i="328" s="1"/>
  <c r="J2" i="340"/>
  <c r="K2" i="340" s="1"/>
  <c r="M1" i="340"/>
  <c r="BL3" i="439"/>
  <c r="J3" i="340" l="1"/>
  <c r="K3" i="340"/>
  <c r="L2" i="340"/>
  <c r="BK3" i="439"/>
  <c r="AN3" i="439"/>
  <c r="AM3" i="439"/>
  <c r="BF1" i="439"/>
  <c r="BG1" i="439"/>
  <c r="BN3" i="439"/>
  <c r="AP3" i="439"/>
  <c r="AH3" i="439"/>
  <c r="AG3" i="439"/>
  <c r="AF3" i="439"/>
  <c r="G4" i="430"/>
  <c r="G3" i="430"/>
  <c r="H4" i="430"/>
  <c r="AW4" i="340"/>
  <c r="H3" i="430" s="1"/>
  <c r="AV4" i="340"/>
  <c r="F3" i="430" s="1"/>
  <c r="AV5" i="340"/>
  <c r="F4" i="430" s="1"/>
  <c r="AR4" i="340"/>
  <c r="L3" i="340" l="1"/>
  <c r="M2" i="340"/>
  <c r="BG3" i="439"/>
  <c r="BF3" i="439"/>
  <c r="AR3" i="439" s="1"/>
  <c r="M3" i="340" l="1"/>
  <c r="N2" i="340"/>
  <c r="AS3" i="439"/>
  <c r="BC3" i="439"/>
  <c r="BD3" i="439"/>
  <c r="AQ3" i="439"/>
  <c r="BJ3" i="439"/>
  <c r="BB3" i="439"/>
  <c r="BA3" i="439"/>
  <c r="N3" i="340" l="1"/>
  <c r="O2" i="340"/>
  <c r="AT3" i="439"/>
  <c r="BE3" i="439"/>
  <c r="O3" i="340" l="1"/>
  <c r="P2" i="340"/>
  <c r="A6" i="347"/>
  <c r="A4" i="5"/>
  <c r="A5" i="5"/>
  <c r="A6" i="5"/>
  <c r="E6" i="5"/>
  <c r="G6" i="5" s="1"/>
  <c r="E5" i="5"/>
  <c r="G5" i="5" s="1"/>
  <c r="E4" i="5"/>
  <c r="G4" i="5" s="1"/>
  <c r="E3" i="5"/>
  <c r="S4" i="337"/>
  <c r="E3" i="337"/>
  <c r="O3" i="337" s="1"/>
  <c r="N3" i="439"/>
  <c r="P3" i="439" s="1"/>
  <c r="P3" i="340" l="1"/>
  <c r="Q2" i="340"/>
  <c r="I4" i="5"/>
  <c r="I5" i="5"/>
  <c r="I6" i="5"/>
  <c r="L3" i="439"/>
  <c r="R2" i="340" l="1"/>
  <c r="Q3" i="340"/>
  <c r="H6" i="5"/>
  <c r="H5" i="5"/>
  <c r="S3" i="439"/>
  <c r="H4" i="5"/>
  <c r="S2" i="340" l="1"/>
  <c r="R3" i="340"/>
  <c r="T2" i="340" l="1"/>
  <c r="S3" i="340"/>
  <c r="T3" i="340" l="1"/>
  <c r="U2" i="340"/>
  <c r="A4" i="430"/>
  <c r="A3" i="430"/>
  <c r="V2" i="340" l="1"/>
  <c r="U3" i="340"/>
  <c r="G6" i="348"/>
  <c r="F6" i="348"/>
  <c r="E6" i="348"/>
  <c r="D6" i="348"/>
  <c r="H5" i="348"/>
  <c r="A5" i="348"/>
  <c r="H4" i="348"/>
  <c r="A4" i="348"/>
  <c r="H3" i="348"/>
  <c r="A3" i="348"/>
  <c r="H2" i="348"/>
  <c r="A2" i="348"/>
  <c r="E29" i="366"/>
  <c r="A28" i="366"/>
  <c r="G27" i="366"/>
  <c r="H27" i="366" s="1"/>
  <c r="D27" i="366"/>
  <c r="F27" i="366" s="1"/>
  <c r="C27" i="366"/>
  <c r="A27" i="366"/>
  <c r="G26" i="366"/>
  <c r="H26" i="366" s="1"/>
  <c r="D26" i="366"/>
  <c r="F26" i="366" s="1"/>
  <c r="C26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A10" i="366"/>
  <c r="D6" i="366"/>
  <c r="F5" i="366"/>
  <c r="H6" i="347"/>
  <c r="L6" i="347"/>
  <c r="L5" i="347"/>
  <c r="A5" i="347"/>
  <c r="L4" i="347"/>
  <c r="A4" i="347"/>
  <c r="A3" i="5"/>
  <c r="E2" i="5"/>
  <c r="F2" i="5" s="1"/>
  <c r="G2" i="5" s="1"/>
  <c r="H2" i="5" s="1"/>
  <c r="I2" i="5" s="1"/>
  <c r="C2" i="5"/>
  <c r="A4" i="337"/>
  <c r="A3" i="337"/>
  <c r="AV11" i="328"/>
  <c r="AT10" i="328"/>
  <c r="AU10" i="328" s="1"/>
  <c r="AS10" i="328"/>
  <c r="AR10" i="328"/>
  <c r="AQ10" i="328"/>
  <c r="AP10" i="328"/>
  <c r="AO10" i="328"/>
  <c r="AN10" i="328"/>
  <c r="AM10" i="328"/>
  <c r="AL10" i="328"/>
  <c r="AK10" i="328"/>
  <c r="A10" i="328"/>
  <c r="AT9" i="328"/>
  <c r="AU9" i="328" s="1"/>
  <c r="AS9" i="328"/>
  <c r="AR9" i="328"/>
  <c r="AQ9" i="328"/>
  <c r="AP9" i="328"/>
  <c r="AO9" i="328"/>
  <c r="AN9" i="328"/>
  <c r="AM9" i="328"/>
  <c r="AL9" i="328"/>
  <c r="AK9" i="328"/>
  <c r="A9" i="328"/>
  <c r="AT8" i="328"/>
  <c r="AU8" i="328" s="1"/>
  <c r="AS8" i="328"/>
  <c r="AR8" i="328"/>
  <c r="AQ8" i="328"/>
  <c r="AP8" i="328"/>
  <c r="AO8" i="328"/>
  <c r="AN8" i="328"/>
  <c r="AM8" i="328"/>
  <c r="AL8" i="328"/>
  <c r="AK8" i="328"/>
  <c r="A8" i="328"/>
  <c r="AT7" i="328"/>
  <c r="AU7" i="328" s="1"/>
  <c r="AS7" i="328"/>
  <c r="AR7" i="328"/>
  <c r="AQ7" i="328"/>
  <c r="AP7" i="328"/>
  <c r="AO7" i="328"/>
  <c r="AN7" i="328"/>
  <c r="AM7" i="328"/>
  <c r="AL7" i="328"/>
  <c r="AK7" i="328"/>
  <c r="A7" i="328"/>
  <c r="AT6" i="328"/>
  <c r="AU6" i="328" s="1"/>
  <c r="AS6" i="328"/>
  <c r="AR6" i="328"/>
  <c r="AQ6" i="328"/>
  <c r="AP6" i="328"/>
  <c r="AO6" i="328"/>
  <c r="AN6" i="328"/>
  <c r="AM6" i="328"/>
  <c r="AL6" i="328"/>
  <c r="AK6" i="328"/>
  <c r="A6" i="328"/>
  <c r="AX5" i="328"/>
  <c r="AT5" i="328"/>
  <c r="AU5" i="328" s="1"/>
  <c r="AS5" i="328"/>
  <c r="AR5" i="328"/>
  <c r="AQ5" i="328"/>
  <c r="AP5" i="328"/>
  <c r="AO5" i="328"/>
  <c r="AN5" i="328"/>
  <c r="AM5" i="328"/>
  <c r="AL5" i="328"/>
  <c r="AK5" i="328"/>
  <c r="AS4" i="328"/>
  <c r="AR4" i="328"/>
  <c r="AQ4" i="328"/>
  <c r="AP4" i="328"/>
  <c r="AO4" i="328"/>
  <c r="AN4" i="328"/>
  <c r="AL4" i="328"/>
  <c r="AK4" i="328"/>
  <c r="AR5" i="340"/>
  <c r="AQ5" i="340"/>
  <c r="AP5" i="340"/>
  <c r="AO5" i="340"/>
  <c r="B5" i="340"/>
  <c r="A5" i="340"/>
  <c r="AQ4" i="340"/>
  <c r="AP4" i="340"/>
  <c r="B4" i="340"/>
  <c r="K4" i="430"/>
  <c r="J4" i="430"/>
  <c r="I4" i="430"/>
  <c r="K3" i="430"/>
  <c r="J3" i="430"/>
  <c r="I3" i="430"/>
  <c r="L3" i="430" s="1"/>
  <c r="W2" i="340" l="1"/>
  <c r="V3" i="340"/>
  <c r="H6" i="348"/>
  <c r="AK11" i="328"/>
  <c r="AO11" i="328"/>
  <c r="I8" i="347"/>
  <c r="I1" i="347"/>
  <c r="M6" i="347"/>
  <c r="I2" i="347"/>
  <c r="K8" i="347"/>
  <c r="K2" i="347"/>
  <c r="K1" i="347"/>
  <c r="H5" i="347"/>
  <c r="J2" i="347"/>
  <c r="H4" i="347"/>
  <c r="J8" i="347"/>
  <c r="J1" i="347"/>
  <c r="AS11" i="328"/>
  <c r="AL11" i="328"/>
  <c r="AP11" i="328"/>
  <c r="AT11" i="328"/>
  <c r="AN11" i="328"/>
  <c r="AR11" i="328"/>
  <c r="AM11" i="328"/>
  <c r="AQ11" i="328"/>
  <c r="AU11" i="328"/>
  <c r="F10" i="366"/>
  <c r="L4" i="430"/>
  <c r="Y3" i="439"/>
  <c r="AS4" i="340"/>
  <c r="AU4" i="340" s="1"/>
  <c r="AS5" i="340"/>
  <c r="AU5" i="340" s="1"/>
  <c r="F29" i="366"/>
  <c r="W3" i="340" l="1"/>
  <c r="X2" i="340"/>
  <c r="Z3" i="439"/>
  <c r="AU3" i="439"/>
  <c r="E4" i="366"/>
  <c r="F4" i="366" s="1"/>
  <c r="M4" i="347"/>
  <c r="O3" i="439"/>
  <c r="T3" i="439" s="1"/>
  <c r="M5" i="347"/>
  <c r="H2" i="347"/>
  <c r="H1" i="347"/>
  <c r="H8" i="347"/>
  <c r="Q4" i="337"/>
  <c r="M4" i="337"/>
  <c r="O4" i="337"/>
  <c r="N4" i="337"/>
  <c r="X3" i="340" l="1"/>
  <c r="Y2" i="340"/>
  <c r="BQ3" i="439"/>
  <c r="U3" i="439"/>
  <c r="Q3" i="439"/>
  <c r="R3" i="439" s="1"/>
  <c r="L8" i="347"/>
  <c r="F9" i="366"/>
  <c r="G3" i="5"/>
  <c r="F6" i="366"/>
  <c r="P4" i="337"/>
  <c r="Q3" i="337"/>
  <c r="L3" i="337"/>
  <c r="S3" i="337"/>
  <c r="P3" i="337"/>
  <c r="N3" i="337"/>
  <c r="M3" i="337"/>
  <c r="Y3" i="340" l="1"/>
  <c r="Z2" i="340"/>
  <c r="AB3" i="439"/>
  <c r="I3" i="5"/>
  <c r="F11" i="366"/>
  <c r="R3" i="337"/>
  <c r="AA3" i="439" s="1"/>
  <c r="Z3" i="340" l="1"/>
  <c r="AA2" i="340"/>
  <c r="AJ3" i="439"/>
  <c r="AL3" i="439"/>
  <c r="H3" i="5"/>
  <c r="T4" i="337"/>
  <c r="T3" i="337"/>
  <c r="AK3" i="439" s="1"/>
  <c r="AA3" i="340" l="1"/>
  <c r="AB2" i="340"/>
  <c r="AV3" i="439"/>
  <c r="AW3" i="439" s="1"/>
  <c r="AB3" i="340" l="1"/>
  <c r="AC2" i="340"/>
  <c r="AD2" i="340" l="1"/>
  <c r="AC3" i="340"/>
  <c r="AX3" i="439"/>
  <c r="AY3" i="439"/>
  <c r="AE2" i="340" l="1"/>
  <c r="AD3" i="340"/>
  <c r="AZ3" i="439"/>
  <c r="AF2" i="340" l="1"/>
  <c r="AE3" i="340"/>
  <c r="BR3" i="439"/>
  <c r="BM3" i="439"/>
  <c r="AG2" i="340" l="1"/>
  <c r="AF3" i="340"/>
  <c r="AH2" i="340" l="1"/>
  <c r="AG3" i="340"/>
  <c r="AI2" i="340" l="1"/>
  <c r="AH3" i="340"/>
  <c r="AJ2" i="340" l="1"/>
  <c r="AI3" i="340"/>
  <c r="AK2" i="340" l="1"/>
  <c r="AJ3" i="340"/>
  <c r="AK3" i="340" l="1"/>
  <c r="AL2" i="340"/>
  <c r="AM2" i="340" l="1"/>
  <c r="AL3" i="340"/>
  <c r="AM3" i="340" l="1"/>
  <c r="AN2" i="340"/>
  <c r="AN3" i="3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2" authorId="0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<sst xmlns="http://schemas.openxmlformats.org/spreadsheetml/2006/main" count="415" uniqueCount="221">
  <si>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</si>
  <si>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</si>
  <si>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</si>
  <si>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</si>
  <si>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</si>
  <si>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</si>
  <si>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</si>
  <si>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</si>
  <si>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</si>
  <si>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</si>
  <si>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</si>
  <si>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</si>
  <si>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</si>
  <si>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</si>
  <si>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</si>
  <si>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</si>
  <si>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</si>
  <si>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</si>
  <si>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</si>
  <si>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</si>
  <si>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Staff</t>
  </si>
  <si>
    <t>No</t>
  </si>
  <si>
    <t>Hour</t>
  </si>
  <si>
    <t>Overtime taxable</t>
  </si>
  <si>
    <t>OT.Untaxable</t>
  </si>
  <si>
    <t>Emp. Code</t>
  </si>
  <si>
    <t>Full name</t>
  </si>
  <si>
    <t>Department</t>
  </si>
  <si>
    <t>VND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</si>
  <si>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</si>
  <si>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</si>
  <si>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</si>
  <si>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</si>
  <si>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</si>
  <si>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</si>
  <si>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</si>
  <si>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</si>
  <si>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</si>
  <si>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TT</t>
  </si>
  <si>
    <t>Tổng ngày Off</t>
  </si>
  <si>
    <t>Total days/month</t>
  </si>
  <si>
    <t>Compensation</t>
  </si>
  <si>
    <t>OT
Sunday</t>
  </si>
  <si>
    <t>OT
Holiday</t>
  </si>
  <si>
    <t>Bộ Phận</t>
  </si>
  <si>
    <t>Mon</t>
  </si>
  <si>
    <t>Tue</t>
  </si>
  <si>
    <t>Wed</t>
  </si>
  <si>
    <t>Thu</t>
  </si>
  <si>
    <t>Fri</t>
  </si>
  <si>
    <t>Sat</t>
  </si>
  <si>
    <t>Sun</t>
  </si>
  <si>
    <t>REMARK</t>
  </si>
  <si>
    <t xml:space="preserve">Joining date
</t>
  </si>
  <si>
    <t>Self-
deduction</t>
  </si>
  <si>
    <t xml:space="preserve">Total
payment
(VND)
</t>
  </si>
  <si>
    <t>Overtime payment 
per hour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</si>
  <si>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</si>
  <si>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</si>
  <si>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</si>
  <si>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</si>
  <si>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</si>
  <si>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</si>
  <si>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</si>
  <si>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</si>
  <si>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</si>
  <si>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</si>
  <si>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</si>
  <si>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</si>
  <si>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</si>
  <si>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</si>
  <si>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</si>
  <si>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</si>
  <si>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</si>
  <si>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</si>
  <si>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</si>
  <si>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</si>
  <si>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</si>
  <si>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</si>
  <si>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PP.Shipper</t>
  </si>
  <si>
    <t>Thâm niên CASHIER bổ sung</t>
  </si>
  <si>
    <t>1/2AL</t>
  </si>
  <si>
    <t>GV - PP. Center</t>
  </si>
  <si>
    <t>Gross</t>
  </si>
  <si>
    <t>ALs</t>
  </si>
  <si>
    <t xml:space="preserve">Thâm niên CASHIER 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</si>
  <si>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</si>
  <si>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</si>
  <si>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</si>
  <si>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</si>
  <si>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</si>
  <si>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</si>
  <si>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</si>
  <si>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</si>
  <si>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</si>
  <si>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</si>
  <si>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</si>
  <si>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</si>
  <si>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</si>
  <si>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</si>
  <si>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</si>
  <si>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</si>
  <si>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</si>
  <si>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</si>
  <si>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</si>
  <si>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</si>
  <si>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</si>
  <si>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</si>
  <si>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</si>
  <si>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</si>
  <si>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</si>
  <si>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</si>
  <si>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</si>
  <si>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</si>
  <si>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</si>
  <si>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</si>
  <si>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</si>
  <si>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</si>
  <si>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</si>
  <si>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</si>
  <si>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</si>
  <si>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</si>
  <si>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</si>
  <si>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</si>
  <si>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</si>
  <si>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</si>
  <si>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</si>
  <si>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</si>
  <si>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</si>
  <si>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</si>
  <si>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</si>
  <si>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</si>
  <si>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</si>
  <si>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</si>
  <si>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</si>
  <si>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</si>
  <si>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</si>
  <si>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</si>
  <si>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</si>
  <si>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</si>
  <si>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</si>
  <si>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</si>
  <si>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</si>
  <si>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</si>
  <si>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</si>
  <si>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</si>
  <si>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</si>
  <si>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</si>
  <si>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</si>
  <si>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</si>
  <si>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</si>
  <si>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</si>
  <si>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</si>
  <si>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</si>
  <si>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</si>
  <si>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</si>
  <si>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</si>
  <si>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</si>
  <si>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>PVT2500113</t>
  </si>
  <si>
    <t>PVT2500114</t>
  </si>
  <si>
    <t>PVT2500115</t>
  </si>
  <si>
    <t>PVT2500116</t>
  </si>
  <si>
    <t>PVT2500117</t>
  </si>
  <si>
    <t>PVT - Store Manager</t>
  </si>
  <si>
    <t>Phụ cấp điều phối</t>
  </si>
  <si>
    <t>Ngày công tính lương</t>
  </si>
  <si>
    <t/>
  </si>
  <si>
    <t>Actual 
Basic Salary current month</t>
  </si>
  <si>
    <t xml:space="preserve">Efficiency salary Advance current month </t>
  </si>
  <si>
    <t>Tham gia BHXH</t>
  </si>
  <si>
    <t>Đối tượng tính thuế TNCN</t>
  </si>
  <si>
    <t>Tham gia Công đoàn</t>
  </si>
  <si>
    <t>Tham gia Tang chế</t>
  </si>
  <si>
    <t>Gift (10%)</t>
  </si>
  <si>
    <t>Nguyen Van A</t>
  </si>
  <si>
    <t>Nguyen Van B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</si>
  <si>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</si>
  <si>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</si>
  <si>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</si>
  <si>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</si>
  <si>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</si>
  <si>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</si>
  <si>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</si>
  <si>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>Số đám tang phát sinh trong kỳ</t>
  </si>
  <si>
    <t>Truy thu BHYT 3%</t>
  </si>
  <si>
    <t>Truy thu BHYT 1.5%</t>
  </si>
  <si>
    <t>Nguyễn Thị Hà</t>
  </si>
  <si>
    <t>Phùng Mạnh Hà</t>
  </si>
  <si>
    <t>Nguyễn Đức Khánh</t>
  </si>
  <si>
    <t>Nguyễn Sơn Tùng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</si>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</sst>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4" formatCode="_-* #,##0.0\ _₫_-;\-* #,##0.0\ _₫_-;_-* &quot;-&quot;??\ _₫_-;_-@_-"/>
    <numFmt numFmtId="176" formatCode="_(* #,##0.0_);_(* \(#,##0.0\);_(* &quot;-&quot;??_);_(@_)"/>
    <numFmt numFmtId="177" formatCode="_-* #,##0.00_-;\-* #,##0.00_-;_-* &quot;-&quot;??_-;_-@_-"/>
    <numFmt numFmtId="178" formatCode="[$-409]d\-mmm\-yy;@"/>
    <numFmt numFmtId="179" formatCode="_-* #,##0_-;\-* #,##0_-;_-* &quot;-&quot;??_-;_-@_-"/>
    <numFmt numFmtId="180" formatCode="&quot; &quot;#,##0.00&quot; &quot;;&quot; (&quot;#,##0.00&quot;)&quot;;&quot; -&quot;00&quot; &quot;;&quot; &quot;@&quot; &quot;"/>
    <numFmt numFmtId="181" formatCode="dd"/>
    <numFmt numFmtId="182" formatCode="_(* #,##0_);_(* \(#,##0\);_(* &quot;-&quot;?_);_(@_)"/>
    <numFmt numFmtId="184" formatCode="[$-1010000]d/m/yyyy;@"/>
    <numFmt numFmtId="185" formatCode="&quot; &quot;#,##0&quot; &quot;;&quot; (&quot;#,##0&quot;)&quot;;&quot; -&quot;00&quot; &quot;;&quot; &quot;@&quot; &quot;"/>
    <numFmt numFmtId="186" formatCode="dd\/mm\/yyyy"/>
    <numFmt numFmtId="187" formatCode="&quot; &quot;#,##0.0&quot; &quot;;&quot; (&quot;#,##0.0&quot;)&quot;;&quot; -&quot;00.0&quot; &quot;;&quot; &quot;@&quot; &quot;"/>
    <numFmt numFmtId="188" formatCode="0.0%"/>
    <numFmt numFmtId="189" formatCode="&quot; &quot;#,##0&quot; &quot;;&quot;-&quot;#,##0&quot; &quot;;&quot; -&quot;00&quot; &quot;;&quot; &quot;@&quot; &quot;"/>
  </numFmts>
  <fonts count="33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b/>
      <sz val="10"/>
      <color indexed="9"/>
      <name val="Times New Roman"/>
      <family val="1"/>
      <charset val="1"/>
    </font>
    <font>
      <b/>
      <sz val="10"/>
      <color indexed="8"/>
      <name val="Times New Roman"/>
      <family val="1"/>
      <charset val="1"/>
    </font>
    <font>
      <b/>
      <sz val="10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b/>
      <sz val="9"/>
      <color indexed="8"/>
      <name val="Times New Roman"/>
      <family val="1"/>
      <charset val="1"/>
    </font>
    <font>
      <sz val="9"/>
      <name val="Times New Roman"/>
      <family val="1"/>
      <charset val="1"/>
    </font>
    <font>
      <b/>
      <sz val="7"/>
      <color indexed="8"/>
      <name val="Times New Roman"/>
      <family val="1"/>
      <charset val="1"/>
    </font>
    <font>
      <i/>
      <sz val="7"/>
      <color indexed="8"/>
      <name val="Times New Roman"/>
      <family val="1"/>
      <charset val="163"/>
    </font>
    <font>
      <i/>
      <sz val="10"/>
      <color indexed="8"/>
      <name val="Times New Roman"/>
      <family val="1"/>
      <charset val="163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b/>
      <sz val="8"/>
      <name val="Times New Roman"/>
      <family val="1"/>
    </font>
    <font>
      <sz val="11"/>
      <color theme="0"/>
      <name val="Times New Roman"/>
      <family val="2"/>
    </font>
    <font>
      <sz val="10"/>
      <color rgb="FFFF0000"/>
      <name val="Times New Roman"/>
      <family val="1"/>
      <charset val="1"/>
    </font>
    <font>
      <sz val="10"/>
      <name val="Times New Roman"/>
      <family val="1"/>
    </font>
    <font>
      <b/>
      <sz val="11"/>
      <color rgb="FFFF0000"/>
      <name val="Times New Roman"/>
      <family val="1"/>
      <charset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sz val="12"/>
      <name val="Cambria"/>
      <family val="2"/>
      <scheme val="major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name val="Arial"/>
      <family val="2"/>
    </font>
    <font>
      <sz val="10"/>
      <color theme="1"/>
      <name val="Times New Roman"/>
      <family val="1"/>
      <charset val="1"/>
    </font>
    <font>
      <b/>
      <sz val="7"/>
      <color indexed="8"/>
      <name val="Times New Roman"/>
      <family val="1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b/>
      <sz val="12"/>
      <color rgb="FF002060"/>
      <name val="Times New Roman"/>
      <family val="1"/>
    </font>
    <font>
      <b/>
      <sz val="10"/>
      <color indexed="8"/>
      <name val="Times New Roman"/>
      <family val="1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b/>
      <sz val="14"/>
      <name val="Times New Roman"/>
      <family val="1"/>
    </font>
    <font>
      <sz val="11"/>
      <color rgb="FF000000"/>
      <name val="Calibri"/>
      <family val="2"/>
    </font>
    <font>
      <sz val="6"/>
      <name val="Cambria"/>
      <family val="2"/>
      <scheme val="major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b/>
      <sz val="10"/>
      <name val="Mangal"/>
      <family val="1"/>
    </font>
    <font>
      <b/>
      <sz val="12"/>
      <color rgb="FF000000"/>
      <name val="Times New Roman"/>
      <family val="1"/>
    </font>
    <font>
      <sz val="12"/>
      <color rgb="FF374151"/>
      <name val="Arial"/>
      <family val="2"/>
    </font>
    <font>
      <b/>
      <sz val="12"/>
      <color rgb="FF00B0F0"/>
      <name val="Times New Roman"/>
      <family val="1"/>
    </font>
    <font>
      <u/>
      <sz val="11"/>
      <name val="Times New Roman"/>
      <family val="1"/>
    </font>
    <font>
      <sz val="10"/>
      <color rgb="FF00B0F0"/>
      <name val="Mangal"/>
      <family val="2"/>
    </font>
    <font>
      <b/>
      <sz val="11"/>
      <color rgb="FF00B0F0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b/>
      <sz val="7"/>
      <name val="Times New Roman"/>
      <family val="1"/>
    </font>
    <font>
      <b/>
      <sz val="10"/>
      <color rgb="FF00B0F0"/>
      <name val="Times New Roman"/>
      <family val="1"/>
    </font>
  </fonts>
  <fills count="38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indexed="29"/>
        <bgColor indexed="53"/>
      </patternFill>
    </fill>
    <fill>
      <patternFill patternType="solid">
        <fgColor indexed="26"/>
        <bgColor indexed="9"/>
      </patternFill>
    </fill>
    <fill>
      <patternFill patternType="solid">
        <fgColor indexed="41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92D050"/>
        <bgColor indexed="35"/>
      </patternFill>
    </fill>
    <fill>
      <patternFill patternType="solid">
        <fgColor rgb="FFFFFF0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FFE0C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FCE4D6"/>
      </patternFill>
    </fill>
    <fill>
      <patternFill patternType="solid">
        <fgColor rgb="FFFF0066"/>
        <bgColor indexed="64"/>
      </patternFill>
    </fill>
    <fill>
      <patternFill patternType="solid">
        <fgColor rgb="FFFF0066"/>
        <bgColor rgb="FFFFFFFF"/>
      </patternFill>
    </fill>
  </fills>
  <borders count="10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034">
    <xf numFmtId="0" fontId="0" fillId="0" borderId="0"/>
    <xf numFmtId="166" fontId="238" fillId="0" borderId="0" applyFill="0" applyBorder="0" applyAlignment="0" applyProtection="0"/>
    <xf numFmtId="165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166" fontId="238" fillId="0" borderId="0" applyFill="0" applyBorder="0" applyAlignment="0" applyProtection="0"/>
    <xf numFmtId="0" fontId="239" fillId="2" borderId="1">
      <alignment horizontal="center" vertical="center"/>
    </xf>
    <xf numFmtId="0" fontId="245" fillId="3" borderId="0" applyNumberFormat="0" applyBorder="0" applyAlignment="0" applyProtection="0"/>
    <xf numFmtId="0" fontId="255" fillId="4" borderId="0" applyNumberFormat="0" applyBorder="0" applyAlignment="0" applyProtection="0"/>
    <xf numFmtId="0" fontId="264" fillId="5" borderId="0" applyNumberFormat="0" applyBorder="0" applyAlignment="0" applyProtection="0"/>
    <xf numFmtId="0" fontId="264" fillId="6" borderId="0" applyNumberFormat="0" applyBorder="0" applyAlignment="0" applyProtection="0"/>
    <xf numFmtId="0" fontId="264" fillId="7" borderId="0" applyNumberFormat="0" applyBorder="0" applyAlignment="0" applyProtection="0"/>
    <xf numFmtId="0" fontId="264" fillId="8" borderId="0" applyNumberFormat="0" applyBorder="0" applyAlignment="0" applyProtection="0"/>
    <xf numFmtId="0" fontId="265" fillId="0" borderId="0"/>
    <xf numFmtId="0" fontId="240" fillId="0" borderId="0" applyNumberFormat="0" applyFill="0" applyBorder="0" applyAlignment="0" applyProtection="0"/>
    <xf numFmtId="0" fontId="241" fillId="0" borderId="0"/>
    <xf numFmtId="0" fontId="242" fillId="0" borderId="0"/>
    <xf numFmtId="0" fontId="243" fillId="0" borderId="0"/>
    <xf numFmtId="0" fontId="241" fillId="0" borderId="0"/>
    <xf numFmtId="0" fontId="244" fillId="0" borderId="0"/>
    <xf numFmtId="0" fontId="245" fillId="0" borderId="0"/>
    <xf numFmtId="0" fontId="241" fillId="0" borderId="0"/>
    <xf numFmtId="0" fontId="246" fillId="0" borderId="0"/>
    <xf numFmtId="0" fontId="244" fillId="0" borderId="0"/>
    <xf numFmtId="0" fontId="247" fillId="0" borderId="0"/>
    <xf numFmtId="0" fontId="248" fillId="0" borderId="0"/>
    <xf numFmtId="0" fontId="237" fillId="0" borderId="0"/>
    <xf numFmtId="43" fontId="237" fillId="0" borderId="0" applyFont="0" applyFill="0" applyBorder="0" applyAlignment="0" applyProtection="0"/>
    <xf numFmtId="0" fontId="275" fillId="0" borderId="0"/>
    <xf numFmtId="0" fontId="276" fillId="0" borderId="0"/>
    <xf numFmtId="43" fontId="276" fillId="0" borderId="0" applyFont="0" applyFill="0" applyBorder="0" applyAlignment="0" applyProtection="0"/>
    <xf numFmtId="0" fontId="236" fillId="0" borderId="0"/>
    <xf numFmtId="0" fontId="236" fillId="14" borderId="0" applyNumberFormat="0" applyBorder="0" applyAlignment="0" applyProtection="0"/>
    <xf numFmtId="0" fontId="235" fillId="0" borderId="0"/>
    <xf numFmtId="0" fontId="276" fillId="0" borderId="0"/>
    <xf numFmtId="0" fontId="235" fillId="0" borderId="0"/>
    <xf numFmtId="0" fontId="235" fillId="0" borderId="0"/>
    <xf numFmtId="164" fontId="235" fillId="0" borderId="0" applyFont="0" applyFill="0" applyBorder="0" applyAlignment="0" applyProtection="0"/>
    <xf numFmtId="43" fontId="235" fillId="0" borderId="0" applyFont="0" applyFill="0" applyBorder="0" applyAlignment="0" applyProtection="0"/>
    <xf numFmtId="0" fontId="282" fillId="0" borderId="0"/>
    <xf numFmtId="0" fontId="271" fillId="16" borderId="0" applyNumberFormat="0" applyBorder="0" applyAlignment="0" applyProtection="0"/>
    <xf numFmtId="0" fontId="271" fillId="15" borderId="0" applyNumberFormat="0" applyBorder="0" applyAlignment="0" applyProtection="0"/>
    <xf numFmtId="0" fontId="271" fillId="13" borderId="0" applyNumberFormat="0" applyBorder="0" applyAlignment="0" applyProtection="0"/>
    <xf numFmtId="0" fontId="271" fillId="17" borderId="0" applyNumberFormat="0" applyBorder="0" applyAlignment="0" applyProtection="0"/>
    <xf numFmtId="0" fontId="282" fillId="14" borderId="0" applyNumberFormat="0" applyBorder="0" applyAlignment="0" applyProtection="0"/>
    <xf numFmtId="0" fontId="283" fillId="0" borderId="0"/>
    <xf numFmtId="43" fontId="234" fillId="0" borderId="0" applyFont="0" applyFill="0" applyBorder="0" applyAlignment="0" applyProtection="0"/>
    <xf numFmtId="0" fontId="233" fillId="0" borderId="0"/>
    <xf numFmtId="43" fontId="233" fillId="0" borderId="0" applyFont="0" applyFill="0" applyBorder="0" applyAlignment="0" applyProtection="0"/>
    <xf numFmtId="0" fontId="275" fillId="0" borderId="0"/>
    <xf numFmtId="0" fontId="232" fillId="0" borderId="0"/>
    <xf numFmtId="43" fontId="232" fillId="0" borderId="0" applyFont="0" applyFill="0" applyBorder="0" applyAlignment="0" applyProtection="0"/>
    <xf numFmtId="0" fontId="231" fillId="0" borderId="0"/>
    <xf numFmtId="0" fontId="230" fillId="0" borderId="0"/>
    <xf numFmtId="43" fontId="230" fillId="0" borderId="0" applyFont="0" applyFill="0" applyBorder="0" applyAlignment="0" applyProtection="0"/>
    <xf numFmtId="0" fontId="284" fillId="0" borderId="0"/>
    <xf numFmtId="0" fontId="230" fillId="0" borderId="0"/>
    <xf numFmtId="43" fontId="230" fillId="0" borderId="0" applyFont="0" applyFill="0" applyBorder="0" applyAlignment="0" applyProtection="0"/>
    <xf numFmtId="43" fontId="229" fillId="0" borderId="0" applyFont="0" applyFill="0" applyBorder="0" applyAlignment="0" applyProtection="0"/>
    <xf numFmtId="0" fontId="228" fillId="0" borderId="0"/>
    <xf numFmtId="0" fontId="227" fillId="0" borderId="0"/>
    <xf numFmtId="43" fontId="227" fillId="0" borderId="0" applyFont="0" applyFill="0" applyBorder="0" applyAlignment="0" applyProtection="0"/>
    <xf numFmtId="43" fontId="226" fillId="0" borderId="0" applyFont="0" applyFill="0" applyBorder="0" applyAlignment="0" applyProtection="0"/>
    <xf numFmtId="0" fontId="225" fillId="0" borderId="0"/>
    <xf numFmtId="164" fontId="225" fillId="0" borderId="0" applyFont="0" applyFill="0" applyBorder="0" applyAlignment="0" applyProtection="0"/>
    <xf numFmtId="43" fontId="225" fillId="0" borderId="0" applyFont="0" applyFill="0" applyBorder="0" applyAlignment="0" applyProtection="0"/>
    <xf numFmtId="0" fontId="225" fillId="0" borderId="0"/>
    <xf numFmtId="0" fontId="224" fillId="0" borderId="0"/>
    <xf numFmtId="0" fontId="223" fillId="0" borderId="0"/>
    <xf numFmtId="0" fontId="288" fillId="0" borderId="0">
      <alignment vertical="center"/>
    </xf>
    <xf numFmtId="177" fontId="288" fillId="0" borderId="0" applyFont="0" applyFill="0" applyBorder="0" applyAlignment="0" applyProtection="0">
      <alignment vertical="center"/>
    </xf>
    <xf numFmtId="0" fontId="222" fillId="0" borderId="0"/>
    <xf numFmtId="43" fontId="222" fillId="0" borderId="0" applyFont="0" applyFill="0" applyBorder="0" applyAlignment="0" applyProtection="0"/>
    <xf numFmtId="0" fontId="221" fillId="0" borderId="0"/>
    <xf numFmtId="0" fontId="220" fillId="0" borderId="0"/>
    <xf numFmtId="43" fontId="220" fillId="0" borderId="0" applyFont="0" applyFill="0" applyBorder="0" applyAlignment="0" applyProtection="0"/>
    <xf numFmtId="0" fontId="220" fillId="0" borderId="0"/>
    <xf numFmtId="164" fontId="220" fillId="0" borderId="0" applyFont="0" applyFill="0" applyBorder="0" applyAlignment="0" applyProtection="0"/>
    <xf numFmtId="43" fontId="220" fillId="0" borderId="0" applyFont="0" applyFill="0" applyBorder="0" applyAlignment="0" applyProtection="0"/>
    <xf numFmtId="0" fontId="220" fillId="0" borderId="0"/>
    <xf numFmtId="0" fontId="219" fillId="0" borderId="0"/>
    <xf numFmtId="164" fontId="219" fillId="0" borderId="0" applyFont="0" applyFill="0" applyBorder="0" applyAlignment="0" applyProtection="0"/>
    <xf numFmtId="43" fontId="219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7" fillId="0" borderId="0"/>
    <xf numFmtId="43" fontId="217" fillId="0" borderId="0" applyFont="0" applyFill="0" applyBorder="0" applyAlignment="0" applyProtection="0"/>
    <xf numFmtId="0" fontId="289" fillId="0" borderId="0"/>
    <xf numFmtId="43" fontId="216" fillId="0" borderId="0" applyFont="0" applyFill="0" applyBorder="0" applyAlignment="0" applyProtection="0"/>
    <xf numFmtId="0" fontId="215" fillId="0" borderId="0"/>
    <xf numFmtId="0" fontId="214" fillId="0" borderId="0"/>
    <xf numFmtId="43" fontId="214" fillId="0" borderId="0" applyFont="0" applyFill="0" applyBorder="0" applyAlignment="0" applyProtection="0"/>
    <xf numFmtId="0" fontId="213" fillId="0" borderId="0"/>
    <xf numFmtId="43" fontId="213" fillId="0" borderId="0" applyFont="0" applyFill="0" applyBorder="0" applyAlignment="0" applyProtection="0"/>
    <xf numFmtId="0" fontId="213" fillId="0" borderId="0"/>
    <xf numFmtId="164" fontId="213" fillId="0" borderId="0" applyFont="0" applyFill="0" applyBorder="0" applyAlignment="0" applyProtection="0"/>
    <xf numFmtId="43" fontId="213" fillId="0" borderId="0" applyFont="0" applyFill="0" applyBorder="0" applyAlignment="0" applyProtection="0"/>
    <xf numFmtId="0" fontId="213" fillId="0" borderId="0"/>
    <xf numFmtId="0" fontId="292" fillId="0" borderId="0"/>
    <xf numFmtId="43" fontId="212" fillId="0" borderId="0" applyFont="0" applyFill="0" applyBorder="0" applyAlignment="0" applyProtection="0"/>
    <xf numFmtId="0" fontId="211" fillId="0" borderId="0"/>
    <xf numFmtId="0" fontId="210" fillId="0" borderId="0"/>
    <xf numFmtId="43" fontId="210" fillId="0" borderId="0" applyFont="0" applyFill="0" applyBorder="0" applyAlignment="0" applyProtection="0"/>
    <xf numFmtId="0" fontId="209" fillId="0" borderId="0"/>
    <xf numFmtId="164" fontId="209" fillId="0" borderId="0" applyFont="0" applyFill="0" applyBorder="0" applyAlignment="0" applyProtection="0"/>
    <xf numFmtId="43" fontId="209" fillId="0" borderId="0" applyFont="0" applyFill="0" applyBorder="0" applyAlignment="0" applyProtection="0"/>
    <xf numFmtId="0" fontId="209" fillId="0" borderId="0"/>
    <xf numFmtId="0" fontId="208" fillId="0" borderId="0"/>
    <xf numFmtId="0" fontId="207" fillId="0" borderId="0"/>
    <xf numFmtId="0" fontId="206" fillId="0" borderId="0"/>
    <xf numFmtId="164" fontId="206" fillId="0" borderId="0" applyFont="0" applyFill="0" applyBorder="0" applyAlignment="0" applyProtection="0"/>
    <xf numFmtId="43" fontId="206" fillId="0" borderId="0" applyFont="0" applyFill="0" applyBorder="0" applyAlignment="0" applyProtection="0"/>
    <xf numFmtId="0" fontId="206" fillId="0" borderId="0"/>
    <xf numFmtId="0" fontId="205" fillId="0" borderId="0"/>
    <xf numFmtId="164" fontId="205" fillId="0" borderId="0" applyFont="0" applyFill="0" applyBorder="0" applyAlignment="0" applyProtection="0"/>
    <xf numFmtId="43" fontId="205" fillId="0" borderId="0" applyFont="0" applyFill="0" applyBorder="0" applyAlignment="0" applyProtection="0"/>
    <xf numFmtId="0" fontId="205" fillId="0" borderId="0"/>
    <xf numFmtId="0" fontId="204" fillId="0" borderId="0"/>
    <xf numFmtId="43" fontId="204" fillId="0" borderId="0" applyFont="0" applyFill="0" applyBorder="0" applyAlignment="0" applyProtection="0"/>
    <xf numFmtId="0" fontId="293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0" fontId="201" fillId="0" borderId="0"/>
    <xf numFmtId="43" fontId="201" fillId="0" borderId="0" applyFont="0" applyFill="0" applyBorder="0" applyAlignment="0" applyProtection="0"/>
    <xf numFmtId="0" fontId="242" fillId="0" borderId="0"/>
    <xf numFmtId="0" fontId="200" fillId="0" borderId="0"/>
    <xf numFmtId="164" fontId="200" fillId="0" borderId="0" applyFont="0" applyFill="0" applyBorder="0" applyAlignment="0" applyProtection="0"/>
    <xf numFmtId="43" fontId="200" fillId="0" borderId="0" applyFont="0" applyFill="0" applyBorder="0" applyAlignment="0" applyProtection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0" fontId="197" fillId="0" borderId="0"/>
    <xf numFmtId="164" fontId="197" fillId="0" borderId="0" applyFont="0" applyFill="0" applyBorder="0" applyAlignment="0" applyProtection="0"/>
    <xf numFmtId="43" fontId="197" fillId="0" borderId="0" applyFont="0" applyFill="0" applyBorder="0" applyAlignment="0" applyProtection="0"/>
    <xf numFmtId="0" fontId="197" fillId="0" borderId="0"/>
    <xf numFmtId="0" fontId="196" fillId="0" borderId="0"/>
    <xf numFmtId="43" fontId="196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43" fontId="275" fillId="0" borderId="0" applyFont="0" applyFill="0" applyBorder="0" applyAlignment="0" applyProtection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0" fontId="275" fillId="0" borderId="0"/>
    <xf numFmtId="0" fontId="192" fillId="0" borderId="0"/>
    <xf numFmtId="164" fontId="192" fillId="0" borderId="0" applyFont="0" applyFill="0" applyBorder="0" applyAlignment="0" applyProtection="0"/>
    <xf numFmtId="43" fontId="192" fillId="0" borderId="0" applyFont="0" applyFill="0" applyBorder="0" applyAlignment="0" applyProtection="0"/>
    <xf numFmtId="0" fontId="192" fillId="0" borderId="0"/>
    <xf numFmtId="0" fontId="191" fillId="0" borderId="0"/>
    <xf numFmtId="43" fontId="191" fillId="0" borderId="0" applyFont="0" applyFill="0" applyBorder="0" applyAlignment="0" applyProtection="0"/>
    <xf numFmtId="0" fontId="190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295" fillId="0" borderId="0"/>
    <xf numFmtId="0" fontId="190" fillId="0" borderId="0"/>
    <xf numFmtId="0" fontId="189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43" fontId="188" fillId="0" borderId="0" applyFont="0" applyFill="0" applyBorder="0" applyAlignment="0" applyProtection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164" fontId="186" fillId="0" borderId="0" applyFont="0" applyFill="0" applyBorder="0" applyAlignment="0" applyProtection="0"/>
    <xf numFmtId="43" fontId="186" fillId="0" borderId="0" applyFont="0" applyFill="0" applyBorder="0" applyAlignment="0" applyProtection="0"/>
    <xf numFmtId="0" fontId="186" fillId="0" borderId="0"/>
    <xf numFmtId="0" fontId="186" fillId="0" borderId="0"/>
    <xf numFmtId="0" fontId="185" fillId="0" borderId="0"/>
    <xf numFmtId="0" fontId="239" fillId="2" borderId="8">
      <alignment horizontal="center" vertical="center"/>
    </xf>
    <xf numFmtId="0" fontId="184" fillId="0" borderId="0"/>
    <xf numFmtId="0" fontId="183" fillId="0" borderId="0"/>
    <xf numFmtId="0" fontId="183" fillId="0" borderId="0"/>
    <xf numFmtId="43" fontId="183" fillId="0" borderId="0" applyFont="0" applyFill="0" applyBorder="0" applyAlignment="0" applyProtection="0"/>
    <xf numFmtId="0" fontId="182" fillId="0" borderId="0"/>
    <xf numFmtId="0" fontId="181" fillId="0" borderId="0"/>
    <xf numFmtId="0" fontId="180" fillId="0" borderId="0"/>
    <xf numFmtId="164" fontId="180" fillId="0" borderId="0" applyFont="0" applyFill="0" applyBorder="0" applyAlignment="0" applyProtection="0"/>
    <xf numFmtId="43" fontId="180" fillId="0" borderId="0" applyFont="0" applyFill="0" applyBorder="0" applyAlignment="0" applyProtection="0"/>
    <xf numFmtId="0" fontId="180" fillId="0" borderId="0"/>
    <xf numFmtId="0" fontId="180" fillId="0" borderId="0"/>
    <xf numFmtId="0" fontId="179" fillId="0" borderId="0"/>
    <xf numFmtId="0" fontId="178" fillId="0" borderId="0"/>
    <xf numFmtId="0" fontId="178" fillId="0" borderId="0"/>
    <xf numFmtId="43" fontId="178" fillId="0" borderId="0" applyFont="0" applyFill="0" applyBorder="0" applyAlignment="0" applyProtection="0"/>
    <xf numFmtId="0" fontId="177" fillId="0" borderId="0"/>
    <xf numFmtId="164" fontId="177" fillId="0" borderId="0" applyFont="0" applyFill="0" applyBorder="0" applyAlignment="0" applyProtection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43" fontId="175" fillId="0" borderId="0" applyFont="0" applyFill="0" applyBorder="0" applyAlignment="0" applyProtection="0"/>
    <xf numFmtId="0" fontId="175" fillId="0" borderId="0"/>
    <xf numFmtId="0" fontId="175" fillId="0" borderId="0"/>
    <xf numFmtId="0" fontId="174" fillId="0" borderId="0"/>
    <xf numFmtId="0" fontId="173" fillId="0" borderId="0"/>
    <xf numFmtId="0" fontId="173" fillId="0" borderId="0"/>
    <xf numFmtId="43" fontId="173" fillId="0" borderId="0" applyFont="0" applyFill="0" applyBorder="0" applyAlignment="0" applyProtection="0"/>
    <xf numFmtId="0" fontId="172" fillId="0" borderId="0"/>
    <xf numFmtId="164" fontId="172" fillId="0" borderId="0" applyFont="0" applyFill="0" applyBorder="0" applyAlignment="0" applyProtection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43" fontId="170" fillId="0" borderId="0" applyFont="0" applyFill="0" applyBorder="0" applyAlignment="0" applyProtection="0"/>
    <xf numFmtId="0" fontId="170" fillId="0" borderId="0"/>
    <xf numFmtId="0" fontId="170" fillId="0" borderId="0"/>
    <xf numFmtId="0" fontId="169" fillId="0" borderId="0"/>
    <xf numFmtId="164" fontId="169" fillId="0" borderId="0" applyFont="0" applyFill="0" applyBorder="0" applyAlignment="0" applyProtection="0"/>
    <xf numFmtId="0" fontId="168" fillId="0" borderId="0"/>
    <xf numFmtId="0" fontId="168" fillId="0" borderId="0"/>
    <xf numFmtId="43" fontId="168" fillId="0" borderId="0" applyFont="0" applyFill="0" applyBorder="0" applyAlignment="0" applyProtection="0"/>
    <xf numFmtId="0" fontId="167" fillId="0" borderId="0"/>
    <xf numFmtId="0" fontId="166" fillId="0" borderId="0"/>
    <xf numFmtId="164" fontId="166" fillId="0" borderId="0" applyFont="0" applyFill="0" applyBorder="0" applyAlignment="0" applyProtection="0"/>
    <xf numFmtId="43" fontId="166" fillId="0" borderId="0" applyFont="0" applyFill="0" applyBorder="0" applyAlignment="0" applyProtection="0"/>
    <xf numFmtId="0" fontId="166" fillId="0" borderId="0"/>
    <xf numFmtId="0" fontId="166" fillId="0" borderId="0"/>
    <xf numFmtId="0" fontId="165" fillId="0" borderId="0"/>
    <xf numFmtId="164" fontId="165" fillId="0" borderId="0" applyFont="0" applyFill="0" applyBorder="0" applyAlignment="0" applyProtection="0"/>
    <xf numFmtId="0" fontId="164" fillId="0" borderId="0"/>
    <xf numFmtId="0" fontId="164" fillId="0" borderId="0"/>
    <xf numFmtId="43" fontId="164" fillId="0" borderId="0" applyFont="0" applyFill="0" applyBorder="0" applyAlignment="0" applyProtection="0"/>
    <xf numFmtId="0" fontId="163" fillId="0" borderId="0"/>
    <xf numFmtId="0" fontId="163" fillId="0" borderId="0"/>
    <xf numFmtId="43" fontId="163" fillId="0" borderId="0" applyFont="0" applyFill="0" applyBorder="0" applyAlignment="0" applyProtection="0"/>
    <xf numFmtId="0" fontId="162" fillId="0" borderId="0"/>
    <xf numFmtId="164" fontId="162" fillId="0" borderId="0" applyFont="0" applyFill="0" applyBorder="0" applyAlignment="0" applyProtection="0"/>
    <xf numFmtId="43" fontId="162" fillId="0" borderId="0" applyFont="0" applyFill="0" applyBorder="0" applyAlignment="0" applyProtection="0"/>
    <xf numFmtId="0" fontId="162" fillId="0" borderId="0"/>
    <xf numFmtId="0" fontId="162" fillId="0" borderId="0"/>
    <xf numFmtId="177" fontId="161" fillId="0" borderId="0" applyFont="0" applyFill="0" applyBorder="0" applyAlignment="0" applyProtection="0"/>
    <xf numFmtId="0" fontId="161" fillId="0" borderId="0"/>
    <xf numFmtId="0" fontId="160" fillId="0" borderId="0"/>
    <xf numFmtId="0" fontId="160" fillId="0" borderId="0"/>
    <xf numFmtId="43" fontId="160" fillId="0" borderId="0" applyFont="0" applyFill="0" applyBorder="0" applyAlignment="0" applyProtection="0"/>
    <xf numFmtId="0" fontId="159" fillId="0" borderId="0"/>
    <xf numFmtId="164" fontId="159" fillId="0" borderId="0" applyFont="0" applyFill="0" applyBorder="0" applyAlignment="0" applyProtection="0"/>
    <xf numFmtId="0" fontId="159" fillId="0" borderId="0"/>
    <xf numFmtId="164" fontId="159" fillId="0" borderId="0" applyFont="0" applyFill="0" applyBorder="0" applyAlignment="0" applyProtection="0"/>
    <xf numFmtId="43" fontId="159" fillId="0" borderId="0" applyFont="0" applyFill="0" applyBorder="0" applyAlignment="0" applyProtection="0"/>
    <xf numFmtId="0" fontId="159" fillId="0" borderId="0"/>
    <xf numFmtId="0" fontId="159" fillId="0" borderId="0"/>
    <xf numFmtId="0" fontId="158" fillId="0" borderId="0"/>
    <xf numFmtId="177" fontId="158" fillId="0" borderId="0" applyFont="0" applyFill="0" applyBorder="0" applyAlignment="0" applyProtection="0"/>
    <xf numFmtId="0" fontId="157" fillId="0" borderId="0"/>
    <xf numFmtId="0" fontId="157" fillId="0" borderId="0"/>
    <xf numFmtId="43" fontId="157" fillId="0" borderId="0" applyFont="0" applyFill="0" applyBorder="0" applyAlignment="0" applyProtection="0"/>
    <xf numFmtId="0" fontId="156" fillId="0" borderId="0"/>
    <xf numFmtId="164" fontId="156" fillId="0" borderId="0" applyFont="0" applyFill="0" applyBorder="0" applyAlignment="0" applyProtection="0"/>
    <xf numFmtId="43" fontId="156" fillId="0" borderId="0" applyFont="0" applyFill="0" applyBorder="0" applyAlignment="0" applyProtection="0"/>
    <xf numFmtId="0" fontId="156" fillId="0" borderId="0"/>
    <xf numFmtId="0" fontId="156" fillId="0" borderId="0"/>
    <xf numFmtId="177" fontId="156" fillId="0" borderId="0" applyFont="0" applyFill="0" applyBorder="0" applyAlignment="0" applyProtection="0"/>
    <xf numFmtId="0" fontId="155" fillId="0" borderId="0"/>
    <xf numFmtId="164" fontId="155" fillId="0" borderId="0" applyFont="0" applyFill="0" applyBorder="0" applyAlignment="0" applyProtection="0"/>
    <xf numFmtId="0" fontId="154" fillId="0" borderId="0"/>
    <xf numFmtId="0" fontId="154" fillId="0" borderId="0"/>
    <xf numFmtId="43" fontId="154" fillId="0" borderId="0" applyFont="0" applyFill="0" applyBorder="0" applyAlignment="0" applyProtection="0"/>
    <xf numFmtId="0" fontId="153" fillId="0" borderId="0"/>
    <xf numFmtId="0" fontId="153" fillId="0" borderId="0"/>
    <xf numFmtId="43" fontId="153" fillId="0" borderId="0" applyFont="0" applyFill="0" applyBorder="0" applyAlignment="0" applyProtection="0"/>
    <xf numFmtId="0" fontId="152" fillId="0" borderId="0"/>
    <xf numFmtId="177" fontId="152" fillId="0" borderId="0" applyFont="0" applyFill="0" applyBorder="0" applyAlignment="0" applyProtection="0"/>
    <xf numFmtId="0" fontId="151" fillId="0" borderId="0"/>
    <xf numFmtId="164" fontId="151" fillId="0" borderId="0" applyFont="0" applyFill="0" applyBorder="0" applyAlignment="0" applyProtection="0"/>
    <xf numFmtId="43" fontId="151" fillId="0" borderId="0" applyFont="0" applyFill="0" applyBorder="0" applyAlignment="0" applyProtection="0"/>
    <xf numFmtId="0" fontId="151" fillId="0" borderId="0"/>
    <xf numFmtId="0" fontId="151" fillId="0" borderId="0"/>
    <xf numFmtId="0" fontId="150" fillId="0" borderId="0"/>
    <xf numFmtId="0" fontId="150" fillId="0" borderId="0"/>
    <xf numFmtId="43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43" fontId="147" fillId="0" borderId="0" applyFont="0" applyFill="0" applyBorder="0" applyAlignment="0" applyProtection="0"/>
    <xf numFmtId="0" fontId="286" fillId="23" borderId="9">
      <alignment horizontal="center" vertical="center"/>
    </xf>
    <xf numFmtId="0" fontId="146" fillId="0" borderId="0"/>
    <xf numFmtId="164" fontId="146" fillId="0" borderId="0" applyFont="0" applyFill="0" applyBorder="0" applyAlignment="0" applyProtection="0"/>
    <xf numFmtId="43" fontId="146" fillId="0" borderId="0" applyFont="0" applyFill="0" applyBorder="0" applyAlignment="0" applyProtection="0"/>
    <xf numFmtId="0" fontId="146" fillId="0" borderId="0"/>
    <xf numFmtId="0" fontId="146" fillId="0" borderId="0"/>
    <xf numFmtId="177" fontId="146" fillId="0" borderId="0" applyFont="0" applyFill="0" applyBorder="0" applyAlignment="0" applyProtection="0"/>
    <xf numFmtId="0" fontId="145" fillId="0" borderId="0"/>
    <xf numFmtId="0" fontId="145" fillId="0" borderId="0"/>
    <xf numFmtId="0" fontId="145" fillId="0" borderId="0"/>
    <xf numFmtId="43" fontId="145" fillId="0" borderId="0" applyFont="0" applyFill="0" applyBorder="0" applyAlignment="0" applyProtection="0"/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0" fontId="143" fillId="0" borderId="0"/>
    <xf numFmtId="164" fontId="143" fillId="0" borderId="0" applyFont="0" applyFill="0" applyBorder="0" applyAlignment="0" applyProtection="0"/>
    <xf numFmtId="0" fontId="142" fillId="0" borderId="0"/>
    <xf numFmtId="177" fontId="142" fillId="0" borderId="0" applyFont="0" applyFill="0" applyBorder="0" applyAlignment="0" applyProtection="0"/>
    <xf numFmtId="0" fontId="141" fillId="0" borderId="0"/>
    <xf numFmtId="0" fontId="141" fillId="0" borderId="0"/>
    <xf numFmtId="0" fontId="141" fillId="0" borderId="0"/>
    <xf numFmtId="43" fontId="141" fillId="0" borderId="0" applyFont="0" applyFill="0" applyBorder="0" applyAlignment="0" applyProtection="0"/>
    <xf numFmtId="0" fontId="140" fillId="0" borderId="0"/>
    <xf numFmtId="177" fontId="140" fillId="0" borderId="0" applyFont="0" applyFill="0" applyBorder="0" applyAlignment="0" applyProtection="0"/>
    <xf numFmtId="0" fontId="139" fillId="0" borderId="0"/>
    <xf numFmtId="164" fontId="139" fillId="0" borderId="0" applyFont="0" applyFill="0" applyBorder="0" applyAlignment="0" applyProtection="0"/>
    <xf numFmtId="43" fontId="139" fillId="0" borderId="0" applyFont="0" applyFill="0" applyBorder="0" applyAlignment="0" applyProtection="0"/>
    <xf numFmtId="0" fontId="139" fillId="0" borderId="0"/>
    <xf numFmtId="0" fontId="139" fillId="0" borderId="0"/>
    <xf numFmtId="0" fontId="138" fillId="0" borderId="0"/>
    <xf numFmtId="0" fontId="138" fillId="0" borderId="0"/>
    <xf numFmtId="43" fontId="138" fillId="0" borderId="0" applyFont="0" applyFill="0" applyBorder="0" applyAlignment="0" applyProtection="0"/>
    <xf numFmtId="0" fontId="137" fillId="0" borderId="0"/>
    <xf numFmtId="0" fontId="137" fillId="0" borderId="0"/>
    <xf numFmtId="0" fontId="137" fillId="0" borderId="0"/>
    <xf numFmtId="43" fontId="137" fillId="0" borderId="0" applyFont="0" applyFill="0" applyBorder="0" applyAlignment="0" applyProtection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177" fontId="135" fillId="0" borderId="0" applyFont="0" applyFill="0" applyBorder="0" applyAlignment="0" applyProtection="0"/>
    <xf numFmtId="0" fontId="134" fillId="0" borderId="0"/>
    <xf numFmtId="164" fontId="134" fillId="0" borderId="0" applyFont="0" applyFill="0" applyBorder="0" applyAlignment="0" applyProtection="0"/>
    <xf numFmtId="43" fontId="134" fillId="0" borderId="0" applyFont="0" applyFill="0" applyBorder="0" applyAlignment="0" applyProtection="0"/>
    <xf numFmtId="0" fontId="134" fillId="0" borderId="0"/>
    <xf numFmtId="0" fontId="134" fillId="0" borderId="0"/>
    <xf numFmtId="0" fontId="133" fillId="0" borderId="0"/>
    <xf numFmtId="164" fontId="133" fillId="0" borderId="0" applyFont="0" applyFill="0" applyBorder="0" applyAlignment="0" applyProtection="0"/>
    <xf numFmtId="0" fontId="132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43" fontId="131" fillId="0" borderId="0" applyFont="0" applyFill="0" applyBorder="0" applyAlignment="0" applyProtection="0"/>
    <xf numFmtId="0" fontId="131" fillId="0" borderId="0"/>
    <xf numFmtId="0" fontId="131" fillId="0" borderId="0"/>
    <xf numFmtId="177" fontId="131" fillId="0" borderId="0" applyFont="0" applyFill="0" applyBorder="0" applyAlignment="0" applyProtection="0"/>
    <xf numFmtId="0" fontId="130" fillId="0" borderId="0"/>
    <xf numFmtId="164" fontId="130" fillId="0" borderId="0" applyFont="0" applyFill="0" applyBorder="0" applyAlignment="0" applyProtection="0"/>
    <xf numFmtId="0" fontId="129" fillId="0" borderId="0"/>
    <xf numFmtId="0" fontId="129" fillId="0" borderId="0"/>
    <xf numFmtId="0" fontId="129" fillId="0" borderId="0"/>
    <xf numFmtId="43" fontId="129" fillId="0" borderId="0" applyFont="0" applyFill="0" applyBorder="0" applyAlignment="0" applyProtection="0"/>
    <xf numFmtId="0" fontId="128" fillId="0" borderId="0"/>
    <xf numFmtId="177" fontId="128" fillId="0" borderId="0" applyFont="0" applyFill="0" applyBorder="0" applyAlignment="0" applyProtection="0"/>
    <xf numFmtId="0" fontId="127" fillId="0" borderId="0"/>
    <xf numFmtId="164" fontId="127" fillId="0" borderId="0" applyFont="0" applyFill="0" applyBorder="0" applyAlignment="0" applyProtection="0"/>
    <xf numFmtId="0" fontId="126" fillId="0" borderId="0"/>
    <xf numFmtId="164" fontId="126" fillId="0" borderId="0" applyFont="0" applyFill="0" applyBorder="0" applyAlignment="0" applyProtection="0"/>
    <xf numFmtId="43" fontId="126" fillId="0" borderId="0" applyFont="0" applyFill="0" applyBorder="0" applyAlignment="0" applyProtection="0"/>
    <xf numFmtId="0" fontId="126" fillId="0" borderId="0"/>
    <xf numFmtId="0" fontId="126" fillId="0" borderId="0"/>
    <xf numFmtId="0" fontId="125" fillId="0" borderId="0"/>
    <xf numFmtId="0" fontId="125" fillId="0" borderId="0"/>
    <xf numFmtId="43" fontId="125" fillId="0" borderId="0" applyFont="0" applyFill="0" applyBorder="0" applyAlignment="0" applyProtection="0"/>
    <xf numFmtId="0" fontId="125" fillId="0" borderId="0"/>
    <xf numFmtId="0" fontId="124" fillId="0" borderId="0"/>
    <xf numFmtId="177" fontId="124" fillId="0" borderId="0" applyFont="0" applyFill="0" applyBorder="0" applyAlignment="0" applyProtection="0"/>
    <xf numFmtId="164" fontId="124" fillId="0" borderId="0" applyFont="0" applyFill="0" applyBorder="0" applyAlignment="0" applyProtection="0"/>
    <xf numFmtId="0" fontId="123" fillId="0" borderId="0"/>
    <xf numFmtId="164" fontId="123" fillId="0" borderId="0" applyFont="0" applyFill="0" applyBorder="0" applyAlignment="0" applyProtection="0"/>
    <xf numFmtId="43" fontId="123" fillId="0" borderId="0" applyFont="0" applyFill="0" applyBorder="0" applyAlignment="0" applyProtection="0"/>
    <xf numFmtId="0" fontId="123" fillId="0" borderId="0"/>
    <xf numFmtId="0" fontId="123" fillId="0" borderId="0"/>
    <xf numFmtId="0" fontId="122" fillId="0" borderId="0"/>
    <xf numFmtId="0" fontId="122" fillId="0" borderId="0"/>
    <xf numFmtId="43" fontId="122" fillId="0" borderId="0" applyFont="0" applyFill="0" applyBorder="0" applyAlignment="0" applyProtection="0"/>
    <xf numFmtId="0" fontId="122" fillId="0" borderId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164" fontId="120" fillId="0" borderId="0" applyFont="0" applyFill="0" applyBorder="0" applyAlignment="0" applyProtection="0"/>
    <xf numFmtId="0" fontId="119" fillId="0" borderId="0"/>
    <xf numFmtId="0" fontId="119" fillId="0" borderId="0"/>
    <xf numFmtId="43" fontId="119" fillId="0" borderId="0" applyFont="0" applyFill="0" applyBorder="0" applyAlignment="0" applyProtection="0"/>
    <xf numFmtId="0" fontId="119" fillId="0" borderId="0"/>
    <xf numFmtId="177" fontId="119" fillId="0" borderId="0" applyFont="0" applyFill="0" applyBorder="0" applyAlignment="0" applyProtection="0"/>
    <xf numFmtId="0" fontId="118" fillId="0" borderId="0"/>
    <xf numFmtId="0" fontId="118" fillId="0" borderId="0"/>
    <xf numFmtId="43" fontId="118" fillId="0" borderId="0" applyFont="0" applyFill="0" applyBorder="0" applyAlignment="0" applyProtection="0"/>
    <xf numFmtId="0" fontId="117" fillId="0" borderId="0"/>
    <xf numFmtId="164" fontId="117" fillId="0" borderId="0" applyFont="0" applyFill="0" applyBorder="0" applyAlignment="0" applyProtection="0"/>
    <xf numFmtId="177" fontId="117" fillId="0" borderId="0" applyFont="0" applyFill="0" applyBorder="0" applyAlignment="0" applyProtection="0"/>
    <xf numFmtId="0" fontId="116" fillId="0" borderId="0"/>
    <xf numFmtId="164" fontId="116" fillId="0" borderId="0" applyFont="0" applyFill="0" applyBorder="0" applyAlignment="0" applyProtection="0"/>
    <xf numFmtId="43" fontId="116" fillId="0" borderId="0" applyFont="0" applyFill="0" applyBorder="0" applyAlignment="0" applyProtection="0"/>
    <xf numFmtId="0" fontId="116" fillId="0" borderId="0"/>
    <xf numFmtId="0" fontId="116" fillId="0" borderId="0"/>
    <xf numFmtId="0" fontId="115" fillId="0" borderId="0"/>
    <xf numFmtId="0" fontId="115" fillId="0" borderId="0"/>
    <xf numFmtId="43" fontId="115" fillId="0" borderId="0" applyFont="0" applyFill="0" applyBorder="0" applyAlignment="0" applyProtection="0"/>
    <xf numFmtId="0" fontId="115" fillId="0" borderId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177" fontId="114" fillId="0" borderId="0" applyFont="0" applyFill="0" applyBorder="0" applyAlignment="0" applyProtection="0"/>
    <xf numFmtId="0" fontId="113" fillId="0" borderId="0"/>
    <xf numFmtId="164" fontId="113" fillId="0" borderId="0" applyFont="0" applyFill="0" applyBorder="0" applyAlignment="0" applyProtection="0"/>
    <xf numFmtId="0" fontId="112" fillId="0" borderId="0"/>
    <xf numFmtId="0" fontId="112" fillId="0" borderId="0"/>
    <xf numFmtId="43" fontId="112" fillId="0" borderId="0" applyFont="0" applyFill="0" applyBorder="0" applyAlignment="0" applyProtection="0"/>
    <xf numFmtId="0" fontId="112" fillId="0" borderId="0"/>
    <xf numFmtId="0" fontId="111" fillId="0" borderId="0"/>
    <xf numFmtId="164" fontId="111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43" fontId="111" fillId="0" borderId="0" applyFont="0" applyFill="0" applyBorder="0" applyAlignment="0" applyProtection="0"/>
    <xf numFmtId="0" fontId="111" fillId="0" borderId="0"/>
    <xf numFmtId="0" fontId="111" fillId="0" borderId="0"/>
    <xf numFmtId="177" fontId="111" fillId="0" borderId="0" applyFont="0" applyFill="0" applyBorder="0" applyAlignment="0" applyProtection="0"/>
    <xf numFmtId="0" fontId="111" fillId="0" borderId="0"/>
    <xf numFmtId="0" fontId="110" fillId="0" borderId="0"/>
    <xf numFmtId="164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0" fontId="110" fillId="0" borderId="0"/>
    <xf numFmtId="0" fontId="110" fillId="0" borderId="0"/>
    <xf numFmtId="177" fontId="110" fillId="0" borderId="0" applyFont="0" applyFill="0" applyBorder="0" applyAlignment="0" applyProtection="0"/>
    <xf numFmtId="0" fontId="109" fillId="0" borderId="0"/>
    <xf numFmtId="177" fontId="109" fillId="0" borderId="0" applyFont="0" applyFill="0" applyBorder="0" applyAlignment="0" applyProtection="0"/>
    <xf numFmtId="164" fontId="109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7" fillId="0" borderId="0"/>
    <xf numFmtId="0" fontId="107" fillId="0" borderId="0"/>
    <xf numFmtId="43" fontId="107" fillId="0" borderId="0" applyFont="0" applyFill="0" applyBorder="0" applyAlignment="0" applyProtection="0"/>
    <xf numFmtId="0" fontId="107" fillId="0" borderId="0"/>
    <xf numFmtId="0" fontId="106" fillId="0" borderId="0"/>
    <xf numFmtId="43" fontId="106" fillId="0" borderId="0" applyFont="0" applyFill="0" applyBorder="0" applyAlignment="0" applyProtection="0"/>
    <xf numFmtId="0" fontId="286" fillId="23" borderId="14">
      <alignment horizontal="center" vertical="center"/>
    </xf>
    <xf numFmtId="0" fontId="105" fillId="0" borderId="0"/>
    <xf numFmtId="164" fontId="105" fillId="0" borderId="0" applyFont="0" applyFill="0" applyBorder="0" applyAlignment="0" applyProtection="0"/>
    <xf numFmtId="43" fontId="105" fillId="0" borderId="0" applyFont="0" applyFill="0" applyBorder="0" applyAlignment="0" applyProtection="0"/>
    <xf numFmtId="0" fontId="105" fillId="0" borderId="0"/>
    <xf numFmtId="0" fontId="105" fillId="0" borderId="0"/>
    <xf numFmtId="0" fontId="104" fillId="0" borderId="0"/>
    <xf numFmtId="177" fontId="104" fillId="0" borderId="0" applyFont="0" applyFill="0" applyBorder="0" applyAlignment="0" applyProtection="0"/>
    <xf numFmtId="0" fontId="103" fillId="0" borderId="0"/>
    <xf numFmtId="0" fontId="103" fillId="0" borderId="0"/>
    <xf numFmtId="43" fontId="103" fillId="0" borderId="0" applyFont="0" applyFill="0" applyBorder="0" applyAlignment="0" applyProtection="0"/>
    <xf numFmtId="164" fontId="103" fillId="0" borderId="0" applyFont="0" applyFill="0" applyBorder="0" applyAlignment="0" applyProtection="0"/>
    <xf numFmtId="0" fontId="102" fillId="0" borderId="0"/>
    <xf numFmtId="0" fontId="102" fillId="0" borderId="0"/>
    <xf numFmtId="43" fontId="102" fillId="0" borderId="0" applyFont="0" applyFill="0" applyBorder="0" applyAlignment="0" applyProtection="0"/>
    <xf numFmtId="0" fontId="102" fillId="0" borderId="0"/>
    <xf numFmtId="0" fontId="101" fillId="0" borderId="0"/>
    <xf numFmtId="164" fontId="101" fillId="0" borderId="0" applyFont="0" applyFill="0" applyBorder="0" applyAlignment="0" applyProtection="0"/>
    <xf numFmtId="43" fontId="101" fillId="0" borderId="0" applyFont="0" applyFill="0" applyBorder="0" applyAlignment="0" applyProtection="0"/>
    <xf numFmtId="0" fontId="101" fillId="0" borderId="0"/>
    <xf numFmtId="0" fontId="101" fillId="0" borderId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99" fillId="0" borderId="0"/>
    <xf numFmtId="177" fontId="99" fillId="0" borderId="0" applyFont="0" applyFill="0" applyBorder="0" applyAlignment="0" applyProtection="0"/>
    <xf numFmtId="164" fontId="99" fillId="0" borderId="0" applyFont="0" applyFill="0" applyBorder="0" applyAlignment="0" applyProtection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8" fillId="0" borderId="0"/>
    <xf numFmtId="0" fontId="97" fillId="0" borderId="0"/>
    <xf numFmtId="177" fontId="97" fillId="0" borderId="0" applyFont="0" applyFill="0" applyBorder="0" applyAlignment="0" applyProtection="0"/>
    <xf numFmtId="0" fontId="230" fillId="0" borderId="0"/>
    <xf numFmtId="0" fontId="96" fillId="0" borderId="0"/>
    <xf numFmtId="164" fontId="96" fillId="0" borderId="0" applyFont="0" applyFill="0" applyBorder="0" applyAlignment="0" applyProtection="0"/>
    <xf numFmtId="43" fontId="96" fillId="0" borderId="0" applyFont="0" applyFill="0" applyBorder="0" applyAlignment="0" applyProtection="0"/>
    <xf numFmtId="0" fontId="96" fillId="0" borderId="0"/>
    <xf numFmtId="0" fontId="96" fillId="0" borderId="0"/>
    <xf numFmtId="0" fontId="95" fillId="0" borderId="0"/>
    <xf numFmtId="164" fontId="95" fillId="0" borderId="0" applyFont="0" applyFill="0" applyBorder="0" applyAlignment="0" applyProtection="0"/>
    <xf numFmtId="0" fontId="94" fillId="0" borderId="0"/>
    <xf numFmtId="0" fontId="94" fillId="0" borderId="0"/>
    <xf numFmtId="43" fontId="94" fillId="0" borderId="0" applyFont="0" applyFill="0" applyBorder="0" applyAlignment="0" applyProtection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43" fontId="93" fillId="0" borderId="0" applyFont="0" applyFill="0" applyBorder="0" applyAlignment="0" applyProtection="0"/>
    <xf numFmtId="0" fontId="93" fillId="0" borderId="0"/>
    <xf numFmtId="0" fontId="93" fillId="0" borderId="0"/>
    <xf numFmtId="0" fontId="92" fillId="0" borderId="0"/>
    <xf numFmtId="177" fontId="92" fillId="0" borderId="0" applyFont="0" applyFill="0" applyBorder="0" applyAlignment="0" applyProtection="0"/>
    <xf numFmtId="0" fontId="91" fillId="0" borderId="0"/>
    <xf numFmtId="0" fontId="91" fillId="0" borderId="0"/>
    <xf numFmtId="43" fontId="91" fillId="0" borderId="0" applyFont="0" applyFill="0" applyBorder="0" applyAlignment="0" applyProtection="0"/>
    <xf numFmtId="0" fontId="91" fillId="0" borderId="0"/>
    <xf numFmtId="0" fontId="90" fillId="0" borderId="0"/>
    <xf numFmtId="164" fontId="90" fillId="0" borderId="0" applyFont="0" applyFill="0" applyBorder="0" applyAlignment="0" applyProtection="0"/>
    <xf numFmtId="43" fontId="90" fillId="0" borderId="0" applyFont="0" applyFill="0" applyBorder="0" applyAlignment="0" applyProtection="0"/>
    <xf numFmtId="0" fontId="90" fillId="0" borderId="0"/>
    <xf numFmtId="0" fontId="90" fillId="0" borderId="0"/>
    <xf numFmtId="177" fontId="90" fillId="0" borderId="0" applyFont="0" applyFill="0" applyBorder="0" applyAlignment="0" applyProtection="0"/>
    <xf numFmtId="0" fontId="89" fillId="0" borderId="0"/>
    <xf numFmtId="164" fontId="89" fillId="0" borderId="0" applyFont="0" applyFill="0" applyBorder="0" applyAlignment="0" applyProtection="0"/>
    <xf numFmtId="0" fontId="88" fillId="0" borderId="0"/>
    <xf numFmtId="0" fontId="88" fillId="0" borderId="0"/>
    <xf numFmtId="43" fontId="88" fillId="0" borderId="0" applyFont="0" applyFill="0" applyBorder="0" applyAlignment="0" applyProtection="0"/>
    <xf numFmtId="0" fontId="88" fillId="0" borderId="0"/>
    <xf numFmtId="0" fontId="87" fillId="0" borderId="0"/>
    <xf numFmtId="164" fontId="87" fillId="0" borderId="0" applyFont="0" applyFill="0" applyBorder="0" applyAlignment="0" applyProtection="0"/>
    <xf numFmtId="43" fontId="87" fillId="0" borderId="0" applyFont="0" applyFill="0" applyBorder="0" applyAlignment="0" applyProtection="0"/>
    <xf numFmtId="0" fontId="87" fillId="0" borderId="0"/>
    <xf numFmtId="0" fontId="87" fillId="0" borderId="0"/>
    <xf numFmtId="0" fontId="86" fillId="0" borderId="0"/>
    <xf numFmtId="177" fontId="86" fillId="0" borderId="0" applyFont="0" applyFill="0" applyBorder="0" applyAlignment="0" applyProtection="0"/>
    <xf numFmtId="0" fontId="85" fillId="0" borderId="0"/>
    <xf numFmtId="0" fontId="85" fillId="0" borderId="0"/>
    <xf numFmtId="43" fontId="85" fillId="0" borderId="0" applyFont="0" applyFill="0" applyBorder="0" applyAlignment="0" applyProtection="0"/>
    <xf numFmtId="0" fontId="85" fillId="0" borderId="0"/>
    <xf numFmtId="0" fontId="84" fillId="0" borderId="0"/>
    <xf numFmtId="164" fontId="84" fillId="0" borderId="0" applyFont="0" applyFill="0" applyBorder="0" applyAlignment="0" applyProtection="0"/>
    <xf numFmtId="43" fontId="84" fillId="0" borderId="0" applyFont="0" applyFill="0" applyBorder="0" applyAlignment="0" applyProtection="0"/>
    <xf numFmtId="0" fontId="84" fillId="0" borderId="0"/>
    <xf numFmtId="0" fontId="84" fillId="0" borderId="0"/>
    <xf numFmtId="177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164" fontId="83" fillId="0" borderId="0" applyFont="0" applyFill="0" applyBorder="0" applyAlignment="0" applyProtection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0" fontId="82" fillId="0" borderId="0"/>
    <xf numFmtId="43" fontId="82" fillId="0" borderId="0" applyFont="0" applyFill="0" applyBorder="0" applyAlignment="0" applyProtection="0"/>
    <xf numFmtId="0" fontId="82" fillId="0" borderId="0"/>
    <xf numFmtId="0" fontId="81" fillId="0" borderId="0"/>
    <xf numFmtId="177" fontId="81" fillId="0" borderId="0" applyFont="0" applyFill="0" applyBorder="0" applyAlignment="0" applyProtection="0"/>
    <xf numFmtId="0" fontId="80" fillId="0" borderId="0"/>
    <xf numFmtId="164" fontId="80" fillId="0" borderId="0" applyFont="0" applyFill="0" applyBorder="0" applyAlignment="0" applyProtection="0"/>
    <xf numFmtId="43" fontId="80" fillId="0" borderId="0" applyFont="0" applyFill="0" applyBorder="0" applyAlignment="0" applyProtection="0"/>
    <xf numFmtId="0" fontId="80" fillId="0" borderId="0"/>
    <xf numFmtId="0" fontId="80" fillId="0" borderId="0"/>
    <xf numFmtId="0" fontId="79" fillId="0" borderId="0"/>
    <xf numFmtId="0" fontId="79" fillId="0" borderId="0"/>
    <xf numFmtId="43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7" fillId="0" borderId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164" fontId="75" fillId="0" borderId="0" applyFont="0" applyFill="0" applyBorder="0" applyAlignment="0" applyProtection="0"/>
    <xf numFmtId="43" fontId="75" fillId="0" borderId="0" applyFont="0" applyFill="0" applyBorder="0" applyAlignment="0" applyProtection="0"/>
    <xf numFmtId="0" fontId="75" fillId="0" borderId="0"/>
    <xf numFmtId="0" fontId="75" fillId="0" borderId="0"/>
    <xf numFmtId="0" fontId="74" fillId="0" borderId="0"/>
    <xf numFmtId="177" fontId="74" fillId="0" borderId="0" applyFont="0" applyFill="0" applyBorder="0" applyAlignment="0" applyProtection="0"/>
    <xf numFmtId="0" fontId="73" fillId="0" borderId="0"/>
    <xf numFmtId="0" fontId="73" fillId="0" borderId="0"/>
    <xf numFmtId="43" fontId="73" fillId="0" borderId="0" applyFont="0" applyFill="0" applyBorder="0" applyAlignment="0" applyProtection="0"/>
    <xf numFmtId="0" fontId="73" fillId="0" borderId="0"/>
    <xf numFmtId="0" fontId="72" fillId="0" borderId="0"/>
    <xf numFmtId="0" fontId="72" fillId="0" borderId="0"/>
    <xf numFmtId="43" fontId="72" fillId="0" borderId="0" applyFont="0" applyFill="0" applyBorder="0" applyAlignment="0" applyProtection="0"/>
    <xf numFmtId="0" fontId="72" fillId="0" borderId="0"/>
    <xf numFmtId="164" fontId="72" fillId="0" borderId="0" applyFont="0" applyFill="0" applyBorder="0" applyAlignment="0" applyProtection="0"/>
    <xf numFmtId="43" fontId="72" fillId="0" borderId="0" applyFont="0" applyFill="0" applyBorder="0" applyAlignment="0" applyProtection="0"/>
    <xf numFmtId="0" fontId="71" fillId="0" borderId="0"/>
    <xf numFmtId="177" fontId="71" fillId="0" borderId="0" applyFont="0" applyFill="0" applyBorder="0" applyAlignment="0" applyProtection="0"/>
    <xf numFmtId="0" fontId="71" fillId="0" borderId="0"/>
    <xf numFmtId="164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0" fontId="71" fillId="0" borderId="0"/>
    <xf numFmtId="0" fontId="71" fillId="0" borderId="0"/>
    <xf numFmtId="164" fontId="275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70" fillId="0" borderId="0"/>
    <xf numFmtId="0" fontId="69" fillId="0" borderId="0"/>
    <xf numFmtId="0" fontId="69" fillId="0" borderId="0"/>
    <xf numFmtId="43" fontId="69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43" fontId="68" fillId="0" borderId="0" applyFont="0" applyFill="0" applyBorder="0" applyAlignment="0" applyProtection="0"/>
    <xf numFmtId="0" fontId="68" fillId="0" borderId="0"/>
    <xf numFmtId="43" fontId="68" fillId="0" borderId="0" applyFont="0" applyFill="0" applyBorder="0" applyAlignment="0" applyProtection="0"/>
    <xf numFmtId="0" fontId="67" fillId="0" borderId="0"/>
    <xf numFmtId="177" fontId="67" fillId="0" borderId="0" applyFont="0" applyFill="0" applyBorder="0" applyAlignment="0" applyProtection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0" fontId="65" fillId="0" borderId="0"/>
    <xf numFmtId="177" fontId="65" fillId="0" borderId="0" applyFont="0" applyFill="0" applyBorder="0" applyAlignment="0" applyProtection="0"/>
    <xf numFmtId="0" fontId="64" fillId="0" borderId="0"/>
    <xf numFmtId="43" fontId="64" fillId="0" borderId="0" applyFont="0" applyFill="0" applyBorder="0" applyAlignment="0" applyProtection="0"/>
    <xf numFmtId="0" fontId="63" fillId="0" borderId="0"/>
    <xf numFmtId="0" fontId="63" fillId="0" borderId="0"/>
    <xf numFmtId="43" fontId="63" fillId="0" borderId="0" applyFont="0" applyFill="0" applyBorder="0" applyAlignment="0" applyProtection="0"/>
    <xf numFmtId="0" fontId="63" fillId="0" borderId="0"/>
    <xf numFmtId="0" fontId="62" fillId="0" borderId="0"/>
    <xf numFmtId="43" fontId="62" fillId="0" borderId="0" applyFont="0" applyFill="0" applyBorder="0" applyAlignment="0" applyProtection="0"/>
    <xf numFmtId="0" fontId="286" fillId="23" borderId="15">
      <alignment horizontal="center" vertical="center"/>
    </xf>
    <xf numFmtId="0" fontId="61" fillId="0" borderId="0"/>
    <xf numFmtId="164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164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243" fillId="0" borderId="0"/>
    <xf numFmtId="0" fontId="60" fillId="0" borderId="0"/>
    <xf numFmtId="165" fontId="238" fillId="0" borderId="0" applyFill="0" applyBorder="0" applyAlignment="0" applyProtection="0"/>
    <xf numFmtId="0" fontId="297" fillId="0" borderId="0"/>
    <xf numFmtId="0" fontId="60" fillId="0" borderId="0"/>
    <xf numFmtId="0" fontId="299" fillId="0" borderId="0"/>
    <xf numFmtId="0" fontId="59" fillId="0" borderId="0"/>
    <xf numFmtId="0" fontId="59" fillId="0" borderId="0"/>
    <xf numFmtId="0" fontId="300" fillId="0" borderId="0"/>
    <xf numFmtId="0" fontId="58" fillId="0" borderId="0"/>
    <xf numFmtId="0" fontId="58" fillId="0" borderId="0"/>
    <xf numFmtId="43" fontId="58" fillId="0" borderId="0" applyFont="0" applyFill="0" applyBorder="0" applyAlignment="0" applyProtection="0"/>
    <xf numFmtId="0" fontId="57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5" fillId="0" borderId="0"/>
    <xf numFmtId="43" fontId="55" fillId="0" borderId="0" applyFont="0" applyFill="0" applyBorder="0" applyAlignment="0" applyProtection="0"/>
    <xf numFmtId="0" fontId="54" fillId="0" borderId="0"/>
    <xf numFmtId="43" fontId="54" fillId="0" borderId="0" applyFont="0" applyFill="0" applyBorder="0" applyAlignment="0" applyProtection="0"/>
    <xf numFmtId="0" fontId="305" fillId="0" borderId="0"/>
    <xf numFmtId="180" fontId="305" fillId="0" borderId="0" applyFont="0" applyFill="0" applyBorder="0" applyAlignment="0" applyProtection="0"/>
    <xf numFmtId="0" fontId="306" fillId="27" borderId="0" applyNumberFormat="0" applyBorder="0" applyAlignment="0" applyProtection="0"/>
    <xf numFmtId="0" fontId="305" fillId="28" borderId="0" applyNumberFormat="0" applyFont="0" applyBorder="0" applyAlignment="0" applyProtection="0"/>
    <xf numFmtId="0" fontId="306" fillId="27" borderId="0" applyNumberFormat="0" applyBorder="0" applyAlignment="0" applyProtection="0"/>
    <xf numFmtId="180" fontId="305" fillId="0" borderId="0" applyFont="0" applyFill="0" applyBorder="0" applyAlignment="0" applyProtection="0"/>
    <xf numFmtId="0" fontId="307" fillId="29" borderId="0" applyNumberFormat="0" applyBorder="0" applyAlignment="0" applyProtection="0"/>
    <xf numFmtId="0" fontId="308" fillId="0" borderId="0" applyNumberFormat="0" applyBorder="0" applyProtection="0"/>
    <xf numFmtId="0" fontId="305" fillId="0" borderId="0" applyNumberFormat="0" applyFont="0" applyBorder="0" applyProtection="0"/>
    <xf numFmtId="0" fontId="305" fillId="0" borderId="0" applyNumberFormat="0" applyFont="0" applyBorder="0" applyProtection="0"/>
    <xf numFmtId="0" fontId="305" fillId="0" borderId="0" applyNumberFormat="0" applyFont="0" applyBorder="0" applyProtection="0"/>
    <xf numFmtId="0" fontId="309" fillId="0" borderId="0" applyNumberFormat="0" applyBorder="0" applyProtection="0"/>
    <xf numFmtId="0" fontId="53" fillId="0" borderId="0"/>
    <xf numFmtId="43" fontId="53" fillId="0" borderId="0" applyFont="0" applyFill="0" applyBorder="0" applyAlignment="0" applyProtection="0"/>
    <xf numFmtId="0" fontId="53" fillId="0" borderId="0"/>
    <xf numFmtId="166" fontId="238" fillId="0" borderId="0" applyFill="0" applyBorder="0" applyAlignment="0" applyProtection="0"/>
    <xf numFmtId="0" fontId="239" fillId="2" borderId="23">
      <alignment horizontal="center" vertical="center"/>
    </xf>
    <xf numFmtId="0" fontId="52" fillId="0" borderId="0"/>
    <xf numFmtId="43" fontId="52" fillId="0" borderId="0"/>
    <xf numFmtId="0" fontId="286" fillId="23" borderId="17">
      <alignment horizontal="center" vertical="center"/>
    </xf>
    <xf numFmtId="0" fontId="266" fillId="30" borderId="0"/>
    <xf numFmtId="0" fontId="312" fillId="0" borderId="0">
      <alignment vertical="top"/>
      <protection locked="0"/>
    </xf>
    <xf numFmtId="0" fontId="52" fillId="0" borderId="0"/>
    <xf numFmtId="0" fontId="51" fillId="0" borderId="0"/>
    <xf numFmtId="0" fontId="230" fillId="0" borderId="0"/>
    <xf numFmtId="43" fontId="51" fillId="0" borderId="0" applyFont="0" applyFill="0" applyBorder="0" applyAlignment="0" applyProtection="0"/>
    <xf numFmtId="177" fontId="230" fillId="0" borderId="0" applyFont="0" applyFill="0" applyBorder="0" applyAlignment="0" applyProtection="0"/>
    <xf numFmtId="43" fontId="51" fillId="0" borderId="0" applyFont="0" applyFill="0" applyBorder="0" applyAlignment="0" applyProtection="0"/>
    <xf numFmtId="0" fontId="315" fillId="0" borderId="0"/>
    <xf numFmtId="43" fontId="305" fillId="0" borderId="0" applyFont="0" applyFill="0" applyBorder="0" applyAlignment="0" applyProtection="0"/>
    <xf numFmtId="0" fontId="50" fillId="0" borderId="0"/>
    <xf numFmtId="43" fontId="50" fillId="0" borderId="0"/>
    <xf numFmtId="0" fontId="286" fillId="23" borderId="26">
      <alignment horizontal="center" vertical="center"/>
    </xf>
    <xf numFmtId="0" fontId="50" fillId="0" borderId="0"/>
    <xf numFmtId="0" fontId="49" fillId="0" borderId="0"/>
    <xf numFmtId="43" fontId="49" fillId="0" borderId="0"/>
    <xf numFmtId="0" fontId="49" fillId="0" borderId="0"/>
    <xf numFmtId="43" fontId="49" fillId="0" borderId="0"/>
    <xf numFmtId="0" fontId="49" fillId="0" borderId="0"/>
    <xf numFmtId="43" fontId="48" fillId="0" borderId="0"/>
    <xf numFmtId="0" fontId="48" fillId="0" borderId="0"/>
    <xf numFmtId="0" fontId="48" fillId="0" borderId="0"/>
    <xf numFmtId="0" fontId="48" fillId="0" borderId="0"/>
    <xf numFmtId="43" fontId="48" fillId="0" borderId="0"/>
    <xf numFmtId="0" fontId="47" fillId="0" borderId="0"/>
    <xf numFmtId="43" fontId="47" fillId="0" borderId="0"/>
    <xf numFmtId="0" fontId="47" fillId="0" borderId="0"/>
    <xf numFmtId="0" fontId="47" fillId="0" borderId="0"/>
    <xf numFmtId="0" fontId="47" fillId="0" borderId="0"/>
    <xf numFmtId="43" fontId="47" fillId="0" borderId="0"/>
    <xf numFmtId="0" fontId="47" fillId="0" borderId="0"/>
    <xf numFmtId="0" fontId="47" fillId="0" borderId="0"/>
    <xf numFmtId="43" fontId="47" fillId="0" borderId="0" applyFont="0" applyFill="0" applyBorder="0" applyAlignment="0" applyProtection="0"/>
    <xf numFmtId="0" fontId="46" fillId="0" borderId="0"/>
    <xf numFmtId="43" fontId="46" fillId="0" borderId="0"/>
    <xf numFmtId="0" fontId="286" fillId="23" borderId="43">
      <alignment horizontal="center" vertical="center"/>
    </xf>
    <xf numFmtId="0" fontId="46" fillId="0" borderId="0"/>
    <xf numFmtId="0" fontId="45" fillId="0" borderId="0"/>
    <xf numFmtId="43" fontId="45" fillId="0" borderId="0" applyFont="0" applyFill="0" applyBorder="0" applyAlignment="0" applyProtection="0"/>
    <xf numFmtId="0" fontId="286" fillId="23" borderId="43">
      <alignment horizontal="center" vertical="center"/>
    </xf>
    <xf numFmtId="0" fontId="266" fillId="30" borderId="0" applyNumberFormat="0" applyBorder="0" applyAlignment="0" applyProtection="0"/>
    <xf numFmtId="0" fontId="44" fillId="0" borderId="0"/>
    <xf numFmtId="43" fontId="44" fillId="0" borderId="0"/>
    <xf numFmtId="0" fontId="44" fillId="0" borderId="0"/>
    <xf numFmtId="0" fontId="44" fillId="0" borderId="0"/>
    <xf numFmtId="0" fontId="44" fillId="0" borderId="0"/>
    <xf numFmtId="43" fontId="44" fillId="0" borderId="0" applyFont="0" applyFill="0" applyBorder="0" applyAlignment="0" applyProtection="0"/>
    <xf numFmtId="43" fontId="43" fillId="0" borderId="0"/>
    <xf numFmtId="0" fontId="43" fillId="0" borderId="0"/>
    <xf numFmtId="0" fontId="43" fillId="0" borderId="0"/>
    <xf numFmtId="0" fontId="286" fillId="23" borderId="43">
      <alignment horizontal="center" vertical="center"/>
    </xf>
    <xf numFmtId="0" fontId="42" fillId="0" borderId="0"/>
    <xf numFmtId="43" fontId="42" fillId="0" borderId="0"/>
    <xf numFmtId="0" fontId="42" fillId="0" borderId="0"/>
    <xf numFmtId="0" fontId="41" fillId="0" borderId="0"/>
    <xf numFmtId="0" fontId="41" fillId="0" borderId="0"/>
    <xf numFmtId="164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0" fontId="41" fillId="0" borderId="0"/>
    <xf numFmtId="0" fontId="41" fillId="0" borderId="0"/>
    <xf numFmtId="0" fontId="40" fillId="0" borderId="0"/>
    <xf numFmtId="43" fontId="40" fillId="0" borderId="0"/>
    <xf numFmtId="0" fontId="40" fillId="0" borderId="0"/>
    <xf numFmtId="0" fontId="40" fillId="0" borderId="0"/>
    <xf numFmtId="43" fontId="40" fillId="0" borderId="0"/>
    <xf numFmtId="0" fontId="39" fillId="0" borderId="0"/>
    <xf numFmtId="43" fontId="39" fillId="0" borderId="0"/>
    <xf numFmtId="0" fontId="39" fillId="0" borderId="0"/>
    <xf numFmtId="43" fontId="39" fillId="0" borderId="0"/>
    <xf numFmtId="0" fontId="39" fillId="0" borderId="0"/>
    <xf numFmtId="0" fontId="39" fillId="0" borderId="0"/>
    <xf numFmtId="43" fontId="39" fillId="0" borderId="0"/>
    <xf numFmtId="0" fontId="38" fillId="0" borderId="0"/>
    <xf numFmtId="43" fontId="37" fillId="0" borderId="0"/>
    <xf numFmtId="0" fontId="37" fillId="0" borderId="0"/>
    <xf numFmtId="0" fontId="37" fillId="0" borderId="0"/>
    <xf numFmtId="0" fontId="37" fillId="0" borderId="0"/>
    <xf numFmtId="43" fontId="37" fillId="0" borderId="0"/>
    <xf numFmtId="0" fontId="37" fillId="0" borderId="0"/>
    <xf numFmtId="0" fontId="36" fillId="0" borderId="0"/>
    <xf numFmtId="43" fontId="36" fillId="0" borderId="0"/>
    <xf numFmtId="43" fontId="36" fillId="0" borderId="0"/>
    <xf numFmtId="0" fontId="36" fillId="0" borderId="0"/>
    <xf numFmtId="0" fontId="36" fillId="0" borderId="0"/>
    <xf numFmtId="43" fontId="36" fillId="0" borderId="0"/>
    <xf numFmtId="0" fontId="36" fillId="0" borderId="0"/>
    <xf numFmtId="0" fontId="36" fillId="0" borderId="0"/>
    <xf numFmtId="0" fontId="36" fillId="0" borderId="0"/>
    <xf numFmtId="43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297" fillId="0" borderId="0"/>
    <xf numFmtId="166" fontId="238" fillId="0" borderId="0" applyFill="0" applyBorder="0" applyAlignment="0" applyProtection="0"/>
    <xf numFmtId="0" fontId="239" fillId="2" borderId="46">
      <alignment horizontal="center" vertical="center"/>
    </xf>
    <xf numFmtId="0" fontId="35" fillId="0" borderId="0"/>
    <xf numFmtId="43" fontId="35" fillId="0" borderId="0" applyFont="0" applyFill="0" applyBorder="0" applyAlignment="0" applyProtection="0"/>
    <xf numFmtId="0" fontId="230" fillId="0" borderId="0"/>
    <xf numFmtId="43" fontId="230" fillId="0" borderId="0" applyFont="0" applyFill="0" applyBorder="0" applyAlignment="0" applyProtection="0"/>
    <xf numFmtId="0" fontId="35" fillId="0" borderId="0"/>
    <xf numFmtId="0" fontId="35" fillId="14" borderId="0" applyNumberFormat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27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27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27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27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239" fillId="2" borderId="46">
      <alignment horizontal="center" vertical="center"/>
    </xf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77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0" fontId="239" fillId="2" borderId="46">
      <alignment horizontal="center" vertical="center"/>
    </xf>
    <xf numFmtId="0" fontId="35" fillId="0" borderId="0"/>
    <xf numFmtId="43" fontId="35" fillId="0" borderId="0"/>
    <xf numFmtId="0" fontId="286" fillId="23" borderId="43">
      <alignment horizontal="center" vertical="center"/>
    </xf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05" fillId="0" borderId="0"/>
    <xf numFmtId="0" fontId="35" fillId="0" borderId="0"/>
    <xf numFmtId="43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 applyFont="0" applyFill="0" applyBorder="0" applyAlignment="0" applyProtection="0"/>
    <xf numFmtId="43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164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0" fontId="35" fillId="0" borderId="0"/>
    <xf numFmtId="0" fontId="35" fillId="0" borderId="0"/>
    <xf numFmtId="43" fontId="35" fillId="0" borderId="0"/>
    <xf numFmtId="43" fontId="35" fillId="0" borderId="0"/>
    <xf numFmtId="0" fontId="35" fillId="0" borderId="0"/>
    <xf numFmtId="0" fontId="35" fillId="0" borderId="0"/>
    <xf numFmtId="43" fontId="35" fillId="0" borderId="0"/>
    <xf numFmtId="43" fontId="35" fillId="0" borderId="0"/>
    <xf numFmtId="43" fontId="35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43" fontId="31" fillId="0" borderId="0"/>
    <xf numFmtId="0" fontId="31" fillId="0" borderId="0"/>
    <xf numFmtId="0" fontId="286" fillId="23" borderId="47">
      <alignment horizontal="center" vertical="center"/>
    </xf>
    <xf numFmtId="0" fontId="31" fillId="0" borderId="0"/>
    <xf numFmtId="0" fontId="31" fillId="0" borderId="0"/>
    <xf numFmtId="43" fontId="31" fillId="0" borderId="0"/>
    <xf numFmtId="0" fontId="31" fillId="0" borderId="0"/>
    <xf numFmtId="0" fontId="30" fillId="0" borderId="0"/>
    <xf numFmtId="43" fontId="30" fillId="0" borderId="0"/>
    <xf numFmtId="0" fontId="286" fillId="23" borderId="48">
      <alignment horizontal="center" vertical="center"/>
    </xf>
    <xf numFmtId="0" fontId="30" fillId="0" borderId="0"/>
    <xf numFmtId="43" fontId="30" fillId="0" borderId="0"/>
    <xf numFmtId="0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43" fontId="30" fillId="0" borderId="0"/>
    <xf numFmtId="0" fontId="30" fillId="0" borderId="0"/>
    <xf numFmtId="0" fontId="30" fillId="0" borderId="0"/>
    <xf numFmtId="43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43" fontId="29" fillId="0" borderId="0"/>
    <xf numFmtId="0" fontId="29" fillId="0" borderId="0"/>
    <xf numFmtId="0" fontId="29" fillId="0" borderId="0"/>
    <xf numFmtId="0" fontId="29" fillId="0" borderId="0"/>
    <xf numFmtId="43" fontId="29" fillId="0" borderId="0"/>
    <xf numFmtId="0" fontId="29" fillId="0" borderId="0"/>
    <xf numFmtId="0" fontId="29" fillId="0" borderId="0"/>
    <xf numFmtId="43" fontId="29" fillId="0" borderId="0"/>
    <xf numFmtId="43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0" fontId="286" fillId="23" borderId="47">
      <alignment horizontal="center" vertical="center"/>
    </xf>
    <xf numFmtId="0" fontId="27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/>
    <xf numFmtId="0" fontId="25" fillId="0" borderId="0"/>
    <xf numFmtId="43" fontId="25" fillId="0" borderId="0"/>
    <xf numFmtId="0" fontId="25" fillId="0" borderId="0"/>
    <xf numFmtId="0" fontId="25" fillId="0" borderId="0"/>
    <xf numFmtId="0" fontId="25" fillId="0" borderId="0"/>
    <xf numFmtId="43" fontId="25" fillId="0" borderId="0"/>
    <xf numFmtId="0" fontId="25" fillId="0" borderId="0"/>
    <xf numFmtId="0" fontId="25" fillId="0" borderId="0"/>
    <xf numFmtId="43" fontId="25" fillId="0" borderId="0"/>
    <xf numFmtId="43" fontId="25" fillId="0" borderId="0"/>
    <xf numFmtId="0" fontId="25" fillId="0" borderId="0"/>
    <xf numFmtId="0" fontId="25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43" fontId="24" fillId="0" borderId="0"/>
    <xf numFmtId="0" fontId="24" fillId="0" borderId="0"/>
    <xf numFmtId="0" fontId="24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39" fillId="2" borderId="51">
      <alignment horizontal="center" vertical="center"/>
    </xf>
    <xf numFmtId="0" fontId="21" fillId="14" borderId="0" applyNumberFormat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1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86" fillId="23" borderId="57">
      <alignment horizontal="center"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9" fillId="2" borderId="51">
      <alignment horizontal="center" vertical="center"/>
    </xf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86" fillId="23" borderId="52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86" fillId="23" borderId="52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86" fillId="23" borderId="52">
      <alignment horizontal="center" vertical="center"/>
    </xf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9" fillId="2" borderId="51">
      <alignment horizontal="center" vertical="center"/>
    </xf>
    <xf numFmtId="0" fontId="21" fillId="0" borderId="0"/>
    <xf numFmtId="43" fontId="21" fillId="0" borderId="0"/>
    <xf numFmtId="0" fontId="286" fillId="23" borderId="52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86" fillId="23" borderId="48">
      <alignment horizontal="center" vertical="center"/>
    </xf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86" fillId="23" borderId="48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86" fillId="23" borderId="48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/>
    <xf numFmtId="0" fontId="21" fillId="0" borderId="0"/>
    <xf numFmtId="0" fontId="286" fillId="23" borderId="48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0" fontId="239" fillId="2" borderId="53">
      <alignment horizontal="center" vertical="center"/>
    </xf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1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9" fillId="2" borderId="53">
      <alignment horizontal="center" vertical="center"/>
    </xf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39" fillId="2" borderId="53">
      <alignment horizontal="center" vertical="center"/>
    </xf>
    <xf numFmtId="0" fontId="21" fillId="0" borderId="0"/>
    <xf numFmtId="43" fontId="21" fillId="0" borderId="0"/>
    <xf numFmtId="0" fontId="286" fillId="23" borderId="48">
      <alignment horizontal="center" vertical="center"/>
    </xf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16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86" fillId="23" borderId="48">
      <alignment horizontal="center" vertical="center"/>
    </xf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 applyFont="0" applyFill="0" applyBorder="0" applyAlignment="0" applyProtection="0"/>
    <xf numFmtId="0" fontId="21" fillId="0" borderId="0"/>
    <xf numFmtId="0" fontId="286" fillId="23" borderId="48">
      <alignment horizontal="center" vertical="center"/>
    </xf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0" fontId="286" fillId="23" borderId="54">
      <alignment horizontal="center" vertical="center"/>
    </xf>
    <xf numFmtId="0" fontId="286" fillId="23" borderId="56">
      <alignment horizontal="center" vertical="center"/>
    </xf>
    <xf numFmtId="0" fontId="286" fillId="23" borderId="54">
      <alignment horizontal="center" vertical="center"/>
    </xf>
    <xf numFmtId="0" fontId="286" fillId="23" borderId="56">
      <alignment horizontal="center" vertical="center"/>
    </xf>
    <xf numFmtId="0" fontId="286" fillId="23" borderId="54">
      <alignment horizontal="center" vertical="center"/>
    </xf>
    <xf numFmtId="0" fontId="286" fillId="23" borderId="54">
      <alignment horizontal="center" vertical="center"/>
    </xf>
    <xf numFmtId="0" fontId="286" fillId="23" borderId="54">
      <alignment horizontal="center" vertical="center"/>
    </xf>
    <xf numFmtId="0" fontId="286" fillId="23" borderId="57">
      <alignment horizontal="center" vertical="center"/>
    </xf>
    <xf numFmtId="0" fontId="286" fillId="23" borderId="56">
      <alignment horizontal="center" vertical="center"/>
    </xf>
    <xf numFmtId="0" fontId="286" fillId="23" borderId="57">
      <alignment horizontal="center" vertical="center"/>
    </xf>
    <xf numFmtId="0" fontId="239" fillId="2" borderId="55">
      <alignment horizontal="center" vertical="center"/>
    </xf>
    <xf numFmtId="0" fontId="286" fillId="23" borderId="57">
      <alignment horizontal="center" vertical="center"/>
    </xf>
    <xf numFmtId="0" fontId="239" fillId="2" borderId="55">
      <alignment horizontal="center" vertical="center"/>
    </xf>
    <xf numFmtId="0" fontId="239" fillId="2" borderId="55">
      <alignment horizontal="center" vertical="center"/>
    </xf>
    <xf numFmtId="0" fontId="286" fillId="23" borderId="56">
      <alignment horizontal="center" vertical="center"/>
    </xf>
    <xf numFmtId="0" fontId="286" fillId="23" borderId="57">
      <alignment horizontal="center" vertical="center"/>
    </xf>
    <xf numFmtId="0" fontId="286" fillId="23" borderId="57">
      <alignment horizontal="center" vertical="center"/>
    </xf>
    <xf numFmtId="0" fontId="286" fillId="23" borderId="57">
      <alignment horizontal="center" vertical="center"/>
    </xf>
    <xf numFmtId="0" fontId="286" fillId="23" borderId="57">
      <alignment horizontal="center" vertical="center"/>
    </xf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39" fillId="2" borderId="59">
      <alignment horizontal="center" vertical="center"/>
    </xf>
    <xf numFmtId="0" fontId="20" fillId="14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4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59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86" fillId="23" borderId="60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6" fillId="23" borderId="60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6" fillId="23" borderId="60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59">
      <alignment horizontal="center" vertical="center"/>
    </xf>
    <xf numFmtId="0" fontId="20" fillId="0" borderId="0"/>
    <xf numFmtId="43" fontId="20" fillId="0" borderId="0"/>
    <xf numFmtId="0" fontId="286" fillId="23" borderId="60">
      <alignment horizontal="center" vertical="center"/>
    </xf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0" fontId="239" fillId="2" borderId="61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39" fillId="2" borderId="65">
      <alignment horizontal="center" vertical="center"/>
    </xf>
    <xf numFmtId="0" fontId="20" fillId="0" borderId="0"/>
    <xf numFmtId="0" fontId="20" fillId="14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61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61">
      <alignment horizontal="center" vertical="center"/>
    </xf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39" fillId="2" borderId="61">
      <alignment horizontal="center" vertical="center"/>
    </xf>
    <xf numFmtId="0" fontId="20" fillId="14" borderId="0" applyNumberFormat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4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86" fillId="23" borderId="64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61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86" fillId="23" borderId="62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6" fillId="23" borderId="62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86" fillId="23" borderId="62">
      <alignment horizontal="center" vertical="center"/>
    </xf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61">
      <alignment horizontal="center" vertical="center"/>
    </xf>
    <xf numFmtId="0" fontId="20" fillId="0" borderId="0"/>
    <xf numFmtId="43" fontId="20" fillId="0" borderId="0"/>
    <xf numFmtId="0" fontId="286" fillId="23" borderId="62">
      <alignment horizontal="center" vertical="center"/>
    </xf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39" fillId="2" borderId="61">
      <alignment horizontal="center" vertical="center"/>
    </xf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14" borderId="0" applyNumberFormat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39" fillId="2" borderId="61">
      <alignment horizontal="center" vertical="center"/>
    </xf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77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39" fillId="2" borderId="61">
      <alignment horizontal="center" vertical="center"/>
    </xf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 applyFont="0" applyFill="0" applyBorder="0" applyAlignment="0" applyProtection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164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 applyFont="0" applyFill="0" applyBorder="0" applyAlignment="0" applyProtection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43" fontId="20" fillId="0" borderId="0"/>
    <xf numFmtId="0" fontId="20" fillId="0" borderId="0"/>
    <xf numFmtId="0" fontId="20" fillId="0" borderId="0"/>
    <xf numFmtId="43" fontId="20" fillId="0" borderId="0"/>
    <xf numFmtId="0" fontId="286" fillId="23" borderId="62">
      <alignment horizontal="center" vertical="center"/>
    </xf>
    <xf numFmtId="0" fontId="286" fillId="23" borderId="64">
      <alignment horizontal="center" vertical="center"/>
    </xf>
    <xf numFmtId="0" fontId="286" fillId="23" borderId="62">
      <alignment horizontal="center" vertical="center"/>
    </xf>
    <xf numFmtId="0" fontId="286" fillId="23" borderId="64">
      <alignment horizontal="center" vertical="center"/>
    </xf>
    <xf numFmtId="0" fontId="286" fillId="23" borderId="62">
      <alignment horizontal="center" vertical="center"/>
    </xf>
    <xf numFmtId="0" fontId="286" fillId="23" borderId="62">
      <alignment horizontal="center" vertical="center"/>
    </xf>
    <xf numFmtId="0" fontId="286" fillId="23" borderId="62">
      <alignment horizontal="center" vertical="center"/>
    </xf>
    <xf numFmtId="0" fontId="286" fillId="23" borderId="64">
      <alignment horizontal="center" vertical="center"/>
    </xf>
    <xf numFmtId="0" fontId="286" fillId="23" borderId="64">
      <alignment horizontal="center" vertical="center"/>
    </xf>
    <xf numFmtId="0" fontId="286" fillId="23" borderId="64">
      <alignment horizontal="center" vertical="center"/>
    </xf>
    <xf numFmtId="0" fontId="239" fillId="2" borderId="63">
      <alignment horizontal="center" vertical="center"/>
    </xf>
    <xf numFmtId="0" fontId="286" fillId="23" borderId="64">
      <alignment horizontal="center" vertical="center"/>
    </xf>
    <xf numFmtId="0" fontId="239" fillId="2" borderId="63">
      <alignment horizontal="center" vertical="center"/>
    </xf>
    <xf numFmtId="0" fontId="239" fillId="2" borderId="63">
      <alignment horizontal="center" vertical="center"/>
    </xf>
    <xf numFmtId="0" fontId="286" fillId="23" borderId="64">
      <alignment horizontal="center" vertical="center"/>
    </xf>
    <xf numFmtId="0" fontId="286" fillId="23" borderId="64">
      <alignment horizontal="center" vertical="center"/>
    </xf>
    <xf numFmtId="0" fontId="286" fillId="23" borderId="64">
      <alignment horizontal="center" vertical="center"/>
    </xf>
    <xf numFmtId="0" fontId="286" fillId="23" borderId="64">
      <alignment horizontal="center" vertical="center"/>
    </xf>
    <xf numFmtId="0" fontId="286" fillId="23" borderId="64">
      <alignment horizontal="center" vertical="center"/>
    </xf>
    <xf numFmtId="0" fontId="239" fillId="2" borderId="65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39" fillId="2" borderId="67">
      <alignment horizontal="center" vertical="center"/>
    </xf>
    <xf numFmtId="0" fontId="239" fillId="2" borderId="67">
      <alignment horizontal="center" vertical="center"/>
    </xf>
    <xf numFmtId="0" fontId="239" fillId="2" borderId="67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39" fillId="2" borderId="58">
      <alignment horizontal="center" vertical="center"/>
    </xf>
    <xf numFmtId="0" fontId="286" fillId="23" borderId="69">
      <alignment horizontal="center" vertical="center"/>
    </xf>
    <xf numFmtId="0" fontId="239" fillId="2" borderId="58">
      <alignment horizontal="center" vertical="center"/>
    </xf>
    <xf numFmtId="0" fontId="286" fillId="23" borderId="68">
      <alignment horizontal="center" vertical="center"/>
    </xf>
    <xf numFmtId="0" fontId="286" fillId="23" borderId="68">
      <alignment horizontal="center" vertical="center"/>
    </xf>
    <xf numFmtId="0" fontId="286" fillId="23" borderId="68">
      <alignment horizontal="center" vertical="center"/>
    </xf>
    <xf numFmtId="0" fontId="239" fillId="2" borderId="58">
      <alignment horizontal="center" vertical="center"/>
    </xf>
    <xf numFmtId="0" fontId="286" fillId="23" borderId="68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39" fillId="2" borderId="58">
      <alignment horizontal="center" vertical="center"/>
    </xf>
    <xf numFmtId="0" fontId="239" fillId="2" borderId="58">
      <alignment horizontal="center" vertical="center"/>
    </xf>
    <xf numFmtId="0" fontId="239" fillId="2" borderId="58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86" fillId="23" borderId="66">
      <alignment horizontal="center" vertical="center"/>
    </xf>
    <xf numFmtId="0" fontId="286" fillId="23" borderId="68">
      <alignment horizontal="center" vertical="center"/>
    </xf>
    <xf numFmtId="0" fontId="286" fillId="23" borderId="69">
      <alignment horizontal="center" vertical="center"/>
    </xf>
    <xf numFmtId="0" fontId="286" fillId="23" borderId="68">
      <alignment horizontal="center" vertical="center"/>
    </xf>
    <xf numFmtId="0" fontId="286" fillId="23" borderId="69">
      <alignment horizontal="center" vertical="center"/>
    </xf>
    <xf numFmtId="0" fontId="286" fillId="23" borderId="68">
      <alignment horizontal="center" vertical="center"/>
    </xf>
    <xf numFmtId="0" fontId="286" fillId="23" borderId="68">
      <alignment horizontal="center" vertical="center"/>
    </xf>
    <xf numFmtId="0" fontId="286" fillId="23" borderId="68">
      <alignment horizontal="center" vertical="center"/>
    </xf>
    <xf numFmtId="0" fontId="286" fillId="23" borderId="69">
      <alignment horizontal="center" vertical="center"/>
    </xf>
    <xf numFmtId="0" fontId="286" fillId="23" borderId="69">
      <alignment horizontal="center" vertical="center"/>
    </xf>
    <xf numFmtId="0" fontId="286" fillId="23" borderId="69">
      <alignment horizontal="center" vertical="center"/>
    </xf>
    <xf numFmtId="0" fontId="239" fillId="2" borderId="65">
      <alignment horizontal="center" vertical="center"/>
    </xf>
    <xf numFmtId="0" fontId="286" fillId="23" borderId="69">
      <alignment horizontal="center" vertical="center"/>
    </xf>
    <xf numFmtId="0" fontId="239" fillId="2" borderId="65">
      <alignment horizontal="center" vertical="center"/>
    </xf>
    <xf numFmtId="0" fontId="239" fillId="2" borderId="65">
      <alignment horizontal="center" vertical="center"/>
    </xf>
    <xf numFmtId="0" fontId="286" fillId="23" borderId="69">
      <alignment horizontal="center" vertical="center"/>
    </xf>
    <xf numFmtId="0" fontId="286" fillId="23" borderId="69">
      <alignment horizontal="center" vertical="center"/>
    </xf>
    <xf numFmtId="0" fontId="286" fillId="23" borderId="69">
      <alignment horizontal="center" vertical="center"/>
    </xf>
    <xf numFmtId="0" fontId="286" fillId="23" borderId="69">
      <alignment horizontal="center" vertical="center"/>
    </xf>
    <xf numFmtId="0" fontId="286" fillId="23" borderId="69">
      <alignment horizontal="center" vertical="center"/>
    </xf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6" fillId="0" borderId="0"/>
    <xf numFmtId="0" fontId="16" fillId="0" borderId="0"/>
    <xf numFmtId="0" fontId="16" fillId="0" borderId="0"/>
    <xf numFmtId="0" fontId="238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86" fillId="23" borderId="76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97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86" fillId="23" borderId="80">
      <alignment horizontal="center" vertical="center"/>
    </xf>
    <xf numFmtId="9" fontId="7" fillId="0" borderId="0"/>
    <xf numFmtId="0" fontId="286" fillId="23" borderId="81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305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394">
    <xf numFmtId="0" fontId="0" fillId="0" borderId="0" xfId="0"/>
    <xf numFmtId="0" fontId="259" fillId="9" borderId="0" xfId="0" applyFont="1" applyFill="1"/>
    <xf numFmtId="3" fontId="259" fillId="9" borderId="0" xfId="0" applyNumberFormat="1" applyFont="1" applyFill="1"/>
    <xf numFmtId="4" fontId="259" fillId="9" borderId="0" xfId="0" applyNumberFormat="1" applyFont="1" applyFill="1"/>
    <xf numFmtId="0" fontId="259" fillId="9" borderId="0" xfId="0" applyFont="1" applyFill="1" applyAlignment="1">
      <alignment vertical="center"/>
    </xf>
    <xf numFmtId="0" fontId="263" fillId="0" borderId="0" xfId="0" applyFont="1" applyAlignment="1">
      <alignment horizontal="center" vertical="center"/>
    </xf>
    <xf numFmtId="0" fontId="268" fillId="0" borderId="0" xfId="623" applyFont="1" applyAlignment="1">
      <alignment vertical="center"/>
    </xf>
    <xf numFmtId="0" fontId="267" fillId="0" borderId="0" xfId="623" applyFont="1" applyAlignment="1">
      <alignment horizontal="center" vertical="center"/>
    </xf>
    <xf numFmtId="0" fontId="267" fillId="20" borderId="0" xfId="623" applyFont="1" applyFill="1" applyAlignment="1">
      <alignment vertical="center"/>
    </xf>
    <xf numFmtId="0" fontId="267" fillId="0" borderId="0" xfId="623" applyFont="1" applyAlignment="1">
      <alignment vertical="center"/>
    </xf>
    <xf numFmtId="0" fontId="249" fillId="0" borderId="0" xfId="629" applyFont="1"/>
    <xf numFmtId="0" fontId="302" fillId="0" borderId="0" xfId="0" applyFont="1"/>
    <xf numFmtId="0" fontId="302" fillId="19" borderId="0" xfId="0" applyFont="1" applyFill="1"/>
    <xf numFmtId="0" fontId="302" fillId="0" borderId="0" xfId="0" applyFont="1" applyAlignment="1">
      <alignment horizontal="center" vertical="center"/>
    </xf>
    <xf numFmtId="174" fontId="268" fillId="0" borderId="0" xfId="628" applyNumberFormat="1" applyFont="1" applyFill="1" applyBorder="1" applyAlignment="1">
      <alignment vertical="center"/>
    </xf>
    <xf numFmtId="0" fontId="251" fillId="4" borderId="21" xfId="9" applyFont="1" applyBorder="1" applyAlignment="1" applyProtection="1">
      <alignment horizontal="center" vertical="center"/>
    </xf>
    <xf numFmtId="0" fontId="251" fillId="4" borderId="22" xfId="9" applyFont="1" applyBorder="1" applyAlignment="1" applyProtection="1">
      <alignment horizontal="center" wrapText="1"/>
    </xf>
    <xf numFmtId="0" fontId="251" fillId="4" borderId="21" xfId="9" applyFont="1" applyBorder="1" applyAlignment="1" applyProtection="1">
      <alignment horizontal="center" vertical="center" wrapText="1"/>
    </xf>
    <xf numFmtId="0" fontId="249" fillId="9" borderId="0" xfId="629" applyFont="1" applyFill="1"/>
    <xf numFmtId="14" fontId="249" fillId="9" borderId="0" xfId="629" applyNumberFormat="1" applyFont="1" applyFill="1" applyAlignment="1">
      <alignment horizontal="center"/>
    </xf>
    <xf numFmtId="0" fontId="239" fillId="9" borderId="0" xfId="629" applyFont="1" applyFill="1"/>
    <xf numFmtId="168" fontId="254" fillId="9" borderId="0" xfId="629" applyNumberFormat="1" applyFont="1" applyFill="1"/>
    <xf numFmtId="168" fontId="298" fillId="9" borderId="0" xfId="629" applyNumberFormat="1" applyFont="1" applyFill="1" applyAlignment="1">
      <alignment horizontal="center"/>
    </xf>
    <xf numFmtId="0" fontId="254" fillId="9" borderId="0" xfId="629" applyFont="1" applyFill="1"/>
    <xf numFmtId="0" fontId="239" fillId="9" borderId="11" xfId="662" applyFill="1" applyBorder="1" applyAlignment="1">
      <alignment horizontal="center"/>
    </xf>
    <xf numFmtId="0" fontId="239" fillId="9" borderId="0" xfId="629" applyFont="1" applyFill="1" applyAlignment="1">
      <alignment horizontal="center"/>
    </xf>
    <xf numFmtId="168" fontId="257" fillId="9" borderId="23" xfId="629" applyNumberFormat="1" applyFont="1" applyFill="1" applyBorder="1" applyAlignment="1">
      <alignment horizontal="center"/>
    </xf>
    <xf numFmtId="14" fontId="239" fillId="9" borderId="0" xfId="629" applyNumberFormat="1" applyFont="1" applyFill="1" applyAlignment="1">
      <alignment horizontal="center"/>
    </xf>
    <xf numFmtId="14" fontId="250" fillId="9" borderId="11" xfId="662" applyNumberFormat="1" applyFont="1" applyFill="1" applyBorder="1" applyAlignment="1">
      <alignment horizontal="center"/>
    </xf>
    <xf numFmtId="0" fontId="250" fillId="9" borderId="11" xfId="662" applyFont="1" applyFill="1" applyBorder="1" applyAlignment="1">
      <alignment horizontal="center"/>
    </xf>
    <xf numFmtId="0" fontId="251" fillId="4" borderId="17" xfId="9" applyFont="1" applyBorder="1" applyAlignment="1" applyProtection="1">
      <alignment horizontal="center" vertical="center"/>
    </xf>
    <xf numFmtId="14" fontId="274" fillId="9" borderId="24" xfId="629" applyNumberFormat="1" applyFont="1" applyFill="1" applyBorder="1" applyAlignment="1">
      <alignment horizontal="center" vertical="center"/>
    </xf>
    <xf numFmtId="0" fontId="279" fillId="25" borderId="17" xfId="629" applyFont="1" applyFill="1" applyBorder="1" applyAlignment="1">
      <alignment horizontal="center" vertical="center" wrapText="1"/>
    </xf>
    <xf numFmtId="0" fontId="249" fillId="24" borderId="0" xfId="629" applyFont="1" applyFill="1" applyAlignment="1">
      <alignment vertical="center"/>
    </xf>
    <xf numFmtId="0" fontId="252" fillId="26" borderId="17" xfId="629" applyFont="1" applyFill="1" applyBorder="1" applyAlignment="1">
      <alignment horizontal="center" vertical="center"/>
    </xf>
    <xf numFmtId="167" fontId="258" fillId="26" borderId="16" xfId="661" applyNumberFormat="1" applyFont="1" applyFill="1" applyBorder="1" applyAlignment="1" applyProtection="1">
      <alignment horizontal="center" vertical="center"/>
    </xf>
    <xf numFmtId="167" fontId="258" fillId="26" borderId="17" xfId="661" applyNumberFormat="1" applyFont="1" applyFill="1" applyBorder="1" applyAlignment="1" applyProtection="1">
      <alignment vertical="center"/>
    </xf>
    <xf numFmtId="0" fontId="249" fillId="0" borderId="0" xfId="629" applyFont="1" applyAlignment="1">
      <alignment horizontal="center"/>
    </xf>
    <xf numFmtId="14" fontId="249" fillId="0" borderId="0" xfId="629" applyNumberFormat="1" applyFont="1" applyAlignment="1">
      <alignment horizontal="center"/>
    </xf>
    <xf numFmtId="0" fontId="256" fillId="0" borderId="0" xfId="629" applyFont="1" applyAlignment="1">
      <alignment horizontal="center"/>
    </xf>
    <xf numFmtId="0" fontId="268" fillId="0" borderId="26" xfId="623" applyFont="1" applyBorder="1" applyAlignment="1">
      <alignment horizontal="center" vertical="center"/>
    </xf>
    <xf numFmtId="0" fontId="268" fillId="0" borderId="26" xfId="627" applyFont="1" applyBorder="1" applyAlignment="1">
      <alignment vertical="center"/>
    </xf>
    <xf numFmtId="14" fontId="257" fillId="24" borderId="17" xfId="629" applyNumberFormat="1" applyFont="1" applyFill="1" applyBorder="1" applyAlignment="1">
      <alignment vertical="center"/>
    </xf>
    <xf numFmtId="167" fontId="249" fillId="24" borderId="0" xfId="629" applyNumberFormat="1" applyFont="1" applyFill="1" applyAlignment="1">
      <alignment vertical="center"/>
    </xf>
    <xf numFmtId="167" fontId="258" fillId="24" borderId="0" xfId="661" applyNumberFormat="1" applyFont="1" applyFill="1" applyBorder="1" applyAlignment="1" applyProtection="1">
      <alignment vertical="center"/>
    </xf>
    <xf numFmtId="0" fontId="268" fillId="0" borderId="33" xfId="623" applyFont="1" applyBorder="1" applyAlignment="1">
      <alignment horizontal="center" vertical="center"/>
    </xf>
    <xf numFmtId="169" fontId="268" fillId="0" borderId="39" xfId="626" applyNumberFormat="1" applyFont="1" applyBorder="1" applyAlignment="1">
      <alignment horizontal="center" vertical="center"/>
    </xf>
    <xf numFmtId="167" fontId="296" fillId="9" borderId="0" xfId="629" applyNumberFormat="1" applyFont="1" applyFill="1"/>
    <xf numFmtId="167" fontId="296" fillId="24" borderId="0" xfId="629" applyNumberFormat="1" applyFont="1" applyFill="1"/>
    <xf numFmtId="0" fontId="257" fillId="24" borderId="17" xfId="629" applyFont="1" applyFill="1" applyBorder="1" applyAlignment="1">
      <alignment vertical="center"/>
    </xf>
    <xf numFmtId="0" fontId="256" fillId="24" borderId="43" xfId="629" applyFont="1" applyFill="1" applyBorder="1" applyAlignment="1">
      <alignment horizontal="center" vertical="center"/>
    </xf>
    <xf numFmtId="0" fontId="272" fillId="24" borderId="43" xfId="629" applyFont="1" applyFill="1" applyBorder="1" applyAlignment="1">
      <alignment vertical="center"/>
    </xf>
    <xf numFmtId="14" fontId="257" fillId="24" borderId="43" xfId="629" applyNumberFormat="1" applyFont="1" applyFill="1" applyBorder="1" applyAlignment="1">
      <alignment vertical="center"/>
    </xf>
    <xf numFmtId="172" fontId="277" fillId="19" borderId="35" xfId="627" applyNumberFormat="1" applyFont="1" applyFill="1" applyBorder="1" applyAlignment="1">
      <alignment vertical="center" wrapText="1"/>
    </xf>
    <xf numFmtId="0" fontId="257" fillId="24" borderId="43" xfId="629" applyFont="1" applyFill="1" applyBorder="1" applyAlignment="1">
      <alignment vertical="center"/>
    </xf>
    <xf numFmtId="0" fontId="294" fillId="0" borderId="43" xfId="581" applyFont="1" applyBorder="1" applyAlignment="1">
      <alignment horizontal="center"/>
    </xf>
    <xf numFmtId="167" fontId="257" fillId="19" borderId="17" xfId="629" applyNumberFormat="1" applyFont="1" applyFill="1" applyBorder="1" applyAlignment="1">
      <alignment vertical="center"/>
    </xf>
    <xf numFmtId="167" fontId="257" fillId="19" borderId="43" xfId="629" applyNumberFormat="1" applyFont="1" applyFill="1" applyBorder="1" applyAlignment="1">
      <alignment vertical="center"/>
    </xf>
    <xf numFmtId="0" fontId="44" fillId="0" borderId="0" xfId="709"/>
    <xf numFmtId="169" fontId="310" fillId="0" borderId="43" xfId="709" applyNumberFormat="1" applyFont="1" applyBorder="1" applyAlignment="1">
      <alignment horizontal="center" vertical="center"/>
    </xf>
    <xf numFmtId="182" fontId="294" fillId="0" borderId="43" xfId="711" applyNumberFormat="1" applyFont="1" applyBorder="1" applyAlignment="1">
      <alignment horizontal="center"/>
    </xf>
    <xf numFmtId="0" fontId="294" fillId="32" borderId="43" xfId="711" applyFont="1" applyFill="1" applyBorder="1" applyAlignment="1">
      <alignment horizontal="center"/>
    </xf>
    <xf numFmtId="0" fontId="294" fillId="0" borderId="43" xfId="711" applyFont="1" applyBorder="1" applyAlignment="1">
      <alignment horizontal="center"/>
    </xf>
    <xf numFmtId="0" fontId="294" fillId="19" borderId="43" xfId="711" applyFont="1" applyFill="1" applyBorder="1" applyAlignment="1">
      <alignment horizontal="left"/>
    </xf>
    <xf numFmtId="0" fontId="257" fillId="24" borderId="0" xfId="0" applyFont="1" applyFill="1" applyAlignment="1">
      <alignment horizontal="center" wrapText="1"/>
    </xf>
    <xf numFmtId="0" fontId="313" fillId="9" borderId="0" xfId="629" applyFont="1" applyFill="1" applyAlignment="1">
      <alignment horizontal="center"/>
    </xf>
    <xf numFmtId="167" fontId="268" fillId="0" borderId="43" xfId="1" applyNumberFormat="1" applyFont="1" applyBorder="1" applyAlignment="1">
      <alignment horizontal="center"/>
    </xf>
    <xf numFmtId="171" fontId="268" fillId="0" borderId="43" xfId="1" applyNumberFormat="1" applyFont="1" applyBorder="1" applyAlignment="1">
      <alignment horizontal="center"/>
    </xf>
    <xf numFmtId="0" fontId="294" fillId="34" borderId="0" xfId="711" applyFont="1" applyFill="1" applyAlignment="1">
      <alignment horizontal="left"/>
    </xf>
    <xf numFmtId="0" fontId="294" fillId="34" borderId="43" xfId="711" applyFont="1" applyFill="1" applyBorder="1" applyAlignment="1">
      <alignment horizontal="center"/>
    </xf>
    <xf numFmtId="0" fontId="294" fillId="34" borderId="43" xfId="711" applyFont="1" applyFill="1" applyBorder="1" applyAlignment="1">
      <alignment horizontal="left" wrapText="1"/>
    </xf>
    <xf numFmtId="0" fontId="285" fillId="0" borderId="13" xfId="711" applyFont="1" applyBorder="1"/>
    <xf numFmtId="0" fontId="285" fillId="0" borderId="6" xfId="711" applyFont="1" applyBorder="1" applyAlignment="1">
      <alignment wrapText="1"/>
    </xf>
    <xf numFmtId="0" fontId="316" fillId="0" borderId="0" xfId="0" applyFont="1" applyAlignment="1" applyProtection="1">
      <alignment horizontal="center" vertical="center"/>
      <protection locked="0"/>
    </xf>
    <xf numFmtId="0" fontId="297" fillId="19" borderId="48" xfId="0" applyFont="1" applyFill="1" applyBorder="1"/>
    <xf numFmtId="0" fontId="257" fillId="24" borderId="48" xfId="0" applyFont="1" applyFill="1" applyBorder="1" applyAlignment="1">
      <alignment horizontal="center" wrapText="1"/>
    </xf>
    <xf numFmtId="0" fontId="0" fillId="19" borderId="48" xfId="0" applyFill="1" applyBorder="1"/>
    <xf numFmtId="0" fontId="268" fillId="0" borderId="48" xfId="623" applyFont="1" applyBorder="1" applyAlignment="1">
      <alignment horizontal="center" vertical="center"/>
    </xf>
    <xf numFmtId="0" fontId="294" fillId="34" borderId="43" xfId="711" applyFont="1" applyFill="1" applyBorder="1" applyAlignment="1">
      <alignment horizontal="center" vertical="center" wrapText="1"/>
    </xf>
    <xf numFmtId="174" fontId="278" fillId="0" borderId="35" xfId="628" applyNumberFormat="1" applyFont="1" applyFill="1" applyBorder="1" applyAlignment="1">
      <alignment vertical="center"/>
    </xf>
    <xf numFmtId="0" fontId="268" fillId="0" borderId="50" xfId="623" applyFont="1" applyBorder="1" applyAlignment="1">
      <alignment horizontal="center" vertical="center"/>
    </xf>
    <xf numFmtId="0" fontId="268" fillId="0" borderId="49" xfId="623" applyFont="1" applyBorder="1" applyAlignment="1">
      <alignment horizontal="center" vertical="center"/>
    </xf>
    <xf numFmtId="0" fontId="294" fillId="32" borderId="12" xfId="711" applyFont="1" applyFill="1" applyBorder="1" applyAlignment="1">
      <alignment horizontal="left"/>
    </xf>
    <xf numFmtId="0" fontId="294" fillId="0" borderId="6" xfId="711" applyFont="1" applyBorder="1" applyAlignment="1">
      <alignment horizontal="center"/>
    </xf>
    <xf numFmtId="0" fontId="294" fillId="32" borderId="44" xfId="711" applyFont="1" applyFill="1" applyBorder="1" applyAlignment="1">
      <alignment horizontal="center"/>
    </xf>
    <xf numFmtId="0" fontId="294" fillId="32" borderId="44" xfId="711" applyFont="1" applyFill="1" applyBorder="1" applyAlignment="1">
      <alignment horizontal="left"/>
    </xf>
    <xf numFmtId="167" fontId="268" fillId="32" borderId="12" xfId="1" applyNumberFormat="1" applyFont="1" applyFill="1" applyBorder="1" applyAlignment="1">
      <alignment horizontal="center"/>
    </xf>
    <xf numFmtId="0" fontId="294" fillId="32" borderId="12" xfId="581" applyFont="1" applyFill="1" applyBorder="1" applyAlignment="1">
      <alignment horizontal="center"/>
    </xf>
    <xf numFmtId="43" fontId="268" fillId="32" borderId="12" xfId="1" applyNumberFormat="1" applyFont="1" applyFill="1" applyBorder="1" applyAlignment="1">
      <alignment horizontal="center"/>
    </xf>
    <xf numFmtId="0" fontId="294" fillId="32" borderId="28" xfId="711" applyFont="1" applyFill="1" applyBorder="1"/>
    <xf numFmtId="0" fontId="294" fillId="32" borderId="27" xfId="711" applyFont="1" applyFill="1" applyBorder="1"/>
    <xf numFmtId="185" fontId="285" fillId="32" borderId="43" xfId="711" applyNumberFormat="1" applyFont="1" applyFill="1" applyBorder="1" applyAlignment="1">
      <alignment horizontal="center"/>
    </xf>
    <xf numFmtId="0" fontId="294" fillId="32" borderId="29" xfId="711" applyFont="1" applyFill="1" applyBorder="1"/>
    <xf numFmtId="187" fontId="285" fillId="32" borderId="43" xfId="711" applyNumberFormat="1" applyFont="1" applyFill="1" applyBorder="1" applyAlignment="1">
      <alignment horizontal="center"/>
    </xf>
    <xf numFmtId="167" fontId="268" fillId="0" borderId="43" xfId="1" applyNumberFormat="1" applyFont="1" applyBorder="1" applyAlignment="1">
      <alignment horizontal="left"/>
    </xf>
    <xf numFmtId="0" fontId="285" fillId="0" borderId="6" xfId="711" applyFont="1" applyBorder="1" applyAlignment="1">
      <alignment horizontal="left"/>
    </xf>
    <xf numFmtId="0" fontId="287" fillId="19" borderId="49" xfId="0" applyFont="1" applyFill="1" applyBorder="1" applyAlignment="1">
      <alignment horizontal="center" vertical="center"/>
    </xf>
    <xf numFmtId="171" fontId="268" fillId="0" borderId="48" xfId="1" applyNumberFormat="1" applyFont="1" applyBorder="1" applyAlignment="1">
      <alignment horizontal="center"/>
    </xf>
    <xf numFmtId="169" fontId="294" fillId="0" borderId="43" xfId="581" applyNumberFormat="1" applyFont="1" applyBorder="1" applyAlignment="1">
      <alignment horizontal="center"/>
    </xf>
    <xf numFmtId="169" fontId="294" fillId="0" borderId="48" xfId="581" applyNumberFormat="1" applyFont="1" applyBorder="1" applyAlignment="1">
      <alignment horizontal="center"/>
    </xf>
    <xf numFmtId="182" fontId="294" fillId="0" borderId="43" xfId="711" applyNumberFormat="1" applyFont="1" applyBorder="1" applyAlignment="1">
      <alignment horizontal="center" vertical="center"/>
    </xf>
    <xf numFmtId="14" fontId="267" fillId="19" borderId="26" xfId="623" applyNumberFormat="1" applyFont="1" applyFill="1" applyBorder="1" applyAlignment="1">
      <alignment vertical="center"/>
    </xf>
    <xf numFmtId="14" fontId="267" fillId="19" borderId="49" xfId="623" applyNumberFormat="1" applyFont="1" applyFill="1" applyBorder="1" applyAlignment="1">
      <alignment vertical="center"/>
    </xf>
    <xf numFmtId="14" fontId="267" fillId="19" borderId="48" xfId="623" applyNumberFormat="1" applyFont="1" applyFill="1" applyBorder="1" applyAlignment="1">
      <alignment vertical="center"/>
    </xf>
    <xf numFmtId="0" fontId="319" fillId="24" borderId="17" xfId="629" applyFont="1" applyFill="1" applyBorder="1" applyAlignment="1">
      <alignment horizontal="right" wrapText="1"/>
    </xf>
    <xf numFmtId="0" fontId="303" fillId="24" borderId="43" xfId="629" applyFont="1" applyFill="1" applyBorder="1" applyAlignment="1">
      <alignment horizontal="right" wrapText="1"/>
    </xf>
    <xf numFmtId="0" fontId="44" fillId="0" borderId="48" xfId="709" applyBorder="1"/>
    <xf numFmtId="0" fontId="19" fillId="0" borderId="48" xfId="709" applyFont="1" applyBorder="1"/>
    <xf numFmtId="167" fontId="238" fillId="0" borderId="48" xfId="1" applyNumberFormat="1" applyBorder="1"/>
    <xf numFmtId="167" fontId="238" fillId="18" borderId="48" xfId="1" applyNumberFormat="1" applyFill="1" applyBorder="1"/>
    <xf numFmtId="0" fontId="44" fillId="21" borderId="0" xfId="709" applyFill="1"/>
    <xf numFmtId="0" fontId="17" fillId="0" borderId="0" xfId="709" applyFont="1"/>
    <xf numFmtId="169" fontId="44" fillId="0" borderId="0" xfId="709" applyNumberFormat="1"/>
    <xf numFmtId="0" fontId="0" fillId="19" borderId="69" xfId="0" applyFill="1" applyBorder="1"/>
    <xf numFmtId="169" fontId="294" fillId="0" borderId="69" xfId="581" applyNumberFormat="1" applyFont="1" applyBorder="1" applyAlignment="1">
      <alignment horizontal="center"/>
    </xf>
    <xf numFmtId="0" fontId="13" fillId="0" borderId="0" xfId="709" applyFont="1"/>
    <xf numFmtId="0" fontId="285" fillId="32" borderId="27" xfId="711" applyFont="1" applyFill="1" applyBorder="1"/>
    <xf numFmtId="0" fontId="268" fillId="0" borderId="72" xfId="623" applyFont="1" applyBorder="1" applyAlignment="1">
      <alignment horizontal="center" vertical="center"/>
    </xf>
    <xf numFmtId="0" fontId="257" fillId="24" borderId="72" xfId="0" applyFont="1" applyFill="1" applyBorder="1" applyAlignment="1">
      <alignment horizontal="center" wrapText="1"/>
    </xf>
    <xf numFmtId="0" fontId="268" fillId="0" borderId="72" xfId="627" applyFont="1" applyBorder="1" applyAlignment="1">
      <alignment vertical="center"/>
    </xf>
    <xf numFmtId="14" fontId="267" fillId="19" borderId="72" xfId="623" applyNumberFormat="1" applyFont="1" applyFill="1" applyBorder="1" applyAlignment="1">
      <alignment vertical="center"/>
    </xf>
    <xf numFmtId="0" fontId="296" fillId="35" borderId="76" xfId="0" applyFont="1" applyFill="1" applyBorder="1" applyAlignment="1">
      <alignment horizontal="center"/>
    </xf>
    <xf numFmtId="43" fontId="44" fillId="0" borderId="0" xfId="709" applyNumberFormat="1"/>
    <xf numFmtId="0" fontId="286" fillId="32" borderId="27" xfId="709" applyFont="1" applyFill="1" applyBorder="1" applyAlignment="1">
      <alignment vertical="center"/>
    </xf>
    <xf numFmtId="0" fontId="268" fillId="32" borderId="43" xfId="711" applyFont="1" applyFill="1" applyBorder="1" applyAlignment="1">
      <alignment horizontal="center" vertical="center"/>
    </xf>
    <xf numFmtId="0" fontId="4" fillId="0" borderId="0" xfId="6020"/>
    <xf numFmtId="0" fontId="294" fillId="0" borderId="81" xfId="6020" applyFont="1" applyBorder="1" applyAlignment="1">
      <alignment horizontal="center"/>
    </xf>
    <xf numFmtId="0" fontId="294" fillId="0" borderId="81" xfId="6020" applyFont="1" applyBorder="1"/>
    <xf numFmtId="171" fontId="294" fillId="0" borderId="81" xfId="6021" applyNumberFormat="1" applyFont="1" applyBorder="1"/>
    <xf numFmtId="171" fontId="285" fillId="0" borderId="81" xfId="6020" applyNumberFormat="1" applyFont="1" applyBorder="1"/>
    <xf numFmtId="167" fontId="296" fillId="32" borderId="43" xfId="1" applyNumberFormat="1" applyFont="1" applyFill="1" applyBorder="1" applyAlignment="1">
      <alignment horizontal="right" vertical="center"/>
    </xf>
    <xf numFmtId="167" fontId="268" fillId="0" borderId="81" xfId="1" applyNumberFormat="1" applyFont="1" applyBorder="1"/>
    <xf numFmtId="0" fontId="294" fillId="0" borderId="81" xfId="6020" applyFont="1" applyBorder="1" applyAlignment="1">
      <alignment shrinkToFit="1"/>
    </xf>
    <xf numFmtId="0" fontId="294" fillId="19" borderId="43" xfId="711" applyFont="1" applyFill="1" applyBorder="1" applyAlignment="1">
      <alignment horizontal="center" vertical="center"/>
    </xf>
    <xf numFmtId="167" fontId="268" fillId="0" borderId="12" xfId="712" applyNumberFormat="1" applyFont="1" applyBorder="1" applyAlignment="1">
      <alignment horizontal="center" vertical="center"/>
    </xf>
    <xf numFmtId="167" fontId="268" fillId="19" borderId="43" xfId="712" applyNumberFormat="1" applyFont="1" applyFill="1" applyBorder="1" applyAlignment="1">
      <alignment horizontal="center" vertical="center"/>
    </xf>
    <xf numFmtId="0" fontId="281" fillId="0" borderId="43" xfId="709" applyFont="1" applyBorder="1" applyAlignment="1">
      <alignment vertical="center"/>
    </xf>
    <xf numFmtId="167" fontId="268" fillId="0" borderId="43" xfId="712" applyNumberFormat="1" applyFont="1" applyBorder="1" applyAlignment="1">
      <alignment vertical="center"/>
    </xf>
    <xf numFmtId="0" fontId="281" fillId="0" borderId="43" xfId="709" applyFont="1" applyBorder="1"/>
    <xf numFmtId="167" fontId="268" fillId="0" borderId="43" xfId="712" applyNumberFormat="1" applyFont="1" applyBorder="1" applyAlignment="1">
      <alignment horizontal="center"/>
    </xf>
    <xf numFmtId="0" fontId="281" fillId="32" borderId="27" xfId="709" applyFont="1" applyFill="1" applyBorder="1"/>
    <xf numFmtId="0" fontId="281" fillId="32" borderId="28" xfId="709" applyFont="1" applyFill="1" applyBorder="1"/>
    <xf numFmtId="167" fontId="278" fillId="32" borderId="43" xfId="712" applyNumberFormat="1" applyFont="1" applyFill="1" applyBorder="1" applyAlignment="1">
      <alignment horizontal="center" vertical="center"/>
    </xf>
    <xf numFmtId="171" fontId="281" fillId="0" borderId="81" xfId="1" applyNumberFormat="1" applyFont="1" applyBorder="1"/>
    <xf numFmtId="0" fontId="262" fillId="0" borderId="81" xfId="0" applyFont="1" applyBorder="1" applyAlignment="1">
      <alignment horizontal="center" vertical="center" wrapText="1"/>
    </xf>
    <xf numFmtId="0" fontId="319" fillId="0" borderId="81" xfId="0" applyFont="1" applyBorder="1" applyAlignment="1">
      <alignment horizontal="center" vertical="center" wrapText="1"/>
    </xf>
    <xf numFmtId="14" fontId="294" fillId="0" borderId="81" xfId="6020" applyNumberFormat="1" applyFont="1" applyBorder="1"/>
    <xf numFmtId="0" fontId="260" fillId="9" borderId="88" xfId="0" applyFont="1" applyFill="1" applyBorder="1" applyAlignment="1">
      <alignment vertical="center" wrapText="1"/>
    </xf>
    <xf numFmtId="0" fontId="252" fillId="12" borderId="88" xfId="0" applyFont="1" applyFill="1" applyBorder="1" applyAlignment="1">
      <alignment vertical="center" wrapText="1"/>
    </xf>
    <xf numFmtId="3" fontId="252" fillId="12" borderId="88" xfId="0" applyNumberFormat="1" applyFont="1" applyFill="1" applyBorder="1" applyAlignment="1">
      <alignment vertical="center" wrapText="1"/>
    </xf>
    <xf numFmtId="0" fontId="252" fillId="10" borderId="88" xfId="0" applyFont="1" applyFill="1" applyBorder="1" applyAlignment="1">
      <alignment horizontal="center" vertical="center" wrapText="1"/>
    </xf>
    <xf numFmtId="9" fontId="252" fillId="11" borderId="88" xfId="0" applyNumberFormat="1" applyFont="1" applyFill="1" applyBorder="1" applyAlignment="1">
      <alignment horizontal="center" vertical="center" wrapText="1"/>
    </xf>
    <xf numFmtId="0" fontId="261" fillId="0" borderId="81" xfId="0" applyFont="1" applyBorder="1" applyAlignment="1">
      <alignment horizontal="center" vertical="center" wrapText="1"/>
    </xf>
    <xf numFmtId="3" fontId="262" fillId="0" borderId="81" xfId="0" applyNumberFormat="1" applyFont="1" applyBorder="1" applyAlignment="1">
      <alignment horizontal="center" vertical="center" wrapText="1"/>
    </xf>
    <xf numFmtId="0" fontId="304" fillId="0" borderId="81" xfId="0" applyFont="1" applyBorder="1" applyAlignment="1">
      <alignment horizontal="center" vertical="center" wrapText="1"/>
    </xf>
    <xf numFmtId="0" fontId="256" fillId="9" borderId="81" xfId="0" applyFont="1" applyFill="1" applyBorder="1" applyAlignment="1">
      <alignment vertical="center"/>
    </xf>
    <xf numFmtId="14" fontId="273" fillId="0" borderId="81" xfId="0" applyNumberFormat="1" applyFont="1" applyBorder="1" applyAlignment="1">
      <alignment vertical="center"/>
    </xf>
    <xf numFmtId="3" fontId="253" fillId="0" borderId="81" xfId="0" applyNumberFormat="1" applyFont="1" applyBorder="1" applyAlignment="1">
      <alignment vertical="center"/>
    </xf>
    <xf numFmtId="170" fontId="257" fillId="11" borderId="81" xfId="1" applyNumberFormat="1" applyFont="1" applyFill="1" applyBorder="1" applyAlignment="1" applyProtection="1">
      <alignment vertical="center"/>
    </xf>
    <xf numFmtId="171" fontId="263" fillId="0" borderId="81" xfId="0" applyNumberFormat="1" applyFont="1" applyBorder="1" applyAlignment="1">
      <alignment horizontal="center" vertical="center"/>
    </xf>
    <xf numFmtId="167" fontId="273" fillId="0" borderId="66" xfId="1" applyNumberFormat="1" applyFont="1" applyFill="1" applyBorder="1" applyAlignment="1" applyProtection="1">
      <alignment vertical="center"/>
    </xf>
    <xf numFmtId="0" fontId="322" fillId="0" borderId="25" xfId="6020" applyFont="1" applyBorder="1" applyAlignment="1">
      <alignment horizontal="center" vertical="center"/>
    </xf>
    <xf numFmtId="0" fontId="322" fillId="0" borderId="42" xfId="6020" applyFont="1" applyBorder="1" applyAlignment="1">
      <alignment horizontal="center" vertical="center"/>
    </xf>
    <xf numFmtId="0" fontId="322" fillId="0" borderId="25" xfId="6020" applyFont="1" applyBorder="1" applyAlignment="1">
      <alignment horizontal="center" vertical="center" wrapText="1"/>
    </xf>
    <xf numFmtId="0" fontId="280" fillId="18" borderId="32" xfId="623" applyFont="1" applyFill="1" applyBorder="1" applyAlignment="1">
      <alignment horizontal="center" vertical="center" wrapText="1"/>
    </xf>
    <xf numFmtId="0" fontId="280" fillId="20" borderId="32" xfId="623" applyFont="1" applyFill="1" applyBorder="1" applyAlignment="1">
      <alignment horizontal="center" vertical="center" wrapText="1"/>
    </xf>
    <xf numFmtId="0" fontId="280" fillId="20" borderId="30" xfId="623" applyFont="1" applyFill="1" applyBorder="1" applyAlignment="1">
      <alignment horizontal="center" vertical="center" wrapText="1"/>
    </xf>
    <xf numFmtId="0" fontId="311" fillId="26" borderId="27" xfId="629" applyFont="1" applyFill="1" applyBorder="1" applyAlignment="1">
      <alignment horizontal="center" vertical="center"/>
    </xf>
    <xf numFmtId="0" fontId="311" fillId="26" borderId="28" xfId="629" applyFont="1" applyFill="1" applyBorder="1" applyAlignment="1">
      <alignment horizontal="center" vertical="center"/>
    </xf>
    <xf numFmtId="0" fontId="311" fillId="26" borderId="29" xfId="629" applyFont="1" applyFill="1" applyBorder="1" applyAlignment="1">
      <alignment horizontal="center" vertical="center"/>
    </xf>
    <xf numFmtId="0" fontId="294" fillId="32" borderId="43" xfId="711" applyFont="1" applyFill="1" applyBorder="1" applyAlignment="1">
      <alignment horizontal="center" vertical="center"/>
    </xf>
    <xf numFmtId="0" fontId="323" fillId="0" borderId="89" xfId="0" applyFont="1" applyBorder="1" applyAlignment="1">
      <alignment horizontal="center" wrapText="1"/>
    </xf>
    <xf numFmtId="0" fontId="323" fillId="0" borderId="0" xfId="0" applyFont="1" applyAlignment="1">
      <alignment wrapText="1"/>
    </xf>
    <xf numFmtId="0" fontId="323" fillId="0" borderId="90" xfId="0" applyFont="1" applyBorder="1" applyAlignment="1">
      <alignment horizontal="center" wrapText="1"/>
    </xf>
    <xf numFmtId="0" fontId="323" fillId="0" borderId="91" xfId="0" applyFont="1" applyBorder="1" applyAlignment="1">
      <alignment horizontal="center" wrapText="1"/>
    </xf>
    <xf numFmtId="0" fontId="1" fillId="0" borderId="0" xfId="6020" applyFont="1"/>
    <xf numFmtId="0" fontId="322" fillId="0" borderId="92" xfId="6020" applyFont="1" applyBorder="1" applyAlignment="1">
      <alignment horizontal="center" vertical="center"/>
    </xf>
    <xf numFmtId="0" fontId="0" fillId="0" borderId="93" xfId="0" applyBorder="1"/>
    <xf numFmtId="0" fontId="323" fillId="0" borderId="92" xfId="0" applyFont="1" applyBorder="1" applyAlignment="1">
      <alignment horizontal="center" wrapText="1"/>
    </xf>
    <xf numFmtId="189" fontId="324" fillId="0" borderId="42" xfId="6021" applyNumberFormat="1" applyFont="1" applyBorder="1" applyAlignment="1">
      <alignment horizontal="center" vertical="center"/>
    </xf>
    <xf numFmtId="0" fontId="323" fillId="0" borderId="94" xfId="0" applyFont="1" applyBorder="1" applyAlignment="1">
      <alignment horizontal="center" wrapText="1"/>
    </xf>
    <xf numFmtId="0" fontId="323" fillId="0" borderId="95" xfId="0" applyFont="1" applyBorder="1" applyAlignment="1">
      <alignment horizontal="center" wrapText="1"/>
    </xf>
    <xf numFmtId="0" fontId="280" fillId="0" borderId="32" xfId="623" applyFont="1" applyBorder="1" applyAlignment="1">
      <alignment horizontal="center" vertical="center" wrapText="1"/>
    </xf>
    <xf numFmtId="0" fontId="280" fillId="20" borderId="81" xfId="623" applyFont="1" applyFill="1" applyBorder="1" applyAlignment="1">
      <alignment horizontal="center" vertical="center" wrapText="1"/>
    </xf>
    <xf numFmtId="0" fontId="280" fillId="22" borderId="81" xfId="623" applyFont="1" applyFill="1" applyBorder="1" applyAlignment="1">
      <alignment horizontal="center" vertical="center" wrapText="1"/>
    </xf>
    <xf numFmtId="0" fontId="280" fillId="0" borderId="77" xfId="666" applyFont="1" applyFill="1" applyBorder="1" applyAlignment="1">
      <alignment horizontal="center" vertical="center" wrapText="1"/>
    </xf>
    <xf numFmtId="0" fontId="280" fillId="0" borderId="77" xfId="666" applyFont="1" applyFill="1" applyBorder="1" applyAlignment="1">
      <alignment horizontal="center" vertical="center" shrinkToFit="1"/>
    </xf>
    <xf numFmtId="188" fontId="280" fillId="0" borderId="77" xfId="6033" applyNumberFormat="1" applyFont="1" applyFill="1" applyBorder="1" applyAlignment="1">
      <alignment horizontal="center" vertical="center" wrapText="1"/>
    </xf>
    <xf numFmtId="0" fontId="269" fillId="0" borderId="77" xfId="666" applyFont="1" applyFill="1" applyBorder="1" applyAlignment="1">
      <alignment horizontal="center" vertical="center" wrapText="1"/>
    </xf>
    <xf numFmtId="0" fontId="280" fillId="0" borderId="87" xfId="666" applyFont="1" applyFill="1" applyBorder="1" applyAlignment="1">
      <alignment horizontal="center" vertical="center" wrapText="1"/>
    </xf>
    <xf numFmtId="0" fontId="280" fillId="0" borderId="78" xfId="666" applyFont="1" applyFill="1" applyBorder="1" applyAlignment="1">
      <alignment horizontal="center" vertical="center" wrapText="1"/>
    </xf>
    <xf numFmtId="0" fontId="296" fillId="0" borderId="0" xfId="6031" applyFont="1" applyFill="1" applyAlignment="1">
      <alignment wrapText="1"/>
    </xf>
    <xf numFmtId="0" fontId="296" fillId="0" borderId="83" xfId="6031" applyFont="1" applyFill="1" applyBorder="1" applyAlignment="1">
      <alignment wrapText="1"/>
    </xf>
    <xf numFmtId="0" fontId="273" fillId="0" borderId="79" xfId="6031" applyFont="1" applyFill="1" applyBorder="1" applyAlignment="1">
      <alignment vertical="center"/>
    </xf>
    <xf numFmtId="171" fontId="273" fillId="0" borderId="79" xfId="6032" applyNumberFormat="1" applyFont="1" applyFill="1" applyBorder="1" applyAlignment="1">
      <alignment vertical="center"/>
    </xf>
    <xf numFmtId="171" fontId="273" fillId="0" borderId="79" xfId="6032" applyNumberFormat="1" applyFont="1" applyFill="1" applyBorder="1" applyAlignment="1">
      <alignment horizontal="center" vertical="center"/>
    </xf>
    <xf numFmtId="171" fontId="273" fillId="0" borderId="79" xfId="6031" applyNumberFormat="1" applyFont="1" applyFill="1" applyBorder="1" applyAlignment="1">
      <alignment vertical="center"/>
    </xf>
    <xf numFmtId="9" fontId="273" fillId="0" borderId="79" xfId="6032" applyNumberFormat="1" applyFont="1" applyFill="1" applyBorder="1" applyAlignment="1">
      <alignment vertical="center"/>
    </xf>
    <xf numFmtId="171" fontId="273" fillId="0" borderId="79" xfId="6032" quotePrefix="1" applyNumberFormat="1" applyFont="1" applyFill="1" applyBorder="1" applyAlignment="1">
      <alignment vertical="center"/>
    </xf>
    <xf numFmtId="171" fontId="320" fillId="0" borderId="79" xfId="6032" applyNumberFormat="1" applyFont="1" applyFill="1" applyBorder="1" applyAlignment="1">
      <alignment vertical="center"/>
    </xf>
    <xf numFmtId="171" fontId="320" fillId="0" borderId="79" xfId="6031" applyNumberFormat="1" applyFont="1" applyFill="1" applyBorder="1" applyAlignment="1">
      <alignment vertical="center"/>
    </xf>
    <xf numFmtId="178" fontId="273" fillId="0" borderId="48" xfId="627" applyNumberFormat="1" applyFont="1" applyFill="1" applyBorder="1" applyAlignment="1">
      <alignment horizontal="left" vertical="center" wrapText="1"/>
    </xf>
    <xf numFmtId="0" fontId="267" fillId="0" borderId="0" xfId="6031" applyFont="1" applyFill="1"/>
    <xf numFmtId="0" fontId="267" fillId="0" borderId="0" xfId="6031" applyFont="1" applyFill="1" applyAlignment="1">
      <alignment shrinkToFit="1"/>
    </xf>
    <xf numFmtId="171" fontId="267" fillId="0" borderId="0" xfId="6032" applyNumberFormat="1" applyFont="1" applyFill="1"/>
    <xf numFmtId="0" fontId="296" fillId="0" borderId="0" xfId="6031" applyFont="1" applyFill="1"/>
    <xf numFmtId="0" fontId="280" fillId="0" borderId="0" xfId="666" applyFont="1" applyFill="1" applyAlignment="1">
      <alignment horizontal="center" vertical="center" wrapText="1"/>
    </xf>
    <xf numFmtId="0" fontId="280" fillId="0" borderId="0" xfId="666" applyFont="1" applyFill="1" applyAlignment="1">
      <alignment horizontal="center" vertical="center"/>
    </xf>
    <xf numFmtId="0" fontId="280" fillId="0" borderId="0" xfId="666" applyFont="1" applyFill="1" applyAlignment="1">
      <alignment horizontal="center" vertical="center" shrinkToFit="1"/>
    </xf>
    <xf numFmtId="0" fontId="296" fillId="0" borderId="0" xfId="6008" applyFont="1" applyFill="1" applyBorder="1" applyAlignment="1">
      <alignment horizontal="center" vertical="center" wrapText="1"/>
    </xf>
    <xf numFmtId="10" fontId="296" fillId="0" borderId="0" xfId="6008" applyNumberFormat="1" applyFont="1" applyFill="1" applyBorder="1">
      <alignment horizontal="center" vertical="center"/>
    </xf>
    <xf numFmtId="0" fontId="296" fillId="0" borderId="0" xfId="6008" applyFont="1" applyFill="1" applyBorder="1">
      <alignment horizontal="center" vertical="center"/>
    </xf>
    <xf numFmtId="0" fontId="273" fillId="0" borderId="79" xfId="6031" applyFont="1" applyFill="1" applyBorder="1" applyAlignment="1">
      <alignment horizontal="left" vertical="center"/>
    </xf>
    <xf numFmtId="0" fontId="273" fillId="0" borderId="79" xfId="6031" applyFont="1" applyFill="1" applyBorder="1" applyAlignment="1">
      <alignment horizontal="left" vertical="center" shrinkToFit="1"/>
    </xf>
    <xf numFmtId="0" fontId="273" fillId="0" borderId="79" xfId="6031" applyFont="1" applyFill="1" applyBorder="1" applyAlignment="1">
      <alignment horizontal="center" vertical="center"/>
    </xf>
    <xf numFmtId="176" fontId="273" fillId="0" borderId="79" xfId="6032" applyNumberFormat="1" applyFont="1" applyFill="1" applyBorder="1" applyAlignment="1">
      <alignment vertical="center"/>
    </xf>
    <xf numFmtId="171" fontId="267" fillId="0" borderId="79" xfId="6031" applyNumberFormat="1" applyFont="1" applyFill="1" applyBorder="1" applyAlignment="1">
      <alignment vertical="center"/>
    </xf>
    <xf numFmtId="1" fontId="267" fillId="0" borderId="79" xfId="6031" applyNumberFormat="1" applyFont="1" applyFill="1" applyBorder="1" applyAlignment="1">
      <alignment vertical="center"/>
    </xf>
    <xf numFmtId="0" fontId="325" fillId="0" borderId="79" xfId="667" applyFont="1" applyFill="1" applyBorder="1" applyAlignment="1" applyProtection="1">
      <alignment vertical="center"/>
    </xf>
    <xf numFmtId="0" fontId="267" fillId="0" borderId="0" xfId="6031" applyFont="1" applyFill="1" applyAlignment="1">
      <alignment vertical="center"/>
    </xf>
    <xf numFmtId="167" fontId="326" fillId="0" borderId="81" xfId="1" applyNumberFormat="1" applyFont="1" applyFill="1" applyBorder="1" applyAlignment="1">
      <alignment horizontal="center" vertical="center" wrapText="1"/>
    </xf>
    <xf numFmtId="10" fontId="327" fillId="0" borderId="81" xfId="6008" applyNumberFormat="1" applyFont="1" applyFill="1">
      <alignment horizontal="center" vertical="center"/>
    </xf>
    <xf numFmtId="0" fontId="280" fillId="0" borderId="96" xfId="36" applyFont="1" applyFill="1" applyBorder="1" applyAlignment="1">
      <alignment horizontal="center" vertical="center" wrapText="1"/>
    </xf>
    <xf numFmtId="0" fontId="280" fillId="0" borderId="96" xfId="0" applyFont="1" applyFill="1" applyBorder="1" applyAlignment="1">
      <alignment horizontal="center" vertical="center" wrapText="1"/>
    </xf>
    <xf numFmtId="0" fontId="317" fillId="0" borderId="12" xfId="0" applyFont="1" applyFill="1" applyBorder="1" applyAlignment="1">
      <alignment horizontal="center" vertical="center" wrapText="1"/>
    </xf>
    <xf numFmtId="0" fontId="314" fillId="0" borderId="81" xfId="36" applyFont="1" applyFill="1" applyBorder="1" applyAlignment="1">
      <alignment horizontal="center" vertical="center" wrapText="1"/>
    </xf>
    <xf numFmtId="0" fontId="280" fillId="0" borderId="12" xfId="36" applyFont="1" applyFill="1" applyBorder="1" applyAlignment="1">
      <alignment vertical="center" wrapText="1"/>
    </xf>
    <xf numFmtId="0" fontId="280" fillId="0" borderId="12" xfId="36" applyFont="1" applyFill="1" applyBorder="1" applyAlignment="1">
      <alignment horizontal="center" vertical="center" wrapText="1"/>
    </xf>
    <xf numFmtId="0" fontId="273" fillId="0" borderId="12" xfId="36" applyFont="1" applyFill="1" applyBorder="1" applyAlignment="1">
      <alignment vertical="center" wrapText="1"/>
    </xf>
    <xf numFmtId="0" fontId="280" fillId="0" borderId="12" xfId="0" applyFont="1" applyFill="1" applyBorder="1" applyAlignment="1">
      <alignment vertical="center" shrinkToFit="1"/>
    </xf>
    <xf numFmtId="0" fontId="280" fillId="0" borderId="12" xfId="0" applyFont="1" applyFill="1" applyBorder="1" applyAlignment="1">
      <alignment vertical="center" wrapText="1"/>
    </xf>
    <xf numFmtId="0" fontId="268" fillId="0" borderId="26" xfId="36" applyFont="1" applyFill="1" applyBorder="1" applyAlignment="1">
      <alignment horizontal="center" vertical="center"/>
    </xf>
    <xf numFmtId="0" fontId="257" fillId="0" borderId="48" xfId="0" applyFont="1" applyFill="1" applyBorder="1" applyAlignment="1">
      <alignment horizontal="center" vertical="center" wrapText="1"/>
    </xf>
    <xf numFmtId="178" fontId="273" fillId="0" borderId="48" xfId="627" applyNumberFormat="1" applyFont="1" applyFill="1" applyBorder="1" applyAlignment="1">
      <alignment horizontal="right" vertical="center" wrapText="1"/>
    </xf>
    <xf numFmtId="178" fontId="273" fillId="0" borderId="48" xfId="627" applyNumberFormat="1" applyFont="1" applyFill="1" applyBorder="1" applyAlignment="1">
      <alignment horizontal="left" vertical="center" shrinkToFit="1"/>
    </xf>
    <xf numFmtId="14" fontId="253" fillId="0" borderId="43" xfId="0" applyNumberFormat="1" applyFont="1" applyFill="1" applyBorder="1" applyAlignment="1">
      <alignment horizontal="center"/>
    </xf>
    <xf numFmtId="169" fontId="321" fillId="0" borderId="17" xfId="1" applyNumberFormat="1" applyFont="1" applyFill="1" applyBorder="1" applyAlignment="1">
      <alignment horizontal="center"/>
    </xf>
    <xf numFmtId="169" fontId="321" fillId="0" borderId="81" xfId="1" applyNumberFormat="1" applyFont="1" applyFill="1" applyBorder="1" applyAlignment="1">
      <alignment horizontal="center"/>
    </xf>
    <xf numFmtId="0" fontId="302" fillId="0" borderId="0" xfId="0" applyFont="1" applyFill="1"/>
    <xf numFmtId="0" fontId="302" fillId="0" borderId="0" xfId="0" applyFont="1" applyFill="1" applyAlignment="1">
      <alignment horizontal="center" vertical="center"/>
    </xf>
    <xf numFmtId="0" fontId="316" fillId="0" borderId="0" xfId="0" applyFont="1" applyFill="1" applyAlignment="1" applyProtection="1">
      <alignment horizontal="center" vertical="center"/>
      <protection locked="0"/>
    </xf>
    <xf numFmtId="0" fontId="296" fillId="0" borderId="76" xfId="0" applyFont="1" applyFill="1" applyBorder="1" applyAlignment="1">
      <alignment horizontal="center"/>
    </xf>
    <xf numFmtId="0" fontId="257" fillId="0" borderId="0" xfId="0" applyFont="1" applyFill="1" applyAlignment="1">
      <alignment horizontal="center" wrapText="1"/>
    </xf>
    <xf numFmtId="0" fontId="0" fillId="0" borderId="0" xfId="0" applyFont="1" applyFill="1"/>
    <xf numFmtId="170" fontId="238" fillId="0" borderId="0" xfId="1" applyNumberFormat="1" applyFont="1" applyFill="1" applyAlignment="1">
      <alignment horizontal="right"/>
    </xf>
    <xf numFmtId="0" fontId="280" fillId="0" borderId="42" xfId="0" applyFont="1" applyFill="1" applyBorder="1" applyAlignment="1">
      <alignment horizontal="center" vertical="center" wrapText="1"/>
    </xf>
    <xf numFmtId="14" fontId="280" fillId="0" borderId="81" xfId="36" applyNumberFormat="1" applyFont="1" applyFill="1" applyBorder="1" applyAlignment="1">
      <alignment horizontal="center" vertical="center" wrapText="1"/>
    </xf>
    <xf numFmtId="0" fontId="273" fillId="0" borderId="97" xfId="0" applyFont="1" applyFill="1" applyBorder="1" applyAlignment="1">
      <alignment horizontal="center" vertical="center" wrapText="1"/>
    </xf>
    <xf numFmtId="0" fontId="280" fillId="0" borderId="97" xfId="0" applyFont="1" applyFill="1" applyBorder="1" applyAlignment="1">
      <alignment horizontal="center" vertical="center" wrapText="1"/>
    </xf>
    <xf numFmtId="0" fontId="0" fillId="0" borderId="44" xfId="0" applyFont="1" applyFill="1" applyBorder="1"/>
    <xf numFmtId="0" fontId="0" fillId="0" borderId="89" xfId="0" applyFont="1" applyFill="1" applyBorder="1"/>
    <xf numFmtId="0" fontId="0" fillId="0" borderId="5" xfId="0" applyFont="1" applyFill="1" applyBorder="1"/>
    <xf numFmtId="0" fontId="0" fillId="0" borderId="12" xfId="0" applyFont="1" applyFill="1" applyBorder="1"/>
    <xf numFmtId="0" fontId="0" fillId="0" borderId="70" xfId="0" applyFont="1" applyFill="1" applyBorder="1"/>
    <xf numFmtId="0" fontId="268" fillId="0" borderId="81" xfId="6020" applyFont="1" applyFill="1" applyBorder="1"/>
    <xf numFmtId="0" fontId="296" fillId="0" borderId="25" xfId="0" applyFont="1" applyFill="1" applyBorder="1" applyAlignment="1">
      <alignment horizontal="center" vertical="center"/>
    </xf>
    <xf numFmtId="1" fontId="238" fillId="0" borderId="17" xfId="1" applyNumberFormat="1" applyFont="1" applyFill="1" applyBorder="1" applyAlignment="1">
      <alignment horizontal="center"/>
    </xf>
    <xf numFmtId="167" fontId="238" fillId="0" borderId="49" xfId="1" applyNumberFormat="1" applyFont="1" applyFill="1" applyBorder="1"/>
    <xf numFmtId="14" fontId="0" fillId="0" borderId="0" xfId="0" applyNumberFormat="1" applyFont="1" applyFill="1"/>
    <xf numFmtId="0" fontId="273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shrinkToFit="1"/>
    </xf>
    <xf numFmtId="171" fontId="0" fillId="0" borderId="0" xfId="0" applyNumberFormat="1" applyFont="1" applyFill="1"/>
    <xf numFmtId="0" fontId="314" fillId="0" borderId="0" xfId="0" applyFont="1" applyFill="1"/>
    <xf numFmtId="0" fontId="267" fillId="0" borderId="0" xfId="0" applyFont="1" applyFill="1"/>
    <xf numFmtId="0" fontId="267" fillId="0" borderId="0" xfId="0" applyFont="1" applyFill="1" applyAlignment="1">
      <alignment shrinkToFit="1"/>
    </xf>
    <xf numFmtId="14" fontId="267" fillId="0" borderId="0" xfId="0" applyNumberFormat="1" applyFont="1" applyFill="1"/>
    <xf numFmtId="0" fontId="267" fillId="0" borderId="73" xfId="0" applyFont="1" applyFill="1" applyBorder="1" applyAlignment="1">
      <alignment horizontal="left"/>
    </xf>
    <xf numFmtId="0" fontId="267" fillId="0" borderId="75" xfId="0" applyFont="1" applyFill="1" applyBorder="1" applyAlignment="1">
      <alignment horizontal="left"/>
    </xf>
    <xf numFmtId="14" fontId="267" fillId="0" borderId="75" xfId="0" applyNumberFormat="1" applyFont="1" applyFill="1" applyBorder="1" applyAlignment="1">
      <alignment horizontal="left"/>
    </xf>
    <xf numFmtId="0" fontId="267" fillId="0" borderId="74" xfId="0" applyFont="1" applyFill="1" applyBorder="1" applyAlignment="1">
      <alignment horizontal="left"/>
    </xf>
    <xf numFmtId="186" fontId="328" fillId="0" borderId="0" xfId="0" applyNumberFormat="1" applyFont="1" applyFill="1" applyAlignment="1">
      <alignment horizontal="left" wrapText="1"/>
    </xf>
    <xf numFmtId="14" fontId="328" fillId="0" borderId="0" xfId="0" applyNumberFormat="1" applyFont="1" applyFill="1" applyAlignment="1">
      <alignment horizontal="left" wrapText="1"/>
    </xf>
    <xf numFmtId="184" fontId="328" fillId="0" borderId="0" xfId="0" quotePrefix="1" applyNumberFormat="1" applyFont="1" applyFill="1" applyAlignment="1">
      <alignment horizontal="left" wrapText="1"/>
    </xf>
    <xf numFmtId="184" fontId="328" fillId="0" borderId="0" xfId="0" applyNumberFormat="1" applyFont="1" applyFill="1" applyAlignment="1">
      <alignment horizontal="left" wrapText="1"/>
    </xf>
    <xf numFmtId="0" fontId="278" fillId="18" borderId="38" xfId="623" applyFont="1" applyFill="1" applyBorder="1" applyAlignment="1">
      <alignment horizontal="center" vertical="center" wrapText="1"/>
    </xf>
    <xf numFmtId="0" fontId="267" fillId="20" borderId="0" xfId="623" applyFont="1" applyFill="1" applyAlignment="1">
      <alignment horizontal="center" vertical="center"/>
    </xf>
    <xf numFmtId="0" fontId="297" fillId="0" borderId="98" xfId="0" applyFont="1" applyBorder="1"/>
    <xf numFmtId="0" fontId="297" fillId="0" borderId="12" xfId="0" applyFont="1" applyBorder="1"/>
    <xf numFmtId="0" fontId="297" fillId="0" borderId="44" xfId="0" applyFont="1" applyBorder="1"/>
    <xf numFmtId="0" fontId="297" fillId="0" borderId="99" xfId="0" applyFont="1" applyBorder="1"/>
    <xf numFmtId="0" fontId="297" fillId="0" borderId="100" xfId="0" applyFont="1" applyBorder="1"/>
    <xf numFmtId="0" fontId="297" fillId="0" borderId="101" xfId="0" applyFont="1" applyBorder="1"/>
    <xf numFmtId="0" fontId="273" fillId="19" borderId="79" xfId="6031" applyFont="1" applyFill="1" applyBorder="1" applyAlignment="1">
      <alignment horizontal="left" vertical="center"/>
    </xf>
    <xf numFmtId="0" fontId="273" fillId="19" borderId="79" xfId="6031" applyFont="1" applyFill="1" applyBorder="1" applyAlignment="1">
      <alignment horizontal="left" vertical="center" shrinkToFit="1"/>
    </xf>
    <xf numFmtId="0" fontId="268" fillId="0" borderId="81" xfId="6020" applyFont="1" applyBorder="1" applyAlignment="1">
      <alignment shrinkToFit="1"/>
    </xf>
    <xf numFmtId="0" fontId="267" fillId="20" borderId="40" xfId="623" applyFont="1" applyFill="1" applyBorder="1" applyAlignment="1">
      <alignment horizontal="center" vertical="center"/>
    </xf>
    <xf numFmtId="0" fontId="267" fillId="20" borderId="41" xfId="623" applyFont="1" applyFill="1" applyBorder="1" applyAlignment="1">
      <alignment horizontal="center" vertical="center"/>
    </xf>
    <xf numFmtId="0" fontId="267" fillId="20" borderId="34" xfId="623" applyFont="1" applyFill="1" applyBorder="1" applyAlignment="1">
      <alignment horizontal="center" vertical="center"/>
    </xf>
    <xf numFmtId="0" fontId="297" fillId="0" borderId="0" xfId="0" applyFont="1"/>
    <xf numFmtId="0" fontId="314" fillId="35" borderId="0" xfId="0" applyFont="1" applyFill="1"/>
    <xf numFmtId="0" fontId="267" fillId="35" borderId="0" xfId="0" applyFont="1" applyFill="1"/>
    <xf numFmtId="0" fontId="267" fillId="35" borderId="0" xfId="0" applyFont="1" applyFill="1" applyAlignment="1">
      <alignment shrinkToFit="1"/>
    </xf>
    <xf numFmtId="14" fontId="267" fillId="35" borderId="0" xfId="0" applyNumberFormat="1" applyFont="1" applyFill="1"/>
    <xf numFmtId="0" fontId="273" fillId="31" borderId="0" xfId="0" applyFont="1" applyFill="1" applyAlignment="1">
      <alignment horizontal="center" vertical="center"/>
    </xf>
    <xf numFmtId="171" fontId="297" fillId="0" borderId="0" xfId="0" applyNumberFormat="1" applyFont="1"/>
    <xf numFmtId="170" fontId="238" fillId="0" borderId="0" xfId="1" applyNumberFormat="1" applyFont="1" applyAlignment="1">
      <alignment horizontal="right"/>
    </xf>
    <xf numFmtId="0" fontId="297" fillId="19" borderId="0" xfId="0" applyFont="1" applyFill="1"/>
    <xf numFmtId="0" fontId="267" fillId="35" borderId="73" xfId="0" applyFont="1" applyFill="1" applyBorder="1" applyAlignment="1">
      <alignment horizontal="left"/>
    </xf>
    <xf numFmtId="0" fontId="267" fillId="35" borderId="75" xfId="0" applyFont="1" applyFill="1" applyBorder="1" applyAlignment="1">
      <alignment horizontal="left"/>
    </xf>
    <xf numFmtId="14" fontId="267" fillId="35" borderId="75" xfId="0" applyNumberFormat="1" applyFont="1" applyFill="1" applyBorder="1" applyAlignment="1">
      <alignment horizontal="left"/>
    </xf>
    <xf numFmtId="0" fontId="267" fillId="35" borderId="74" xfId="0" applyFont="1" applyFill="1" applyBorder="1" applyAlignment="1">
      <alignment horizontal="left"/>
    </xf>
    <xf numFmtId="0" fontId="273" fillId="33" borderId="0" xfId="0" applyFont="1" applyFill="1" applyAlignment="1">
      <alignment horizontal="center" vertical="center"/>
    </xf>
    <xf numFmtId="0" fontId="297" fillId="0" borderId="0" xfId="0" applyFont="1" applyAlignment="1">
      <alignment shrinkToFit="1"/>
    </xf>
    <xf numFmtId="14" fontId="297" fillId="0" borderId="0" xfId="0" applyNumberFormat="1" applyFont="1"/>
    <xf numFmtId="186" fontId="328" fillId="0" borderId="0" xfId="0" applyNumberFormat="1" applyFont="1" applyAlignment="1">
      <alignment horizontal="left" wrapText="1"/>
    </xf>
    <xf numFmtId="14" fontId="328" fillId="0" borderId="0" xfId="0" applyNumberFormat="1" applyFont="1" applyAlignment="1">
      <alignment horizontal="left" wrapText="1"/>
    </xf>
    <xf numFmtId="184" fontId="328" fillId="0" borderId="0" xfId="0" quotePrefix="1" applyNumberFormat="1" applyFont="1" applyAlignment="1">
      <alignment horizontal="left" wrapText="1"/>
    </xf>
    <xf numFmtId="184" fontId="328" fillId="0" borderId="0" xfId="0" applyNumberFormat="1" applyFont="1" applyAlignment="1">
      <alignment horizontal="left" wrapText="1"/>
    </xf>
    <xf numFmtId="0" fontId="268" fillId="0" borderId="81" xfId="0" applyFont="1" applyFill="1" applyBorder="1" applyAlignment="1">
      <alignment horizontal="center" vertical="center"/>
    </xf>
    <xf numFmtId="0" fontId="318" fillId="0" borderId="81" xfId="697" applyFont="1" applyFill="1" applyBorder="1" applyAlignment="1">
      <alignment horizontal="left" vertical="center"/>
    </xf>
    <xf numFmtId="179" fontId="268" fillId="0" borderId="81" xfId="672" applyNumberFormat="1" applyFont="1" applyFill="1" applyBorder="1" applyAlignment="1">
      <alignment horizontal="left" vertical="center" wrapText="1"/>
    </xf>
    <xf numFmtId="171" fontId="268" fillId="0" borderId="81" xfId="3" applyNumberFormat="1" applyFont="1" applyFill="1" applyBorder="1" applyAlignment="1">
      <alignment horizontal="left" vertical="center" wrapText="1"/>
    </xf>
    <xf numFmtId="0" fontId="268" fillId="0" borderId="0" xfId="0" applyFont="1" applyFill="1" applyAlignment="1">
      <alignment horizontal="center" vertical="center"/>
    </xf>
    <xf numFmtId="0" fontId="278" fillId="0" borderId="81" xfId="0" applyFont="1" applyFill="1" applyBorder="1" applyAlignment="1">
      <alignment horizontal="center" vertical="center"/>
    </xf>
    <xf numFmtId="0" fontId="278" fillId="0" borderId="81" xfId="0" applyFont="1" applyFill="1" applyBorder="1" applyAlignment="1">
      <alignment horizontal="center" vertical="center" wrapText="1"/>
    </xf>
    <xf numFmtId="0" fontId="278" fillId="0" borderId="81" xfId="669" applyFont="1" applyFill="1" applyBorder="1" applyAlignment="1">
      <alignment horizontal="center" vertical="center" wrapText="1"/>
    </xf>
    <xf numFmtId="0" fontId="329" fillId="0" borderId="0" xfId="669" applyFont="1" applyFill="1"/>
    <xf numFmtId="171" fontId="267" fillId="0" borderId="81" xfId="1" applyNumberFormat="1" applyFont="1" applyFill="1" applyBorder="1"/>
    <xf numFmtId="171" fontId="267" fillId="0" borderId="81" xfId="669" applyNumberFormat="1" applyFont="1" applyFill="1" applyBorder="1"/>
    <xf numFmtId="0" fontId="329" fillId="0" borderId="81" xfId="669" applyFont="1" applyFill="1" applyBorder="1"/>
    <xf numFmtId="171" fontId="296" fillId="0" borderId="81" xfId="669" applyNumberFormat="1" applyFont="1" applyFill="1" applyBorder="1"/>
    <xf numFmtId="0" fontId="330" fillId="0" borderId="0" xfId="669" applyFont="1" applyFill="1"/>
    <xf numFmtId="0" fontId="327" fillId="0" borderId="0" xfId="6008" applyFont="1" applyFill="1" applyBorder="1" applyAlignment="1">
      <alignment horizontal="center" vertical="center" wrapText="1"/>
    </xf>
    <xf numFmtId="0" fontId="331" fillId="0" borderId="44" xfId="0" applyFont="1" applyBorder="1" applyAlignment="1">
      <alignment horizontal="center"/>
    </xf>
    <xf numFmtId="0" fontId="331" fillId="0" borderId="12" xfId="0" applyFont="1" applyBorder="1" applyAlignment="1">
      <alignment horizontal="center"/>
    </xf>
    <xf numFmtId="17" fontId="301" fillId="36" borderId="84" xfId="619" applyNumberFormat="1" applyFont="1" applyFill="1" applyBorder="1" applyAlignment="1">
      <alignment horizontal="center" vertical="center"/>
    </xf>
    <xf numFmtId="0" fontId="0" fillId="36" borderId="85" xfId="0" applyFont="1" applyFill="1" applyBorder="1"/>
    <xf numFmtId="17" fontId="270" fillId="36" borderId="81" xfId="619" applyNumberFormat="1" applyFont="1" applyFill="1" applyBorder="1" applyAlignment="1">
      <alignment horizontal="center" vertical="center"/>
    </xf>
    <xf numFmtId="0" fontId="0" fillId="36" borderId="86" xfId="0" applyFont="1" applyFill="1" applyBorder="1"/>
    <xf numFmtId="181" fontId="301" fillId="36" borderId="81" xfId="619" applyNumberFormat="1" applyFont="1" applyFill="1" applyBorder="1" applyAlignment="1">
      <alignment horizontal="center" vertical="center"/>
    </xf>
    <xf numFmtId="0" fontId="301" fillId="36" borderId="81" xfId="619" applyFont="1" applyFill="1" applyBorder="1" applyAlignment="1">
      <alignment horizontal="center" vertical="top"/>
    </xf>
    <xf numFmtId="0" fontId="273" fillId="36" borderId="81" xfId="0" applyFont="1" applyFill="1" applyBorder="1" applyAlignment="1">
      <alignment horizontal="center" vertical="center"/>
    </xf>
    <xf numFmtId="17" fontId="280" fillId="36" borderId="36" xfId="623" applyNumberFormat="1" applyFont="1" applyFill="1" applyBorder="1" applyAlignment="1">
      <alignment horizontal="center" vertical="center"/>
    </xf>
    <xf numFmtId="0" fontId="297" fillId="36" borderId="37" xfId="0" applyFont="1" applyFill="1" applyBorder="1"/>
    <xf numFmtId="17" fontId="280" fillId="36" borderId="81" xfId="623" applyNumberFormat="1" applyFont="1" applyFill="1" applyBorder="1" applyAlignment="1">
      <alignment horizontal="center" vertical="center"/>
    </xf>
    <xf numFmtId="0" fontId="297" fillId="36" borderId="85" xfId="0" applyFont="1" applyFill="1" applyBorder="1"/>
    <xf numFmtId="0" fontId="297" fillId="36" borderId="86" xfId="0" applyFont="1" applyFill="1" applyBorder="1"/>
    <xf numFmtId="181" fontId="267" fillId="36" borderId="81" xfId="623" applyNumberFormat="1" applyFont="1" applyFill="1" applyBorder="1" applyAlignment="1">
      <alignment horizontal="center" vertical="center"/>
    </xf>
    <xf numFmtId="0" fontId="273" fillId="36" borderId="81" xfId="623" applyFont="1" applyFill="1" applyBorder="1" applyAlignment="1">
      <alignment horizontal="center" vertical="center"/>
    </xf>
    <xf numFmtId="0" fontId="296" fillId="36" borderId="26" xfId="129" applyFont="1" applyFill="1" applyBorder="1" applyAlignment="1">
      <alignment horizontal="center" vertical="center"/>
    </xf>
    <xf numFmtId="0" fontId="296" fillId="36" borderId="49" xfId="129" applyFont="1" applyFill="1" applyBorder="1" applyAlignment="1">
      <alignment horizontal="center" vertical="center"/>
    </xf>
    <xf numFmtId="0" fontId="273" fillId="36" borderId="54" xfId="0" applyFont="1" applyFill="1" applyBorder="1" applyAlignment="1">
      <alignment horizontal="center" vertical="center"/>
    </xf>
    <xf numFmtId="0" fontId="273" fillId="37" borderId="54" xfId="0" applyFont="1" applyFill="1" applyBorder="1" applyAlignment="1">
      <alignment horizontal="center" vertical="center"/>
    </xf>
    <xf numFmtId="0" fontId="296" fillId="36" borderId="48" xfId="129" applyFont="1" applyFill="1" applyBorder="1" applyAlignment="1">
      <alignment horizontal="center" vertical="center"/>
    </xf>
    <xf numFmtId="0" fontId="273" fillId="36" borderId="48" xfId="129" applyFont="1" applyFill="1" applyBorder="1" applyAlignment="1">
      <alignment horizontal="center" vertical="center"/>
    </xf>
    <xf numFmtId="0" fontId="296" fillId="36" borderId="72" xfId="129" applyFont="1" applyFill="1" applyBorder="1" applyAlignment="1">
      <alignment horizontal="center" vertical="center"/>
    </xf>
    <xf numFmtId="0" fontId="273" fillId="36" borderId="72" xfId="129" applyFont="1" applyFill="1" applyBorder="1" applyAlignment="1">
      <alignment horizontal="center" vertical="center"/>
    </xf>
    <xf numFmtId="0" fontId="296" fillId="36" borderId="35" xfId="129" applyFont="1" applyFill="1" applyBorder="1" applyAlignment="1">
      <alignment horizontal="center" vertical="center"/>
    </xf>
    <xf numFmtId="0" fontId="296" fillId="36" borderId="45" xfId="0" applyFont="1" applyFill="1" applyBorder="1" applyAlignment="1">
      <alignment horizontal="center" vertical="center"/>
    </xf>
    <xf numFmtId="0" fontId="296" fillId="36" borderId="25" xfId="0" applyFont="1" applyFill="1" applyBorder="1" applyAlignment="1">
      <alignment horizontal="center" vertical="center"/>
    </xf>
    <xf numFmtId="169" fontId="296" fillId="36" borderId="25" xfId="0" quotePrefix="1" applyNumberFormat="1" applyFont="1" applyFill="1" applyBorder="1" applyAlignment="1">
      <alignment horizontal="center" vertical="center"/>
    </xf>
    <xf numFmtId="169" fontId="296" fillId="36" borderId="25" xfId="0" applyNumberFormat="1" applyFont="1" applyFill="1" applyBorder="1" applyAlignment="1">
      <alignment horizontal="center" vertical="center"/>
    </xf>
    <xf numFmtId="174" fontId="268" fillId="36" borderId="26" xfId="628" applyNumberFormat="1" applyFont="1" applyFill="1" applyBorder="1" applyAlignment="1">
      <alignment vertical="center"/>
    </xf>
    <xf numFmtId="174" fontId="278" fillId="36" borderId="35" xfId="628" applyNumberFormat="1" applyFont="1" applyFill="1" applyBorder="1" applyAlignment="1">
      <alignment vertical="center"/>
    </xf>
    <xf numFmtId="17" fontId="280" fillId="36" borderId="37" xfId="623" applyNumberFormat="1" applyFont="1" applyFill="1" applyBorder="1" applyAlignment="1">
      <alignment vertical="center"/>
    </xf>
    <xf numFmtId="17" fontId="280" fillId="36" borderId="31" xfId="623" applyNumberFormat="1" applyFont="1" applyFill="1" applyBorder="1" applyAlignment="1">
      <alignment vertical="center"/>
    </xf>
    <xf numFmtId="0" fontId="297" fillId="36" borderId="43" xfId="0" applyFont="1" applyFill="1" applyBorder="1"/>
    <xf numFmtId="0" fontId="297" fillId="36" borderId="49" xfId="0" applyFont="1" applyFill="1" applyBorder="1"/>
    <xf numFmtId="0" fontId="297" fillId="36" borderId="48" xfId="0" applyFont="1" applyFill="1" applyBorder="1"/>
    <xf numFmtId="0" fontId="297" fillId="36" borderId="72" xfId="0" applyFont="1" applyFill="1" applyBorder="1"/>
    <xf numFmtId="0" fontId="273" fillId="37" borderId="69" xfId="0" applyFont="1" applyFill="1" applyBorder="1" applyAlignment="1">
      <alignment horizontal="center" vertical="center"/>
    </xf>
    <xf numFmtId="0" fontId="332" fillId="0" borderId="3" xfId="0" applyFont="1" applyFill="1" applyBorder="1" applyAlignment="1">
      <alignment vertical="center" wrapText="1"/>
    </xf>
    <xf numFmtId="0" fontId="280" fillId="0" borderId="3" xfId="0" applyFont="1" applyFill="1" applyBorder="1" applyAlignment="1">
      <alignment horizontal="center" vertical="center" wrapText="1"/>
    </xf>
    <xf numFmtId="0" fontId="280" fillId="0" borderId="3" xfId="0" applyFont="1" applyFill="1" applyBorder="1" applyAlignment="1">
      <alignment vertical="center" wrapText="1"/>
    </xf>
    <xf numFmtId="0" fontId="280" fillId="0" borderId="11" xfId="0" applyFont="1" applyFill="1" applyBorder="1" applyAlignment="1">
      <alignment vertical="center" wrapText="1"/>
    </xf>
    <xf numFmtId="0" fontId="280" fillId="0" borderId="1" xfId="0" applyFont="1" applyFill="1" applyBorder="1" applyAlignment="1">
      <alignment vertical="center" wrapText="1"/>
    </xf>
    <xf numFmtId="4" fontId="280" fillId="0" borderId="18" xfId="0" applyNumberFormat="1" applyFont="1" applyFill="1" applyBorder="1" applyAlignment="1">
      <alignment horizontal="center" vertical="center" wrapText="1"/>
    </xf>
    <xf numFmtId="4" fontId="280" fillId="0" borderId="19" xfId="0" applyNumberFormat="1" applyFont="1" applyFill="1" applyBorder="1" applyAlignment="1">
      <alignment horizontal="center" vertical="center" wrapText="1"/>
    </xf>
    <xf numFmtId="4" fontId="280" fillId="0" borderId="20" xfId="0" applyNumberFormat="1" applyFont="1" applyFill="1" applyBorder="1" applyAlignment="1">
      <alignment horizontal="center" vertical="center" wrapText="1"/>
    </xf>
    <xf numFmtId="4" fontId="280" fillId="0" borderId="88" xfId="0" applyNumberFormat="1" applyFont="1" applyFill="1" applyBorder="1" applyAlignment="1">
      <alignment horizontal="center" vertical="center" wrapText="1"/>
    </xf>
    <xf numFmtId="0" fontId="328" fillId="0" borderId="0" xfId="0" applyFont="1" applyFill="1" applyAlignment="1">
      <alignment vertical="center"/>
    </xf>
    <xf numFmtId="0" fontId="332" fillId="0" borderId="2" xfId="0" applyFont="1" applyFill="1" applyBorder="1" applyAlignment="1">
      <alignment vertical="center" wrapText="1"/>
    </xf>
    <xf numFmtId="0" fontId="280" fillId="0" borderId="2" xfId="0" applyFont="1" applyFill="1" applyBorder="1" applyAlignment="1">
      <alignment vertical="center" wrapText="1"/>
    </xf>
    <xf numFmtId="0" fontId="280" fillId="0" borderId="82" xfId="0" applyFont="1" applyFill="1" applyBorder="1" applyAlignment="1">
      <alignment vertical="center" wrapText="1"/>
    </xf>
    <xf numFmtId="3" fontId="280" fillId="0" borderId="1" xfId="0" applyNumberFormat="1" applyFont="1" applyFill="1" applyBorder="1" applyAlignment="1">
      <alignment horizontal="center" vertical="center" wrapText="1"/>
    </xf>
    <xf numFmtId="9" fontId="280" fillId="0" borderId="1" xfId="0" applyNumberFormat="1" applyFont="1" applyFill="1" applyBorder="1" applyAlignment="1">
      <alignment vertical="center" wrapText="1"/>
    </xf>
    <xf numFmtId="4" fontId="280" fillId="0" borderId="7" xfId="0" applyNumberFormat="1" applyFont="1" applyFill="1" applyBorder="1" applyAlignment="1">
      <alignment horizontal="center" vertical="center" wrapText="1"/>
    </xf>
    <xf numFmtId="0" fontId="273" fillId="0" borderId="1" xfId="0" applyFont="1" applyFill="1" applyBorder="1" applyAlignment="1">
      <alignment horizontal="center" vertical="center"/>
    </xf>
    <xf numFmtId="0" fontId="273" fillId="0" borderId="71" xfId="0" applyFont="1" applyFill="1" applyBorder="1" applyAlignment="1">
      <alignment horizontal="center" vertical="center" wrapText="1"/>
    </xf>
    <xf numFmtId="14" fontId="273" fillId="0" borderId="0" xfId="0" applyNumberFormat="1" applyFont="1" applyFill="1" applyAlignment="1">
      <alignment vertical="center"/>
    </xf>
    <xf numFmtId="3" fontId="280" fillId="0" borderId="81" xfId="0" applyNumberFormat="1" applyFont="1" applyFill="1" applyBorder="1" applyAlignment="1">
      <alignment vertical="center"/>
    </xf>
    <xf numFmtId="166" fontId="273" fillId="0" borderId="10" xfId="1" applyFont="1" applyFill="1" applyBorder="1" applyAlignment="1" applyProtection="1">
      <alignment vertical="center"/>
    </xf>
    <xf numFmtId="166" fontId="273" fillId="0" borderId="4" xfId="1" applyFont="1" applyFill="1" applyBorder="1" applyAlignment="1" applyProtection="1">
      <alignment vertical="center"/>
    </xf>
    <xf numFmtId="167" fontId="273" fillId="0" borderId="1" xfId="1" applyNumberFormat="1" applyFont="1" applyFill="1" applyBorder="1" applyAlignment="1" applyProtection="1">
      <alignment vertical="center"/>
    </xf>
    <xf numFmtId="167" fontId="320" fillId="0" borderId="1" xfId="1" applyNumberFormat="1" applyFont="1" applyFill="1" applyBorder="1" applyAlignment="1" applyProtection="1">
      <alignment vertical="center"/>
    </xf>
    <xf numFmtId="167" fontId="320" fillId="0" borderId="4" xfId="1" applyNumberFormat="1" applyFont="1" applyFill="1" applyBorder="1" applyAlignment="1" applyProtection="1">
      <alignment vertical="center"/>
    </xf>
    <xf numFmtId="167" fontId="273" fillId="0" borderId="4" xfId="1" applyNumberFormat="1" applyFont="1" applyFill="1" applyBorder="1" applyAlignment="1" applyProtection="1">
      <alignment vertical="center"/>
    </xf>
    <xf numFmtId="14" fontId="273" fillId="0" borderId="81" xfId="0" applyNumberFormat="1" applyFont="1" applyFill="1" applyBorder="1" applyAlignment="1">
      <alignment vertical="center"/>
    </xf>
    <xf numFmtId="3" fontId="280" fillId="0" borderId="10" xfId="0" applyNumberFormat="1" applyFont="1" applyFill="1" applyBorder="1" applyAlignment="1">
      <alignment vertical="center"/>
    </xf>
    <xf numFmtId="0" fontId="328" fillId="0" borderId="0" xfId="0" applyFont="1" applyFill="1"/>
    <xf numFmtId="4" fontId="328" fillId="0" borderId="0" xfId="0" applyNumberFormat="1" applyFont="1" applyFill="1"/>
    <xf numFmtId="0" fontId="269" fillId="0" borderId="0" xfId="0" applyFont="1" applyFill="1"/>
    <xf numFmtId="4" fontId="269" fillId="0" borderId="0" xfId="0" applyNumberFormat="1" applyFont="1" applyFill="1"/>
    <xf numFmtId="9" fontId="333" fillId="0" borderId="1" xfId="0" applyNumberFormat="1" applyFont="1" applyFill="1" applyBorder="1" applyAlignment="1">
      <alignment vertical="center" wrapText="1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4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FF00"/>
        </patternFill>
      </fill>
    </dxf>
    <dxf>
      <fill>
        <patternFill>
          <bgColor rgb="FFFF66FF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00FFFF"/>
      <color rgb="FFFF0066"/>
      <color rgb="FFFF99FF"/>
      <color rgb="FFFF66FF"/>
      <color rgb="FFFF33CC"/>
      <color rgb="FFFFFFFF"/>
      <color rgb="FFCCFFCC"/>
      <color rgb="FFFF3399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/>
      <sheetData sheetId="1"/>
      <sheetData sheetId="2"/>
      <sheetData sheetId="3"/>
      <sheetData sheetId="4">
        <row r="15">
          <cell r="E15" t="str">
            <v>QTY</v>
          </cell>
        </row>
      </sheetData>
      <sheetData sheetId="5">
        <row r="15">
          <cell r="E15" t="str">
            <v>QTY</v>
          </cell>
        </row>
        <row r="28">
          <cell r="D28">
            <v>100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>
        <row r="28">
          <cell r="D28">
            <v>0</v>
          </cell>
        </row>
      </sheetData>
      <sheetData sheetId="34">
        <row r="28">
          <cell r="D28">
            <v>0</v>
          </cell>
        </row>
      </sheetData>
      <sheetData sheetId="35">
        <row r="28">
          <cell r="D28">
            <v>0</v>
          </cell>
        </row>
      </sheetData>
      <sheetData sheetId="36" refreshError="1"/>
      <sheetData sheetId="37" refreshError="1"/>
      <sheetData sheetId="38" refreshError="1"/>
      <sheetData sheetId="39">
        <row r="28">
          <cell r="D28">
            <v>0</v>
          </cell>
        </row>
      </sheetData>
      <sheetData sheetId="40">
        <row r="28">
          <cell r="D28">
            <v>0</v>
          </cell>
        </row>
      </sheetData>
      <sheetData sheetId="41">
        <row r="28">
          <cell r="D28">
            <v>0</v>
          </cell>
        </row>
      </sheetData>
      <sheetData sheetId="42">
        <row r="28">
          <cell r="D28">
            <v>0</v>
          </cell>
        </row>
      </sheetData>
      <sheetData sheetId="43" refreshError="1"/>
      <sheetData sheetId="44" refreshError="1"/>
      <sheetData sheetId="45"/>
      <sheetData sheetId="46">
        <row r="28">
          <cell r="D28">
            <v>0</v>
          </cell>
        </row>
      </sheetData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 refreshError="1"/>
      <sheetData sheetId="1" refreshError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Cạn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Giang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Hòai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Hòa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Thuỵ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Phường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 xml:space="preserve">Huyện Khoái Châu 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Thị xã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Hòa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Hòa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Hòa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Hòa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Thị xã Bắc Cạn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Hòa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Hòa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Hòa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Hòa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Huyện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Thành phố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Hòa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Hòa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Hòa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Hòa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Huyện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Hòai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Hòai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Hòa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Hòa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Đông Hòa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Tây Hòa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Hòa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Hòa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Đắk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Đắk 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Búk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Hòa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Thị xã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Thị xã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Hòa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Hòa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Thành phố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 xml:space="preserve">Thành phố Long Xuyên 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Hòa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Thành phố Sóc Trăng</v>
          </cell>
          <cell r="F690" t="str">
            <v>819</v>
          </cell>
          <cell r="G690" t="str">
            <v>Xã Chính Mỹ</v>
          </cell>
          <cell r="I690" t="str">
            <v>10311</v>
          </cell>
        </row>
        <row r="691">
          <cell r="D691" t="str">
            <v>Huyện Kế Sách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Long Phú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Cù Lao Dung</v>
          </cell>
          <cell r="F693" t="str">
            <v>819</v>
          </cell>
          <cell r="G693" t="str">
            <v xml:space="preserve">Xã Hòa Bình </v>
          </cell>
          <cell r="I693" t="str">
            <v>10311</v>
          </cell>
        </row>
        <row r="694">
          <cell r="D694" t="str">
            <v>Huyện Mỹ Tú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Xuyên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Thạnh Trị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Thị Xã Ngã Năm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Vĩnh Châu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 xml:space="preserve">Huyện Châu Thành         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>Huyện Trần Đề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Thành Phố Bạc Liêu</v>
          </cell>
          <cell r="F701" t="str">
            <v>821</v>
          </cell>
          <cell r="G701" t="str">
            <v>Xã Thuỷ Đường</v>
          </cell>
          <cell r="I701" t="str">
            <v>10311</v>
          </cell>
        </row>
        <row r="702">
          <cell r="D702" t="str">
            <v>Huyện Hồng Dân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Vĩnh Lợi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Hòa Bình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Thị Xã Giá Rai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Huyện Phước Long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Đông Hải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Thành phố Cà Mau</v>
          </cell>
          <cell r="F708" t="str">
            <v>823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Huyện Thới Bình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U Minh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Trần Văn Thời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 xml:space="preserve">Huyện Phú Tân </v>
          </cell>
          <cell r="F712" t="str">
            <v>823</v>
          </cell>
          <cell r="G712" t="str">
            <v>Xã An Hòa</v>
          </cell>
          <cell r="I712" t="str">
            <v>10313</v>
          </cell>
        </row>
        <row r="713">
          <cell r="D713" t="str">
            <v>Huyện Cái Nước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Hòa Bình 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Hòa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Hòa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Hòa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Hòa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 xml:space="preserve">Xã Hiệp Hòa 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 xml:space="preserve">Xã Nhân Hòa 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 xml:space="preserve">P. Lương Khánh Thiện 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Hòa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 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 xml:space="preserve">Xã Thái Hòa  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 xml:space="preserve">Xã Yên Bình  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Hòa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Hòa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 xml:space="preserve">Xã Xuân Hòa  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Hòa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Xã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Hòa  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Hòa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Xã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Xã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 xml:space="preserve">Xã Trung Hòa  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Hòa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Xã Lăng Can</v>
          </cell>
          <cell r="I3079" t="str">
            <v>21113</v>
          </cell>
        </row>
        <row r="3080">
          <cell r="G3080" t="str">
            <v xml:space="preserve">Xã Thượng Lâm </v>
          </cell>
          <cell r="I3080" t="str">
            <v>21113</v>
          </cell>
        </row>
        <row r="3081">
          <cell r="G3081" t="str">
            <v>Xã Khuôn Hà</v>
          </cell>
          <cell r="I3081" t="str">
            <v>21113</v>
          </cell>
        </row>
        <row r="3082">
          <cell r="G3082" t="str">
            <v>Xã Phúc Yên</v>
          </cell>
          <cell r="I3082" t="str">
            <v>21113</v>
          </cell>
        </row>
        <row r="3083">
          <cell r="G3083" t="str">
            <v>Xã Xuân Lập</v>
          </cell>
          <cell r="I3083" t="str">
            <v>21113</v>
          </cell>
        </row>
        <row r="3084">
          <cell r="G3084" t="str">
            <v>Xã Bình An</v>
          </cell>
          <cell r="I3084" t="str">
            <v>21113</v>
          </cell>
        </row>
        <row r="3085">
          <cell r="G3085" t="str">
            <v>Xã Thổ Bình</v>
          </cell>
          <cell r="I3085" t="str">
            <v>21113</v>
          </cell>
        </row>
        <row r="3086">
          <cell r="G3086" t="str">
            <v xml:space="preserve">Xã Hồng Quang     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 xml:space="preserve">Xã Khánh Hòa 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>Xã Hà Thượng</v>
          </cell>
          <cell r="I3388" t="str">
            <v>21513</v>
          </cell>
        </row>
        <row r="3389">
          <cell r="G3389" t="str">
            <v>Xã Hoàng Nông</v>
          </cell>
          <cell r="I3389" t="str">
            <v>21513</v>
          </cell>
        </row>
        <row r="3390">
          <cell r="G3390" t="str">
            <v>Xã Khôi Kỳ</v>
          </cell>
          <cell r="I3390" t="str">
            <v>21513</v>
          </cell>
        </row>
        <row r="3391">
          <cell r="G3391" t="str">
            <v xml:space="preserve">Xã An Khánh </v>
          </cell>
          <cell r="I3391" t="str">
            <v>21513</v>
          </cell>
        </row>
        <row r="3392">
          <cell r="G3392" t="str">
            <v xml:space="preserve">Xã Bình Thuận </v>
          </cell>
          <cell r="I3392" t="str">
            <v>21513</v>
          </cell>
        </row>
        <row r="3393">
          <cell r="G3393" t="str">
            <v>Xã Lục Ba</v>
          </cell>
          <cell r="I3393" t="str">
            <v>21513</v>
          </cell>
        </row>
        <row r="3394">
          <cell r="G3394" t="str">
            <v>Xã Mỹ Yên</v>
          </cell>
          <cell r="I3394" t="str">
            <v>21513</v>
          </cell>
        </row>
        <row r="3395">
          <cell r="G3395" t="str">
            <v>Xã Ký Phú</v>
          </cell>
          <cell r="I3395" t="str">
            <v>21513</v>
          </cell>
        </row>
        <row r="3396">
          <cell r="G3396" t="str">
            <v>Xã Cát Nê</v>
          </cell>
          <cell r="I3396" t="str">
            <v>21513</v>
          </cell>
        </row>
        <row r="3397">
          <cell r="G3397" t="str">
            <v>Xã Yên Lãng</v>
          </cell>
          <cell r="I3397" t="str">
            <v>21513</v>
          </cell>
        </row>
        <row r="3398">
          <cell r="G3398" t="str">
            <v>Xã Cù Vân</v>
          </cell>
          <cell r="I3398" t="str">
            <v>21513</v>
          </cell>
        </row>
        <row r="3399">
          <cell r="G3399" t="str">
            <v>Xã Văn Yên</v>
          </cell>
          <cell r="I3399" t="str">
            <v>21513</v>
          </cell>
        </row>
        <row r="3400">
          <cell r="G3400" t="str">
            <v>Xã Phúc Lương</v>
          </cell>
          <cell r="I3400" t="str">
            <v>21513</v>
          </cell>
        </row>
        <row r="3401">
          <cell r="G3401" t="str">
            <v xml:space="preserve">Xã Phú Cường   </v>
          </cell>
          <cell r="I3401" t="str">
            <v>21513</v>
          </cell>
        </row>
        <row r="3402">
          <cell r="G3402" t="str">
            <v xml:space="preserve">Xã Phú Thịnh   </v>
          </cell>
          <cell r="I3402" t="str">
            <v>21513</v>
          </cell>
        </row>
        <row r="3403">
          <cell r="G3403" t="str">
            <v>Xã Tiên Hội</v>
          </cell>
          <cell r="I3403" t="str">
            <v>21513</v>
          </cell>
        </row>
        <row r="3404">
          <cell r="G3404" t="str">
            <v>Xã La Bằng</v>
          </cell>
          <cell r="I3404" t="str">
            <v>21513</v>
          </cell>
        </row>
        <row r="3405">
          <cell r="G3405" t="str">
            <v>Xã Tân Thái</v>
          </cell>
          <cell r="I3405" t="str">
            <v>21513</v>
          </cell>
        </row>
        <row r="3406">
          <cell r="G3406" t="str">
            <v>Xã Vạn Thọ</v>
          </cell>
          <cell r="I3406" t="str">
            <v>21513</v>
          </cell>
        </row>
        <row r="3407">
          <cell r="G3407" t="str">
            <v>Xã Quân Chu</v>
          </cell>
          <cell r="I3407" t="str">
            <v>21513</v>
          </cell>
        </row>
        <row r="3408">
          <cell r="G3408" t="str">
            <v>Thị trấn Hương Sơn</v>
          </cell>
          <cell r="I3408" t="str">
            <v>21515</v>
          </cell>
        </row>
        <row r="3409">
          <cell r="G3409" t="str">
            <v xml:space="preserve">Xã Tân Khánh </v>
          </cell>
          <cell r="I3409" t="str">
            <v>21515</v>
          </cell>
        </row>
        <row r="3410">
          <cell r="G3410" t="str">
            <v>Xã Tân Kim</v>
          </cell>
          <cell r="I3410" t="str">
            <v>21515</v>
          </cell>
        </row>
        <row r="3411">
          <cell r="G3411" t="str">
            <v>Xã Đào Xá</v>
          </cell>
          <cell r="I3411" t="str">
            <v>21515</v>
          </cell>
        </row>
        <row r="3412">
          <cell r="G3412" t="str">
            <v>Xã Bảo Lý</v>
          </cell>
          <cell r="I3412" t="str">
            <v>21515</v>
          </cell>
        </row>
        <row r="3413">
          <cell r="G3413" t="str">
            <v>Xã Thượng Đình</v>
          </cell>
          <cell r="I3413" t="str">
            <v>21515</v>
          </cell>
        </row>
        <row r="3414">
          <cell r="G3414" t="str">
            <v>Xã Nhã Lộng</v>
          </cell>
          <cell r="I3414" t="str">
            <v>21515</v>
          </cell>
        </row>
        <row r="3415">
          <cell r="G3415" t="str">
            <v>Xã Điềm Thụy</v>
          </cell>
          <cell r="I3415" t="str">
            <v>21515</v>
          </cell>
        </row>
        <row r="3416">
          <cell r="G3416" t="str">
            <v>Xã Tân Đức</v>
          </cell>
          <cell r="I3416" t="str">
            <v>21515</v>
          </cell>
        </row>
        <row r="3417">
          <cell r="G3417" t="str">
            <v>Xã Lương Phú</v>
          </cell>
          <cell r="I3417" t="str">
            <v>21515</v>
          </cell>
        </row>
        <row r="3418">
          <cell r="G3418" t="str">
            <v>Xã Nga My</v>
          </cell>
          <cell r="I3418" t="str">
            <v>21515</v>
          </cell>
        </row>
        <row r="3419">
          <cell r="G3419" t="str">
            <v>Xã Thanh Ninh</v>
          </cell>
          <cell r="I3419" t="str">
            <v>21515</v>
          </cell>
        </row>
        <row r="3420">
          <cell r="G3420" t="str">
            <v>Xã Dương Thành</v>
          </cell>
          <cell r="I3420" t="str">
            <v>21515</v>
          </cell>
        </row>
        <row r="3421">
          <cell r="G3421" t="str">
            <v>Xã Đồng Liên</v>
          </cell>
          <cell r="I3421" t="str">
            <v>21515</v>
          </cell>
        </row>
        <row r="3422">
          <cell r="G3422" t="str">
            <v>Xã úc Kỳ</v>
          </cell>
          <cell r="I3422" t="str">
            <v>21515</v>
          </cell>
        </row>
        <row r="3423">
          <cell r="G3423" t="str">
            <v>Xã Bàn Đạt</v>
          </cell>
          <cell r="I3423" t="str">
            <v>21515</v>
          </cell>
        </row>
        <row r="3424">
          <cell r="G3424" t="str">
            <v xml:space="preserve">Xã Tân Thành       </v>
          </cell>
          <cell r="I3424" t="str">
            <v>21515</v>
          </cell>
        </row>
        <row r="3425">
          <cell r="G3425" t="str">
            <v xml:space="preserve">Xã Tân Hòa    </v>
          </cell>
          <cell r="I3425" t="str">
            <v>21515</v>
          </cell>
        </row>
        <row r="3426">
          <cell r="G3426" t="str">
            <v xml:space="preserve">Xã Xuân Phương  </v>
          </cell>
          <cell r="I3426" t="str">
            <v>21515</v>
          </cell>
        </row>
        <row r="3427">
          <cell r="G3427" t="str">
            <v>Xã Kha Sơn</v>
          </cell>
          <cell r="I3427" t="str">
            <v>21515</v>
          </cell>
        </row>
        <row r="3428">
          <cell r="G3428" t="str">
            <v>Xã Hà Châu</v>
          </cell>
          <cell r="I3428" t="str">
            <v>21515</v>
          </cell>
        </row>
        <row r="3429">
          <cell r="G3429" t="str">
            <v>Phường Bãi Bông</v>
          </cell>
          <cell r="I3429" t="str">
            <v>21517</v>
          </cell>
        </row>
        <row r="3430">
          <cell r="G3430" t="str">
            <v xml:space="preserve">Phường Bắc Sơn  </v>
          </cell>
          <cell r="I3430" t="str">
            <v>21517</v>
          </cell>
        </row>
        <row r="3431">
          <cell r="G3431" t="str">
            <v>Xã Phúc Tân</v>
          </cell>
          <cell r="I3431" t="str">
            <v>21517</v>
          </cell>
        </row>
        <row r="3432">
          <cell r="G3432" t="str">
            <v>Xã Phúc Thuận</v>
          </cell>
          <cell r="I3432" t="str">
            <v>21517</v>
          </cell>
        </row>
        <row r="3433">
          <cell r="G3433" t="str">
            <v xml:space="preserve">Xã Hồng Tiến  </v>
          </cell>
          <cell r="I3433" t="str">
            <v>21517</v>
          </cell>
        </row>
        <row r="3434">
          <cell r="G3434" t="str">
            <v xml:space="preserve">Xã Minh Đức   </v>
          </cell>
          <cell r="I3434" t="str">
            <v>21517</v>
          </cell>
        </row>
        <row r="3435">
          <cell r="G3435" t="str">
            <v xml:space="preserve">Xã Thành Công  </v>
          </cell>
          <cell r="I3435" t="str">
            <v>21517</v>
          </cell>
        </row>
        <row r="3436">
          <cell r="G3436" t="str">
            <v xml:space="preserve">Xã Tiên Phong </v>
          </cell>
          <cell r="I3436" t="str">
            <v>21517</v>
          </cell>
        </row>
        <row r="3437">
          <cell r="G3437" t="str">
            <v xml:space="preserve">Xã Nam Tiến </v>
          </cell>
          <cell r="I3437" t="str">
            <v>21517</v>
          </cell>
        </row>
        <row r="3438">
          <cell r="G3438" t="str">
            <v xml:space="preserve">Xã Tân Hương   </v>
          </cell>
          <cell r="I3438" t="str">
            <v>21517</v>
          </cell>
        </row>
        <row r="3439">
          <cell r="G3439" t="str">
            <v>Xã Đông Cao</v>
          </cell>
          <cell r="I3439" t="str">
            <v>21517</v>
          </cell>
        </row>
        <row r="3440">
          <cell r="G3440" t="str">
            <v xml:space="preserve">Xã Tân Phú </v>
          </cell>
          <cell r="I3440" t="str">
            <v>21517</v>
          </cell>
        </row>
        <row r="3441">
          <cell r="G3441" t="str">
            <v>Xã Thuận Thành</v>
          </cell>
          <cell r="I3441" t="str">
            <v>21517</v>
          </cell>
        </row>
        <row r="3442">
          <cell r="G3442" t="str">
            <v>Phường Đồng Tiến</v>
          </cell>
          <cell r="I3442" t="str">
            <v>21517</v>
          </cell>
        </row>
        <row r="3443">
          <cell r="G3443" t="str">
            <v>Phường Ba Hàng</v>
          </cell>
          <cell r="I3443" t="str">
            <v>21517</v>
          </cell>
        </row>
        <row r="3444">
          <cell r="G3444" t="str">
            <v>Xã Đắc Sơn</v>
          </cell>
          <cell r="I3444" t="str">
            <v>21517</v>
          </cell>
        </row>
        <row r="3445">
          <cell r="G3445" t="str">
            <v>Xã Vạn Phái</v>
          </cell>
          <cell r="I3445" t="str">
            <v>21517</v>
          </cell>
        </row>
        <row r="3446">
          <cell r="G3446" t="str">
            <v xml:space="preserve">Xã Trung Thành   </v>
          </cell>
          <cell r="I3446" t="str">
            <v>21517</v>
          </cell>
        </row>
        <row r="3447">
          <cell r="G3447" t="str">
            <v>Phường Dữu Lâu</v>
          </cell>
          <cell r="I3447" t="str">
            <v>21701</v>
          </cell>
        </row>
        <row r="3448">
          <cell r="G3448" t="str">
            <v>Phường Vân Cơ</v>
          </cell>
          <cell r="I3448" t="str">
            <v>21701</v>
          </cell>
        </row>
        <row r="3449">
          <cell r="G3449" t="str">
            <v>Phường Nông Trang</v>
          </cell>
          <cell r="I3449" t="str">
            <v>21701</v>
          </cell>
        </row>
        <row r="3450">
          <cell r="G3450" t="str">
            <v>Phường Gia Cẩm</v>
          </cell>
          <cell r="I3450" t="str">
            <v>21701</v>
          </cell>
        </row>
        <row r="3451">
          <cell r="G3451" t="str">
            <v>Phường Thọ Sơn</v>
          </cell>
          <cell r="I3451" t="str">
            <v>21701</v>
          </cell>
        </row>
        <row r="3452">
          <cell r="G3452" t="str">
            <v>Phường Thanh Miếu</v>
          </cell>
          <cell r="I3452" t="str">
            <v>21701</v>
          </cell>
        </row>
        <row r="3453">
          <cell r="G3453" t="str">
            <v>Phường Bạch Hạc</v>
          </cell>
          <cell r="I3453" t="str">
            <v>21701</v>
          </cell>
        </row>
        <row r="3454">
          <cell r="G3454" t="str">
            <v>Phường Vân Phú</v>
          </cell>
          <cell r="I3454" t="str">
            <v>21701</v>
          </cell>
        </row>
        <row r="3455">
          <cell r="G3455" t="str">
            <v>Xã Phượng Lâu</v>
          </cell>
          <cell r="I3455" t="str">
            <v>21701</v>
          </cell>
        </row>
        <row r="3456">
          <cell r="G3456" t="str">
            <v>Xã Thụy Vân</v>
          </cell>
          <cell r="I3456" t="str">
            <v>21701</v>
          </cell>
        </row>
        <row r="3457">
          <cell r="G3457" t="str">
            <v>Phường Minh Phương</v>
          </cell>
          <cell r="I3457" t="str">
            <v>21701</v>
          </cell>
        </row>
        <row r="3458">
          <cell r="G3458" t="str">
            <v>Xã Sông Lô</v>
          </cell>
          <cell r="I3458" t="str">
            <v>21701</v>
          </cell>
        </row>
        <row r="3459">
          <cell r="G3459" t="str">
            <v>Phường Tân Dân</v>
          </cell>
          <cell r="I3459" t="str">
            <v>21701</v>
          </cell>
        </row>
        <row r="3460">
          <cell r="G3460" t="str">
            <v>Phường Minh Nông</v>
          </cell>
          <cell r="I3460" t="str">
            <v>21701</v>
          </cell>
        </row>
        <row r="3461">
          <cell r="G3461" t="str">
            <v>Phường Tiên Cát</v>
          </cell>
          <cell r="I3461" t="str">
            <v>21701</v>
          </cell>
        </row>
        <row r="3462">
          <cell r="G3462" t="str">
            <v>Phường Bến Gót</v>
          </cell>
          <cell r="I3462" t="str">
            <v>21701</v>
          </cell>
        </row>
        <row r="3463">
          <cell r="G3463" t="str">
            <v xml:space="preserve">Xã Trưng Vương </v>
          </cell>
          <cell r="I3463" t="str">
            <v>21701</v>
          </cell>
        </row>
        <row r="3464">
          <cell r="G3464" t="str">
            <v xml:space="preserve">Xã Tân Đức </v>
          </cell>
          <cell r="I3464" t="str">
            <v>21701</v>
          </cell>
        </row>
        <row r="3465">
          <cell r="G3465" t="str">
            <v>Xã Kim Đức</v>
          </cell>
          <cell r="I3465" t="str">
            <v>21701</v>
          </cell>
        </row>
        <row r="3466">
          <cell r="G3466" t="str">
            <v>Xã Hy Cương</v>
          </cell>
          <cell r="I3466" t="str">
            <v>21701</v>
          </cell>
        </row>
        <row r="3467">
          <cell r="G3467" t="str">
            <v>Xã Chu Hoá</v>
          </cell>
          <cell r="I3467" t="str">
            <v>21701</v>
          </cell>
        </row>
        <row r="3468">
          <cell r="G3468" t="str">
            <v>Xã Thanh Đình</v>
          </cell>
          <cell r="I3468" t="str">
            <v>21701</v>
          </cell>
        </row>
        <row r="3469">
          <cell r="G3469" t="str">
            <v>Xã Hùng Lô</v>
          </cell>
          <cell r="I3469" t="str">
            <v>21701</v>
          </cell>
        </row>
        <row r="3470">
          <cell r="G3470" t="str">
            <v>Phường Trường Thịnh</v>
          </cell>
          <cell r="I3470" t="str">
            <v>21703</v>
          </cell>
        </row>
        <row r="3471">
          <cell r="G3471" t="str">
            <v>Phường Phong Châu</v>
          </cell>
          <cell r="I3471" t="str">
            <v>21703</v>
          </cell>
        </row>
        <row r="3472">
          <cell r="G3472" t="str">
            <v>Phường âu Cơ</v>
          </cell>
          <cell r="I3472" t="str">
            <v>21703</v>
          </cell>
        </row>
        <row r="3473">
          <cell r="G3473" t="str">
            <v>Xã Hà Lộc</v>
          </cell>
          <cell r="I3473" t="str">
            <v>21703</v>
          </cell>
        </row>
        <row r="3474">
          <cell r="G3474" t="str">
            <v>Xã Văn Lung</v>
          </cell>
          <cell r="I3474" t="str">
            <v>21703</v>
          </cell>
        </row>
        <row r="3475">
          <cell r="G3475" t="str">
            <v>Xã Thanh Minh</v>
          </cell>
          <cell r="I3475" t="str">
            <v>21703</v>
          </cell>
        </row>
        <row r="3476">
          <cell r="G3476" t="str">
            <v>Xã Hà Thạch</v>
          </cell>
          <cell r="I3476" t="str">
            <v>21703</v>
          </cell>
        </row>
        <row r="3477">
          <cell r="G3477" t="str">
            <v xml:space="preserve">Phường Hùng Vương </v>
          </cell>
          <cell r="I3477" t="str">
            <v>21703</v>
          </cell>
        </row>
        <row r="3478">
          <cell r="G3478" t="str">
            <v>Xã Phú Hộ</v>
          </cell>
          <cell r="I3478" t="str">
            <v>21703</v>
          </cell>
        </row>
        <row r="3479">
          <cell r="G3479" t="str">
            <v>Phường Thanh Vinh</v>
          </cell>
          <cell r="I3479" t="str">
            <v>21703</v>
          </cell>
        </row>
        <row r="3480">
          <cell r="G3480" t="str">
            <v>Xã Đông Khê</v>
          </cell>
          <cell r="I3480" t="str">
            <v>21705</v>
          </cell>
        </row>
        <row r="3481">
          <cell r="G3481" t="str">
            <v>Xã Nghinh Xuyên</v>
          </cell>
          <cell r="I3481" t="str">
            <v>21705</v>
          </cell>
        </row>
        <row r="3482">
          <cell r="G3482" t="str">
            <v>Xã Bằng Luân</v>
          </cell>
          <cell r="I3482" t="str">
            <v>21705</v>
          </cell>
        </row>
        <row r="3483">
          <cell r="G3483" t="str">
            <v xml:space="preserve">Xã Vân Du </v>
          </cell>
          <cell r="I3483" t="str">
            <v>21705</v>
          </cell>
        </row>
        <row r="3484">
          <cell r="G3484" t="str">
            <v xml:space="preserve">Xã Phương Trung </v>
          </cell>
          <cell r="I3484" t="str">
            <v>21705</v>
          </cell>
        </row>
        <row r="3485">
          <cell r="G3485" t="str">
            <v xml:space="preserve">Xã Minh Lương </v>
          </cell>
          <cell r="I3485" t="str">
            <v>21705</v>
          </cell>
        </row>
        <row r="3486">
          <cell r="G3486" t="str">
            <v>Xã Bằng Doãn</v>
          </cell>
          <cell r="I3486" t="str">
            <v>21705</v>
          </cell>
        </row>
        <row r="3487">
          <cell r="G3487" t="str">
            <v>Xã Chí Đám</v>
          </cell>
          <cell r="I3487" t="str">
            <v>21705</v>
          </cell>
        </row>
        <row r="3488">
          <cell r="G3488" t="str">
            <v>Xã Phúc Lai</v>
          </cell>
          <cell r="I3488" t="str">
            <v>21705</v>
          </cell>
        </row>
        <row r="3489">
          <cell r="G3489" t="str">
            <v>Xã Ngọc Quan</v>
          </cell>
          <cell r="I3489" t="str">
            <v>21705</v>
          </cell>
        </row>
        <row r="3490">
          <cell r="G3490" t="str">
            <v>Xã Sóc Đăng</v>
          </cell>
          <cell r="I3490" t="str">
            <v>21705</v>
          </cell>
        </row>
        <row r="3491">
          <cell r="G3491" t="str">
            <v>Xã Phú Thứ</v>
          </cell>
          <cell r="I3491" t="str">
            <v>21705</v>
          </cell>
        </row>
        <row r="3492">
          <cell r="G3492" t="str">
            <v>Xã Tây Cốc</v>
          </cell>
          <cell r="I3492" t="str">
            <v>21705</v>
          </cell>
        </row>
        <row r="3493">
          <cell r="G3493" t="str">
            <v>Xã Hùng Long</v>
          </cell>
          <cell r="I3493" t="str">
            <v>21705</v>
          </cell>
        </row>
        <row r="3494">
          <cell r="G3494" t="str">
            <v>Xã Vụ Quang</v>
          </cell>
          <cell r="I3494" t="str">
            <v>21705</v>
          </cell>
        </row>
        <row r="3495">
          <cell r="G3495" t="str">
            <v>Xã Vân Đồn</v>
          </cell>
          <cell r="I3495" t="str">
            <v>21705</v>
          </cell>
        </row>
        <row r="3496">
          <cell r="G3496" t="str">
            <v xml:space="preserve">Xã Minh Tiến     </v>
          </cell>
          <cell r="I3496" t="str">
            <v>21705</v>
          </cell>
        </row>
        <row r="3497">
          <cell r="G3497" t="str">
            <v>Xã Chân Mộng</v>
          </cell>
          <cell r="I3497" t="str">
            <v>21705</v>
          </cell>
        </row>
        <row r="3498">
          <cell r="G3498" t="str">
            <v>Thị trấn Đoan Hùng</v>
          </cell>
          <cell r="I3498" t="str">
            <v>21705</v>
          </cell>
        </row>
        <row r="3499">
          <cell r="G3499" t="str">
            <v>Xã Hữu Đô</v>
          </cell>
          <cell r="I3499" t="str">
            <v>21705</v>
          </cell>
        </row>
        <row r="3500">
          <cell r="G3500" t="str">
            <v xml:space="preserve">Xã Minh Phú </v>
          </cell>
          <cell r="I3500" t="str">
            <v>21705</v>
          </cell>
        </row>
        <row r="3501">
          <cell r="G3501" t="str">
            <v>Xã Hùng Quan</v>
          </cell>
          <cell r="I3501" t="str">
            <v>21705</v>
          </cell>
        </row>
        <row r="3502">
          <cell r="G3502" t="str">
            <v>Xã Quế Lâm</v>
          </cell>
          <cell r="I3502" t="str">
            <v>21705</v>
          </cell>
        </row>
        <row r="3503">
          <cell r="G3503" t="str">
            <v>Xã Phong Phú</v>
          </cell>
          <cell r="I3503" t="str">
            <v>21705</v>
          </cell>
        </row>
        <row r="3504">
          <cell r="G3504" t="str">
            <v>Xã Đại Nghĩa</v>
          </cell>
          <cell r="I3504" t="str">
            <v>21705</v>
          </cell>
        </row>
        <row r="3505">
          <cell r="G3505" t="str">
            <v>Xã Yên Kiện</v>
          </cell>
          <cell r="I3505" t="str">
            <v>21705</v>
          </cell>
        </row>
        <row r="3506">
          <cell r="G3506" t="str">
            <v>Xã Tiêu Sơn</v>
          </cell>
          <cell r="I3506" t="str">
            <v>21705</v>
          </cell>
        </row>
        <row r="3507">
          <cell r="G3507" t="str">
            <v>Xã Ca Đình</v>
          </cell>
          <cell r="I3507" t="str">
            <v>21705</v>
          </cell>
        </row>
        <row r="3508">
          <cell r="G3508" t="str">
            <v>Thị trấn Hạ Hòa</v>
          </cell>
          <cell r="I3508" t="str">
            <v>21707</v>
          </cell>
        </row>
        <row r="3509">
          <cell r="G3509" t="str">
            <v>Xã Đại Phạm</v>
          </cell>
          <cell r="I3509" t="str">
            <v>21707</v>
          </cell>
        </row>
        <row r="3510">
          <cell r="G3510" t="str">
            <v>Xã Đan Hà</v>
          </cell>
          <cell r="I3510" t="str">
            <v>21707</v>
          </cell>
        </row>
        <row r="3511">
          <cell r="G3511" t="str">
            <v>Xã Hà Lương</v>
          </cell>
          <cell r="I3511" t="str">
            <v>21707</v>
          </cell>
        </row>
        <row r="3512">
          <cell r="G3512" t="str">
            <v>Xã Lệnh Khanh</v>
          </cell>
          <cell r="I3512" t="str">
            <v>21707</v>
          </cell>
        </row>
        <row r="3513">
          <cell r="G3513" t="str">
            <v xml:space="preserve">Xã Liên Phương  </v>
          </cell>
          <cell r="I3513" t="str">
            <v>21707</v>
          </cell>
        </row>
        <row r="3514">
          <cell r="G3514" t="str">
            <v>Xã Đan Thượng</v>
          </cell>
          <cell r="I3514" t="str">
            <v>21707</v>
          </cell>
        </row>
        <row r="3515">
          <cell r="G3515" t="str">
            <v>Xã Lâm Lợi</v>
          </cell>
          <cell r="I3515" t="str">
            <v>21707</v>
          </cell>
        </row>
        <row r="3516">
          <cell r="G3516" t="str">
            <v xml:space="preserve">Xã Phương Viên </v>
          </cell>
          <cell r="I3516" t="str">
            <v>21707</v>
          </cell>
        </row>
        <row r="3517">
          <cell r="G3517" t="str">
            <v>Xã Gia Điền</v>
          </cell>
          <cell r="I3517" t="str">
            <v>21707</v>
          </cell>
        </row>
        <row r="3518">
          <cell r="G3518" t="str">
            <v>Xã Quân Khê</v>
          </cell>
          <cell r="I3518" t="str">
            <v>21707</v>
          </cell>
        </row>
        <row r="3519">
          <cell r="G3519" t="str">
            <v>Xã Y Sơn</v>
          </cell>
          <cell r="I3519" t="str">
            <v>21707</v>
          </cell>
        </row>
        <row r="3520">
          <cell r="G3520" t="str">
            <v>Xã Hương Xạ</v>
          </cell>
          <cell r="I3520" t="str">
            <v>21707</v>
          </cell>
        </row>
        <row r="3521">
          <cell r="G3521" t="str">
            <v>Xã Xuân áng</v>
          </cell>
          <cell r="I3521" t="str">
            <v>21707</v>
          </cell>
        </row>
        <row r="3522">
          <cell r="G3522" t="str">
            <v>Xã Yên Kỳ</v>
          </cell>
          <cell r="I3522" t="str">
            <v>21707</v>
          </cell>
        </row>
        <row r="3523">
          <cell r="G3523" t="str">
            <v>Xã Lang Sơn</v>
          </cell>
          <cell r="I3523" t="str">
            <v>21707</v>
          </cell>
        </row>
        <row r="3524">
          <cell r="G3524" t="str">
            <v>Xã Bằng Giã</v>
          </cell>
          <cell r="I3524" t="str">
            <v>21707</v>
          </cell>
        </row>
        <row r="3525">
          <cell r="G3525" t="str">
            <v xml:space="preserve">Xã Vô Tranh </v>
          </cell>
          <cell r="I3525" t="str">
            <v>21707</v>
          </cell>
        </row>
        <row r="3526">
          <cell r="G3526" t="str">
            <v xml:space="preserve">Xã Văn Lang </v>
          </cell>
          <cell r="I3526" t="str">
            <v>21707</v>
          </cell>
        </row>
        <row r="3527">
          <cell r="G3527" t="str">
            <v>Xã Chính Công</v>
          </cell>
          <cell r="I3527" t="str">
            <v>21707</v>
          </cell>
        </row>
        <row r="3528">
          <cell r="G3528" t="str">
            <v>Xã Vĩnh Chân</v>
          </cell>
          <cell r="I3528" t="str">
            <v>21707</v>
          </cell>
        </row>
        <row r="3529">
          <cell r="G3529" t="str">
            <v>Xã Mai Tùng</v>
          </cell>
          <cell r="I3529" t="str">
            <v>21707</v>
          </cell>
        </row>
        <row r="3530">
          <cell r="G3530" t="str">
            <v>Xã Vụ Cầu</v>
          </cell>
          <cell r="I3530" t="str">
            <v>21707</v>
          </cell>
        </row>
        <row r="3531">
          <cell r="G3531" t="str">
            <v>Xã Hiền Lương</v>
          </cell>
          <cell r="I3531" t="str">
            <v>21707</v>
          </cell>
        </row>
        <row r="3532">
          <cell r="G3532" t="str">
            <v>Xã Chuế Lưu</v>
          </cell>
          <cell r="I3532" t="str">
            <v>21707</v>
          </cell>
        </row>
        <row r="3533">
          <cell r="G3533" t="str">
            <v>Xã Minh Côi</v>
          </cell>
          <cell r="I3533" t="str">
            <v>21707</v>
          </cell>
        </row>
        <row r="3534">
          <cell r="G3534" t="str">
            <v>Xã Yên Luật</v>
          </cell>
          <cell r="I3534" t="str">
            <v>21707</v>
          </cell>
        </row>
        <row r="3535">
          <cell r="G3535" t="str">
            <v>Xã Hậu Bổng</v>
          </cell>
          <cell r="I3535" t="str">
            <v>21707</v>
          </cell>
        </row>
        <row r="3536">
          <cell r="G3536" t="str">
            <v>Xã Phụ Khánh</v>
          </cell>
          <cell r="I3536" t="str">
            <v>21707</v>
          </cell>
        </row>
        <row r="3537">
          <cell r="G3537" t="str">
            <v>Xã Động Lâm</v>
          </cell>
          <cell r="I3537" t="str">
            <v>21707</v>
          </cell>
        </row>
        <row r="3538">
          <cell r="G3538" t="str">
            <v>Xã ấm Hạ</v>
          </cell>
          <cell r="I3538" t="str">
            <v>21707</v>
          </cell>
        </row>
        <row r="3539">
          <cell r="G3539" t="str">
            <v>Xã Cáo Điền</v>
          </cell>
          <cell r="I3539" t="str">
            <v>21707</v>
          </cell>
        </row>
        <row r="3540">
          <cell r="G3540" t="str">
            <v>Xã Minh Hạc</v>
          </cell>
          <cell r="I3540" t="str">
            <v>21707</v>
          </cell>
        </row>
        <row r="3541">
          <cell r="G3541" t="str">
            <v>Xã Mạn Lạn</v>
          </cell>
          <cell r="I3541" t="str">
            <v>21709</v>
          </cell>
        </row>
        <row r="3542">
          <cell r="G3542" t="str">
            <v xml:space="preserve">Xã Thanh Xá </v>
          </cell>
          <cell r="I3542" t="str">
            <v>21709</v>
          </cell>
        </row>
        <row r="3543">
          <cell r="G3543" t="str">
            <v>Xã Chí Tiên</v>
          </cell>
          <cell r="I3543" t="str">
            <v>21709</v>
          </cell>
        </row>
        <row r="3544">
          <cell r="G3544" t="str">
            <v>Xã Hoàng Cương</v>
          </cell>
          <cell r="I3544" t="str">
            <v>21709</v>
          </cell>
        </row>
        <row r="3545">
          <cell r="G3545" t="str">
            <v>Xã Sơn Cương</v>
          </cell>
          <cell r="I3545" t="str">
            <v>21709</v>
          </cell>
        </row>
        <row r="3546">
          <cell r="G3546" t="str">
            <v xml:space="preserve">Xã Thanh Hà </v>
          </cell>
          <cell r="I3546" t="str">
            <v>21709</v>
          </cell>
        </row>
        <row r="3547">
          <cell r="G3547" t="str">
            <v>Xã Đỗ Sơn</v>
          </cell>
          <cell r="I3547" t="str">
            <v>21709</v>
          </cell>
        </row>
        <row r="3548">
          <cell r="G3548" t="str">
            <v>Xã Đỗ Xuyên</v>
          </cell>
          <cell r="I3548" t="str">
            <v>21709</v>
          </cell>
        </row>
        <row r="3549">
          <cell r="G3549" t="str">
            <v>Xã Lương Lỗ</v>
          </cell>
          <cell r="I3549" t="str">
            <v>21709</v>
          </cell>
        </row>
        <row r="3550">
          <cell r="G3550" t="str">
            <v>Xã Khải Xuân</v>
          </cell>
          <cell r="I3550" t="str">
            <v>21709</v>
          </cell>
        </row>
        <row r="3551">
          <cell r="G3551" t="str">
            <v xml:space="preserve">Xã Đông Lĩnh </v>
          </cell>
          <cell r="I3551" t="str">
            <v>21709</v>
          </cell>
        </row>
        <row r="3552">
          <cell r="G3552" t="str">
            <v xml:space="preserve">Xã Đại An  </v>
          </cell>
          <cell r="I3552" t="str">
            <v>21709</v>
          </cell>
        </row>
        <row r="3553">
          <cell r="G3553" t="str">
            <v>Xã Hanh Cù</v>
          </cell>
          <cell r="I3553" t="str">
            <v>21709</v>
          </cell>
        </row>
        <row r="3554">
          <cell r="G3554" t="str">
            <v>Xã Đồng Xuân</v>
          </cell>
          <cell r="I3554" t="str">
            <v>21709</v>
          </cell>
        </row>
        <row r="3555">
          <cell r="G3555" t="str">
            <v>Xã Năng Yên</v>
          </cell>
          <cell r="I3555" t="str">
            <v>21709</v>
          </cell>
        </row>
        <row r="3556">
          <cell r="G3556" t="str">
            <v>Xã Yển Khê</v>
          </cell>
          <cell r="I3556" t="str">
            <v>21709</v>
          </cell>
        </row>
        <row r="3557">
          <cell r="G3557" t="str">
            <v>Xã Quảng Nạp</v>
          </cell>
          <cell r="I3557" t="str">
            <v>21709</v>
          </cell>
        </row>
        <row r="3558">
          <cell r="G3558" t="str">
            <v>Xã Vũ Yển</v>
          </cell>
          <cell r="I3558" t="str">
            <v>21709</v>
          </cell>
        </row>
        <row r="3559">
          <cell r="G3559" t="str">
            <v xml:space="preserve">Xã Võ Lao </v>
          </cell>
          <cell r="I3559" t="str">
            <v>21709</v>
          </cell>
        </row>
        <row r="3560">
          <cell r="G3560" t="str">
            <v xml:space="preserve">Xã Đông Thành </v>
          </cell>
          <cell r="I3560" t="str">
            <v>21709</v>
          </cell>
        </row>
        <row r="3561">
          <cell r="G3561" t="str">
            <v xml:space="preserve">Xã Thanh Vân </v>
          </cell>
          <cell r="I3561" t="str">
            <v>21709</v>
          </cell>
        </row>
        <row r="3562">
          <cell r="G3562" t="str">
            <v>Xã Yên Nội</v>
          </cell>
          <cell r="I3562" t="str">
            <v>21709</v>
          </cell>
        </row>
        <row r="3563">
          <cell r="G3563" t="str">
            <v>Thị trấn Thanh Ba</v>
          </cell>
          <cell r="I3563" t="str">
            <v>21709</v>
          </cell>
        </row>
        <row r="3564">
          <cell r="G3564" t="str">
            <v>Xã Thái Ninh</v>
          </cell>
          <cell r="I3564" t="str">
            <v>21709</v>
          </cell>
        </row>
        <row r="3565">
          <cell r="G3565" t="str">
            <v>Xã Ninh Dân</v>
          </cell>
          <cell r="I3565" t="str">
            <v>21709</v>
          </cell>
        </row>
        <row r="3566">
          <cell r="G3566" t="str">
            <v>Xã Phương Lĩnh</v>
          </cell>
          <cell r="I3566" t="str">
            <v>21709</v>
          </cell>
        </row>
        <row r="3567">
          <cell r="G3567" t="str">
            <v>Xã Vân Lĩnh</v>
          </cell>
          <cell r="I3567" t="str">
            <v>21709</v>
          </cell>
        </row>
        <row r="3568">
          <cell r="G3568" t="str">
            <v xml:space="preserve">Xã Phú Mỹ </v>
          </cell>
          <cell r="I3568" t="str">
            <v>21711</v>
          </cell>
        </row>
        <row r="3569">
          <cell r="G3569" t="str">
            <v>Xã Liên Hoa</v>
          </cell>
          <cell r="I3569" t="str">
            <v>21711</v>
          </cell>
        </row>
        <row r="3570">
          <cell r="G3570" t="str">
            <v>Xã Trạm Thản</v>
          </cell>
          <cell r="I3570" t="str">
            <v>21711</v>
          </cell>
        </row>
        <row r="3571">
          <cell r="G3571" t="str">
            <v>Xã Tiên Phú</v>
          </cell>
          <cell r="I3571" t="str">
            <v>21711</v>
          </cell>
        </row>
        <row r="3572">
          <cell r="G3572" t="str">
            <v>Xã Hạ Giáp</v>
          </cell>
          <cell r="I3572" t="str">
            <v>21711</v>
          </cell>
        </row>
        <row r="3573">
          <cell r="G3573" t="str">
            <v>Xã Bảo Thanh</v>
          </cell>
          <cell r="I3573" t="str">
            <v>21711</v>
          </cell>
        </row>
        <row r="3574">
          <cell r="G3574" t="str">
            <v xml:space="preserve">Xã Gia Thanh </v>
          </cell>
          <cell r="I3574" t="str">
            <v>21711</v>
          </cell>
        </row>
        <row r="3575">
          <cell r="G3575" t="str">
            <v>Xã Tiên Du</v>
          </cell>
          <cell r="I3575" t="str">
            <v>21711</v>
          </cell>
        </row>
        <row r="3576">
          <cell r="G3576" t="str">
            <v>Xã Bình Bộ</v>
          </cell>
          <cell r="I3576" t="str">
            <v>21711</v>
          </cell>
        </row>
        <row r="3577">
          <cell r="G3577" t="str">
            <v>Xã An Đạo</v>
          </cell>
          <cell r="I3577" t="str">
            <v>21711</v>
          </cell>
        </row>
        <row r="3578">
          <cell r="G3578" t="str">
            <v>Xã Vĩnh Phú</v>
          </cell>
          <cell r="I3578" t="str">
            <v>21711</v>
          </cell>
        </row>
        <row r="3579">
          <cell r="G3579" t="str">
            <v>Xã Trị Quận</v>
          </cell>
          <cell r="I3579" t="str">
            <v>21711</v>
          </cell>
        </row>
        <row r="3580">
          <cell r="G3580" t="str">
            <v>Xã Tử Đà</v>
          </cell>
          <cell r="I3580" t="str">
            <v>21711</v>
          </cell>
        </row>
        <row r="3581">
          <cell r="G3581" t="str">
            <v>Thị trấn Phong Châu</v>
          </cell>
          <cell r="I3581" t="str">
            <v>21711</v>
          </cell>
        </row>
        <row r="3582">
          <cell r="G3582" t="str">
            <v>Xã Trung Giáp</v>
          </cell>
          <cell r="I3582" t="str">
            <v>21711</v>
          </cell>
        </row>
        <row r="3583">
          <cell r="G3583" t="str">
            <v xml:space="preserve">Xã Phú Lộc </v>
          </cell>
          <cell r="I3583" t="str">
            <v>21711</v>
          </cell>
        </row>
        <row r="3584">
          <cell r="G3584" t="str">
            <v>Xã Phú Nham</v>
          </cell>
          <cell r="I3584" t="str">
            <v>21711</v>
          </cell>
        </row>
        <row r="3585">
          <cell r="G3585" t="str">
            <v xml:space="preserve">Xã Phù Ninh </v>
          </cell>
          <cell r="I3585" t="str">
            <v>21711</v>
          </cell>
        </row>
        <row r="3586">
          <cell r="G3586" t="str">
            <v>Xã Lệ Mỹ</v>
          </cell>
          <cell r="I3586" t="str">
            <v>21711</v>
          </cell>
        </row>
        <row r="3587">
          <cell r="G3587" t="str">
            <v xml:space="preserve">Xã Tuy Lộc </v>
          </cell>
          <cell r="I3587" t="str">
            <v>21713</v>
          </cell>
        </row>
        <row r="3588">
          <cell r="G3588" t="str">
            <v>Xã Ngô Xá</v>
          </cell>
          <cell r="I3588" t="str">
            <v>21713</v>
          </cell>
        </row>
        <row r="3589">
          <cell r="G3589" t="str">
            <v>Xã Phương Xá</v>
          </cell>
          <cell r="I3589" t="str">
            <v>21713</v>
          </cell>
        </row>
        <row r="3590">
          <cell r="G3590" t="str">
            <v>Xã Đồng Cam</v>
          </cell>
          <cell r="I3590" t="str">
            <v>21713</v>
          </cell>
        </row>
        <row r="3591">
          <cell r="G3591" t="str">
            <v>Xã Thụy Liễu</v>
          </cell>
          <cell r="I3591" t="str">
            <v>21713</v>
          </cell>
        </row>
        <row r="3592">
          <cell r="G3592" t="str">
            <v xml:space="preserve">Xã Phùng Xá  </v>
          </cell>
          <cell r="I3592" t="str">
            <v>21713</v>
          </cell>
        </row>
        <row r="3593">
          <cell r="G3593" t="str">
            <v>Xã Sai Nga</v>
          </cell>
          <cell r="I3593" t="str">
            <v>21713</v>
          </cell>
        </row>
        <row r="3594">
          <cell r="G3594" t="str">
            <v>Xã Tùng Khê</v>
          </cell>
          <cell r="I3594" t="str">
            <v>21713</v>
          </cell>
        </row>
        <row r="3595">
          <cell r="G3595" t="str">
            <v>Xã Văn Bán</v>
          </cell>
          <cell r="I3595" t="str">
            <v>21713</v>
          </cell>
        </row>
        <row r="3596">
          <cell r="G3596" t="str">
            <v>Xã Thanh Nga</v>
          </cell>
          <cell r="I3596" t="str">
            <v>21713</v>
          </cell>
        </row>
        <row r="3597">
          <cell r="G3597" t="str">
            <v>Xã Phú Khê</v>
          </cell>
          <cell r="I3597" t="str">
            <v>21713</v>
          </cell>
        </row>
        <row r="3598">
          <cell r="G3598" t="str">
            <v>Xã Sơn Tình</v>
          </cell>
          <cell r="I3598" t="str">
            <v>21713</v>
          </cell>
        </row>
        <row r="3599">
          <cell r="G3599" t="str">
            <v>Xã Yên Tập</v>
          </cell>
          <cell r="I3599" t="str">
            <v>21713</v>
          </cell>
        </row>
        <row r="3600">
          <cell r="G3600" t="str">
            <v>Xã Tạ Xá</v>
          </cell>
          <cell r="I3600" t="str">
            <v>21713</v>
          </cell>
        </row>
        <row r="3601">
          <cell r="G3601" t="str">
            <v xml:space="preserve">Xã Phú Lạc </v>
          </cell>
          <cell r="I3601" t="str">
            <v>21713</v>
          </cell>
        </row>
        <row r="3602">
          <cell r="G3602" t="str">
            <v>Xã Tình Cương</v>
          </cell>
          <cell r="I3602" t="str">
            <v>21713</v>
          </cell>
        </row>
        <row r="3603">
          <cell r="G3603" t="str">
            <v>Xã Văn Khúc</v>
          </cell>
          <cell r="I3603" t="str">
            <v>21713</v>
          </cell>
        </row>
        <row r="3604">
          <cell r="G3604" t="str">
            <v>Xã Yên Dưỡng</v>
          </cell>
          <cell r="I3604" t="str">
            <v>21713</v>
          </cell>
        </row>
        <row r="3605">
          <cell r="G3605" t="str">
            <v>Xã Điêu Lương</v>
          </cell>
          <cell r="I3605" t="str">
            <v>21713</v>
          </cell>
        </row>
        <row r="3606">
          <cell r="G3606" t="str">
            <v>Xã Đồng Lương</v>
          </cell>
          <cell r="I3606" t="str">
            <v>21713</v>
          </cell>
        </row>
        <row r="3607">
          <cell r="G3607" t="str">
            <v>Xã Tiên Lương</v>
          </cell>
          <cell r="I3607" t="str">
            <v>21713</v>
          </cell>
        </row>
        <row r="3608">
          <cell r="G3608" t="str">
            <v>Xã Cấp Dẫn</v>
          </cell>
          <cell r="I3608" t="str">
            <v>21713</v>
          </cell>
        </row>
        <row r="3609">
          <cell r="G3609" t="str">
            <v>Xã Hiền Đa</v>
          </cell>
          <cell r="I3609" t="str">
            <v>21713</v>
          </cell>
        </row>
        <row r="3610">
          <cell r="G3610" t="str">
            <v>Thị trấn Sông Thao</v>
          </cell>
          <cell r="I3610" t="str">
            <v>21713</v>
          </cell>
        </row>
        <row r="3611">
          <cell r="G3611" t="str">
            <v>Xã Phượng Vĩ</v>
          </cell>
          <cell r="I3611" t="str">
            <v>21713</v>
          </cell>
        </row>
        <row r="3612">
          <cell r="G3612" t="str">
            <v>Xã Sơn Nga</v>
          </cell>
          <cell r="I3612" t="str">
            <v>21713</v>
          </cell>
        </row>
        <row r="3613">
          <cell r="G3613" t="str">
            <v>Xã Tam Sơn</v>
          </cell>
          <cell r="I3613" t="str">
            <v>21713</v>
          </cell>
        </row>
        <row r="3614">
          <cell r="G3614" t="str">
            <v>Xã Xương Thịnh</v>
          </cell>
          <cell r="I3614" t="str">
            <v>21713</v>
          </cell>
        </row>
        <row r="3615">
          <cell r="G3615" t="str">
            <v>Xã Hương Lung</v>
          </cell>
          <cell r="I3615" t="str">
            <v>21713</v>
          </cell>
        </row>
        <row r="3616">
          <cell r="G3616" t="str">
            <v>Xã Chương Xá</v>
          </cell>
          <cell r="I3616" t="str">
            <v>21713</v>
          </cell>
        </row>
        <row r="3617">
          <cell r="G3617" t="str">
            <v>Xã Cát Trù</v>
          </cell>
          <cell r="I3617" t="str">
            <v>21713</v>
          </cell>
        </row>
        <row r="3618">
          <cell r="G3618" t="str">
            <v>Xã Mỹ Lung</v>
          </cell>
          <cell r="I3618" t="str">
            <v>21715</v>
          </cell>
        </row>
        <row r="3619">
          <cell r="G3619" t="str">
            <v xml:space="preserve">Xã Mỹ Lương </v>
          </cell>
          <cell r="I3619" t="str">
            <v>21715</v>
          </cell>
        </row>
        <row r="3620">
          <cell r="G3620" t="str">
            <v xml:space="preserve">Xã Lương Sơn  </v>
          </cell>
          <cell r="I3620" t="str">
            <v>21715</v>
          </cell>
        </row>
        <row r="3621">
          <cell r="G3621" t="str">
            <v>Xã Xuân An</v>
          </cell>
          <cell r="I3621" t="str">
            <v>21715</v>
          </cell>
        </row>
        <row r="3622">
          <cell r="G3622" t="str">
            <v xml:space="preserve">Xã Trung Sơn </v>
          </cell>
          <cell r="I3622" t="str">
            <v>21715</v>
          </cell>
        </row>
        <row r="3623">
          <cell r="G3623" t="str">
            <v xml:space="preserve">Xã Hưng Long  </v>
          </cell>
          <cell r="I3623" t="str">
            <v>21715</v>
          </cell>
        </row>
        <row r="3624">
          <cell r="G3624" t="str">
            <v xml:space="preserve">Xã Đồng Lạc    </v>
          </cell>
          <cell r="I3624" t="str">
            <v>21715</v>
          </cell>
        </row>
        <row r="3625">
          <cell r="G3625" t="str">
            <v>Xã Thượng Long</v>
          </cell>
          <cell r="I3625" t="str">
            <v>21715</v>
          </cell>
        </row>
        <row r="3626">
          <cell r="G3626" t="str">
            <v xml:space="preserve">Xã Đồng Thịnh </v>
          </cell>
          <cell r="I3626" t="str">
            <v>21715</v>
          </cell>
        </row>
        <row r="3627">
          <cell r="G3627" t="str">
            <v xml:space="preserve">Xã Minh Hòa   </v>
          </cell>
          <cell r="I3627" t="str">
            <v>21715</v>
          </cell>
        </row>
        <row r="3628">
          <cell r="G3628" t="str">
            <v>Xã Ngọc Lập</v>
          </cell>
          <cell r="I3628" t="str">
            <v>21715</v>
          </cell>
        </row>
        <row r="3629">
          <cell r="G3629" t="str">
            <v>Xã Ngọc Đồng</v>
          </cell>
          <cell r="I3629" t="str">
            <v>21715</v>
          </cell>
        </row>
        <row r="3630">
          <cell r="G3630" t="str">
            <v xml:space="preserve">Xã Xuân Thủy </v>
          </cell>
          <cell r="I3630" t="str">
            <v>21715</v>
          </cell>
        </row>
        <row r="3631">
          <cell r="G3631" t="str">
            <v>Thị trấn Yên Lập</v>
          </cell>
          <cell r="I3631" t="str">
            <v>21715</v>
          </cell>
        </row>
        <row r="3632">
          <cell r="G3632" t="str">
            <v>Xã Xuân Viên</v>
          </cell>
          <cell r="I3632" t="str">
            <v>21715</v>
          </cell>
        </row>
        <row r="3633">
          <cell r="G3633" t="str">
            <v>Xã Nga Hoàng</v>
          </cell>
          <cell r="I3633" t="str">
            <v>21715</v>
          </cell>
        </row>
        <row r="3634">
          <cell r="G3634" t="str">
            <v xml:space="preserve">Xã Phúc Khánh </v>
          </cell>
          <cell r="I3634" t="str">
            <v>21715</v>
          </cell>
        </row>
        <row r="3635">
          <cell r="G3635" t="str">
            <v>Thị trấn Hưng Hoá</v>
          </cell>
          <cell r="I3635" t="str">
            <v>21717</v>
          </cell>
        </row>
        <row r="3636">
          <cell r="G3636" t="str">
            <v>Xã Hiền Quan</v>
          </cell>
          <cell r="I3636" t="str">
            <v>21717</v>
          </cell>
        </row>
        <row r="3637">
          <cell r="G3637" t="str">
            <v>Xã Hương Nha</v>
          </cell>
          <cell r="I3637" t="str">
            <v>21717</v>
          </cell>
        </row>
        <row r="3638">
          <cell r="G3638" t="str">
            <v>Xã Thanh Uyên</v>
          </cell>
          <cell r="I3638" t="str">
            <v>21717</v>
          </cell>
        </row>
        <row r="3639">
          <cell r="G3639" t="str">
            <v>Xã Văn Lương</v>
          </cell>
          <cell r="I3639" t="str">
            <v>21717</v>
          </cell>
        </row>
        <row r="3640">
          <cell r="G3640" t="str">
            <v>Xã Hùng Đô</v>
          </cell>
          <cell r="I3640" t="str">
            <v>21717</v>
          </cell>
        </row>
        <row r="3641">
          <cell r="G3641" t="str">
            <v xml:space="preserve">Xã Tam Cường </v>
          </cell>
          <cell r="I3641" t="str">
            <v>21717</v>
          </cell>
        </row>
        <row r="3642">
          <cell r="G3642" t="str">
            <v>Xã Cổ Tiết</v>
          </cell>
          <cell r="I3642" t="str">
            <v>21717</v>
          </cell>
        </row>
        <row r="3643">
          <cell r="G3643" t="str">
            <v>Xã Quang Húc</v>
          </cell>
          <cell r="I3643" t="str">
            <v>21717</v>
          </cell>
        </row>
        <row r="3644">
          <cell r="G3644" t="str">
            <v>Xã Hương Nộn</v>
          </cell>
          <cell r="I3644" t="str">
            <v>21717</v>
          </cell>
        </row>
        <row r="3645">
          <cell r="G3645" t="str">
            <v>Xã Thọ Văn</v>
          </cell>
          <cell r="I3645" t="str">
            <v>21717</v>
          </cell>
        </row>
        <row r="3646">
          <cell r="G3646" t="str">
            <v>Xã Dậu Dương</v>
          </cell>
          <cell r="I3646" t="str">
            <v>21717</v>
          </cell>
        </row>
        <row r="3647">
          <cell r="G3647" t="str">
            <v xml:space="preserve">Xã Thượng Nông </v>
          </cell>
          <cell r="I3647" t="str">
            <v>21717</v>
          </cell>
        </row>
        <row r="3648">
          <cell r="G3648" t="str">
            <v>Xã Tứ Mỹ</v>
          </cell>
          <cell r="I3648" t="str">
            <v>21717</v>
          </cell>
        </row>
        <row r="3649">
          <cell r="G3649" t="str">
            <v xml:space="preserve">Xã Dị Nậu </v>
          </cell>
          <cell r="I3649" t="str">
            <v>21717</v>
          </cell>
        </row>
        <row r="3650">
          <cell r="G3650" t="str">
            <v>Xã Vực Trường</v>
          </cell>
          <cell r="I3650" t="str">
            <v>21717</v>
          </cell>
        </row>
        <row r="3651">
          <cell r="G3651" t="str">
            <v xml:space="preserve">Xã Xuân Quang  </v>
          </cell>
          <cell r="I3651" t="str">
            <v>21717</v>
          </cell>
        </row>
        <row r="3652">
          <cell r="G3652" t="str">
            <v>Xã Phương Thịnh</v>
          </cell>
          <cell r="I3652" t="str">
            <v>21717</v>
          </cell>
        </row>
        <row r="3653">
          <cell r="G3653" t="str">
            <v>Xã Tề Lễ</v>
          </cell>
          <cell r="I3653" t="str">
            <v>21717</v>
          </cell>
        </row>
        <row r="3654">
          <cell r="G3654" t="str">
            <v>Xã Hồng Đà</v>
          </cell>
          <cell r="I3654" t="str">
            <v>21717</v>
          </cell>
        </row>
        <row r="3655">
          <cell r="G3655" t="str">
            <v>Thị trấn Thanh Sơn</v>
          </cell>
          <cell r="I3655" t="str">
            <v>21719</v>
          </cell>
        </row>
        <row r="3656">
          <cell r="G3656" t="str">
            <v>Xã Sơn Hùng</v>
          </cell>
          <cell r="I3656" t="str">
            <v>21719</v>
          </cell>
        </row>
        <row r="3657">
          <cell r="G3657" t="str">
            <v>Xã Địch Quả</v>
          </cell>
          <cell r="I3657" t="str">
            <v>21719</v>
          </cell>
        </row>
        <row r="3658">
          <cell r="G3658" t="str">
            <v>Xã Giáp Lai</v>
          </cell>
          <cell r="I3658" t="str">
            <v>21719</v>
          </cell>
        </row>
        <row r="3659">
          <cell r="G3659" t="str">
            <v>Xã Thục Luyện</v>
          </cell>
          <cell r="I3659" t="str">
            <v>21719</v>
          </cell>
        </row>
        <row r="3660">
          <cell r="G3660" t="str">
            <v>Xã Võ Miếu</v>
          </cell>
          <cell r="I3660" t="str">
            <v>21719</v>
          </cell>
        </row>
        <row r="3661">
          <cell r="G3661" t="str">
            <v>Xã Tất Thắng</v>
          </cell>
          <cell r="I3661" t="str">
            <v>21719</v>
          </cell>
        </row>
        <row r="3662">
          <cell r="G3662" t="str">
            <v>Xã Cự Đồng</v>
          </cell>
          <cell r="I3662" t="str">
            <v>21719</v>
          </cell>
        </row>
        <row r="3663">
          <cell r="G3663" t="str">
            <v>Xã Hương Cần</v>
          </cell>
          <cell r="I3663" t="str">
            <v>21719</v>
          </cell>
        </row>
        <row r="3664">
          <cell r="G3664" t="str">
            <v>Xã Đông Cửu</v>
          </cell>
          <cell r="I3664" t="str">
            <v>21719</v>
          </cell>
        </row>
        <row r="3665">
          <cell r="G3665" t="str">
            <v xml:space="preserve">Xã Tân Lập        </v>
          </cell>
          <cell r="I3665" t="str">
            <v>21719</v>
          </cell>
        </row>
        <row r="3666">
          <cell r="G3666" t="str">
            <v xml:space="preserve">Xã Yên Lãng </v>
          </cell>
          <cell r="I3666" t="str">
            <v>21719</v>
          </cell>
        </row>
        <row r="3667">
          <cell r="G3667" t="str">
            <v>Xã Thượng Cửu</v>
          </cell>
          <cell r="I3667" t="str">
            <v>21719</v>
          </cell>
        </row>
        <row r="3668">
          <cell r="G3668" t="str">
            <v>Xã Lương Nha</v>
          </cell>
          <cell r="I3668" t="str">
            <v>21719</v>
          </cell>
        </row>
        <row r="3669">
          <cell r="G3669" t="str">
            <v xml:space="preserve">Xã Yên Sơn     </v>
          </cell>
          <cell r="I3669" t="str">
            <v>21719</v>
          </cell>
        </row>
        <row r="3670">
          <cell r="G3670" t="str">
            <v xml:space="preserve">Xã Tân Minh   </v>
          </cell>
          <cell r="I3670" t="str">
            <v>21719</v>
          </cell>
        </row>
        <row r="3671">
          <cell r="G3671" t="str">
            <v>Xã Thạch Khoán</v>
          </cell>
          <cell r="I3671" t="str">
            <v>21719</v>
          </cell>
        </row>
        <row r="3672">
          <cell r="G3672" t="str">
            <v>Xã Cự Thắng</v>
          </cell>
          <cell r="I3672" t="str">
            <v>21719</v>
          </cell>
        </row>
        <row r="3673">
          <cell r="G3673" t="str">
            <v>Xã Văn Miếu</v>
          </cell>
          <cell r="I3673" t="str">
            <v>21719</v>
          </cell>
        </row>
        <row r="3674">
          <cell r="G3674" t="str">
            <v>Xã Thắng Sơn</v>
          </cell>
          <cell r="I3674" t="str">
            <v>21719</v>
          </cell>
        </row>
        <row r="3675">
          <cell r="G3675" t="str">
            <v>Xã Khả Cửu</v>
          </cell>
          <cell r="I3675" t="str">
            <v>21719</v>
          </cell>
        </row>
        <row r="3676">
          <cell r="G3676" t="str">
            <v xml:space="preserve">Xã Yên Lương </v>
          </cell>
          <cell r="I3676" t="str">
            <v>21719</v>
          </cell>
        </row>
        <row r="3677">
          <cell r="G3677" t="str">
            <v>Xã Tinh Nhuệ</v>
          </cell>
          <cell r="I3677" t="str">
            <v>21719</v>
          </cell>
        </row>
        <row r="3678">
          <cell r="G3678" t="str">
            <v xml:space="preserve">Xã Tân Sơn  </v>
          </cell>
          <cell r="I3678" t="str">
            <v>21720</v>
          </cell>
        </row>
        <row r="3679">
          <cell r="G3679" t="str">
            <v xml:space="preserve">Xã Xuân Đài </v>
          </cell>
          <cell r="I3679" t="str">
            <v>21720</v>
          </cell>
        </row>
        <row r="3680">
          <cell r="G3680" t="str">
            <v>Xã Văn Luông</v>
          </cell>
          <cell r="I3680" t="str">
            <v>21720</v>
          </cell>
        </row>
        <row r="3681">
          <cell r="G3681" t="str">
            <v xml:space="preserve">Xã Xuân Sơn </v>
          </cell>
          <cell r="I3681" t="str">
            <v>21720</v>
          </cell>
        </row>
        <row r="3682">
          <cell r="G3682" t="str">
            <v>Xã Long Cốc</v>
          </cell>
          <cell r="I3682" t="str">
            <v>21720</v>
          </cell>
        </row>
        <row r="3683">
          <cell r="G3683" t="str">
            <v>Xã Kim Thượng</v>
          </cell>
          <cell r="I3683" t="str">
            <v>21720</v>
          </cell>
        </row>
        <row r="3684">
          <cell r="G3684" t="str">
            <v xml:space="preserve">Xã Tam Thanh </v>
          </cell>
          <cell r="I3684" t="str">
            <v>21720</v>
          </cell>
        </row>
        <row r="3685">
          <cell r="G3685" t="str">
            <v>Xã Vinh Tiền</v>
          </cell>
          <cell r="I3685" t="str">
            <v>21720</v>
          </cell>
        </row>
        <row r="3686">
          <cell r="G3686" t="str">
            <v xml:space="preserve">Xã Đồng Sơn </v>
          </cell>
          <cell r="I3686" t="str">
            <v>21720</v>
          </cell>
        </row>
        <row r="3687">
          <cell r="G3687" t="str">
            <v>Xã Minh Đài</v>
          </cell>
          <cell r="I3687" t="str">
            <v>21720</v>
          </cell>
        </row>
        <row r="3688">
          <cell r="G3688" t="str">
            <v xml:space="preserve">Xã Tân Phú  </v>
          </cell>
          <cell r="I3688" t="str">
            <v>21720</v>
          </cell>
        </row>
        <row r="3689">
          <cell r="G3689" t="str">
            <v>Xã Thu Cúc</v>
          </cell>
          <cell r="I3689" t="str">
            <v>21720</v>
          </cell>
        </row>
        <row r="3690">
          <cell r="G3690" t="str">
            <v>Xã Thạch Kiệt</v>
          </cell>
          <cell r="I3690" t="str">
            <v>21720</v>
          </cell>
        </row>
        <row r="3691">
          <cell r="G3691" t="str">
            <v>Xã Thu Ngạc</v>
          </cell>
          <cell r="I3691" t="str">
            <v>21720</v>
          </cell>
        </row>
        <row r="3692">
          <cell r="G3692" t="str">
            <v>Xã Kiệt Sơn</v>
          </cell>
          <cell r="I3692" t="str">
            <v>21720</v>
          </cell>
        </row>
        <row r="3693">
          <cell r="G3693" t="str">
            <v>Xã Lai Đồng</v>
          </cell>
          <cell r="I3693" t="str">
            <v>21720</v>
          </cell>
        </row>
        <row r="3694">
          <cell r="G3694" t="str">
            <v xml:space="preserve">Xã Mỹ Thuận </v>
          </cell>
          <cell r="I3694" t="str">
            <v>21720</v>
          </cell>
        </row>
        <row r="3695">
          <cell r="G3695" t="str">
            <v>Xã Bản Nguyên</v>
          </cell>
          <cell r="I3695" t="str">
            <v>21721</v>
          </cell>
        </row>
        <row r="3696">
          <cell r="G3696" t="str">
            <v>Xã Tứ Xã</v>
          </cell>
          <cell r="I3696" t="str">
            <v>21721</v>
          </cell>
        </row>
        <row r="3697">
          <cell r="G3697" t="str">
            <v>Thị trấn Lâm Thao</v>
          </cell>
          <cell r="I3697" t="str">
            <v>21721</v>
          </cell>
        </row>
        <row r="3698">
          <cell r="G3698" t="str">
            <v xml:space="preserve">Thị trấn Hùng Sơn </v>
          </cell>
          <cell r="I3698" t="str">
            <v>21721</v>
          </cell>
        </row>
        <row r="3699">
          <cell r="G3699" t="str">
            <v>Xã Xuân Lũng</v>
          </cell>
          <cell r="I3699" t="str">
            <v>21721</v>
          </cell>
        </row>
        <row r="3700">
          <cell r="G3700" t="str">
            <v>Xã Sơn Vi</v>
          </cell>
          <cell r="I3700" t="str">
            <v>21721</v>
          </cell>
        </row>
        <row r="3701">
          <cell r="G3701" t="str">
            <v>Xã Sơn Dương</v>
          </cell>
          <cell r="I3701" t="str">
            <v>21721</v>
          </cell>
        </row>
        <row r="3702">
          <cell r="G3702" t="str">
            <v>Xã Cao Xá</v>
          </cell>
          <cell r="I3702" t="str">
            <v>21721</v>
          </cell>
        </row>
        <row r="3703">
          <cell r="G3703" t="str">
            <v xml:space="preserve">Xã Vĩnh Lại </v>
          </cell>
          <cell r="I3703" t="str">
            <v>21721</v>
          </cell>
        </row>
        <row r="3704">
          <cell r="G3704" t="str">
            <v>Xã Thạch Sơn</v>
          </cell>
          <cell r="I3704" t="str">
            <v>21721</v>
          </cell>
        </row>
        <row r="3705">
          <cell r="G3705" t="str">
            <v>Xã Tiên Kiên</v>
          </cell>
          <cell r="I3705" t="str">
            <v>21721</v>
          </cell>
        </row>
        <row r="3706">
          <cell r="G3706" t="str">
            <v>Xã Xuân Huy</v>
          </cell>
          <cell r="I3706" t="str">
            <v>21721</v>
          </cell>
        </row>
        <row r="3707">
          <cell r="G3707" t="str">
            <v>Xã Hợp Hải</v>
          </cell>
          <cell r="I3707" t="str">
            <v>21721</v>
          </cell>
        </row>
        <row r="3708">
          <cell r="G3708" t="str">
            <v>Xã Kinh Kệ</v>
          </cell>
          <cell r="I3708" t="str">
            <v>21721</v>
          </cell>
        </row>
        <row r="3709">
          <cell r="G3709" t="str">
            <v xml:space="preserve">Xã Đào Xá </v>
          </cell>
          <cell r="I3709" t="str">
            <v>21723</v>
          </cell>
        </row>
        <row r="3710">
          <cell r="G3710" t="str">
            <v>Xã Xuân Lộc</v>
          </cell>
          <cell r="I3710" t="str">
            <v>21723</v>
          </cell>
        </row>
        <row r="3711">
          <cell r="G3711" t="str">
            <v>Thị trấn Thanh Thuỷ</v>
          </cell>
          <cell r="I3711" t="str">
            <v>21723</v>
          </cell>
        </row>
        <row r="3712">
          <cell r="G3712" t="str">
            <v>Xã Sơn Thủy</v>
          </cell>
          <cell r="I3712" t="str">
            <v>21723</v>
          </cell>
        </row>
        <row r="3713">
          <cell r="G3713" t="str">
            <v>Xã Bảo Yên</v>
          </cell>
          <cell r="I3713" t="str">
            <v>21723</v>
          </cell>
        </row>
        <row r="3714">
          <cell r="G3714" t="str">
            <v>Xã Đồng Luận</v>
          </cell>
          <cell r="I3714" t="str">
            <v>21723</v>
          </cell>
        </row>
        <row r="3715">
          <cell r="G3715" t="str">
            <v>Xã Hoàng Xá</v>
          </cell>
          <cell r="I3715" t="str">
            <v>21723</v>
          </cell>
        </row>
        <row r="3716">
          <cell r="G3716" t="str">
            <v xml:space="preserve">Xã Trung Thịnh </v>
          </cell>
          <cell r="I3716" t="str">
            <v>21723</v>
          </cell>
        </row>
        <row r="3717">
          <cell r="G3717" t="str">
            <v>Xã Phượng Mao</v>
          </cell>
          <cell r="I3717" t="str">
            <v>21723</v>
          </cell>
        </row>
        <row r="3718">
          <cell r="G3718" t="str">
            <v>Xã Tu Vũ</v>
          </cell>
          <cell r="I3718" t="str">
            <v>21723</v>
          </cell>
        </row>
        <row r="3719">
          <cell r="G3719" t="str">
            <v>Xã Thạch Đồng</v>
          </cell>
          <cell r="I3719" t="str">
            <v>21723</v>
          </cell>
        </row>
        <row r="3720">
          <cell r="G3720" t="str">
            <v>Xã Yến Mao</v>
          </cell>
          <cell r="I3720" t="str">
            <v>21723</v>
          </cell>
        </row>
        <row r="3721">
          <cell r="G3721" t="str">
            <v>Xã Tân Phương</v>
          </cell>
          <cell r="I3721" t="str">
            <v>21723</v>
          </cell>
        </row>
        <row r="3722">
          <cell r="G3722" t="str">
            <v>Xã Đoan Hạ</v>
          </cell>
          <cell r="I3722" t="str">
            <v>21723</v>
          </cell>
        </row>
        <row r="3723">
          <cell r="G3723" t="str">
            <v xml:space="preserve">Xã Trung Nghĩa </v>
          </cell>
          <cell r="I3723" t="str">
            <v>21723</v>
          </cell>
        </row>
        <row r="3724">
          <cell r="G3724" t="str">
            <v>Phường Hội Hợp</v>
          </cell>
          <cell r="I3724" t="str">
            <v>21901</v>
          </cell>
        </row>
        <row r="3725">
          <cell r="G3725" t="str">
            <v>Phường Đống Đa</v>
          </cell>
          <cell r="I3725" t="str">
            <v>21901</v>
          </cell>
        </row>
        <row r="3726">
          <cell r="G3726" t="str">
            <v xml:space="preserve">Phường Ngô Quyền  </v>
          </cell>
          <cell r="I3726" t="str">
            <v>21901</v>
          </cell>
        </row>
        <row r="3727">
          <cell r="G3727" t="str">
            <v>Xã Định Trung</v>
          </cell>
          <cell r="I3727" t="str">
            <v>21901</v>
          </cell>
        </row>
        <row r="3728">
          <cell r="G3728" t="str">
            <v>Phường Khai Quang</v>
          </cell>
          <cell r="I3728" t="str">
            <v>21901</v>
          </cell>
        </row>
        <row r="3729">
          <cell r="G3729" t="str">
            <v>Xã Thanh Trù</v>
          </cell>
          <cell r="I3729" t="str">
            <v>21901</v>
          </cell>
        </row>
        <row r="3730">
          <cell r="G3730" t="str">
            <v>Phường Tích Sơn</v>
          </cell>
          <cell r="I3730" t="str">
            <v>21901</v>
          </cell>
        </row>
        <row r="3731">
          <cell r="G3731" t="str">
            <v>Phường Liên Bảo</v>
          </cell>
          <cell r="I3731" t="str">
            <v>21901</v>
          </cell>
        </row>
        <row r="3732">
          <cell r="G3732" t="str">
            <v xml:space="preserve">Phường Đồng Tâm  </v>
          </cell>
          <cell r="I3732" t="str">
            <v>21901</v>
          </cell>
        </row>
        <row r="3733">
          <cell r="G3733" t="str">
            <v xml:space="preserve">Phường Hùng Vương  </v>
          </cell>
          <cell r="I3733" t="str">
            <v>21902</v>
          </cell>
        </row>
        <row r="3734">
          <cell r="G3734" t="str">
            <v>Phường Trưng Nhị</v>
          </cell>
          <cell r="I3734" t="str">
            <v>21902</v>
          </cell>
        </row>
        <row r="3735">
          <cell r="G3735" t="str">
            <v>Phường Xuân Hòa</v>
          </cell>
          <cell r="I3735" t="str">
            <v>21902</v>
          </cell>
        </row>
        <row r="3736">
          <cell r="G3736" t="str">
            <v xml:space="preserve">Xã Cao Minh  </v>
          </cell>
          <cell r="I3736" t="str">
            <v>21902</v>
          </cell>
        </row>
        <row r="3737">
          <cell r="G3737" t="str">
            <v>Xã Nam Viêm</v>
          </cell>
          <cell r="I3737" t="str">
            <v>21902</v>
          </cell>
        </row>
        <row r="3738">
          <cell r="G3738" t="str">
            <v>Xã Tiền Châu</v>
          </cell>
          <cell r="I3738" t="str">
            <v>21902</v>
          </cell>
        </row>
        <row r="3739">
          <cell r="G3739" t="str">
            <v>Phường Phúc Thắng</v>
          </cell>
          <cell r="I3739" t="str">
            <v>21902</v>
          </cell>
        </row>
        <row r="3740">
          <cell r="G3740" t="str">
            <v>Phường Trưng Trắc</v>
          </cell>
          <cell r="I3740" t="str">
            <v>21902</v>
          </cell>
        </row>
        <row r="3741">
          <cell r="G3741" t="str">
            <v xml:space="preserve">Xã Ngọc Thanh </v>
          </cell>
          <cell r="I3741" t="str">
            <v>21902</v>
          </cell>
        </row>
        <row r="3742">
          <cell r="G3742" t="str">
            <v xml:space="preserve">Phường Đồng Xuân </v>
          </cell>
          <cell r="I3742" t="str">
            <v>21902</v>
          </cell>
        </row>
        <row r="3743">
          <cell r="G3743" t="str">
            <v>Xã Đình Chu</v>
          </cell>
          <cell r="I3743" t="str">
            <v>21903</v>
          </cell>
        </row>
        <row r="3744">
          <cell r="G3744" t="str">
            <v>Xã Triệu Đề</v>
          </cell>
          <cell r="I3744" t="str">
            <v>21903</v>
          </cell>
        </row>
        <row r="3745">
          <cell r="G3745" t="str">
            <v xml:space="preserve">Xã Sơn Đông </v>
          </cell>
          <cell r="I3745" t="str">
            <v>21903</v>
          </cell>
        </row>
        <row r="3746">
          <cell r="G3746" t="str">
            <v>Xã Văn Quán</v>
          </cell>
          <cell r="I3746" t="str">
            <v>21903</v>
          </cell>
        </row>
        <row r="3747">
          <cell r="G3747" t="str">
            <v xml:space="preserve">Xã Quang Sơn  </v>
          </cell>
          <cell r="I3747" t="str">
            <v>21903</v>
          </cell>
        </row>
        <row r="3748">
          <cell r="G3748" t="str">
            <v xml:space="preserve">Xã Ngọc Mỹ </v>
          </cell>
          <cell r="I3748" t="str">
            <v>21903</v>
          </cell>
        </row>
        <row r="3749">
          <cell r="G3749" t="str">
            <v xml:space="preserve">Xã Hợp Lý </v>
          </cell>
          <cell r="I3749" t="str">
            <v>21903</v>
          </cell>
        </row>
        <row r="3750">
          <cell r="G3750" t="str">
            <v>Xã Liễn Sơn</v>
          </cell>
          <cell r="I3750" t="str">
            <v>21903</v>
          </cell>
        </row>
        <row r="3751">
          <cell r="G3751" t="str">
            <v xml:space="preserve">Xã Xuân Hòa    </v>
          </cell>
          <cell r="I3751" t="str">
            <v>21903</v>
          </cell>
        </row>
        <row r="3752">
          <cell r="G3752" t="str">
            <v>Xã Tử Du</v>
          </cell>
          <cell r="I3752" t="str">
            <v>21903</v>
          </cell>
        </row>
        <row r="3753">
          <cell r="G3753" t="str">
            <v>Xã Bàn Giản</v>
          </cell>
          <cell r="I3753" t="str">
            <v>21903</v>
          </cell>
        </row>
        <row r="3754">
          <cell r="G3754" t="str">
            <v>Xã Xuân Lôi</v>
          </cell>
          <cell r="I3754" t="str">
            <v>21903</v>
          </cell>
        </row>
        <row r="3755">
          <cell r="G3755" t="str">
            <v>Xã Đồng ích</v>
          </cell>
          <cell r="I3755" t="str">
            <v>21903</v>
          </cell>
        </row>
        <row r="3756">
          <cell r="G3756" t="str">
            <v>Xã Bắc Bình</v>
          </cell>
          <cell r="I3756" t="str">
            <v>21903</v>
          </cell>
        </row>
        <row r="3757">
          <cell r="G3757" t="str">
            <v>Thị trấn Lập Thạch</v>
          </cell>
          <cell r="I3757" t="str">
            <v>21903</v>
          </cell>
        </row>
        <row r="3758">
          <cell r="G3758" t="str">
            <v xml:space="preserve">Xã Thái Hòa    </v>
          </cell>
          <cell r="I3758" t="str">
            <v>21903</v>
          </cell>
        </row>
        <row r="3759">
          <cell r="G3759" t="str">
            <v xml:space="preserve">Xã Liên Hòa </v>
          </cell>
          <cell r="I3759" t="str">
            <v>21903</v>
          </cell>
        </row>
        <row r="3760">
          <cell r="G3760" t="str">
            <v>Xã Tam Sơn - Đã chuyển sang Huyện Sông Lô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 xml:space="preserve">Xã An Hòa  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Hòa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Thị trấn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Hòai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Hòa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Hòa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Phường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 xml:space="preserve">Xã Đức Chính 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 xml:space="preserve">Xã Xuân Sơn  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 xml:space="preserve">Xã Kim Sơn     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Thị trấn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Xã Hưng Đạo      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Thị trấn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Lếnh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Phường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Chiềng Khoang</v>
          </cell>
          <cell r="I4660" t="str">
            <v>30303</v>
          </cell>
        </row>
        <row r="4661">
          <cell r="G4661" t="str">
            <v>Xã Chiềng ơn</v>
          </cell>
          <cell r="I4661" t="str">
            <v>30303</v>
          </cell>
        </row>
        <row r="4662">
          <cell r="G4662" t="str">
            <v>Xã Mường Chiên</v>
          </cell>
          <cell r="I4662" t="str">
            <v>30303</v>
          </cell>
        </row>
        <row r="4663">
          <cell r="G4663" t="str">
            <v>Xã Chiềng Khay</v>
          </cell>
          <cell r="I4663" t="str">
            <v>30303</v>
          </cell>
        </row>
        <row r="4664">
          <cell r="G4664" t="str">
            <v>Xã Mường Giôn</v>
          </cell>
          <cell r="I4664" t="str">
            <v>30303</v>
          </cell>
        </row>
        <row r="4665">
          <cell r="G4665" t="str">
            <v>Xã Pá Ma Pha Khinh</v>
          </cell>
          <cell r="I4665" t="str">
            <v>30303</v>
          </cell>
        </row>
        <row r="4666">
          <cell r="G4666" t="str">
            <v>Xã Cà Nàng</v>
          </cell>
          <cell r="I4666" t="str">
            <v>30303</v>
          </cell>
        </row>
        <row r="4667">
          <cell r="G4667" t="str">
            <v>Xã Pắc Ma</v>
          </cell>
          <cell r="I4667" t="str">
            <v>30303</v>
          </cell>
        </row>
        <row r="4668">
          <cell r="G4668" t="str">
            <v>Xã ít Ong</v>
          </cell>
          <cell r="I4668" t="str">
            <v>30305</v>
          </cell>
        </row>
        <row r="4669">
          <cell r="G4669" t="str">
            <v>Xã Nậm Giôn</v>
          </cell>
          <cell r="I4669" t="str">
            <v>30305</v>
          </cell>
        </row>
        <row r="4670">
          <cell r="G4670" t="str">
            <v>Xã Chiềng Lao</v>
          </cell>
          <cell r="I4670" t="str">
            <v>30305</v>
          </cell>
        </row>
        <row r="4671">
          <cell r="G4671" t="str">
            <v>Xã Hua Trai</v>
          </cell>
          <cell r="I4671" t="str">
            <v>30305</v>
          </cell>
        </row>
        <row r="4672">
          <cell r="G4672" t="str">
            <v>Xã Ngọc Chiến</v>
          </cell>
          <cell r="I4672" t="str">
            <v>30305</v>
          </cell>
        </row>
        <row r="4673">
          <cell r="G4673" t="str">
            <v>Xã Nậm Păm</v>
          </cell>
          <cell r="I4673" t="str">
            <v>30305</v>
          </cell>
        </row>
        <row r="4674">
          <cell r="G4674" t="str">
            <v>Xã Chiềng Muôn</v>
          </cell>
          <cell r="I4674" t="str">
            <v>30305</v>
          </cell>
        </row>
        <row r="4675">
          <cell r="G4675" t="str">
            <v>Xã Chiềng Ân</v>
          </cell>
          <cell r="I4675" t="str">
            <v>30305</v>
          </cell>
        </row>
        <row r="4676">
          <cell r="G4676" t="str">
            <v>Xã Pi Toong</v>
          </cell>
          <cell r="I4676" t="str">
            <v>30305</v>
          </cell>
        </row>
        <row r="4677">
          <cell r="G4677" t="str">
            <v>Xã Tạ Bú</v>
          </cell>
          <cell r="I4677" t="str">
            <v>30305</v>
          </cell>
        </row>
        <row r="4678">
          <cell r="G4678" t="str">
            <v>Xã Chiềng San</v>
          </cell>
          <cell r="I4678" t="str">
            <v>30305</v>
          </cell>
        </row>
        <row r="4679">
          <cell r="G4679" t="str">
            <v>Xã Mường Bú</v>
          </cell>
          <cell r="I4679" t="str">
            <v>30305</v>
          </cell>
        </row>
        <row r="4680">
          <cell r="G4680" t="str">
            <v>Xã Mường Chùm</v>
          </cell>
          <cell r="I4680" t="str">
            <v>30305</v>
          </cell>
        </row>
        <row r="4681">
          <cell r="G4681" t="str">
            <v>Xã Mường Trai</v>
          </cell>
          <cell r="I4681" t="str">
            <v>30305</v>
          </cell>
        </row>
        <row r="4682">
          <cell r="G4682" t="str">
            <v>Xã Chiềng Công</v>
          </cell>
          <cell r="I4682" t="str">
            <v>30305</v>
          </cell>
        </row>
        <row r="4683">
          <cell r="G4683" t="str">
            <v>Xã Chiềng Hoa</v>
          </cell>
          <cell r="I4683" t="str">
            <v>30305</v>
          </cell>
        </row>
        <row r="4684">
          <cell r="G4684" t="str">
            <v>Xã Phỏng Lái</v>
          </cell>
          <cell r="I4684" t="str">
            <v>30307</v>
          </cell>
        </row>
        <row r="4685">
          <cell r="G4685" t="str">
            <v>Xã Chiềng Pha</v>
          </cell>
          <cell r="I4685" t="str">
            <v>30307</v>
          </cell>
        </row>
        <row r="4686">
          <cell r="G4686" t="str">
            <v>Xã Chiềng La</v>
          </cell>
          <cell r="I4686" t="str">
            <v>30307</v>
          </cell>
        </row>
        <row r="4687">
          <cell r="G4687" t="str">
            <v>Xã Liệp Tè</v>
          </cell>
          <cell r="I4687" t="str">
            <v>30307</v>
          </cell>
        </row>
        <row r="4688">
          <cell r="G4688" t="str">
            <v>Xã é Tòng</v>
          </cell>
          <cell r="I4688" t="str">
            <v>30307</v>
          </cell>
        </row>
        <row r="4689">
          <cell r="G4689" t="str">
            <v>Xã Phỏng Lập</v>
          </cell>
          <cell r="I4689" t="str">
            <v>30307</v>
          </cell>
        </row>
        <row r="4690">
          <cell r="G4690" t="str">
            <v>Xã Chiềng Ly</v>
          </cell>
          <cell r="I4690" t="str">
            <v>30307</v>
          </cell>
        </row>
        <row r="4691">
          <cell r="G4691" t="str">
            <v>Xã Nong Lay</v>
          </cell>
          <cell r="I4691" t="str">
            <v>30307</v>
          </cell>
        </row>
        <row r="4692">
          <cell r="G4692" t="str">
            <v>Xã Mường Khiêng</v>
          </cell>
          <cell r="I4692" t="str">
            <v>30307</v>
          </cell>
        </row>
        <row r="4693">
          <cell r="G4693" t="str">
            <v>Xã Chiềng Bôm</v>
          </cell>
          <cell r="I4693" t="str">
            <v>30307</v>
          </cell>
        </row>
        <row r="4694">
          <cell r="G4694" t="str">
            <v>Xã Thôn Mòn</v>
          </cell>
          <cell r="I4694" t="str">
            <v>30307</v>
          </cell>
        </row>
        <row r="4695">
          <cell r="G4695" t="str">
            <v>Xã Tông Cọ</v>
          </cell>
          <cell r="I4695" t="str">
            <v>30307</v>
          </cell>
        </row>
        <row r="4696">
          <cell r="G4696" t="str">
            <v>Xã Bó Mười</v>
          </cell>
          <cell r="I4696" t="str">
            <v>30307</v>
          </cell>
        </row>
        <row r="4697">
          <cell r="G4697" t="str">
            <v>Xã Co Mạ</v>
          </cell>
          <cell r="I4697" t="str">
            <v>30307</v>
          </cell>
        </row>
        <row r="4698">
          <cell r="G4698" t="str">
            <v>Xã Chiềng Pấc</v>
          </cell>
          <cell r="I4698" t="str">
            <v>30307</v>
          </cell>
        </row>
        <row r="4699">
          <cell r="G4699" t="str">
            <v>Xã Nậm Lầu</v>
          </cell>
          <cell r="I4699" t="str">
            <v>30307</v>
          </cell>
        </row>
        <row r="4700">
          <cell r="G4700" t="str">
            <v>Xã Muổi Nọi</v>
          </cell>
          <cell r="I4700" t="str">
            <v>30307</v>
          </cell>
        </row>
        <row r="4701">
          <cell r="G4701" t="str">
            <v>Xã Pá Lông</v>
          </cell>
          <cell r="I4701" t="str">
            <v>30307</v>
          </cell>
        </row>
        <row r="4702">
          <cell r="G4702" t="str">
            <v>Xã Mường é</v>
          </cell>
          <cell r="I4702" t="str">
            <v>30307</v>
          </cell>
        </row>
        <row r="4703">
          <cell r="G4703" t="str">
            <v>Xã Long Hẹ</v>
          </cell>
          <cell r="I4703" t="str">
            <v>30307</v>
          </cell>
        </row>
        <row r="4704">
          <cell r="G4704" t="str">
            <v>Xã Bon Phặng</v>
          </cell>
          <cell r="I4704" t="str">
            <v>30307</v>
          </cell>
        </row>
        <row r="4705">
          <cell r="G4705" t="str">
            <v>Thị trấn Thuận Châu</v>
          </cell>
          <cell r="I4705" t="str">
            <v>30307</v>
          </cell>
        </row>
        <row r="4706">
          <cell r="G4706" t="str">
            <v>Xã Chiềng Ngàm</v>
          </cell>
          <cell r="I4706" t="str">
            <v>30307</v>
          </cell>
        </row>
        <row r="4707">
          <cell r="G4707" t="str">
            <v>Xã Phổng Lăng</v>
          </cell>
          <cell r="I4707" t="str">
            <v>30307</v>
          </cell>
        </row>
        <row r="4708">
          <cell r="G4708" t="str">
            <v>Xã Mường Bám</v>
          </cell>
          <cell r="I4708" t="str">
            <v>30307</v>
          </cell>
        </row>
        <row r="4709">
          <cell r="G4709" t="str">
            <v>Xã Tông Lạnh</v>
          </cell>
          <cell r="I4709" t="str">
            <v>30307</v>
          </cell>
        </row>
        <row r="4710">
          <cell r="G4710" t="str">
            <v>Xã Púng Tra</v>
          </cell>
          <cell r="I4710" t="str">
            <v>30307</v>
          </cell>
        </row>
        <row r="4711">
          <cell r="G4711" t="str">
            <v>Xã Co Tòng</v>
          </cell>
          <cell r="I4711" t="str">
            <v>30307</v>
          </cell>
        </row>
        <row r="4712">
          <cell r="G4712" t="str">
            <v>Xã Bản Lầm</v>
          </cell>
          <cell r="I4712" t="str">
            <v>30307</v>
          </cell>
        </row>
        <row r="4713">
          <cell r="G4713" t="str">
            <v>Thị trấn Bắc Yên</v>
          </cell>
          <cell r="I4713" t="str">
            <v>30309</v>
          </cell>
        </row>
        <row r="4714">
          <cell r="G4714" t="str">
            <v>Xã Phiêng Ban</v>
          </cell>
          <cell r="I4714" t="str">
            <v>30309</v>
          </cell>
        </row>
        <row r="4715">
          <cell r="G4715" t="str">
            <v>Xã Hang Chú</v>
          </cell>
          <cell r="I4715" t="str">
            <v>30309</v>
          </cell>
        </row>
        <row r="4716">
          <cell r="G4716" t="str">
            <v>Xã Tà Xùa</v>
          </cell>
          <cell r="I4716" t="str">
            <v>30309</v>
          </cell>
        </row>
        <row r="4717">
          <cell r="G4717" t="str">
            <v>Xã Làng Chếu</v>
          </cell>
          <cell r="I4717" t="str">
            <v>30309</v>
          </cell>
        </row>
        <row r="4718">
          <cell r="G4718" t="str">
            <v xml:space="preserve">Xã Mường Khoa </v>
          </cell>
          <cell r="I4718" t="str">
            <v>30309</v>
          </cell>
        </row>
        <row r="4719">
          <cell r="G4719" t="str">
            <v>Xã Song Pe</v>
          </cell>
          <cell r="I4719" t="str">
            <v>30309</v>
          </cell>
        </row>
        <row r="4720">
          <cell r="G4720" t="str">
            <v>Xã Hồng Ngài</v>
          </cell>
          <cell r="I4720" t="str">
            <v>30309</v>
          </cell>
        </row>
        <row r="4721">
          <cell r="G4721" t="str">
            <v>Xã Phiêng Côn</v>
          </cell>
          <cell r="I4721" t="str">
            <v>30309</v>
          </cell>
        </row>
        <row r="4722">
          <cell r="G4722" t="str">
            <v>Xã Chiềng Sại</v>
          </cell>
          <cell r="I4722" t="str">
            <v>30309</v>
          </cell>
        </row>
        <row r="4723">
          <cell r="G4723" t="str">
            <v>Xã Pắc Ngà</v>
          </cell>
          <cell r="I4723" t="str">
            <v>30309</v>
          </cell>
        </row>
        <row r="4724">
          <cell r="G4724" t="str">
            <v>Xã Xím Vàng</v>
          </cell>
          <cell r="I4724" t="str">
            <v>30309</v>
          </cell>
        </row>
        <row r="4725">
          <cell r="G4725" t="str">
            <v>Xã Chim Vàn</v>
          </cell>
          <cell r="I4725" t="str">
            <v>30309</v>
          </cell>
        </row>
        <row r="4726">
          <cell r="G4726" t="str">
            <v>Xã Tạ Khoa</v>
          </cell>
          <cell r="I4726" t="str">
            <v>30309</v>
          </cell>
        </row>
        <row r="4727">
          <cell r="G4727" t="str">
            <v>Xã Hua Nhàn</v>
          </cell>
          <cell r="I4727" t="str">
            <v>30309</v>
          </cell>
        </row>
        <row r="4728">
          <cell r="G4728" t="str">
            <v>Xã Háng Đồng</v>
          </cell>
          <cell r="I4728" t="str">
            <v>30309</v>
          </cell>
        </row>
        <row r="4729">
          <cell r="G4729" t="str">
            <v>Thị trấn Phù Yên</v>
          </cell>
          <cell r="I4729" t="str">
            <v>30311</v>
          </cell>
        </row>
        <row r="4730">
          <cell r="G4730" t="str">
            <v>Xã Mường Thải</v>
          </cell>
          <cell r="I4730" t="str">
            <v>30311</v>
          </cell>
        </row>
        <row r="4731">
          <cell r="G4731" t="str">
            <v>Xã Mường Cơi</v>
          </cell>
          <cell r="I4731" t="str">
            <v>30311</v>
          </cell>
        </row>
        <row r="4732">
          <cell r="G4732" t="str">
            <v>Xã Quang Huy</v>
          </cell>
          <cell r="I4732" t="str">
            <v>30311</v>
          </cell>
        </row>
        <row r="4733">
          <cell r="G4733" t="str">
            <v>Xã Huy Thượng</v>
          </cell>
          <cell r="I4733" t="str">
            <v>30311</v>
          </cell>
        </row>
        <row r="4734">
          <cell r="G4734" t="str">
            <v xml:space="preserve">Xã Tân Lang </v>
          </cell>
          <cell r="I4734" t="str">
            <v>30311</v>
          </cell>
        </row>
        <row r="4735">
          <cell r="G4735" t="str">
            <v>Xâ Gia Phù</v>
          </cell>
          <cell r="I4735" t="str">
            <v>30311</v>
          </cell>
        </row>
        <row r="4736">
          <cell r="G4736" t="str">
            <v>Xã Huy Hạ</v>
          </cell>
          <cell r="I4736" t="str">
            <v>30311</v>
          </cell>
        </row>
        <row r="4737">
          <cell r="G4737" t="str">
            <v>Xã Huy Tân</v>
          </cell>
          <cell r="I4737" t="str">
            <v>30311</v>
          </cell>
        </row>
        <row r="4738">
          <cell r="G4738" t="str">
            <v>Xã Mường Lang</v>
          </cell>
          <cell r="I4738" t="str">
            <v>30311</v>
          </cell>
        </row>
        <row r="4739">
          <cell r="G4739" t="str">
            <v>Xã Suối Bau</v>
          </cell>
          <cell r="I4739" t="str">
            <v>30311</v>
          </cell>
        </row>
        <row r="4740">
          <cell r="G4740" t="str">
            <v>Xã Mường Do</v>
          </cell>
          <cell r="I4740" t="str">
            <v>30311</v>
          </cell>
        </row>
        <row r="4741">
          <cell r="G4741" t="str">
            <v>Xã Sập Xa</v>
          </cell>
          <cell r="I4741" t="str">
            <v>30311</v>
          </cell>
        </row>
        <row r="4742">
          <cell r="G4742" t="str">
            <v>Xã Tường Thượng</v>
          </cell>
          <cell r="I4742" t="str">
            <v>30311</v>
          </cell>
        </row>
        <row r="4743">
          <cell r="G4743" t="str">
            <v>Xã Tường Phong</v>
          </cell>
          <cell r="I4743" t="str">
            <v>30311</v>
          </cell>
        </row>
        <row r="4744">
          <cell r="G4744" t="str">
            <v>Xã Tường Hạ</v>
          </cell>
          <cell r="I4744" t="str">
            <v>30311</v>
          </cell>
        </row>
        <row r="4745">
          <cell r="G4745" t="str">
            <v>Xã Kim Bon</v>
          </cell>
          <cell r="I4745" t="str">
            <v>30311</v>
          </cell>
        </row>
        <row r="4746">
          <cell r="G4746" t="str">
            <v>Xá Mường Bang</v>
          </cell>
          <cell r="I4746" t="str">
            <v>30311</v>
          </cell>
        </row>
        <row r="4747">
          <cell r="G4747" t="str">
            <v xml:space="preserve">Xã Tân Phong    </v>
          </cell>
          <cell r="I4747" t="str">
            <v>30311</v>
          </cell>
        </row>
        <row r="4748">
          <cell r="G4748" t="str">
            <v xml:space="preserve">Xã Nam Phong  </v>
          </cell>
          <cell r="I4748" t="str">
            <v>30311</v>
          </cell>
        </row>
        <row r="4749">
          <cell r="G4749" t="str">
            <v>Xã Suối Tọ</v>
          </cell>
          <cell r="I4749" t="str">
            <v>30311</v>
          </cell>
        </row>
        <row r="4750">
          <cell r="G4750" t="str">
            <v>Xã Huy Bắc</v>
          </cell>
          <cell r="I4750" t="str">
            <v>30311</v>
          </cell>
        </row>
        <row r="4751">
          <cell r="G4751" t="str">
            <v>Xã Tường Phù</v>
          </cell>
          <cell r="I4751" t="str">
            <v>30311</v>
          </cell>
        </row>
        <row r="4752">
          <cell r="G4752" t="str">
            <v>Xã Huy Tường</v>
          </cell>
          <cell r="I4752" t="str">
            <v>30311</v>
          </cell>
        </row>
        <row r="4753">
          <cell r="G4753" t="str">
            <v>Xã Tường Tiến</v>
          </cell>
          <cell r="I4753" t="str">
            <v>30311</v>
          </cell>
        </row>
        <row r="4754">
          <cell r="G4754" t="str">
            <v>Xã Đá Đỏ</v>
          </cell>
          <cell r="I4754" t="str">
            <v>30311</v>
          </cell>
        </row>
        <row r="4755">
          <cell r="G4755" t="str">
            <v>Xã Bắc Phong</v>
          </cell>
          <cell r="I4755" t="str">
            <v>30311</v>
          </cell>
        </row>
        <row r="4756">
          <cell r="G4756" t="str">
            <v>Xã Chiềng Sung</v>
          </cell>
          <cell r="I4756" t="str">
            <v>30313</v>
          </cell>
        </row>
        <row r="4757">
          <cell r="G4757" t="str">
            <v>Xã Mường Bằng</v>
          </cell>
          <cell r="I4757" t="str">
            <v>30313</v>
          </cell>
        </row>
        <row r="4758">
          <cell r="G4758" t="str">
            <v>Xã Mương Tranh</v>
          </cell>
          <cell r="I4758" t="str">
            <v>30313</v>
          </cell>
        </row>
        <row r="4759">
          <cell r="G4759" t="str">
            <v>Xã Chiềng Mung</v>
          </cell>
          <cell r="I4759" t="str">
            <v>30313</v>
          </cell>
        </row>
        <row r="4760">
          <cell r="G4760" t="str">
            <v>Xã Mường Bon</v>
          </cell>
          <cell r="I4760" t="str">
            <v>30313</v>
          </cell>
        </row>
        <row r="4761">
          <cell r="G4761" t="str">
            <v>Xã Chiềng Chung</v>
          </cell>
          <cell r="I4761" t="str">
            <v>30313</v>
          </cell>
        </row>
        <row r="4762">
          <cell r="G4762" t="str">
            <v>Xã Hát Lót</v>
          </cell>
          <cell r="I4762" t="str">
            <v>30313</v>
          </cell>
        </row>
        <row r="4763">
          <cell r="G4763" t="str">
            <v>Xã Cò Nòi</v>
          </cell>
          <cell r="I4763" t="str">
            <v>30313</v>
          </cell>
        </row>
        <row r="4764">
          <cell r="G4764" t="str">
            <v>Xã Chiềng Nơi</v>
          </cell>
          <cell r="I4764" t="str">
            <v>30313</v>
          </cell>
        </row>
        <row r="4765">
          <cell r="G4765" t="str">
            <v>Xã Chiềng Dong</v>
          </cell>
          <cell r="I4765" t="str">
            <v>30313</v>
          </cell>
        </row>
        <row r="4766">
          <cell r="G4766" t="str">
            <v>Xã Chiềng Kheo</v>
          </cell>
          <cell r="I4766" t="str">
            <v>30313</v>
          </cell>
        </row>
        <row r="4767">
          <cell r="G4767" t="str">
            <v>Xã Phiêng Pằn</v>
          </cell>
          <cell r="I4767" t="str">
            <v>30313</v>
          </cell>
        </row>
        <row r="4768">
          <cell r="G4768" t="str">
            <v>Xã Nà ơt</v>
          </cell>
          <cell r="I4768" t="str">
            <v>30313</v>
          </cell>
        </row>
        <row r="4769">
          <cell r="G4769" t="str">
            <v>Xã Tà Hộc</v>
          </cell>
          <cell r="I4769" t="str">
            <v>30313</v>
          </cell>
        </row>
        <row r="4770">
          <cell r="G4770" t="str">
            <v>Xã Chiềng Chăn</v>
          </cell>
          <cell r="I4770" t="str">
            <v>30313</v>
          </cell>
        </row>
        <row r="4771">
          <cell r="G4771" t="str">
            <v>Xã Chiềng Ve</v>
          </cell>
          <cell r="I4771" t="str">
            <v>30313</v>
          </cell>
        </row>
        <row r="4772">
          <cell r="G4772" t="str">
            <v>Thị trấn Hát Lót</v>
          </cell>
          <cell r="I4772" t="str">
            <v>30313</v>
          </cell>
        </row>
        <row r="4773">
          <cell r="G4773" t="str">
            <v>Xã Chiềng Ban</v>
          </cell>
          <cell r="I4773" t="str">
            <v>30313</v>
          </cell>
        </row>
        <row r="4774">
          <cell r="G4774" t="str">
            <v>Xã Chiềng Mai</v>
          </cell>
          <cell r="I4774" t="str">
            <v>30313</v>
          </cell>
        </row>
        <row r="4775">
          <cell r="G4775" t="str">
            <v>Xã Phiêng Cằm</v>
          </cell>
          <cell r="I4775" t="str">
            <v>30313</v>
          </cell>
        </row>
        <row r="4776">
          <cell r="G4776" t="str">
            <v>Xã Chiềng Lương</v>
          </cell>
          <cell r="I4776" t="str">
            <v>30313</v>
          </cell>
        </row>
        <row r="4777">
          <cell r="G4777" t="str">
            <v>Xã Nà Bó</v>
          </cell>
          <cell r="I4777" t="str">
            <v>30313</v>
          </cell>
        </row>
        <row r="4778">
          <cell r="G4778" t="str">
            <v>Thị trấn Sông Mã</v>
          </cell>
          <cell r="I4778" t="str">
            <v>30315</v>
          </cell>
        </row>
        <row r="4779">
          <cell r="G4779" t="str">
            <v>Xã Pú Pẩu</v>
          </cell>
          <cell r="I4779" t="str">
            <v>30315</v>
          </cell>
        </row>
        <row r="4780">
          <cell r="G4780" t="str">
            <v>Xã Chiềng Phung</v>
          </cell>
          <cell r="I4780" t="str">
            <v>30315</v>
          </cell>
        </row>
        <row r="4781">
          <cell r="G4781" t="str">
            <v>Xã Mường Lầm</v>
          </cell>
          <cell r="I4781" t="str">
            <v>30315</v>
          </cell>
        </row>
        <row r="4782">
          <cell r="G4782" t="str">
            <v>Xã Nậm Ty</v>
          </cell>
          <cell r="I4782" t="str">
            <v>30315</v>
          </cell>
        </row>
        <row r="4783">
          <cell r="G4783" t="str">
            <v xml:space="preserve">Xã Chiềng Sơ </v>
          </cell>
          <cell r="I4783" t="str">
            <v>30315</v>
          </cell>
        </row>
        <row r="4784">
          <cell r="G4784" t="str">
            <v>Xã Nà Nghịu</v>
          </cell>
          <cell r="I4784" t="str">
            <v>30315</v>
          </cell>
        </row>
        <row r="4785">
          <cell r="G4785" t="str">
            <v>Xã Nậm Mằn</v>
          </cell>
          <cell r="I4785" t="str">
            <v>30315</v>
          </cell>
        </row>
        <row r="4786">
          <cell r="G4786" t="str">
            <v>Xã Chiềng Cang</v>
          </cell>
          <cell r="I4786" t="str">
            <v>30315</v>
          </cell>
        </row>
        <row r="4787">
          <cell r="G4787" t="str">
            <v>Xã Huổi Một</v>
          </cell>
          <cell r="I4787" t="str">
            <v>30315</v>
          </cell>
        </row>
        <row r="4788">
          <cell r="G4788" t="str">
            <v>Xã Mường Sai</v>
          </cell>
          <cell r="I4788" t="str">
            <v>30315</v>
          </cell>
        </row>
        <row r="4789">
          <cell r="G4789" t="str">
            <v>Xã Mường Cai</v>
          </cell>
          <cell r="I4789" t="str">
            <v>30315</v>
          </cell>
        </row>
        <row r="4790">
          <cell r="G4790" t="str">
            <v>Xã Đứa Mòn</v>
          </cell>
          <cell r="I4790" t="str">
            <v>30315</v>
          </cell>
        </row>
        <row r="4791">
          <cell r="G4791" t="str">
            <v>Xã Chiềng Khương</v>
          </cell>
          <cell r="I4791" t="str">
            <v>30315</v>
          </cell>
        </row>
        <row r="4792">
          <cell r="G4792" t="str">
            <v>Xã Bó Sinh</v>
          </cell>
          <cell r="I4792" t="str">
            <v>30315</v>
          </cell>
        </row>
        <row r="4793">
          <cell r="G4793" t="str">
            <v>Xã Chiềng En</v>
          </cell>
          <cell r="I4793" t="str">
            <v>30315</v>
          </cell>
        </row>
        <row r="4794">
          <cell r="G4794" t="str">
            <v xml:space="preserve">Xã Yên Hưng   </v>
          </cell>
          <cell r="I4794" t="str">
            <v>30315</v>
          </cell>
        </row>
        <row r="4795">
          <cell r="G4795" t="str">
            <v>Xã Chiềng Khoong</v>
          </cell>
          <cell r="I4795" t="str">
            <v>30315</v>
          </cell>
        </row>
        <row r="4796">
          <cell r="G4796" t="str">
            <v>Xã Mường Hung</v>
          </cell>
          <cell r="I4796" t="str">
            <v>30315</v>
          </cell>
        </row>
        <row r="4797">
          <cell r="G4797" t="str">
            <v>Xã Chiềng Sàng</v>
          </cell>
          <cell r="I4797" t="str">
            <v>30317</v>
          </cell>
        </row>
        <row r="4798">
          <cell r="G4798" t="str">
            <v>Xã Chiềng Pằn</v>
          </cell>
          <cell r="I4798" t="str">
            <v>30317</v>
          </cell>
        </row>
        <row r="4799">
          <cell r="G4799" t="str">
            <v>Xã Viêng Lán</v>
          </cell>
          <cell r="I4799" t="str">
            <v>30317</v>
          </cell>
        </row>
        <row r="4800">
          <cell r="G4800" t="str">
            <v>Xã Chiềng Hặc</v>
          </cell>
          <cell r="I4800" t="str">
            <v>30317</v>
          </cell>
        </row>
        <row r="4801">
          <cell r="G4801" t="str">
            <v>Xã Mường Lựm</v>
          </cell>
          <cell r="I4801" t="str">
            <v>30317</v>
          </cell>
        </row>
        <row r="4802">
          <cell r="G4802" t="str">
            <v xml:space="preserve">Xã Yên Sơn       </v>
          </cell>
          <cell r="I4802" t="str">
            <v>30317</v>
          </cell>
        </row>
        <row r="4803">
          <cell r="G4803" t="str">
            <v>Xã Chiềng Khoi</v>
          </cell>
          <cell r="I4803" t="str">
            <v>30317</v>
          </cell>
        </row>
        <row r="4804">
          <cell r="G4804" t="str">
            <v>Xã Tú Nang</v>
          </cell>
          <cell r="I4804" t="str">
            <v>30317</v>
          </cell>
        </row>
        <row r="4805">
          <cell r="G4805" t="str">
            <v>Xã Lóng Phiêng</v>
          </cell>
          <cell r="I4805" t="str">
            <v>30317</v>
          </cell>
        </row>
        <row r="4806">
          <cell r="G4806" t="str">
            <v>Xã Phiêng KHòai</v>
          </cell>
          <cell r="I4806" t="str">
            <v>30317</v>
          </cell>
        </row>
        <row r="4807">
          <cell r="G4807" t="str">
            <v>Xã Chiềng Tương</v>
          </cell>
          <cell r="I4807" t="str">
            <v>30317</v>
          </cell>
        </row>
        <row r="4808">
          <cell r="G4808" t="str">
            <v>Xã Sập Vạt</v>
          </cell>
          <cell r="I4808" t="str">
            <v>30317</v>
          </cell>
        </row>
        <row r="4809">
          <cell r="G4809" t="str">
            <v>Thị trấn Yên Châu</v>
          </cell>
          <cell r="I4809" t="str">
            <v>30317</v>
          </cell>
        </row>
        <row r="4810">
          <cell r="G4810" t="str">
            <v>Xã Chiềng On</v>
          </cell>
          <cell r="I4810" t="str">
            <v>30317</v>
          </cell>
        </row>
        <row r="4811">
          <cell r="G4811" t="str">
            <v xml:space="preserve">Xã Chiềng Đông </v>
          </cell>
          <cell r="I4811" t="str">
            <v>30317</v>
          </cell>
        </row>
        <row r="4812">
          <cell r="G4812" t="str">
            <v>Thị trấn Mộc Châu</v>
          </cell>
          <cell r="I4812" t="str">
            <v>30319</v>
          </cell>
        </row>
        <row r="4813">
          <cell r="G4813" t="str">
            <v>Xã Chiềng Sơn</v>
          </cell>
          <cell r="I4813" t="str">
            <v>30319</v>
          </cell>
        </row>
        <row r="4814">
          <cell r="G4814" t="str">
            <v xml:space="preserve">Xã Tân Hợp </v>
          </cell>
          <cell r="I4814" t="str">
            <v>30319</v>
          </cell>
        </row>
        <row r="4815">
          <cell r="G4815" t="str">
            <v>Xã Qui Hướng</v>
          </cell>
          <cell r="I4815" t="str">
            <v>30319</v>
          </cell>
        </row>
        <row r="4816">
          <cell r="G4816" t="str">
            <v>Xã Tà Lại</v>
          </cell>
          <cell r="I4816" t="str">
            <v>30319</v>
          </cell>
        </row>
        <row r="4817">
          <cell r="G4817" t="str">
            <v>Xã Chiềng Hắc</v>
          </cell>
          <cell r="I4817" t="str">
            <v>30319</v>
          </cell>
        </row>
        <row r="4818">
          <cell r="G4818" t="str">
            <v>Xã Hua Păng</v>
          </cell>
          <cell r="I4818" t="str">
            <v>30319</v>
          </cell>
        </row>
        <row r="4819">
          <cell r="G4819" t="str">
            <v>Xã Chiềng Khứa</v>
          </cell>
          <cell r="I4819" t="str">
            <v>30319</v>
          </cell>
        </row>
        <row r="4820">
          <cell r="G4820" t="str">
            <v>Xã Mường Sang</v>
          </cell>
          <cell r="I4820" t="str">
            <v>30319</v>
          </cell>
        </row>
        <row r="4821">
          <cell r="G4821" t="str">
            <v>Xã Lóng Sập</v>
          </cell>
          <cell r="I4821" t="str">
            <v>30319</v>
          </cell>
        </row>
        <row r="4822">
          <cell r="G4822" t="str">
            <v>Xã Nà Mường</v>
          </cell>
          <cell r="I4822" t="str">
            <v>30319</v>
          </cell>
        </row>
        <row r="4823">
          <cell r="G4823" t="str">
            <v xml:space="preserve">Xã Phiêng Luông </v>
          </cell>
          <cell r="I4823" t="str">
            <v>30319</v>
          </cell>
        </row>
        <row r="4824">
          <cell r="G4824" t="str">
            <v>Thị trấn NT Mộc Châu</v>
          </cell>
          <cell r="I4824" t="str">
            <v>30319</v>
          </cell>
        </row>
        <row r="4825">
          <cell r="G4825" t="str">
            <v xml:space="preserve">Xã Tân Lập            </v>
          </cell>
          <cell r="I4825" t="str">
            <v>30319</v>
          </cell>
        </row>
        <row r="4826">
          <cell r="G4826" t="str">
            <v>Xã Đông Sang</v>
          </cell>
          <cell r="I4826" t="str">
            <v>30319</v>
          </cell>
        </row>
        <row r="4827">
          <cell r="G4827" t="str">
            <v>Xã Sam Kha</v>
          </cell>
          <cell r="I4827" t="str">
            <v>30321</v>
          </cell>
        </row>
        <row r="4828">
          <cell r="G4828" t="str">
            <v>Xã Púng Bánh</v>
          </cell>
          <cell r="I4828" t="str">
            <v>30321</v>
          </cell>
        </row>
        <row r="4829">
          <cell r="G4829" t="str">
            <v>Xã Dồm Cang</v>
          </cell>
          <cell r="I4829" t="str">
            <v>30321</v>
          </cell>
        </row>
        <row r="4830">
          <cell r="G4830" t="str">
            <v>Xã Nậm Lạnh</v>
          </cell>
          <cell r="I4830" t="str">
            <v>30321</v>
          </cell>
        </row>
        <row r="4831">
          <cell r="G4831" t="str">
            <v>Xã Mường Lèo</v>
          </cell>
          <cell r="I4831" t="str">
            <v>30321</v>
          </cell>
        </row>
        <row r="4832">
          <cell r="G4832" t="str">
            <v xml:space="preserve">Xã Mường Lạn </v>
          </cell>
          <cell r="I4832" t="str">
            <v>30321</v>
          </cell>
        </row>
        <row r="4833">
          <cell r="G4833" t="str">
            <v>Xã Sốp Cộp</v>
          </cell>
          <cell r="I4833" t="str">
            <v>30321</v>
          </cell>
        </row>
        <row r="4834">
          <cell r="G4834" t="str">
            <v>Xã Mường Và</v>
          </cell>
          <cell r="I4834" t="str">
            <v>30321</v>
          </cell>
        </row>
        <row r="4835">
          <cell r="G4835" t="str">
            <v>Xã Suối Bàng</v>
          </cell>
          <cell r="I4835" t="str">
            <v>30323</v>
          </cell>
        </row>
        <row r="4836">
          <cell r="G4836" t="str">
            <v xml:space="preserve">Xã Liên Hòa   </v>
          </cell>
          <cell r="I4836" t="str">
            <v>30323</v>
          </cell>
        </row>
        <row r="4837">
          <cell r="G4837" t="str">
            <v xml:space="preserve">Xã Mường Tè </v>
          </cell>
          <cell r="I4837" t="str">
            <v>30323</v>
          </cell>
        </row>
        <row r="4838">
          <cell r="G4838" t="str">
            <v>Xã Chiềng Khoa</v>
          </cell>
          <cell r="I4838" t="str">
            <v>30323</v>
          </cell>
        </row>
        <row r="4839">
          <cell r="G4839" t="str">
            <v xml:space="preserve">Xã Quang Minh     </v>
          </cell>
          <cell r="I4839" t="str">
            <v>30323</v>
          </cell>
        </row>
        <row r="4840">
          <cell r="G4840" t="str">
            <v>Xã Vân Hồ</v>
          </cell>
          <cell r="I4840" t="str">
            <v>30323</v>
          </cell>
        </row>
        <row r="4841">
          <cell r="G4841" t="str">
            <v>Xã Chiềng Yên</v>
          </cell>
          <cell r="I4841" t="str">
            <v>30323</v>
          </cell>
        </row>
        <row r="4842">
          <cell r="G4842" t="str">
            <v>Xã Xuân Nha</v>
          </cell>
          <cell r="I4842" t="str">
            <v>30323</v>
          </cell>
        </row>
        <row r="4843">
          <cell r="G4843" t="str">
            <v>Xã Song Khủa</v>
          </cell>
          <cell r="I4843" t="str">
            <v>30323</v>
          </cell>
        </row>
        <row r="4844">
          <cell r="G4844" t="str">
            <v>Xã Tô Múa</v>
          </cell>
          <cell r="I4844" t="str">
            <v>30323</v>
          </cell>
        </row>
        <row r="4845">
          <cell r="G4845" t="str">
            <v>Xã Mường Chen</v>
          </cell>
          <cell r="I4845" t="str">
            <v>30323</v>
          </cell>
        </row>
        <row r="4846">
          <cell r="G4846" t="str">
            <v>Xã Lóng Luông</v>
          </cell>
          <cell r="I4846" t="str">
            <v>30323</v>
          </cell>
        </row>
        <row r="4847">
          <cell r="G4847" t="str">
            <v>Xã Chiềng Xuân</v>
          </cell>
          <cell r="I4847" t="str">
            <v>30323</v>
          </cell>
        </row>
        <row r="4848">
          <cell r="G4848" t="str">
            <v>Xã Tân Xuân</v>
          </cell>
          <cell r="I4848" t="str">
            <v>30323</v>
          </cell>
        </row>
        <row r="4849">
          <cell r="G4849" t="str">
            <v>Phường Tân Hòa</v>
          </cell>
          <cell r="I4849" t="str">
            <v>30501</v>
          </cell>
        </row>
        <row r="4850">
          <cell r="G4850" t="str">
            <v>Phường Thịnh Lang</v>
          </cell>
          <cell r="I4850" t="str">
            <v>30501</v>
          </cell>
        </row>
        <row r="4851">
          <cell r="G4851" t="str">
            <v>Phường Hữu Nghị</v>
          </cell>
          <cell r="I4851" t="str">
            <v>30501</v>
          </cell>
        </row>
        <row r="4852">
          <cell r="G4852" t="str">
            <v>Phường Đồng Tiến</v>
          </cell>
          <cell r="I4852" t="str">
            <v>30501</v>
          </cell>
        </row>
        <row r="4853">
          <cell r="G4853" t="str">
            <v>Phường Phương Lâm</v>
          </cell>
          <cell r="I4853" t="str">
            <v>30501</v>
          </cell>
        </row>
        <row r="4854">
          <cell r="G4854" t="str">
            <v>Phường Chăm Mát</v>
          </cell>
          <cell r="I4854" t="str">
            <v>30501</v>
          </cell>
        </row>
        <row r="4855">
          <cell r="G4855" t="str">
            <v>Xã Yên Mông</v>
          </cell>
          <cell r="I4855" t="str">
            <v>30501</v>
          </cell>
        </row>
        <row r="4856">
          <cell r="G4856" t="str">
            <v xml:space="preserve">Xã Dân Chủ    </v>
          </cell>
          <cell r="I4856" t="str">
            <v>30501</v>
          </cell>
        </row>
        <row r="4857">
          <cell r="G4857" t="str">
            <v xml:space="preserve">Xã Thống Nhất    </v>
          </cell>
          <cell r="I4857" t="str">
            <v>30501</v>
          </cell>
        </row>
        <row r="4858">
          <cell r="G4858" t="str">
            <v xml:space="preserve">Xã Thái Thịnh  </v>
          </cell>
          <cell r="I4858" t="str">
            <v>30501</v>
          </cell>
        </row>
        <row r="4859">
          <cell r="G4859" t="str">
            <v>Phường Thái Bình</v>
          </cell>
          <cell r="I4859" t="str">
            <v>30501</v>
          </cell>
        </row>
        <row r="4860">
          <cell r="G4860" t="str">
            <v xml:space="preserve">Phường Tân Thịnh </v>
          </cell>
          <cell r="I4860" t="str">
            <v>30501</v>
          </cell>
        </row>
        <row r="4861">
          <cell r="G4861" t="str">
            <v>Xã Sủ Ngòi</v>
          </cell>
          <cell r="I4861" t="str">
            <v>30501</v>
          </cell>
        </row>
        <row r="4862">
          <cell r="G4862" t="str">
            <v xml:space="preserve">Xã Hòa Bình            </v>
          </cell>
          <cell r="I4862" t="str">
            <v>30501</v>
          </cell>
        </row>
        <row r="4863">
          <cell r="G4863" t="str">
            <v xml:space="preserve">Xã Trung Minh </v>
          </cell>
          <cell r="I4863" t="str">
            <v>30501</v>
          </cell>
        </row>
        <row r="4864">
          <cell r="G4864" t="str">
            <v>Thị trấn Đà Bắc</v>
          </cell>
          <cell r="I4864" t="str">
            <v>30503</v>
          </cell>
        </row>
        <row r="4865">
          <cell r="G4865" t="str">
            <v>Xã Đồng Nghê</v>
          </cell>
          <cell r="I4865" t="str">
            <v>30503</v>
          </cell>
        </row>
        <row r="4866">
          <cell r="G4866" t="str">
            <v>Xã Suối Nánh</v>
          </cell>
          <cell r="I4866" t="str">
            <v>30503</v>
          </cell>
        </row>
        <row r="4867">
          <cell r="G4867" t="str">
            <v>Xã Mường Tuổng</v>
          </cell>
          <cell r="I4867" t="str">
            <v>30503</v>
          </cell>
        </row>
        <row r="4868">
          <cell r="G4868" t="str">
            <v>Xã Mường Chiềng</v>
          </cell>
          <cell r="I4868" t="str">
            <v>30503</v>
          </cell>
        </row>
        <row r="4869">
          <cell r="G4869" t="str">
            <v>Xã Tân Pheo</v>
          </cell>
          <cell r="I4869" t="str">
            <v>30503</v>
          </cell>
        </row>
        <row r="4870">
          <cell r="G4870" t="str">
            <v xml:space="preserve">Xã Tân Minh    </v>
          </cell>
          <cell r="I4870" t="str">
            <v>30503</v>
          </cell>
        </row>
        <row r="4871">
          <cell r="G4871" t="str">
            <v>Xã Đồng Ruộng</v>
          </cell>
          <cell r="I4871" t="str">
            <v>30503</v>
          </cell>
        </row>
        <row r="4872">
          <cell r="G4872" t="str">
            <v>Xã Tu Lý</v>
          </cell>
          <cell r="I4872" t="str">
            <v>30503</v>
          </cell>
        </row>
        <row r="4873">
          <cell r="G4873" t="str">
            <v xml:space="preserve">Xã Trung Thành    </v>
          </cell>
          <cell r="I4873" t="str">
            <v>30503</v>
          </cell>
        </row>
        <row r="4874">
          <cell r="G4874" t="str">
            <v xml:space="preserve">Xã Cao Sơn  </v>
          </cell>
          <cell r="I4874" t="str">
            <v>30503</v>
          </cell>
        </row>
        <row r="4875">
          <cell r="G4875" t="str">
            <v>Xã Toàn Sơn</v>
          </cell>
          <cell r="I4875" t="str">
            <v>30503</v>
          </cell>
        </row>
        <row r="4876">
          <cell r="G4876" t="str">
            <v xml:space="preserve">Xã Tiền Phong        </v>
          </cell>
          <cell r="I4876" t="str">
            <v>30503</v>
          </cell>
        </row>
        <row r="4877">
          <cell r="G4877" t="str">
            <v>Xã Vầy Nưa</v>
          </cell>
          <cell r="I4877" t="str">
            <v>30503</v>
          </cell>
        </row>
        <row r="4878">
          <cell r="G4878" t="str">
            <v xml:space="preserve">Xã Đoàn Kết   </v>
          </cell>
          <cell r="I4878" t="str">
            <v>30503</v>
          </cell>
        </row>
        <row r="4879">
          <cell r="G4879" t="str">
            <v>Xã Giáp Đắt</v>
          </cell>
          <cell r="I4879" t="str">
            <v>30503</v>
          </cell>
        </row>
        <row r="4880">
          <cell r="G4880" t="str">
            <v>Xã Đồng Chum</v>
          </cell>
          <cell r="I4880" t="str">
            <v>30503</v>
          </cell>
        </row>
        <row r="4881">
          <cell r="G4881" t="str">
            <v>Xã Hào Lý</v>
          </cell>
          <cell r="I4881" t="str">
            <v>30503</v>
          </cell>
        </row>
        <row r="4882">
          <cell r="G4882" t="str">
            <v xml:space="preserve">Xã Yên Hòa  </v>
          </cell>
          <cell r="I4882" t="str">
            <v>30503</v>
          </cell>
        </row>
        <row r="4883">
          <cell r="G4883" t="str">
            <v xml:space="preserve">Xã Hiền Lương </v>
          </cell>
          <cell r="I4883" t="str">
            <v>30503</v>
          </cell>
        </row>
        <row r="4884">
          <cell r="G4884" t="str">
            <v>Xã Tân Mai</v>
          </cell>
          <cell r="I4884" t="str">
            <v>30505</v>
          </cell>
        </row>
        <row r="4885">
          <cell r="G4885" t="str">
            <v>Xã Pà Cò</v>
          </cell>
          <cell r="I4885" t="str">
            <v>30505</v>
          </cell>
        </row>
        <row r="4886">
          <cell r="G4886" t="str">
            <v>Xã Ba Khan</v>
          </cell>
          <cell r="I4886" t="str">
            <v>30505</v>
          </cell>
        </row>
        <row r="4887">
          <cell r="G4887" t="str">
            <v xml:space="preserve">Xã Tân Sơn    </v>
          </cell>
          <cell r="I4887" t="str">
            <v>30505</v>
          </cell>
        </row>
        <row r="4888">
          <cell r="G4888" t="str">
            <v>Xã Đồng Bảng</v>
          </cell>
          <cell r="I4888" t="str">
            <v>30505</v>
          </cell>
        </row>
        <row r="4889">
          <cell r="G4889" t="str">
            <v>Xã Bao La</v>
          </cell>
          <cell r="I4889" t="str">
            <v>30505</v>
          </cell>
        </row>
        <row r="4890">
          <cell r="G4890" t="str">
            <v>Xã Piềng Vế</v>
          </cell>
          <cell r="I4890" t="str">
            <v>30505</v>
          </cell>
        </row>
        <row r="4891">
          <cell r="G4891" t="str">
            <v>Xã Tòng Đậu</v>
          </cell>
          <cell r="I4891" t="str">
            <v>30505</v>
          </cell>
        </row>
        <row r="4892">
          <cell r="G4892" t="str">
            <v>Xã Nà Phòn</v>
          </cell>
          <cell r="I4892" t="str">
            <v>30505</v>
          </cell>
        </row>
        <row r="4893">
          <cell r="G4893" t="str">
            <v>Xã Săm Khòe</v>
          </cell>
          <cell r="I4893" t="str">
            <v>30505</v>
          </cell>
        </row>
        <row r="4894">
          <cell r="G4894" t="str">
            <v>Xã Mai Hạ</v>
          </cell>
          <cell r="I4894" t="str">
            <v>30505</v>
          </cell>
        </row>
        <row r="4895">
          <cell r="G4895" t="str">
            <v>Xã Noong Luông</v>
          </cell>
          <cell r="I4895" t="str">
            <v>30505</v>
          </cell>
        </row>
        <row r="4896">
          <cell r="G4896" t="str">
            <v>Xã Mai Hịch</v>
          </cell>
          <cell r="I4896" t="str">
            <v>30505</v>
          </cell>
        </row>
        <row r="4897">
          <cell r="G4897" t="str">
            <v>Xã Vạn Mai</v>
          </cell>
          <cell r="I4897" t="str">
            <v>30505</v>
          </cell>
        </row>
        <row r="4898">
          <cell r="G4898" t="str">
            <v>Xã Phúc Sạn</v>
          </cell>
          <cell r="I4898" t="str">
            <v>30505</v>
          </cell>
        </row>
        <row r="4899">
          <cell r="G4899" t="str">
            <v>Xã Thung Khe</v>
          </cell>
          <cell r="I4899" t="str">
            <v>30505</v>
          </cell>
        </row>
        <row r="4900">
          <cell r="G4900" t="str">
            <v>Thị trấn Mai Châu</v>
          </cell>
          <cell r="I4900" t="str">
            <v>30505</v>
          </cell>
        </row>
        <row r="4901">
          <cell r="G4901" t="str">
            <v>Xã Hang Kia</v>
          </cell>
          <cell r="I4901" t="str">
            <v>30505</v>
          </cell>
        </row>
        <row r="4902">
          <cell r="G4902" t="str">
            <v>Xã Cun Pheo</v>
          </cell>
          <cell r="I4902" t="str">
            <v>30505</v>
          </cell>
        </row>
        <row r="4903">
          <cell r="G4903" t="str">
            <v>Xã Nà Mèo</v>
          </cell>
          <cell r="I4903" t="str">
            <v>30505</v>
          </cell>
        </row>
        <row r="4904">
          <cell r="G4904" t="str">
            <v>Xã Chiềng Châu</v>
          </cell>
          <cell r="I4904" t="str">
            <v>30505</v>
          </cell>
        </row>
        <row r="4905">
          <cell r="G4905" t="str">
            <v>Xã Pù Pin</v>
          </cell>
          <cell r="I4905" t="str">
            <v>30505</v>
          </cell>
        </row>
        <row r="4906">
          <cell r="G4906" t="str">
            <v xml:space="preserve">Xã Tân Dân       </v>
          </cell>
          <cell r="I4906" t="str">
            <v>30505</v>
          </cell>
        </row>
        <row r="4907">
          <cell r="G4907" t="str">
            <v xml:space="preserve">Xã Phú Minh </v>
          </cell>
          <cell r="I4907" t="str">
            <v>30507</v>
          </cell>
        </row>
        <row r="4908">
          <cell r="G4908" t="str">
            <v xml:space="preserve">Xã Hợp Thành     </v>
          </cell>
          <cell r="I4908" t="str">
            <v>30507</v>
          </cell>
        </row>
        <row r="4909">
          <cell r="G4909" t="str">
            <v xml:space="preserve">Xã Phúc Tiến </v>
          </cell>
          <cell r="I4909" t="str">
            <v>30507</v>
          </cell>
        </row>
        <row r="4910">
          <cell r="G4910" t="str">
            <v>Xã Mông Hóa</v>
          </cell>
          <cell r="I4910" t="str">
            <v>30507</v>
          </cell>
        </row>
        <row r="4911">
          <cell r="G4911" t="str">
            <v>Xã Dân Hạ</v>
          </cell>
          <cell r="I4911" t="str">
            <v>30507</v>
          </cell>
        </row>
        <row r="4912">
          <cell r="G4912" t="str">
            <v>Thị trấn Kỳ Sơn</v>
          </cell>
          <cell r="I4912" t="str">
            <v>30507</v>
          </cell>
        </row>
        <row r="4913">
          <cell r="G4913" t="str">
            <v xml:space="preserve">Xã Hợp Thịnh  </v>
          </cell>
          <cell r="I4913" t="str">
            <v>30507</v>
          </cell>
        </row>
        <row r="4914">
          <cell r="G4914" t="str">
            <v xml:space="preserve">Xã Dân Hòa </v>
          </cell>
          <cell r="I4914" t="str">
            <v>30507</v>
          </cell>
        </row>
        <row r="4915">
          <cell r="G4915" t="str">
            <v xml:space="preserve">Xã Độc Lập  </v>
          </cell>
          <cell r="I4915" t="str">
            <v>30507</v>
          </cell>
        </row>
        <row r="4916">
          <cell r="G4916" t="str">
            <v xml:space="preserve">Xã Yên Quang  </v>
          </cell>
          <cell r="I4916" t="str">
            <v>30507</v>
          </cell>
        </row>
        <row r="4917">
          <cell r="G4917" t="str">
            <v>Thị trấn Lương Sơn</v>
          </cell>
          <cell r="I4917" t="str">
            <v>30509</v>
          </cell>
        </row>
        <row r="4918">
          <cell r="G4918" t="str">
            <v xml:space="preserve">Xã Lâm Sơn </v>
          </cell>
          <cell r="I4918" t="str">
            <v>30509</v>
          </cell>
        </row>
        <row r="4919">
          <cell r="G4919" t="str">
            <v xml:space="preserve">Xã Trường Sơn </v>
          </cell>
          <cell r="I4919" t="str">
            <v>30509</v>
          </cell>
        </row>
        <row r="4920">
          <cell r="G4920" t="str">
            <v>Xã Tân Vinh</v>
          </cell>
          <cell r="I4920" t="str">
            <v>30509</v>
          </cell>
        </row>
        <row r="4921">
          <cell r="G4921" t="str">
            <v>Xã Cao Răm</v>
          </cell>
          <cell r="I4921" t="str">
            <v>30509</v>
          </cell>
        </row>
        <row r="4922">
          <cell r="G4922" t="str">
            <v>Xã Cư Yên</v>
          </cell>
          <cell r="I4922" t="str">
            <v>30509</v>
          </cell>
        </row>
        <row r="4923">
          <cell r="G4923" t="str">
            <v xml:space="preserve">Xã Hợp Hòa </v>
          </cell>
          <cell r="I4923" t="str">
            <v>30509</v>
          </cell>
        </row>
        <row r="4924">
          <cell r="G4924" t="str">
            <v xml:space="preserve">Xã Liên Sơn    </v>
          </cell>
          <cell r="I4924" t="str">
            <v>30509</v>
          </cell>
        </row>
        <row r="4925">
          <cell r="G4925" t="str">
            <v xml:space="preserve">Xã Trung Sơn   </v>
          </cell>
          <cell r="I4925" t="str">
            <v>30509</v>
          </cell>
        </row>
        <row r="4926">
          <cell r="G4926" t="str">
            <v>Xã Tiến Sơn</v>
          </cell>
          <cell r="I4926" t="str">
            <v>30509</v>
          </cell>
        </row>
        <row r="4927">
          <cell r="G4927" t="str">
            <v xml:space="preserve">Xã Hòa Sơn  </v>
          </cell>
          <cell r="I4927" t="str">
            <v>30509</v>
          </cell>
        </row>
        <row r="4928">
          <cell r="G4928" t="str">
            <v>Xã Nhuận Trạch</v>
          </cell>
          <cell r="I4928" t="str">
            <v>30509</v>
          </cell>
        </row>
        <row r="4929">
          <cell r="G4929" t="str">
            <v>Xã Thành Lập</v>
          </cell>
          <cell r="I4929" t="str">
            <v>30509</v>
          </cell>
        </row>
        <row r="4930">
          <cell r="G4930" t="str">
            <v xml:space="preserve">Xã Hợp Châu </v>
          </cell>
          <cell r="I4930" t="str">
            <v>30509</v>
          </cell>
        </row>
        <row r="4931">
          <cell r="G4931" t="str">
            <v xml:space="preserve">Xã Long Sơn </v>
          </cell>
          <cell r="I4931" t="str">
            <v>30509</v>
          </cell>
        </row>
        <row r="4932">
          <cell r="G4932" t="str">
            <v xml:space="preserve">Xã Tân Thành        </v>
          </cell>
          <cell r="I4932" t="str">
            <v>30509</v>
          </cell>
        </row>
        <row r="4933">
          <cell r="G4933" t="str">
            <v xml:space="preserve">Xã Hợp Thanh </v>
          </cell>
          <cell r="I4933" t="str">
            <v>30509</v>
          </cell>
        </row>
        <row r="4934">
          <cell r="G4934" t="str">
            <v xml:space="preserve">Xã Cao Dương </v>
          </cell>
          <cell r="I4934" t="str">
            <v>30509</v>
          </cell>
        </row>
        <row r="4935">
          <cell r="G4935" t="str">
            <v xml:space="preserve">Xã Thanh Lương  </v>
          </cell>
          <cell r="I4935" t="str">
            <v>30509</v>
          </cell>
        </row>
        <row r="4936">
          <cell r="G4936" t="str">
            <v xml:space="preserve">Xã Cao Thắng </v>
          </cell>
          <cell r="I4936" t="str">
            <v>30509</v>
          </cell>
        </row>
        <row r="4937">
          <cell r="G4937" t="str">
            <v>Thị trấn Cao Phong</v>
          </cell>
          <cell r="I4937" t="str">
            <v>30510</v>
          </cell>
        </row>
        <row r="4938">
          <cell r="G4938" t="str">
            <v>Xã Thung Nai</v>
          </cell>
          <cell r="I4938" t="str">
            <v>30510</v>
          </cell>
        </row>
        <row r="4939">
          <cell r="G4939" t="str">
            <v>Xã Thu Phong</v>
          </cell>
          <cell r="I4939" t="str">
            <v>30510</v>
          </cell>
        </row>
        <row r="4940">
          <cell r="G4940" t="str">
            <v xml:space="preserve">Xã Đông Phong   </v>
          </cell>
          <cell r="I4940" t="str">
            <v>30510</v>
          </cell>
        </row>
        <row r="4941">
          <cell r="G4941" t="str">
            <v xml:space="preserve">Xã Tây Phong </v>
          </cell>
          <cell r="I4941" t="str">
            <v>30510</v>
          </cell>
        </row>
        <row r="4942">
          <cell r="G4942" t="str">
            <v xml:space="preserve">Xã Tân Phong     </v>
          </cell>
          <cell r="I4942" t="str">
            <v>30510</v>
          </cell>
        </row>
        <row r="4943">
          <cell r="G4943" t="str">
            <v>Xã Dũng Phong</v>
          </cell>
          <cell r="I4943" t="str">
            <v>30510</v>
          </cell>
        </row>
        <row r="4944">
          <cell r="G4944" t="str">
            <v xml:space="preserve">Xã Yên Lập  </v>
          </cell>
          <cell r="I4944" t="str">
            <v>30510</v>
          </cell>
        </row>
        <row r="4945">
          <cell r="G4945" t="str">
            <v xml:space="preserve">Xã Yên Thượng </v>
          </cell>
          <cell r="I4945" t="str">
            <v>30510</v>
          </cell>
        </row>
        <row r="4946">
          <cell r="G4946" t="str">
            <v xml:space="preserve">Xã Bắc Phong </v>
          </cell>
          <cell r="I4946" t="str">
            <v>30510</v>
          </cell>
        </row>
        <row r="4947">
          <cell r="G4947" t="str">
            <v xml:space="preserve">Xã Bình Thanh </v>
          </cell>
          <cell r="I4947" t="str">
            <v>30510</v>
          </cell>
        </row>
        <row r="4948">
          <cell r="G4948" t="str">
            <v xml:space="preserve">Xã Xuân Phong </v>
          </cell>
          <cell r="I4948" t="str">
            <v>30510</v>
          </cell>
        </row>
        <row r="4949">
          <cell r="G4949" t="str">
            <v xml:space="preserve">Xã Nam Phong   </v>
          </cell>
          <cell r="I4949" t="str">
            <v>30510</v>
          </cell>
        </row>
        <row r="4950">
          <cell r="G4950" t="str">
            <v xml:space="preserve">Xã Sơn Thủy </v>
          </cell>
          <cell r="I4950" t="str">
            <v>30511</v>
          </cell>
        </row>
        <row r="4951">
          <cell r="G4951" t="str">
            <v>Xã Đông Bắc</v>
          </cell>
          <cell r="I4951" t="str">
            <v>30511</v>
          </cell>
        </row>
        <row r="4952">
          <cell r="G4952" t="str">
            <v>Xã Thượng Bì</v>
          </cell>
          <cell r="I4952" t="str">
            <v>30511</v>
          </cell>
        </row>
        <row r="4953">
          <cell r="G4953" t="str">
            <v>Xã Lập Chiệng</v>
          </cell>
          <cell r="I4953" t="str">
            <v>30511</v>
          </cell>
        </row>
        <row r="4954">
          <cell r="G4954" t="str">
            <v>Xã Vĩnh Đồng</v>
          </cell>
          <cell r="I4954" t="str">
            <v>30511</v>
          </cell>
        </row>
        <row r="4955">
          <cell r="G4955" t="str">
            <v>Xã Trung Bì</v>
          </cell>
          <cell r="I4955" t="str">
            <v>30511</v>
          </cell>
        </row>
        <row r="4956">
          <cell r="G4956" t="str">
            <v xml:space="preserve">Xã Hợp Đồng </v>
          </cell>
          <cell r="I4956" t="str">
            <v>30511</v>
          </cell>
        </row>
        <row r="4957">
          <cell r="G4957" t="str">
            <v>Xã Kim Tiến</v>
          </cell>
          <cell r="I4957" t="str">
            <v>30511</v>
          </cell>
        </row>
        <row r="4958">
          <cell r="G4958" t="str">
            <v xml:space="preserve">Xã Kim Bình  </v>
          </cell>
          <cell r="I4958" t="str">
            <v>30511</v>
          </cell>
        </row>
        <row r="4959">
          <cell r="G4959" t="str">
            <v>Xã Hợp Kim</v>
          </cell>
          <cell r="I4959" t="str">
            <v>30511</v>
          </cell>
        </row>
        <row r="4960">
          <cell r="G4960" t="str">
            <v>Xã Kim Bôi</v>
          </cell>
          <cell r="I4960" t="str">
            <v>30511</v>
          </cell>
        </row>
        <row r="4961">
          <cell r="G4961" t="str">
            <v>Xã Nam Thượng</v>
          </cell>
          <cell r="I4961" t="str">
            <v>30511</v>
          </cell>
        </row>
        <row r="4962">
          <cell r="G4962" t="str">
            <v>Xã Cuối Hạ</v>
          </cell>
          <cell r="I4962" t="str">
            <v>30511</v>
          </cell>
        </row>
        <row r="4963">
          <cell r="G4963" t="str">
            <v>Xã Sào Báy</v>
          </cell>
          <cell r="I4963" t="str">
            <v>30511</v>
          </cell>
        </row>
        <row r="4964">
          <cell r="G4964" t="str">
            <v>Xã Nuông Dăm</v>
          </cell>
          <cell r="I4964" t="str">
            <v>30511</v>
          </cell>
        </row>
        <row r="4965">
          <cell r="G4965" t="str">
            <v>Thị trấn Bo</v>
          </cell>
          <cell r="I4965" t="str">
            <v>30511</v>
          </cell>
        </row>
        <row r="4966">
          <cell r="G4966" t="str">
            <v>Xã Đú Sáng</v>
          </cell>
          <cell r="I4966" t="str">
            <v>30511</v>
          </cell>
        </row>
        <row r="4967">
          <cell r="G4967" t="str">
            <v xml:space="preserve">Xã Bắc Sơn      </v>
          </cell>
          <cell r="I4967" t="str">
            <v>30511</v>
          </cell>
        </row>
        <row r="4968">
          <cell r="G4968" t="str">
            <v xml:space="preserve">Xã Bình Sơn  </v>
          </cell>
          <cell r="I4968" t="str">
            <v>30511</v>
          </cell>
        </row>
        <row r="4969">
          <cell r="G4969" t="str">
            <v xml:space="preserve">Xã Tú Sơn </v>
          </cell>
          <cell r="I4969" t="str">
            <v>30511</v>
          </cell>
        </row>
        <row r="4970">
          <cell r="G4970" t="str">
            <v xml:space="preserve">Xã Vĩnh Tiến  </v>
          </cell>
          <cell r="I4970" t="str">
            <v>30511</v>
          </cell>
        </row>
        <row r="4971">
          <cell r="G4971" t="str">
            <v>Xã Hạ Bì</v>
          </cell>
          <cell r="I4971" t="str">
            <v>30511</v>
          </cell>
        </row>
        <row r="4972">
          <cell r="G4972" t="str">
            <v>Xã Mỵ Hòa</v>
          </cell>
          <cell r="I4972" t="str">
            <v>30511</v>
          </cell>
        </row>
        <row r="4973">
          <cell r="G4973" t="str">
            <v xml:space="preserve">Xã Hùng Tiến   </v>
          </cell>
          <cell r="I4973" t="str">
            <v>30511</v>
          </cell>
        </row>
        <row r="4974">
          <cell r="G4974" t="str">
            <v>Xã Nật Sơn</v>
          </cell>
          <cell r="I4974" t="str">
            <v>30511</v>
          </cell>
        </row>
        <row r="4975">
          <cell r="G4975" t="str">
            <v>Xã Kim Truy</v>
          </cell>
          <cell r="I4975" t="str">
            <v>30511</v>
          </cell>
        </row>
        <row r="4976">
          <cell r="G4976" t="str">
            <v xml:space="preserve">Xã Kim Sơn      </v>
          </cell>
          <cell r="I4976" t="str">
            <v>30511</v>
          </cell>
        </row>
        <row r="4977">
          <cell r="G4977" t="str">
            <v>Xã Thượng Tiến</v>
          </cell>
          <cell r="I4977" t="str">
            <v>30511</v>
          </cell>
        </row>
        <row r="4978">
          <cell r="G4978" t="str">
            <v>Thị trấn Mường Khến</v>
          </cell>
          <cell r="I4978" t="str">
            <v>30513</v>
          </cell>
        </row>
        <row r="4979">
          <cell r="G4979" t="str">
            <v>Xã Phú Vinh</v>
          </cell>
          <cell r="I4979" t="str">
            <v>30513</v>
          </cell>
        </row>
        <row r="4980">
          <cell r="G4980" t="str">
            <v xml:space="preserve">Xã Phú Cường    </v>
          </cell>
          <cell r="I4980" t="str">
            <v>30513</v>
          </cell>
        </row>
        <row r="4981">
          <cell r="G4981" t="str">
            <v>Xã Quy Hậu</v>
          </cell>
          <cell r="I4981" t="str">
            <v>30513</v>
          </cell>
        </row>
        <row r="4982">
          <cell r="G4982" t="str">
            <v xml:space="preserve">Xã Phong Phú </v>
          </cell>
          <cell r="I4982" t="str">
            <v>30513</v>
          </cell>
        </row>
        <row r="4983">
          <cell r="G4983" t="str">
            <v>Xã Mãn Đức</v>
          </cell>
          <cell r="I4983" t="str">
            <v>30513</v>
          </cell>
        </row>
        <row r="4984">
          <cell r="G4984" t="str">
            <v>Xã Địch Giáo</v>
          </cell>
          <cell r="I4984" t="str">
            <v>30513</v>
          </cell>
        </row>
        <row r="4985">
          <cell r="G4985" t="str">
            <v xml:space="preserve">Xã Tuân Lộ </v>
          </cell>
          <cell r="I4985" t="str">
            <v>30513</v>
          </cell>
        </row>
        <row r="4986">
          <cell r="G4986" t="str">
            <v>Xã Thanh Hối</v>
          </cell>
          <cell r="I4986" t="str">
            <v>30513</v>
          </cell>
        </row>
        <row r="4987">
          <cell r="G4987" t="str">
            <v>Xã Đông Lai</v>
          </cell>
          <cell r="I4987" t="str">
            <v>30513</v>
          </cell>
        </row>
        <row r="4988">
          <cell r="G4988" t="str">
            <v xml:space="preserve">Xã Bắc Sơn       </v>
          </cell>
          <cell r="I4988" t="str">
            <v>30513</v>
          </cell>
        </row>
        <row r="4989">
          <cell r="G4989" t="str">
            <v>Xã Quy Mỹ</v>
          </cell>
          <cell r="I4989" t="str">
            <v>30513</v>
          </cell>
        </row>
        <row r="4990">
          <cell r="G4990" t="str">
            <v>Xã Do Nhân</v>
          </cell>
          <cell r="I4990" t="str">
            <v>30513</v>
          </cell>
        </row>
        <row r="4991">
          <cell r="G4991" t="str">
            <v>Xã Lỗ Sơn</v>
          </cell>
          <cell r="I4991" t="str">
            <v>30513</v>
          </cell>
        </row>
        <row r="4992">
          <cell r="G4992" t="str">
            <v>Xã Ngổ Luông</v>
          </cell>
          <cell r="I4992" t="str">
            <v>30513</v>
          </cell>
        </row>
        <row r="4993">
          <cell r="G4993" t="str">
            <v>Xã Gia Mô</v>
          </cell>
          <cell r="I4993" t="str">
            <v>30513</v>
          </cell>
        </row>
        <row r="4994">
          <cell r="G4994" t="str">
            <v xml:space="preserve">Xã Trung Hòa    </v>
          </cell>
          <cell r="I4994" t="str">
            <v>30513</v>
          </cell>
        </row>
        <row r="4995">
          <cell r="G4995" t="str">
            <v xml:space="preserve">Xã Ngọc Mỹ  </v>
          </cell>
          <cell r="I4995" t="str">
            <v>30513</v>
          </cell>
        </row>
        <row r="4996">
          <cell r="G4996" t="str">
            <v>Xã Ngòi Hoa</v>
          </cell>
          <cell r="I4996" t="str">
            <v>30513</v>
          </cell>
        </row>
        <row r="4997">
          <cell r="G4997" t="str">
            <v>Xã Mỹ Hòa</v>
          </cell>
          <cell r="I4997" t="str">
            <v>30513</v>
          </cell>
        </row>
        <row r="4998">
          <cell r="G4998" t="str">
            <v>Xã Quyết Chiến</v>
          </cell>
          <cell r="I4998" t="str">
            <v>30513</v>
          </cell>
        </row>
        <row r="4999">
          <cell r="G4999" t="str">
            <v>Xã Tử Nê</v>
          </cell>
          <cell r="I4999" t="str">
            <v>30513</v>
          </cell>
        </row>
        <row r="5000">
          <cell r="G5000" t="str">
            <v>Xã Lũng Vân</v>
          </cell>
          <cell r="I5000" t="str">
            <v>30513</v>
          </cell>
        </row>
        <row r="5001">
          <cell r="G5001" t="str">
            <v xml:space="preserve">Xã Nam Sơn     </v>
          </cell>
          <cell r="I5001" t="str">
            <v>30513</v>
          </cell>
        </row>
        <row r="5002">
          <cell r="G5002" t="str">
            <v>Thị trấn Vụ Bản</v>
          </cell>
          <cell r="I5002" t="str">
            <v>30515</v>
          </cell>
        </row>
        <row r="5003">
          <cell r="G5003" t="str">
            <v>Xã Miền Đồi</v>
          </cell>
          <cell r="I5003" t="str">
            <v>30515</v>
          </cell>
        </row>
        <row r="5004">
          <cell r="G5004" t="str">
            <v>Xã Tuân Đạo</v>
          </cell>
          <cell r="I5004" t="str">
            <v>30515</v>
          </cell>
        </row>
        <row r="5005">
          <cell r="G5005" t="str">
            <v xml:space="preserve">Xã Văn Sơn </v>
          </cell>
          <cell r="I5005" t="str">
            <v>30515</v>
          </cell>
        </row>
        <row r="5006">
          <cell r="G5006" t="str">
            <v xml:space="preserve">Xã Tân Lập             </v>
          </cell>
          <cell r="I5006" t="str">
            <v>30515</v>
          </cell>
        </row>
        <row r="5007">
          <cell r="G5007" t="str">
            <v xml:space="preserve">Xã Nhân Nghĩa </v>
          </cell>
          <cell r="I5007" t="str">
            <v>30515</v>
          </cell>
        </row>
        <row r="5008">
          <cell r="G5008" t="str">
            <v xml:space="preserve">Xã Phú Lương   </v>
          </cell>
          <cell r="I5008" t="str">
            <v>30515</v>
          </cell>
        </row>
        <row r="5009">
          <cell r="G5009" t="str">
            <v>Xã Phúc Tuy</v>
          </cell>
          <cell r="I5009" t="str">
            <v>30515</v>
          </cell>
        </row>
        <row r="5010">
          <cell r="G5010" t="str">
            <v>Xã Xuất Hóa</v>
          </cell>
          <cell r="I5010" t="str">
            <v>30515</v>
          </cell>
        </row>
        <row r="5011">
          <cell r="G5011" t="str">
            <v>Xã Bình Hẻm</v>
          </cell>
          <cell r="I5011" t="str">
            <v>30515</v>
          </cell>
        </row>
        <row r="5012">
          <cell r="G5012" t="str">
            <v>Xã Bình Cảng</v>
          </cell>
          <cell r="I5012" t="str">
            <v>30515</v>
          </cell>
        </row>
        <row r="5013">
          <cell r="G5013" t="str">
            <v>Xã Định Cư</v>
          </cell>
          <cell r="I5013" t="str">
            <v>30515</v>
          </cell>
        </row>
        <row r="5014">
          <cell r="G5014" t="str">
            <v>Xã Chí Đạo</v>
          </cell>
          <cell r="I5014" t="str">
            <v>30515</v>
          </cell>
        </row>
        <row r="5015">
          <cell r="G5015" t="str">
            <v>Xã Liên Vũ</v>
          </cell>
          <cell r="I5015" t="str">
            <v>30515</v>
          </cell>
        </row>
        <row r="5016">
          <cell r="G5016" t="str">
            <v>Xã Hương Nhượng</v>
          </cell>
          <cell r="I5016" t="str">
            <v>30515</v>
          </cell>
        </row>
        <row r="5017">
          <cell r="G5017" t="str">
            <v>Xã Vũ Lâm</v>
          </cell>
          <cell r="I5017" t="str">
            <v>30515</v>
          </cell>
        </row>
        <row r="5018">
          <cell r="G5018" t="str">
            <v xml:space="preserve">Xã Tự Do </v>
          </cell>
          <cell r="I5018" t="str">
            <v>30515</v>
          </cell>
        </row>
        <row r="5019">
          <cell r="G5019" t="str">
            <v>Xã Yên Nghiệp</v>
          </cell>
          <cell r="I5019" t="str">
            <v>30515</v>
          </cell>
        </row>
        <row r="5020">
          <cell r="G5020" t="str">
            <v>Xã ân Nghĩa</v>
          </cell>
          <cell r="I5020" t="str">
            <v>30515</v>
          </cell>
        </row>
        <row r="5021">
          <cell r="G5021" t="str">
            <v xml:space="preserve">Xã Mỹ Thành  </v>
          </cell>
          <cell r="I5021" t="str">
            <v>30515</v>
          </cell>
        </row>
        <row r="5022">
          <cell r="G5022" t="str">
            <v>Xã Chí Thiện</v>
          </cell>
          <cell r="I5022" t="str">
            <v>30515</v>
          </cell>
        </row>
        <row r="5023">
          <cell r="G5023" t="str">
            <v xml:space="preserve">Xã Tân Mỹ   </v>
          </cell>
          <cell r="I5023" t="str">
            <v>30515</v>
          </cell>
        </row>
        <row r="5024">
          <cell r="G5024" t="str">
            <v xml:space="preserve">Xã Quý Hòa </v>
          </cell>
          <cell r="I5024" t="str">
            <v>30515</v>
          </cell>
        </row>
        <row r="5025">
          <cell r="G5025" t="str">
            <v>Xã Văn Nghĩa</v>
          </cell>
          <cell r="I5025" t="str">
            <v>30515</v>
          </cell>
        </row>
        <row r="5026">
          <cell r="G5026" t="str">
            <v xml:space="preserve">Xã Thượng Cốc </v>
          </cell>
          <cell r="I5026" t="str">
            <v>30515</v>
          </cell>
        </row>
        <row r="5027">
          <cell r="G5027" t="str">
            <v xml:space="preserve">Xã Yên Phú     </v>
          </cell>
          <cell r="I5027" t="str">
            <v>30515</v>
          </cell>
        </row>
        <row r="5028">
          <cell r="G5028" t="str">
            <v>Xã Bình Chân</v>
          </cell>
          <cell r="I5028" t="str">
            <v>30515</v>
          </cell>
        </row>
        <row r="5029">
          <cell r="G5029" t="str">
            <v xml:space="preserve">Xã Ngọc Sơn   </v>
          </cell>
          <cell r="I5029" t="str">
            <v>30515</v>
          </cell>
        </row>
        <row r="5030">
          <cell r="G5030" t="str">
            <v>Xã Ngọc Lâu</v>
          </cell>
          <cell r="I5030" t="str">
            <v>30515</v>
          </cell>
        </row>
        <row r="5031">
          <cell r="G5031" t="str">
            <v>Xã Phú Lão</v>
          </cell>
          <cell r="I5031" t="str">
            <v>30517</v>
          </cell>
        </row>
        <row r="5032">
          <cell r="G5032" t="str">
            <v>Xã Phú Thành</v>
          </cell>
          <cell r="I5032" t="str">
            <v>30517</v>
          </cell>
        </row>
        <row r="5033">
          <cell r="G5033" t="str">
            <v>Xã Hưng Thi</v>
          </cell>
          <cell r="I5033" t="str">
            <v>30517</v>
          </cell>
        </row>
        <row r="5034">
          <cell r="G5034" t="str">
            <v xml:space="preserve">Xã Lạc Long </v>
          </cell>
          <cell r="I5034" t="str">
            <v>30517</v>
          </cell>
        </row>
        <row r="5035">
          <cell r="G5035" t="str">
            <v xml:space="preserve">Xã Liên Hòa    </v>
          </cell>
          <cell r="I5035" t="str">
            <v>30517</v>
          </cell>
        </row>
        <row r="5036">
          <cell r="G5036" t="str">
            <v>Xã Đồng Môn</v>
          </cell>
          <cell r="I5036" t="str">
            <v>30517</v>
          </cell>
        </row>
        <row r="5037">
          <cell r="G5037" t="str">
            <v xml:space="preserve">Xã Đồng Tâm     </v>
          </cell>
          <cell r="I5037" t="str">
            <v>30517</v>
          </cell>
        </row>
        <row r="5038">
          <cell r="G5038" t="str">
            <v>Xã Yên Bồng</v>
          </cell>
          <cell r="I5038" t="str">
            <v>30517</v>
          </cell>
        </row>
        <row r="5039">
          <cell r="G5039" t="str">
            <v xml:space="preserve">Xã An Bình    </v>
          </cell>
          <cell r="I5039" t="str">
            <v>30517</v>
          </cell>
        </row>
        <row r="5040">
          <cell r="G5040" t="str">
            <v>Thị trấn Chi Nê</v>
          </cell>
          <cell r="I5040" t="str">
            <v>30517</v>
          </cell>
        </row>
        <row r="5041">
          <cell r="G5041" t="str">
            <v>Xã Cố Nghĩa</v>
          </cell>
          <cell r="I5041" t="str">
            <v>30517</v>
          </cell>
        </row>
        <row r="5042">
          <cell r="G5042" t="str">
            <v>Xã Khoan Dụ</v>
          </cell>
          <cell r="I5042" t="str">
            <v>30517</v>
          </cell>
        </row>
        <row r="5043">
          <cell r="G5043" t="str">
            <v xml:space="preserve">Xã An Lạc    </v>
          </cell>
          <cell r="I5043" t="str">
            <v>30517</v>
          </cell>
        </row>
        <row r="5044">
          <cell r="G5044" t="str">
            <v>Xã Thanh Nông</v>
          </cell>
          <cell r="I5044" t="str">
            <v>30517</v>
          </cell>
        </row>
        <row r="5045">
          <cell r="G5045" t="str">
            <v xml:space="preserve">Thị trấn Thanh Hà </v>
          </cell>
          <cell r="I5045" t="str">
            <v>30517</v>
          </cell>
        </row>
        <row r="5046">
          <cell r="G5046" t="str">
            <v>Xã Lạc Sỹ</v>
          </cell>
          <cell r="I5046" t="str">
            <v>30519</v>
          </cell>
        </row>
        <row r="5047">
          <cell r="G5047" t="str">
            <v>Xã Lạc Hưng</v>
          </cell>
          <cell r="I5047" t="str">
            <v>30519</v>
          </cell>
        </row>
        <row r="5048">
          <cell r="G5048" t="str">
            <v>Xã Bảo Hiệu</v>
          </cell>
          <cell r="I5048" t="str">
            <v>30519</v>
          </cell>
        </row>
        <row r="5049">
          <cell r="G5049" t="str">
            <v>Xã Đa Phúc</v>
          </cell>
          <cell r="I5049" t="str">
            <v>30519</v>
          </cell>
        </row>
        <row r="5050">
          <cell r="G5050" t="str">
            <v>Xã Hữu Lợi</v>
          </cell>
          <cell r="I5050" t="str">
            <v>30519</v>
          </cell>
        </row>
        <row r="5051">
          <cell r="G5051" t="str">
            <v>Xã Lạc Thịnh</v>
          </cell>
          <cell r="I5051" t="str">
            <v>30519</v>
          </cell>
        </row>
        <row r="5052">
          <cell r="G5052" t="str">
            <v xml:space="preserve">Xã Yên Lạc  </v>
          </cell>
          <cell r="I5052" t="str">
            <v>30519</v>
          </cell>
        </row>
        <row r="5053">
          <cell r="G5053" t="str">
            <v xml:space="preserve">Xã Đoàn Kết    </v>
          </cell>
          <cell r="I5053" t="str">
            <v>30519</v>
          </cell>
        </row>
        <row r="5054">
          <cell r="G5054" t="str">
            <v>Xã Phú Lai</v>
          </cell>
          <cell r="I5054" t="str">
            <v>30519</v>
          </cell>
        </row>
        <row r="5055">
          <cell r="G5055" t="str">
            <v xml:space="preserve">Xã Yên Trị </v>
          </cell>
          <cell r="I5055" t="str">
            <v>30519</v>
          </cell>
        </row>
        <row r="5056">
          <cell r="G5056" t="str">
            <v>Xã Lạc Lương</v>
          </cell>
          <cell r="I5056" t="str">
            <v>30519</v>
          </cell>
        </row>
        <row r="5057">
          <cell r="G5057" t="str">
            <v>Thị trấn Hàng Trạm</v>
          </cell>
          <cell r="I5057" t="str">
            <v>30519</v>
          </cell>
        </row>
        <row r="5058">
          <cell r="G5058" t="str">
            <v>Xã Ngọc Lương</v>
          </cell>
          <cell r="I5058" t="str">
            <v>30519</v>
          </cell>
        </row>
        <row r="5059">
          <cell r="G5059" t="str">
            <v>Phường Đông Sơn</v>
          </cell>
          <cell r="I5059" t="str">
            <v>40101</v>
          </cell>
        </row>
        <row r="5060">
          <cell r="G5060" t="str">
            <v>Phường Đông Thọ</v>
          </cell>
          <cell r="I5060" t="str">
            <v>40101</v>
          </cell>
        </row>
        <row r="5061">
          <cell r="G5061" t="str">
            <v>Phường Phú Sơn</v>
          </cell>
          <cell r="I5061" t="str">
            <v>40101</v>
          </cell>
        </row>
        <row r="5062">
          <cell r="G5062" t="str">
            <v>Phường Đông Vệ</v>
          </cell>
          <cell r="I5062" t="str">
            <v>40101</v>
          </cell>
        </row>
        <row r="5063">
          <cell r="G5063" t="str">
            <v>Phường Đông Hương</v>
          </cell>
          <cell r="I5063" t="str">
            <v>40101</v>
          </cell>
        </row>
        <row r="5064">
          <cell r="G5064" t="str">
            <v>Phường Hàm Rồng</v>
          </cell>
          <cell r="I5064" t="str">
            <v>40101</v>
          </cell>
        </row>
        <row r="5065">
          <cell r="G5065" t="str">
            <v>Phường Nam Ngạn</v>
          </cell>
          <cell r="I5065" t="str">
            <v>40101</v>
          </cell>
        </row>
        <row r="5066">
          <cell r="G5066" t="str">
            <v xml:space="preserve">Phường Trường Thi </v>
          </cell>
          <cell r="I5066" t="str">
            <v>40101</v>
          </cell>
        </row>
        <row r="5067">
          <cell r="G5067" t="str">
            <v xml:space="preserve">Phường Điện Biên </v>
          </cell>
          <cell r="I5067" t="str">
            <v>40101</v>
          </cell>
        </row>
        <row r="5068">
          <cell r="G5068" t="str">
            <v xml:space="preserve">Phường Lam Sơn  </v>
          </cell>
          <cell r="I5068" t="str">
            <v>40101</v>
          </cell>
        </row>
        <row r="5069">
          <cell r="G5069" t="str">
            <v>Phường Ba Đình</v>
          </cell>
          <cell r="I5069" t="str">
            <v>40101</v>
          </cell>
        </row>
        <row r="5070">
          <cell r="G5070" t="str">
            <v>Phường Ngọc Trạo</v>
          </cell>
          <cell r="I5070" t="str">
            <v>40101</v>
          </cell>
        </row>
        <row r="5071">
          <cell r="G5071" t="str">
            <v>Phường Tân Sơn</v>
          </cell>
          <cell r="I5071" t="str">
            <v>40101</v>
          </cell>
        </row>
        <row r="5072">
          <cell r="G5072" t="str">
            <v>Phường Đông Cương</v>
          </cell>
          <cell r="I5072" t="str">
            <v>40101</v>
          </cell>
        </row>
        <row r="5073">
          <cell r="G5073" t="str">
            <v xml:space="preserve">Phường Đông Hải </v>
          </cell>
          <cell r="I5073" t="str">
            <v>40101</v>
          </cell>
        </row>
        <row r="5074">
          <cell r="G5074" t="str">
            <v>Phường Quảng Hưng</v>
          </cell>
          <cell r="I5074" t="str">
            <v>40101</v>
          </cell>
        </row>
        <row r="5075">
          <cell r="G5075" t="str">
            <v>Phường Quảng Thắng</v>
          </cell>
          <cell r="I5075" t="str">
            <v>40101</v>
          </cell>
        </row>
        <row r="5076">
          <cell r="G5076" t="str">
            <v>Phường Quảng Thành</v>
          </cell>
          <cell r="I5076" t="str">
            <v>40101</v>
          </cell>
        </row>
        <row r="5077">
          <cell r="G5077" t="str">
            <v xml:space="preserve">Xã Quảng Thịnh </v>
          </cell>
          <cell r="I5077" t="str">
            <v>40101</v>
          </cell>
        </row>
        <row r="5078">
          <cell r="G5078" t="str">
            <v>Xã Quảng Đông</v>
          </cell>
          <cell r="I5078" t="str">
            <v>40101</v>
          </cell>
        </row>
        <row r="5079">
          <cell r="G5079" t="str">
            <v>Xã Quảng Cát</v>
          </cell>
          <cell r="I5079" t="str">
            <v>40101</v>
          </cell>
        </row>
        <row r="5080">
          <cell r="G5080" t="str">
            <v xml:space="preserve">Xã Quảng Phú </v>
          </cell>
          <cell r="I5080" t="str">
            <v>40101</v>
          </cell>
        </row>
        <row r="5081">
          <cell r="G5081" t="str">
            <v>Xã Quảng Tâm</v>
          </cell>
          <cell r="I5081" t="str">
            <v>40101</v>
          </cell>
        </row>
        <row r="5082">
          <cell r="G5082" t="str">
            <v>Xã Hoằng Anh</v>
          </cell>
          <cell r="I5082" t="str">
            <v>40101</v>
          </cell>
        </row>
        <row r="5083">
          <cell r="G5083" t="str">
            <v>Xã Hoằng Lý</v>
          </cell>
          <cell r="I5083" t="str">
            <v>40101</v>
          </cell>
        </row>
        <row r="5084">
          <cell r="G5084" t="str">
            <v>Xã Hoằng Long</v>
          </cell>
          <cell r="I5084" t="str">
            <v>40101</v>
          </cell>
        </row>
        <row r="5085">
          <cell r="G5085" t="str">
            <v>Xã Hoằng Quang</v>
          </cell>
          <cell r="I5085" t="str">
            <v>40101</v>
          </cell>
        </row>
        <row r="5086">
          <cell r="G5086" t="str">
            <v>Xã Hoằng Đại</v>
          </cell>
          <cell r="I5086" t="str">
            <v>40101</v>
          </cell>
        </row>
        <row r="5087">
          <cell r="G5087" t="str">
            <v>Phường Tào Xuyên</v>
          </cell>
          <cell r="I5087" t="str">
            <v>40101</v>
          </cell>
        </row>
        <row r="5088">
          <cell r="G5088" t="str">
            <v>Xã Thiệu Dương</v>
          </cell>
          <cell r="I5088" t="str">
            <v>40101</v>
          </cell>
        </row>
        <row r="5089">
          <cell r="G5089" t="str">
            <v>Xã Thiệu Khánh</v>
          </cell>
          <cell r="I5089" t="str">
            <v>40101</v>
          </cell>
        </row>
        <row r="5090">
          <cell r="G5090" t="str">
            <v>Xã Thiệu Vân</v>
          </cell>
          <cell r="I5090" t="str">
            <v>40101</v>
          </cell>
        </row>
        <row r="5091">
          <cell r="G5091" t="str">
            <v xml:space="preserve">Xã Đông Vinh </v>
          </cell>
          <cell r="I5091" t="str">
            <v>40101</v>
          </cell>
        </row>
        <row r="5092">
          <cell r="G5092" t="str">
            <v xml:space="preserve">Xã Đông Lĩnh  </v>
          </cell>
          <cell r="I5092" t="str">
            <v>40101</v>
          </cell>
        </row>
        <row r="5093">
          <cell r="G5093" t="str">
            <v xml:space="preserve">Xã Đông Tân </v>
          </cell>
          <cell r="I5093" t="str">
            <v>40101</v>
          </cell>
        </row>
        <row r="5094">
          <cell r="G5094" t="str">
            <v xml:space="preserve">Xã Đông Hưng  </v>
          </cell>
          <cell r="I5094" t="str">
            <v>40101</v>
          </cell>
        </row>
        <row r="5095">
          <cell r="G5095" t="str">
            <v>Phường An Hoạch</v>
          </cell>
          <cell r="I5095" t="str">
            <v>40101</v>
          </cell>
        </row>
        <row r="5096">
          <cell r="G5096" t="str">
            <v xml:space="preserve">Phường Lam Sơn   </v>
          </cell>
          <cell r="I5096" t="str">
            <v>40103</v>
          </cell>
        </row>
        <row r="5097">
          <cell r="G5097" t="str">
            <v xml:space="preserve">Phường Bắc Sơn   </v>
          </cell>
          <cell r="I5097" t="str">
            <v>40103</v>
          </cell>
        </row>
        <row r="5098">
          <cell r="G5098" t="str">
            <v xml:space="preserve">Phường Đông Sơn </v>
          </cell>
          <cell r="I5098" t="str">
            <v>40103</v>
          </cell>
        </row>
        <row r="5099">
          <cell r="G5099" t="str">
            <v xml:space="preserve">Phường Ba Đình </v>
          </cell>
          <cell r="I5099" t="str">
            <v>40103</v>
          </cell>
        </row>
        <row r="5100">
          <cell r="G5100" t="str">
            <v xml:space="preserve">Phường Ngọc Trạo </v>
          </cell>
          <cell r="I5100" t="str">
            <v>40103</v>
          </cell>
        </row>
        <row r="5101">
          <cell r="G5101" t="str">
            <v xml:space="preserve">Xã Quang Trung         </v>
          </cell>
          <cell r="I5101" t="str">
            <v>40103</v>
          </cell>
        </row>
        <row r="5102">
          <cell r="G5102" t="str">
            <v>Xã Hà Lan</v>
          </cell>
          <cell r="I5102" t="str">
            <v>40103</v>
          </cell>
        </row>
        <row r="5103">
          <cell r="G5103" t="str">
            <v xml:space="preserve">Phường Phú Sơn </v>
          </cell>
          <cell r="I5103" t="str">
            <v>40103</v>
          </cell>
        </row>
        <row r="5104">
          <cell r="G5104" t="str">
            <v xml:space="preserve">Phường Bắc Sơn    </v>
          </cell>
          <cell r="I5104" t="str">
            <v>40105</v>
          </cell>
        </row>
        <row r="5105">
          <cell r="G5105" t="str">
            <v xml:space="preserve">Phường Trung Sơn </v>
          </cell>
          <cell r="I5105" t="str">
            <v>40105</v>
          </cell>
        </row>
        <row r="5106">
          <cell r="G5106" t="str">
            <v>Phường Trường Sơn</v>
          </cell>
          <cell r="I5106" t="str">
            <v>40105</v>
          </cell>
        </row>
        <row r="5107">
          <cell r="G5107" t="str">
            <v>Xã Quảng Cư</v>
          </cell>
          <cell r="I5107" t="str">
            <v>40105</v>
          </cell>
        </row>
        <row r="5108">
          <cell r="G5108" t="str">
            <v>Phường Quảng Tiến</v>
          </cell>
          <cell r="I5108" t="str">
            <v>40105</v>
          </cell>
        </row>
        <row r="5109">
          <cell r="G5109" t="str">
            <v>Xã Mường Chanh</v>
          </cell>
          <cell r="I5109" t="str">
            <v>40107</v>
          </cell>
        </row>
        <row r="5110">
          <cell r="G5110" t="str">
            <v>Xã Tam Chung</v>
          </cell>
          <cell r="I5110" t="str">
            <v>40107</v>
          </cell>
        </row>
        <row r="5111">
          <cell r="G5111" t="str">
            <v>Thị trấn Mường Lát</v>
          </cell>
          <cell r="I5111" t="str">
            <v>40107</v>
          </cell>
        </row>
        <row r="5112">
          <cell r="G5112" t="str">
            <v>Xã Quang Chiểu</v>
          </cell>
          <cell r="I5112" t="str">
            <v>40107</v>
          </cell>
        </row>
        <row r="5113">
          <cell r="G5113" t="str">
            <v>Xã Tén Tằn</v>
          </cell>
          <cell r="I5113" t="str">
            <v>40107</v>
          </cell>
        </row>
        <row r="5114">
          <cell r="G5114" t="str">
            <v>Xã Mường Lý</v>
          </cell>
          <cell r="I5114" t="str">
            <v>40107</v>
          </cell>
        </row>
        <row r="5115">
          <cell r="G5115" t="str">
            <v>Xã Trung Lý</v>
          </cell>
          <cell r="I5115" t="str">
            <v>40107</v>
          </cell>
        </row>
        <row r="5116">
          <cell r="G5116" t="str">
            <v>Xã Pù Nhi</v>
          </cell>
          <cell r="I5116" t="str">
            <v>40107</v>
          </cell>
        </row>
        <row r="5117">
          <cell r="G5117" t="str">
            <v xml:space="preserve">Xã Nhi Sơn </v>
          </cell>
          <cell r="I5117" t="str">
            <v>40107</v>
          </cell>
        </row>
        <row r="5118">
          <cell r="G5118" t="str">
            <v>Xã Phú Thanh</v>
          </cell>
          <cell r="I5118" t="str">
            <v>40109</v>
          </cell>
        </row>
        <row r="5119">
          <cell r="G5119" t="str">
            <v xml:space="preserve">Xã Nam Tiến  </v>
          </cell>
          <cell r="I5119" t="str">
            <v>40109</v>
          </cell>
        </row>
        <row r="5120">
          <cell r="G5120" t="str">
            <v xml:space="preserve">Xã Thanh Xuân  </v>
          </cell>
          <cell r="I5120" t="str">
            <v>40109</v>
          </cell>
        </row>
        <row r="5121">
          <cell r="G5121" t="str">
            <v>Xã Hồi Xuân</v>
          </cell>
          <cell r="I5121" t="str">
            <v>40109</v>
          </cell>
        </row>
        <row r="5122">
          <cell r="G5122" t="str">
            <v>Xã Nam Động</v>
          </cell>
          <cell r="I5122" t="str">
            <v>40109</v>
          </cell>
        </row>
        <row r="5123">
          <cell r="G5123" t="str">
            <v>Thị trấn Quan Hóa</v>
          </cell>
          <cell r="I5123" t="str">
            <v>40109</v>
          </cell>
        </row>
        <row r="5124">
          <cell r="G5124" t="str">
            <v>Xã Thành Sơn</v>
          </cell>
          <cell r="I5124" t="str">
            <v>40109</v>
          </cell>
        </row>
        <row r="5125">
          <cell r="G5125" t="str">
            <v xml:space="preserve">Xã Trung Sơn    </v>
          </cell>
          <cell r="I5125" t="str">
            <v>40109</v>
          </cell>
        </row>
        <row r="5126">
          <cell r="G5126" t="str">
            <v xml:space="preserve">Xã Trung Thành     </v>
          </cell>
          <cell r="I5126" t="str">
            <v>40109</v>
          </cell>
        </row>
        <row r="5127">
          <cell r="G5127" t="str">
            <v>Xã Phú Lệ</v>
          </cell>
          <cell r="I5127" t="str">
            <v>40109</v>
          </cell>
        </row>
        <row r="5128">
          <cell r="G5128" t="str">
            <v xml:space="preserve">Xã Phú Sơn  </v>
          </cell>
          <cell r="I5128" t="str">
            <v>40109</v>
          </cell>
        </row>
        <row r="5129">
          <cell r="G5129" t="str">
            <v xml:space="preserve">Xã Phú Xuân  </v>
          </cell>
          <cell r="I5129" t="str">
            <v>40109</v>
          </cell>
        </row>
        <row r="5130">
          <cell r="G5130" t="str">
            <v>Xã Hiền Chung</v>
          </cell>
          <cell r="I5130" t="str">
            <v>40109</v>
          </cell>
        </row>
        <row r="5131">
          <cell r="G5131" t="str">
            <v>Xã Hiền Kiệt</v>
          </cell>
          <cell r="I5131" t="str">
            <v>40109</v>
          </cell>
        </row>
        <row r="5132">
          <cell r="G5132" t="str">
            <v>Xã Thiên Phú</v>
          </cell>
          <cell r="I5132" t="str">
            <v>40109</v>
          </cell>
        </row>
        <row r="5133">
          <cell r="G5133" t="str">
            <v>Xã Phú Nghiêm</v>
          </cell>
          <cell r="I5133" t="str">
            <v>40109</v>
          </cell>
        </row>
        <row r="5134">
          <cell r="G5134" t="str">
            <v>Xã Nam Xuân</v>
          </cell>
          <cell r="I5134" t="str">
            <v>40109</v>
          </cell>
        </row>
        <row r="5135">
          <cell r="G5135" t="str">
            <v xml:space="preserve">Xã Xuân Phú   </v>
          </cell>
          <cell r="I5135" t="str">
            <v>40109</v>
          </cell>
        </row>
        <row r="5136">
          <cell r="G5136" t="str">
            <v>Thị trấn Quan Sơn</v>
          </cell>
          <cell r="I5136" t="str">
            <v>40111</v>
          </cell>
        </row>
        <row r="5137">
          <cell r="G5137" t="str">
            <v>Xã Mường Mìn</v>
          </cell>
          <cell r="I5137" t="str">
            <v>40111</v>
          </cell>
        </row>
        <row r="5138">
          <cell r="G5138" t="str">
            <v>Xã Trung Hạ</v>
          </cell>
          <cell r="I5138" t="str">
            <v>40111</v>
          </cell>
        </row>
        <row r="5139">
          <cell r="G5139" t="str">
            <v xml:space="preserve">Xã Sơn Thủy  </v>
          </cell>
          <cell r="I5139" t="str">
            <v>40111</v>
          </cell>
        </row>
        <row r="5140">
          <cell r="G5140" t="str">
            <v>Xã Sơn Điện</v>
          </cell>
          <cell r="I5140" t="str">
            <v>40111</v>
          </cell>
        </row>
        <row r="5141">
          <cell r="G5141" t="str">
            <v>Xã Trung Xuân</v>
          </cell>
          <cell r="I5141" t="str">
            <v>40111</v>
          </cell>
        </row>
        <row r="5142">
          <cell r="G5142" t="str">
            <v>Xã Trung Thượng</v>
          </cell>
          <cell r="I5142" t="str">
            <v>40111</v>
          </cell>
        </row>
        <row r="5143">
          <cell r="G5143" t="str">
            <v xml:space="preserve">Xã Sơn Hà    </v>
          </cell>
          <cell r="I5143" t="str">
            <v>40111</v>
          </cell>
        </row>
        <row r="5144">
          <cell r="G5144" t="str">
            <v xml:space="preserve">Xã Tam Thanh  </v>
          </cell>
          <cell r="I5144" t="str">
            <v>40111</v>
          </cell>
        </row>
        <row r="5145">
          <cell r="G5145" t="str">
            <v>Xã Na Mèo</v>
          </cell>
          <cell r="I5145" t="str">
            <v>40111</v>
          </cell>
        </row>
        <row r="5146">
          <cell r="G5146" t="str">
            <v>Xã Sơn Lư</v>
          </cell>
          <cell r="I5146" t="str">
            <v>40111</v>
          </cell>
        </row>
        <row r="5147">
          <cell r="G5147" t="str">
            <v>Xã Tam Lư</v>
          </cell>
          <cell r="I5147" t="str">
            <v>40111</v>
          </cell>
        </row>
        <row r="5148">
          <cell r="G5148" t="str">
            <v xml:space="preserve">Xã Trung Tiến </v>
          </cell>
          <cell r="I5148" t="str">
            <v>40111</v>
          </cell>
        </row>
        <row r="5149">
          <cell r="G5149" t="str">
            <v>Xã Điền Quang</v>
          </cell>
          <cell r="I5149" t="str">
            <v>40113</v>
          </cell>
        </row>
        <row r="5150">
          <cell r="G5150" t="str">
            <v>Xã Hạ Trung</v>
          </cell>
          <cell r="I5150" t="str">
            <v>40113</v>
          </cell>
        </row>
        <row r="5151">
          <cell r="G5151" t="str">
            <v>Xã Điền Hạ</v>
          </cell>
          <cell r="I5151" t="str">
            <v>40113</v>
          </cell>
        </row>
        <row r="5152">
          <cell r="G5152" t="str">
            <v>Xã Lương Ngoại</v>
          </cell>
          <cell r="I5152" t="str">
            <v>40113</v>
          </cell>
        </row>
        <row r="5153">
          <cell r="G5153" t="str">
            <v>Xã Lương Trung</v>
          </cell>
          <cell r="I5153" t="str">
            <v>40113</v>
          </cell>
        </row>
        <row r="5154">
          <cell r="G5154" t="str">
            <v xml:space="preserve">Xã Cổ Lũng </v>
          </cell>
          <cell r="I5154" t="str">
            <v>40113</v>
          </cell>
        </row>
        <row r="5155">
          <cell r="G5155" t="str">
            <v>Xã Văn Nho</v>
          </cell>
          <cell r="I5155" t="str">
            <v>40113</v>
          </cell>
        </row>
        <row r="5156">
          <cell r="G5156" t="str">
            <v xml:space="preserve">Xã Tân Lập              </v>
          </cell>
          <cell r="I5156" t="str">
            <v>40113</v>
          </cell>
        </row>
        <row r="5157">
          <cell r="G5157" t="str">
            <v>Thị trấn Cành Nàng</v>
          </cell>
          <cell r="I5157" t="str">
            <v>40113</v>
          </cell>
        </row>
        <row r="5158">
          <cell r="G5158" t="str">
            <v>Xã Điền Thượng</v>
          </cell>
          <cell r="I5158" t="str">
            <v>40113</v>
          </cell>
        </row>
        <row r="5159">
          <cell r="G5159" t="str">
            <v>Xã Điền Trung</v>
          </cell>
          <cell r="I5159" t="str">
            <v>40113</v>
          </cell>
        </row>
        <row r="5160">
          <cell r="G5160" t="str">
            <v xml:space="preserve">Xã Thành Sơn </v>
          </cell>
          <cell r="I5160" t="str">
            <v>40113</v>
          </cell>
        </row>
        <row r="5161">
          <cell r="G5161" t="str">
            <v>Xã ái Thượng</v>
          </cell>
          <cell r="I5161" t="str">
            <v>40113</v>
          </cell>
        </row>
        <row r="5162">
          <cell r="G5162" t="str">
            <v>Xã Lương Nội</v>
          </cell>
          <cell r="I5162" t="str">
            <v>40113</v>
          </cell>
        </row>
        <row r="5163">
          <cell r="G5163" t="str">
            <v>Xã Điền Lư</v>
          </cell>
          <cell r="I5163" t="str">
            <v>40113</v>
          </cell>
        </row>
        <row r="5164">
          <cell r="G5164" t="str">
            <v>Xã Lũng Niêm</v>
          </cell>
          <cell r="I5164" t="str">
            <v>40113</v>
          </cell>
        </row>
        <row r="5165">
          <cell r="G5165" t="str">
            <v>Xã Lũng Cao</v>
          </cell>
          <cell r="I5165" t="str">
            <v>40113</v>
          </cell>
        </row>
        <row r="5166">
          <cell r="G5166" t="str">
            <v>Xã Thành Lâm</v>
          </cell>
          <cell r="I5166" t="str">
            <v>40113</v>
          </cell>
        </row>
        <row r="5167">
          <cell r="G5167" t="str">
            <v>Xã Ban Công</v>
          </cell>
          <cell r="I5167" t="str">
            <v>40113</v>
          </cell>
        </row>
        <row r="5168">
          <cell r="G5168" t="str">
            <v>Xã Kỳ Tân</v>
          </cell>
          <cell r="I5168" t="str">
            <v>40113</v>
          </cell>
        </row>
        <row r="5169">
          <cell r="G5169" t="str">
            <v>Xã Thiết ống</v>
          </cell>
          <cell r="I5169" t="str">
            <v>40113</v>
          </cell>
        </row>
        <row r="5170">
          <cell r="G5170" t="str">
            <v>Xã Lâm Sa</v>
          </cell>
          <cell r="I5170" t="str">
            <v>40113</v>
          </cell>
        </row>
        <row r="5171">
          <cell r="G5171" t="str">
            <v>Xã Thiết Kế</v>
          </cell>
          <cell r="I5171" t="str">
            <v>40113</v>
          </cell>
        </row>
        <row r="5172">
          <cell r="G5172" t="str">
            <v>Xã Cẩm Giang</v>
          </cell>
          <cell r="I5172" t="str">
            <v>40115</v>
          </cell>
        </row>
        <row r="5173">
          <cell r="G5173" t="str">
            <v>Xã Cẩm Tân</v>
          </cell>
          <cell r="I5173" t="str">
            <v>40115</v>
          </cell>
        </row>
        <row r="5174">
          <cell r="G5174" t="str">
            <v xml:space="preserve">Xã Cẩm Yên </v>
          </cell>
          <cell r="I5174" t="str">
            <v>40115</v>
          </cell>
        </row>
        <row r="5175">
          <cell r="G5175" t="str">
            <v>Xã Phúc Do</v>
          </cell>
          <cell r="I5175" t="str">
            <v>40115</v>
          </cell>
        </row>
        <row r="5176">
          <cell r="G5176" t="str">
            <v>Xã Cẩm Thạch</v>
          </cell>
          <cell r="I5176" t="str">
            <v>40115</v>
          </cell>
        </row>
        <row r="5177">
          <cell r="G5177" t="str">
            <v>Xã Cẩm Tú</v>
          </cell>
          <cell r="I5177" t="str">
            <v>40115</v>
          </cell>
        </row>
        <row r="5178">
          <cell r="G5178" t="str">
            <v>Xã Cẩm Tâm</v>
          </cell>
          <cell r="I5178" t="str">
            <v>40115</v>
          </cell>
        </row>
        <row r="5179">
          <cell r="G5179" t="str">
            <v>Thị trấn Cẩm Thủy</v>
          </cell>
          <cell r="I5179" t="str">
            <v>40115</v>
          </cell>
        </row>
        <row r="5180">
          <cell r="G5180" t="str">
            <v>Xã Cẩm Thành</v>
          </cell>
          <cell r="I5180" t="str">
            <v>40115</v>
          </cell>
        </row>
        <row r="5181">
          <cell r="G5181" t="str">
            <v>Xã Cẩm Quý</v>
          </cell>
          <cell r="I5181" t="str">
            <v>40115</v>
          </cell>
        </row>
        <row r="5182">
          <cell r="G5182" t="str">
            <v>Xã Cẩm Lương</v>
          </cell>
          <cell r="I5182" t="str">
            <v>40115</v>
          </cell>
        </row>
        <row r="5183">
          <cell r="G5183" t="str">
            <v>Xã Cẩm Liên</v>
          </cell>
          <cell r="I5183" t="str">
            <v>40115</v>
          </cell>
        </row>
        <row r="5184">
          <cell r="G5184" t="str">
            <v>Xã Cẩm Bình</v>
          </cell>
          <cell r="I5184" t="str">
            <v>40115</v>
          </cell>
        </row>
        <row r="5185">
          <cell r="G5185" t="str">
            <v xml:space="preserve">Xã Cẩm Sơn </v>
          </cell>
          <cell r="I5185" t="str">
            <v>40115</v>
          </cell>
        </row>
        <row r="5186">
          <cell r="G5186" t="str">
            <v>Xã Cẩm Châu</v>
          </cell>
          <cell r="I5186" t="str">
            <v>40115</v>
          </cell>
        </row>
        <row r="5187">
          <cell r="G5187" t="str">
            <v>Xã Cẩm Phong</v>
          </cell>
          <cell r="I5187" t="str">
            <v>40115</v>
          </cell>
        </row>
        <row r="5188">
          <cell r="G5188" t="str">
            <v>Xã Cẩm Ngọc</v>
          </cell>
          <cell r="I5188" t="str">
            <v>40115</v>
          </cell>
        </row>
        <row r="5189">
          <cell r="G5189" t="str">
            <v>Xã Cẩm Long</v>
          </cell>
          <cell r="I5189" t="str">
            <v>40115</v>
          </cell>
        </row>
        <row r="5190">
          <cell r="G5190" t="str">
            <v>Xã Cẩm Phú</v>
          </cell>
          <cell r="I5190" t="str">
            <v>40115</v>
          </cell>
        </row>
        <row r="5191">
          <cell r="G5191" t="str">
            <v>Xã Cẩm Vân</v>
          </cell>
          <cell r="I5191" t="str">
            <v>40115</v>
          </cell>
        </row>
        <row r="5192">
          <cell r="G5192" t="str">
            <v>Xã Quang Hiến</v>
          </cell>
          <cell r="I5192" t="str">
            <v>40117</v>
          </cell>
        </row>
        <row r="5193">
          <cell r="G5193" t="str">
            <v xml:space="preserve">Xã Yên Thắng   </v>
          </cell>
          <cell r="I5193" t="str">
            <v>40117</v>
          </cell>
        </row>
        <row r="5194">
          <cell r="G5194" t="str">
            <v xml:space="preserve">Xã Tân Phúc </v>
          </cell>
          <cell r="I5194" t="str">
            <v>40117</v>
          </cell>
        </row>
        <row r="5195">
          <cell r="G5195" t="str">
            <v xml:space="preserve">Xã Đồng Lương </v>
          </cell>
          <cell r="I5195" t="str">
            <v>40117</v>
          </cell>
        </row>
        <row r="5196">
          <cell r="G5196" t="str">
            <v>Thị trấn Lang Chánh</v>
          </cell>
          <cell r="I5196" t="str">
            <v>40117</v>
          </cell>
        </row>
        <row r="5197">
          <cell r="G5197" t="str">
            <v>Xã Yên Khương</v>
          </cell>
          <cell r="I5197" t="str">
            <v>40117</v>
          </cell>
        </row>
        <row r="5198">
          <cell r="G5198" t="str">
            <v>Xã Trí Nang</v>
          </cell>
          <cell r="I5198" t="str">
            <v>40117</v>
          </cell>
        </row>
        <row r="5199">
          <cell r="G5199" t="str">
            <v xml:space="preserve">Xã Giao An </v>
          </cell>
          <cell r="I5199" t="str">
            <v>40117</v>
          </cell>
        </row>
        <row r="5200">
          <cell r="G5200" t="str">
            <v xml:space="preserve">Xã Giao Thiện </v>
          </cell>
          <cell r="I5200" t="str">
            <v>40117</v>
          </cell>
        </row>
        <row r="5201">
          <cell r="G5201" t="str">
            <v>Xã Tam Văn</v>
          </cell>
          <cell r="I5201" t="str">
            <v>40117</v>
          </cell>
        </row>
        <row r="5202">
          <cell r="G5202" t="str">
            <v>Xã Lâm Phú</v>
          </cell>
          <cell r="I5202" t="str">
            <v>40117</v>
          </cell>
        </row>
        <row r="5203">
          <cell r="G5203" t="str">
            <v>Xã Thành Mỹ</v>
          </cell>
          <cell r="I5203" t="str">
            <v>40119</v>
          </cell>
        </row>
        <row r="5204">
          <cell r="G5204" t="str">
            <v>Xã Thành An</v>
          </cell>
          <cell r="I5204" t="str">
            <v>40119</v>
          </cell>
        </row>
        <row r="5205">
          <cell r="G5205" t="str">
            <v>Thị trấn Kim Tân</v>
          </cell>
          <cell r="I5205" t="str">
            <v>40119</v>
          </cell>
        </row>
        <row r="5206">
          <cell r="G5206" t="str">
            <v>Xã Thạch Quảng</v>
          </cell>
          <cell r="I5206" t="str">
            <v>40119</v>
          </cell>
        </row>
        <row r="5207">
          <cell r="G5207" t="str">
            <v>Xã Thành Minh</v>
          </cell>
          <cell r="I5207" t="str">
            <v>40119</v>
          </cell>
        </row>
        <row r="5208">
          <cell r="G5208" t="str">
            <v>Xã Thành Vân</v>
          </cell>
          <cell r="I5208" t="str">
            <v>40119</v>
          </cell>
        </row>
        <row r="5209">
          <cell r="G5209" t="str">
            <v>Xã Thành Tiến</v>
          </cell>
          <cell r="I5209" t="str">
            <v>40119</v>
          </cell>
        </row>
        <row r="5210">
          <cell r="G5210" t="str">
            <v>Xã Thạch Cẩm</v>
          </cell>
          <cell r="I5210" t="str">
            <v>40119</v>
          </cell>
        </row>
        <row r="5211">
          <cell r="G5211" t="str">
            <v xml:space="preserve">Xã Thạch Sơn  </v>
          </cell>
          <cell r="I5211" t="str">
            <v>40119</v>
          </cell>
        </row>
        <row r="5212">
          <cell r="G5212" t="str">
            <v xml:space="preserve">Xã Thạch Bình </v>
          </cell>
          <cell r="I5212" t="str">
            <v>40119</v>
          </cell>
        </row>
        <row r="5213">
          <cell r="G5213" t="str">
            <v>Xã Thạch Định</v>
          </cell>
          <cell r="I5213" t="str">
            <v>40119</v>
          </cell>
        </row>
        <row r="5214">
          <cell r="G5214" t="str">
            <v xml:space="preserve">Xã Thạch Đồng </v>
          </cell>
          <cell r="I5214" t="str">
            <v>40119</v>
          </cell>
        </row>
        <row r="5215">
          <cell r="G5215" t="str">
            <v>Xã Thạch Long</v>
          </cell>
          <cell r="I5215" t="str">
            <v>40119</v>
          </cell>
        </row>
        <row r="5216">
          <cell r="G5216" t="str">
            <v>Xã Thành Yên</v>
          </cell>
          <cell r="I5216" t="str">
            <v>40119</v>
          </cell>
        </row>
        <row r="5217">
          <cell r="G5217" t="str">
            <v>Xã Thành Vinh</v>
          </cell>
          <cell r="I5217" t="str">
            <v>40119</v>
          </cell>
        </row>
        <row r="5218">
          <cell r="G5218" t="str">
            <v xml:space="preserve">Xã Thành Công   </v>
          </cell>
          <cell r="I5218" t="str">
            <v>40119</v>
          </cell>
        </row>
        <row r="5219">
          <cell r="G5219" t="str">
            <v>Xã Thành Tân</v>
          </cell>
          <cell r="I5219" t="str">
            <v>40119</v>
          </cell>
        </row>
        <row r="5220">
          <cell r="G5220" t="str">
            <v>Xã Thành Trực</v>
          </cell>
          <cell r="I5220" t="str">
            <v>40119</v>
          </cell>
        </row>
        <row r="5221">
          <cell r="G5221" t="str">
            <v>Xã Thành Tâm</v>
          </cell>
          <cell r="I5221" t="str">
            <v>40119</v>
          </cell>
        </row>
        <row r="5222">
          <cell r="G5222" t="str">
            <v>Xã Thành Thọ</v>
          </cell>
          <cell r="I5222" t="str">
            <v>40119</v>
          </cell>
        </row>
        <row r="5223">
          <cell r="G5223" t="str">
            <v xml:space="preserve">Xã Thành Long </v>
          </cell>
          <cell r="I5223" t="str">
            <v>40119</v>
          </cell>
        </row>
        <row r="5224">
          <cell r="G5224" t="str">
            <v>Xã Thành Kim</v>
          </cell>
          <cell r="I5224" t="str">
            <v>40119</v>
          </cell>
        </row>
        <row r="5225">
          <cell r="G5225" t="str">
            <v>Xã Thành Hưng</v>
          </cell>
          <cell r="I5225" t="str">
            <v>40119</v>
          </cell>
        </row>
        <row r="5226">
          <cell r="G5226" t="str">
            <v>Xã Ngọc Trạo</v>
          </cell>
          <cell r="I5226" t="str">
            <v>40119</v>
          </cell>
        </row>
        <row r="5227">
          <cell r="G5227" t="str">
            <v>Thị trấn Vân Du</v>
          </cell>
          <cell r="I5227" t="str">
            <v>40119</v>
          </cell>
        </row>
        <row r="5228">
          <cell r="G5228" t="str">
            <v>Xã Thạch Tân</v>
          </cell>
          <cell r="I5228" t="str">
            <v>40119</v>
          </cell>
        </row>
        <row r="5229">
          <cell r="G5229" t="str">
            <v xml:space="preserve">Xã Thạch Lâm </v>
          </cell>
          <cell r="I5229" t="str">
            <v>40119</v>
          </cell>
        </row>
        <row r="5230">
          <cell r="G5230" t="str">
            <v>Xã Thạch Tượng</v>
          </cell>
          <cell r="I5230" t="str">
            <v>40119</v>
          </cell>
        </row>
        <row r="5231">
          <cell r="G5231" t="str">
            <v xml:space="preserve">Xã Quang Trung          </v>
          </cell>
          <cell r="I5231" t="str">
            <v>40121</v>
          </cell>
        </row>
        <row r="5232">
          <cell r="G5232" t="str">
            <v>Xã Nguyệt ấn</v>
          </cell>
          <cell r="I5232" t="str">
            <v>40121</v>
          </cell>
        </row>
        <row r="5233">
          <cell r="G5233" t="str">
            <v>Xã Thúy Sơn</v>
          </cell>
          <cell r="I5233" t="str">
            <v>40121</v>
          </cell>
        </row>
        <row r="5234">
          <cell r="G5234" t="str">
            <v xml:space="preserve">Xã Ngọc Khê </v>
          </cell>
          <cell r="I5234" t="str">
            <v>40121</v>
          </cell>
        </row>
        <row r="5235">
          <cell r="G5235" t="str">
            <v xml:space="preserve">Xã Ngọc Sơn    </v>
          </cell>
          <cell r="I5235" t="str">
            <v>40121</v>
          </cell>
        </row>
        <row r="5236">
          <cell r="G5236" t="str">
            <v>Xã Phùng Giáo</v>
          </cell>
          <cell r="I5236" t="str">
            <v>40121</v>
          </cell>
        </row>
        <row r="5237">
          <cell r="G5237" t="str">
            <v>Xã Kiên Thọ</v>
          </cell>
          <cell r="I5237" t="str">
            <v>40121</v>
          </cell>
        </row>
        <row r="5238">
          <cell r="G5238" t="str">
            <v>Thị trấn Ngọc Lặc</v>
          </cell>
          <cell r="I5238" t="str">
            <v>40121</v>
          </cell>
        </row>
        <row r="5239">
          <cell r="G5239" t="str">
            <v xml:space="preserve">Xã Lam Sơn  </v>
          </cell>
          <cell r="I5239" t="str">
            <v>40121</v>
          </cell>
        </row>
        <row r="5240">
          <cell r="G5240" t="str">
            <v xml:space="preserve">Xã Mỹ Tân </v>
          </cell>
          <cell r="I5240" t="str">
            <v>40121</v>
          </cell>
        </row>
        <row r="5241">
          <cell r="G5241" t="str">
            <v>Xã Thạch Lập</v>
          </cell>
          <cell r="I5241" t="str">
            <v>40121</v>
          </cell>
        </row>
        <row r="5242">
          <cell r="G5242" t="str">
            <v>Xã Vân Am</v>
          </cell>
          <cell r="I5242" t="str">
            <v>40121</v>
          </cell>
        </row>
        <row r="5243">
          <cell r="G5243" t="str">
            <v>Xã Cao Ngọc</v>
          </cell>
          <cell r="I5243" t="str">
            <v>40121</v>
          </cell>
        </row>
        <row r="5244">
          <cell r="G5244" t="str">
            <v xml:space="preserve">Xã Đồng Thịnh   </v>
          </cell>
          <cell r="I5244" t="str">
            <v>40121</v>
          </cell>
        </row>
        <row r="5245">
          <cell r="G5245" t="str">
            <v xml:space="preserve">Xã Ngọc Liên </v>
          </cell>
          <cell r="I5245" t="str">
            <v>40121</v>
          </cell>
        </row>
        <row r="5246">
          <cell r="G5246" t="str">
            <v>Xã Lộc Thịnh</v>
          </cell>
          <cell r="I5246" t="str">
            <v>40121</v>
          </cell>
        </row>
        <row r="5247">
          <cell r="G5247" t="str">
            <v>Xã Cao Thịnh</v>
          </cell>
          <cell r="I5247" t="str">
            <v>40121</v>
          </cell>
        </row>
        <row r="5248">
          <cell r="G5248" t="str">
            <v>Xã Ngọc Trung</v>
          </cell>
          <cell r="I5248" t="str">
            <v>40121</v>
          </cell>
        </row>
        <row r="5249">
          <cell r="G5249" t="str">
            <v>Xã Phùng Minh</v>
          </cell>
          <cell r="I5249" t="str">
            <v>40121</v>
          </cell>
        </row>
        <row r="5250">
          <cell r="G5250" t="str">
            <v xml:space="preserve">Xã Phúc Thịnh </v>
          </cell>
          <cell r="I5250" t="str">
            <v>40121</v>
          </cell>
        </row>
        <row r="5251">
          <cell r="G5251" t="str">
            <v xml:space="preserve">Xã Minh Tiến      </v>
          </cell>
          <cell r="I5251" t="str">
            <v>40121</v>
          </cell>
        </row>
        <row r="5252">
          <cell r="G5252" t="str">
            <v xml:space="preserve">Xã Minh Sơn  </v>
          </cell>
          <cell r="I5252" t="str">
            <v>40121</v>
          </cell>
        </row>
        <row r="5253">
          <cell r="G5253" t="str">
            <v>Xã Ngọc Phụng</v>
          </cell>
          <cell r="I5253" t="str">
            <v>40123</v>
          </cell>
        </row>
        <row r="5254">
          <cell r="G5254" t="str">
            <v xml:space="preserve">Xã Xuân Lộc </v>
          </cell>
          <cell r="I5254" t="str">
            <v>40123</v>
          </cell>
        </row>
        <row r="5255">
          <cell r="G5255" t="str">
            <v>Xã Thọ Thanh</v>
          </cell>
          <cell r="I5255" t="str">
            <v>40123</v>
          </cell>
        </row>
        <row r="5256">
          <cell r="G5256" t="str">
            <v>Xã Xuân Cao</v>
          </cell>
          <cell r="I5256" t="str">
            <v>40123</v>
          </cell>
        </row>
        <row r="5257">
          <cell r="G5257" t="str">
            <v>Xã Bát Mọt</v>
          </cell>
          <cell r="I5257" t="str">
            <v>40123</v>
          </cell>
        </row>
        <row r="5258">
          <cell r="G5258" t="str">
            <v>Xã Xuân Lẹ</v>
          </cell>
          <cell r="I5258" t="str">
            <v>40123</v>
          </cell>
        </row>
        <row r="5259">
          <cell r="G5259" t="str">
            <v>Thị trấn Thường Xuân</v>
          </cell>
          <cell r="I5259" t="str">
            <v>40123</v>
          </cell>
        </row>
        <row r="5260">
          <cell r="G5260" t="str">
            <v xml:space="preserve">Xã Yên Nhân  </v>
          </cell>
          <cell r="I5260" t="str">
            <v>40123</v>
          </cell>
        </row>
        <row r="5261">
          <cell r="G5261" t="str">
            <v>Xã Vạn Xuân</v>
          </cell>
          <cell r="I5261" t="str">
            <v>40123</v>
          </cell>
        </row>
        <row r="5262">
          <cell r="G5262" t="str">
            <v xml:space="preserve">Xã Lương Sơn   </v>
          </cell>
          <cell r="I5262" t="str">
            <v>40123</v>
          </cell>
        </row>
        <row r="5263">
          <cell r="G5263" t="str">
            <v>Xã Luận Thành</v>
          </cell>
          <cell r="I5263" t="str">
            <v>40123</v>
          </cell>
        </row>
        <row r="5264">
          <cell r="G5264" t="str">
            <v>Xã Luận Khê</v>
          </cell>
          <cell r="I5264" t="str">
            <v>40123</v>
          </cell>
        </row>
        <row r="5265">
          <cell r="G5265" t="str">
            <v>Xã Xuân Thắng</v>
          </cell>
          <cell r="I5265" t="str">
            <v>40123</v>
          </cell>
        </row>
        <row r="5266">
          <cell r="G5266" t="str">
            <v xml:space="preserve">Xã Xuân Cẩm </v>
          </cell>
          <cell r="I5266" t="str">
            <v>40123</v>
          </cell>
        </row>
        <row r="5267">
          <cell r="G5267" t="str">
            <v xml:space="preserve">Xã Xuân Dương   </v>
          </cell>
          <cell r="I5267" t="str">
            <v>40123</v>
          </cell>
        </row>
        <row r="5268">
          <cell r="G5268" t="str">
            <v>Xã Xuân Chinh</v>
          </cell>
          <cell r="I5268" t="str">
            <v>40123</v>
          </cell>
        </row>
        <row r="5269">
          <cell r="G5269" t="str">
            <v xml:space="preserve">Xã Tân Thành         </v>
          </cell>
          <cell r="I5269" t="str">
            <v>40123</v>
          </cell>
        </row>
        <row r="5270">
          <cell r="G5270" t="str">
            <v xml:space="preserve">Xã Thanh Lâm   </v>
          </cell>
          <cell r="I5270" t="str">
            <v>40125</v>
          </cell>
        </row>
        <row r="5271">
          <cell r="G5271" t="str">
            <v>Thị trấn Yên Cát</v>
          </cell>
          <cell r="I5271" t="str">
            <v>40125</v>
          </cell>
        </row>
        <row r="5272">
          <cell r="G5272" t="str">
            <v>Xã Bãi Trành</v>
          </cell>
          <cell r="I5272" t="str">
            <v>40125</v>
          </cell>
        </row>
        <row r="5273">
          <cell r="G5273" t="str">
            <v>Xã Xuân Quỳ</v>
          </cell>
          <cell r="I5273" t="str">
            <v>40125</v>
          </cell>
        </row>
        <row r="5274">
          <cell r="G5274" t="str">
            <v xml:space="preserve">Xã Tân Bình  </v>
          </cell>
          <cell r="I5274" t="str">
            <v>40125</v>
          </cell>
        </row>
        <row r="5275">
          <cell r="G5275" t="str">
            <v>Xã Thanh Hòa</v>
          </cell>
          <cell r="I5275" t="str">
            <v>40125</v>
          </cell>
        </row>
        <row r="5276">
          <cell r="G5276" t="str">
            <v xml:space="preserve">Xã Thanh Sơn     </v>
          </cell>
          <cell r="I5276" t="str">
            <v>40125</v>
          </cell>
        </row>
        <row r="5277">
          <cell r="G5277" t="str">
            <v>Xã Thượng Ninh</v>
          </cell>
          <cell r="I5277" t="str">
            <v>40125</v>
          </cell>
        </row>
        <row r="5278">
          <cell r="G5278" t="str">
            <v xml:space="preserve">Xã Thanh Phong </v>
          </cell>
          <cell r="I5278" t="str">
            <v>40125</v>
          </cell>
        </row>
        <row r="5279">
          <cell r="G5279" t="str">
            <v xml:space="preserve">Xã Xuân Hòa     </v>
          </cell>
          <cell r="I5279" t="str">
            <v>40125</v>
          </cell>
        </row>
        <row r="5280">
          <cell r="G5280" t="str">
            <v>Xã Xuân Bình</v>
          </cell>
          <cell r="I5280" t="str">
            <v>40125</v>
          </cell>
        </row>
        <row r="5281">
          <cell r="G5281" t="str">
            <v>Xã Hóa Quỳ</v>
          </cell>
          <cell r="I5281" t="str">
            <v>40125</v>
          </cell>
        </row>
        <row r="5282">
          <cell r="G5282" t="str">
            <v>Xã Yên Lễ</v>
          </cell>
          <cell r="I5282" t="str">
            <v>40125</v>
          </cell>
        </row>
        <row r="5283">
          <cell r="G5283" t="str">
            <v>Xã Cát Vân</v>
          </cell>
          <cell r="I5283" t="str">
            <v>40125</v>
          </cell>
        </row>
        <row r="5284">
          <cell r="G5284" t="str">
            <v>Xã Cát Tân</v>
          </cell>
          <cell r="I5284" t="str">
            <v>40125</v>
          </cell>
        </row>
        <row r="5285">
          <cell r="G5285" t="str">
            <v>Xã Bình Lương</v>
          </cell>
          <cell r="I5285" t="str">
            <v>40125</v>
          </cell>
        </row>
        <row r="5286">
          <cell r="G5286" t="str">
            <v>Xã Thanh Quân</v>
          </cell>
          <cell r="I5286" t="str">
            <v>40125</v>
          </cell>
        </row>
        <row r="5287">
          <cell r="G5287" t="str">
            <v xml:space="preserve">Xã Thanh Xuân   </v>
          </cell>
          <cell r="I5287" t="str">
            <v>40125</v>
          </cell>
        </row>
        <row r="5288">
          <cell r="G5288" t="str">
            <v xml:space="preserve">Xã Phú Nhuận  </v>
          </cell>
          <cell r="I5288" t="str">
            <v>40127</v>
          </cell>
        </row>
        <row r="5289">
          <cell r="G5289" t="str">
            <v>Xã Xuân Khang</v>
          </cell>
          <cell r="I5289" t="str">
            <v>40127</v>
          </cell>
        </row>
        <row r="5290">
          <cell r="G5290" t="str">
            <v>Xã Xuân Thái</v>
          </cell>
          <cell r="I5290" t="str">
            <v>40127</v>
          </cell>
        </row>
        <row r="5291">
          <cell r="G5291" t="str">
            <v>Xã Phúc Đường</v>
          </cell>
          <cell r="I5291" t="str">
            <v>40127</v>
          </cell>
        </row>
        <row r="5292">
          <cell r="G5292" t="str">
            <v>Thị trấn Bến Sung</v>
          </cell>
          <cell r="I5292" t="str">
            <v>40127</v>
          </cell>
        </row>
        <row r="5293">
          <cell r="G5293" t="str">
            <v>Xã Cán Khê</v>
          </cell>
          <cell r="I5293" t="str">
            <v>40127</v>
          </cell>
        </row>
        <row r="5294">
          <cell r="G5294" t="str">
            <v>Xã Xuân Du</v>
          </cell>
          <cell r="I5294" t="str">
            <v>40127</v>
          </cell>
        </row>
        <row r="5295">
          <cell r="G5295" t="str">
            <v>Xã Xuân Thọ</v>
          </cell>
          <cell r="I5295" t="str">
            <v>40127</v>
          </cell>
        </row>
        <row r="5296">
          <cell r="G5296" t="str">
            <v>Xã Phượng Nghi</v>
          </cell>
          <cell r="I5296" t="str">
            <v>40127</v>
          </cell>
        </row>
        <row r="5297">
          <cell r="G5297" t="str">
            <v>Xã Mậu Lâm</v>
          </cell>
          <cell r="I5297" t="str">
            <v>40127</v>
          </cell>
        </row>
        <row r="5298">
          <cell r="G5298" t="str">
            <v xml:space="preserve">Xã Hải Long </v>
          </cell>
          <cell r="I5298" t="str">
            <v>40127</v>
          </cell>
        </row>
        <row r="5299">
          <cell r="G5299" t="str">
            <v xml:space="preserve">Xã Hải Vân </v>
          </cell>
          <cell r="I5299" t="str">
            <v>40127</v>
          </cell>
        </row>
        <row r="5300">
          <cell r="G5300" t="str">
            <v>Xã Xuân Phúc</v>
          </cell>
          <cell r="I5300" t="str">
            <v>40127</v>
          </cell>
        </row>
        <row r="5301">
          <cell r="G5301" t="str">
            <v xml:space="preserve">Xã Yên Thọ  </v>
          </cell>
          <cell r="I5301" t="str">
            <v>40127</v>
          </cell>
        </row>
        <row r="5302">
          <cell r="G5302" t="str">
            <v xml:space="preserve">Xã Yên Lạc   </v>
          </cell>
          <cell r="I5302" t="str">
            <v>40127</v>
          </cell>
        </row>
        <row r="5303">
          <cell r="G5303" t="str">
            <v xml:space="preserve">Xã Thanh Tân  </v>
          </cell>
          <cell r="I5303" t="str">
            <v>40127</v>
          </cell>
        </row>
        <row r="5304">
          <cell r="G5304" t="str">
            <v>Xã Thanh Kỳ</v>
          </cell>
          <cell r="I5304" t="str">
            <v>40127</v>
          </cell>
        </row>
        <row r="5305">
          <cell r="G5305" t="str">
            <v xml:space="preserve">Xã Vĩnh Long </v>
          </cell>
          <cell r="I5305" t="str">
            <v>40129</v>
          </cell>
        </row>
        <row r="5306">
          <cell r="G5306" t="str">
            <v xml:space="preserve">Xã Vĩnh Quang  </v>
          </cell>
          <cell r="I5306" t="str">
            <v>40129</v>
          </cell>
        </row>
        <row r="5307">
          <cell r="G5307" t="str">
            <v xml:space="preserve">Xã Vĩnh Phúc </v>
          </cell>
          <cell r="I5307" t="str">
            <v>40129</v>
          </cell>
        </row>
        <row r="5308">
          <cell r="G5308" t="str">
            <v xml:space="preserve">Xã Vĩnh Hòa </v>
          </cell>
          <cell r="I5308" t="str">
            <v>40129</v>
          </cell>
        </row>
        <row r="5309">
          <cell r="G5309" t="str">
            <v xml:space="preserve">Xã Vĩnh Thịnh </v>
          </cell>
          <cell r="I5309" t="str">
            <v>40129</v>
          </cell>
        </row>
        <row r="5310">
          <cell r="G5310" t="str">
            <v xml:space="preserve">Thị trấn Vĩnh Lộc </v>
          </cell>
          <cell r="I5310" t="str">
            <v>40129</v>
          </cell>
        </row>
        <row r="5311">
          <cell r="G5311" t="str">
            <v>Xã Vĩnh Thành</v>
          </cell>
          <cell r="I5311" t="str">
            <v>40129</v>
          </cell>
        </row>
        <row r="5312">
          <cell r="G5312" t="str">
            <v xml:space="preserve">Xã Vĩnh Yên   </v>
          </cell>
          <cell r="I5312" t="str">
            <v>40129</v>
          </cell>
        </row>
        <row r="5313">
          <cell r="G5313" t="str">
            <v xml:space="preserve">Xã Vĩnh Tiến   </v>
          </cell>
          <cell r="I5313" t="str">
            <v>40129</v>
          </cell>
        </row>
        <row r="5314">
          <cell r="G5314" t="str">
            <v>Xã Vĩnh Hưng</v>
          </cell>
          <cell r="I5314" t="str">
            <v>40129</v>
          </cell>
        </row>
        <row r="5315">
          <cell r="G5315" t="str">
            <v>Xã Vĩnh Minh</v>
          </cell>
          <cell r="I5315" t="str">
            <v>40129</v>
          </cell>
        </row>
        <row r="5316">
          <cell r="G5316" t="str">
            <v>Xã Vĩnh Khang</v>
          </cell>
          <cell r="I5316" t="str">
            <v>40129</v>
          </cell>
        </row>
        <row r="5317">
          <cell r="G5317" t="str">
            <v>Xã Vĩnh Hùng</v>
          </cell>
          <cell r="I5317" t="str">
            <v>40129</v>
          </cell>
        </row>
        <row r="5318">
          <cell r="G5318" t="str">
            <v>Xã Vĩnh Tân</v>
          </cell>
          <cell r="I5318" t="str">
            <v>40129</v>
          </cell>
        </row>
        <row r="5319">
          <cell r="G5319" t="str">
            <v xml:space="preserve">Xã Vĩnh Ninh </v>
          </cell>
          <cell r="I5319" t="str">
            <v>40129</v>
          </cell>
        </row>
        <row r="5320">
          <cell r="G5320" t="str">
            <v xml:space="preserve">Xã Vĩnh An </v>
          </cell>
          <cell r="I5320" t="str">
            <v>40129</v>
          </cell>
        </row>
        <row r="5321">
          <cell r="G5321" t="str">
            <v>Xã Hà Vinh</v>
          </cell>
          <cell r="I5321" t="str">
            <v>40131</v>
          </cell>
        </row>
        <row r="5322">
          <cell r="G5322" t="str">
            <v>Xã Hà Ngọc</v>
          </cell>
          <cell r="I5322" t="str">
            <v>40131</v>
          </cell>
        </row>
        <row r="5323">
          <cell r="G5323" t="str">
            <v xml:space="preserve">Xã Hà Châu </v>
          </cell>
          <cell r="I5323" t="str">
            <v>40131</v>
          </cell>
        </row>
        <row r="5324">
          <cell r="G5324" t="str">
            <v>Thị trấn Hà Trung</v>
          </cell>
          <cell r="I5324" t="str">
            <v>40131</v>
          </cell>
        </row>
        <row r="5325">
          <cell r="G5325" t="str">
            <v>Xã Hà Vân</v>
          </cell>
          <cell r="I5325" t="str">
            <v>40131</v>
          </cell>
        </row>
        <row r="5326">
          <cell r="G5326" t="str">
            <v>Xã Hà Dương</v>
          </cell>
          <cell r="I5326" t="str">
            <v>40131</v>
          </cell>
        </row>
        <row r="5327">
          <cell r="G5327" t="str">
            <v>Xã Hà Ninh</v>
          </cell>
          <cell r="I5327" t="str">
            <v>40131</v>
          </cell>
        </row>
        <row r="5328">
          <cell r="G5328" t="str">
            <v>Xã Hà Lĩnh</v>
          </cell>
          <cell r="I5328" t="str">
            <v>40131</v>
          </cell>
        </row>
        <row r="5329">
          <cell r="G5329" t="str">
            <v>Xã Hà Bình</v>
          </cell>
          <cell r="I5329" t="str">
            <v>40131</v>
          </cell>
        </row>
        <row r="5330">
          <cell r="G5330" t="str">
            <v>Xã Hà Thái</v>
          </cell>
          <cell r="I5330" t="str">
            <v>40131</v>
          </cell>
        </row>
        <row r="5331">
          <cell r="G5331" t="str">
            <v>Xã Hà Long</v>
          </cell>
          <cell r="I5331" t="str">
            <v>40131</v>
          </cell>
        </row>
        <row r="5332">
          <cell r="G5332" t="str">
            <v>Xã Hà Bắc</v>
          </cell>
          <cell r="I5332" t="str">
            <v>40131</v>
          </cell>
        </row>
        <row r="5333">
          <cell r="G5333" t="str">
            <v>Xã Hà Yên</v>
          </cell>
          <cell r="I5333" t="str">
            <v>40131</v>
          </cell>
        </row>
        <row r="5334">
          <cell r="G5334" t="str">
            <v xml:space="preserve">Xã Hà Thanh </v>
          </cell>
          <cell r="I5334" t="str">
            <v>40131</v>
          </cell>
        </row>
        <row r="5335">
          <cell r="G5335" t="str">
            <v>Xã Hà Giang</v>
          </cell>
          <cell r="I5335" t="str">
            <v>40131</v>
          </cell>
        </row>
        <row r="5336">
          <cell r="G5336" t="str">
            <v>Xã Hà Phú</v>
          </cell>
          <cell r="I5336" t="str">
            <v>40131</v>
          </cell>
        </row>
        <row r="5337">
          <cell r="G5337" t="str">
            <v>Xã Hà Phong</v>
          </cell>
          <cell r="I5337" t="str">
            <v>40131</v>
          </cell>
        </row>
        <row r="5338">
          <cell r="G5338" t="str">
            <v>Xã Hà Lâm</v>
          </cell>
          <cell r="I5338" t="str">
            <v>40131</v>
          </cell>
        </row>
        <row r="5339">
          <cell r="G5339" t="str">
            <v>Xã Hà Sơn</v>
          </cell>
          <cell r="I5339" t="str">
            <v>40131</v>
          </cell>
        </row>
        <row r="5340">
          <cell r="G5340" t="str">
            <v>Xã Hà Đông</v>
          </cell>
          <cell r="I5340" t="str">
            <v>40131</v>
          </cell>
        </row>
        <row r="5341">
          <cell r="G5341" t="str">
            <v>Xã Hà Tân</v>
          </cell>
          <cell r="I5341" t="str">
            <v>40131</v>
          </cell>
        </row>
        <row r="5342">
          <cell r="G5342" t="str">
            <v>Xã Hà Tiến</v>
          </cell>
          <cell r="I5342" t="str">
            <v>40131</v>
          </cell>
        </row>
        <row r="5343">
          <cell r="G5343" t="str">
            <v>Xã Hà Lai</v>
          </cell>
          <cell r="I5343" t="str">
            <v>40131</v>
          </cell>
        </row>
        <row r="5344">
          <cell r="G5344" t="str">
            <v>Xã Hà Toại</v>
          </cell>
          <cell r="I5344" t="str">
            <v>40131</v>
          </cell>
        </row>
        <row r="5345">
          <cell r="G5345" t="str">
            <v>Xã Hà Hải</v>
          </cell>
          <cell r="I5345" t="str">
            <v>40131</v>
          </cell>
        </row>
        <row r="5346">
          <cell r="G5346" t="str">
            <v>Xã Nga Tiến</v>
          </cell>
          <cell r="I5346" t="str">
            <v>40133</v>
          </cell>
        </row>
        <row r="5347">
          <cell r="G5347" t="str">
            <v>Xã Nga An</v>
          </cell>
          <cell r="I5347" t="str">
            <v>40133</v>
          </cell>
        </row>
        <row r="5348">
          <cell r="G5348" t="str">
            <v>Xã Ba Đình</v>
          </cell>
          <cell r="I5348" t="str">
            <v>40133</v>
          </cell>
        </row>
        <row r="5349">
          <cell r="G5349" t="str">
            <v>Xã Nga Thiện</v>
          </cell>
          <cell r="I5349" t="str">
            <v>40133</v>
          </cell>
        </row>
        <row r="5350">
          <cell r="G5350" t="str">
            <v>Xã Nga Trung</v>
          </cell>
          <cell r="I5350" t="str">
            <v>40133</v>
          </cell>
        </row>
        <row r="5351">
          <cell r="G5351" t="str">
            <v>Xã Nga Mỹ</v>
          </cell>
          <cell r="I5351" t="str">
            <v>40133</v>
          </cell>
        </row>
        <row r="5352">
          <cell r="G5352" t="str">
            <v>Xã Nga Thành</v>
          </cell>
          <cell r="I5352" t="str">
            <v>40133</v>
          </cell>
        </row>
        <row r="5353">
          <cell r="G5353" t="str">
            <v>Xã Nga Tân</v>
          </cell>
          <cell r="I5353" t="str">
            <v>40133</v>
          </cell>
        </row>
        <row r="5354">
          <cell r="G5354" t="str">
            <v>Xã Nga Thạch</v>
          </cell>
          <cell r="I5354" t="str">
            <v>40133</v>
          </cell>
        </row>
        <row r="5355">
          <cell r="G5355" t="str">
            <v>Thị trấn Nga Sơn</v>
          </cell>
          <cell r="I5355" t="str">
            <v>40133</v>
          </cell>
        </row>
        <row r="5356">
          <cell r="G5356" t="str">
            <v>Xã Nga Vịnh</v>
          </cell>
          <cell r="I5356" t="str">
            <v>40133</v>
          </cell>
        </row>
        <row r="5357">
          <cell r="G5357" t="str">
            <v>Xã Nga Văn</v>
          </cell>
          <cell r="I5357" t="str">
            <v>40133</v>
          </cell>
        </row>
        <row r="5358">
          <cell r="G5358" t="str">
            <v>Xã Nga Lĩnh</v>
          </cell>
          <cell r="I5358" t="str">
            <v>40133</v>
          </cell>
        </row>
        <row r="5359">
          <cell r="G5359" t="str">
            <v>Xã Nga Nhân</v>
          </cell>
          <cell r="I5359" t="str">
            <v>40133</v>
          </cell>
        </row>
        <row r="5360">
          <cell r="G5360" t="str">
            <v>Xã Nga Bạch</v>
          </cell>
          <cell r="I5360" t="str">
            <v>40133</v>
          </cell>
        </row>
        <row r="5361">
          <cell r="G5361" t="str">
            <v>Xã Nga Thanh</v>
          </cell>
          <cell r="I5361" t="str">
            <v>40133</v>
          </cell>
        </row>
        <row r="5362">
          <cell r="G5362" t="str">
            <v>Xã Nga Hưng</v>
          </cell>
          <cell r="I5362" t="str">
            <v>40133</v>
          </cell>
        </row>
        <row r="5363">
          <cell r="G5363" t="str">
            <v>Xã Nga Yên</v>
          </cell>
          <cell r="I5363" t="str">
            <v>40133</v>
          </cell>
        </row>
        <row r="5364">
          <cell r="G5364" t="str">
            <v>Xã Nga Giáp</v>
          </cell>
          <cell r="I5364" t="str">
            <v>40133</v>
          </cell>
        </row>
        <row r="5365">
          <cell r="G5365" t="str">
            <v>Xã Nga Hải</v>
          </cell>
          <cell r="I5365" t="str">
            <v>40133</v>
          </cell>
        </row>
        <row r="5366">
          <cell r="G5366" t="str">
            <v>Xã Nga Phú</v>
          </cell>
          <cell r="I5366" t="str">
            <v>40133</v>
          </cell>
        </row>
        <row r="5367">
          <cell r="G5367" t="str">
            <v>Xã Nga Điền</v>
          </cell>
          <cell r="I5367" t="str">
            <v>40133</v>
          </cell>
        </row>
        <row r="5368">
          <cell r="G5368" t="str">
            <v>Xã Nga Thủy</v>
          </cell>
          <cell r="I5368" t="str">
            <v>40133</v>
          </cell>
        </row>
        <row r="5369">
          <cell r="G5369" t="str">
            <v>Xã Nga Liên</v>
          </cell>
          <cell r="I5369" t="str">
            <v>40133</v>
          </cell>
        </row>
        <row r="5370">
          <cell r="G5370" t="str">
            <v>Xã Nga Thái</v>
          </cell>
          <cell r="I5370" t="str">
            <v>40133</v>
          </cell>
        </row>
        <row r="5371">
          <cell r="G5371" t="str">
            <v>Xã Nga Thắng</v>
          </cell>
          <cell r="I5371" t="str">
            <v>40133</v>
          </cell>
        </row>
        <row r="5372">
          <cell r="G5372" t="str">
            <v>Xã Nga Trường</v>
          </cell>
          <cell r="I5372" t="str">
            <v>40133</v>
          </cell>
        </row>
        <row r="5373">
          <cell r="G5373" t="str">
            <v>Thị trấn Quán Lào</v>
          </cell>
          <cell r="I5373" t="str">
            <v>40135</v>
          </cell>
        </row>
        <row r="5374">
          <cell r="G5374" t="str">
            <v xml:space="preserve">Xã Yên Phong   </v>
          </cell>
          <cell r="I5374" t="str">
            <v>40135</v>
          </cell>
        </row>
        <row r="5375">
          <cell r="G5375" t="str">
            <v>Xã Định Công</v>
          </cell>
          <cell r="I5375" t="str">
            <v>40135</v>
          </cell>
        </row>
        <row r="5376">
          <cell r="G5376" t="str">
            <v xml:space="preserve">Xã Yên Phú      </v>
          </cell>
          <cell r="I5376" t="str">
            <v>40135</v>
          </cell>
        </row>
        <row r="5377">
          <cell r="G5377" t="str">
            <v>Xã Qúi Lộc</v>
          </cell>
          <cell r="I5377" t="str">
            <v>40135</v>
          </cell>
        </row>
        <row r="5378">
          <cell r="G5378" t="str">
            <v>Xã Yên Trường</v>
          </cell>
          <cell r="I5378" t="str">
            <v>40135</v>
          </cell>
        </row>
        <row r="5379">
          <cell r="G5379" t="str">
            <v>Xã Yên Hùng</v>
          </cell>
          <cell r="I5379" t="str">
            <v>40135</v>
          </cell>
        </row>
        <row r="5380">
          <cell r="G5380" t="str">
            <v>Xã Định Tăng</v>
          </cell>
          <cell r="I5380" t="str">
            <v>40135</v>
          </cell>
        </row>
        <row r="5381">
          <cell r="G5381" t="str">
            <v>Xã Định Tân</v>
          </cell>
          <cell r="I5381" t="str">
            <v>40135</v>
          </cell>
        </row>
        <row r="5382">
          <cell r="G5382" t="str">
            <v>Xã Định Tường</v>
          </cell>
          <cell r="I5382" t="str">
            <v>40135</v>
          </cell>
        </row>
        <row r="5383">
          <cell r="G5383" t="str">
            <v>Thị trấn Thống Nhất</v>
          </cell>
          <cell r="I5383" t="str">
            <v>40135</v>
          </cell>
        </row>
        <row r="5384">
          <cell r="G5384" t="str">
            <v xml:space="preserve">Xã Yên Lâm  </v>
          </cell>
          <cell r="I5384" t="str">
            <v>40135</v>
          </cell>
        </row>
        <row r="5385">
          <cell r="G5385" t="str">
            <v>Xã Yên Tâm</v>
          </cell>
          <cell r="I5385" t="str">
            <v>40135</v>
          </cell>
        </row>
        <row r="5386">
          <cell r="G5386" t="str">
            <v>Xã Yên Giang</v>
          </cell>
          <cell r="I5386" t="str">
            <v>40135</v>
          </cell>
        </row>
        <row r="5387">
          <cell r="G5387" t="str">
            <v xml:space="preserve">Xã Yên Thọ   </v>
          </cell>
          <cell r="I5387" t="str">
            <v>40135</v>
          </cell>
        </row>
        <row r="5388">
          <cell r="G5388" t="str">
            <v xml:space="preserve">Xã Yên Trung   </v>
          </cell>
          <cell r="I5388" t="str">
            <v>40135</v>
          </cell>
        </row>
        <row r="5389">
          <cell r="G5389" t="str">
            <v>Xã Yên Bái</v>
          </cell>
          <cell r="I5389" t="str">
            <v>40135</v>
          </cell>
        </row>
        <row r="5390">
          <cell r="G5390" t="str">
            <v xml:space="preserve">Xã Yên Thái  </v>
          </cell>
          <cell r="I5390" t="str">
            <v>40135</v>
          </cell>
        </row>
        <row r="5391">
          <cell r="G5391" t="str">
            <v xml:space="preserve">Xã Yên Thịnh  </v>
          </cell>
          <cell r="I5391" t="str">
            <v>40135</v>
          </cell>
        </row>
        <row r="5392">
          <cell r="G5392" t="str">
            <v xml:space="preserve">Xã Yên Ninh  </v>
          </cell>
          <cell r="I5392" t="str">
            <v>40135</v>
          </cell>
        </row>
        <row r="5393">
          <cell r="G5393" t="str">
            <v xml:space="preserve">Xã Yên Lạc    </v>
          </cell>
          <cell r="I5393" t="str">
            <v>40135</v>
          </cell>
        </row>
        <row r="5394">
          <cell r="G5394" t="str">
            <v>Xã Định Hòa</v>
          </cell>
          <cell r="I5394" t="str">
            <v>40135</v>
          </cell>
        </row>
        <row r="5395">
          <cell r="G5395" t="str">
            <v>Xã Định Thành</v>
          </cell>
          <cell r="I5395" t="str">
            <v>40135</v>
          </cell>
        </row>
        <row r="5396">
          <cell r="G5396" t="str">
            <v>Xã Định Tiến</v>
          </cell>
          <cell r="I5396" t="str">
            <v>40135</v>
          </cell>
        </row>
        <row r="5397">
          <cell r="G5397" t="str">
            <v>Xã Định Long</v>
          </cell>
          <cell r="I5397" t="str">
            <v>40135</v>
          </cell>
        </row>
        <row r="5398">
          <cell r="G5398" t="str">
            <v>Xã Định Liên</v>
          </cell>
          <cell r="I5398" t="str">
            <v>40135</v>
          </cell>
        </row>
        <row r="5399">
          <cell r="G5399" t="str">
            <v>Xã Định Hưng</v>
          </cell>
          <cell r="I5399" t="str">
            <v>40135</v>
          </cell>
        </row>
        <row r="5400">
          <cell r="G5400" t="str">
            <v>Xã Định Hải</v>
          </cell>
          <cell r="I5400" t="str">
            <v>40135</v>
          </cell>
        </row>
        <row r="5401">
          <cell r="G5401" t="str">
            <v>Xã Định Bình</v>
          </cell>
          <cell r="I5401" t="str">
            <v>40135</v>
          </cell>
        </row>
        <row r="5402">
          <cell r="G5402" t="str">
            <v>Thị trấn Sao Vàng</v>
          </cell>
          <cell r="I5402" t="str">
            <v>40137</v>
          </cell>
        </row>
        <row r="5403">
          <cell r="G5403" t="str">
            <v xml:space="preserve">Xã Xuân Hòa      </v>
          </cell>
          <cell r="I5403" t="str">
            <v>40137</v>
          </cell>
        </row>
        <row r="5404">
          <cell r="G5404" t="str">
            <v xml:space="preserve">Xã Xuân Phú    </v>
          </cell>
          <cell r="I5404" t="str">
            <v>40137</v>
          </cell>
        </row>
        <row r="5405">
          <cell r="G5405" t="str">
            <v>Xã Xuân Yên</v>
          </cell>
          <cell r="I5405" t="str">
            <v>40137</v>
          </cell>
        </row>
        <row r="5406">
          <cell r="G5406" t="str">
            <v>Thị trấn Thọ Xuân</v>
          </cell>
          <cell r="I5406" t="str">
            <v>40137</v>
          </cell>
        </row>
        <row r="5407">
          <cell r="G5407" t="str">
            <v xml:space="preserve">Xã Xuân Thành </v>
          </cell>
          <cell r="I5407" t="str">
            <v>40137</v>
          </cell>
        </row>
        <row r="5408">
          <cell r="G5408" t="str">
            <v xml:space="preserve">Xã Xuân Phong  </v>
          </cell>
          <cell r="I5408" t="str">
            <v>40137</v>
          </cell>
        </row>
        <row r="5409">
          <cell r="G5409" t="str">
            <v>Xã Thọ Hải</v>
          </cell>
          <cell r="I5409" t="str">
            <v>40137</v>
          </cell>
        </row>
        <row r="5410">
          <cell r="G5410" t="str">
            <v xml:space="preserve">Xã Xuân Sơn   </v>
          </cell>
          <cell r="I5410" t="str">
            <v>40137</v>
          </cell>
        </row>
        <row r="5411">
          <cell r="G5411" t="str">
            <v xml:space="preserve">Xã Quảng Phú  </v>
          </cell>
          <cell r="I5411" t="str">
            <v>40137</v>
          </cell>
        </row>
        <row r="5412">
          <cell r="G5412" t="str">
            <v xml:space="preserve">Xã Xuân Lai  </v>
          </cell>
          <cell r="I5412" t="str">
            <v>40137</v>
          </cell>
        </row>
        <row r="5413">
          <cell r="G5413" t="str">
            <v xml:space="preserve">Xã Xuân Tân  </v>
          </cell>
          <cell r="I5413" t="str">
            <v>40137</v>
          </cell>
        </row>
        <row r="5414">
          <cell r="G5414" t="str">
            <v>Xã Xuân Bái</v>
          </cell>
          <cell r="I5414" t="str">
            <v>40137</v>
          </cell>
        </row>
        <row r="5415">
          <cell r="G5415" t="str">
            <v xml:space="preserve">Xã Xuân Thắng </v>
          </cell>
          <cell r="I5415" t="str">
            <v>40137</v>
          </cell>
        </row>
        <row r="5416">
          <cell r="G5416" t="str">
            <v>Xã Xuân Lam</v>
          </cell>
          <cell r="I5416" t="str">
            <v>40137</v>
          </cell>
        </row>
        <row r="5417">
          <cell r="G5417" t="str">
            <v>Xã Xuân Thiên</v>
          </cell>
          <cell r="I5417" t="str">
            <v>40137</v>
          </cell>
        </row>
        <row r="5418">
          <cell r="G5418" t="str">
            <v>Xã Thọ Minh</v>
          </cell>
          <cell r="I5418" t="str">
            <v>40137</v>
          </cell>
        </row>
        <row r="5419">
          <cell r="G5419" t="str">
            <v xml:space="preserve">Xã Xuân Châu </v>
          </cell>
          <cell r="I5419" t="str">
            <v>40137</v>
          </cell>
        </row>
        <row r="5420">
          <cell r="G5420" t="str">
            <v>Xã Thọ Lập</v>
          </cell>
          <cell r="I5420" t="str">
            <v>40137</v>
          </cell>
        </row>
        <row r="5421">
          <cell r="G5421" t="str">
            <v>Xã Xuân Tín</v>
          </cell>
          <cell r="I5421" t="str">
            <v>40137</v>
          </cell>
        </row>
        <row r="5422">
          <cell r="G5422" t="str">
            <v xml:space="preserve">Xã Phú Yên </v>
          </cell>
          <cell r="I5422" t="str">
            <v>40137</v>
          </cell>
        </row>
        <row r="5423">
          <cell r="G5423" t="str">
            <v xml:space="preserve">Xã Xuân Lập </v>
          </cell>
          <cell r="I5423" t="str">
            <v>40137</v>
          </cell>
        </row>
        <row r="5424">
          <cell r="G5424" t="str">
            <v>Xã Thọ Thắng</v>
          </cell>
          <cell r="I5424" t="str">
            <v>40137</v>
          </cell>
        </row>
        <row r="5425">
          <cell r="G5425" t="str">
            <v xml:space="preserve">Xã Xuân Minh </v>
          </cell>
          <cell r="I5425" t="str">
            <v>40137</v>
          </cell>
        </row>
        <row r="5426">
          <cell r="G5426" t="str">
            <v xml:space="preserve">Xã Xuân Vinh </v>
          </cell>
          <cell r="I5426" t="str">
            <v>40137</v>
          </cell>
        </row>
        <row r="5427">
          <cell r="G5427" t="str">
            <v>Xã Thọ Trường</v>
          </cell>
          <cell r="I5427" t="str">
            <v>40137</v>
          </cell>
        </row>
        <row r="5428">
          <cell r="G5428" t="str">
            <v>Xã Thọ Xương</v>
          </cell>
          <cell r="I5428" t="str">
            <v>40137</v>
          </cell>
        </row>
        <row r="5429">
          <cell r="G5429" t="str">
            <v>Thị trấn Lam Sơn</v>
          </cell>
          <cell r="I5429" t="str">
            <v>40137</v>
          </cell>
        </row>
        <row r="5430">
          <cell r="G5430" t="str">
            <v>Xã Xuân Khánh</v>
          </cell>
          <cell r="I5430" t="str">
            <v>40137</v>
          </cell>
        </row>
        <row r="5431">
          <cell r="G5431" t="str">
            <v>Xã Thọ Nguyên</v>
          </cell>
          <cell r="I5431" t="str">
            <v>40137</v>
          </cell>
        </row>
        <row r="5432">
          <cell r="G5432" t="str">
            <v xml:space="preserve">Xã Hạnh Phúc </v>
          </cell>
          <cell r="I5432" t="str">
            <v>40137</v>
          </cell>
        </row>
        <row r="5433">
          <cell r="G5433" t="str">
            <v>Xã Bắc Lương</v>
          </cell>
          <cell r="I5433" t="str">
            <v>40137</v>
          </cell>
        </row>
        <row r="5434">
          <cell r="G5434" t="str">
            <v>Xã Nam Giang</v>
          </cell>
          <cell r="I5434" t="str">
            <v>40137</v>
          </cell>
        </row>
        <row r="5435">
          <cell r="G5435" t="str">
            <v xml:space="preserve">Xã Thọ Lộc </v>
          </cell>
          <cell r="I5435" t="str">
            <v>40137</v>
          </cell>
        </row>
        <row r="5436">
          <cell r="G5436" t="str">
            <v xml:space="preserve">Xã Xuân Trường </v>
          </cell>
          <cell r="I5436" t="str">
            <v>40137</v>
          </cell>
        </row>
        <row r="5437">
          <cell r="G5437" t="str">
            <v>Xã Tây Hồ</v>
          </cell>
          <cell r="I5437" t="str">
            <v>40137</v>
          </cell>
        </row>
        <row r="5438">
          <cell r="G5438" t="str">
            <v xml:space="preserve">Xã Xuân Giang  </v>
          </cell>
          <cell r="I5438" t="str">
            <v>40137</v>
          </cell>
        </row>
        <row r="5439">
          <cell r="G5439" t="str">
            <v xml:space="preserve">Xã Xuân Quang   </v>
          </cell>
          <cell r="I5439" t="str">
            <v>40137</v>
          </cell>
        </row>
        <row r="5440">
          <cell r="G5440" t="str">
            <v>Xã Xuân Hưng</v>
          </cell>
          <cell r="I5440" t="str">
            <v>40137</v>
          </cell>
        </row>
        <row r="5441">
          <cell r="G5441" t="str">
            <v>Xã Thọ Diên</v>
          </cell>
          <cell r="I5441" t="str">
            <v>40137</v>
          </cell>
        </row>
        <row r="5442">
          <cell r="G5442" t="str">
            <v>Xã Thọ Lâm</v>
          </cell>
          <cell r="I5442" t="str">
            <v>40137</v>
          </cell>
        </row>
        <row r="5443">
          <cell r="G5443" t="str">
            <v xml:space="preserve">Xã Tuy Lộc  </v>
          </cell>
          <cell r="I5443" t="str">
            <v>40139</v>
          </cell>
        </row>
        <row r="5444">
          <cell r="G5444" t="str">
            <v>Xã Hòa Lộc</v>
          </cell>
          <cell r="I5444" t="str">
            <v>40139</v>
          </cell>
        </row>
        <row r="5445">
          <cell r="G5445" t="str">
            <v>Xã Đồng Lộc</v>
          </cell>
          <cell r="I5445" t="str">
            <v>40139</v>
          </cell>
        </row>
        <row r="5446">
          <cell r="G5446" t="str">
            <v>Xã Tiến Lộc</v>
          </cell>
          <cell r="I5446" t="str">
            <v>40139</v>
          </cell>
        </row>
        <row r="5447">
          <cell r="G5447" t="str">
            <v>Xã Thành Lộc</v>
          </cell>
          <cell r="I5447" t="str">
            <v>40139</v>
          </cell>
        </row>
        <row r="5448">
          <cell r="G5448" t="str">
            <v>Xã Văn Lộc</v>
          </cell>
          <cell r="I5448" t="str">
            <v>40139</v>
          </cell>
        </row>
        <row r="5449">
          <cell r="G5449" t="str">
            <v>Xã Thịnh Lộc</v>
          </cell>
          <cell r="I5449" t="str">
            <v>40139</v>
          </cell>
        </row>
        <row r="5450">
          <cell r="G5450" t="str">
            <v xml:space="preserve">Xã Phú Lộc  </v>
          </cell>
          <cell r="I5450" t="str">
            <v>40139</v>
          </cell>
        </row>
        <row r="5451">
          <cell r="G5451" t="str">
            <v xml:space="preserve">Xã Hải Lộc </v>
          </cell>
          <cell r="I5451" t="str">
            <v>40139</v>
          </cell>
        </row>
        <row r="5452">
          <cell r="G5452" t="str">
            <v>Thị trấn Hậu Lộc</v>
          </cell>
          <cell r="I5452" t="str">
            <v>40139</v>
          </cell>
        </row>
        <row r="5453">
          <cell r="G5453" t="str">
            <v>Xã Đại Lộc</v>
          </cell>
          <cell r="I5453" t="str">
            <v>40139</v>
          </cell>
        </row>
        <row r="5454">
          <cell r="G5454" t="str">
            <v>Xã Triệu Lộc</v>
          </cell>
          <cell r="I5454" t="str">
            <v>40139</v>
          </cell>
        </row>
        <row r="5455">
          <cell r="G5455" t="str">
            <v>Xã Châu Lộc</v>
          </cell>
          <cell r="I5455" t="str">
            <v>40139</v>
          </cell>
        </row>
        <row r="5456">
          <cell r="G5456" t="str">
            <v>Xã Lộc Sơn</v>
          </cell>
          <cell r="I5456" t="str">
            <v>40139</v>
          </cell>
        </row>
        <row r="5457">
          <cell r="G5457" t="str">
            <v>Xã Cầu Lộc</v>
          </cell>
          <cell r="I5457" t="str">
            <v>40139</v>
          </cell>
        </row>
        <row r="5458">
          <cell r="G5458" t="str">
            <v>Xã Phong Lộc</v>
          </cell>
          <cell r="I5458" t="str">
            <v>40139</v>
          </cell>
        </row>
        <row r="5459">
          <cell r="G5459" t="str">
            <v xml:space="preserve">Xã Mỹ Lộc </v>
          </cell>
          <cell r="I5459" t="str">
            <v>40139</v>
          </cell>
        </row>
        <row r="5460">
          <cell r="G5460" t="str">
            <v>Xã Thuần Lộc</v>
          </cell>
          <cell r="I5460" t="str">
            <v>40139</v>
          </cell>
        </row>
        <row r="5461">
          <cell r="G5461" t="str">
            <v>Xã Lộc Tân</v>
          </cell>
          <cell r="I5461" t="str">
            <v>40139</v>
          </cell>
        </row>
        <row r="5462">
          <cell r="G5462" t="str">
            <v xml:space="preserve">Xã Xuân Lộc  </v>
          </cell>
          <cell r="I5462" t="str">
            <v>40139</v>
          </cell>
        </row>
        <row r="5463">
          <cell r="G5463" t="str">
            <v>Xã Hoa Lộc</v>
          </cell>
          <cell r="I5463" t="str">
            <v>40139</v>
          </cell>
        </row>
        <row r="5464">
          <cell r="G5464" t="str">
            <v>Xã Liên Lộc</v>
          </cell>
          <cell r="I5464" t="str">
            <v>40139</v>
          </cell>
        </row>
        <row r="5465">
          <cell r="G5465" t="str">
            <v>Xã Quang Lộc</v>
          </cell>
          <cell r="I5465" t="str">
            <v>40139</v>
          </cell>
        </row>
        <row r="5466">
          <cell r="G5466" t="str">
            <v>Xã Minh Lộc</v>
          </cell>
          <cell r="I5466" t="str">
            <v>40139</v>
          </cell>
        </row>
        <row r="5467">
          <cell r="G5467" t="str">
            <v>Xã Hưng Lộc</v>
          </cell>
          <cell r="I5467" t="str">
            <v>40139</v>
          </cell>
        </row>
        <row r="5468">
          <cell r="G5468" t="str">
            <v xml:space="preserve">Xã Đa Lộc </v>
          </cell>
          <cell r="I5468" t="str">
            <v>40139</v>
          </cell>
        </row>
        <row r="5469">
          <cell r="G5469" t="str">
            <v>Xã Ngư Lộc</v>
          </cell>
          <cell r="I5469" t="str">
            <v>40139</v>
          </cell>
        </row>
        <row r="5470">
          <cell r="G5470" t="str">
            <v>Xã Thiệu Long</v>
          </cell>
          <cell r="I5470" t="str">
            <v>40141</v>
          </cell>
        </row>
        <row r="5471">
          <cell r="G5471" t="str">
            <v>Xã Thiệu Minh</v>
          </cell>
          <cell r="I5471" t="str">
            <v>40141</v>
          </cell>
        </row>
        <row r="5472">
          <cell r="G5472" t="str">
            <v>Thị trấn Vạn Hà</v>
          </cell>
          <cell r="I5472" t="str">
            <v>40141</v>
          </cell>
        </row>
        <row r="5473">
          <cell r="G5473" t="str">
            <v>Xã Thiệu Công</v>
          </cell>
          <cell r="I5473" t="str">
            <v>40141</v>
          </cell>
        </row>
        <row r="5474">
          <cell r="G5474" t="str">
            <v>Xã Thiệu Duy</v>
          </cell>
          <cell r="I5474" t="str">
            <v>40141</v>
          </cell>
        </row>
        <row r="5475">
          <cell r="G5475" t="str">
            <v>Xã Thiệu Quang</v>
          </cell>
          <cell r="I5475" t="str">
            <v>40141</v>
          </cell>
        </row>
        <row r="5476">
          <cell r="G5476" t="str">
            <v>Xã Thiệu Hòa</v>
          </cell>
          <cell r="I5476" t="str">
            <v>40141</v>
          </cell>
        </row>
        <row r="5477">
          <cell r="G5477" t="str">
            <v>Xã Thiệu Lý</v>
          </cell>
          <cell r="I5477" t="str">
            <v>40141</v>
          </cell>
        </row>
        <row r="5478">
          <cell r="G5478" t="str">
            <v>Xã Thiệu Châu</v>
          </cell>
          <cell r="I5478" t="str">
            <v>40141</v>
          </cell>
        </row>
        <row r="5479">
          <cell r="G5479" t="str">
            <v>Xã Thiệu Ngọc</v>
          </cell>
          <cell r="I5479" t="str">
            <v>40141</v>
          </cell>
        </row>
        <row r="5480">
          <cell r="G5480" t="str">
            <v>Xã Thiệu Vũ</v>
          </cell>
          <cell r="I5480" t="str">
            <v>40141</v>
          </cell>
        </row>
        <row r="5481">
          <cell r="G5481" t="str">
            <v>Xã Thiệu Phúc</v>
          </cell>
          <cell r="I5481" t="str">
            <v>40141</v>
          </cell>
        </row>
        <row r="5482">
          <cell r="G5482" t="str">
            <v>Xã Thiệu Tiến</v>
          </cell>
          <cell r="I5482" t="str">
            <v>40141</v>
          </cell>
        </row>
        <row r="5483">
          <cell r="G5483" t="str">
            <v>Xã Thiệu Phú</v>
          </cell>
          <cell r="I5483" t="str">
            <v>40141</v>
          </cell>
        </row>
        <row r="5484">
          <cell r="G5484" t="str">
            <v>Xã Thiệu Giang</v>
          </cell>
          <cell r="I5484" t="str">
            <v>40141</v>
          </cell>
        </row>
        <row r="5485">
          <cell r="G5485" t="str">
            <v>Xã Thiệu Nguyên</v>
          </cell>
          <cell r="I5485" t="str">
            <v>40141</v>
          </cell>
        </row>
        <row r="5486">
          <cell r="G5486" t="str">
            <v>Xã Thiệu Hợp</v>
          </cell>
          <cell r="I5486" t="str">
            <v>40141</v>
          </cell>
        </row>
        <row r="5487">
          <cell r="G5487" t="str">
            <v>Xã Thiệu Thịnh</v>
          </cell>
          <cell r="I5487" t="str">
            <v>40141</v>
          </cell>
        </row>
        <row r="5488">
          <cell r="G5488" t="str">
            <v>Xã Thiệu Thành</v>
          </cell>
          <cell r="I5488" t="str">
            <v>40141</v>
          </cell>
        </row>
        <row r="5489">
          <cell r="G5489" t="str">
            <v>Xã Thiệu Toán</v>
          </cell>
          <cell r="I5489" t="str">
            <v>40141</v>
          </cell>
        </row>
        <row r="5490">
          <cell r="G5490" t="str">
            <v>Xã Thiệu Chính</v>
          </cell>
          <cell r="I5490" t="str">
            <v>40141</v>
          </cell>
        </row>
        <row r="5491">
          <cell r="G5491" t="str">
            <v>Xã Thiệu Tâm</v>
          </cell>
          <cell r="I5491" t="str">
            <v>40141</v>
          </cell>
        </row>
        <row r="5492">
          <cell r="G5492" t="str">
            <v>Xã Thiệu Viên</v>
          </cell>
          <cell r="I5492" t="str">
            <v>40141</v>
          </cell>
        </row>
        <row r="5493">
          <cell r="G5493" t="str">
            <v>Xã Thiệu Vận</v>
          </cell>
          <cell r="I5493" t="str">
            <v>40141</v>
          </cell>
        </row>
        <row r="5494">
          <cell r="G5494" t="str">
            <v>Xã Thiệu Trung</v>
          </cell>
          <cell r="I5494" t="str">
            <v>40141</v>
          </cell>
        </row>
        <row r="5495">
          <cell r="G5495" t="str">
            <v>Xã Thiệu Đô</v>
          </cell>
          <cell r="I5495" t="str">
            <v>40141</v>
          </cell>
        </row>
        <row r="5496">
          <cell r="G5496" t="str">
            <v>Xã Thiệu Giao</v>
          </cell>
          <cell r="I5496" t="str">
            <v>40141</v>
          </cell>
        </row>
        <row r="5497">
          <cell r="G5497" t="str">
            <v>Xã Thiệu Tân</v>
          </cell>
          <cell r="I5497" t="str">
            <v>40141</v>
          </cell>
        </row>
        <row r="5498">
          <cell r="G5498" t="str">
            <v>Xã Hoằng Trinh</v>
          </cell>
          <cell r="I5498" t="str">
            <v>40143</v>
          </cell>
        </row>
        <row r="5499">
          <cell r="G5499" t="str">
            <v>Xã Hoằng Trạch</v>
          </cell>
          <cell r="I5499" t="str">
            <v>40143</v>
          </cell>
        </row>
        <row r="5500">
          <cell r="G5500" t="str">
            <v>Xã Hoằng Phụ</v>
          </cell>
          <cell r="I5500" t="str">
            <v>40143</v>
          </cell>
        </row>
        <row r="5501">
          <cell r="G5501" t="str">
            <v>Xã Hoằng Phượng</v>
          </cell>
          <cell r="I5501" t="str">
            <v>40143</v>
          </cell>
        </row>
        <row r="5502">
          <cell r="G5502" t="str">
            <v>Xã Hoằng Giang</v>
          </cell>
          <cell r="I5502" t="str">
            <v>40143</v>
          </cell>
        </row>
        <row r="5503">
          <cell r="G5503" t="str">
            <v>Xã Hoằng Quý</v>
          </cell>
          <cell r="I5503" t="str">
            <v>40143</v>
          </cell>
        </row>
        <row r="5504">
          <cell r="G5504" t="str">
            <v>Xã Hoằng Minh</v>
          </cell>
          <cell r="I5504" t="str">
            <v>40143</v>
          </cell>
        </row>
        <row r="5505">
          <cell r="G5505" t="str">
            <v>Xã Hoằng Đạt</v>
          </cell>
          <cell r="I5505" t="str">
            <v>40143</v>
          </cell>
        </row>
        <row r="5506">
          <cell r="G5506" t="str">
            <v>Xã Hoằng Đồng</v>
          </cell>
          <cell r="I5506" t="str">
            <v>40143</v>
          </cell>
        </row>
        <row r="5507">
          <cell r="G5507" t="str">
            <v>Xã Hoằng Lộc</v>
          </cell>
          <cell r="I5507" t="str">
            <v>40143</v>
          </cell>
        </row>
        <row r="5508">
          <cell r="G5508" t="str">
            <v>Xã Hoằng Lưu</v>
          </cell>
          <cell r="I5508" t="str">
            <v>40143</v>
          </cell>
        </row>
        <row r="5509">
          <cell r="G5509" t="str">
            <v>Xã Hoằng Tiến</v>
          </cell>
          <cell r="I5509" t="str">
            <v>40143</v>
          </cell>
        </row>
        <row r="5510">
          <cell r="G5510" t="str">
            <v>Xã Hoằng Thanh</v>
          </cell>
          <cell r="I5510" t="str">
            <v>40143</v>
          </cell>
        </row>
        <row r="5511">
          <cell r="G5511" t="str">
            <v>Xã Hoằng Phú</v>
          </cell>
          <cell r="I5511" t="str">
            <v>40143</v>
          </cell>
        </row>
        <row r="5512">
          <cell r="G5512" t="str">
            <v>Xã Hoằng Quỳ</v>
          </cell>
          <cell r="I5512" t="str">
            <v>40143</v>
          </cell>
        </row>
        <row r="5513">
          <cell r="G5513" t="str">
            <v>Xã Hoằng Kim</v>
          </cell>
          <cell r="I5513" t="str">
            <v>40143</v>
          </cell>
        </row>
        <row r="5514">
          <cell r="G5514" t="str">
            <v>Xã Hoằng Trung</v>
          </cell>
          <cell r="I5514" t="str">
            <v>40143</v>
          </cell>
        </row>
        <row r="5515">
          <cell r="G5515" t="str">
            <v>Xã Hoằng Sơn</v>
          </cell>
          <cell r="I5515" t="str">
            <v>40143</v>
          </cell>
        </row>
        <row r="5516">
          <cell r="G5516" t="str">
            <v>Xã Hoằng Lương</v>
          </cell>
          <cell r="I5516" t="str">
            <v>40143</v>
          </cell>
        </row>
        <row r="5517">
          <cell r="G5517" t="str">
            <v>Xã Hoằng Xuyên</v>
          </cell>
          <cell r="I5517" t="str">
            <v>40143</v>
          </cell>
        </row>
        <row r="5518">
          <cell r="G5518" t="str">
            <v>Xã Hoằng Cát</v>
          </cell>
          <cell r="I5518" t="str">
            <v>40143</v>
          </cell>
        </row>
        <row r="5519">
          <cell r="G5519" t="str">
            <v>Xã Hoằng Khê</v>
          </cell>
          <cell r="I5519" t="str">
            <v>40143</v>
          </cell>
        </row>
        <row r="5520">
          <cell r="G5520" t="str">
            <v>Xã Hoằng Hợp</v>
          </cell>
          <cell r="I5520" t="str">
            <v>40143</v>
          </cell>
        </row>
        <row r="5521">
          <cell r="G5521" t="str">
            <v>Xã Hoằng Phúc</v>
          </cell>
          <cell r="I5521" t="str">
            <v>40143</v>
          </cell>
        </row>
        <row r="5522">
          <cell r="G5522" t="str">
            <v>Xã Hoằng Đức</v>
          </cell>
          <cell r="I5522" t="str">
            <v>40143</v>
          </cell>
        </row>
        <row r="5523">
          <cell r="G5523" t="str">
            <v>Xã Hoằng Hà</v>
          </cell>
          <cell r="I5523" t="str">
            <v>40143</v>
          </cell>
        </row>
        <row r="5524">
          <cell r="G5524" t="str">
            <v>Xã Hoằng Vinh</v>
          </cell>
          <cell r="I5524" t="str">
            <v>40143</v>
          </cell>
        </row>
        <row r="5525">
          <cell r="G5525" t="str">
            <v>Xã Hoằng Đạo</v>
          </cell>
          <cell r="I5525" t="str">
            <v>40143</v>
          </cell>
        </row>
        <row r="5526">
          <cell r="G5526" t="str">
            <v>Xã Hoằng Thắng</v>
          </cell>
          <cell r="I5526" t="str">
            <v>40143</v>
          </cell>
        </row>
        <row r="5527">
          <cell r="G5527" t="str">
            <v>Xã Hoằng Thái</v>
          </cell>
          <cell r="I5527" t="str">
            <v>40143</v>
          </cell>
        </row>
        <row r="5528">
          <cell r="G5528" t="str">
            <v>Xã Hoằng Thịnh</v>
          </cell>
          <cell r="I5528" t="str">
            <v>40143</v>
          </cell>
        </row>
        <row r="5529">
          <cell r="G5529" t="str">
            <v>Xã Hoằng Thành</v>
          </cell>
          <cell r="I5529" t="str">
            <v>40143</v>
          </cell>
        </row>
        <row r="5530">
          <cell r="G5530" t="str">
            <v>Xã Hoằng Phong</v>
          </cell>
          <cell r="I5530" t="str">
            <v>40143</v>
          </cell>
        </row>
        <row r="5531">
          <cell r="G5531" t="str">
            <v>Xã Hoằng Châu</v>
          </cell>
          <cell r="I5531" t="str">
            <v>40143</v>
          </cell>
        </row>
        <row r="5532">
          <cell r="G5532" t="str">
            <v>Xã Hoằng Tân</v>
          </cell>
          <cell r="I5532" t="str">
            <v>40143</v>
          </cell>
        </row>
        <row r="5533">
          <cell r="G5533" t="str">
            <v>Xã Hoằng Yến</v>
          </cell>
          <cell r="I5533" t="str">
            <v>40143</v>
          </cell>
        </row>
        <row r="5534">
          <cell r="G5534" t="str">
            <v>Xã Hoằng Hải</v>
          </cell>
          <cell r="I5534" t="str">
            <v>40143</v>
          </cell>
        </row>
        <row r="5535">
          <cell r="G5535" t="str">
            <v>Xã Hoằng Ngọc</v>
          </cell>
          <cell r="I5535" t="str">
            <v>40143</v>
          </cell>
        </row>
        <row r="5536">
          <cell r="G5536" t="str">
            <v>Xã Hoằng Đông</v>
          </cell>
          <cell r="I5536" t="str">
            <v>40143</v>
          </cell>
        </row>
        <row r="5537">
          <cell r="G5537" t="str">
            <v>Xã Hoằng Trường</v>
          </cell>
          <cell r="I5537" t="str">
            <v>40143</v>
          </cell>
        </row>
        <row r="5538">
          <cell r="G5538" t="str">
            <v>Thị trấn Hoằng Hóa</v>
          </cell>
          <cell r="I5538" t="str">
            <v>40143</v>
          </cell>
        </row>
        <row r="5539">
          <cell r="G5539" t="str">
            <v>Xã Hoằng Xuân</v>
          </cell>
          <cell r="I5539" t="str">
            <v>40143</v>
          </cell>
        </row>
        <row r="5540">
          <cell r="G5540" t="str">
            <v>Xã Hoằng Khánh</v>
          </cell>
          <cell r="I5540" t="str">
            <v>40143</v>
          </cell>
        </row>
        <row r="5541">
          <cell r="G5541" t="str">
            <v xml:space="preserve">Xã Đông Hòa </v>
          </cell>
          <cell r="I5541" t="str">
            <v>40145</v>
          </cell>
        </row>
        <row r="5542">
          <cell r="G5542" t="str">
            <v xml:space="preserve">Xã Đông Quang  </v>
          </cell>
          <cell r="I5542" t="str">
            <v>40145</v>
          </cell>
        </row>
        <row r="5543">
          <cell r="G5543" t="str">
            <v xml:space="preserve">Xã Đông Hoàng  </v>
          </cell>
          <cell r="I5543" t="str">
            <v>40145</v>
          </cell>
        </row>
        <row r="5544">
          <cell r="G5544" t="str">
            <v xml:space="preserve">Xã Đông Yên </v>
          </cell>
          <cell r="I5544" t="str">
            <v>40145</v>
          </cell>
        </row>
        <row r="5545">
          <cell r="G5545" t="str">
            <v xml:space="preserve">Xã Đông Tiến </v>
          </cell>
          <cell r="I5545" t="str">
            <v>40145</v>
          </cell>
        </row>
        <row r="5546">
          <cell r="G5546" t="str">
            <v>Xã Đông Văn</v>
          </cell>
          <cell r="I5546" t="str">
            <v>40145</v>
          </cell>
        </row>
        <row r="5547">
          <cell r="G5547" t="str">
            <v>Thị trấn Rừng Thông</v>
          </cell>
          <cell r="I5547" t="str">
            <v>40145</v>
          </cell>
        </row>
        <row r="5548">
          <cell r="G5548" t="str">
            <v xml:space="preserve">Xã Đông Ninh </v>
          </cell>
          <cell r="I5548" t="str">
            <v>40145</v>
          </cell>
        </row>
        <row r="5549">
          <cell r="G5549" t="str">
            <v xml:space="preserve">Xã Đông Khê </v>
          </cell>
          <cell r="I5549" t="str">
            <v>40145</v>
          </cell>
        </row>
        <row r="5550">
          <cell r="G5550" t="str">
            <v xml:space="preserve">Xã Đông Minh  </v>
          </cell>
          <cell r="I5550" t="str">
            <v>40145</v>
          </cell>
        </row>
        <row r="5551">
          <cell r="G5551" t="str">
            <v>Xã Đông Thanh</v>
          </cell>
          <cell r="I5551" t="str">
            <v>40145</v>
          </cell>
        </row>
        <row r="5552">
          <cell r="G5552" t="str">
            <v>Xã Đông Anh</v>
          </cell>
          <cell r="I5552" t="str">
            <v>40145</v>
          </cell>
        </row>
        <row r="5553">
          <cell r="G5553" t="str">
            <v xml:space="preserve">Xã Đông Xuân   </v>
          </cell>
          <cell r="I5553" t="str">
            <v>40145</v>
          </cell>
        </row>
        <row r="5554">
          <cell r="G5554" t="str">
            <v>Xã Đông Thịnh</v>
          </cell>
          <cell r="I5554" t="str">
            <v>40145</v>
          </cell>
        </row>
        <row r="5555">
          <cell r="G5555" t="str">
            <v xml:space="preserve">Xã Đông Phú </v>
          </cell>
          <cell r="I5555" t="str">
            <v>40145</v>
          </cell>
        </row>
        <row r="5556">
          <cell r="G5556" t="str">
            <v>Xã Đông Nam</v>
          </cell>
          <cell r="I5556" t="str">
            <v>40145</v>
          </cell>
        </row>
        <row r="5557">
          <cell r="G5557" t="str">
            <v>Xã Thọ Thế</v>
          </cell>
          <cell r="I5557" t="str">
            <v>40147</v>
          </cell>
        </row>
        <row r="5558">
          <cell r="G5558" t="str">
            <v xml:space="preserve">Xã Đồng Thắng </v>
          </cell>
          <cell r="I5558" t="str">
            <v>40147</v>
          </cell>
        </row>
        <row r="5559">
          <cell r="G5559" t="str">
            <v>Xã Hợp Thắng</v>
          </cell>
          <cell r="I5559" t="str">
            <v>40147</v>
          </cell>
        </row>
        <row r="5560">
          <cell r="G5560" t="str">
            <v>Thị trấn Triệu Sơn</v>
          </cell>
          <cell r="I5560" t="str">
            <v>40147</v>
          </cell>
        </row>
        <row r="5561">
          <cell r="G5561" t="str">
            <v xml:space="preserve">Xã Hợp Tiến    </v>
          </cell>
          <cell r="I5561" t="str">
            <v>40147</v>
          </cell>
        </row>
        <row r="5562">
          <cell r="G5562" t="str">
            <v xml:space="preserve">Xã Minh Sơn   </v>
          </cell>
          <cell r="I5562" t="str">
            <v>40147</v>
          </cell>
        </row>
        <row r="5563">
          <cell r="G5563" t="str">
            <v>Xã Dân Lý</v>
          </cell>
          <cell r="I5563" t="str">
            <v>40147</v>
          </cell>
        </row>
        <row r="5564">
          <cell r="G5564" t="str">
            <v xml:space="preserve">Xã Thái Hòa     </v>
          </cell>
          <cell r="I5564" t="str">
            <v>40147</v>
          </cell>
        </row>
        <row r="5565">
          <cell r="G5565" t="str">
            <v xml:space="preserve">Xã Đồng Tiến        </v>
          </cell>
          <cell r="I5565" t="str">
            <v>40147</v>
          </cell>
        </row>
        <row r="5566">
          <cell r="G5566" t="str">
            <v>Xã Xuân Thịnh</v>
          </cell>
          <cell r="I5566" t="str">
            <v>40147</v>
          </cell>
        </row>
        <row r="5567">
          <cell r="G5567" t="str">
            <v>Xã Thọ Ngọc</v>
          </cell>
          <cell r="I5567" t="str">
            <v>40147</v>
          </cell>
        </row>
        <row r="5568">
          <cell r="G5568" t="str">
            <v>Xã Thọ Vực</v>
          </cell>
          <cell r="I5568" t="str">
            <v>40147</v>
          </cell>
        </row>
        <row r="5569">
          <cell r="G5569" t="str">
            <v>Xã Thọ Sơn</v>
          </cell>
          <cell r="I5569" t="str">
            <v>40147</v>
          </cell>
        </row>
        <row r="5570">
          <cell r="G5570" t="str">
            <v>Xã Thọ Bình</v>
          </cell>
          <cell r="I5570" t="str">
            <v>40147</v>
          </cell>
        </row>
        <row r="5571">
          <cell r="G5571" t="str">
            <v>Xã Thọ Tiến</v>
          </cell>
          <cell r="I5571" t="str">
            <v>40147</v>
          </cell>
        </row>
        <row r="5572">
          <cell r="G5572" t="str">
            <v xml:space="preserve">Xã Hợp Lý  </v>
          </cell>
          <cell r="I5572" t="str">
            <v>40147</v>
          </cell>
        </row>
        <row r="5573">
          <cell r="G5573" t="str">
            <v xml:space="preserve">Xã Hợp Thành      </v>
          </cell>
          <cell r="I5573" t="str">
            <v>40147</v>
          </cell>
        </row>
        <row r="5574">
          <cell r="G5574" t="str">
            <v>Xã Triệu Thành</v>
          </cell>
          <cell r="I5574" t="str">
            <v>40147</v>
          </cell>
        </row>
        <row r="5575">
          <cell r="G5575" t="str">
            <v xml:space="preserve">Xã Minh Dân </v>
          </cell>
          <cell r="I5575" t="str">
            <v>40147</v>
          </cell>
        </row>
        <row r="5576">
          <cell r="G5576" t="str">
            <v xml:space="preserve">Xã Minh Châu    </v>
          </cell>
          <cell r="I5576" t="str">
            <v>40147</v>
          </cell>
        </row>
        <row r="5577">
          <cell r="G5577" t="str">
            <v>Xã Dân Lực</v>
          </cell>
          <cell r="I5577" t="str">
            <v>40147</v>
          </cell>
        </row>
        <row r="5578">
          <cell r="G5578" t="str">
            <v>Xã Dân Quyền</v>
          </cell>
          <cell r="I5578" t="str">
            <v>40147</v>
          </cell>
        </row>
        <row r="5579">
          <cell r="G5579" t="str">
            <v>Xã An Nông</v>
          </cell>
          <cell r="I5579" t="str">
            <v>40147</v>
          </cell>
        </row>
        <row r="5580">
          <cell r="G5580" t="str">
            <v xml:space="preserve">Xã Văn Sơn  </v>
          </cell>
          <cell r="I5580" t="str">
            <v>40147</v>
          </cell>
        </row>
        <row r="5581">
          <cell r="G5581" t="str">
            <v>Xã Tân Ninh</v>
          </cell>
          <cell r="I5581" t="str">
            <v>40147</v>
          </cell>
        </row>
        <row r="5582">
          <cell r="G5582" t="str">
            <v>Xã Đồng Lợi</v>
          </cell>
          <cell r="I5582" t="str">
            <v>40147</v>
          </cell>
        </row>
        <row r="5583">
          <cell r="G5583" t="str">
            <v>Xã Tiến Nông</v>
          </cell>
          <cell r="I5583" t="str">
            <v>40147</v>
          </cell>
        </row>
        <row r="5584">
          <cell r="G5584" t="str">
            <v>Xã Khuyến Nông</v>
          </cell>
          <cell r="I5584" t="str">
            <v>40147</v>
          </cell>
        </row>
        <row r="5585">
          <cell r="G5585" t="str">
            <v xml:space="preserve">Xã Xuân Lộc   </v>
          </cell>
          <cell r="I5585" t="str">
            <v>40147</v>
          </cell>
        </row>
        <row r="5586">
          <cell r="G5586" t="str">
            <v>Xã Thọ Dân</v>
          </cell>
          <cell r="I5586" t="str">
            <v>40147</v>
          </cell>
        </row>
        <row r="5587">
          <cell r="G5587" t="str">
            <v xml:space="preserve">Xã Xuân Thọ </v>
          </cell>
          <cell r="I5587" t="str">
            <v>40147</v>
          </cell>
        </row>
        <row r="5588">
          <cell r="G5588" t="str">
            <v>Xã Thọ Tân</v>
          </cell>
          <cell r="I5588" t="str">
            <v>40147</v>
          </cell>
        </row>
        <row r="5589">
          <cell r="G5589" t="str">
            <v>Xã Thọ Cường</v>
          </cell>
          <cell r="I5589" t="str">
            <v>40147</v>
          </cell>
        </row>
        <row r="5590">
          <cell r="G5590" t="str">
            <v>Xã Thọ Phú</v>
          </cell>
          <cell r="I5590" t="str">
            <v>40147</v>
          </cell>
        </row>
        <row r="5591">
          <cell r="G5591" t="str">
            <v>Xã Nông Trường</v>
          </cell>
          <cell r="I5591" t="str">
            <v>40147</v>
          </cell>
        </row>
        <row r="5592">
          <cell r="G5592" t="str">
            <v xml:space="preserve">Xã Bình Sơn   </v>
          </cell>
          <cell r="I5592" t="str">
            <v>40147</v>
          </cell>
        </row>
        <row r="5593">
          <cell r="G5593" t="str">
            <v>Xã Quảng Nhân</v>
          </cell>
          <cell r="I5593" t="str">
            <v>40149</v>
          </cell>
        </row>
        <row r="5594">
          <cell r="G5594" t="str">
            <v>Xã Quảng Phúc</v>
          </cell>
          <cell r="I5594" t="str">
            <v>40149</v>
          </cell>
        </row>
        <row r="5595">
          <cell r="G5595" t="str">
            <v>Xã Quảng Đại</v>
          </cell>
          <cell r="I5595" t="str">
            <v>40149</v>
          </cell>
        </row>
        <row r="5596">
          <cell r="G5596" t="str">
            <v xml:space="preserve">Xã Quảng Lợi </v>
          </cell>
          <cell r="I5596" t="str">
            <v>40149</v>
          </cell>
        </row>
        <row r="5597">
          <cell r="G5597" t="str">
            <v xml:space="preserve">Xã Quảng Đức </v>
          </cell>
          <cell r="I5597" t="str">
            <v>40149</v>
          </cell>
        </row>
        <row r="5598">
          <cell r="G5598" t="str">
            <v>Xã Quảng Ninh</v>
          </cell>
          <cell r="I5598" t="str">
            <v>40149</v>
          </cell>
        </row>
        <row r="5599">
          <cell r="G5599" t="str">
            <v xml:space="preserve">Xã Quảng Long </v>
          </cell>
          <cell r="I5599" t="str">
            <v>40149</v>
          </cell>
        </row>
        <row r="5600">
          <cell r="G5600" t="str">
            <v xml:space="preserve">Xã Quảng Khê </v>
          </cell>
          <cell r="I5600" t="str">
            <v>40149</v>
          </cell>
        </row>
        <row r="5601">
          <cell r="G5601" t="str">
            <v>Xã Quảng Trường</v>
          </cell>
          <cell r="I5601" t="str">
            <v>40149</v>
          </cell>
        </row>
        <row r="5602">
          <cell r="G5602" t="str">
            <v>Xã Quảng Hùng</v>
          </cell>
          <cell r="I5602" t="str">
            <v>40149</v>
          </cell>
        </row>
        <row r="5603">
          <cell r="G5603" t="str">
            <v>Xã Quảng Thọ</v>
          </cell>
          <cell r="I5603" t="str">
            <v>40149</v>
          </cell>
        </row>
        <row r="5604">
          <cell r="G5604" t="str">
            <v>Xã Quảng Hải</v>
          </cell>
          <cell r="I5604" t="str">
            <v>40149</v>
          </cell>
        </row>
        <row r="5605">
          <cell r="G5605" t="str">
            <v>Xã Quảng Nham</v>
          </cell>
          <cell r="I5605" t="str">
            <v>40149</v>
          </cell>
        </row>
        <row r="5606">
          <cell r="G5606" t="str">
            <v>Xã Quảng Thạch</v>
          </cell>
          <cell r="I5606" t="str">
            <v>40149</v>
          </cell>
        </row>
        <row r="5607">
          <cell r="G5607" t="str">
            <v>Xã Quảng Thái</v>
          </cell>
          <cell r="I5607" t="str">
            <v>40149</v>
          </cell>
        </row>
        <row r="5608">
          <cell r="G5608" t="str">
            <v>Thị trấn Quảng Xương</v>
          </cell>
          <cell r="I5608" t="str">
            <v>40149</v>
          </cell>
        </row>
        <row r="5609">
          <cell r="G5609" t="str">
            <v xml:space="preserve">Xã Quảng Tân </v>
          </cell>
          <cell r="I5609" t="str">
            <v>40149</v>
          </cell>
        </row>
        <row r="5610">
          <cell r="G5610" t="str">
            <v>Xã Quảng Trạch</v>
          </cell>
          <cell r="I5610" t="str">
            <v>40149</v>
          </cell>
        </row>
        <row r="5611">
          <cell r="G5611" t="str">
            <v xml:space="preserve">Xã Quảng Phong </v>
          </cell>
          <cell r="I5611" t="str">
            <v>40149</v>
          </cell>
        </row>
        <row r="5612">
          <cell r="G5612" t="str">
            <v>Xã Quảng Định</v>
          </cell>
          <cell r="I5612" t="str">
            <v>40149</v>
          </cell>
        </row>
        <row r="5613">
          <cell r="G5613" t="str">
            <v>Xã Quảng Bình</v>
          </cell>
          <cell r="I5613" t="str">
            <v>40149</v>
          </cell>
        </row>
        <row r="5614">
          <cell r="G5614" t="str">
            <v>Xã Quảng Hợp</v>
          </cell>
          <cell r="I5614" t="str">
            <v>40149</v>
          </cell>
        </row>
        <row r="5615">
          <cell r="G5615" t="str">
            <v>Xã Quảng Văn</v>
          </cell>
          <cell r="I5615" t="str">
            <v>40149</v>
          </cell>
        </row>
        <row r="5616">
          <cell r="G5616" t="str">
            <v>Xã Quảng Yên</v>
          </cell>
          <cell r="I5616" t="str">
            <v>40149</v>
          </cell>
        </row>
        <row r="5617">
          <cell r="G5617" t="str">
            <v>Xã Quảng Hòa</v>
          </cell>
          <cell r="I5617" t="str">
            <v>40149</v>
          </cell>
        </row>
        <row r="5618">
          <cell r="G5618" t="str">
            <v>Xã Quảng Lĩnh</v>
          </cell>
          <cell r="I5618" t="str">
            <v>40149</v>
          </cell>
        </row>
        <row r="5619">
          <cell r="G5619" t="str">
            <v xml:space="preserve">Xã Quảng Trung </v>
          </cell>
          <cell r="I5619" t="str">
            <v>40149</v>
          </cell>
        </row>
        <row r="5620">
          <cell r="G5620" t="str">
            <v xml:space="preserve">Xã Quảng Chính </v>
          </cell>
          <cell r="I5620" t="str">
            <v>40149</v>
          </cell>
        </row>
        <row r="5621">
          <cell r="G5621" t="str">
            <v>Xã Quảng Ngọc</v>
          </cell>
          <cell r="I5621" t="str">
            <v>40149</v>
          </cell>
        </row>
        <row r="5622">
          <cell r="G5622" t="str">
            <v>Xã Quảng Vọng</v>
          </cell>
          <cell r="I5622" t="str">
            <v>40149</v>
          </cell>
        </row>
        <row r="5623">
          <cell r="G5623" t="str">
            <v xml:space="preserve">Xã Quảng Minh  </v>
          </cell>
          <cell r="I5623" t="str">
            <v>40149</v>
          </cell>
        </row>
        <row r="5624">
          <cell r="G5624" t="str">
            <v>Xã Quảng Giao</v>
          </cell>
          <cell r="I5624" t="str">
            <v>40149</v>
          </cell>
        </row>
        <row r="5625">
          <cell r="G5625" t="str">
            <v xml:space="preserve">Xã Quảng Châu </v>
          </cell>
          <cell r="I5625" t="str">
            <v>40149</v>
          </cell>
        </row>
        <row r="5626">
          <cell r="G5626" t="str">
            <v>Xã Quảng Vinh</v>
          </cell>
          <cell r="I5626" t="str">
            <v>40149</v>
          </cell>
        </row>
        <row r="5627">
          <cell r="G5627" t="str">
            <v>Xã Quảng Lưu</v>
          </cell>
          <cell r="I5627" t="str">
            <v>40149</v>
          </cell>
        </row>
        <row r="5628">
          <cell r="G5628" t="str">
            <v>Xã Quảng Lộc</v>
          </cell>
          <cell r="I5628" t="str">
            <v>40149</v>
          </cell>
        </row>
        <row r="5629">
          <cell r="G5629" t="str">
            <v xml:space="preserve">Xã Tân Phúc  </v>
          </cell>
          <cell r="I5629" t="str">
            <v>40151</v>
          </cell>
        </row>
        <row r="5630">
          <cell r="G5630" t="str">
            <v>Xã Minh Nghĩa</v>
          </cell>
          <cell r="I5630" t="str">
            <v>40151</v>
          </cell>
        </row>
        <row r="5631">
          <cell r="G5631" t="str">
            <v>Xã Công Liêm</v>
          </cell>
          <cell r="I5631" t="str">
            <v>40151</v>
          </cell>
        </row>
        <row r="5632">
          <cell r="G5632" t="str">
            <v>Xã Tân Thọ</v>
          </cell>
          <cell r="I5632" t="str">
            <v>40151</v>
          </cell>
        </row>
        <row r="5633">
          <cell r="G5633" t="str">
            <v>Xã Hoàng Giang</v>
          </cell>
          <cell r="I5633" t="str">
            <v>40151</v>
          </cell>
        </row>
        <row r="5634">
          <cell r="G5634" t="str">
            <v>Xã Tế Thắng</v>
          </cell>
          <cell r="I5634" t="str">
            <v>40151</v>
          </cell>
        </row>
        <row r="5635">
          <cell r="G5635" t="str">
            <v>Xã Tế Nông</v>
          </cell>
          <cell r="I5635" t="str">
            <v>40151</v>
          </cell>
        </row>
        <row r="5636">
          <cell r="G5636" t="str">
            <v>Xã Trừơng Trung</v>
          </cell>
          <cell r="I5636" t="str">
            <v>40151</v>
          </cell>
        </row>
        <row r="5637">
          <cell r="G5637" t="str">
            <v>Xã Trường Minh</v>
          </cell>
          <cell r="I5637" t="str">
            <v>40151</v>
          </cell>
        </row>
        <row r="5638">
          <cell r="G5638" t="str">
            <v>Xã Tượng Văn</v>
          </cell>
          <cell r="I5638" t="str">
            <v>40151</v>
          </cell>
        </row>
        <row r="5639">
          <cell r="G5639" t="str">
            <v>Xã Công Chính</v>
          </cell>
          <cell r="I5639" t="str">
            <v>40151</v>
          </cell>
        </row>
        <row r="5640">
          <cell r="G5640" t="str">
            <v>Thị trấn Nông Cống</v>
          </cell>
          <cell r="I5640" t="str">
            <v>40151</v>
          </cell>
        </row>
        <row r="5641">
          <cell r="G5641" t="str">
            <v>Xã Hoàng Sơn</v>
          </cell>
          <cell r="I5641" t="str">
            <v>40151</v>
          </cell>
        </row>
        <row r="5642">
          <cell r="G5642" t="str">
            <v>Xã Tân Khang</v>
          </cell>
          <cell r="I5642" t="str">
            <v>40151</v>
          </cell>
        </row>
        <row r="5643">
          <cell r="G5643" t="str">
            <v xml:space="preserve">Xã Trung Chính </v>
          </cell>
          <cell r="I5643" t="str">
            <v>40151</v>
          </cell>
        </row>
        <row r="5644">
          <cell r="G5644" t="str">
            <v>Xã Trung ý</v>
          </cell>
          <cell r="I5644" t="str">
            <v>40151</v>
          </cell>
        </row>
        <row r="5645">
          <cell r="G5645" t="str">
            <v xml:space="preserve">Xã Trung Thành      </v>
          </cell>
          <cell r="I5645" t="str">
            <v>40151</v>
          </cell>
        </row>
        <row r="5646">
          <cell r="G5646" t="str">
            <v>Xã Tế Tân</v>
          </cell>
          <cell r="I5646" t="str">
            <v>40151</v>
          </cell>
        </row>
        <row r="5647">
          <cell r="G5647" t="str">
            <v>Xã Minh Thọ</v>
          </cell>
          <cell r="I5647" t="str">
            <v>40151</v>
          </cell>
        </row>
        <row r="5648">
          <cell r="G5648" t="str">
            <v>Xã Tế Lợi</v>
          </cell>
          <cell r="I5648" t="str">
            <v>40151</v>
          </cell>
        </row>
        <row r="5649">
          <cell r="G5649" t="str">
            <v>Xã Minh Khôi</v>
          </cell>
          <cell r="I5649" t="str">
            <v>40151</v>
          </cell>
        </row>
        <row r="5650">
          <cell r="G5650" t="str">
            <v xml:space="preserve">Xã Vạn Hòa </v>
          </cell>
          <cell r="I5650" t="str">
            <v>40151</v>
          </cell>
        </row>
        <row r="5651">
          <cell r="G5651" t="str">
            <v xml:space="preserve">Xã Vạn Thắng </v>
          </cell>
          <cell r="I5651" t="str">
            <v>40151</v>
          </cell>
        </row>
        <row r="5652">
          <cell r="G5652" t="str">
            <v xml:space="preserve">Xã Trường Giang </v>
          </cell>
          <cell r="I5652" t="str">
            <v>40151</v>
          </cell>
        </row>
        <row r="5653">
          <cell r="G5653" t="str">
            <v>Xã Vạn Thiện</v>
          </cell>
          <cell r="I5653" t="str">
            <v>40151</v>
          </cell>
        </row>
        <row r="5654">
          <cell r="G5654" t="str">
            <v xml:space="preserve">Xã Thăng Long  </v>
          </cell>
          <cell r="I5654" t="str">
            <v>40151</v>
          </cell>
        </row>
        <row r="5655">
          <cell r="G5655" t="str">
            <v xml:space="preserve">Xã Trường Sơn  </v>
          </cell>
          <cell r="I5655" t="str">
            <v>40151</v>
          </cell>
        </row>
        <row r="5656">
          <cell r="G5656" t="str">
            <v>Xã Thăng Bình</v>
          </cell>
          <cell r="I5656" t="str">
            <v>40151</v>
          </cell>
        </row>
        <row r="5657">
          <cell r="G5657" t="str">
            <v>Xã Thăng Thọ</v>
          </cell>
          <cell r="I5657" t="str">
            <v>40151</v>
          </cell>
        </row>
        <row r="5658">
          <cell r="G5658" t="str">
            <v xml:space="preserve">Xã Tượng Lĩnh </v>
          </cell>
          <cell r="I5658" t="str">
            <v>40151</v>
          </cell>
        </row>
        <row r="5659">
          <cell r="G5659" t="str">
            <v>Xã Tượng Sơn</v>
          </cell>
          <cell r="I5659" t="str">
            <v>40151</v>
          </cell>
        </row>
        <row r="5660">
          <cell r="G5660" t="str">
            <v>Xã Công Bình</v>
          </cell>
          <cell r="I5660" t="str">
            <v>40151</v>
          </cell>
        </row>
        <row r="5661">
          <cell r="G5661" t="str">
            <v xml:space="preserve">Xã Yên Mỹ     </v>
          </cell>
          <cell r="I5661" t="str">
            <v>40151</v>
          </cell>
        </row>
        <row r="5662">
          <cell r="G5662" t="str">
            <v xml:space="preserve">Xã Thanh Thủy   </v>
          </cell>
          <cell r="I5662" t="str">
            <v>40153</v>
          </cell>
        </row>
        <row r="5663">
          <cell r="G5663" t="str">
            <v>Xã Hải Lĩnh</v>
          </cell>
          <cell r="I5663" t="str">
            <v>40153</v>
          </cell>
        </row>
        <row r="5664">
          <cell r="G5664" t="str">
            <v>Xã Hải Bình</v>
          </cell>
          <cell r="I5664" t="str">
            <v>40153</v>
          </cell>
        </row>
        <row r="5665">
          <cell r="G5665" t="str">
            <v xml:space="preserve">Xã Hùng Sơn   </v>
          </cell>
          <cell r="I5665" t="str">
            <v>40153</v>
          </cell>
        </row>
        <row r="5666">
          <cell r="G5666" t="str">
            <v xml:space="preserve">Xã Định Hải </v>
          </cell>
          <cell r="I5666" t="str">
            <v>40153</v>
          </cell>
        </row>
        <row r="5667">
          <cell r="G5667" t="str">
            <v>Xã Hải Nhân</v>
          </cell>
          <cell r="I5667" t="str">
            <v>40153</v>
          </cell>
        </row>
        <row r="5668">
          <cell r="G5668" t="str">
            <v xml:space="preserve">Xã Phú Lâm  </v>
          </cell>
          <cell r="I5668" t="str">
            <v>40153</v>
          </cell>
        </row>
        <row r="5669">
          <cell r="G5669" t="str">
            <v xml:space="preserve">Xã Tân Trường </v>
          </cell>
          <cell r="I5669" t="str">
            <v>40153</v>
          </cell>
        </row>
        <row r="5670">
          <cell r="G5670" t="str">
            <v>Xã Trường Lâm</v>
          </cell>
          <cell r="I5670" t="str">
            <v>40153</v>
          </cell>
        </row>
        <row r="5671">
          <cell r="G5671" t="str">
            <v xml:space="preserve">Xã Hải Hà </v>
          </cell>
          <cell r="I5671" t="str">
            <v>40153</v>
          </cell>
        </row>
        <row r="5672">
          <cell r="G5672" t="str">
            <v>Thị trấn Tĩnh Gia</v>
          </cell>
          <cell r="I5672" t="str">
            <v>40153</v>
          </cell>
        </row>
        <row r="5673">
          <cell r="G5673" t="str">
            <v xml:space="preserve">Xã Hải Châu </v>
          </cell>
          <cell r="I5673" t="str">
            <v>40153</v>
          </cell>
        </row>
        <row r="5674">
          <cell r="G5674" t="str">
            <v xml:space="preserve">Xã Thanh Sơn      </v>
          </cell>
          <cell r="I5674" t="str">
            <v>40153</v>
          </cell>
        </row>
        <row r="5675">
          <cell r="G5675" t="str">
            <v>Xã Triêu Dương</v>
          </cell>
          <cell r="I5675" t="str">
            <v>40153</v>
          </cell>
        </row>
        <row r="5676">
          <cell r="G5676" t="str">
            <v xml:space="preserve">Xã Hải Ninh </v>
          </cell>
          <cell r="I5676" t="str">
            <v>40153</v>
          </cell>
        </row>
        <row r="5677">
          <cell r="G5677" t="str">
            <v>Xã Anh Sơn</v>
          </cell>
          <cell r="I5677" t="str">
            <v>40153</v>
          </cell>
        </row>
        <row r="5678">
          <cell r="G5678" t="str">
            <v>Xã Ngọc Lĩnh</v>
          </cell>
          <cell r="I5678" t="str">
            <v>40153</v>
          </cell>
        </row>
        <row r="5679">
          <cell r="G5679" t="str">
            <v xml:space="preserve">Xã Hải An </v>
          </cell>
          <cell r="I5679" t="str">
            <v>40153</v>
          </cell>
        </row>
        <row r="5680">
          <cell r="G5680" t="str">
            <v>Xã Các Sơn</v>
          </cell>
          <cell r="I5680" t="str">
            <v>40153</v>
          </cell>
        </row>
        <row r="5681">
          <cell r="G5681" t="str">
            <v xml:space="preserve">Xã Tân Dân        </v>
          </cell>
          <cell r="I5681" t="str">
            <v>40153</v>
          </cell>
        </row>
        <row r="5682">
          <cell r="G5682" t="str">
            <v xml:space="preserve">Xã Phú Sơn   </v>
          </cell>
          <cell r="I5682" t="str">
            <v>40153</v>
          </cell>
        </row>
        <row r="5683">
          <cell r="G5683" t="str">
            <v xml:space="preserve">Xã Ninh Hải  </v>
          </cell>
          <cell r="I5683" t="str">
            <v>40153</v>
          </cell>
        </row>
        <row r="5684">
          <cell r="G5684" t="str">
            <v>Xã Nguyên Bình</v>
          </cell>
          <cell r="I5684" t="str">
            <v>40153</v>
          </cell>
        </row>
        <row r="5685">
          <cell r="G5685" t="str">
            <v xml:space="preserve">Xã Hải Hòa </v>
          </cell>
          <cell r="I5685" t="str">
            <v>40153</v>
          </cell>
        </row>
        <row r="5686">
          <cell r="G5686" t="str">
            <v xml:space="preserve">Xã Bình Minh     </v>
          </cell>
          <cell r="I5686" t="str">
            <v>40153</v>
          </cell>
        </row>
        <row r="5687">
          <cell r="G5687" t="str">
            <v xml:space="preserve">Xã Hải Thanh </v>
          </cell>
          <cell r="I5687" t="str">
            <v>40153</v>
          </cell>
        </row>
        <row r="5688">
          <cell r="G5688" t="str">
            <v xml:space="preserve">Xã Xuân Lâm </v>
          </cell>
          <cell r="I5688" t="str">
            <v>40153</v>
          </cell>
        </row>
        <row r="5689">
          <cell r="G5689" t="str">
            <v>Xã Trúc Lâm</v>
          </cell>
          <cell r="I5689" t="str">
            <v>40153</v>
          </cell>
        </row>
        <row r="5690">
          <cell r="G5690" t="str">
            <v>Xã Tùng Lâm</v>
          </cell>
          <cell r="I5690" t="str">
            <v>40153</v>
          </cell>
        </row>
        <row r="5691">
          <cell r="G5691" t="str">
            <v>Xã Tĩnh Hải</v>
          </cell>
          <cell r="I5691" t="str">
            <v>40153</v>
          </cell>
        </row>
        <row r="5692">
          <cell r="G5692" t="str">
            <v xml:space="preserve">Xã Mai Lâm </v>
          </cell>
          <cell r="I5692" t="str">
            <v>40153</v>
          </cell>
        </row>
        <row r="5693">
          <cell r="G5693" t="str">
            <v xml:space="preserve">Xã Hải Yến </v>
          </cell>
          <cell r="I5693" t="str">
            <v>40153</v>
          </cell>
        </row>
        <row r="5694">
          <cell r="G5694" t="str">
            <v>Xã Hải Thượng</v>
          </cell>
          <cell r="I5694" t="str">
            <v>40153</v>
          </cell>
        </row>
        <row r="5695">
          <cell r="G5695" t="str">
            <v>Xã Nghi Sơn</v>
          </cell>
          <cell r="I5695" t="str">
            <v>40153</v>
          </cell>
        </row>
        <row r="5696">
          <cell r="G5696" t="str">
            <v xml:space="preserve">Phường Quang Trung            </v>
          </cell>
          <cell r="I5696" t="str">
            <v>40301</v>
          </cell>
        </row>
        <row r="5697">
          <cell r="G5697" t="str">
            <v>Phường Hưng Bình</v>
          </cell>
          <cell r="I5697" t="str">
            <v>40301</v>
          </cell>
        </row>
        <row r="5698">
          <cell r="G5698" t="str">
            <v>Phường Lê Mao</v>
          </cell>
          <cell r="I5698" t="str">
            <v>40301</v>
          </cell>
        </row>
        <row r="5699">
          <cell r="G5699" t="str">
            <v>Phường Trung Đô</v>
          </cell>
          <cell r="I5699" t="str">
            <v>40301</v>
          </cell>
        </row>
        <row r="5700">
          <cell r="G5700" t="str">
            <v>Xã Hưng Hòa</v>
          </cell>
          <cell r="I5700" t="str">
            <v>40301</v>
          </cell>
        </row>
        <row r="5701">
          <cell r="G5701" t="str">
            <v>Phường Đông Vĩnh</v>
          </cell>
          <cell r="I5701" t="str">
            <v>40301</v>
          </cell>
        </row>
        <row r="5702">
          <cell r="G5702" t="str">
            <v>Phường Hà Huy Tập</v>
          </cell>
          <cell r="I5702" t="str">
            <v>40301</v>
          </cell>
        </row>
        <row r="5703">
          <cell r="G5703" t="str">
            <v xml:space="preserve">Phường Lê Lợi    </v>
          </cell>
          <cell r="I5703" t="str">
            <v>40301</v>
          </cell>
        </row>
        <row r="5704">
          <cell r="G5704" t="str">
            <v>Phường Quán Bàu</v>
          </cell>
          <cell r="I5704" t="str">
            <v>40301</v>
          </cell>
        </row>
        <row r="5705">
          <cell r="G5705" t="str">
            <v>Phường Hưng Phúc</v>
          </cell>
          <cell r="I5705" t="str">
            <v>40301</v>
          </cell>
        </row>
        <row r="5706">
          <cell r="G5706" t="str">
            <v>Phường Hưng Dũng</v>
          </cell>
          <cell r="I5706" t="str">
            <v>40301</v>
          </cell>
        </row>
        <row r="5707">
          <cell r="G5707" t="str">
            <v xml:space="preserve">Phường Cửa Nam  </v>
          </cell>
          <cell r="I5707" t="str">
            <v>40301</v>
          </cell>
        </row>
        <row r="5708">
          <cell r="G5708" t="str">
            <v>Phường Đội Cung</v>
          </cell>
          <cell r="I5708" t="str">
            <v>40301</v>
          </cell>
        </row>
        <row r="5709">
          <cell r="G5709" t="str">
            <v xml:space="preserve">Phường Trường Thi  </v>
          </cell>
          <cell r="I5709" t="str">
            <v>40301</v>
          </cell>
        </row>
        <row r="5710">
          <cell r="G5710" t="str">
            <v>Phường Bến Thủy</v>
          </cell>
          <cell r="I5710" t="str">
            <v>40301</v>
          </cell>
        </row>
        <row r="5711">
          <cell r="G5711" t="str">
            <v>Phường Hồng Sơn</v>
          </cell>
          <cell r="I5711" t="str">
            <v>40301</v>
          </cell>
        </row>
        <row r="5712">
          <cell r="G5712" t="str">
            <v>Xã Nghi Phú</v>
          </cell>
          <cell r="I5712" t="str">
            <v>40301</v>
          </cell>
        </row>
        <row r="5713">
          <cell r="G5713" t="str">
            <v>Xã Hưng Đông</v>
          </cell>
          <cell r="I5713" t="str">
            <v>40301</v>
          </cell>
        </row>
        <row r="5714">
          <cell r="G5714" t="str">
            <v xml:space="preserve">Xã Hưng Lộc </v>
          </cell>
          <cell r="I5714" t="str">
            <v>40301</v>
          </cell>
        </row>
        <row r="5715">
          <cell r="G5715" t="str">
            <v>Phường  Vinh Tân</v>
          </cell>
          <cell r="I5715" t="str">
            <v>40301</v>
          </cell>
        </row>
        <row r="5716">
          <cell r="G5716" t="str">
            <v>Xã Hưng Chính</v>
          </cell>
          <cell r="I5716" t="str">
            <v>40301</v>
          </cell>
        </row>
        <row r="5717">
          <cell r="G5717" t="str">
            <v>Xã Nghi Kim</v>
          </cell>
          <cell r="I5717" t="str">
            <v>40301</v>
          </cell>
        </row>
        <row r="5718">
          <cell r="G5718" t="str">
            <v>Xã Nghi Liên</v>
          </cell>
          <cell r="I5718" t="str">
            <v>40301</v>
          </cell>
        </row>
        <row r="5719">
          <cell r="G5719" t="str">
            <v>Xã Nghi Ân</v>
          </cell>
          <cell r="I5719" t="str">
            <v>40301</v>
          </cell>
        </row>
        <row r="5720">
          <cell r="G5720" t="str">
            <v>Xã Nghi Đức</v>
          </cell>
          <cell r="I5720" t="str">
            <v>40301</v>
          </cell>
        </row>
        <row r="5721">
          <cell r="G5721" t="str">
            <v>Phường Nghi Tân</v>
          </cell>
          <cell r="I5721" t="str">
            <v>40303</v>
          </cell>
        </row>
        <row r="5722">
          <cell r="G5722" t="str">
            <v>Phường Thu Thuỷ</v>
          </cell>
          <cell r="I5722" t="str">
            <v>40303</v>
          </cell>
        </row>
        <row r="5723">
          <cell r="G5723" t="str">
            <v>Phường Nghi Thu</v>
          </cell>
          <cell r="I5723" t="str">
            <v>40303</v>
          </cell>
        </row>
        <row r="5724">
          <cell r="G5724" t="str">
            <v>Phường Nghi Thuỷ</v>
          </cell>
          <cell r="I5724" t="str">
            <v>40303</v>
          </cell>
        </row>
        <row r="5725">
          <cell r="G5725" t="str">
            <v>Phường Nghi Hòa</v>
          </cell>
          <cell r="I5725" t="str">
            <v>40303</v>
          </cell>
        </row>
        <row r="5726">
          <cell r="G5726" t="str">
            <v>Phường Nghi Hải</v>
          </cell>
          <cell r="I5726" t="str">
            <v>40303</v>
          </cell>
        </row>
        <row r="5727">
          <cell r="G5727" t="str">
            <v>Phường Nghi Hương</v>
          </cell>
          <cell r="I5727" t="str">
            <v>40303</v>
          </cell>
        </row>
        <row r="5728">
          <cell r="G5728" t="str">
            <v>Xã Mường Nọc</v>
          </cell>
          <cell r="I5728" t="str">
            <v>40305</v>
          </cell>
        </row>
        <row r="5729">
          <cell r="G5729" t="str">
            <v>Xã Hạnh Dịch</v>
          </cell>
          <cell r="I5729" t="str">
            <v>40305</v>
          </cell>
        </row>
        <row r="5730">
          <cell r="G5730" t="str">
            <v>Xã Châu Kim</v>
          </cell>
          <cell r="I5730" t="str">
            <v>40305</v>
          </cell>
        </row>
        <row r="5731">
          <cell r="G5731" t="str">
            <v xml:space="preserve">Xã Quang Phong </v>
          </cell>
          <cell r="I5731" t="str">
            <v>40305</v>
          </cell>
        </row>
        <row r="5732">
          <cell r="G5732" t="str">
            <v>Thị trấn Kim Sơn</v>
          </cell>
          <cell r="I5732" t="str">
            <v>40305</v>
          </cell>
        </row>
        <row r="5733">
          <cell r="G5733" t="str">
            <v>Xã Thông Thụ</v>
          </cell>
          <cell r="I5733" t="str">
            <v>40305</v>
          </cell>
        </row>
        <row r="5734">
          <cell r="G5734" t="str">
            <v xml:space="preserve">Xã Đồng Văn  </v>
          </cell>
          <cell r="I5734" t="str">
            <v>40305</v>
          </cell>
        </row>
        <row r="5735">
          <cell r="G5735" t="str">
            <v xml:space="preserve">Xã Tiền Phong         </v>
          </cell>
          <cell r="I5735" t="str">
            <v>40305</v>
          </cell>
        </row>
        <row r="5736">
          <cell r="G5736" t="str">
            <v>Xã Nậm Giải</v>
          </cell>
          <cell r="I5736" t="str">
            <v>40305</v>
          </cell>
        </row>
        <row r="5737">
          <cell r="G5737" t="str">
            <v xml:space="preserve">Xã Tri Lễ </v>
          </cell>
          <cell r="I5737" t="str">
            <v>40305</v>
          </cell>
        </row>
        <row r="5738">
          <cell r="G5738" t="str">
            <v xml:space="preserve">Xã Quế Sơn </v>
          </cell>
          <cell r="I5738" t="str">
            <v>40305</v>
          </cell>
        </row>
        <row r="5739">
          <cell r="G5739" t="str">
            <v>Xã Châu Thôn</v>
          </cell>
          <cell r="I5739" t="str">
            <v>40305</v>
          </cell>
        </row>
        <row r="5740">
          <cell r="G5740" t="str">
            <v>Xã Nậm Nhoóng</v>
          </cell>
          <cell r="I5740" t="str">
            <v>40305</v>
          </cell>
        </row>
        <row r="5741">
          <cell r="G5741" t="str">
            <v>Xã Cắm Muộn</v>
          </cell>
          <cell r="I5741" t="str">
            <v>40305</v>
          </cell>
        </row>
        <row r="5742">
          <cell r="G5742" t="str">
            <v>Xã Châu Tiến</v>
          </cell>
          <cell r="I5742" t="str">
            <v>40307</v>
          </cell>
        </row>
        <row r="5743">
          <cell r="G5743" t="str">
            <v>Xã Châu Thuận</v>
          </cell>
          <cell r="I5743" t="str">
            <v>40307</v>
          </cell>
        </row>
        <row r="5744">
          <cell r="G5744" t="str">
            <v>Xã Châu Hoàn</v>
          </cell>
          <cell r="I5744" t="str">
            <v>40307</v>
          </cell>
        </row>
        <row r="5745">
          <cell r="G5745" t="str">
            <v>Xã Diên Lãm</v>
          </cell>
          <cell r="I5745" t="str">
            <v>40307</v>
          </cell>
        </row>
        <row r="5746">
          <cell r="G5746" t="str">
            <v>Thị trấn Tân Lạc</v>
          </cell>
          <cell r="I5746" t="str">
            <v>40307</v>
          </cell>
        </row>
        <row r="5747">
          <cell r="G5747" t="str">
            <v>Xã Châu Bính</v>
          </cell>
          <cell r="I5747" t="str">
            <v>40307</v>
          </cell>
        </row>
        <row r="5748">
          <cell r="G5748" t="str">
            <v>Xã Châu Hội</v>
          </cell>
          <cell r="I5748" t="str">
            <v>40307</v>
          </cell>
        </row>
        <row r="5749">
          <cell r="G5749" t="str">
            <v>Xã Châu Nga</v>
          </cell>
          <cell r="I5749" t="str">
            <v>40307</v>
          </cell>
        </row>
        <row r="5750">
          <cell r="G5750" t="str">
            <v>Xã Châu Hạnh</v>
          </cell>
          <cell r="I5750" t="str">
            <v>40307</v>
          </cell>
        </row>
        <row r="5751">
          <cell r="G5751" t="str">
            <v>Xã Châu Thắng</v>
          </cell>
          <cell r="I5751" t="str">
            <v>40307</v>
          </cell>
        </row>
        <row r="5752">
          <cell r="G5752" t="str">
            <v xml:space="preserve">Xã Châu Phong </v>
          </cell>
          <cell r="I5752" t="str">
            <v>40307</v>
          </cell>
        </row>
        <row r="5753">
          <cell r="G5753" t="str">
            <v>Xã Châu Bình</v>
          </cell>
          <cell r="I5753" t="str">
            <v>40307</v>
          </cell>
        </row>
        <row r="5754">
          <cell r="G5754" t="str">
            <v>Xã Na Loi</v>
          </cell>
          <cell r="I5754" t="str">
            <v>40309</v>
          </cell>
        </row>
        <row r="5755">
          <cell r="G5755" t="str">
            <v>Xã Mường ải</v>
          </cell>
          <cell r="I5755" t="str">
            <v>40309</v>
          </cell>
        </row>
        <row r="5756">
          <cell r="G5756" t="str">
            <v>Xã Bảo Nam</v>
          </cell>
          <cell r="I5756" t="str">
            <v>40309</v>
          </cell>
        </row>
        <row r="5757">
          <cell r="G5757" t="str">
            <v>Xã Hữu Lập</v>
          </cell>
          <cell r="I5757" t="str">
            <v>40309</v>
          </cell>
        </row>
        <row r="5758">
          <cell r="G5758" t="str">
            <v>Xã Hữu Kiệm</v>
          </cell>
          <cell r="I5758" t="str">
            <v>40309</v>
          </cell>
        </row>
        <row r="5759">
          <cell r="G5759" t="str">
            <v>Xã Nậm Càn</v>
          </cell>
          <cell r="I5759" t="str">
            <v>40309</v>
          </cell>
        </row>
        <row r="5760">
          <cell r="G5760" t="str">
            <v>Thị trấn Mường Xén</v>
          </cell>
          <cell r="I5760" t="str">
            <v>40309</v>
          </cell>
        </row>
        <row r="5761">
          <cell r="G5761" t="str">
            <v>Xã Mỹ Lý</v>
          </cell>
          <cell r="I5761" t="str">
            <v>40309</v>
          </cell>
        </row>
        <row r="5762">
          <cell r="G5762" t="str">
            <v xml:space="preserve">Xã Bắc Lý  </v>
          </cell>
          <cell r="I5762" t="str">
            <v>40309</v>
          </cell>
        </row>
        <row r="5763">
          <cell r="G5763" t="str">
            <v>Xã Keng Đu</v>
          </cell>
          <cell r="I5763" t="str">
            <v>40309</v>
          </cell>
        </row>
        <row r="5764">
          <cell r="G5764" t="str">
            <v>Xã Đoọc Mạy</v>
          </cell>
          <cell r="I5764" t="str">
            <v>40309</v>
          </cell>
        </row>
        <row r="5765">
          <cell r="G5765" t="str">
            <v>Xã Huồi Tụ</v>
          </cell>
          <cell r="I5765" t="str">
            <v>40309</v>
          </cell>
        </row>
        <row r="5766">
          <cell r="G5766" t="str">
            <v>Xã Mường Lống</v>
          </cell>
          <cell r="I5766" t="str">
            <v>40309</v>
          </cell>
        </row>
        <row r="5767">
          <cell r="G5767" t="str">
            <v>Xã Nậm Cắn</v>
          </cell>
          <cell r="I5767" t="str">
            <v>40309</v>
          </cell>
        </row>
        <row r="5768">
          <cell r="G5768" t="str">
            <v>Xã Phà Đánh</v>
          </cell>
          <cell r="I5768" t="str">
            <v>40309</v>
          </cell>
        </row>
        <row r="5769">
          <cell r="G5769" t="str">
            <v>Xã Bảo Thắng</v>
          </cell>
          <cell r="I5769" t="str">
            <v>40309</v>
          </cell>
        </row>
        <row r="5770">
          <cell r="G5770" t="str">
            <v>Xã Tà Cạ</v>
          </cell>
          <cell r="I5770" t="str">
            <v>40309</v>
          </cell>
        </row>
        <row r="5771">
          <cell r="G5771" t="str">
            <v>Xã Chiêu Lưu</v>
          </cell>
          <cell r="I5771" t="str">
            <v>40309</v>
          </cell>
        </row>
        <row r="5772">
          <cell r="G5772" t="str">
            <v>Xã Mường Típ</v>
          </cell>
          <cell r="I5772" t="str">
            <v>40309</v>
          </cell>
        </row>
        <row r="5773">
          <cell r="G5773" t="str">
            <v xml:space="preserve">Xã Tây Sơn </v>
          </cell>
          <cell r="I5773" t="str">
            <v>40309</v>
          </cell>
        </row>
        <row r="5774">
          <cell r="G5774" t="str">
            <v>Xã Na Ngoi</v>
          </cell>
          <cell r="I5774" t="str">
            <v>40309</v>
          </cell>
        </row>
        <row r="5775">
          <cell r="G5775" t="str">
            <v>Xã Châu Hồng</v>
          </cell>
          <cell r="I5775" t="str">
            <v>40311</v>
          </cell>
        </row>
        <row r="5776">
          <cell r="G5776" t="str">
            <v>Xã Châu Đình</v>
          </cell>
          <cell r="I5776" t="str">
            <v>40311</v>
          </cell>
        </row>
        <row r="5777">
          <cell r="G5777" t="str">
            <v xml:space="preserve">Xã Châu Tiến </v>
          </cell>
          <cell r="I5777" t="str">
            <v>40311</v>
          </cell>
        </row>
        <row r="5778">
          <cell r="G5778" t="str">
            <v>Xã Liên Hợp</v>
          </cell>
          <cell r="I5778" t="str">
            <v>40311</v>
          </cell>
        </row>
        <row r="5779">
          <cell r="G5779" t="str">
            <v>Xã Châu Quang</v>
          </cell>
          <cell r="I5779" t="str">
            <v>40311</v>
          </cell>
        </row>
        <row r="5780">
          <cell r="G5780" t="str">
            <v>Xã Châu Thái</v>
          </cell>
          <cell r="I5780" t="str">
            <v>40311</v>
          </cell>
        </row>
        <row r="5781">
          <cell r="G5781" t="str">
            <v>Xã Châu Lý</v>
          </cell>
          <cell r="I5781" t="str">
            <v>40311</v>
          </cell>
        </row>
        <row r="5782">
          <cell r="G5782" t="str">
            <v>Thị trấn Quỳ Hợp</v>
          </cell>
          <cell r="I5782" t="str">
            <v>40311</v>
          </cell>
        </row>
        <row r="5783">
          <cell r="G5783" t="str">
            <v xml:space="preserve">Xã Yên Hợp </v>
          </cell>
          <cell r="I5783" t="str">
            <v>40311</v>
          </cell>
        </row>
        <row r="5784">
          <cell r="G5784" t="str">
            <v>Xã Đồng Hợp</v>
          </cell>
          <cell r="I5784" t="str">
            <v>40311</v>
          </cell>
        </row>
        <row r="5785">
          <cell r="G5785" t="str">
            <v>Xã Châu Thành</v>
          </cell>
          <cell r="I5785" t="str">
            <v>40311</v>
          </cell>
        </row>
        <row r="5786">
          <cell r="G5786" t="str">
            <v xml:space="preserve">Xã Châu Lộc </v>
          </cell>
          <cell r="I5786" t="str">
            <v>40311</v>
          </cell>
        </row>
        <row r="5787">
          <cell r="G5787" t="str">
            <v xml:space="preserve">Xã Tam Hợp </v>
          </cell>
          <cell r="I5787" t="str">
            <v>40311</v>
          </cell>
        </row>
        <row r="5788">
          <cell r="G5788" t="str">
            <v>Xã Châu Cường</v>
          </cell>
          <cell r="I5788" t="str">
            <v>40311</v>
          </cell>
        </row>
        <row r="5789">
          <cell r="G5789" t="str">
            <v>Xã Thọ Hợp</v>
          </cell>
          <cell r="I5789" t="str">
            <v>40311</v>
          </cell>
        </row>
        <row r="5790">
          <cell r="G5790" t="str">
            <v>Xã Minh Hợp</v>
          </cell>
          <cell r="I5790" t="str">
            <v>40311</v>
          </cell>
        </row>
        <row r="5791">
          <cell r="G5791" t="str">
            <v>Xã Nghĩa Xuân</v>
          </cell>
          <cell r="I5791" t="str">
            <v>40311</v>
          </cell>
        </row>
        <row r="5792">
          <cell r="G5792" t="str">
            <v>Xã Văn Lợi</v>
          </cell>
          <cell r="I5792" t="str">
            <v>40311</v>
          </cell>
        </row>
        <row r="5793">
          <cell r="G5793" t="str">
            <v xml:space="preserve">Xã Nam Sơn      </v>
          </cell>
          <cell r="I5793" t="str">
            <v>40311</v>
          </cell>
        </row>
        <row r="5794">
          <cell r="G5794" t="str">
            <v>Xã Hạ Sơn</v>
          </cell>
          <cell r="I5794" t="str">
            <v>40311</v>
          </cell>
        </row>
        <row r="5795">
          <cell r="G5795" t="str">
            <v xml:space="preserve">Xã Bắc Sơn        </v>
          </cell>
          <cell r="I5795" t="str">
            <v>40311</v>
          </cell>
        </row>
        <row r="5796">
          <cell r="G5796" t="str">
            <v xml:space="preserve">Xã Nghĩa Hưng  </v>
          </cell>
          <cell r="I5796" t="str">
            <v>40313</v>
          </cell>
        </row>
        <row r="5797">
          <cell r="G5797" t="str">
            <v>Xã Nghĩa Yên</v>
          </cell>
          <cell r="I5797" t="str">
            <v>40313</v>
          </cell>
        </row>
        <row r="5798">
          <cell r="G5798" t="str">
            <v xml:space="preserve">Xã Nghĩa Lợi  </v>
          </cell>
          <cell r="I5798" t="str">
            <v>40313</v>
          </cell>
        </row>
        <row r="5799">
          <cell r="G5799" t="str">
            <v xml:space="preserve">Xã Nghĩa Phú </v>
          </cell>
          <cell r="I5799" t="str">
            <v>40313</v>
          </cell>
        </row>
        <row r="5800">
          <cell r="G5800" t="str">
            <v xml:space="preserve">Xã Nghĩa Trung  </v>
          </cell>
          <cell r="I5800" t="str">
            <v>40313</v>
          </cell>
        </row>
        <row r="5801">
          <cell r="G5801" t="str">
            <v>Xã Nghĩa Mai</v>
          </cell>
          <cell r="I5801" t="str">
            <v>40313</v>
          </cell>
        </row>
        <row r="5802">
          <cell r="G5802" t="str">
            <v xml:space="preserve">Xã Nghĩa Lạc </v>
          </cell>
          <cell r="I5802" t="str">
            <v>40313</v>
          </cell>
        </row>
        <row r="5803">
          <cell r="G5803" t="str">
            <v xml:space="preserve">Xã Nghĩa Lâm </v>
          </cell>
          <cell r="I5803" t="str">
            <v>40313</v>
          </cell>
        </row>
        <row r="5804">
          <cell r="G5804" t="str">
            <v xml:space="preserve">Xã Nghĩa Sơn  </v>
          </cell>
          <cell r="I5804" t="str">
            <v>40313</v>
          </cell>
        </row>
        <row r="5805">
          <cell r="G5805" t="str">
            <v xml:space="preserve">Xã Nghĩa Bình </v>
          </cell>
          <cell r="I5805" t="str">
            <v>40313</v>
          </cell>
        </row>
        <row r="5806">
          <cell r="G5806" t="str">
            <v>Xã Nghĩa Thọ</v>
          </cell>
          <cell r="I5806" t="str">
            <v>40313</v>
          </cell>
        </row>
        <row r="5807">
          <cell r="G5807" t="str">
            <v xml:space="preserve">Xã Nghĩa Minh </v>
          </cell>
          <cell r="I5807" t="str">
            <v>40313</v>
          </cell>
        </row>
        <row r="5808">
          <cell r="G5808" t="str">
            <v xml:space="preserve">Xã Nghĩa Hồng </v>
          </cell>
          <cell r="I5808" t="str">
            <v>40313</v>
          </cell>
        </row>
        <row r="5809">
          <cell r="G5809" t="str">
            <v xml:space="preserve">Xã Nghĩa Thịnh </v>
          </cell>
          <cell r="I5809" t="str">
            <v>40313</v>
          </cell>
        </row>
        <row r="5810">
          <cell r="G5810" t="str">
            <v>Xã Nghĩa Hội</v>
          </cell>
          <cell r="I5810" t="str">
            <v>40313</v>
          </cell>
        </row>
        <row r="5811">
          <cell r="G5811" t="str">
            <v xml:space="preserve">Xã Nghĩa Tân </v>
          </cell>
          <cell r="I5811" t="str">
            <v>40313</v>
          </cell>
        </row>
        <row r="5812">
          <cell r="G5812" t="str">
            <v xml:space="preserve">Xã Nghĩa Thắng </v>
          </cell>
          <cell r="I5812" t="str">
            <v>40313</v>
          </cell>
        </row>
        <row r="5813">
          <cell r="G5813" t="str">
            <v>Xã Nghĩa Hiếu</v>
          </cell>
          <cell r="I5813" t="str">
            <v>40313</v>
          </cell>
        </row>
        <row r="5814">
          <cell r="G5814" t="str">
            <v>Xã Nghĩa Liên</v>
          </cell>
          <cell r="I5814" t="str">
            <v>40313</v>
          </cell>
        </row>
        <row r="5815">
          <cell r="G5815" t="str">
            <v>Xã Nghĩa Đức</v>
          </cell>
          <cell r="I5815" t="str">
            <v>40313</v>
          </cell>
        </row>
        <row r="5816">
          <cell r="G5816" t="str">
            <v xml:space="preserve">Xã Nghĩa An   </v>
          </cell>
          <cell r="I5816" t="str">
            <v>40313</v>
          </cell>
        </row>
        <row r="5817">
          <cell r="G5817" t="str">
            <v>Xã Nghĩa Long</v>
          </cell>
          <cell r="I5817" t="str">
            <v>40313</v>
          </cell>
        </row>
        <row r="5818">
          <cell r="G5818" t="str">
            <v>Xã Nghĩa Khánh</v>
          </cell>
          <cell r="I5818" t="str">
            <v>40313</v>
          </cell>
        </row>
        <row r="5819">
          <cell r="G5819" t="str">
            <v>Xã Nghĩa Lộc</v>
          </cell>
          <cell r="I5819" t="str">
            <v>40313</v>
          </cell>
        </row>
        <row r="5820">
          <cell r="G5820" t="str">
            <v>Thị trấn Nghĩa Đàn</v>
          </cell>
          <cell r="I5820" t="str">
            <v>40313</v>
          </cell>
        </row>
        <row r="5821">
          <cell r="G5821" t="str">
            <v>Phưòng Hòa Hiếu</v>
          </cell>
          <cell r="I5821" t="str">
            <v>40314</v>
          </cell>
        </row>
        <row r="5822">
          <cell r="G5822" t="str">
            <v>Phường Quang Tiến</v>
          </cell>
          <cell r="I5822" t="str">
            <v>40314</v>
          </cell>
        </row>
        <row r="5823">
          <cell r="G5823" t="str">
            <v>Phường Long Sơn</v>
          </cell>
          <cell r="I5823" t="str">
            <v>40314</v>
          </cell>
        </row>
        <row r="5824">
          <cell r="G5824" t="str">
            <v>Phường Quang Phong</v>
          </cell>
          <cell r="I5824" t="str">
            <v>40314</v>
          </cell>
        </row>
        <row r="5825">
          <cell r="G5825" t="str">
            <v>Xã Nghĩa Mỹ</v>
          </cell>
          <cell r="I5825" t="str">
            <v>40314</v>
          </cell>
        </row>
        <row r="5826">
          <cell r="G5826" t="str">
            <v xml:space="preserve">Xã Nghĩa Thuận </v>
          </cell>
          <cell r="I5826" t="str">
            <v>40314</v>
          </cell>
        </row>
        <row r="5827">
          <cell r="G5827" t="str">
            <v>Xã Nghĩa Tiến</v>
          </cell>
          <cell r="I5827" t="str">
            <v>40314</v>
          </cell>
        </row>
        <row r="5828">
          <cell r="G5828" t="str">
            <v>Xã Đông Hiếu</v>
          </cell>
          <cell r="I5828" t="str">
            <v>40314</v>
          </cell>
        </row>
        <row r="5829">
          <cell r="G5829" t="str">
            <v>Xã Tây Hiếu</v>
          </cell>
          <cell r="I5829" t="str">
            <v>40314</v>
          </cell>
        </row>
        <row r="5830">
          <cell r="G5830" t="str">
            <v xml:space="preserve">Xã Nghĩa Hòa </v>
          </cell>
          <cell r="I5830" t="str">
            <v>40314</v>
          </cell>
        </row>
        <row r="5831">
          <cell r="G5831" t="str">
            <v xml:space="preserve">Xã Nga My </v>
          </cell>
          <cell r="I5831" t="str">
            <v>40315</v>
          </cell>
        </row>
        <row r="5832">
          <cell r="G5832" t="str">
            <v xml:space="preserve">Xã Tam Hợp  </v>
          </cell>
          <cell r="I5832" t="str">
            <v>40315</v>
          </cell>
        </row>
        <row r="5833">
          <cell r="G5833" t="str">
            <v>Xã Hữu Khuông</v>
          </cell>
          <cell r="I5833" t="str">
            <v>40315</v>
          </cell>
        </row>
        <row r="5834">
          <cell r="G5834" t="str">
            <v>Xã Xiêng My</v>
          </cell>
          <cell r="I5834" t="str">
            <v>40315</v>
          </cell>
        </row>
        <row r="5835">
          <cell r="G5835" t="str">
            <v xml:space="preserve">Xã Yên Hòa   </v>
          </cell>
          <cell r="I5835" t="str">
            <v>40315</v>
          </cell>
        </row>
        <row r="5836">
          <cell r="G5836" t="str">
            <v>Xã Thạch Giám</v>
          </cell>
          <cell r="I5836" t="str">
            <v>40315</v>
          </cell>
        </row>
        <row r="5837">
          <cell r="G5837" t="str">
            <v xml:space="preserve">Xã Tam Quang </v>
          </cell>
          <cell r="I5837" t="str">
            <v>40315</v>
          </cell>
        </row>
        <row r="5838">
          <cell r="G5838" t="str">
            <v>Thị trấn Hòa Bình</v>
          </cell>
          <cell r="I5838" t="str">
            <v>40315</v>
          </cell>
        </row>
        <row r="5839">
          <cell r="G5839" t="str">
            <v xml:space="preserve">Xã Mai Sơn  </v>
          </cell>
          <cell r="I5839" t="str">
            <v>40315</v>
          </cell>
        </row>
        <row r="5840">
          <cell r="G5840" t="str">
            <v>Xã Nhôn Mai</v>
          </cell>
          <cell r="I5840" t="str">
            <v>40315</v>
          </cell>
        </row>
        <row r="5841">
          <cell r="G5841" t="str">
            <v>Xã Yên Tĩnh</v>
          </cell>
          <cell r="I5841" t="str">
            <v>40315</v>
          </cell>
        </row>
        <row r="5842">
          <cell r="G5842" t="str">
            <v>Xã Lưỡng Minh</v>
          </cell>
          <cell r="I5842" t="str">
            <v>40315</v>
          </cell>
        </row>
        <row r="5843">
          <cell r="G5843" t="str">
            <v>Xã Yên Na</v>
          </cell>
          <cell r="I5843" t="str">
            <v>40315</v>
          </cell>
        </row>
        <row r="5844">
          <cell r="G5844" t="str">
            <v>Xã Lưu Kiền</v>
          </cell>
          <cell r="I5844" t="str">
            <v>40315</v>
          </cell>
        </row>
        <row r="5845">
          <cell r="G5845" t="str">
            <v>Xã Xá Lượng</v>
          </cell>
          <cell r="I5845" t="str">
            <v>40315</v>
          </cell>
        </row>
        <row r="5846">
          <cell r="G5846" t="str">
            <v>Xã Tam Thái</v>
          </cell>
          <cell r="I5846" t="str">
            <v>40315</v>
          </cell>
        </row>
        <row r="5847">
          <cell r="G5847" t="str">
            <v>Xã Tam Đình</v>
          </cell>
          <cell r="I5847" t="str">
            <v>40315</v>
          </cell>
        </row>
        <row r="5848">
          <cell r="G5848" t="str">
            <v xml:space="preserve">Xã Yên Thắng    </v>
          </cell>
          <cell r="I5848" t="str">
            <v>40315</v>
          </cell>
        </row>
        <row r="5849">
          <cell r="G5849" t="str">
            <v>Xã Quỳnh Bảng</v>
          </cell>
          <cell r="I5849" t="str">
            <v>40317</v>
          </cell>
        </row>
        <row r="5850">
          <cell r="G5850" t="str">
            <v>Xã Quỳnh Diễn</v>
          </cell>
          <cell r="I5850" t="str">
            <v>40317</v>
          </cell>
        </row>
        <row r="5851">
          <cell r="G5851" t="str">
            <v>Xã Quỳnh Yên</v>
          </cell>
          <cell r="I5851" t="str">
            <v>40317</v>
          </cell>
        </row>
        <row r="5852">
          <cell r="G5852" t="str">
            <v xml:space="preserve">Xã Quỳnh Hưng </v>
          </cell>
          <cell r="I5852" t="str">
            <v>40317</v>
          </cell>
        </row>
        <row r="5853">
          <cell r="G5853" t="str">
            <v xml:space="preserve">Xã An Hòa   </v>
          </cell>
          <cell r="I5853" t="str">
            <v>40317</v>
          </cell>
        </row>
        <row r="5854">
          <cell r="G5854" t="str">
            <v>Xã Quỳnh Thuận</v>
          </cell>
          <cell r="I5854" t="str">
            <v>40317</v>
          </cell>
        </row>
        <row r="5855">
          <cell r="G5855" t="str">
            <v>Xã Quỳnh Tam</v>
          </cell>
          <cell r="I5855" t="str">
            <v>40317</v>
          </cell>
        </row>
        <row r="5856">
          <cell r="G5856" t="str">
            <v>Xã Quỳnh Thắng</v>
          </cell>
          <cell r="I5856" t="str">
            <v>40317</v>
          </cell>
        </row>
        <row r="5857">
          <cell r="G5857" t="str">
            <v xml:space="preserve">Xã Quỳnh Hoa </v>
          </cell>
          <cell r="I5857" t="str">
            <v>40317</v>
          </cell>
        </row>
        <row r="5858">
          <cell r="G5858" t="str">
            <v>Xã Quỳnh Thạch</v>
          </cell>
          <cell r="I5858" t="str">
            <v>40317</v>
          </cell>
        </row>
        <row r="5859">
          <cell r="G5859" t="str">
            <v xml:space="preserve">Xã Quỳnh Mỹ </v>
          </cell>
          <cell r="I5859" t="str">
            <v>40317</v>
          </cell>
        </row>
        <row r="5860">
          <cell r="G5860" t="str">
            <v>Xã Quỳnh Thanh</v>
          </cell>
          <cell r="I5860" t="str">
            <v>40317</v>
          </cell>
        </row>
        <row r="5861">
          <cell r="G5861" t="str">
            <v>Xã Quỳnh Hậu</v>
          </cell>
          <cell r="I5861" t="str">
            <v>40317</v>
          </cell>
        </row>
        <row r="5862">
          <cell r="G5862" t="str">
            <v xml:space="preserve">Xã Quỳnh Lâm </v>
          </cell>
          <cell r="I5862" t="str">
            <v>40317</v>
          </cell>
        </row>
        <row r="5863">
          <cell r="G5863" t="str">
            <v>Xã Quỳnh Đôi</v>
          </cell>
          <cell r="I5863" t="str">
            <v>40317</v>
          </cell>
        </row>
        <row r="5864">
          <cell r="G5864" t="str">
            <v>Xã Quỳnh Lương</v>
          </cell>
          <cell r="I5864" t="str">
            <v>40317</v>
          </cell>
        </row>
        <row r="5865">
          <cell r="G5865" t="str">
            <v xml:space="preserve">Xã Quỳnh Hồng </v>
          </cell>
          <cell r="I5865" t="str">
            <v>40317</v>
          </cell>
        </row>
        <row r="5866">
          <cell r="G5866" t="str">
            <v>Xã Quỳnh Bá</v>
          </cell>
          <cell r="I5866" t="str">
            <v>40317</v>
          </cell>
        </row>
        <row r="5867">
          <cell r="G5867" t="str">
            <v xml:space="preserve">Xã Quỳnh Minh </v>
          </cell>
          <cell r="I5867" t="str">
            <v>40317</v>
          </cell>
        </row>
        <row r="5868">
          <cell r="G5868" t="str">
            <v>Xã Quỳnh Giang</v>
          </cell>
          <cell r="I5868" t="str">
            <v>40317</v>
          </cell>
        </row>
        <row r="5869">
          <cell r="G5869" t="str">
            <v xml:space="preserve">Xã Quỳnh Ngọc </v>
          </cell>
          <cell r="I5869" t="str">
            <v>40317</v>
          </cell>
        </row>
        <row r="5870">
          <cell r="G5870" t="str">
            <v>Xã Quỳnh Nghĩa</v>
          </cell>
          <cell r="I5870" t="str">
            <v>40317</v>
          </cell>
        </row>
        <row r="5871">
          <cell r="G5871" t="str">
            <v>Xã Tiến Thủy</v>
          </cell>
          <cell r="I5871" t="str">
            <v>40317</v>
          </cell>
        </row>
        <row r="5872">
          <cell r="G5872" t="str">
            <v xml:space="preserve">Xã Sơn Hải  </v>
          </cell>
          <cell r="I5872" t="str">
            <v>40317</v>
          </cell>
        </row>
        <row r="5873">
          <cell r="G5873" t="str">
            <v xml:space="preserve">Xã Quỳnh Thọ </v>
          </cell>
          <cell r="I5873" t="str">
            <v>40317</v>
          </cell>
        </row>
        <row r="5874">
          <cell r="G5874" t="str">
            <v>Xã Quỳnh Long</v>
          </cell>
          <cell r="I5874" t="str">
            <v>40317</v>
          </cell>
        </row>
        <row r="5875">
          <cell r="G5875" t="str">
            <v>Xã Tân Thắng</v>
          </cell>
          <cell r="I5875" t="str">
            <v>40317</v>
          </cell>
        </row>
        <row r="5876">
          <cell r="G5876" t="str">
            <v>Thị trấn Cầu Giát</v>
          </cell>
          <cell r="I5876" t="str">
            <v>40317</v>
          </cell>
        </row>
        <row r="5877">
          <cell r="G5877" t="str">
            <v>Xã Quỳnh Tân</v>
          </cell>
          <cell r="I5877" t="str">
            <v>40317</v>
          </cell>
        </row>
        <row r="5878">
          <cell r="G5878" t="str">
            <v xml:space="preserve">Xã Quỳnh Châu </v>
          </cell>
          <cell r="I5878" t="str">
            <v>40317</v>
          </cell>
        </row>
        <row r="5879">
          <cell r="G5879" t="str">
            <v xml:space="preserve">Xã Tân Sơn     </v>
          </cell>
          <cell r="I5879" t="str">
            <v>40317</v>
          </cell>
        </row>
        <row r="5880">
          <cell r="G5880" t="str">
            <v>Xã Quỳnh Văn</v>
          </cell>
          <cell r="I5880" t="str">
            <v>40317</v>
          </cell>
        </row>
        <row r="5881">
          <cell r="G5881" t="str">
            <v xml:space="preserve">Xã Ngọc Sơn     </v>
          </cell>
          <cell r="I5881" t="str">
            <v>40317</v>
          </cell>
        </row>
        <row r="5882">
          <cell r="G5882" t="str">
            <v xml:space="preserve">Xã Tân Hợp  </v>
          </cell>
          <cell r="I5882" t="str">
            <v>40319</v>
          </cell>
        </row>
        <row r="5883">
          <cell r="G5883" t="str">
            <v xml:space="preserve">Xã Tân An    </v>
          </cell>
          <cell r="I5883" t="str">
            <v>40319</v>
          </cell>
        </row>
        <row r="5884">
          <cell r="G5884" t="str">
            <v>Thị trấn Tân Kỳ</v>
          </cell>
          <cell r="I5884" t="str">
            <v>40319</v>
          </cell>
        </row>
        <row r="5885">
          <cell r="G5885" t="str">
            <v>Xã Giai Xuân</v>
          </cell>
          <cell r="I5885" t="str">
            <v>40319</v>
          </cell>
        </row>
        <row r="5886">
          <cell r="G5886" t="str">
            <v xml:space="preserve">Xã Nghĩa Thái </v>
          </cell>
          <cell r="I5886" t="str">
            <v>40319</v>
          </cell>
        </row>
        <row r="5887">
          <cell r="G5887" t="str">
            <v>Xã Tiên Kỳ</v>
          </cell>
          <cell r="I5887" t="str">
            <v>40319</v>
          </cell>
        </row>
        <row r="5888">
          <cell r="G5888" t="str">
            <v xml:space="preserve">Xã Kỳ Sơn  </v>
          </cell>
          <cell r="I5888" t="str">
            <v>40319</v>
          </cell>
        </row>
        <row r="5889">
          <cell r="G5889" t="str">
            <v>Xã Nghĩa Hành</v>
          </cell>
          <cell r="I5889" t="str">
            <v>40319</v>
          </cell>
        </row>
        <row r="5890">
          <cell r="G5890" t="str">
            <v xml:space="preserve">Xã Tân Phú   </v>
          </cell>
          <cell r="I5890" t="str">
            <v>40319</v>
          </cell>
        </row>
        <row r="5891">
          <cell r="G5891" t="str">
            <v xml:space="preserve">Xã Tân Xuân </v>
          </cell>
          <cell r="I5891" t="str">
            <v>40319</v>
          </cell>
        </row>
        <row r="5892">
          <cell r="G5892" t="str">
            <v xml:space="preserve">Xã Nghĩa Bình  </v>
          </cell>
          <cell r="I5892" t="str">
            <v>40319</v>
          </cell>
        </row>
        <row r="5893">
          <cell r="G5893" t="str">
            <v xml:space="preserve">Xã Nghĩa Đồng </v>
          </cell>
          <cell r="I5893" t="str">
            <v>40319</v>
          </cell>
        </row>
        <row r="5894">
          <cell r="G5894" t="str">
            <v xml:space="preserve">Xã Đồng Văn   </v>
          </cell>
          <cell r="I5894" t="str">
            <v>40319</v>
          </cell>
        </row>
        <row r="5895">
          <cell r="G5895" t="str">
            <v>Xã Nghĩa Hợp</v>
          </cell>
          <cell r="I5895" t="str">
            <v>40319</v>
          </cell>
        </row>
        <row r="5896">
          <cell r="G5896" t="str">
            <v>Xã Nghĩa Hoàn</v>
          </cell>
          <cell r="I5896" t="str">
            <v>40319</v>
          </cell>
        </row>
        <row r="5897">
          <cell r="G5897" t="str">
            <v xml:space="preserve">Xã Nghĩa Phúc  </v>
          </cell>
          <cell r="I5897" t="str">
            <v>40319</v>
          </cell>
        </row>
        <row r="5898">
          <cell r="G5898" t="str">
            <v>Xã Nghĩa Dũng</v>
          </cell>
          <cell r="I5898" t="str">
            <v>40319</v>
          </cell>
        </row>
        <row r="5899">
          <cell r="G5899" t="str">
            <v xml:space="preserve">Xã Tân Long  </v>
          </cell>
          <cell r="I5899" t="str">
            <v>40319</v>
          </cell>
        </row>
        <row r="5900">
          <cell r="G5900" t="str">
            <v xml:space="preserve">Xã Hương Sơn    </v>
          </cell>
          <cell r="I5900" t="str">
            <v>40319</v>
          </cell>
        </row>
        <row r="5901">
          <cell r="G5901" t="str">
            <v xml:space="preserve">Xã Kỳ Tân </v>
          </cell>
          <cell r="I5901" t="str">
            <v>40319</v>
          </cell>
        </row>
        <row r="5902">
          <cell r="G5902" t="str">
            <v xml:space="preserve">Xã Phú Sơn    </v>
          </cell>
          <cell r="I5902" t="str">
            <v>40319</v>
          </cell>
        </row>
        <row r="5903">
          <cell r="G5903" t="str">
            <v xml:space="preserve">Xã Tân Sơn      </v>
          </cell>
          <cell r="I5903" t="str">
            <v>40319</v>
          </cell>
        </row>
        <row r="5904">
          <cell r="G5904" t="str">
            <v xml:space="preserve">Xã Tân Hương    </v>
          </cell>
          <cell r="I5904" t="str">
            <v>40319</v>
          </cell>
        </row>
        <row r="5905">
          <cell r="G5905" t="str">
            <v>Thị trấn Con Cuông</v>
          </cell>
          <cell r="I5905" t="str">
            <v>40321</v>
          </cell>
        </row>
        <row r="5906">
          <cell r="G5906" t="str">
            <v>Xã Bình Chuẩn</v>
          </cell>
          <cell r="I5906" t="str">
            <v>40321</v>
          </cell>
        </row>
        <row r="5907">
          <cell r="G5907" t="str">
            <v>Xã Đôn Phục</v>
          </cell>
          <cell r="I5907" t="str">
            <v>40321</v>
          </cell>
        </row>
        <row r="5908">
          <cell r="G5908" t="str">
            <v>Xã Bồng Khê</v>
          </cell>
          <cell r="I5908" t="str">
            <v>40321</v>
          </cell>
        </row>
        <row r="5909">
          <cell r="G5909" t="str">
            <v>Xã Lạng Khê</v>
          </cell>
          <cell r="I5909" t="str">
            <v>40321</v>
          </cell>
        </row>
        <row r="5910">
          <cell r="G5910" t="str">
            <v>Xã Cam Lâm</v>
          </cell>
          <cell r="I5910" t="str">
            <v>40321</v>
          </cell>
        </row>
        <row r="5911">
          <cell r="G5911" t="str">
            <v>Xã Thạch Ngàn</v>
          </cell>
          <cell r="I5911" t="str">
            <v>40321</v>
          </cell>
        </row>
        <row r="5912">
          <cell r="G5912" t="str">
            <v>Xã Mậu Đức</v>
          </cell>
          <cell r="I5912" t="str">
            <v>40321</v>
          </cell>
        </row>
        <row r="5913">
          <cell r="G5913" t="str">
            <v>Xã Châu Khê</v>
          </cell>
          <cell r="I5913" t="str">
            <v>40321</v>
          </cell>
        </row>
        <row r="5914">
          <cell r="G5914" t="str">
            <v>Xã Chi Khê</v>
          </cell>
          <cell r="I5914" t="str">
            <v>40321</v>
          </cell>
        </row>
        <row r="5915">
          <cell r="G5915" t="str">
            <v>Xã Yên Khê</v>
          </cell>
          <cell r="I5915" t="str">
            <v>40321</v>
          </cell>
        </row>
        <row r="5916">
          <cell r="G5916" t="str">
            <v>Xã Lục Dạ</v>
          </cell>
          <cell r="I5916" t="str">
            <v>40321</v>
          </cell>
        </row>
        <row r="5917">
          <cell r="G5917" t="str">
            <v>Xã Môn Sơn</v>
          </cell>
          <cell r="I5917" t="str">
            <v>40321</v>
          </cell>
        </row>
        <row r="5918">
          <cell r="G5918" t="str">
            <v>Xã Đức Thành</v>
          </cell>
          <cell r="I5918" t="str">
            <v>40323</v>
          </cell>
        </row>
        <row r="5919">
          <cell r="G5919" t="str">
            <v>Xã Tăng Thành</v>
          </cell>
          <cell r="I5919" t="str">
            <v>40323</v>
          </cell>
        </row>
        <row r="5920">
          <cell r="G5920" t="str">
            <v>Xã Lý Thành</v>
          </cell>
          <cell r="I5920" t="str">
            <v>40323</v>
          </cell>
        </row>
        <row r="5921">
          <cell r="G5921" t="str">
            <v xml:space="preserve">Xã Tân Thành          </v>
          </cell>
          <cell r="I5921" t="str">
            <v>40323</v>
          </cell>
        </row>
        <row r="5922">
          <cell r="G5922" t="str">
            <v>Xã Đô Thành</v>
          </cell>
          <cell r="I5922" t="str">
            <v>40323</v>
          </cell>
        </row>
        <row r="5923">
          <cell r="G5923" t="str">
            <v xml:space="preserve">Xã Phúc Thành </v>
          </cell>
          <cell r="I5923" t="str">
            <v>40323</v>
          </cell>
        </row>
        <row r="5924">
          <cell r="G5924" t="str">
            <v>Xã Hoa Thành</v>
          </cell>
          <cell r="I5924" t="str">
            <v>40323</v>
          </cell>
        </row>
        <row r="5925">
          <cell r="G5925" t="str">
            <v xml:space="preserve">Xã Hợp Thành       </v>
          </cell>
          <cell r="I5925" t="str">
            <v>40323</v>
          </cell>
        </row>
        <row r="5926">
          <cell r="G5926" t="str">
            <v xml:space="preserve">Xã Trung Thành       </v>
          </cell>
          <cell r="I5926" t="str">
            <v>40323</v>
          </cell>
        </row>
        <row r="5927">
          <cell r="G5927" t="str">
            <v xml:space="preserve">Xã Vĩnh Thành </v>
          </cell>
          <cell r="I5927" t="str">
            <v>40323</v>
          </cell>
        </row>
        <row r="5928">
          <cell r="G5928" t="str">
            <v xml:space="preserve">Xã Đại Thành   </v>
          </cell>
          <cell r="I5928" t="str">
            <v>40323</v>
          </cell>
        </row>
        <row r="5929">
          <cell r="G5929" t="str">
            <v>Xã Công Thành</v>
          </cell>
          <cell r="I5929" t="str">
            <v>40323</v>
          </cell>
        </row>
        <row r="5930">
          <cell r="G5930" t="str">
            <v>Thị trấn Yên Thành</v>
          </cell>
          <cell r="I5930" t="str">
            <v>40323</v>
          </cell>
        </row>
        <row r="5931">
          <cell r="G5931" t="str">
            <v>Xã Mã Thành</v>
          </cell>
          <cell r="I5931" t="str">
            <v>40323</v>
          </cell>
        </row>
        <row r="5932">
          <cell r="G5932" t="str">
            <v>Xã Lăng Thành</v>
          </cell>
          <cell r="I5932" t="str">
            <v>40323</v>
          </cell>
        </row>
        <row r="5933">
          <cell r="G5933" t="str">
            <v>Xã Kim Thành</v>
          </cell>
          <cell r="I5933" t="str">
            <v>40323</v>
          </cell>
        </row>
        <row r="5934">
          <cell r="G5934" t="str">
            <v>Xã Hậu Thành</v>
          </cell>
          <cell r="I5934" t="str">
            <v>40323</v>
          </cell>
        </row>
        <row r="5935">
          <cell r="G5935" t="str">
            <v>Xã Thọ Thành</v>
          </cell>
          <cell r="I5935" t="str">
            <v>40323</v>
          </cell>
        </row>
        <row r="5936">
          <cell r="G5936" t="str">
            <v xml:space="preserve">Xã Quang Thành </v>
          </cell>
          <cell r="I5936" t="str">
            <v>40323</v>
          </cell>
        </row>
        <row r="5937">
          <cell r="G5937" t="str">
            <v>Xã Tây Thành</v>
          </cell>
          <cell r="I5937" t="str">
            <v>40323</v>
          </cell>
        </row>
        <row r="5938">
          <cell r="G5938" t="str">
            <v>Xã Hồng Thành</v>
          </cell>
          <cell r="I5938" t="str">
            <v>40323</v>
          </cell>
        </row>
        <row r="5939">
          <cell r="G5939" t="str">
            <v>Xã Đồng Thành</v>
          </cell>
          <cell r="I5939" t="str">
            <v>40323</v>
          </cell>
        </row>
        <row r="5940">
          <cell r="G5940" t="str">
            <v xml:space="preserve">Xã Phú Thành </v>
          </cell>
          <cell r="I5940" t="str">
            <v>40323</v>
          </cell>
        </row>
        <row r="5941">
          <cell r="G5941" t="str">
            <v>Xã Văn Thành</v>
          </cell>
          <cell r="I5941" t="str">
            <v>40323</v>
          </cell>
        </row>
        <row r="5942">
          <cell r="G5942" t="str">
            <v>Xã Thịnh Thành</v>
          </cell>
          <cell r="I5942" t="str">
            <v>40323</v>
          </cell>
        </row>
        <row r="5943">
          <cell r="G5943" t="str">
            <v xml:space="preserve">Xã Xuân Thành  </v>
          </cell>
          <cell r="I5943" t="str">
            <v>40323</v>
          </cell>
        </row>
        <row r="5944">
          <cell r="G5944" t="str">
            <v>Xã Bắc Thành</v>
          </cell>
          <cell r="I5944" t="str">
            <v>40323</v>
          </cell>
        </row>
        <row r="5945">
          <cell r="G5945" t="str">
            <v>Xã Nhân Thành</v>
          </cell>
          <cell r="I5945" t="str">
            <v>40323</v>
          </cell>
        </row>
        <row r="5946">
          <cell r="G5946" t="str">
            <v>Xã Long Thành</v>
          </cell>
          <cell r="I5946" t="str">
            <v>40323</v>
          </cell>
        </row>
        <row r="5947">
          <cell r="G5947" t="str">
            <v>Xã Minh Thành</v>
          </cell>
          <cell r="I5947" t="str">
            <v>40323</v>
          </cell>
        </row>
        <row r="5948">
          <cell r="G5948" t="str">
            <v>Xã Nam Thành</v>
          </cell>
          <cell r="I5948" t="str">
            <v>40323</v>
          </cell>
        </row>
        <row r="5949">
          <cell r="G5949" t="str">
            <v xml:space="preserve">Xã Khánh Thành </v>
          </cell>
          <cell r="I5949" t="str">
            <v>40323</v>
          </cell>
        </row>
        <row r="5950">
          <cell r="G5950" t="str">
            <v>Xã Viên Thành</v>
          </cell>
          <cell r="I5950" t="str">
            <v>40323</v>
          </cell>
        </row>
        <row r="5951">
          <cell r="G5951" t="str">
            <v>Xã Liên Thành</v>
          </cell>
          <cell r="I5951" t="str">
            <v>40323</v>
          </cell>
        </row>
        <row r="5952">
          <cell r="G5952" t="str">
            <v>Xã Bảo Thành</v>
          </cell>
          <cell r="I5952" t="str">
            <v>40323</v>
          </cell>
        </row>
        <row r="5953">
          <cell r="G5953" t="str">
            <v xml:space="preserve">Xã Mỹ Thành   </v>
          </cell>
          <cell r="I5953" t="str">
            <v>40323</v>
          </cell>
        </row>
        <row r="5954">
          <cell r="G5954" t="str">
            <v xml:space="preserve">Xã Sơn Thành </v>
          </cell>
          <cell r="I5954" t="str">
            <v>40323</v>
          </cell>
        </row>
        <row r="5955">
          <cell r="G5955" t="str">
            <v>Xã Tiến Thành</v>
          </cell>
          <cell r="I5955" t="str">
            <v>40323</v>
          </cell>
        </row>
        <row r="5956">
          <cell r="G5956" t="str">
            <v>Xã Hùng Thành</v>
          </cell>
          <cell r="I5956" t="str">
            <v>40323</v>
          </cell>
        </row>
        <row r="5957">
          <cell r="G5957" t="str">
            <v>Xã Diễn Thọ</v>
          </cell>
          <cell r="I5957" t="str">
            <v>40325</v>
          </cell>
        </row>
        <row r="5958">
          <cell r="G5958" t="str">
            <v>Xã Diễn Yên</v>
          </cell>
          <cell r="I5958" t="str">
            <v>40325</v>
          </cell>
        </row>
        <row r="5959">
          <cell r="G5959" t="str">
            <v>Xã Diễn Xuân</v>
          </cell>
          <cell r="I5959" t="str">
            <v>40325</v>
          </cell>
        </row>
        <row r="5960">
          <cell r="G5960" t="str">
            <v>Xã Diễn Bình</v>
          </cell>
          <cell r="I5960" t="str">
            <v>40325</v>
          </cell>
        </row>
        <row r="5961">
          <cell r="G5961" t="str">
            <v>Xã Diễn Đoài</v>
          </cell>
          <cell r="I5961" t="str">
            <v>40325</v>
          </cell>
        </row>
        <row r="5962">
          <cell r="G5962" t="str">
            <v>Xã Diễn Hùng</v>
          </cell>
          <cell r="I5962" t="str">
            <v>40325</v>
          </cell>
        </row>
        <row r="5963">
          <cell r="G5963" t="str">
            <v>Xã Diễn Hải</v>
          </cell>
          <cell r="I5963" t="str">
            <v>40325</v>
          </cell>
        </row>
        <row r="5964">
          <cell r="G5964" t="str">
            <v>Xã Diễn Kim</v>
          </cell>
          <cell r="I5964" t="str">
            <v>40325</v>
          </cell>
        </row>
        <row r="5965">
          <cell r="G5965" t="str">
            <v>Xã Diễn Đồng</v>
          </cell>
          <cell r="I5965" t="str">
            <v>40325</v>
          </cell>
        </row>
        <row r="5966">
          <cell r="G5966" t="str">
            <v>Xã Diễn Quảng</v>
          </cell>
          <cell r="I5966" t="str">
            <v>40325</v>
          </cell>
        </row>
        <row r="5967">
          <cell r="G5967" t="str">
            <v>Xã Diễn Phúc</v>
          </cell>
          <cell r="I5967" t="str">
            <v>40325</v>
          </cell>
        </row>
        <row r="5968">
          <cell r="G5968" t="str">
            <v>Xã Diễn Lợi</v>
          </cell>
          <cell r="I5968" t="str">
            <v>40325</v>
          </cell>
        </row>
        <row r="5969">
          <cell r="G5969" t="str">
            <v>Xã Diễn Lộc</v>
          </cell>
          <cell r="I5969" t="str">
            <v>40325</v>
          </cell>
        </row>
        <row r="5970">
          <cell r="G5970" t="str">
            <v>Xã Diễn Trung</v>
          </cell>
          <cell r="I5970" t="str">
            <v>40325</v>
          </cell>
        </row>
        <row r="5971">
          <cell r="G5971" t="str">
            <v>Xã Diễn An</v>
          </cell>
          <cell r="I5971" t="str">
            <v>40325</v>
          </cell>
        </row>
        <row r="5972">
          <cell r="G5972" t="str">
            <v>Xã Diễn Phú</v>
          </cell>
          <cell r="I5972" t="str">
            <v>40325</v>
          </cell>
        </row>
        <row r="5973">
          <cell r="G5973" t="str">
            <v>Xã Diễn Thắng</v>
          </cell>
          <cell r="I5973" t="str">
            <v>40325</v>
          </cell>
        </row>
        <row r="5974">
          <cell r="G5974" t="str">
            <v>Thị trấn Diễn Châu</v>
          </cell>
          <cell r="I5974" t="str">
            <v>40325</v>
          </cell>
        </row>
        <row r="5975">
          <cell r="G5975" t="str">
            <v>Xã Diễn Lâm</v>
          </cell>
          <cell r="I5975" t="str">
            <v>40325</v>
          </cell>
        </row>
        <row r="5976">
          <cell r="G5976" t="str">
            <v>Xã Diễn Trường</v>
          </cell>
          <cell r="I5976" t="str">
            <v>40325</v>
          </cell>
        </row>
        <row r="5977">
          <cell r="G5977" t="str">
            <v>Xã Diễn Hoàng</v>
          </cell>
          <cell r="I5977" t="str">
            <v>40325</v>
          </cell>
        </row>
        <row r="5978">
          <cell r="G5978" t="str">
            <v>Xã Diễn Mỹ</v>
          </cell>
          <cell r="I5978" t="str">
            <v>40325</v>
          </cell>
        </row>
        <row r="5979">
          <cell r="G5979" t="str">
            <v>Xã Diễn Hồng</v>
          </cell>
          <cell r="I5979" t="str">
            <v>40325</v>
          </cell>
        </row>
        <row r="5980">
          <cell r="G5980" t="str">
            <v>Xã Diễn Phong</v>
          </cell>
          <cell r="I5980" t="str">
            <v>40325</v>
          </cell>
        </row>
        <row r="5981">
          <cell r="G5981" t="str">
            <v>Xã Diễn Tháp</v>
          </cell>
          <cell r="I5981" t="str">
            <v>40325</v>
          </cell>
        </row>
        <row r="5982">
          <cell r="G5982" t="str">
            <v>Xã Diễn Liên</v>
          </cell>
          <cell r="I5982" t="str">
            <v>40325</v>
          </cell>
        </row>
        <row r="5983">
          <cell r="G5983" t="str">
            <v>Xã Diễn Vạn</v>
          </cell>
          <cell r="I5983" t="str">
            <v>40325</v>
          </cell>
        </row>
        <row r="5984">
          <cell r="G5984" t="str">
            <v>Xã Diễn Kỷ</v>
          </cell>
          <cell r="I5984" t="str">
            <v>40325</v>
          </cell>
        </row>
        <row r="5985">
          <cell r="G5985" t="str">
            <v>Xã Diễn Thái</v>
          </cell>
          <cell r="I5985" t="str">
            <v>40325</v>
          </cell>
        </row>
        <row r="5986">
          <cell r="G5986" t="str">
            <v>Xã Diễn Bích</v>
          </cell>
          <cell r="I5986" t="str">
            <v>40325</v>
          </cell>
        </row>
        <row r="5987">
          <cell r="G5987" t="str">
            <v>Xã Diễn Hạnh</v>
          </cell>
          <cell r="I5987" t="str">
            <v>40325</v>
          </cell>
        </row>
        <row r="5988">
          <cell r="G5988" t="str">
            <v>Xã Diễn Ngọc</v>
          </cell>
          <cell r="I5988" t="str">
            <v>40325</v>
          </cell>
        </row>
        <row r="5989">
          <cell r="G5989" t="str">
            <v>Xã Diễn Nguyên</v>
          </cell>
          <cell r="I5989" t="str">
            <v>40325</v>
          </cell>
        </row>
        <row r="5990">
          <cell r="G5990" t="str">
            <v>Xã Diễn Hoa</v>
          </cell>
          <cell r="I5990" t="str">
            <v>40325</v>
          </cell>
        </row>
        <row r="5991">
          <cell r="G5991" t="str">
            <v>Xã Diễn Thành</v>
          </cell>
          <cell r="I5991" t="str">
            <v>40325</v>
          </cell>
        </row>
        <row r="5992">
          <cell r="G5992" t="str">
            <v>Xã Diễn Minh</v>
          </cell>
          <cell r="I5992" t="str">
            <v>40325</v>
          </cell>
        </row>
        <row r="5993">
          <cell r="G5993" t="str">
            <v>Xã Diễn Cát</v>
          </cell>
          <cell r="I5993" t="str">
            <v>40325</v>
          </cell>
        </row>
        <row r="5994">
          <cell r="G5994" t="str">
            <v>Xã Diễn Thịnh</v>
          </cell>
          <cell r="I5994" t="str">
            <v>40325</v>
          </cell>
        </row>
        <row r="5995">
          <cell r="G5995" t="str">
            <v>Xã Diễn Tân</v>
          </cell>
          <cell r="I5995" t="str">
            <v>40325</v>
          </cell>
        </row>
        <row r="5996">
          <cell r="G5996" t="str">
            <v xml:space="preserve">Xã Thọ Sơn </v>
          </cell>
          <cell r="I5996" t="str">
            <v>40327</v>
          </cell>
        </row>
        <row r="5997">
          <cell r="G5997" t="str">
            <v>Xã Lạng Sơn</v>
          </cell>
          <cell r="I5997" t="str">
            <v>40327</v>
          </cell>
        </row>
        <row r="5998">
          <cell r="G5998" t="str">
            <v xml:space="preserve">Xã Bình Sơn    </v>
          </cell>
          <cell r="I5998" t="str">
            <v>40327</v>
          </cell>
        </row>
        <row r="5999">
          <cell r="G5999" t="str">
            <v xml:space="preserve">Xã Cẩm Sơn  </v>
          </cell>
          <cell r="I5999" t="str">
            <v>40327</v>
          </cell>
        </row>
        <row r="6000">
          <cell r="G6000" t="str">
            <v>Xã Tào Sơn</v>
          </cell>
          <cell r="I6000" t="str">
            <v>40327</v>
          </cell>
        </row>
        <row r="6001">
          <cell r="G6001" t="str">
            <v xml:space="preserve">Xã Thạch Sơn   </v>
          </cell>
          <cell r="I6001" t="str">
            <v>40327</v>
          </cell>
        </row>
        <row r="6002">
          <cell r="G6002" t="str">
            <v>Xã Lĩnh Sơn</v>
          </cell>
          <cell r="I6002" t="str">
            <v>40327</v>
          </cell>
        </row>
        <row r="6003">
          <cell r="G6003" t="str">
            <v>Thị trấn Anh Sơn</v>
          </cell>
          <cell r="I6003" t="str">
            <v>40327</v>
          </cell>
        </row>
        <row r="6004">
          <cell r="G6004" t="str">
            <v xml:space="preserve">Xã Thành Sơn  </v>
          </cell>
          <cell r="I6004" t="str">
            <v>40327</v>
          </cell>
        </row>
        <row r="6005">
          <cell r="G6005" t="str">
            <v xml:space="preserve">Xã Tam Sơn  </v>
          </cell>
          <cell r="I6005" t="str">
            <v>40327</v>
          </cell>
        </row>
        <row r="6006">
          <cell r="G6006" t="str">
            <v>Xã Đỉnh Sơn</v>
          </cell>
          <cell r="I6006" t="str">
            <v>40327</v>
          </cell>
        </row>
        <row r="6007">
          <cell r="G6007" t="str">
            <v xml:space="preserve">Xã Hùng Sơn    </v>
          </cell>
          <cell r="I6007" t="str">
            <v>40327</v>
          </cell>
        </row>
        <row r="6008">
          <cell r="G6008" t="str">
            <v>Xã Đức Sơn</v>
          </cell>
          <cell r="I6008" t="str">
            <v>40327</v>
          </cell>
        </row>
        <row r="6009">
          <cell r="G6009" t="str">
            <v>Xã Tường Sơn</v>
          </cell>
          <cell r="I6009" t="str">
            <v>40327</v>
          </cell>
        </row>
        <row r="6010">
          <cell r="G6010" t="str">
            <v xml:space="preserve">Xã Vĩnh Sơn </v>
          </cell>
          <cell r="I6010" t="str">
            <v>40327</v>
          </cell>
        </row>
        <row r="6011">
          <cell r="G6011" t="str">
            <v>Xã Hội Sơn</v>
          </cell>
          <cell r="I6011" t="str">
            <v>40327</v>
          </cell>
        </row>
        <row r="6012">
          <cell r="G6012" t="str">
            <v xml:space="preserve">Xã Phúc Sơn   </v>
          </cell>
          <cell r="I6012" t="str">
            <v>40327</v>
          </cell>
        </row>
        <row r="6013">
          <cell r="G6013" t="str">
            <v xml:space="preserve">Xã Long Sơn  </v>
          </cell>
          <cell r="I6013" t="str">
            <v>40327</v>
          </cell>
        </row>
        <row r="6014">
          <cell r="G6014" t="str">
            <v>Xã Khai Sơn</v>
          </cell>
          <cell r="I6014" t="str">
            <v>40327</v>
          </cell>
        </row>
        <row r="6015">
          <cell r="G6015" t="str">
            <v xml:space="preserve">Xã Cao Sơn   </v>
          </cell>
          <cell r="I6015" t="str">
            <v>40327</v>
          </cell>
        </row>
        <row r="6016">
          <cell r="G6016" t="str">
            <v xml:space="preserve">Xã Hoa Sơn </v>
          </cell>
          <cell r="I6016" t="str">
            <v>40327</v>
          </cell>
        </row>
        <row r="6017">
          <cell r="G6017" t="str">
            <v>Xã Bồi Sơn</v>
          </cell>
          <cell r="I6017" t="str">
            <v>40329</v>
          </cell>
        </row>
        <row r="6018">
          <cell r="G6018" t="str">
            <v xml:space="preserve">Xã Nam Sơn       </v>
          </cell>
          <cell r="I6018" t="str">
            <v>40329</v>
          </cell>
        </row>
        <row r="6019">
          <cell r="G6019" t="str">
            <v>Xã Thuận Sơn</v>
          </cell>
          <cell r="I6019" t="str">
            <v>40329</v>
          </cell>
        </row>
        <row r="6020">
          <cell r="G6020" t="str">
            <v>Xã Mỹ Sơn</v>
          </cell>
          <cell r="I6020" t="str">
            <v>40329</v>
          </cell>
        </row>
        <row r="6021">
          <cell r="G6021" t="str">
            <v xml:space="preserve">Xã Minh Sơn    </v>
          </cell>
          <cell r="I6021" t="str">
            <v>40329</v>
          </cell>
        </row>
        <row r="6022">
          <cell r="G6022" t="str">
            <v xml:space="preserve">Xã Lam Sơn   </v>
          </cell>
          <cell r="I6022" t="str">
            <v>40329</v>
          </cell>
        </row>
        <row r="6023">
          <cell r="G6023" t="str">
            <v xml:space="preserve">Xã Ngọc Sơn      </v>
          </cell>
          <cell r="I6023" t="str">
            <v>40329</v>
          </cell>
        </row>
        <row r="6024">
          <cell r="G6024" t="str">
            <v xml:space="preserve">Xã Hòa Sơn   </v>
          </cell>
          <cell r="I6024" t="str">
            <v>40329</v>
          </cell>
        </row>
        <row r="6025">
          <cell r="G6025" t="str">
            <v>Xã Lưu Sơn</v>
          </cell>
          <cell r="I6025" t="str">
            <v>40329</v>
          </cell>
        </row>
        <row r="6026">
          <cell r="G6026" t="str">
            <v>Xã Đà Sơn</v>
          </cell>
          <cell r="I6026" t="str">
            <v>40329</v>
          </cell>
        </row>
        <row r="6027">
          <cell r="G6027" t="str">
            <v xml:space="preserve">Xã Quang Sơn   </v>
          </cell>
          <cell r="I6027" t="str">
            <v>40329</v>
          </cell>
        </row>
        <row r="6028">
          <cell r="G6028" t="str">
            <v>Thị trấn Đô Lương</v>
          </cell>
          <cell r="I6028" t="str">
            <v>40329</v>
          </cell>
        </row>
        <row r="6029">
          <cell r="G6029" t="str">
            <v xml:space="preserve">Xã Hồng Sơn </v>
          </cell>
          <cell r="I6029" t="str">
            <v>40329</v>
          </cell>
        </row>
        <row r="6030">
          <cell r="G6030" t="str">
            <v>Xã Bài Sơn</v>
          </cell>
          <cell r="I6030" t="str">
            <v>40329</v>
          </cell>
        </row>
        <row r="6031">
          <cell r="G6031" t="str">
            <v xml:space="preserve">Xã Bắc Sơn         </v>
          </cell>
          <cell r="I6031" t="str">
            <v>40329</v>
          </cell>
        </row>
        <row r="6032">
          <cell r="G6032" t="str">
            <v xml:space="preserve">Xã Tràng Sơn </v>
          </cell>
          <cell r="I6032" t="str">
            <v>40329</v>
          </cell>
        </row>
        <row r="6033">
          <cell r="G6033" t="str">
            <v xml:space="preserve">Xã Thượng Sơn </v>
          </cell>
          <cell r="I6033" t="str">
            <v>40329</v>
          </cell>
        </row>
        <row r="6034">
          <cell r="G6034" t="str">
            <v>Xã Đặng Sơn</v>
          </cell>
          <cell r="I6034" t="str">
            <v>40329</v>
          </cell>
        </row>
        <row r="6035">
          <cell r="G6035" t="str">
            <v xml:space="preserve">Xã Đông Sơn     </v>
          </cell>
          <cell r="I6035" t="str">
            <v>40329</v>
          </cell>
        </row>
        <row r="6036">
          <cell r="G6036" t="str">
            <v xml:space="preserve">Xã Yên Sơn        </v>
          </cell>
          <cell r="I6036" t="str">
            <v>40329</v>
          </cell>
        </row>
        <row r="6037">
          <cell r="G6037" t="str">
            <v xml:space="preserve">Xã Văn Sơn   </v>
          </cell>
          <cell r="I6037" t="str">
            <v>40329</v>
          </cell>
        </row>
        <row r="6038">
          <cell r="G6038" t="str">
            <v>Xã Lạc Sơn</v>
          </cell>
          <cell r="I6038" t="str">
            <v>40329</v>
          </cell>
        </row>
        <row r="6039">
          <cell r="G6039" t="str">
            <v xml:space="preserve">Xã Tân Sơn       </v>
          </cell>
          <cell r="I6039" t="str">
            <v>40329</v>
          </cell>
        </row>
        <row r="6040">
          <cell r="G6040" t="str">
            <v xml:space="preserve">Xã Thái Sơn      </v>
          </cell>
          <cell r="I6040" t="str">
            <v>40329</v>
          </cell>
        </row>
        <row r="6041">
          <cell r="G6041" t="str">
            <v>Xã Thịnh Sơn</v>
          </cell>
          <cell r="I6041" t="str">
            <v>40329</v>
          </cell>
        </row>
        <row r="6042">
          <cell r="G6042" t="str">
            <v xml:space="preserve">Xã Trung Sơn     </v>
          </cell>
          <cell r="I6042" t="str">
            <v>40329</v>
          </cell>
        </row>
        <row r="6043">
          <cell r="G6043" t="str">
            <v xml:space="preserve">Xã Xuân Sơn    </v>
          </cell>
          <cell r="I6043" t="str">
            <v>40329</v>
          </cell>
        </row>
        <row r="6044">
          <cell r="G6044" t="str">
            <v>Xã Nhân Sơn</v>
          </cell>
          <cell r="I6044" t="str">
            <v>40329</v>
          </cell>
        </row>
        <row r="6045">
          <cell r="G6045" t="str">
            <v>Xã Hiến Sơn</v>
          </cell>
          <cell r="I6045" t="str">
            <v>40329</v>
          </cell>
        </row>
        <row r="6046">
          <cell r="G6046" t="str">
            <v>Xã Trù Sơn</v>
          </cell>
          <cell r="I6046" t="str">
            <v>40329</v>
          </cell>
        </row>
        <row r="6047">
          <cell r="G6047" t="str">
            <v xml:space="preserve">Xã Đại Sơn  </v>
          </cell>
          <cell r="I6047" t="str">
            <v>40329</v>
          </cell>
        </row>
        <row r="6048">
          <cell r="G6048" t="str">
            <v>Xã Giang Sơn Đông</v>
          </cell>
          <cell r="I6048" t="str">
            <v>40329</v>
          </cell>
        </row>
        <row r="6049">
          <cell r="G6049" t="str">
            <v>Xã Giang Sơn Tây</v>
          </cell>
          <cell r="I6049" t="str">
            <v>40329</v>
          </cell>
        </row>
        <row r="6050">
          <cell r="G6050" t="str">
            <v xml:space="preserve">Xã Thanh Phong  </v>
          </cell>
          <cell r="I6050" t="str">
            <v>40331</v>
          </cell>
        </row>
        <row r="6051">
          <cell r="G6051" t="str">
            <v xml:space="preserve">Xã Ngọc Sơn       </v>
          </cell>
          <cell r="I6051" t="str">
            <v>40331</v>
          </cell>
        </row>
        <row r="6052">
          <cell r="G6052" t="str">
            <v xml:space="preserve">Xã Thanh Yên </v>
          </cell>
          <cell r="I6052" t="str">
            <v>40331</v>
          </cell>
        </row>
        <row r="6053">
          <cell r="G6053" t="str">
            <v xml:space="preserve">Xã Thanh Đức </v>
          </cell>
          <cell r="I6053" t="str">
            <v>40331</v>
          </cell>
        </row>
        <row r="6054">
          <cell r="G6054" t="str">
            <v>Xã Cát Văn</v>
          </cell>
          <cell r="I6054" t="str">
            <v>40331</v>
          </cell>
        </row>
        <row r="6055">
          <cell r="G6055" t="str">
            <v xml:space="preserve">Xã Thanh Hòa </v>
          </cell>
          <cell r="I6055" t="str">
            <v>40331</v>
          </cell>
        </row>
        <row r="6056">
          <cell r="G6056" t="str">
            <v>Xã Thanh Tiên</v>
          </cell>
          <cell r="I6056" t="str">
            <v>40331</v>
          </cell>
        </row>
        <row r="6057">
          <cell r="G6057" t="str">
            <v xml:space="preserve">Xã Thanh Văn </v>
          </cell>
          <cell r="I6057" t="str">
            <v>40331</v>
          </cell>
        </row>
        <row r="6058">
          <cell r="G6058" t="str">
            <v>Xã Thanh Lĩnh</v>
          </cell>
          <cell r="I6058" t="str">
            <v>40331</v>
          </cell>
        </row>
        <row r="6059">
          <cell r="G6059" t="str">
            <v>Xã Thanh Chi</v>
          </cell>
          <cell r="I6059" t="str">
            <v>40331</v>
          </cell>
        </row>
        <row r="6060">
          <cell r="G6060" t="str">
            <v xml:space="preserve">Xã Thanh Khê </v>
          </cell>
          <cell r="I6060" t="str">
            <v>40331</v>
          </cell>
        </row>
        <row r="6061">
          <cell r="G6061" t="str">
            <v>Xã Thanh Khai</v>
          </cell>
          <cell r="I6061" t="str">
            <v>40331</v>
          </cell>
        </row>
        <row r="6062">
          <cell r="G6062" t="str">
            <v xml:space="preserve">Xã Thanh Tùng </v>
          </cell>
          <cell r="I6062" t="str">
            <v>40331</v>
          </cell>
        </row>
        <row r="6063">
          <cell r="G6063" t="str">
            <v xml:space="preserve">Xã Thanh Xuân    </v>
          </cell>
          <cell r="I6063" t="str">
            <v>40331</v>
          </cell>
        </row>
        <row r="6064">
          <cell r="G6064" t="str">
            <v>Thị trấn Thanh Chương</v>
          </cell>
          <cell r="I6064" t="str">
            <v>40331</v>
          </cell>
        </row>
        <row r="6065">
          <cell r="G6065" t="str">
            <v>Xã Thanh Nho</v>
          </cell>
          <cell r="I6065" t="str">
            <v>40331</v>
          </cell>
        </row>
        <row r="6066">
          <cell r="G6066" t="str">
            <v>Xã Hạnh Lâm</v>
          </cell>
          <cell r="I6066" t="str">
            <v>40331</v>
          </cell>
        </row>
        <row r="6067">
          <cell r="G6067" t="str">
            <v>Xã Phong Thịnh</v>
          </cell>
          <cell r="I6067" t="str">
            <v>40331</v>
          </cell>
        </row>
        <row r="6068">
          <cell r="G6068" t="str">
            <v xml:space="preserve">Xã Thanh Mỹ </v>
          </cell>
          <cell r="I6068" t="str">
            <v>40331</v>
          </cell>
        </row>
        <row r="6069">
          <cell r="G6069" t="str">
            <v xml:space="preserve">Xã Thanh Hưng </v>
          </cell>
          <cell r="I6069" t="str">
            <v>40331</v>
          </cell>
        </row>
        <row r="6070">
          <cell r="G6070" t="str">
            <v>Xã Thanh Liên</v>
          </cell>
          <cell r="I6070" t="str">
            <v>40331</v>
          </cell>
        </row>
        <row r="6071">
          <cell r="G6071" t="str">
            <v>Xã Thanh Tường</v>
          </cell>
          <cell r="I6071" t="str">
            <v>40331</v>
          </cell>
        </row>
        <row r="6072">
          <cell r="G6072" t="str">
            <v>Xã Thanh Đồng</v>
          </cell>
          <cell r="I6072" t="str">
            <v>40331</v>
          </cell>
        </row>
        <row r="6073">
          <cell r="G6073" t="str">
            <v>Xã Thanh Ngọc</v>
          </cell>
          <cell r="I6073" t="str">
            <v>40331</v>
          </cell>
        </row>
        <row r="6074">
          <cell r="G6074" t="str">
            <v xml:space="preserve">Xã Thanh Hương </v>
          </cell>
          <cell r="I6074" t="str">
            <v>40331</v>
          </cell>
        </row>
        <row r="6075">
          <cell r="G6075" t="str">
            <v xml:space="preserve">Xã Đồng Văn    </v>
          </cell>
          <cell r="I6075" t="str">
            <v>40331</v>
          </cell>
        </row>
        <row r="6076">
          <cell r="G6076" t="str">
            <v>Xã Thanh Thịnh</v>
          </cell>
          <cell r="I6076" t="str">
            <v>40331</v>
          </cell>
        </row>
        <row r="6077">
          <cell r="G6077" t="str">
            <v xml:space="preserve">Xã Thanh An  </v>
          </cell>
          <cell r="I6077" t="str">
            <v>40331</v>
          </cell>
        </row>
        <row r="6078">
          <cell r="G6078" t="str">
            <v>Xã Xuân Tường</v>
          </cell>
          <cell r="I6078" t="str">
            <v>40331</v>
          </cell>
        </row>
        <row r="6079">
          <cell r="G6079" t="str">
            <v>Xã Thanh Dương</v>
          </cell>
          <cell r="I6079" t="str">
            <v>40331</v>
          </cell>
        </row>
        <row r="6080">
          <cell r="G6080" t="str">
            <v xml:space="preserve">Xã Thanh Lương   </v>
          </cell>
          <cell r="I6080" t="str">
            <v>40331</v>
          </cell>
        </row>
        <row r="6081">
          <cell r="G6081" t="str">
            <v>Xã Võ Liệt</v>
          </cell>
          <cell r="I6081" t="str">
            <v>40331</v>
          </cell>
        </row>
        <row r="6082">
          <cell r="G6082" t="str">
            <v xml:space="preserve">Xã Thanh Long   </v>
          </cell>
          <cell r="I6082" t="str">
            <v>40331</v>
          </cell>
        </row>
        <row r="6083">
          <cell r="G6083" t="str">
            <v xml:space="preserve">Xã Thanh Thủy    </v>
          </cell>
          <cell r="I6083" t="str">
            <v>40331</v>
          </cell>
        </row>
        <row r="6084">
          <cell r="G6084" t="str">
            <v xml:space="preserve">Xã Thanh Hà  </v>
          </cell>
          <cell r="I6084" t="str">
            <v>40331</v>
          </cell>
        </row>
        <row r="6085">
          <cell r="G6085" t="str">
            <v xml:space="preserve">Xã Thanh Giang </v>
          </cell>
          <cell r="I6085" t="str">
            <v>40331</v>
          </cell>
        </row>
        <row r="6086">
          <cell r="G6086" t="str">
            <v xml:space="preserve">Xã Thanh Lâm    </v>
          </cell>
          <cell r="I6086" t="str">
            <v>40331</v>
          </cell>
        </row>
        <row r="6087">
          <cell r="G6087" t="str">
            <v xml:space="preserve">Xã Thanh Mai  </v>
          </cell>
          <cell r="I6087" t="str">
            <v>40331</v>
          </cell>
        </row>
        <row r="6088">
          <cell r="G6088" t="str">
            <v xml:space="preserve">Xã Thanh Sơn       </v>
          </cell>
          <cell r="I6088" t="str">
            <v>40331</v>
          </cell>
        </row>
        <row r="6089">
          <cell r="G6089" t="str">
            <v xml:space="preserve">Xã Ngọc Lâm </v>
          </cell>
          <cell r="I6089" t="str">
            <v>40331</v>
          </cell>
        </row>
        <row r="6090">
          <cell r="G6090" t="str">
            <v>Xã Nghi Quang</v>
          </cell>
          <cell r="I6090" t="str">
            <v>40333</v>
          </cell>
        </row>
        <row r="6091">
          <cell r="G6091" t="str">
            <v>Xã Nghi Công Nam</v>
          </cell>
          <cell r="I6091" t="str">
            <v>40333</v>
          </cell>
        </row>
        <row r="6092">
          <cell r="G6092" t="str">
            <v>Xã Nghi Thái</v>
          </cell>
          <cell r="I6092" t="str">
            <v>40333</v>
          </cell>
        </row>
        <row r="6093">
          <cell r="G6093" t="str">
            <v>Xã Nghi Phương</v>
          </cell>
          <cell r="I6093" t="str">
            <v>40333</v>
          </cell>
        </row>
        <row r="6094">
          <cell r="G6094" t="str">
            <v>Xã Nghi Hợp</v>
          </cell>
          <cell r="I6094" t="str">
            <v>40333</v>
          </cell>
        </row>
        <row r="6095">
          <cell r="G6095" t="str">
            <v>Xã Nghi Công Bắc</v>
          </cell>
          <cell r="I6095" t="str">
            <v>40333</v>
          </cell>
        </row>
        <row r="6096">
          <cell r="G6096" t="str">
            <v>Xã Nghi Trường</v>
          </cell>
          <cell r="I6096" t="str">
            <v>40333</v>
          </cell>
        </row>
        <row r="6097">
          <cell r="G6097" t="str">
            <v>Xã Nghi Vạn</v>
          </cell>
          <cell r="I6097" t="str">
            <v>40333</v>
          </cell>
        </row>
        <row r="6098">
          <cell r="G6098" t="str">
            <v>Thị trấn Quán Hành</v>
          </cell>
          <cell r="I6098" t="str">
            <v>40333</v>
          </cell>
        </row>
        <row r="6099">
          <cell r="G6099" t="str">
            <v>Xã Nghi Văn</v>
          </cell>
          <cell r="I6099" t="str">
            <v>40333</v>
          </cell>
        </row>
        <row r="6100">
          <cell r="G6100" t="str">
            <v>Xã Nghi Yên</v>
          </cell>
          <cell r="I6100" t="str">
            <v>40333</v>
          </cell>
        </row>
        <row r="6101">
          <cell r="G6101" t="str">
            <v>Xã Nghi Tiến</v>
          </cell>
          <cell r="I6101" t="str">
            <v>40333</v>
          </cell>
        </row>
        <row r="6102">
          <cell r="G6102" t="str">
            <v>Xã Nghi Hưng</v>
          </cell>
          <cell r="I6102" t="str">
            <v>40333</v>
          </cell>
        </row>
        <row r="6103">
          <cell r="G6103" t="str">
            <v>Xã Nghi Đồng</v>
          </cell>
          <cell r="I6103" t="str">
            <v>40333</v>
          </cell>
        </row>
        <row r="6104">
          <cell r="G6104" t="str">
            <v>Xã Nghi Thiết</v>
          </cell>
          <cell r="I6104" t="str">
            <v>40333</v>
          </cell>
        </row>
        <row r="6105">
          <cell r="G6105" t="str">
            <v>Xã Nghi Lâm</v>
          </cell>
          <cell r="I6105" t="str">
            <v>40333</v>
          </cell>
        </row>
        <row r="6106">
          <cell r="G6106" t="str">
            <v>Xã Nghi Kiều</v>
          </cell>
          <cell r="I6106" t="str">
            <v>40333</v>
          </cell>
        </row>
        <row r="6107">
          <cell r="G6107" t="str">
            <v>Xã Nghi Mỹ</v>
          </cell>
          <cell r="I6107" t="str">
            <v>40333</v>
          </cell>
        </row>
        <row r="6108">
          <cell r="G6108" t="str">
            <v>Xã Nghi Thuận</v>
          </cell>
          <cell r="I6108" t="str">
            <v>40333</v>
          </cell>
        </row>
        <row r="6109">
          <cell r="G6109" t="str">
            <v>Xã Nghi Long</v>
          </cell>
          <cell r="I6109" t="str">
            <v>40333</v>
          </cell>
        </row>
        <row r="6110">
          <cell r="G6110" t="str">
            <v>Xã Nghi Xá</v>
          </cell>
          <cell r="I6110" t="str">
            <v>40333</v>
          </cell>
        </row>
        <row r="6111">
          <cell r="G6111" t="str">
            <v>Xã Nghi Hoa</v>
          </cell>
          <cell r="I6111" t="str">
            <v>40333</v>
          </cell>
        </row>
        <row r="6112">
          <cell r="G6112" t="str">
            <v>Xã Nghi Khánh</v>
          </cell>
          <cell r="I6112" t="str">
            <v>40333</v>
          </cell>
        </row>
        <row r="6113">
          <cell r="G6113" t="str">
            <v>Xã Nghi Thịnh</v>
          </cell>
          <cell r="I6113" t="str">
            <v>40333</v>
          </cell>
        </row>
        <row r="6114">
          <cell r="G6114" t="str">
            <v>Xã Nghi Thạch</v>
          </cell>
          <cell r="I6114" t="str">
            <v>40333</v>
          </cell>
        </row>
        <row r="6115">
          <cell r="G6115" t="str">
            <v>Xã Nghi Trung</v>
          </cell>
          <cell r="I6115" t="str">
            <v>40333</v>
          </cell>
        </row>
        <row r="6116">
          <cell r="G6116" t="str">
            <v>Xã Nghi Diên</v>
          </cell>
          <cell r="I6116" t="str">
            <v>40333</v>
          </cell>
        </row>
        <row r="6117">
          <cell r="G6117" t="str">
            <v>Xã Nghi Phong</v>
          </cell>
          <cell r="I6117" t="str">
            <v>40333</v>
          </cell>
        </row>
        <row r="6118">
          <cell r="G6118" t="str">
            <v>Xã Nghi Xuân</v>
          </cell>
          <cell r="I6118" t="str">
            <v>40333</v>
          </cell>
        </row>
        <row r="6119">
          <cell r="G6119" t="str">
            <v xml:space="preserve">Xã Nghi ân </v>
          </cell>
          <cell r="I6119" t="str">
            <v>40333</v>
          </cell>
        </row>
        <row r="6120">
          <cell r="G6120" t="str">
            <v>Xã Phúc Thọ</v>
          </cell>
          <cell r="I6120" t="str">
            <v>40333</v>
          </cell>
        </row>
        <row r="6121">
          <cell r="G6121" t="str">
            <v>Xã Nam Kim</v>
          </cell>
          <cell r="I6121" t="str">
            <v>40335</v>
          </cell>
        </row>
        <row r="6122">
          <cell r="G6122" t="str">
            <v xml:space="preserve">Xã Hùng Tiến    </v>
          </cell>
          <cell r="I6122" t="str">
            <v>40335</v>
          </cell>
        </row>
        <row r="6123">
          <cell r="G6123" t="str">
            <v xml:space="preserve">Xã Nam Hưng   </v>
          </cell>
          <cell r="I6123" t="str">
            <v>40335</v>
          </cell>
        </row>
        <row r="6124">
          <cell r="G6124" t="str">
            <v xml:space="preserve">Xã Nam Xuân </v>
          </cell>
          <cell r="I6124" t="str">
            <v>40335</v>
          </cell>
        </row>
        <row r="6125">
          <cell r="G6125" t="str">
            <v xml:space="preserve">Xã Nam Giang </v>
          </cell>
          <cell r="I6125" t="str">
            <v>40335</v>
          </cell>
        </row>
        <row r="6126">
          <cell r="G6126" t="str">
            <v xml:space="preserve">Xã Nam Tân </v>
          </cell>
          <cell r="I6126" t="str">
            <v>40335</v>
          </cell>
        </row>
        <row r="6127">
          <cell r="G6127" t="str">
            <v xml:space="preserve">Xã Xuân Lâm  </v>
          </cell>
          <cell r="I6127" t="str">
            <v>40335</v>
          </cell>
        </row>
        <row r="6128">
          <cell r="G6128" t="str">
            <v xml:space="preserve">Xã Nam Cường   </v>
          </cell>
          <cell r="I6128" t="str">
            <v>40335</v>
          </cell>
        </row>
        <row r="6129">
          <cell r="G6129" t="str">
            <v>Thị trấn Nam Đàn</v>
          </cell>
          <cell r="I6129" t="str">
            <v>40335</v>
          </cell>
        </row>
        <row r="6130">
          <cell r="G6130" t="str">
            <v>Xã Nam Nghĩa</v>
          </cell>
          <cell r="I6130" t="str">
            <v>40335</v>
          </cell>
        </row>
        <row r="6131">
          <cell r="G6131" t="str">
            <v xml:space="preserve">Xã Nam Thanh  </v>
          </cell>
          <cell r="I6131" t="str">
            <v>40335</v>
          </cell>
        </row>
        <row r="6132">
          <cell r="G6132" t="str">
            <v>Xã Nam Anh</v>
          </cell>
          <cell r="I6132" t="str">
            <v>40335</v>
          </cell>
        </row>
        <row r="6133">
          <cell r="G6133" t="str">
            <v xml:space="preserve">Xã Nam Thái </v>
          </cell>
          <cell r="I6133" t="str">
            <v>40335</v>
          </cell>
        </row>
        <row r="6134">
          <cell r="G6134" t="str">
            <v>Xã Vân Diên</v>
          </cell>
          <cell r="I6134" t="str">
            <v>40335</v>
          </cell>
        </row>
        <row r="6135">
          <cell r="G6135" t="str">
            <v>Xã Nam Lĩnh</v>
          </cell>
          <cell r="I6135" t="str">
            <v>40335</v>
          </cell>
        </row>
        <row r="6136">
          <cell r="G6136" t="str">
            <v xml:space="preserve">Xã Xuân Hòa       </v>
          </cell>
          <cell r="I6136" t="str">
            <v>40335</v>
          </cell>
        </row>
        <row r="6137">
          <cell r="G6137" t="str">
            <v xml:space="preserve">Xã Nam Thượng </v>
          </cell>
          <cell r="I6137" t="str">
            <v>40335</v>
          </cell>
        </row>
        <row r="6138">
          <cell r="G6138" t="str">
            <v>Xã Kim Liên</v>
          </cell>
          <cell r="I6138" t="str">
            <v>40335</v>
          </cell>
        </row>
        <row r="6139">
          <cell r="G6139" t="str">
            <v>Xã Nam Lộc</v>
          </cell>
          <cell r="I6139" t="str">
            <v>40335</v>
          </cell>
        </row>
        <row r="6140">
          <cell r="G6140" t="str">
            <v>Xã Hồng Long</v>
          </cell>
          <cell r="I6140" t="str">
            <v>40335</v>
          </cell>
        </row>
        <row r="6141">
          <cell r="G6141" t="str">
            <v>Xã Nam Cát</v>
          </cell>
          <cell r="I6141" t="str">
            <v>40335</v>
          </cell>
        </row>
        <row r="6142">
          <cell r="G6142" t="str">
            <v>Xã Khánh Sơn</v>
          </cell>
          <cell r="I6142" t="str">
            <v>40335</v>
          </cell>
        </row>
        <row r="6143">
          <cell r="G6143" t="str">
            <v>Xã Nam Phúc</v>
          </cell>
          <cell r="I6143" t="str">
            <v>40335</v>
          </cell>
        </row>
        <row r="6144">
          <cell r="G6144" t="str">
            <v xml:space="preserve">Xã Nam Trung  </v>
          </cell>
          <cell r="I6144" t="str">
            <v>40335</v>
          </cell>
        </row>
        <row r="6145">
          <cell r="G6145" t="str">
            <v>Xã Hưng Lợi</v>
          </cell>
          <cell r="I6145" t="str">
            <v>40337</v>
          </cell>
        </row>
        <row r="6146">
          <cell r="G6146" t="str">
            <v>Xã Hưng Trung</v>
          </cell>
          <cell r="I6146" t="str">
            <v>40337</v>
          </cell>
        </row>
        <row r="6147">
          <cell r="G6147" t="str">
            <v xml:space="preserve">Xã Hưng Đạo        </v>
          </cell>
          <cell r="I6147" t="str">
            <v>40337</v>
          </cell>
        </row>
        <row r="6148">
          <cell r="G6148" t="str">
            <v>Xã Hưng Thông</v>
          </cell>
          <cell r="I6148" t="str">
            <v>40337</v>
          </cell>
        </row>
        <row r="6149">
          <cell r="G6149" t="str">
            <v>Xã Hưng Phúc</v>
          </cell>
          <cell r="I6149" t="str">
            <v>40337</v>
          </cell>
        </row>
        <row r="6150">
          <cell r="G6150" t="str">
            <v>Xã Hưng Châu</v>
          </cell>
          <cell r="I6150" t="str">
            <v>40337</v>
          </cell>
        </row>
        <row r="6151">
          <cell r="G6151" t="str">
            <v xml:space="preserve">Xã Hưng Khánh </v>
          </cell>
          <cell r="I6151" t="str">
            <v>40337</v>
          </cell>
        </row>
        <row r="6152">
          <cell r="G6152" t="str">
            <v>Thị trấn Hưng Nguyên</v>
          </cell>
          <cell r="I6152" t="str">
            <v>40337</v>
          </cell>
        </row>
        <row r="6153">
          <cell r="G6153" t="str">
            <v>Xã Hưng Yên</v>
          </cell>
          <cell r="I6153" t="str">
            <v>40337</v>
          </cell>
        </row>
        <row r="6154">
          <cell r="G6154" t="str">
            <v>Xã Hưng Tây</v>
          </cell>
          <cell r="I6154" t="str">
            <v>40337</v>
          </cell>
        </row>
        <row r="6155">
          <cell r="G6155" t="str">
            <v>Xã Hưng Mỹ</v>
          </cell>
          <cell r="I6155" t="str">
            <v>40337</v>
          </cell>
        </row>
        <row r="6156">
          <cell r="G6156" t="str">
            <v xml:space="preserve">Xã Hưng Thịnh   </v>
          </cell>
          <cell r="I6156" t="str">
            <v>40337</v>
          </cell>
        </row>
        <row r="6157">
          <cell r="G6157" t="str">
            <v>Xã Hưng Lĩnh</v>
          </cell>
          <cell r="I6157" t="str">
            <v>40337</v>
          </cell>
        </row>
        <row r="6158">
          <cell r="G6158" t="str">
            <v>Xã Hưng Tân</v>
          </cell>
          <cell r="I6158" t="str">
            <v>40337</v>
          </cell>
        </row>
        <row r="6159">
          <cell r="G6159" t="str">
            <v>Xã Hưng Thắng</v>
          </cell>
          <cell r="I6159" t="str">
            <v>40337</v>
          </cell>
        </row>
        <row r="6160">
          <cell r="G6160" t="str">
            <v xml:space="preserve">Xã Hưng Long   </v>
          </cell>
          <cell r="I6160" t="str">
            <v>40337</v>
          </cell>
        </row>
        <row r="6161">
          <cell r="G6161" t="str">
            <v>Xã Hưng Tiến</v>
          </cell>
          <cell r="I6161" t="str">
            <v>40337</v>
          </cell>
        </row>
        <row r="6162">
          <cell r="G6162" t="str">
            <v>Xã Hưng Xá</v>
          </cell>
          <cell r="I6162" t="str">
            <v>40337</v>
          </cell>
        </row>
        <row r="6163">
          <cell r="G6163" t="str">
            <v>Xã Hưng Xuân</v>
          </cell>
          <cell r="I6163" t="str">
            <v>40337</v>
          </cell>
        </row>
        <row r="6164">
          <cell r="G6164" t="str">
            <v xml:space="preserve">Xã Hưng Nhân </v>
          </cell>
          <cell r="I6164" t="str">
            <v>40337</v>
          </cell>
        </row>
        <row r="6165">
          <cell r="G6165" t="str">
            <v>Xã Hưng Phú</v>
          </cell>
          <cell r="I6165" t="str">
            <v>40337</v>
          </cell>
        </row>
        <row r="6166">
          <cell r="G6166" t="str">
            <v>Xã Hưng Lam</v>
          </cell>
          <cell r="I6166" t="str">
            <v>40337</v>
          </cell>
        </row>
        <row r="6167">
          <cell r="G6167" t="str">
            <v>Xã Hưng Yên Bắc</v>
          </cell>
          <cell r="I6167" t="str">
            <v>40337</v>
          </cell>
        </row>
        <row r="6168">
          <cell r="G6168" t="str">
            <v>Phường Quỳnh Thiện</v>
          </cell>
          <cell r="I6168" t="str">
            <v>40339</v>
          </cell>
        </row>
        <row r="6169">
          <cell r="G6169" t="str">
            <v>Phường Quỳnh Dị</v>
          </cell>
          <cell r="I6169" t="str">
            <v>40339</v>
          </cell>
        </row>
        <row r="6170">
          <cell r="G6170" t="str">
            <v>Phường Mai Hùng</v>
          </cell>
          <cell r="I6170" t="str">
            <v>40339</v>
          </cell>
        </row>
        <row r="6171">
          <cell r="G6171" t="str">
            <v>Phường Quỳnh Phương</v>
          </cell>
          <cell r="I6171" t="str">
            <v>40339</v>
          </cell>
        </row>
        <row r="6172">
          <cell r="G6172" t="str">
            <v>Phường Quỳnh Xuân</v>
          </cell>
          <cell r="I6172" t="str">
            <v>40339</v>
          </cell>
        </row>
        <row r="6173">
          <cell r="G6173" t="str">
            <v xml:space="preserve">Xã Quỳnh Trang </v>
          </cell>
          <cell r="I6173" t="str">
            <v>40339</v>
          </cell>
        </row>
        <row r="6174">
          <cell r="G6174" t="str">
            <v>Xã Quỳnh Lập</v>
          </cell>
          <cell r="I6174" t="str">
            <v>40339</v>
          </cell>
        </row>
        <row r="6175">
          <cell r="G6175" t="str">
            <v>Xã Quỳnh Liên</v>
          </cell>
          <cell r="I6175" t="str">
            <v>40339</v>
          </cell>
        </row>
        <row r="6176">
          <cell r="G6176" t="str">
            <v>Xã Quỳnh Vinh</v>
          </cell>
          <cell r="I6176" t="str">
            <v>40339</v>
          </cell>
        </row>
        <row r="6177">
          <cell r="G6177" t="str">
            <v>Xã Quỳnh Lộc</v>
          </cell>
          <cell r="I6177" t="str">
            <v>40339</v>
          </cell>
        </row>
        <row r="6178">
          <cell r="G6178" t="str">
            <v>Phường Thạch Linh</v>
          </cell>
          <cell r="I6178" t="str">
            <v>40501</v>
          </cell>
        </row>
        <row r="6179">
          <cell r="G6179" t="str">
            <v>Phường Nam Hà</v>
          </cell>
          <cell r="I6179" t="str">
            <v>40501</v>
          </cell>
        </row>
        <row r="6180">
          <cell r="G6180" t="str">
            <v xml:space="preserve">Phường Hà Huy Tập </v>
          </cell>
          <cell r="I6180" t="str">
            <v>40501</v>
          </cell>
        </row>
        <row r="6181">
          <cell r="G6181" t="str">
            <v>Xã Thạch Hạ</v>
          </cell>
          <cell r="I6181" t="str">
            <v>40501</v>
          </cell>
        </row>
        <row r="6182">
          <cell r="G6182" t="str">
            <v xml:space="preserve">Xã Thạch Bình  </v>
          </cell>
          <cell r="I6182" t="str">
            <v>40501</v>
          </cell>
        </row>
        <row r="6183">
          <cell r="G6183" t="str">
            <v xml:space="preserve">Phường Trần Phú     </v>
          </cell>
          <cell r="I6183" t="str">
            <v>40501</v>
          </cell>
        </row>
        <row r="6184">
          <cell r="G6184" t="str">
            <v>Phường Bắc Hà</v>
          </cell>
          <cell r="I6184" t="str">
            <v>40501</v>
          </cell>
        </row>
        <row r="6185">
          <cell r="G6185" t="str">
            <v xml:space="preserve">Phường Tân Giang </v>
          </cell>
          <cell r="I6185" t="str">
            <v>40501</v>
          </cell>
        </row>
        <row r="6186">
          <cell r="G6186" t="str">
            <v>Phường Đại Nài</v>
          </cell>
          <cell r="I6186" t="str">
            <v>40501</v>
          </cell>
        </row>
        <row r="6187">
          <cell r="G6187" t="str">
            <v>Xã Thạch Trung</v>
          </cell>
          <cell r="I6187" t="str">
            <v>40501</v>
          </cell>
        </row>
        <row r="6188">
          <cell r="G6188" t="str">
            <v xml:space="preserve"> Phường Thạch Quý</v>
          </cell>
          <cell r="I6188" t="str">
            <v>40501</v>
          </cell>
        </row>
        <row r="6189">
          <cell r="G6189" t="str">
            <v xml:space="preserve"> Phường Văn Yên</v>
          </cell>
          <cell r="I6189" t="str">
            <v>40501</v>
          </cell>
        </row>
        <row r="6190">
          <cell r="G6190" t="str">
            <v>Xã Thạch Môn</v>
          </cell>
          <cell r="I6190" t="str">
            <v>40501</v>
          </cell>
        </row>
        <row r="6191">
          <cell r="G6191" t="str">
            <v xml:space="preserve">Xã Thạch Đồng  </v>
          </cell>
          <cell r="I6191" t="str">
            <v>40501</v>
          </cell>
        </row>
        <row r="6192">
          <cell r="G6192" t="str">
            <v>Xã Thạch Hưng</v>
          </cell>
          <cell r="I6192" t="str">
            <v>40501</v>
          </cell>
        </row>
        <row r="6193">
          <cell r="G6193" t="str">
            <v xml:space="preserve">Phường Nguyễn Du  </v>
          </cell>
          <cell r="I6193" t="str">
            <v>40501</v>
          </cell>
        </row>
        <row r="6194">
          <cell r="G6194" t="str">
            <v>Phường Nam Hồng</v>
          </cell>
          <cell r="I6194" t="str">
            <v>40503</v>
          </cell>
        </row>
        <row r="6195">
          <cell r="G6195" t="str">
            <v xml:space="preserve">Xã Trung Lương  </v>
          </cell>
          <cell r="I6195" t="str">
            <v>40503</v>
          </cell>
        </row>
        <row r="6196">
          <cell r="G6196" t="str">
            <v>Xã Đức Thuận</v>
          </cell>
          <cell r="I6196" t="str">
            <v>40503</v>
          </cell>
        </row>
        <row r="6197">
          <cell r="G6197" t="str">
            <v>Xã Đậu Liêu</v>
          </cell>
          <cell r="I6197" t="str">
            <v>40503</v>
          </cell>
        </row>
        <row r="6198">
          <cell r="G6198" t="str">
            <v>Xã Thuận Lộc</v>
          </cell>
          <cell r="I6198" t="str">
            <v>40503</v>
          </cell>
        </row>
        <row r="6199">
          <cell r="G6199" t="str">
            <v>Phường Bắc Hồng</v>
          </cell>
          <cell r="I6199" t="str">
            <v>40503</v>
          </cell>
        </row>
        <row r="6200">
          <cell r="G6200" t="str">
            <v>Thị trấn Nghi Xuân</v>
          </cell>
          <cell r="I6200" t="str">
            <v>40505</v>
          </cell>
        </row>
        <row r="6201">
          <cell r="G6201" t="str">
            <v>Xã Xuân Liên</v>
          </cell>
          <cell r="I6201" t="str">
            <v>40505</v>
          </cell>
        </row>
        <row r="6202">
          <cell r="G6202" t="str">
            <v>Xã Xuân Hội</v>
          </cell>
          <cell r="I6202" t="str">
            <v>40505</v>
          </cell>
        </row>
        <row r="6203">
          <cell r="G6203" t="str">
            <v>Xã Xuân Phổ</v>
          </cell>
          <cell r="I6203" t="str">
            <v>40505</v>
          </cell>
        </row>
        <row r="6204">
          <cell r="G6204" t="str">
            <v xml:space="preserve">Xã Xuân Yên </v>
          </cell>
          <cell r="I6204" t="str">
            <v>40505</v>
          </cell>
        </row>
        <row r="6205">
          <cell r="G6205" t="str">
            <v xml:space="preserve">Xã Xuân Hồng </v>
          </cell>
          <cell r="I6205" t="str">
            <v>40505</v>
          </cell>
        </row>
        <row r="6206">
          <cell r="G6206" t="str">
            <v xml:space="preserve">Xã Xuân Lam </v>
          </cell>
          <cell r="I6206" t="str">
            <v>40505</v>
          </cell>
        </row>
        <row r="6207">
          <cell r="G6207" t="str">
            <v>Thị trấn Xuân An</v>
          </cell>
          <cell r="I6207" t="str">
            <v>40505</v>
          </cell>
        </row>
        <row r="6208">
          <cell r="G6208" t="str">
            <v xml:space="preserve">Xã Xuân Trường  </v>
          </cell>
          <cell r="I6208" t="str">
            <v>40505</v>
          </cell>
        </row>
        <row r="6209">
          <cell r="G6209" t="str">
            <v>Xã Xuân Đan</v>
          </cell>
          <cell r="I6209" t="str">
            <v>40505</v>
          </cell>
        </row>
        <row r="6210">
          <cell r="G6210" t="str">
            <v>Xã Xuân Hải</v>
          </cell>
          <cell r="I6210" t="str">
            <v>40505</v>
          </cell>
        </row>
        <row r="6211">
          <cell r="G6211" t="str">
            <v xml:space="preserve">Xã Xuân Giang   </v>
          </cell>
          <cell r="I6211" t="str">
            <v>40505</v>
          </cell>
        </row>
        <row r="6212">
          <cell r="G6212" t="str">
            <v>Xã Tiên Điền</v>
          </cell>
          <cell r="I6212" t="str">
            <v>40505</v>
          </cell>
        </row>
        <row r="6213">
          <cell r="G6213" t="str">
            <v>Xã Xuân Mỹ</v>
          </cell>
          <cell r="I6213" t="str">
            <v>40505</v>
          </cell>
        </row>
        <row r="6214">
          <cell r="G6214" t="str">
            <v xml:space="preserve">Xã Xuân Thành   </v>
          </cell>
          <cell r="I6214" t="str">
            <v>40505</v>
          </cell>
        </row>
        <row r="6215">
          <cell r="G6215" t="str">
            <v xml:space="preserve">Xã Xuân Viên </v>
          </cell>
          <cell r="I6215" t="str">
            <v>40505</v>
          </cell>
        </row>
        <row r="6216">
          <cell r="G6216" t="str">
            <v>Xã Cổ Đạm</v>
          </cell>
          <cell r="I6216" t="str">
            <v>40505</v>
          </cell>
        </row>
        <row r="6217">
          <cell r="G6217" t="str">
            <v>Xã Xuân Lĩnh</v>
          </cell>
          <cell r="I6217" t="str">
            <v>40505</v>
          </cell>
        </row>
        <row r="6218">
          <cell r="G6218" t="str">
            <v>Xã Cương Gián</v>
          </cell>
          <cell r="I6218" t="str">
            <v>40505</v>
          </cell>
        </row>
        <row r="6219">
          <cell r="G6219" t="str">
            <v xml:space="preserve">Xã Trường Sơn   </v>
          </cell>
          <cell r="I6219" t="str">
            <v>40507</v>
          </cell>
        </row>
        <row r="6220">
          <cell r="G6220" t="str">
            <v xml:space="preserve">Xã Đức Hòa </v>
          </cell>
          <cell r="I6220" t="str">
            <v>40507</v>
          </cell>
        </row>
        <row r="6221">
          <cell r="G6221" t="str">
            <v>Xã Đức Vĩnh</v>
          </cell>
          <cell r="I6221" t="str">
            <v>40507</v>
          </cell>
        </row>
        <row r="6222">
          <cell r="G6222" t="str">
            <v xml:space="preserve">Xã Liên Minh  </v>
          </cell>
          <cell r="I6222" t="str">
            <v>40507</v>
          </cell>
        </row>
        <row r="6223">
          <cell r="G6223" t="str">
            <v>Xã Tùng ảnh</v>
          </cell>
          <cell r="I6223" t="str">
            <v>40507</v>
          </cell>
        </row>
        <row r="6224">
          <cell r="G6224" t="str">
            <v>Xã Đức Thủy</v>
          </cell>
          <cell r="I6224" t="str">
            <v>40507</v>
          </cell>
        </row>
        <row r="6225">
          <cell r="G6225" t="str">
            <v xml:space="preserve">Xã Đức Long    </v>
          </cell>
          <cell r="I6225" t="str">
            <v>40507</v>
          </cell>
        </row>
        <row r="6226">
          <cell r="G6226" t="str">
            <v>Xã Đức Lập</v>
          </cell>
          <cell r="I6226" t="str">
            <v>40507</v>
          </cell>
        </row>
        <row r="6227">
          <cell r="G6227" t="str">
            <v>Xã Đức Lạng</v>
          </cell>
          <cell r="I6227" t="str">
            <v>40507</v>
          </cell>
        </row>
        <row r="6228">
          <cell r="G6228" t="str">
            <v>Thị trấn Đức Thọ</v>
          </cell>
          <cell r="I6228" t="str">
            <v>40507</v>
          </cell>
        </row>
        <row r="6229">
          <cell r="G6229" t="str">
            <v xml:space="preserve">Xã Đức Quang </v>
          </cell>
          <cell r="I6229" t="str">
            <v>40507</v>
          </cell>
        </row>
        <row r="6230">
          <cell r="G6230" t="str">
            <v>Xã Đức Châu</v>
          </cell>
          <cell r="I6230" t="str">
            <v>40507</v>
          </cell>
        </row>
        <row r="6231">
          <cell r="G6231" t="str">
            <v>Xã Đức Tùng</v>
          </cell>
          <cell r="I6231" t="str">
            <v>40507</v>
          </cell>
        </row>
        <row r="6232">
          <cell r="G6232" t="str">
            <v>Xã Đức La</v>
          </cell>
          <cell r="I6232" t="str">
            <v>40507</v>
          </cell>
        </row>
        <row r="6233">
          <cell r="G6233" t="str">
            <v>Xã Yên Hồ</v>
          </cell>
          <cell r="I6233" t="str">
            <v>40507</v>
          </cell>
        </row>
        <row r="6234">
          <cell r="G6234" t="str">
            <v>Xã Đức Nhân</v>
          </cell>
          <cell r="I6234" t="str">
            <v>40507</v>
          </cell>
        </row>
        <row r="6235">
          <cell r="G6235" t="str">
            <v>Xã Bùi Xá</v>
          </cell>
          <cell r="I6235" t="str">
            <v>40507</v>
          </cell>
        </row>
        <row r="6236">
          <cell r="G6236" t="str">
            <v>Xã Đức Thịnh</v>
          </cell>
          <cell r="I6236" t="str">
            <v>40507</v>
          </cell>
        </row>
        <row r="6237">
          <cell r="G6237" t="str">
            <v>Xã Đức Yên</v>
          </cell>
          <cell r="I6237" t="str">
            <v>40507</v>
          </cell>
        </row>
        <row r="6238">
          <cell r="G6238" t="str">
            <v>Xã Thái Yên</v>
          </cell>
          <cell r="I6238" t="str">
            <v>40507</v>
          </cell>
        </row>
        <row r="6239">
          <cell r="G6239" t="str">
            <v>Xã Trung Lễ</v>
          </cell>
          <cell r="I6239" t="str">
            <v>40507</v>
          </cell>
        </row>
        <row r="6240">
          <cell r="G6240" t="str">
            <v>Xã Đức Lâm</v>
          </cell>
          <cell r="I6240" t="str">
            <v>40507</v>
          </cell>
        </row>
        <row r="6241">
          <cell r="G6241" t="str">
            <v>Xã Đức Thanh</v>
          </cell>
          <cell r="I6241" t="str">
            <v>40507</v>
          </cell>
        </row>
        <row r="6242">
          <cell r="G6242" t="str">
            <v>Xã Đức Dũng</v>
          </cell>
          <cell r="I6242" t="str">
            <v>40507</v>
          </cell>
        </row>
        <row r="6243">
          <cell r="G6243" t="str">
            <v>Xã Đức An</v>
          </cell>
          <cell r="I6243" t="str">
            <v>40507</v>
          </cell>
        </row>
        <row r="6244">
          <cell r="G6244" t="str">
            <v>Xã Đức Lạc</v>
          </cell>
          <cell r="I6244" t="str">
            <v>40507</v>
          </cell>
        </row>
        <row r="6245">
          <cell r="G6245" t="str">
            <v>Xã Đức Đồng</v>
          </cell>
          <cell r="I6245" t="str">
            <v>40507</v>
          </cell>
        </row>
        <row r="6246">
          <cell r="G6246" t="str">
            <v xml:space="preserve">Xã Tân Hương     </v>
          </cell>
          <cell r="I6246" t="str">
            <v>40507</v>
          </cell>
        </row>
        <row r="6247">
          <cell r="G6247" t="str">
            <v>Xã Sơn Hồng</v>
          </cell>
          <cell r="I6247" t="str">
            <v>40509</v>
          </cell>
        </row>
        <row r="6248">
          <cell r="G6248" t="str">
            <v>Xã Sơn Ninh</v>
          </cell>
          <cell r="I6248" t="str">
            <v>40509</v>
          </cell>
        </row>
        <row r="6249">
          <cell r="G6249" t="str">
            <v>Xã Sơn Diệm</v>
          </cell>
          <cell r="I6249" t="str">
            <v>40509</v>
          </cell>
        </row>
        <row r="6250">
          <cell r="G6250" t="str">
            <v>Xã Sơn Lâm</v>
          </cell>
          <cell r="I6250" t="str">
            <v>40509</v>
          </cell>
        </row>
        <row r="6251">
          <cell r="G6251" t="str">
            <v>Xã Sơn Giang</v>
          </cell>
          <cell r="I6251" t="str">
            <v>40509</v>
          </cell>
        </row>
        <row r="6252">
          <cell r="G6252" t="str">
            <v>Xã Sơn Mỹ</v>
          </cell>
          <cell r="I6252" t="str">
            <v>40509</v>
          </cell>
        </row>
        <row r="6253">
          <cell r="G6253" t="str">
            <v>Xã Sơn Châu</v>
          </cell>
          <cell r="I6253" t="str">
            <v>40509</v>
          </cell>
        </row>
        <row r="6254">
          <cell r="G6254" t="str">
            <v>Xã Sơn Bằng</v>
          </cell>
          <cell r="I6254" t="str">
            <v>40509</v>
          </cell>
        </row>
        <row r="6255">
          <cell r="G6255" t="str">
            <v>Xã Sơn Trà</v>
          </cell>
          <cell r="I6255" t="str">
            <v>40509</v>
          </cell>
        </row>
        <row r="6256">
          <cell r="G6256" t="str">
            <v>Xã Sơn Hàm</v>
          </cell>
          <cell r="I6256" t="str">
            <v>40509</v>
          </cell>
        </row>
        <row r="6257">
          <cell r="G6257" t="str">
            <v>Xã Sơn Mai</v>
          </cell>
          <cell r="I6257" t="str">
            <v>40509</v>
          </cell>
        </row>
        <row r="6258">
          <cell r="G6258" t="str">
            <v>Thị trấn Phố Châu</v>
          </cell>
          <cell r="I6258" t="str">
            <v>40509</v>
          </cell>
        </row>
        <row r="6259">
          <cell r="G6259" t="str">
            <v>Thị trấn Tây Sơn</v>
          </cell>
          <cell r="I6259" t="str">
            <v>40509</v>
          </cell>
        </row>
        <row r="6260">
          <cell r="G6260" t="str">
            <v>Xã Sơn Tiến</v>
          </cell>
          <cell r="I6260" t="str">
            <v>40509</v>
          </cell>
        </row>
        <row r="6261">
          <cell r="G6261" t="str">
            <v>Xã Sơn Lễ</v>
          </cell>
          <cell r="I6261" t="str">
            <v>40509</v>
          </cell>
        </row>
        <row r="6262">
          <cell r="G6262" t="str">
            <v xml:space="preserve">Xã Sơn Thịnh </v>
          </cell>
          <cell r="I6262" t="str">
            <v>40509</v>
          </cell>
        </row>
        <row r="6263">
          <cell r="G6263" t="str">
            <v>Xã Sơn An</v>
          </cell>
          <cell r="I6263" t="str">
            <v>40509</v>
          </cell>
        </row>
        <row r="6264">
          <cell r="G6264" t="str">
            <v>Xã Sơn Lĩnh</v>
          </cell>
          <cell r="I6264" t="str">
            <v>40509</v>
          </cell>
        </row>
        <row r="6265">
          <cell r="G6265" t="str">
            <v>Xã Sơn Hòa</v>
          </cell>
          <cell r="I6265" t="str">
            <v>40509</v>
          </cell>
        </row>
        <row r="6266">
          <cell r="G6266" t="str">
            <v>Xã Sơn Tân</v>
          </cell>
          <cell r="I6266" t="str">
            <v>40509</v>
          </cell>
        </row>
        <row r="6267">
          <cell r="G6267" t="str">
            <v>Xã Sơn Tây</v>
          </cell>
          <cell r="I6267" t="str">
            <v>40509</v>
          </cell>
        </row>
        <row r="6268">
          <cell r="G6268" t="str">
            <v xml:space="preserve">Xã Sơn Hà     </v>
          </cell>
          <cell r="I6268" t="str">
            <v>40509</v>
          </cell>
        </row>
        <row r="6269">
          <cell r="G6269" t="str">
            <v>Xã Sơn Quang</v>
          </cell>
          <cell r="I6269" t="str">
            <v>40509</v>
          </cell>
        </row>
        <row r="6270">
          <cell r="G6270" t="str">
            <v>Xã Sơn Trung</v>
          </cell>
          <cell r="I6270" t="str">
            <v>40509</v>
          </cell>
        </row>
        <row r="6271">
          <cell r="G6271" t="str">
            <v xml:space="preserve">Xã Sơn Bình </v>
          </cell>
          <cell r="I6271" t="str">
            <v>40509</v>
          </cell>
        </row>
        <row r="6272">
          <cell r="G6272" t="str">
            <v>Xã Sơn Kim 1</v>
          </cell>
          <cell r="I6272" t="str">
            <v>40509</v>
          </cell>
        </row>
        <row r="6273">
          <cell r="G6273" t="str">
            <v>Xã Sơn Kim 2</v>
          </cell>
          <cell r="I6273" t="str">
            <v>40509</v>
          </cell>
        </row>
        <row r="6274">
          <cell r="G6274" t="str">
            <v>Xã Sơn Long</v>
          </cell>
          <cell r="I6274" t="str">
            <v>40509</v>
          </cell>
        </row>
        <row r="6275">
          <cell r="G6275" t="str">
            <v xml:space="preserve">Xã Sơn Thủy   </v>
          </cell>
          <cell r="I6275" t="str">
            <v>40509</v>
          </cell>
        </row>
        <row r="6276">
          <cell r="G6276" t="str">
            <v xml:space="preserve">Xã Sơn Phú  </v>
          </cell>
          <cell r="I6276" t="str">
            <v>40509</v>
          </cell>
        </row>
        <row r="6277">
          <cell r="G6277" t="str">
            <v>Xã Sơn Phúc</v>
          </cell>
          <cell r="I6277" t="str">
            <v>40509</v>
          </cell>
        </row>
        <row r="6278">
          <cell r="G6278" t="str">
            <v>Xã Sơn Trường</v>
          </cell>
          <cell r="I6278" t="str">
            <v>40509</v>
          </cell>
        </row>
        <row r="6279">
          <cell r="G6279" t="str">
            <v>Xã Gia Hanh</v>
          </cell>
          <cell r="I6279" t="str">
            <v>40511</v>
          </cell>
        </row>
        <row r="6280">
          <cell r="G6280" t="str">
            <v>Xã Sơn Lộc</v>
          </cell>
          <cell r="I6280" t="str">
            <v>40511</v>
          </cell>
        </row>
        <row r="6281">
          <cell r="G6281" t="str">
            <v>Xã Khánh Lộc</v>
          </cell>
          <cell r="I6281" t="str">
            <v>40511</v>
          </cell>
        </row>
        <row r="6282">
          <cell r="G6282" t="str">
            <v>Xã Kim Lộc</v>
          </cell>
          <cell r="I6282" t="str">
            <v>40511</v>
          </cell>
        </row>
        <row r="6283">
          <cell r="G6283" t="str">
            <v>Xã Song Lộc</v>
          </cell>
          <cell r="I6283" t="str">
            <v>40511</v>
          </cell>
        </row>
        <row r="6284">
          <cell r="G6284" t="str">
            <v>Xã Vĩnh Lộc</v>
          </cell>
          <cell r="I6284" t="str">
            <v>40511</v>
          </cell>
        </row>
        <row r="6285">
          <cell r="G6285" t="str">
            <v xml:space="preserve">Xã Tiến Lộc </v>
          </cell>
          <cell r="I6285" t="str">
            <v>40511</v>
          </cell>
        </row>
        <row r="6286">
          <cell r="G6286" t="str">
            <v>Xã Trung Lộc</v>
          </cell>
          <cell r="I6286" t="str">
            <v>40511</v>
          </cell>
        </row>
        <row r="6287">
          <cell r="G6287" t="str">
            <v xml:space="preserve">Xã Xuân Lộc    </v>
          </cell>
          <cell r="I6287" t="str">
            <v>40511</v>
          </cell>
        </row>
        <row r="6288">
          <cell r="G6288" t="str">
            <v>Xã Thượng Lộc</v>
          </cell>
          <cell r="I6288" t="str">
            <v>40511</v>
          </cell>
        </row>
        <row r="6289">
          <cell r="G6289" t="str">
            <v xml:space="preserve">Xã Quang Lộc </v>
          </cell>
          <cell r="I6289" t="str">
            <v>40511</v>
          </cell>
        </row>
        <row r="6290">
          <cell r="G6290" t="str">
            <v xml:space="preserve">Xã Đồng Lộc </v>
          </cell>
          <cell r="I6290" t="str">
            <v>40511</v>
          </cell>
        </row>
        <row r="6291">
          <cell r="G6291" t="str">
            <v xml:space="preserve">Xã Mỹ Lộc  </v>
          </cell>
          <cell r="I6291" t="str">
            <v>40511</v>
          </cell>
        </row>
        <row r="6292">
          <cell r="G6292" t="str">
            <v>Thị trấn Nghèn</v>
          </cell>
          <cell r="I6292" t="str">
            <v>40511</v>
          </cell>
        </row>
        <row r="6293">
          <cell r="G6293" t="str">
            <v>Xã Thiên Lộc</v>
          </cell>
          <cell r="I6293" t="str">
            <v>40511</v>
          </cell>
        </row>
        <row r="6294">
          <cell r="G6294" t="str">
            <v>Xã Thuần Thiện</v>
          </cell>
          <cell r="I6294" t="str">
            <v>40511</v>
          </cell>
        </row>
        <row r="6295">
          <cell r="G6295" t="str">
            <v>Xã Vượng Lộc</v>
          </cell>
          <cell r="I6295" t="str">
            <v>40511</v>
          </cell>
        </row>
        <row r="6296">
          <cell r="G6296" t="str">
            <v>Xã Thanh Lộc</v>
          </cell>
          <cell r="I6296" t="str">
            <v>40511</v>
          </cell>
        </row>
        <row r="6297">
          <cell r="G6297" t="str">
            <v>Xã Thường Nga</v>
          </cell>
          <cell r="I6297" t="str">
            <v>40511</v>
          </cell>
        </row>
        <row r="6298">
          <cell r="G6298" t="str">
            <v>Xã Trường Lộc</v>
          </cell>
          <cell r="I6298" t="str">
            <v>40511</v>
          </cell>
        </row>
        <row r="6299">
          <cell r="G6299" t="str">
            <v>Xã Tùng Lộc</v>
          </cell>
          <cell r="I6299" t="str">
            <v>40511</v>
          </cell>
        </row>
        <row r="6300">
          <cell r="G6300" t="str">
            <v xml:space="preserve">Xã Yên Lộc  </v>
          </cell>
          <cell r="I6300" t="str">
            <v>40511</v>
          </cell>
        </row>
        <row r="6301">
          <cell r="G6301" t="str">
            <v xml:space="preserve">Xã Phú Lộc   </v>
          </cell>
          <cell r="I6301" t="str">
            <v>40511</v>
          </cell>
        </row>
        <row r="6302">
          <cell r="G6302" t="str">
            <v>Thị trấn Thạch Hà</v>
          </cell>
          <cell r="I6302" t="str">
            <v>40513</v>
          </cell>
        </row>
        <row r="6303">
          <cell r="G6303" t="str">
            <v>Xã Thạch Lạc</v>
          </cell>
          <cell r="I6303" t="str">
            <v>40513</v>
          </cell>
        </row>
        <row r="6304">
          <cell r="G6304" t="str">
            <v>Xã Thạch Xuân</v>
          </cell>
          <cell r="I6304" t="str">
            <v>40513</v>
          </cell>
        </row>
        <row r="6305">
          <cell r="G6305" t="str">
            <v>Xã Thạch Bàn</v>
          </cell>
          <cell r="I6305" t="str">
            <v>40513</v>
          </cell>
        </row>
        <row r="6306">
          <cell r="G6306" t="str">
            <v>Xã Thạch Kênh</v>
          </cell>
          <cell r="I6306" t="str">
            <v>40513</v>
          </cell>
        </row>
        <row r="6307">
          <cell r="G6307" t="str">
            <v>Xã Phù Việt</v>
          </cell>
          <cell r="I6307" t="str">
            <v>40513</v>
          </cell>
        </row>
        <row r="6308">
          <cell r="G6308" t="str">
            <v>Xã Việt Xuyên</v>
          </cell>
          <cell r="I6308" t="str">
            <v>40513</v>
          </cell>
        </row>
        <row r="6309">
          <cell r="G6309" t="str">
            <v>Xã Thạch Ngọc</v>
          </cell>
          <cell r="I6309" t="str">
            <v>40513</v>
          </cell>
        </row>
        <row r="6310">
          <cell r="G6310" t="str">
            <v>Xã Thạch Thắng</v>
          </cell>
          <cell r="I6310" t="str">
            <v>40513</v>
          </cell>
        </row>
        <row r="6311">
          <cell r="G6311" t="str">
            <v>Xã Thạch Hội</v>
          </cell>
          <cell r="I6311" t="str">
            <v>40513</v>
          </cell>
        </row>
        <row r="6312">
          <cell r="G6312" t="str">
            <v>Xã Thạch Hương</v>
          </cell>
          <cell r="I6312" t="str">
            <v>40513</v>
          </cell>
        </row>
        <row r="6313">
          <cell r="G6313" t="str">
            <v xml:space="preserve">Xã Ngọc Sơn        </v>
          </cell>
          <cell r="I6313" t="str">
            <v>40513</v>
          </cell>
        </row>
        <row r="6314">
          <cell r="G6314" t="str">
            <v>Xã Thạch Hải</v>
          </cell>
          <cell r="I6314" t="str">
            <v>40513</v>
          </cell>
        </row>
        <row r="6315">
          <cell r="G6315" t="str">
            <v xml:space="preserve">Xã Thạch Sơn    </v>
          </cell>
          <cell r="I6315" t="str">
            <v>40513</v>
          </cell>
        </row>
        <row r="6316">
          <cell r="G6316" t="str">
            <v>Xã Thạch Liên</v>
          </cell>
          <cell r="I6316" t="str">
            <v>40513</v>
          </cell>
        </row>
        <row r="6317">
          <cell r="G6317" t="str">
            <v>Xã Thạch Đỉnh</v>
          </cell>
          <cell r="I6317" t="str">
            <v>40513</v>
          </cell>
        </row>
        <row r="6318">
          <cell r="G6318" t="str">
            <v>Xã Thạch Khê</v>
          </cell>
          <cell r="I6318" t="str">
            <v>40513</v>
          </cell>
        </row>
        <row r="6319">
          <cell r="G6319" t="str">
            <v xml:space="preserve">Xã Thạch Long </v>
          </cell>
          <cell r="I6319" t="str">
            <v>40513</v>
          </cell>
        </row>
        <row r="6320">
          <cell r="G6320" t="str">
            <v>Xã Thạch Tiến</v>
          </cell>
          <cell r="I6320" t="str">
            <v>40513</v>
          </cell>
        </row>
        <row r="6321">
          <cell r="G6321" t="str">
            <v>Xã Thạch Thanh</v>
          </cell>
          <cell r="I6321" t="str">
            <v>40513</v>
          </cell>
        </row>
        <row r="6322">
          <cell r="G6322" t="str">
            <v>Xã Thạch Trị</v>
          </cell>
          <cell r="I6322" t="str">
            <v>40513</v>
          </cell>
        </row>
        <row r="6323">
          <cell r="G6323" t="str">
            <v xml:space="preserve">Xã Tượng Sơn </v>
          </cell>
          <cell r="I6323" t="str">
            <v>40513</v>
          </cell>
        </row>
        <row r="6324">
          <cell r="G6324" t="str">
            <v>Xã Thạch Văn</v>
          </cell>
          <cell r="I6324" t="str">
            <v>40513</v>
          </cell>
        </row>
        <row r="6325">
          <cell r="G6325" t="str">
            <v>Xã Thạch Vĩnh</v>
          </cell>
          <cell r="I6325" t="str">
            <v>40513</v>
          </cell>
        </row>
        <row r="6326">
          <cell r="G6326" t="str">
            <v>Xã Thạch Lưu</v>
          </cell>
          <cell r="I6326" t="str">
            <v>40513</v>
          </cell>
        </row>
        <row r="6327">
          <cell r="G6327" t="str">
            <v>Xã Thạch Đài</v>
          </cell>
          <cell r="I6327" t="str">
            <v>40513</v>
          </cell>
        </row>
        <row r="6328">
          <cell r="G6328" t="str">
            <v xml:space="preserve">Xã Bắc Sơn          </v>
          </cell>
          <cell r="I6328" t="str">
            <v>40513</v>
          </cell>
        </row>
        <row r="6329">
          <cell r="G6329" t="str">
            <v xml:space="preserve">Xã Thạch Tân </v>
          </cell>
          <cell r="I6329" t="str">
            <v>40513</v>
          </cell>
        </row>
        <row r="6330">
          <cell r="G6330" t="str">
            <v xml:space="preserve">Xã Thạch Lâm  </v>
          </cell>
          <cell r="I6330" t="str">
            <v>40513</v>
          </cell>
        </row>
        <row r="6331">
          <cell r="G6331" t="str">
            <v>Xã Nam Hương</v>
          </cell>
          <cell r="I6331" t="str">
            <v>40513</v>
          </cell>
        </row>
        <row r="6332">
          <cell r="G6332" t="str">
            <v>Xã Thạch Điền</v>
          </cell>
          <cell r="I6332" t="str">
            <v>40513</v>
          </cell>
        </row>
        <row r="6333">
          <cell r="G6333" t="str">
            <v xml:space="preserve">Xã Cẩm Thành </v>
          </cell>
          <cell r="I6333" t="str">
            <v>40515</v>
          </cell>
        </row>
        <row r="6334">
          <cell r="G6334" t="str">
            <v>Xã Cẩm Lộc</v>
          </cell>
          <cell r="I6334" t="str">
            <v>40515</v>
          </cell>
        </row>
        <row r="6335">
          <cell r="G6335" t="str">
            <v xml:space="preserve">Xã Cẩm Sơn   </v>
          </cell>
          <cell r="I6335" t="str">
            <v>40515</v>
          </cell>
        </row>
        <row r="6336">
          <cell r="G6336" t="str">
            <v xml:space="preserve">Xã Cẩm Hưng </v>
          </cell>
          <cell r="I6336" t="str">
            <v>40515</v>
          </cell>
        </row>
        <row r="6337">
          <cell r="G6337" t="str">
            <v>Thị trấn Cẩm Xuyên</v>
          </cell>
          <cell r="I6337" t="str">
            <v>40515</v>
          </cell>
        </row>
        <row r="6338">
          <cell r="G6338" t="str">
            <v xml:space="preserve">Xã Cẩm Yên  </v>
          </cell>
          <cell r="I6338" t="str">
            <v>40515</v>
          </cell>
        </row>
        <row r="6339">
          <cell r="G6339" t="str">
            <v>Xã Cẩm Nam</v>
          </cell>
          <cell r="I6339" t="str">
            <v>40515</v>
          </cell>
        </row>
        <row r="6340">
          <cell r="G6340" t="str">
            <v>Xã Cẩm Nhượng</v>
          </cell>
          <cell r="I6340" t="str">
            <v>40515</v>
          </cell>
        </row>
        <row r="6341">
          <cell r="G6341" t="str">
            <v>Xã Cẩm Quan</v>
          </cell>
          <cell r="I6341" t="str">
            <v>40515</v>
          </cell>
        </row>
        <row r="6342">
          <cell r="G6342" t="str">
            <v>Thị trấn Thiên Cầm</v>
          </cell>
          <cell r="I6342" t="str">
            <v>40515</v>
          </cell>
        </row>
        <row r="6343">
          <cell r="G6343" t="str">
            <v>Xã Cẩm Hòa</v>
          </cell>
          <cell r="I6343" t="str">
            <v>40515</v>
          </cell>
        </row>
        <row r="6344">
          <cell r="G6344" t="str">
            <v>Xã Cẩm Dương</v>
          </cell>
          <cell r="I6344" t="str">
            <v>40515</v>
          </cell>
        </row>
        <row r="6345">
          <cell r="G6345" t="str">
            <v xml:space="preserve">Xã Cẩm Bình </v>
          </cell>
          <cell r="I6345" t="str">
            <v>40515</v>
          </cell>
        </row>
        <row r="6346">
          <cell r="G6346" t="str">
            <v>Xã Cẩm Vĩnh</v>
          </cell>
          <cell r="I6346" t="str">
            <v>40515</v>
          </cell>
        </row>
        <row r="6347">
          <cell r="G6347" t="str">
            <v>Xã Cẩm Quang</v>
          </cell>
          <cell r="I6347" t="str">
            <v>40515</v>
          </cell>
        </row>
        <row r="6348">
          <cell r="G6348" t="str">
            <v>Xã Cẩm Huy</v>
          </cell>
          <cell r="I6348" t="str">
            <v>40515</v>
          </cell>
        </row>
        <row r="6349">
          <cell r="G6349" t="str">
            <v xml:space="preserve">Xã Cẩm Thạch </v>
          </cell>
          <cell r="I6349" t="str">
            <v>40515</v>
          </cell>
        </row>
        <row r="6350">
          <cell r="G6350" t="str">
            <v>Xã Cẩm Thăng</v>
          </cell>
          <cell r="I6350" t="str">
            <v>40515</v>
          </cell>
        </row>
        <row r="6351">
          <cell r="G6351" t="str">
            <v>Xã Cẩm Duệ</v>
          </cell>
          <cell r="I6351" t="str">
            <v>40515</v>
          </cell>
        </row>
        <row r="6352">
          <cell r="G6352" t="str">
            <v xml:space="preserve">Xã Cẩm Phúc </v>
          </cell>
          <cell r="I6352" t="str">
            <v>40515</v>
          </cell>
        </row>
        <row r="6353">
          <cell r="G6353" t="str">
            <v xml:space="preserve">Xã Cẩm Lĩnh </v>
          </cell>
          <cell r="I6353" t="str">
            <v>40515</v>
          </cell>
        </row>
        <row r="6354">
          <cell r="G6354" t="str">
            <v>Xã Cẩm Hà</v>
          </cell>
          <cell r="I6354" t="str">
            <v>40515</v>
          </cell>
        </row>
        <row r="6355">
          <cell r="G6355" t="str">
            <v>Xã Cẩm Thịnh</v>
          </cell>
          <cell r="I6355" t="str">
            <v>40515</v>
          </cell>
        </row>
        <row r="6356">
          <cell r="G6356" t="str">
            <v>Xã Cẩm Mỹ</v>
          </cell>
          <cell r="I6356" t="str">
            <v>40515</v>
          </cell>
        </row>
        <row r="6357">
          <cell r="G6357" t="str">
            <v>Xã Cẩm Trung</v>
          </cell>
          <cell r="I6357" t="str">
            <v>40515</v>
          </cell>
        </row>
        <row r="6358">
          <cell r="G6358" t="str">
            <v>Xã Cẩm Lạc</v>
          </cell>
          <cell r="I6358" t="str">
            <v>40515</v>
          </cell>
        </row>
        <row r="6359">
          <cell r="G6359" t="str">
            <v>Xã Cẩm Minh</v>
          </cell>
          <cell r="I6359" t="str">
            <v>40515</v>
          </cell>
        </row>
        <row r="6360">
          <cell r="G6360" t="str">
            <v>Xã Hương Long</v>
          </cell>
          <cell r="I6360" t="str">
            <v>40517</v>
          </cell>
        </row>
        <row r="6361">
          <cell r="G6361" t="str">
            <v>Thị trấn Hương Khê</v>
          </cell>
          <cell r="I6361" t="str">
            <v>40517</v>
          </cell>
        </row>
        <row r="6362">
          <cell r="G6362" t="str">
            <v>Xã Phương Điền</v>
          </cell>
          <cell r="I6362" t="str">
            <v>40517</v>
          </cell>
        </row>
        <row r="6363">
          <cell r="G6363" t="str">
            <v>Xã Hương Bình</v>
          </cell>
          <cell r="I6363" t="str">
            <v>40517</v>
          </cell>
        </row>
        <row r="6364">
          <cell r="G6364" t="str">
            <v>Xã Phú Phong</v>
          </cell>
          <cell r="I6364" t="str">
            <v>40517</v>
          </cell>
        </row>
        <row r="6365">
          <cell r="G6365" t="str">
            <v>Xã Phúc Trạch</v>
          </cell>
          <cell r="I6365" t="str">
            <v>40517</v>
          </cell>
        </row>
        <row r="6366">
          <cell r="G6366" t="str">
            <v>Xã Hương Liên</v>
          </cell>
          <cell r="I6366" t="str">
            <v>40517</v>
          </cell>
        </row>
        <row r="6367">
          <cell r="G6367" t="str">
            <v>Xã Phương Mỹ</v>
          </cell>
          <cell r="I6367" t="str">
            <v>40517</v>
          </cell>
        </row>
        <row r="6368">
          <cell r="G6368" t="str">
            <v>Xã Hà Linh</v>
          </cell>
          <cell r="I6368" t="str">
            <v>40517</v>
          </cell>
        </row>
        <row r="6369">
          <cell r="G6369" t="str">
            <v>Xã Hương Thủy</v>
          </cell>
          <cell r="I6369" t="str">
            <v>40517</v>
          </cell>
        </row>
        <row r="6370">
          <cell r="G6370" t="str">
            <v>Xã Hòa Hải</v>
          </cell>
          <cell r="I6370" t="str">
            <v>40517</v>
          </cell>
        </row>
        <row r="6371">
          <cell r="G6371" t="str">
            <v>Xã Phúc Đồng</v>
          </cell>
          <cell r="I6371" t="str">
            <v>40517</v>
          </cell>
        </row>
        <row r="6372">
          <cell r="G6372" t="str">
            <v>Xã Hương Giang</v>
          </cell>
          <cell r="I6372" t="str">
            <v>40517</v>
          </cell>
        </row>
        <row r="6373">
          <cell r="G6373" t="str">
            <v xml:space="preserve">Xã Lộc Yên </v>
          </cell>
          <cell r="I6373" t="str">
            <v>40517</v>
          </cell>
        </row>
        <row r="6374">
          <cell r="G6374" t="str">
            <v>Xã Phú Gia</v>
          </cell>
          <cell r="I6374" t="str">
            <v>40517</v>
          </cell>
        </row>
        <row r="6375">
          <cell r="G6375" t="str">
            <v>Xã Gia Phố</v>
          </cell>
          <cell r="I6375" t="str">
            <v>40517</v>
          </cell>
        </row>
        <row r="6376">
          <cell r="G6376" t="str">
            <v>Xã Hương Đô</v>
          </cell>
          <cell r="I6376" t="str">
            <v>40517</v>
          </cell>
        </row>
        <row r="6377">
          <cell r="G6377" t="str">
            <v>Xã Hương Vĩnh</v>
          </cell>
          <cell r="I6377" t="str">
            <v>40517</v>
          </cell>
        </row>
        <row r="6378">
          <cell r="G6378" t="str">
            <v>Xã Hương Xuân</v>
          </cell>
          <cell r="I6378" t="str">
            <v>40517</v>
          </cell>
        </row>
        <row r="6379">
          <cell r="G6379" t="str">
            <v>Xã Hương Trà</v>
          </cell>
          <cell r="I6379" t="str">
            <v>40517</v>
          </cell>
        </row>
        <row r="6380">
          <cell r="G6380" t="str">
            <v>Xã Hương Trạch</v>
          </cell>
          <cell r="I6380" t="str">
            <v>40517</v>
          </cell>
        </row>
        <row r="6381">
          <cell r="G6381" t="str">
            <v xml:space="preserve">Xã Hương Lâm </v>
          </cell>
          <cell r="I6381" t="str">
            <v>40517</v>
          </cell>
        </row>
        <row r="6382">
          <cell r="G6382" t="str">
            <v>Xã Kỳ Phong</v>
          </cell>
          <cell r="I6382" t="str">
            <v>40519</v>
          </cell>
        </row>
        <row r="6383">
          <cell r="G6383" t="str">
            <v>Xã Kỳ Xuân</v>
          </cell>
          <cell r="I6383" t="str">
            <v>40519</v>
          </cell>
        </row>
        <row r="6384">
          <cell r="G6384" t="str">
            <v>Xã Kỳ Tiến</v>
          </cell>
          <cell r="I6384" t="str">
            <v>40519</v>
          </cell>
        </row>
        <row r="6385">
          <cell r="G6385" t="str">
            <v>Xã Kỳ Thọ</v>
          </cell>
          <cell r="I6385" t="str">
            <v>40519</v>
          </cell>
        </row>
        <row r="6386">
          <cell r="G6386" t="str">
            <v xml:space="preserve">Xã Kỳ Sơn   </v>
          </cell>
          <cell r="I6386" t="str">
            <v>40519</v>
          </cell>
        </row>
        <row r="6387">
          <cell r="G6387" t="str">
            <v xml:space="preserve">Xã Kỳ Thượng </v>
          </cell>
          <cell r="I6387" t="str">
            <v>40519</v>
          </cell>
        </row>
        <row r="6388">
          <cell r="G6388" t="str">
            <v>Xã Kỳ Hải</v>
          </cell>
          <cell r="I6388" t="str">
            <v>40519</v>
          </cell>
        </row>
        <row r="6389">
          <cell r="G6389" t="str">
            <v>Xã Kỳ Thư</v>
          </cell>
          <cell r="I6389" t="str">
            <v>40519</v>
          </cell>
        </row>
        <row r="6390">
          <cell r="G6390" t="str">
            <v>Xã Kỳ Châu</v>
          </cell>
          <cell r="I6390" t="str">
            <v>40519</v>
          </cell>
        </row>
        <row r="6391">
          <cell r="G6391" t="str">
            <v xml:space="preserve">Xã Kỳ Tân  </v>
          </cell>
          <cell r="I6391" t="str">
            <v>40519</v>
          </cell>
        </row>
        <row r="6392">
          <cell r="G6392" t="str">
            <v>Xã Kỳ Hợp</v>
          </cell>
          <cell r="I6392" t="str">
            <v>40519</v>
          </cell>
        </row>
        <row r="6393">
          <cell r="G6393" t="str">
            <v>Xã Kỳ Lâm</v>
          </cell>
          <cell r="I6393" t="str">
            <v>40519</v>
          </cell>
        </row>
        <row r="6394">
          <cell r="G6394" t="str">
            <v>Xã Kỳ Lạc</v>
          </cell>
          <cell r="I6394" t="str">
            <v>40519</v>
          </cell>
        </row>
        <row r="6395">
          <cell r="G6395" t="str">
            <v>Xã Kỳ Bắc</v>
          </cell>
          <cell r="I6395" t="str">
            <v>40519</v>
          </cell>
        </row>
        <row r="6396">
          <cell r="G6396" t="str">
            <v xml:space="preserve">Xã Kỳ Phú </v>
          </cell>
          <cell r="I6396" t="str">
            <v>40519</v>
          </cell>
        </row>
        <row r="6397">
          <cell r="G6397" t="str">
            <v>Xã Kỳ Giang</v>
          </cell>
          <cell r="I6397" t="str">
            <v>40519</v>
          </cell>
        </row>
        <row r="6398">
          <cell r="G6398" t="str">
            <v>Xã Kỳ Đồng</v>
          </cell>
          <cell r="I6398" t="str">
            <v>40519</v>
          </cell>
        </row>
        <row r="6399">
          <cell r="G6399" t="str">
            <v>Xã Kỳ Khang</v>
          </cell>
          <cell r="I6399" t="str">
            <v>40519</v>
          </cell>
        </row>
        <row r="6400">
          <cell r="G6400" t="str">
            <v>Xã Kỳ Văn</v>
          </cell>
          <cell r="I6400" t="str">
            <v>40519</v>
          </cell>
        </row>
        <row r="6401">
          <cell r="G6401" t="str">
            <v>Xã Kỳ Trung</v>
          </cell>
          <cell r="I6401" t="str">
            <v>40519</v>
          </cell>
        </row>
        <row r="6402">
          <cell r="G6402" t="str">
            <v>Xã Kỳ Tây</v>
          </cell>
          <cell r="I6402" t="str">
            <v>40519</v>
          </cell>
        </row>
        <row r="6403">
          <cell r="G6403" t="str">
            <v>Xã Kỳ Hà</v>
          </cell>
          <cell r="I6403" t="str">
            <v>40520</v>
          </cell>
        </row>
        <row r="6404">
          <cell r="G6404" t="str">
            <v>Xã Kỳ Ninh</v>
          </cell>
          <cell r="I6404" t="str">
            <v>40520</v>
          </cell>
        </row>
        <row r="6405">
          <cell r="G6405" t="str">
            <v>Xã Kỳ Lợi</v>
          </cell>
          <cell r="I6405" t="str">
            <v>40520</v>
          </cell>
        </row>
        <row r="6406">
          <cell r="G6406" t="str">
            <v>Phường Kỳ Thịnh</v>
          </cell>
          <cell r="I6406" t="str">
            <v>40520</v>
          </cell>
        </row>
        <row r="6407">
          <cell r="G6407" t="str">
            <v>Phường Kỳ Long</v>
          </cell>
          <cell r="I6407" t="str">
            <v>40520</v>
          </cell>
        </row>
        <row r="6408">
          <cell r="G6408" t="str">
            <v>Phường Kỳ Liên</v>
          </cell>
          <cell r="I6408" t="str">
            <v>40520</v>
          </cell>
        </row>
        <row r="6409">
          <cell r="G6409" t="str">
            <v>Phường Kỳ Phương</v>
          </cell>
          <cell r="I6409" t="str">
            <v>40520</v>
          </cell>
        </row>
        <row r="6410">
          <cell r="G6410" t="str">
            <v>Xã Kỳ Nam</v>
          </cell>
          <cell r="I6410" t="str">
            <v>40520</v>
          </cell>
        </row>
        <row r="6411">
          <cell r="G6411" t="str">
            <v>Xã Kỳ Hưng</v>
          </cell>
          <cell r="I6411" t="str">
            <v>40520</v>
          </cell>
        </row>
        <row r="6412">
          <cell r="G6412" t="str">
            <v>Xã Kỳ Hoa</v>
          </cell>
          <cell r="I6412" t="str">
            <v>40520</v>
          </cell>
        </row>
        <row r="6413">
          <cell r="G6413" t="str">
            <v>Phường Sông Trí</v>
          </cell>
          <cell r="I6413" t="str">
            <v>40520</v>
          </cell>
        </row>
        <row r="6414">
          <cell r="G6414" t="str">
            <v>Phường Kỳ Trinh</v>
          </cell>
          <cell r="I6414" t="str">
            <v>40520</v>
          </cell>
        </row>
        <row r="6415">
          <cell r="G6415" t="str">
            <v>Xã ân Phú</v>
          </cell>
          <cell r="I6415" t="str">
            <v>40521</v>
          </cell>
        </row>
        <row r="6416">
          <cell r="G6416" t="str">
            <v xml:space="preserve">Xã Đức Giang  </v>
          </cell>
          <cell r="I6416" t="str">
            <v>40521</v>
          </cell>
        </row>
        <row r="6417">
          <cell r="G6417" t="str">
            <v>Xã Đức Bồng</v>
          </cell>
          <cell r="I6417" t="str">
            <v>40521</v>
          </cell>
        </row>
        <row r="6418">
          <cell r="G6418" t="str">
            <v>Xã Hương Minh</v>
          </cell>
          <cell r="I6418" t="str">
            <v>40521</v>
          </cell>
        </row>
        <row r="6419">
          <cell r="G6419" t="str">
            <v>Thị trấn Vũ Quang</v>
          </cell>
          <cell r="I6419" t="str">
            <v>40521</v>
          </cell>
        </row>
        <row r="6420">
          <cell r="G6420" t="str">
            <v>Xã Đức Lĩnh</v>
          </cell>
          <cell r="I6420" t="str">
            <v>40521</v>
          </cell>
        </row>
        <row r="6421">
          <cell r="G6421" t="str">
            <v>Xã Sơn Thọ</v>
          </cell>
          <cell r="I6421" t="str">
            <v>40521</v>
          </cell>
        </row>
        <row r="6422">
          <cell r="G6422" t="str">
            <v>Xã Đức Hương</v>
          </cell>
          <cell r="I6422" t="str">
            <v>40521</v>
          </cell>
        </row>
        <row r="6423">
          <cell r="G6423" t="str">
            <v>Xã Đức Liên</v>
          </cell>
          <cell r="I6423" t="str">
            <v>40521</v>
          </cell>
        </row>
        <row r="6424">
          <cell r="G6424" t="str">
            <v>Xã Hương Điền</v>
          </cell>
          <cell r="I6424" t="str">
            <v>40521</v>
          </cell>
        </row>
        <row r="6425">
          <cell r="G6425" t="str">
            <v>Xã Hương Thọ</v>
          </cell>
          <cell r="I6425" t="str">
            <v>40521</v>
          </cell>
        </row>
        <row r="6426">
          <cell r="G6426" t="str">
            <v>Xã Hương Quang</v>
          </cell>
          <cell r="I6426" t="str">
            <v>40521</v>
          </cell>
        </row>
        <row r="6427">
          <cell r="G6427" t="str">
            <v>Xã Thạch Bằng</v>
          </cell>
          <cell r="I6427" t="str">
            <v>40523</v>
          </cell>
        </row>
        <row r="6428">
          <cell r="G6428" t="str">
            <v>Xã Thạch Châu</v>
          </cell>
          <cell r="I6428" t="str">
            <v>40523</v>
          </cell>
        </row>
        <row r="6429">
          <cell r="G6429" t="str">
            <v>Xã Thạch Kim</v>
          </cell>
          <cell r="I6429" t="str">
            <v>40523</v>
          </cell>
        </row>
        <row r="6430">
          <cell r="G6430" t="str">
            <v>Xã Thạch Mỹ</v>
          </cell>
          <cell r="I6430" t="str">
            <v>40523</v>
          </cell>
        </row>
        <row r="6431">
          <cell r="G6431" t="str">
            <v>Xã Mai Phụ</v>
          </cell>
          <cell r="I6431" t="str">
            <v>40523</v>
          </cell>
        </row>
        <row r="6432">
          <cell r="G6432" t="str">
            <v>Xã Hộ Độ</v>
          </cell>
          <cell r="I6432" t="str">
            <v>40523</v>
          </cell>
        </row>
        <row r="6433">
          <cell r="G6433" t="str">
            <v>Xã Bình Lộc</v>
          </cell>
          <cell r="I6433" t="str">
            <v>40523</v>
          </cell>
        </row>
        <row r="6434">
          <cell r="G6434" t="str">
            <v xml:space="preserve">Xã Thịnh Lộc </v>
          </cell>
          <cell r="I6434" t="str">
            <v>40523</v>
          </cell>
        </row>
        <row r="6435">
          <cell r="G6435" t="str">
            <v xml:space="preserve">Xã Phù Lưu  </v>
          </cell>
          <cell r="I6435" t="str">
            <v>40523</v>
          </cell>
        </row>
        <row r="6436">
          <cell r="G6436" t="str">
            <v>Xã ích Hậu</v>
          </cell>
          <cell r="I6436" t="str">
            <v>40523</v>
          </cell>
        </row>
        <row r="6437">
          <cell r="G6437" t="str">
            <v>Xã Hồng Lộc</v>
          </cell>
          <cell r="I6437" t="str">
            <v>40523</v>
          </cell>
        </row>
        <row r="6438">
          <cell r="G6438" t="str">
            <v>Xã Tân Lộc</v>
          </cell>
          <cell r="I6438" t="str">
            <v>40523</v>
          </cell>
        </row>
        <row r="6439">
          <cell r="G6439" t="str">
            <v>Xã An Lộc</v>
          </cell>
          <cell r="I6439" t="str">
            <v>40523</v>
          </cell>
        </row>
        <row r="6440">
          <cell r="G6440" t="str">
            <v>Xã Nghĩa Ninh</v>
          </cell>
          <cell r="I6440" t="str">
            <v>40701</v>
          </cell>
        </row>
        <row r="6441">
          <cell r="G6441" t="str">
            <v>Phường Bắc Lý</v>
          </cell>
          <cell r="I6441" t="str">
            <v>40701</v>
          </cell>
        </row>
        <row r="6442">
          <cell r="G6442" t="str">
            <v>Phường Phú Hải</v>
          </cell>
          <cell r="I6442" t="str">
            <v>40701</v>
          </cell>
        </row>
        <row r="6443">
          <cell r="G6443" t="str">
            <v>Xã Lộc Ninh</v>
          </cell>
          <cell r="I6443" t="str">
            <v>40701</v>
          </cell>
        </row>
        <row r="6444">
          <cell r="G6444" t="str">
            <v xml:space="preserve">Xã Đức Ninh </v>
          </cell>
          <cell r="I6444" t="str">
            <v>40701</v>
          </cell>
        </row>
        <row r="6445">
          <cell r="G6445" t="str">
            <v xml:space="preserve">Phường Hải Thành </v>
          </cell>
          <cell r="I6445" t="str">
            <v>40701</v>
          </cell>
        </row>
        <row r="6446">
          <cell r="G6446" t="str">
            <v>Phường Đồng Phú</v>
          </cell>
          <cell r="I6446" t="str">
            <v>40701</v>
          </cell>
        </row>
        <row r="6447">
          <cell r="G6447" t="str">
            <v>Phường Đồng Mỹ</v>
          </cell>
          <cell r="I6447" t="str">
            <v>40701</v>
          </cell>
        </row>
        <row r="6448">
          <cell r="G6448" t="str">
            <v>Phường Nam Lý</v>
          </cell>
          <cell r="I6448" t="str">
            <v>40701</v>
          </cell>
        </row>
        <row r="6449">
          <cell r="G6449" t="str">
            <v>Phường Hải Đình</v>
          </cell>
          <cell r="I6449" t="str">
            <v>40701</v>
          </cell>
        </row>
        <row r="6450">
          <cell r="G6450" t="str">
            <v>Phường Đồng Sơn</v>
          </cell>
          <cell r="I6450" t="str">
            <v>40701</v>
          </cell>
        </row>
        <row r="6451">
          <cell r="G6451" t="str">
            <v>Phường Bắc Nghĩa</v>
          </cell>
          <cell r="I6451" t="str">
            <v>40701</v>
          </cell>
        </row>
        <row r="6452">
          <cell r="G6452" t="str">
            <v>Phường Đức Ninh Đông</v>
          </cell>
          <cell r="I6452" t="str">
            <v>40701</v>
          </cell>
        </row>
        <row r="6453">
          <cell r="G6453" t="str">
            <v>Xã Quang Phú</v>
          </cell>
          <cell r="I6453" t="str">
            <v>40701</v>
          </cell>
        </row>
        <row r="6454">
          <cell r="G6454" t="str">
            <v>Xã Bảo Ninh</v>
          </cell>
          <cell r="I6454" t="str">
            <v>40701</v>
          </cell>
        </row>
        <row r="6455">
          <cell r="G6455" t="str">
            <v>Xã Thuận Đức</v>
          </cell>
          <cell r="I6455" t="str">
            <v>40701</v>
          </cell>
        </row>
        <row r="6456">
          <cell r="G6456" t="str">
            <v>Xã Thanh Thạch</v>
          </cell>
          <cell r="I6456" t="str">
            <v>40703</v>
          </cell>
        </row>
        <row r="6457">
          <cell r="G6457" t="str">
            <v>Xã Cao Quảng</v>
          </cell>
          <cell r="I6457" t="str">
            <v>40703</v>
          </cell>
        </row>
        <row r="6458">
          <cell r="G6458" t="str">
            <v>Xã Kim Hóa</v>
          </cell>
          <cell r="I6458" t="str">
            <v>40703</v>
          </cell>
        </row>
        <row r="6459">
          <cell r="G6459" t="str">
            <v>Xã Lâm Hóa</v>
          </cell>
          <cell r="I6459" t="str">
            <v>40703</v>
          </cell>
        </row>
        <row r="6460">
          <cell r="G6460" t="str">
            <v>Xã Ngư Hóa</v>
          </cell>
          <cell r="I6460" t="str">
            <v>40703</v>
          </cell>
        </row>
        <row r="6461">
          <cell r="G6461" t="str">
            <v>Xã Đức Hóa</v>
          </cell>
          <cell r="I6461" t="str">
            <v>40703</v>
          </cell>
        </row>
        <row r="6462">
          <cell r="G6462" t="str">
            <v>Xã Châu Hóa</v>
          </cell>
          <cell r="I6462" t="str">
            <v>40703</v>
          </cell>
        </row>
        <row r="6463">
          <cell r="G6463" t="str">
            <v>Thị trấn Đồng Lê</v>
          </cell>
          <cell r="I6463" t="str">
            <v>40703</v>
          </cell>
        </row>
        <row r="6464">
          <cell r="G6464" t="str">
            <v>Xã Hương Hóa</v>
          </cell>
          <cell r="I6464" t="str">
            <v>40703</v>
          </cell>
        </row>
        <row r="6465">
          <cell r="G6465" t="str">
            <v>Xã Thanh Hóa</v>
          </cell>
          <cell r="I6465" t="str">
            <v>40703</v>
          </cell>
        </row>
        <row r="6466">
          <cell r="G6466" t="str">
            <v>Xã Thuận Hóa</v>
          </cell>
          <cell r="I6466" t="str">
            <v>40703</v>
          </cell>
        </row>
        <row r="6467">
          <cell r="G6467" t="str">
            <v>Xã Lê Hóa</v>
          </cell>
          <cell r="I6467" t="str">
            <v>40703</v>
          </cell>
        </row>
        <row r="6468">
          <cell r="G6468" t="str">
            <v>Xã Sơn Hoá</v>
          </cell>
          <cell r="I6468" t="str">
            <v>40703</v>
          </cell>
        </row>
        <row r="6469">
          <cell r="G6469" t="str">
            <v xml:space="preserve">Xã Đồng Hóa </v>
          </cell>
          <cell r="I6469" t="str">
            <v>40703</v>
          </cell>
        </row>
        <row r="6470">
          <cell r="G6470" t="str">
            <v>Xã Nam Hoá</v>
          </cell>
          <cell r="I6470" t="str">
            <v>40703</v>
          </cell>
        </row>
        <row r="6471">
          <cell r="G6471" t="str">
            <v>Xã Thạch Hóa</v>
          </cell>
          <cell r="I6471" t="str">
            <v>40703</v>
          </cell>
        </row>
        <row r="6472">
          <cell r="G6472" t="str">
            <v>Xã Phong Hóa</v>
          </cell>
          <cell r="I6472" t="str">
            <v>40703</v>
          </cell>
        </row>
        <row r="6473">
          <cell r="G6473" t="str">
            <v>Xã Mai Hóa</v>
          </cell>
          <cell r="I6473" t="str">
            <v>40703</v>
          </cell>
        </row>
        <row r="6474">
          <cell r="G6474" t="str">
            <v>Xã Tiến Hóa</v>
          </cell>
          <cell r="I6474" t="str">
            <v>40703</v>
          </cell>
        </row>
        <row r="6475">
          <cell r="G6475" t="str">
            <v>Xã Văn Hóa</v>
          </cell>
          <cell r="I6475" t="str">
            <v>40703</v>
          </cell>
        </row>
        <row r="6476">
          <cell r="G6476" t="str">
            <v>Xã Yên Hóa</v>
          </cell>
          <cell r="I6476" t="str">
            <v>40705</v>
          </cell>
        </row>
        <row r="6477">
          <cell r="G6477" t="str">
            <v>Xã Hóa Phúc</v>
          </cell>
          <cell r="I6477" t="str">
            <v>40705</v>
          </cell>
        </row>
        <row r="6478">
          <cell r="G6478" t="str">
            <v>Xã Hóa Tiến</v>
          </cell>
          <cell r="I6478" t="str">
            <v>40705</v>
          </cell>
        </row>
        <row r="6479">
          <cell r="G6479" t="str">
            <v>Xã Minh Hóa</v>
          </cell>
          <cell r="I6479" t="str">
            <v>40705</v>
          </cell>
        </row>
        <row r="6480">
          <cell r="G6480" t="str">
            <v>Xã Trung Hóa</v>
          </cell>
          <cell r="I6480" t="str">
            <v>40705</v>
          </cell>
        </row>
        <row r="6481">
          <cell r="G6481" t="str">
            <v>Thị trấn Quy Đạt</v>
          </cell>
          <cell r="I6481" t="str">
            <v>40705</v>
          </cell>
        </row>
        <row r="6482">
          <cell r="G6482" t="str">
            <v>Xã Dân Hóa</v>
          </cell>
          <cell r="I6482" t="str">
            <v>40705</v>
          </cell>
        </row>
        <row r="6483">
          <cell r="G6483" t="str">
            <v>Xã Trọng Hoá</v>
          </cell>
          <cell r="I6483" t="str">
            <v>40705</v>
          </cell>
        </row>
        <row r="6484">
          <cell r="G6484" t="str">
            <v>Xã Hồng Hóa</v>
          </cell>
          <cell r="I6484" t="str">
            <v>40705</v>
          </cell>
        </row>
        <row r="6485">
          <cell r="G6485" t="str">
            <v>Xã Hóa Thanh</v>
          </cell>
          <cell r="I6485" t="str">
            <v>40705</v>
          </cell>
        </row>
        <row r="6486">
          <cell r="G6486" t="str">
            <v>Xã Hóa Hợp</v>
          </cell>
          <cell r="I6486" t="str">
            <v>40705</v>
          </cell>
        </row>
        <row r="6487">
          <cell r="G6487" t="str">
            <v>Xã Xuân Hóa</v>
          </cell>
          <cell r="I6487" t="str">
            <v>40705</v>
          </cell>
        </row>
        <row r="6488">
          <cell r="G6488" t="str">
            <v>Xã Tân Hóa</v>
          </cell>
          <cell r="I6488" t="str">
            <v>40705</v>
          </cell>
        </row>
        <row r="6489">
          <cell r="G6489" t="str">
            <v>Xã Hóa Sơn</v>
          </cell>
          <cell r="I6489" t="str">
            <v>40705</v>
          </cell>
        </row>
        <row r="6490">
          <cell r="G6490" t="str">
            <v>Xã Quy Hóa</v>
          </cell>
          <cell r="I6490" t="str">
            <v>40705</v>
          </cell>
        </row>
        <row r="6491">
          <cell r="G6491" t="str">
            <v>Xã Thượng Hóa</v>
          </cell>
          <cell r="I6491" t="str">
            <v>40705</v>
          </cell>
        </row>
        <row r="6492">
          <cell r="G6492" t="str">
            <v>Xã Quảng Tiến</v>
          </cell>
          <cell r="I6492" t="str">
            <v>40707</v>
          </cell>
        </row>
        <row r="6493">
          <cell r="G6493" t="str">
            <v xml:space="preserve">Xã Quảng Hợp </v>
          </cell>
          <cell r="I6493" t="str">
            <v>40707</v>
          </cell>
        </row>
        <row r="6494">
          <cell r="G6494" t="str">
            <v xml:space="preserve">Xã Quảng Châu  </v>
          </cell>
          <cell r="I6494" t="str">
            <v>40707</v>
          </cell>
        </row>
        <row r="6495">
          <cell r="G6495" t="str">
            <v>Xã Cảnh Dương</v>
          </cell>
          <cell r="I6495" t="str">
            <v>40707</v>
          </cell>
        </row>
        <row r="6496">
          <cell r="G6496" t="str">
            <v>Xã Cảnh Hóa</v>
          </cell>
          <cell r="I6496" t="str">
            <v>40707</v>
          </cell>
        </row>
        <row r="6497">
          <cell r="G6497" t="str">
            <v xml:space="preserve">Xã Quảng Thanh </v>
          </cell>
          <cell r="I6497" t="str">
            <v>40707</v>
          </cell>
        </row>
        <row r="6498">
          <cell r="G6498" t="str">
            <v>Xã Quảng Kim</v>
          </cell>
          <cell r="I6498" t="str">
            <v>40707</v>
          </cell>
        </row>
        <row r="6499">
          <cell r="G6499" t="str">
            <v xml:space="preserve">Xã Quảng Đông </v>
          </cell>
          <cell r="I6499" t="str">
            <v>40707</v>
          </cell>
        </row>
        <row r="6500">
          <cell r="G6500" t="str">
            <v xml:space="preserve">Xã Quảng Phú   </v>
          </cell>
          <cell r="I6500" t="str">
            <v>40707</v>
          </cell>
        </row>
        <row r="6501">
          <cell r="G6501" t="str">
            <v xml:space="preserve">Xã Quảng Thạch </v>
          </cell>
          <cell r="I6501" t="str">
            <v>40707</v>
          </cell>
        </row>
        <row r="6502">
          <cell r="G6502" t="str">
            <v xml:space="preserve">Xã Quảng Lưu </v>
          </cell>
          <cell r="I6502" t="str">
            <v>40707</v>
          </cell>
        </row>
        <row r="6503">
          <cell r="G6503" t="str">
            <v>Xã Quảng Tùng</v>
          </cell>
          <cell r="I6503" t="str">
            <v>40707</v>
          </cell>
        </row>
        <row r="6504">
          <cell r="G6504" t="str">
            <v xml:space="preserve">Xã Quảng Hưng </v>
          </cell>
          <cell r="I6504" t="str">
            <v>40707</v>
          </cell>
        </row>
        <row r="6505">
          <cell r="G6505" t="str">
            <v>Xã Quảng Xuân</v>
          </cell>
          <cell r="I6505" t="str">
            <v>40707</v>
          </cell>
        </row>
        <row r="6506">
          <cell r="G6506" t="str">
            <v>Xã Quảng Liên</v>
          </cell>
          <cell r="I6506" t="str">
            <v>40707</v>
          </cell>
        </row>
        <row r="6507">
          <cell r="G6507" t="str">
            <v xml:space="preserve">Xã Quảng Trường </v>
          </cell>
          <cell r="I6507" t="str">
            <v>40707</v>
          </cell>
        </row>
        <row r="6508">
          <cell r="G6508" t="str">
            <v>Xã Quảng Phương</v>
          </cell>
          <cell r="I6508" t="str">
            <v>40707</v>
          </cell>
        </row>
        <row r="6509">
          <cell r="G6509" t="str">
            <v>Xã Phù Hóa</v>
          </cell>
          <cell r="I6509" t="str">
            <v>40707</v>
          </cell>
        </row>
        <row r="6510">
          <cell r="G6510" t="str">
            <v>Xã Liên Trạch</v>
          </cell>
          <cell r="I6510" t="str">
            <v>40709</v>
          </cell>
        </row>
        <row r="6511">
          <cell r="G6511" t="str">
            <v>Xã Phú Định</v>
          </cell>
          <cell r="I6511" t="str">
            <v>40709</v>
          </cell>
        </row>
        <row r="6512">
          <cell r="G6512" t="str">
            <v>Xã Thượng Trạch</v>
          </cell>
          <cell r="I6512" t="str">
            <v>40709</v>
          </cell>
        </row>
        <row r="6513">
          <cell r="G6513" t="str">
            <v>Xã Đồng Trạch</v>
          </cell>
          <cell r="I6513" t="str">
            <v>40709</v>
          </cell>
        </row>
        <row r="6514">
          <cell r="G6514" t="str">
            <v>Xã Hoàn Trạch</v>
          </cell>
          <cell r="I6514" t="str">
            <v>40709</v>
          </cell>
        </row>
        <row r="6515">
          <cell r="G6515" t="str">
            <v>Xã Hòa Trạch</v>
          </cell>
          <cell r="I6515" t="str">
            <v>40709</v>
          </cell>
        </row>
        <row r="6516">
          <cell r="G6516" t="str">
            <v>Xã Nam Trạch</v>
          </cell>
          <cell r="I6516" t="str">
            <v>40709</v>
          </cell>
        </row>
        <row r="6517">
          <cell r="G6517" t="str">
            <v>Thị trấn NT Việt Trung</v>
          </cell>
          <cell r="I6517" t="str">
            <v>40709</v>
          </cell>
        </row>
        <row r="6518">
          <cell r="G6518" t="str">
            <v>Xã Xuân Trạch</v>
          </cell>
          <cell r="I6518" t="str">
            <v>40709</v>
          </cell>
        </row>
        <row r="6519">
          <cell r="G6519" t="str">
            <v>Xã Mỹ Trạch</v>
          </cell>
          <cell r="I6519" t="str">
            <v>40709</v>
          </cell>
        </row>
        <row r="6520">
          <cell r="G6520" t="str">
            <v>Xã Hạ Trạch</v>
          </cell>
          <cell r="I6520" t="str">
            <v>40709</v>
          </cell>
        </row>
        <row r="6521">
          <cell r="G6521" t="str">
            <v>Xã Bắc Trạch</v>
          </cell>
          <cell r="I6521" t="str">
            <v>40709</v>
          </cell>
        </row>
        <row r="6522">
          <cell r="G6522" t="str">
            <v>Xã Lâm Trạch</v>
          </cell>
          <cell r="I6522" t="str">
            <v>40709</v>
          </cell>
        </row>
        <row r="6523">
          <cell r="G6523" t="str">
            <v>Xã Thanh Trạch</v>
          </cell>
          <cell r="I6523" t="str">
            <v>40709</v>
          </cell>
        </row>
        <row r="6524">
          <cell r="G6524" t="str">
            <v xml:space="preserve">Xã Phúc Trạch </v>
          </cell>
          <cell r="I6524" t="str">
            <v>40709</v>
          </cell>
        </row>
        <row r="6525">
          <cell r="G6525" t="str">
            <v>Xã Cự Nẫm</v>
          </cell>
          <cell r="I6525" t="str">
            <v>40709</v>
          </cell>
        </row>
        <row r="6526">
          <cell r="G6526" t="str">
            <v>Xã Hải Trạch</v>
          </cell>
          <cell r="I6526" t="str">
            <v>40709</v>
          </cell>
        </row>
        <row r="6527">
          <cell r="G6527" t="str">
            <v xml:space="preserve">Xã Sơn Lộc </v>
          </cell>
          <cell r="I6527" t="str">
            <v>40709</v>
          </cell>
        </row>
        <row r="6528">
          <cell r="G6528" t="str">
            <v>Xã Phú Trạch</v>
          </cell>
          <cell r="I6528" t="str">
            <v>40709</v>
          </cell>
        </row>
        <row r="6529">
          <cell r="G6529" t="str">
            <v>Xã Hưng Trạch</v>
          </cell>
          <cell r="I6529" t="str">
            <v>40709</v>
          </cell>
        </row>
        <row r="6530">
          <cell r="G6530" t="str">
            <v>Xã Đức Trạch</v>
          </cell>
          <cell r="I6530" t="str">
            <v>40709</v>
          </cell>
        </row>
        <row r="6531">
          <cell r="G6531" t="str">
            <v>Xã Sơn Trạch</v>
          </cell>
          <cell r="I6531" t="str">
            <v>40709</v>
          </cell>
        </row>
        <row r="6532">
          <cell r="G6532" t="str">
            <v>Xã Vạn Trạch</v>
          </cell>
          <cell r="I6532" t="str">
            <v>40709</v>
          </cell>
        </row>
        <row r="6533">
          <cell r="G6533" t="str">
            <v>Xã Trung Trạch</v>
          </cell>
          <cell r="I6533" t="str">
            <v>40709</v>
          </cell>
        </row>
        <row r="6534">
          <cell r="G6534" t="str">
            <v>Xã Tây Trạch</v>
          </cell>
          <cell r="I6534" t="str">
            <v>40709</v>
          </cell>
        </row>
        <row r="6535">
          <cell r="G6535" t="str">
            <v>Xã Đại Trạch</v>
          </cell>
          <cell r="I6535" t="str">
            <v>40709</v>
          </cell>
        </row>
        <row r="6536">
          <cell r="G6536" t="str">
            <v>Xã Nhân Trạch</v>
          </cell>
          <cell r="I6536" t="str">
            <v>40709</v>
          </cell>
        </row>
        <row r="6537">
          <cell r="G6537" t="str">
            <v>Xã Tân Trạch</v>
          </cell>
          <cell r="I6537" t="str">
            <v>40709</v>
          </cell>
        </row>
        <row r="6538">
          <cell r="G6538" t="str">
            <v>Xã Lý Trạch</v>
          </cell>
          <cell r="I6538" t="str">
            <v>40709</v>
          </cell>
        </row>
        <row r="6539">
          <cell r="G6539" t="str">
            <v>Thị trấn Hoàn Lão</v>
          </cell>
          <cell r="I6539" t="str">
            <v>40709</v>
          </cell>
        </row>
        <row r="6540">
          <cell r="G6540" t="str">
            <v xml:space="preserve">Xã Vĩnh Ninh  </v>
          </cell>
          <cell r="I6540" t="str">
            <v>40711</v>
          </cell>
        </row>
        <row r="6541">
          <cell r="G6541" t="str">
            <v xml:space="preserve">Xã An Ninh   </v>
          </cell>
          <cell r="I6541" t="str">
            <v>40711</v>
          </cell>
        </row>
        <row r="6542">
          <cell r="G6542" t="str">
            <v>Xã Lương Ninh</v>
          </cell>
          <cell r="I6542" t="str">
            <v>40711</v>
          </cell>
        </row>
        <row r="6543">
          <cell r="G6543" t="str">
            <v>Xã Hàm Ninh</v>
          </cell>
          <cell r="I6543" t="str">
            <v>40711</v>
          </cell>
        </row>
        <row r="6544">
          <cell r="G6544" t="str">
            <v xml:space="preserve">Xã Tân Ninh </v>
          </cell>
          <cell r="I6544" t="str">
            <v>40711</v>
          </cell>
        </row>
        <row r="6545">
          <cell r="G6545" t="str">
            <v>Thị trấn Quán Hàu</v>
          </cell>
          <cell r="I6545" t="str">
            <v>40711</v>
          </cell>
        </row>
        <row r="6546">
          <cell r="G6546" t="str">
            <v xml:space="preserve">Xã Trường Sơn    </v>
          </cell>
          <cell r="I6546" t="str">
            <v>40711</v>
          </cell>
        </row>
        <row r="6547">
          <cell r="G6547" t="str">
            <v>Xã Võ Ninh</v>
          </cell>
          <cell r="I6547" t="str">
            <v>40711</v>
          </cell>
        </row>
        <row r="6548">
          <cell r="G6548" t="str">
            <v xml:space="preserve">Xã Hải Ninh  </v>
          </cell>
          <cell r="I6548" t="str">
            <v>40711</v>
          </cell>
        </row>
        <row r="6549">
          <cell r="G6549" t="str">
            <v>Xã Duy Ninh</v>
          </cell>
          <cell r="I6549" t="str">
            <v>40711</v>
          </cell>
        </row>
        <row r="6550">
          <cell r="G6550" t="str">
            <v>Xã Gia Ninh</v>
          </cell>
          <cell r="I6550" t="str">
            <v>40711</v>
          </cell>
        </row>
        <row r="6551">
          <cell r="G6551" t="str">
            <v>Xã Trường Xuân</v>
          </cell>
          <cell r="I6551" t="str">
            <v>40711</v>
          </cell>
        </row>
        <row r="6552">
          <cell r="G6552" t="str">
            <v xml:space="preserve">Xã Hiền Ninh </v>
          </cell>
          <cell r="I6552" t="str">
            <v>40711</v>
          </cell>
        </row>
        <row r="6553">
          <cell r="G6553" t="str">
            <v xml:space="preserve">Xã Xuân Ninh </v>
          </cell>
          <cell r="I6553" t="str">
            <v>40711</v>
          </cell>
        </row>
        <row r="6554">
          <cell r="G6554" t="str">
            <v xml:space="preserve">Xã Vạn Ninh  </v>
          </cell>
          <cell r="I6554" t="str">
            <v>40711</v>
          </cell>
        </row>
        <row r="6555">
          <cell r="G6555" t="str">
            <v>Xã Ngân Thủy</v>
          </cell>
          <cell r="I6555" t="str">
            <v>40713</v>
          </cell>
        </row>
        <row r="6556">
          <cell r="G6556" t="str">
            <v>Xã Ngư Thủy Nam</v>
          </cell>
          <cell r="I6556" t="str">
            <v>40713</v>
          </cell>
        </row>
        <row r="6557">
          <cell r="G6557" t="str">
            <v>Thị trấn NT Lệ Ninh</v>
          </cell>
          <cell r="I6557" t="str">
            <v>40713</v>
          </cell>
        </row>
        <row r="6558">
          <cell r="G6558" t="str">
            <v>Xã An Thủy</v>
          </cell>
          <cell r="I6558" t="str">
            <v>40713</v>
          </cell>
        </row>
        <row r="6559">
          <cell r="G6559" t="str">
            <v xml:space="preserve">Xã Sơn Thủy    </v>
          </cell>
          <cell r="I6559" t="str">
            <v>40713</v>
          </cell>
        </row>
        <row r="6560">
          <cell r="G6560" t="str">
            <v>Xã Dương Thủy</v>
          </cell>
          <cell r="I6560" t="str">
            <v>40713</v>
          </cell>
        </row>
        <row r="6561">
          <cell r="G6561" t="str">
            <v>Xã Mỹ Thủy</v>
          </cell>
          <cell r="I6561" t="str">
            <v>40713</v>
          </cell>
        </row>
        <row r="6562">
          <cell r="G6562" t="str">
            <v>Xã Sen Thủy</v>
          </cell>
          <cell r="I6562" t="str">
            <v>40713</v>
          </cell>
        </row>
        <row r="6563">
          <cell r="G6563" t="str">
            <v>Xã Văn Thủy</v>
          </cell>
          <cell r="I6563" t="str">
            <v>40713</v>
          </cell>
        </row>
        <row r="6564">
          <cell r="G6564" t="str">
            <v>Thị trấn Kiến Giang</v>
          </cell>
          <cell r="I6564" t="str">
            <v>40713</v>
          </cell>
        </row>
        <row r="6565">
          <cell r="G6565" t="str">
            <v>Xã Hồng Thủy</v>
          </cell>
          <cell r="I6565" t="str">
            <v>40713</v>
          </cell>
        </row>
        <row r="6566">
          <cell r="G6566" t="str">
            <v>Xã Ngư Thuỷ Bắc</v>
          </cell>
          <cell r="I6566" t="str">
            <v>40713</v>
          </cell>
        </row>
        <row r="6567">
          <cell r="G6567" t="str">
            <v>Xã Hoa Thủy</v>
          </cell>
          <cell r="I6567" t="str">
            <v>40713</v>
          </cell>
        </row>
        <row r="6568">
          <cell r="G6568" t="str">
            <v xml:space="preserve">Xã Thanh Thủy     </v>
          </cell>
          <cell r="I6568" t="str">
            <v>40713</v>
          </cell>
        </row>
        <row r="6569">
          <cell r="G6569" t="str">
            <v>Xã Phong Thủy</v>
          </cell>
          <cell r="I6569" t="str">
            <v>40713</v>
          </cell>
        </row>
        <row r="6570">
          <cell r="G6570" t="str">
            <v>Xã Cam Thủy</v>
          </cell>
          <cell r="I6570" t="str">
            <v>40713</v>
          </cell>
        </row>
        <row r="6571">
          <cell r="G6571" t="str">
            <v>Xã Lộc Thủy</v>
          </cell>
          <cell r="I6571" t="str">
            <v>40713</v>
          </cell>
        </row>
        <row r="6572">
          <cell r="G6572" t="str">
            <v>Xã Ngư Thuỷ Trung</v>
          </cell>
          <cell r="I6572" t="str">
            <v>40713</v>
          </cell>
        </row>
        <row r="6573">
          <cell r="G6573" t="str">
            <v>Xã Liên Thủy</v>
          </cell>
          <cell r="I6573" t="str">
            <v>40713</v>
          </cell>
        </row>
        <row r="6574">
          <cell r="G6574" t="str">
            <v>Xã Hưng Thủy</v>
          </cell>
          <cell r="I6574" t="str">
            <v>40713</v>
          </cell>
        </row>
        <row r="6575">
          <cell r="G6575" t="str">
            <v>Xã Tân Thủy</v>
          </cell>
          <cell r="I6575" t="str">
            <v>40713</v>
          </cell>
        </row>
        <row r="6576">
          <cell r="G6576" t="str">
            <v>Xã Phú Thủy</v>
          </cell>
          <cell r="I6576" t="str">
            <v>40713</v>
          </cell>
        </row>
        <row r="6577">
          <cell r="G6577" t="str">
            <v xml:space="preserve">Xã Xuân Thủy  </v>
          </cell>
          <cell r="I6577" t="str">
            <v>40713</v>
          </cell>
        </row>
        <row r="6578">
          <cell r="G6578" t="str">
            <v>Xã Mai Thủy</v>
          </cell>
          <cell r="I6578" t="str">
            <v>40713</v>
          </cell>
        </row>
        <row r="6579">
          <cell r="G6579" t="str">
            <v>Xã Thái Thủy</v>
          </cell>
          <cell r="I6579" t="str">
            <v>40713</v>
          </cell>
        </row>
        <row r="6580">
          <cell r="G6580" t="str">
            <v>Xã Kim Thủy</v>
          </cell>
          <cell r="I6580" t="str">
            <v>40713</v>
          </cell>
        </row>
        <row r="6581">
          <cell r="G6581" t="str">
            <v>Xã Trường Thủy</v>
          </cell>
          <cell r="I6581" t="str">
            <v>40713</v>
          </cell>
        </row>
        <row r="6582">
          <cell r="G6582" t="str">
            <v>Xã Lâm Thuỷ</v>
          </cell>
          <cell r="I6582" t="str">
            <v>40713</v>
          </cell>
        </row>
        <row r="6583">
          <cell r="G6583" t="str">
            <v>Phường Ba Đồn</v>
          </cell>
          <cell r="I6583" t="str">
            <v>40715</v>
          </cell>
        </row>
        <row r="6584">
          <cell r="G6584" t="str">
            <v>Phường Quảng Long</v>
          </cell>
          <cell r="I6584" t="str">
            <v>40715</v>
          </cell>
        </row>
        <row r="6585">
          <cell r="G6585" t="str">
            <v>Phường Quảng Thọ</v>
          </cell>
          <cell r="I6585" t="str">
            <v>40715</v>
          </cell>
        </row>
        <row r="6586">
          <cell r="G6586" t="str">
            <v>Phường Quảng Thuận</v>
          </cell>
          <cell r="I6586" t="str">
            <v>40715</v>
          </cell>
        </row>
        <row r="6587">
          <cell r="G6587" t="str">
            <v>Phường Quảng Phúc</v>
          </cell>
          <cell r="I6587" t="str">
            <v>40715</v>
          </cell>
        </row>
        <row r="6588">
          <cell r="G6588" t="str">
            <v>Phường Quảng Phong</v>
          </cell>
          <cell r="I6588" t="str">
            <v>40715</v>
          </cell>
        </row>
        <row r="6589">
          <cell r="G6589" t="str">
            <v xml:space="preserve">Xã Quảng Sơn </v>
          </cell>
          <cell r="I6589" t="str">
            <v>40715</v>
          </cell>
        </row>
        <row r="6590">
          <cell r="G6590" t="str">
            <v>Xã Quảng Tiên</v>
          </cell>
          <cell r="I6590" t="str">
            <v>40715</v>
          </cell>
        </row>
        <row r="6591">
          <cell r="G6591" t="str">
            <v xml:space="preserve">Xã Quảng Trung  </v>
          </cell>
          <cell r="I6591" t="str">
            <v>40715</v>
          </cell>
        </row>
        <row r="6592">
          <cell r="G6592" t="str">
            <v xml:space="preserve">Xã Quảng Tân  </v>
          </cell>
          <cell r="I6592" t="str">
            <v>40715</v>
          </cell>
        </row>
        <row r="6593">
          <cell r="G6593" t="str">
            <v>Xã Quảng Thủy</v>
          </cell>
          <cell r="I6593" t="str">
            <v>40715</v>
          </cell>
        </row>
        <row r="6594">
          <cell r="G6594" t="str">
            <v xml:space="preserve">Xã Quảng Minh   </v>
          </cell>
          <cell r="I6594" t="str">
            <v>40715</v>
          </cell>
        </row>
        <row r="6595">
          <cell r="G6595" t="str">
            <v xml:space="preserve">Xã Quảng Lộc </v>
          </cell>
          <cell r="I6595" t="str">
            <v>40715</v>
          </cell>
        </row>
        <row r="6596">
          <cell r="G6596" t="str">
            <v xml:space="preserve">Xã Quảng Hải </v>
          </cell>
          <cell r="I6596" t="str">
            <v>40715</v>
          </cell>
        </row>
        <row r="6597">
          <cell r="G6597" t="str">
            <v xml:space="preserve">Xã Quảng Hòa </v>
          </cell>
          <cell r="I6597" t="str">
            <v>40715</v>
          </cell>
        </row>
        <row r="6598">
          <cell r="G6598" t="str">
            <v xml:space="preserve">Xã Quảng Văn </v>
          </cell>
          <cell r="I6598" t="str">
            <v>40715</v>
          </cell>
        </row>
        <row r="6599">
          <cell r="G6599" t="str">
            <v>Phường Đông Lễ</v>
          </cell>
          <cell r="I6599" t="str">
            <v>40901</v>
          </cell>
        </row>
        <row r="6600">
          <cell r="G6600" t="str">
            <v>Phường 5</v>
          </cell>
          <cell r="I6600" t="str">
            <v>40901</v>
          </cell>
        </row>
        <row r="6601">
          <cell r="G6601" t="str">
            <v>Phường Đông Giang</v>
          </cell>
          <cell r="I6601" t="str">
            <v>40901</v>
          </cell>
        </row>
        <row r="6602">
          <cell r="G6602" t="str">
            <v>Phường 1</v>
          </cell>
          <cell r="I6602" t="str">
            <v>40901</v>
          </cell>
        </row>
        <row r="6603">
          <cell r="G6603" t="str">
            <v>Phường Đông Thanh</v>
          </cell>
          <cell r="I6603" t="str">
            <v>40901</v>
          </cell>
        </row>
        <row r="6604">
          <cell r="G6604" t="str">
            <v>Phường 2</v>
          </cell>
          <cell r="I6604" t="str">
            <v>40901</v>
          </cell>
        </row>
        <row r="6605">
          <cell r="G6605" t="str">
            <v>Phường 4</v>
          </cell>
          <cell r="I6605" t="str">
            <v>40901</v>
          </cell>
        </row>
        <row r="6606">
          <cell r="G6606" t="str">
            <v>Phường Đông Lương</v>
          </cell>
          <cell r="I6606" t="str">
            <v>40901</v>
          </cell>
        </row>
        <row r="6607">
          <cell r="G6607" t="str">
            <v>Phường 3</v>
          </cell>
          <cell r="I6607" t="str">
            <v>40901</v>
          </cell>
        </row>
        <row r="6608">
          <cell r="G6608" t="str">
            <v xml:space="preserve">Phường 1 </v>
          </cell>
          <cell r="I6608" t="str">
            <v>40903</v>
          </cell>
        </row>
        <row r="6609">
          <cell r="G6609" t="str">
            <v xml:space="preserve">Phường 2 </v>
          </cell>
          <cell r="I6609" t="str">
            <v>40903</v>
          </cell>
        </row>
        <row r="6610">
          <cell r="G6610" t="str">
            <v xml:space="preserve">Phường 3 </v>
          </cell>
          <cell r="I6610" t="str">
            <v>40903</v>
          </cell>
        </row>
        <row r="6611">
          <cell r="G6611" t="str">
            <v>Phường An Đôn</v>
          </cell>
          <cell r="I6611" t="str">
            <v>40903</v>
          </cell>
        </row>
        <row r="6612">
          <cell r="G6612" t="str">
            <v>Xã Hải Lệ</v>
          </cell>
          <cell r="I6612" t="str">
            <v>40903</v>
          </cell>
        </row>
        <row r="6613">
          <cell r="G6613" t="str">
            <v>Xã Vĩnh Nam</v>
          </cell>
          <cell r="I6613" t="str">
            <v>40905</v>
          </cell>
        </row>
        <row r="6614">
          <cell r="G6614" t="str">
            <v>Xã Vĩnh Thái</v>
          </cell>
          <cell r="I6614" t="str">
            <v>40905</v>
          </cell>
        </row>
        <row r="6615">
          <cell r="G6615" t="str">
            <v>Xã Vĩnh Kim</v>
          </cell>
          <cell r="I6615" t="str">
            <v>40905</v>
          </cell>
        </row>
        <row r="6616">
          <cell r="G6616" t="str">
            <v>Xã Vĩnh Khê</v>
          </cell>
          <cell r="I6616" t="str">
            <v>40905</v>
          </cell>
        </row>
        <row r="6617">
          <cell r="G6617" t="str">
            <v>Xã Vĩnh Lâm</v>
          </cell>
          <cell r="I6617" t="str">
            <v>40905</v>
          </cell>
        </row>
        <row r="6618">
          <cell r="G6618" t="str">
            <v>Xã Vĩnh Hà</v>
          </cell>
          <cell r="I6618" t="str">
            <v>40905</v>
          </cell>
        </row>
        <row r="6619">
          <cell r="G6619" t="str">
            <v xml:space="preserve">Xã Vĩnh Sơn  </v>
          </cell>
          <cell r="I6619" t="str">
            <v>40905</v>
          </cell>
        </row>
        <row r="6620">
          <cell r="G6620" t="str">
            <v>Xã Vĩnh Giang</v>
          </cell>
          <cell r="I6620" t="str">
            <v>40905</v>
          </cell>
        </row>
        <row r="6621">
          <cell r="G6621" t="str">
            <v>Xã Vĩnh ô</v>
          </cell>
          <cell r="I6621" t="str">
            <v>40905</v>
          </cell>
        </row>
        <row r="6622">
          <cell r="G6622" t="str">
            <v>Thị trấn Cửa Tùng</v>
          </cell>
          <cell r="I6622" t="str">
            <v>40905</v>
          </cell>
        </row>
        <row r="6623">
          <cell r="G6623" t="str">
            <v>Thị trấn Hồ Xá</v>
          </cell>
          <cell r="I6623" t="str">
            <v>40905</v>
          </cell>
        </row>
        <row r="6624">
          <cell r="G6624" t="str">
            <v>Thị trấn Bến Quan</v>
          </cell>
          <cell r="I6624" t="str">
            <v>40905</v>
          </cell>
        </row>
        <row r="6625">
          <cell r="G6625" t="str">
            <v>Xã Vĩnh Tú</v>
          </cell>
          <cell r="I6625" t="str">
            <v>40905</v>
          </cell>
        </row>
        <row r="6626">
          <cell r="G6626" t="str">
            <v>Xã Vĩnh Chấp</v>
          </cell>
          <cell r="I6626" t="str">
            <v>40905</v>
          </cell>
        </row>
        <row r="6627">
          <cell r="G6627" t="str">
            <v xml:space="preserve">Xã Vĩnh Trung </v>
          </cell>
          <cell r="I6627" t="str">
            <v>40905</v>
          </cell>
        </row>
        <row r="6628">
          <cell r="G6628" t="str">
            <v>Xã Vĩnh Thạch</v>
          </cell>
          <cell r="I6628" t="str">
            <v>40905</v>
          </cell>
        </row>
        <row r="6629">
          <cell r="G6629" t="str">
            <v xml:space="preserve">Xã Vĩnh Long  </v>
          </cell>
          <cell r="I6629" t="str">
            <v>40905</v>
          </cell>
        </row>
        <row r="6630">
          <cell r="G6630" t="str">
            <v xml:space="preserve">Xã Vĩnh Hòa  </v>
          </cell>
          <cell r="I6630" t="str">
            <v>40905</v>
          </cell>
        </row>
        <row r="6631">
          <cell r="G6631" t="str">
            <v>Xã Vĩnh Hiền</v>
          </cell>
          <cell r="I6631" t="str">
            <v>40905</v>
          </cell>
        </row>
        <row r="6632">
          <cell r="G6632" t="str">
            <v>Xã Vĩnh Thủy</v>
          </cell>
          <cell r="I6632" t="str">
            <v>40905</v>
          </cell>
        </row>
        <row r="6633">
          <cell r="G6633" t="str">
            <v xml:space="preserve">Xã Vĩnh Thành  </v>
          </cell>
          <cell r="I6633" t="str">
            <v>40905</v>
          </cell>
        </row>
        <row r="6634">
          <cell r="G6634" t="str">
            <v xml:space="preserve">Xã Vĩnh Tân </v>
          </cell>
          <cell r="I6634" t="str">
            <v>40905</v>
          </cell>
        </row>
        <row r="6635">
          <cell r="G6635" t="str">
            <v>Xã Trung Giang</v>
          </cell>
          <cell r="I6635" t="str">
            <v>40907</v>
          </cell>
        </row>
        <row r="6636">
          <cell r="G6636" t="str">
            <v>Xã Linh Thượng</v>
          </cell>
          <cell r="I6636" t="str">
            <v>40907</v>
          </cell>
        </row>
        <row r="6637">
          <cell r="G6637" t="str">
            <v>Xã Trung Hải</v>
          </cell>
          <cell r="I6637" t="str">
            <v>40907</v>
          </cell>
        </row>
        <row r="6638">
          <cell r="G6638" t="str">
            <v>Xã Vĩnh Trường</v>
          </cell>
          <cell r="I6638" t="str">
            <v>40907</v>
          </cell>
        </row>
        <row r="6639">
          <cell r="G6639" t="str">
            <v>Xã Gio Châu</v>
          </cell>
          <cell r="I6639" t="str">
            <v>40907</v>
          </cell>
        </row>
        <row r="6640">
          <cell r="G6640" t="str">
            <v>Xã Gio Sơn</v>
          </cell>
          <cell r="I6640" t="str">
            <v>40907</v>
          </cell>
        </row>
        <row r="6641">
          <cell r="G6641" t="str">
            <v>Xã Linh Hải</v>
          </cell>
          <cell r="I6641" t="str">
            <v>40907</v>
          </cell>
        </row>
        <row r="6642">
          <cell r="G6642" t="str">
            <v>Thị trấn Gio Linh</v>
          </cell>
          <cell r="I6642" t="str">
            <v>40907</v>
          </cell>
        </row>
        <row r="6643">
          <cell r="G6643" t="str">
            <v>Thị trấn Cửa Việt</v>
          </cell>
          <cell r="I6643" t="str">
            <v>40907</v>
          </cell>
        </row>
        <row r="6644">
          <cell r="G6644" t="str">
            <v xml:space="preserve">Xã Trung Sơn      </v>
          </cell>
          <cell r="I6644" t="str">
            <v>40907</v>
          </cell>
        </row>
        <row r="6645">
          <cell r="G6645" t="str">
            <v>Xã Gio Phong</v>
          </cell>
          <cell r="I6645" t="str">
            <v>40907</v>
          </cell>
        </row>
        <row r="6646">
          <cell r="G6646" t="str">
            <v>Xã Gio Mỹ</v>
          </cell>
          <cell r="I6646" t="str">
            <v>40907</v>
          </cell>
        </row>
        <row r="6647">
          <cell r="G6647" t="str">
            <v>Xã Gio Bình</v>
          </cell>
          <cell r="I6647" t="str">
            <v>40907</v>
          </cell>
        </row>
        <row r="6648">
          <cell r="G6648" t="str">
            <v>Xã Gio Hải</v>
          </cell>
          <cell r="I6648" t="str">
            <v>40907</v>
          </cell>
        </row>
        <row r="6649">
          <cell r="G6649" t="str">
            <v>Xã Gio An</v>
          </cell>
          <cell r="I6649" t="str">
            <v>40907</v>
          </cell>
        </row>
        <row r="6650">
          <cell r="G6650" t="str">
            <v>Xã Gio Thành</v>
          </cell>
          <cell r="I6650" t="str">
            <v>40907</v>
          </cell>
        </row>
        <row r="6651">
          <cell r="G6651" t="str">
            <v>Xã Gio Việt</v>
          </cell>
          <cell r="I6651" t="str">
            <v>40907</v>
          </cell>
        </row>
        <row r="6652">
          <cell r="G6652" t="str">
            <v>Xã Gio Hòa</v>
          </cell>
          <cell r="I6652" t="str">
            <v>40907</v>
          </cell>
        </row>
        <row r="6653">
          <cell r="G6653" t="str">
            <v>Xã Gio Mai</v>
          </cell>
          <cell r="I6653" t="str">
            <v>40907</v>
          </cell>
        </row>
        <row r="6654">
          <cell r="G6654" t="str">
            <v>Xã Hải Thái</v>
          </cell>
          <cell r="I6654" t="str">
            <v>40907</v>
          </cell>
        </row>
        <row r="6655">
          <cell r="G6655" t="str">
            <v>Xã Gio Quang</v>
          </cell>
          <cell r="I6655" t="str">
            <v>40907</v>
          </cell>
        </row>
        <row r="6656">
          <cell r="G6656" t="str">
            <v>Xã Cam Thanh</v>
          </cell>
          <cell r="I6656" t="str">
            <v>40909</v>
          </cell>
        </row>
        <row r="6657">
          <cell r="G6657" t="str">
            <v xml:space="preserve">Xã Cam Thủy </v>
          </cell>
          <cell r="I6657" t="str">
            <v>40909</v>
          </cell>
        </row>
        <row r="6658">
          <cell r="G6658" t="str">
            <v>Xã Cam Chính</v>
          </cell>
          <cell r="I6658" t="str">
            <v>40909</v>
          </cell>
        </row>
        <row r="6659">
          <cell r="G6659" t="str">
            <v>Thị trấn Cam Lộ</v>
          </cell>
          <cell r="I6659" t="str">
            <v>40909</v>
          </cell>
        </row>
        <row r="6660">
          <cell r="G6660" t="str">
            <v>Xã Cam Tuyền</v>
          </cell>
          <cell r="I6660" t="str">
            <v>40909</v>
          </cell>
        </row>
        <row r="6661">
          <cell r="G6661" t="str">
            <v>Xã Cam An</v>
          </cell>
          <cell r="I6661" t="str">
            <v>40909</v>
          </cell>
        </row>
        <row r="6662">
          <cell r="G6662" t="str">
            <v>Xã Cam Thành</v>
          </cell>
          <cell r="I6662" t="str">
            <v>40909</v>
          </cell>
        </row>
        <row r="6663">
          <cell r="G6663" t="str">
            <v>Xã Cam Hiếu</v>
          </cell>
          <cell r="I6663" t="str">
            <v>40909</v>
          </cell>
        </row>
        <row r="6664">
          <cell r="G6664" t="str">
            <v>Xã Cam Nghĩa</v>
          </cell>
          <cell r="I6664" t="str">
            <v>40909</v>
          </cell>
        </row>
        <row r="6665">
          <cell r="G6665" t="str">
            <v>Xã Triệu Đại</v>
          </cell>
          <cell r="I6665" t="str">
            <v>40911</v>
          </cell>
        </row>
        <row r="6666">
          <cell r="G6666" t="str">
            <v>Xã Triệu Vân</v>
          </cell>
          <cell r="I6666" t="str">
            <v>40911</v>
          </cell>
        </row>
        <row r="6667">
          <cell r="G6667" t="str">
            <v>Xã Triệu Thuận</v>
          </cell>
          <cell r="I6667" t="str">
            <v>40911</v>
          </cell>
        </row>
        <row r="6668">
          <cell r="G6668" t="str">
            <v>Xã Triệu Sơn</v>
          </cell>
          <cell r="I6668" t="str">
            <v>40911</v>
          </cell>
        </row>
        <row r="6669">
          <cell r="G6669" t="str">
            <v>Xã Triệu Trung</v>
          </cell>
          <cell r="I6669" t="str">
            <v>40911</v>
          </cell>
        </row>
        <row r="6670">
          <cell r="G6670" t="str">
            <v xml:space="preserve">Xã Triệu Thành </v>
          </cell>
          <cell r="I6670" t="str">
            <v>40911</v>
          </cell>
        </row>
        <row r="6671">
          <cell r="G6671" t="str">
            <v>Thị trấn ái Tử</v>
          </cell>
          <cell r="I6671" t="str">
            <v>40911</v>
          </cell>
        </row>
        <row r="6672">
          <cell r="G6672" t="str">
            <v>Xã Triệu An</v>
          </cell>
          <cell r="I6672" t="str">
            <v>40911</v>
          </cell>
        </row>
        <row r="6673">
          <cell r="G6673" t="str">
            <v>Xã Triệu Phước</v>
          </cell>
          <cell r="I6673" t="str">
            <v>40911</v>
          </cell>
        </row>
        <row r="6674">
          <cell r="G6674" t="str">
            <v>Xã Triệu Độ</v>
          </cell>
          <cell r="I6674" t="str">
            <v>40911</v>
          </cell>
        </row>
        <row r="6675">
          <cell r="G6675" t="str">
            <v>Xã Triệu Trạch</v>
          </cell>
          <cell r="I6675" t="str">
            <v>40911</v>
          </cell>
        </row>
        <row r="6676">
          <cell r="G6676" t="str">
            <v>Xã Triệu Hòa</v>
          </cell>
          <cell r="I6676" t="str">
            <v>40911</v>
          </cell>
        </row>
        <row r="6677">
          <cell r="G6677" t="str">
            <v>Xã Triệu Lăng</v>
          </cell>
          <cell r="I6677" t="str">
            <v>40911</v>
          </cell>
        </row>
        <row r="6678">
          <cell r="G6678" t="str">
            <v>Xã Triệu Long</v>
          </cell>
          <cell r="I6678" t="str">
            <v>40911</v>
          </cell>
        </row>
        <row r="6679">
          <cell r="G6679" t="str">
            <v>Xã Triệu Tài</v>
          </cell>
          <cell r="I6679" t="str">
            <v>40911</v>
          </cell>
        </row>
        <row r="6680">
          <cell r="G6680" t="str">
            <v>Xã Triệu Đông</v>
          </cell>
          <cell r="I6680" t="str">
            <v>40911</v>
          </cell>
        </row>
        <row r="6681">
          <cell r="G6681" t="str">
            <v>Xã Triệu ái</v>
          </cell>
          <cell r="I6681" t="str">
            <v>40911</v>
          </cell>
        </row>
        <row r="6682">
          <cell r="G6682" t="str">
            <v>Xã Triệu Thượng</v>
          </cell>
          <cell r="I6682" t="str">
            <v>40911</v>
          </cell>
        </row>
        <row r="6683">
          <cell r="G6683" t="str">
            <v>Xã Triệu Giang</v>
          </cell>
          <cell r="I6683" t="str">
            <v>40911</v>
          </cell>
        </row>
        <row r="6684">
          <cell r="G6684" t="str">
            <v>Thị trấn Hải Lăng</v>
          </cell>
          <cell r="I6684" t="str">
            <v>40913</v>
          </cell>
        </row>
        <row r="6685">
          <cell r="G6685" t="str">
            <v>Xã Hải Thành</v>
          </cell>
          <cell r="I6685" t="str">
            <v>40913</v>
          </cell>
        </row>
        <row r="6686">
          <cell r="G6686" t="str">
            <v xml:space="preserve">Xã Hải Tân </v>
          </cell>
          <cell r="I6686" t="str">
            <v>40913</v>
          </cell>
        </row>
        <row r="6687">
          <cell r="G6687" t="str">
            <v>Xã Hải Chánh</v>
          </cell>
          <cell r="I6687" t="str">
            <v>40913</v>
          </cell>
        </row>
        <row r="6688">
          <cell r="G6688" t="str">
            <v>Xã Hải Thiện</v>
          </cell>
          <cell r="I6688" t="str">
            <v>40913</v>
          </cell>
        </row>
        <row r="6689">
          <cell r="G6689" t="str">
            <v xml:space="preserve">Xã Hải Xuân  </v>
          </cell>
          <cell r="I6689" t="str">
            <v>40913</v>
          </cell>
        </row>
        <row r="6690">
          <cell r="G6690" t="str">
            <v xml:space="preserve">Xã Hải Phú </v>
          </cell>
          <cell r="I6690" t="str">
            <v>40913</v>
          </cell>
        </row>
        <row r="6691">
          <cell r="G6691" t="str">
            <v xml:space="preserve">Xã Hải An  </v>
          </cell>
          <cell r="I6691" t="str">
            <v>40913</v>
          </cell>
        </row>
        <row r="6692">
          <cell r="G6692" t="str">
            <v>Xã Hải Ba</v>
          </cell>
          <cell r="I6692" t="str">
            <v>40913</v>
          </cell>
        </row>
        <row r="6693">
          <cell r="G6693" t="str">
            <v>Xã Hải Quy</v>
          </cell>
          <cell r="I6693" t="str">
            <v>40913</v>
          </cell>
        </row>
        <row r="6694">
          <cell r="G6694" t="str">
            <v>Xã Hải Quế</v>
          </cell>
          <cell r="I6694" t="str">
            <v>40913</v>
          </cell>
        </row>
        <row r="6695">
          <cell r="G6695" t="str">
            <v>Xã Hải Vĩnh</v>
          </cell>
          <cell r="I6695" t="str">
            <v>40913</v>
          </cell>
        </row>
        <row r="6696">
          <cell r="G6696" t="str">
            <v xml:space="preserve">Xã Hải Lệ </v>
          </cell>
          <cell r="I6696" t="str">
            <v>40913</v>
          </cell>
        </row>
        <row r="6697">
          <cell r="G6697" t="str">
            <v xml:space="preserve">Xã Hải Thượng </v>
          </cell>
          <cell r="I6697" t="str">
            <v>40913</v>
          </cell>
        </row>
        <row r="6698">
          <cell r="G6698" t="str">
            <v>Xã Hải Dương</v>
          </cell>
          <cell r="I6698" t="str">
            <v>40913</v>
          </cell>
        </row>
        <row r="6699">
          <cell r="G6699" t="str">
            <v>Xã Hải Lâm</v>
          </cell>
          <cell r="I6699" t="str">
            <v>40913</v>
          </cell>
        </row>
        <row r="6700">
          <cell r="G6700" t="str">
            <v xml:space="preserve">Xã Hải Hòa  </v>
          </cell>
          <cell r="I6700" t="str">
            <v>40913</v>
          </cell>
        </row>
        <row r="6701">
          <cell r="G6701" t="str">
            <v>Xã Hải Trường</v>
          </cell>
          <cell r="I6701" t="str">
            <v>40913</v>
          </cell>
        </row>
        <row r="6702">
          <cell r="G6702" t="str">
            <v>Xã Hải Thọ</v>
          </cell>
          <cell r="I6702" t="str">
            <v>40913</v>
          </cell>
        </row>
        <row r="6703">
          <cell r="G6703" t="str">
            <v xml:space="preserve">Xã Hải Sơn  </v>
          </cell>
          <cell r="I6703" t="str">
            <v>40913</v>
          </cell>
        </row>
        <row r="6704">
          <cell r="G6704" t="str">
            <v>Xã Hải Khê</v>
          </cell>
          <cell r="I6704" t="str">
            <v>40913</v>
          </cell>
        </row>
        <row r="6705">
          <cell r="G6705" t="str">
            <v>Thị trấn Khe Sanh</v>
          </cell>
          <cell r="I6705" t="str">
            <v>40915</v>
          </cell>
        </row>
        <row r="6706">
          <cell r="G6706" t="str">
            <v xml:space="preserve">Xã Tân Liên  </v>
          </cell>
          <cell r="I6706" t="str">
            <v>40915</v>
          </cell>
        </row>
        <row r="6707">
          <cell r="G6707" t="str">
            <v>Xã Hướng Linh</v>
          </cell>
          <cell r="I6707" t="str">
            <v>40915</v>
          </cell>
        </row>
        <row r="6708">
          <cell r="G6708" t="str">
            <v xml:space="preserve">Xã Tân Long   </v>
          </cell>
          <cell r="I6708" t="str">
            <v>40915</v>
          </cell>
        </row>
        <row r="6709">
          <cell r="G6709" t="str">
            <v>Xã Thuận</v>
          </cell>
          <cell r="I6709" t="str">
            <v>40915</v>
          </cell>
        </row>
        <row r="6710">
          <cell r="G6710" t="str">
            <v>Xã Thanh</v>
          </cell>
          <cell r="I6710" t="str">
            <v>40915</v>
          </cell>
        </row>
        <row r="6711">
          <cell r="G6711" t="str">
            <v>Xã Xy</v>
          </cell>
          <cell r="I6711" t="str">
            <v>40915</v>
          </cell>
        </row>
        <row r="6712">
          <cell r="G6712" t="str">
            <v>Thị trấn Lao Bảo</v>
          </cell>
          <cell r="I6712" t="str">
            <v>40915</v>
          </cell>
        </row>
        <row r="6713">
          <cell r="G6713" t="str">
            <v>Xã Hướng Lập</v>
          </cell>
          <cell r="I6713" t="str">
            <v>40915</v>
          </cell>
        </row>
        <row r="6714">
          <cell r="G6714" t="str">
            <v>Xã Hướng Việt</v>
          </cell>
          <cell r="I6714" t="str">
            <v>40915</v>
          </cell>
        </row>
        <row r="6715">
          <cell r="G6715" t="str">
            <v>Xã Hướng Phùng</v>
          </cell>
          <cell r="I6715" t="str">
            <v>40915</v>
          </cell>
        </row>
        <row r="6716">
          <cell r="G6716" t="str">
            <v>Xã Hướng Sơn</v>
          </cell>
          <cell r="I6716" t="str">
            <v>40915</v>
          </cell>
        </row>
        <row r="6717">
          <cell r="G6717" t="str">
            <v xml:space="preserve">Xã Tân Hợp   </v>
          </cell>
          <cell r="I6717" t="str">
            <v>40915</v>
          </cell>
        </row>
        <row r="6718">
          <cell r="G6718" t="str">
            <v>Xã Hướng Tân</v>
          </cell>
          <cell r="I6718" t="str">
            <v>40915</v>
          </cell>
        </row>
        <row r="6719">
          <cell r="G6719" t="str">
            <v xml:space="preserve">Xã Tân Thành           </v>
          </cell>
          <cell r="I6719" t="str">
            <v>40915</v>
          </cell>
        </row>
        <row r="6720">
          <cell r="G6720" t="str">
            <v xml:space="preserve">Xã Tân Lập               </v>
          </cell>
          <cell r="I6720" t="str">
            <v>40915</v>
          </cell>
        </row>
        <row r="6721">
          <cell r="G6721" t="str">
            <v>Xã Húc</v>
          </cell>
          <cell r="I6721" t="str">
            <v>40915</v>
          </cell>
        </row>
        <row r="6722">
          <cell r="G6722" t="str">
            <v>Xã Hướng Lộc</v>
          </cell>
          <cell r="I6722" t="str">
            <v>40915</v>
          </cell>
        </row>
        <row r="6723">
          <cell r="G6723" t="str">
            <v>Xã Ba Tầng</v>
          </cell>
          <cell r="I6723" t="str">
            <v>40915</v>
          </cell>
        </row>
        <row r="6724">
          <cell r="G6724" t="str">
            <v>Xã A Dơi</v>
          </cell>
          <cell r="I6724" t="str">
            <v>40915</v>
          </cell>
        </row>
        <row r="6725">
          <cell r="G6725" t="str">
            <v>Xã A Xing</v>
          </cell>
          <cell r="I6725" t="str">
            <v>40915</v>
          </cell>
        </row>
        <row r="6726">
          <cell r="G6726" t="str">
            <v>Xã A Túc</v>
          </cell>
          <cell r="I6726" t="str">
            <v>40915</v>
          </cell>
        </row>
        <row r="6727">
          <cell r="G6727" t="str">
            <v>Xã Ba Nang</v>
          </cell>
          <cell r="I6727" t="str">
            <v>40917</v>
          </cell>
        </row>
        <row r="6728">
          <cell r="G6728" t="str">
            <v>Xã Hướng Hiệp</v>
          </cell>
          <cell r="I6728" t="str">
            <v>40917</v>
          </cell>
        </row>
        <row r="6729">
          <cell r="G6729" t="str">
            <v xml:space="preserve">Xã Hải Phúc </v>
          </cell>
          <cell r="I6729" t="str">
            <v>40917</v>
          </cell>
        </row>
        <row r="6730">
          <cell r="G6730" t="str">
            <v>Xã A Vao</v>
          </cell>
          <cell r="I6730" t="str">
            <v>40917</v>
          </cell>
        </row>
        <row r="6731">
          <cell r="G6731" t="str">
            <v>Xã A Ngo</v>
          </cell>
          <cell r="I6731" t="str">
            <v>40917</v>
          </cell>
        </row>
        <row r="6732">
          <cell r="G6732" t="str">
            <v>Thị trấn Krông Klang</v>
          </cell>
          <cell r="I6732" t="str">
            <v>40917</v>
          </cell>
        </row>
        <row r="6733">
          <cell r="G6733" t="str">
            <v>Xã Mò ó</v>
          </cell>
          <cell r="I6733" t="str">
            <v>40917</v>
          </cell>
        </row>
        <row r="6734">
          <cell r="G6734" t="str">
            <v>Xã Đa Krông</v>
          </cell>
          <cell r="I6734" t="str">
            <v>40917</v>
          </cell>
        </row>
        <row r="6735">
          <cell r="G6735" t="str">
            <v xml:space="preserve">Xã Triệu Nguyên </v>
          </cell>
          <cell r="I6735" t="str">
            <v>40917</v>
          </cell>
        </row>
        <row r="6736">
          <cell r="G6736" t="str">
            <v>Xã Ba Lòng</v>
          </cell>
          <cell r="I6736" t="str">
            <v>40917</v>
          </cell>
        </row>
        <row r="6737">
          <cell r="G6737" t="str">
            <v>Xã Tà Long</v>
          </cell>
          <cell r="I6737" t="str">
            <v>40917</v>
          </cell>
        </row>
        <row r="6738">
          <cell r="G6738" t="str">
            <v>Xã Húc Nghì</v>
          </cell>
          <cell r="I6738" t="str">
            <v>40917</v>
          </cell>
        </row>
        <row r="6739">
          <cell r="G6739" t="str">
            <v>Xã Tà Rụt</v>
          </cell>
          <cell r="I6739" t="str">
            <v>40917</v>
          </cell>
        </row>
        <row r="6740">
          <cell r="G6740" t="str">
            <v>Xã A Bung</v>
          </cell>
          <cell r="I6740" t="str">
            <v>40917</v>
          </cell>
        </row>
        <row r="6741">
          <cell r="G6741" t="str">
            <v>Xã Cồn Cỏ</v>
          </cell>
          <cell r="I6741" t="str">
            <v>40919</v>
          </cell>
        </row>
        <row r="6742">
          <cell r="G6742" t="str">
            <v>Phường Phú Thuận</v>
          </cell>
          <cell r="I6742" t="str">
            <v>41101</v>
          </cell>
        </row>
        <row r="6743">
          <cell r="G6743" t="str">
            <v>Phường Phường Đúc</v>
          </cell>
          <cell r="I6743" t="str">
            <v>41101</v>
          </cell>
        </row>
        <row r="6744">
          <cell r="G6744" t="str">
            <v>Phường Phú Hậu</v>
          </cell>
          <cell r="I6744" t="str">
            <v>41101</v>
          </cell>
        </row>
        <row r="6745">
          <cell r="G6745" t="str">
            <v>Phường Phú Cát</v>
          </cell>
          <cell r="I6745" t="str">
            <v>41101</v>
          </cell>
        </row>
        <row r="6746">
          <cell r="G6746" t="str">
            <v>Phường Vĩnh Ninh</v>
          </cell>
          <cell r="I6746" t="str">
            <v>41101</v>
          </cell>
        </row>
        <row r="6747">
          <cell r="G6747" t="str">
            <v>Phường Phước Vĩnh</v>
          </cell>
          <cell r="I6747" t="str">
            <v>41101</v>
          </cell>
        </row>
        <row r="6748">
          <cell r="G6748" t="str">
            <v>Phường Thủy Xuân</v>
          </cell>
          <cell r="I6748" t="str">
            <v>41101</v>
          </cell>
        </row>
        <row r="6749">
          <cell r="G6749" t="str">
            <v>Phường Phú Bình</v>
          </cell>
          <cell r="I6749" t="str">
            <v>41101</v>
          </cell>
        </row>
        <row r="6750">
          <cell r="G6750" t="str">
            <v>Phường Tây Lộc</v>
          </cell>
          <cell r="I6750" t="str">
            <v>41101</v>
          </cell>
        </row>
        <row r="6751">
          <cell r="G6751" t="str">
            <v>Phường Thuận Lộc</v>
          </cell>
          <cell r="I6751" t="str">
            <v>41101</v>
          </cell>
        </row>
        <row r="6752">
          <cell r="G6752" t="str">
            <v>Phường Phú Hiệp</v>
          </cell>
          <cell r="I6752" t="str">
            <v>41101</v>
          </cell>
        </row>
        <row r="6753">
          <cell r="G6753" t="str">
            <v>Phường Thuận Hòa</v>
          </cell>
          <cell r="I6753" t="str">
            <v>41101</v>
          </cell>
        </row>
        <row r="6754">
          <cell r="G6754" t="str">
            <v>Phường Thuận Thành</v>
          </cell>
          <cell r="I6754" t="str">
            <v>41101</v>
          </cell>
        </row>
        <row r="6755">
          <cell r="G6755" t="str">
            <v>Phường Phú Hòa</v>
          </cell>
          <cell r="I6755" t="str">
            <v>41101</v>
          </cell>
        </row>
        <row r="6756">
          <cell r="G6756" t="str">
            <v>Phường Kim Long</v>
          </cell>
          <cell r="I6756" t="str">
            <v>41101</v>
          </cell>
        </row>
        <row r="6757">
          <cell r="G6757" t="str">
            <v>Phường Vỹ Dạ</v>
          </cell>
          <cell r="I6757" t="str">
            <v>41101</v>
          </cell>
        </row>
        <row r="6758">
          <cell r="G6758" t="str">
            <v>Phường Phú Hội</v>
          </cell>
          <cell r="I6758" t="str">
            <v>41101</v>
          </cell>
        </row>
        <row r="6759">
          <cell r="G6759" t="str">
            <v>Phường Phú Nhuận</v>
          </cell>
          <cell r="I6759" t="str">
            <v>41101</v>
          </cell>
        </row>
        <row r="6760">
          <cell r="G6760" t="str">
            <v>Phường Xuân Phú</v>
          </cell>
          <cell r="I6760" t="str">
            <v>41101</v>
          </cell>
        </row>
        <row r="6761">
          <cell r="G6761" t="str">
            <v>Phường Trường An</v>
          </cell>
          <cell r="I6761" t="str">
            <v>41101</v>
          </cell>
        </row>
        <row r="6762">
          <cell r="G6762" t="str">
            <v>Phường An Cựu</v>
          </cell>
          <cell r="I6762" t="str">
            <v>41101</v>
          </cell>
        </row>
        <row r="6763">
          <cell r="G6763" t="str">
            <v>Phường Hương Sơ</v>
          </cell>
          <cell r="I6763" t="str">
            <v>41101</v>
          </cell>
        </row>
        <row r="6764">
          <cell r="G6764" t="str">
            <v>Phường Thủy Biều</v>
          </cell>
          <cell r="I6764" t="str">
            <v>41101</v>
          </cell>
        </row>
        <row r="6765">
          <cell r="G6765" t="str">
            <v>Phường Hương Long</v>
          </cell>
          <cell r="I6765" t="str">
            <v>41101</v>
          </cell>
        </row>
        <row r="6766">
          <cell r="G6766" t="str">
            <v>Phường An Đông</v>
          </cell>
          <cell r="I6766" t="str">
            <v>41101</v>
          </cell>
        </row>
        <row r="6767">
          <cell r="G6767" t="str">
            <v>Phường An Tây</v>
          </cell>
          <cell r="I6767" t="str">
            <v>41101</v>
          </cell>
        </row>
        <row r="6768">
          <cell r="G6768" t="str">
            <v>Phường An Hòa</v>
          </cell>
          <cell r="I6768" t="str">
            <v>41101</v>
          </cell>
        </row>
        <row r="6769">
          <cell r="G6769" t="str">
            <v>Thị trấn Phong Điền</v>
          </cell>
          <cell r="I6769" t="str">
            <v>41103</v>
          </cell>
        </row>
        <row r="6770">
          <cell r="G6770" t="str">
            <v>Xã Phong Sơn</v>
          </cell>
          <cell r="I6770" t="str">
            <v>41103</v>
          </cell>
        </row>
        <row r="6771">
          <cell r="G6771" t="str">
            <v>Xã Điền Môn</v>
          </cell>
          <cell r="I6771" t="str">
            <v>41103</v>
          </cell>
        </row>
        <row r="6772">
          <cell r="G6772" t="str">
            <v>Xã Điền Hòa</v>
          </cell>
          <cell r="I6772" t="str">
            <v>41103</v>
          </cell>
        </row>
        <row r="6773">
          <cell r="G6773" t="str">
            <v>Xã Phong Hòa</v>
          </cell>
          <cell r="I6773" t="str">
            <v>41103</v>
          </cell>
        </row>
        <row r="6774">
          <cell r="G6774" t="str">
            <v>Xã Phong An</v>
          </cell>
          <cell r="I6774" t="str">
            <v>41103</v>
          </cell>
        </row>
        <row r="6775">
          <cell r="G6775" t="str">
            <v>Xã Điền Hương</v>
          </cell>
          <cell r="I6775" t="str">
            <v>41103</v>
          </cell>
        </row>
        <row r="6776">
          <cell r="G6776" t="str">
            <v>Xã Điền Lộc</v>
          </cell>
          <cell r="I6776" t="str">
            <v>41103</v>
          </cell>
        </row>
        <row r="6777">
          <cell r="G6777" t="str">
            <v>Xã Phong Bình</v>
          </cell>
          <cell r="I6777" t="str">
            <v>41103</v>
          </cell>
        </row>
        <row r="6778">
          <cell r="G6778" t="str">
            <v>Xã Phong Chương</v>
          </cell>
          <cell r="I6778" t="str">
            <v>41103</v>
          </cell>
        </row>
        <row r="6779">
          <cell r="G6779" t="str">
            <v>Xã Phong Hải</v>
          </cell>
          <cell r="I6779" t="str">
            <v>41103</v>
          </cell>
        </row>
        <row r="6780">
          <cell r="G6780" t="str">
            <v>Xã Điền Hải</v>
          </cell>
          <cell r="I6780" t="str">
            <v>41103</v>
          </cell>
        </row>
        <row r="6781">
          <cell r="G6781" t="str">
            <v>Xã Phong Thu</v>
          </cell>
          <cell r="I6781" t="str">
            <v>41103</v>
          </cell>
        </row>
        <row r="6782">
          <cell r="G6782" t="str">
            <v>Xã Phong Hiền</v>
          </cell>
          <cell r="I6782" t="str">
            <v>41103</v>
          </cell>
        </row>
        <row r="6783">
          <cell r="G6783" t="str">
            <v>Xã Phong Mỹ</v>
          </cell>
          <cell r="I6783" t="str">
            <v>41103</v>
          </cell>
        </row>
        <row r="6784">
          <cell r="G6784" t="str">
            <v>Xã Phong Xuân</v>
          </cell>
          <cell r="I6784" t="str">
            <v>41103</v>
          </cell>
        </row>
        <row r="6785">
          <cell r="G6785" t="str">
            <v xml:space="preserve">Xã Quảng Thái </v>
          </cell>
          <cell r="I6785" t="str">
            <v>41105</v>
          </cell>
        </row>
        <row r="6786">
          <cell r="G6786" t="str">
            <v>Xã Quảng Phước</v>
          </cell>
          <cell r="I6786" t="str">
            <v>41105</v>
          </cell>
        </row>
        <row r="6787">
          <cell r="G6787" t="str">
            <v xml:space="preserve">Xã Quảng Phú    </v>
          </cell>
          <cell r="I6787" t="str">
            <v>41105</v>
          </cell>
        </row>
        <row r="6788">
          <cell r="G6788" t="str">
            <v>Thị trấn Sịa</v>
          </cell>
          <cell r="I6788" t="str">
            <v>41105</v>
          </cell>
        </row>
        <row r="6789">
          <cell r="G6789" t="str">
            <v>Xã Quảng Ngạn</v>
          </cell>
          <cell r="I6789" t="str">
            <v>41105</v>
          </cell>
        </row>
        <row r="6790">
          <cell r="G6790" t="str">
            <v xml:space="preserve">Xã Quảng Lợi  </v>
          </cell>
          <cell r="I6790" t="str">
            <v>41105</v>
          </cell>
        </row>
        <row r="6791">
          <cell r="G6791" t="str">
            <v>Xã Quảng Công</v>
          </cell>
          <cell r="I6791" t="str">
            <v>41105</v>
          </cell>
        </row>
        <row r="6792">
          <cell r="G6792" t="str">
            <v xml:space="preserve">Xã Quảng Vinh </v>
          </cell>
          <cell r="I6792" t="str">
            <v>41105</v>
          </cell>
        </row>
        <row r="6793">
          <cell r="G6793" t="str">
            <v xml:space="preserve">Xã Quảng An </v>
          </cell>
          <cell r="I6793" t="str">
            <v>41105</v>
          </cell>
        </row>
        <row r="6794">
          <cell r="G6794" t="str">
            <v xml:space="preserve">Xã Quảng Thành </v>
          </cell>
          <cell r="I6794" t="str">
            <v>41105</v>
          </cell>
        </row>
        <row r="6795">
          <cell r="G6795" t="str">
            <v xml:space="preserve">Xã Quảng Thọ </v>
          </cell>
          <cell r="I6795" t="str">
            <v>41105</v>
          </cell>
        </row>
        <row r="6796">
          <cell r="G6796" t="str">
            <v>Phường Hương Văn</v>
          </cell>
          <cell r="I6796" t="str">
            <v>41107</v>
          </cell>
        </row>
        <row r="6797">
          <cell r="G6797" t="str">
            <v>Xã Hương Phong</v>
          </cell>
          <cell r="I6797" t="str">
            <v>41107</v>
          </cell>
        </row>
        <row r="6798">
          <cell r="G6798" t="str">
            <v>Xã Hương Vinh</v>
          </cell>
          <cell r="I6798" t="str">
            <v>41107</v>
          </cell>
        </row>
        <row r="6799">
          <cell r="G6799" t="str">
            <v xml:space="preserve">Xã Hương Bình </v>
          </cell>
          <cell r="I6799" t="str">
            <v>41107</v>
          </cell>
        </row>
        <row r="6800">
          <cell r="G6800" t="str">
            <v xml:space="preserve">Xã Hồng Tiến   </v>
          </cell>
          <cell r="I6800" t="str">
            <v>41107</v>
          </cell>
        </row>
        <row r="6801">
          <cell r="G6801" t="str">
            <v>Phường Tứ Hạ</v>
          </cell>
          <cell r="I6801" t="str">
            <v>41107</v>
          </cell>
        </row>
        <row r="6802">
          <cell r="G6802" t="str">
            <v xml:space="preserve">Xã Hải Dương </v>
          </cell>
          <cell r="I6802" t="str">
            <v>41107</v>
          </cell>
        </row>
        <row r="6803">
          <cell r="G6803" t="str">
            <v>Xã Hương Toàn</v>
          </cell>
          <cell r="I6803" t="str">
            <v>41107</v>
          </cell>
        </row>
        <row r="6804">
          <cell r="G6804" t="str">
            <v>Phường Hương Vân</v>
          </cell>
          <cell r="I6804" t="str">
            <v>41107</v>
          </cell>
        </row>
        <row r="6805">
          <cell r="G6805" t="str">
            <v>Phường Hương Xuân</v>
          </cell>
          <cell r="I6805" t="str">
            <v>41107</v>
          </cell>
        </row>
        <row r="6806">
          <cell r="G6806" t="str">
            <v>Phường Hương Chữ</v>
          </cell>
          <cell r="I6806" t="str">
            <v>41107</v>
          </cell>
        </row>
        <row r="6807">
          <cell r="G6807" t="str">
            <v>Phường Hương An</v>
          </cell>
          <cell r="I6807" t="str">
            <v>41107</v>
          </cell>
        </row>
        <row r="6808">
          <cell r="G6808" t="str">
            <v>Phường Hương Hồ</v>
          </cell>
          <cell r="I6808" t="str">
            <v>41107</v>
          </cell>
        </row>
        <row r="6809">
          <cell r="G6809" t="str">
            <v xml:space="preserve">Xã Hương Thọ </v>
          </cell>
          <cell r="I6809" t="str">
            <v>41107</v>
          </cell>
        </row>
        <row r="6810">
          <cell r="G6810" t="str">
            <v>Xã Bình Điền</v>
          </cell>
          <cell r="I6810" t="str">
            <v>41107</v>
          </cell>
        </row>
        <row r="6811">
          <cell r="G6811" t="str">
            <v xml:space="preserve">Xã Bình Thành </v>
          </cell>
          <cell r="I6811" t="str">
            <v>41107</v>
          </cell>
        </row>
        <row r="6812">
          <cell r="G6812" t="str">
            <v>Thị trấn Thuận An</v>
          </cell>
          <cell r="I6812" t="str">
            <v>41109</v>
          </cell>
        </row>
        <row r="6813">
          <cell r="G6813" t="str">
            <v xml:space="preserve">Xã Phú Lương    </v>
          </cell>
          <cell r="I6813" t="str">
            <v>41109</v>
          </cell>
        </row>
        <row r="6814">
          <cell r="G6814" t="str">
            <v>Xã Phú Mậu</v>
          </cell>
          <cell r="I6814" t="str">
            <v>41109</v>
          </cell>
        </row>
        <row r="6815">
          <cell r="G6815" t="str">
            <v xml:space="preserve">Xã Phú Xuân   </v>
          </cell>
          <cell r="I6815" t="str">
            <v>41109</v>
          </cell>
        </row>
        <row r="6816">
          <cell r="G6816" t="str">
            <v xml:space="preserve">Xã Phú Thượng </v>
          </cell>
          <cell r="I6816" t="str">
            <v>41109</v>
          </cell>
        </row>
        <row r="6817">
          <cell r="G6817" t="str">
            <v>Thị trấn Phú Đa</v>
          </cell>
          <cell r="I6817" t="str">
            <v>41109</v>
          </cell>
        </row>
        <row r="6818">
          <cell r="G6818" t="str">
            <v>Xã Vinh Thái</v>
          </cell>
          <cell r="I6818" t="str">
            <v>41109</v>
          </cell>
        </row>
        <row r="6819">
          <cell r="G6819" t="str">
            <v>Xã Phú Thuận</v>
          </cell>
          <cell r="I6819" t="str">
            <v>41109</v>
          </cell>
        </row>
        <row r="6820">
          <cell r="G6820" t="str">
            <v>Xã Phú Dương</v>
          </cell>
          <cell r="I6820" t="str">
            <v>41109</v>
          </cell>
        </row>
        <row r="6821">
          <cell r="G6821" t="str">
            <v>Xã Phú An</v>
          </cell>
          <cell r="I6821" t="str">
            <v>41109</v>
          </cell>
        </row>
        <row r="6822">
          <cell r="G6822" t="str">
            <v xml:space="preserve">Xã Phú Hải </v>
          </cell>
          <cell r="I6822" t="str">
            <v>41109</v>
          </cell>
        </row>
        <row r="6823">
          <cell r="G6823" t="str">
            <v>Xã Phú Diên</v>
          </cell>
          <cell r="I6823" t="str">
            <v>41109</v>
          </cell>
        </row>
        <row r="6824">
          <cell r="G6824" t="str">
            <v xml:space="preserve">Xã Phú Thanh </v>
          </cell>
          <cell r="I6824" t="str">
            <v>41109</v>
          </cell>
        </row>
        <row r="6825">
          <cell r="G6825" t="str">
            <v xml:space="preserve">Xã Phú Mỹ  </v>
          </cell>
          <cell r="I6825" t="str">
            <v>41109</v>
          </cell>
        </row>
        <row r="6826">
          <cell r="G6826" t="str">
            <v>Xã Phú Hồ</v>
          </cell>
          <cell r="I6826" t="str">
            <v>41109</v>
          </cell>
        </row>
        <row r="6827">
          <cell r="G6827" t="str">
            <v>Xã Vinh Xuân</v>
          </cell>
          <cell r="I6827" t="str">
            <v>41109</v>
          </cell>
        </row>
        <row r="6828">
          <cell r="G6828" t="str">
            <v>Xã Vinh Thanh</v>
          </cell>
          <cell r="I6828" t="str">
            <v>41109</v>
          </cell>
        </row>
        <row r="6829">
          <cell r="G6829" t="str">
            <v>Xã Vinh An</v>
          </cell>
          <cell r="I6829" t="str">
            <v>41109</v>
          </cell>
        </row>
        <row r="6830">
          <cell r="G6830" t="str">
            <v>Xã Vinh Phú</v>
          </cell>
          <cell r="I6830" t="str">
            <v>41109</v>
          </cell>
        </row>
        <row r="6831">
          <cell r="G6831" t="str">
            <v>Xã Vinh Hà</v>
          </cell>
          <cell r="I6831" t="str">
            <v>41109</v>
          </cell>
        </row>
        <row r="6832">
          <cell r="G6832" t="str">
            <v>Phường Thủy Châu</v>
          </cell>
          <cell r="I6832" t="str">
            <v>41111</v>
          </cell>
        </row>
        <row r="6833">
          <cell r="G6833" t="str">
            <v>Xã Thủy Thanh</v>
          </cell>
          <cell r="I6833" t="str">
            <v>41111</v>
          </cell>
        </row>
        <row r="6834">
          <cell r="G6834" t="str">
            <v>Phường Thủy Lương</v>
          </cell>
          <cell r="I6834" t="str">
            <v>41111</v>
          </cell>
        </row>
        <row r="6835">
          <cell r="G6835" t="str">
            <v xml:space="preserve">Xã Phú Sơn     </v>
          </cell>
          <cell r="I6835" t="str">
            <v>41111</v>
          </cell>
        </row>
        <row r="6836">
          <cell r="G6836" t="str">
            <v>Phường Phú Bài</v>
          </cell>
          <cell r="I6836" t="str">
            <v>41111</v>
          </cell>
        </row>
        <row r="6837">
          <cell r="G6837" t="str">
            <v>Xã Thủy Vân</v>
          </cell>
          <cell r="I6837" t="str">
            <v>41111</v>
          </cell>
        </row>
        <row r="6838">
          <cell r="G6838" t="str">
            <v>Phường Thủy Dương</v>
          </cell>
          <cell r="I6838" t="str">
            <v>41111</v>
          </cell>
        </row>
        <row r="6839">
          <cell r="G6839" t="str">
            <v>Phường Thủy Phương</v>
          </cell>
          <cell r="I6839" t="str">
            <v>41111</v>
          </cell>
        </row>
        <row r="6840">
          <cell r="G6840" t="str">
            <v>Xã Thủy Bằng</v>
          </cell>
          <cell r="I6840" t="str">
            <v>41111</v>
          </cell>
        </row>
        <row r="6841">
          <cell r="G6841" t="str">
            <v>Xã Thủy Tân</v>
          </cell>
          <cell r="I6841" t="str">
            <v>41111</v>
          </cell>
        </row>
        <row r="6842">
          <cell r="G6842" t="str">
            <v>Xã Thủy Phù</v>
          </cell>
          <cell r="I6842" t="str">
            <v>41111</v>
          </cell>
        </row>
        <row r="6843">
          <cell r="G6843" t="str">
            <v>Xã Dương Hòa</v>
          </cell>
          <cell r="I6843" t="str">
            <v>41111</v>
          </cell>
        </row>
        <row r="6844">
          <cell r="G6844" t="str">
            <v>Xã Lộc Điền</v>
          </cell>
          <cell r="I6844" t="str">
            <v>41113</v>
          </cell>
        </row>
        <row r="6845">
          <cell r="G6845" t="str">
            <v>Xã Vinh Mỹ</v>
          </cell>
          <cell r="I6845" t="str">
            <v>41113</v>
          </cell>
        </row>
        <row r="6846">
          <cell r="G6846" t="str">
            <v>Thị trấn Phú Lộc</v>
          </cell>
          <cell r="I6846" t="str">
            <v>41113</v>
          </cell>
        </row>
        <row r="6847">
          <cell r="G6847" t="str">
            <v>Xã Vinh Giang</v>
          </cell>
          <cell r="I6847" t="str">
            <v>41113</v>
          </cell>
        </row>
        <row r="6848">
          <cell r="G6848" t="str">
            <v>Xã Lộc Bình</v>
          </cell>
          <cell r="I6848" t="str">
            <v>41113</v>
          </cell>
        </row>
        <row r="6849">
          <cell r="G6849" t="str">
            <v xml:space="preserve">Xã Lộc Thủy </v>
          </cell>
          <cell r="I6849" t="str">
            <v>41113</v>
          </cell>
        </row>
        <row r="6850">
          <cell r="G6850" t="str">
            <v xml:space="preserve">Xã Xuân Lộc     </v>
          </cell>
          <cell r="I6850" t="str">
            <v>41113</v>
          </cell>
        </row>
        <row r="6851">
          <cell r="G6851" t="str">
            <v>Thị trấn Lăng Cô</v>
          </cell>
          <cell r="I6851" t="str">
            <v>41113</v>
          </cell>
        </row>
        <row r="6852">
          <cell r="G6852" t="str">
            <v>Xã Vinh Hưng</v>
          </cell>
          <cell r="I6852" t="str">
            <v>41113</v>
          </cell>
        </row>
        <row r="6853">
          <cell r="G6853" t="str">
            <v>Xã Vinh Hải</v>
          </cell>
          <cell r="I6853" t="str">
            <v>41113</v>
          </cell>
        </row>
        <row r="6854">
          <cell r="G6854" t="str">
            <v>Xã Vinh Hiền</v>
          </cell>
          <cell r="I6854" t="str">
            <v>41113</v>
          </cell>
        </row>
        <row r="6855">
          <cell r="G6855" t="str">
            <v>Xã Lộc Bổn</v>
          </cell>
          <cell r="I6855" t="str">
            <v>41113</v>
          </cell>
        </row>
        <row r="6856">
          <cell r="G6856" t="str">
            <v xml:space="preserve">Xã Lộc Sơn </v>
          </cell>
          <cell r="I6856" t="str">
            <v>41113</v>
          </cell>
        </row>
        <row r="6857">
          <cell r="G6857" t="str">
            <v>Xã Lộc Vĩnh</v>
          </cell>
          <cell r="I6857" t="str">
            <v>41113</v>
          </cell>
        </row>
        <row r="6858">
          <cell r="G6858" t="str">
            <v xml:space="preserve">Xã Lộc An </v>
          </cell>
          <cell r="I6858" t="str">
            <v>41113</v>
          </cell>
        </row>
        <row r="6859">
          <cell r="G6859" t="str">
            <v>Xã Lộc Trì</v>
          </cell>
          <cell r="I6859" t="str">
            <v>41113</v>
          </cell>
        </row>
        <row r="6860">
          <cell r="G6860" t="str">
            <v>Xã Lộc Tiến</v>
          </cell>
          <cell r="I6860" t="str">
            <v>41113</v>
          </cell>
        </row>
        <row r="6861">
          <cell r="G6861" t="str">
            <v xml:space="preserve">Xã Lộc Hòa </v>
          </cell>
          <cell r="I6861" t="str">
            <v>41113</v>
          </cell>
        </row>
        <row r="6862">
          <cell r="G6862" t="str">
            <v>Xã Hồng Quảng</v>
          </cell>
          <cell r="I6862" t="str">
            <v>41115</v>
          </cell>
        </row>
        <row r="6863">
          <cell r="G6863" t="str">
            <v xml:space="preserve">Xã Đông Sơn      </v>
          </cell>
          <cell r="I6863" t="str">
            <v>41115</v>
          </cell>
        </row>
        <row r="6864">
          <cell r="G6864" t="str">
            <v>Xã Hồng Hạ</v>
          </cell>
          <cell r="I6864" t="str">
            <v>41115</v>
          </cell>
        </row>
        <row r="6865">
          <cell r="G6865" t="str">
            <v>Xã Hồng Trung</v>
          </cell>
          <cell r="I6865" t="str">
            <v>41115</v>
          </cell>
        </row>
        <row r="6866">
          <cell r="G6866" t="str">
            <v>Xã Hương Nguyên</v>
          </cell>
          <cell r="I6866" t="str">
            <v>41115</v>
          </cell>
        </row>
        <row r="6867">
          <cell r="G6867" t="str">
            <v xml:space="preserve">Xã Bắc Sơn           </v>
          </cell>
          <cell r="I6867" t="str">
            <v>41115</v>
          </cell>
        </row>
        <row r="6868">
          <cell r="G6868" t="str">
            <v>Xã Hồng Bắc</v>
          </cell>
          <cell r="I6868" t="str">
            <v>41115</v>
          </cell>
        </row>
        <row r="6869">
          <cell r="G6869" t="str">
            <v xml:space="preserve">Xã A Ngo </v>
          </cell>
          <cell r="I6869" t="str">
            <v>41115</v>
          </cell>
        </row>
        <row r="6870">
          <cell r="G6870" t="str">
            <v xml:space="preserve">Xã Sơn Thủy     </v>
          </cell>
          <cell r="I6870" t="str">
            <v>41115</v>
          </cell>
        </row>
        <row r="6871">
          <cell r="G6871" t="str">
            <v xml:space="preserve">Xã Phú Vinh </v>
          </cell>
          <cell r="I6871" t="str">
            <v>41115</v>
          </cell>
        </row>
        <row r="6872">
          <cell r="G6872" t="str">
            <v xml:space="preserve">Xã Hương Phong </v>
          </cell>
          <cell r="I6872" t="str">
            <v>41115</v>
          </cell>
        </row>
        <row r="6873">
          <cell r="G6873" t="str">
            <v>Xã Nhâm</v>
          </cell>
          <cell r="I6873" t="str">
            <v>41115</v>
          </cell>
        </row>
        <row r="6874">
          <cell r="G6874" t="str">
            <v>Xã Hồng Thượng</v>
          </cell>
          <cell r="I6874" t="str">
            <v>41115</v>
          </cell>
        </row>
        <row r="6875">
          <cell r="G6875" t="str">
            <v xml:space="preserve">Xã Hồng Thái        </v>
          </cell>
          <cell r="I6875" t="str">
            <v>41115</v>
          </cell>
        </row>
        <row r="6876">
          <cell r="G6876" t="str">
            <v xml:space="preserve">Xã Hương Lâm  </v>
          </cell>
          <cell r="I6876" t="str">
            <v>41115</v>
          </cell>
        </row>
        <row r="6877">
          <cell r="G6877" t="str">
            <v>Xã A Roằng</v>
          </cell>
          <cell r="I6877" t="str">
            <v>41115</v>
          </cell>
        </row>
        <row r="6878">
          <cell r="G6878" t="str">
            <v>Xã A Đớt</v>
          </cell>
          <cell r="I6878" t="str">
            <v>41115</v>
          </cell>
        </row>
        <row r="6879">
          <cell r="G6879" t="str">
            <v xml:space="preserve">Xã Hồng Thủy </v>
          </cell>
          <cell r="I6879" t="str">
            <v>41115</v>
          </cell>
        </row>
        <row r="6880">
          <cell r="G6880" t="str">
            <v>Xã Hồng Kim</v>
          </cell>
          <cell r="I6880" t="str">
            <v>41115</v>
          </cell>
        </row>
        <row r="6881">
          <cell r="G6881" t="str">
            <v>Thị trấn A Lưới</v>
          </cell>
          <cell r="I6881" t="str">
            <v>41115</v>
          </cell>
        </row>
        <row r="6882">
          <cell r="G6882" t="str">
            <v xml:space="preserve">Xã Hồng Vân  </v>
          </cell>
          <cell r="I6882" t="str">
            <v>41115</v>
          </cell>
        </row>
        <row r="6883">
          <cell r="G6883" t="str">
            <v xml:space="preserve">Xã Hương Giang </v>
          </cell>
          <cell r="I6883" t="str">
            <v>41117</v>
          </cell>
        </row>
        <row r="6884">
          <cell r="G6884" t="str">
            <v>Xã Hương Lộc</v>
          </cell>
          <cell r="I6884" t="str">
            <v>41117</v>
          </cell>
        </row>
        <row r="6885">
          <cell r="G6885" t="str">
            <v>Xã Hương Hữu</v>
          </cell>
          <cell r="I6885" t="str">
            <v>41117</v>
          </cell>
        </row>
        <row r="6886">
          <cell r="G6886" t="str">
            <v>Thị trấn Khe Tre</v>
          </cell>
          <cell r="I6886" t="str">
            <v>41117</v>
          </cell>
        </row>
        <row r="6887">
          <cell r="G6887" t="str">
            <v>Xã Hương Phú</v>
          </cell>
          <cell r="I6887" t="str">
            <v>41117</v>
          </cell>
        </row>
        <row r="6888">
          <cell r="G6888" t="str">
            <v xml:space="preserve">Xã Hương Sơn     </v>
          </cell>
          <cell r="I6888" t="str">
            <v>41117</v>
          </cell>
        </row>
        <row r="6889">
          <cell r="G6889" t="str">
            <v>Xã Thượng Quảng</v>
          </cell>
          <cell r="I6889" t="str">
            <v>41117</v>
          </cell>
        </row>
        <row r="6890">
          <cell r="G6890" t="str">
            <v>Xã Hương Hòa</v>
          </cell>
          <cell r="I6890" t="str">
            <v>41117</v>
          </cell>
        </row>
        <row r="6891">
          <cell r="G6891" t="str">
            <v>Xã Thượng Lộ</v>
          </cell>
          <cell r="I6891" t="str">
            <v>41117</v>
          </cell>
        </row>
        <row r="6892">
          <cell r="G6892" t="str">
            <v xml:space="preserve">Xã Thượng Long </v>
          </cell>
          <cell r="I6892" t="str">
            <v>41117</v>
          </cell>
        </row>
        <row r="6893">
          <cell r="G6893" t="str">
            <v>Xã Thượng Nhật</v>
          </cell>
          <cell r="I6893" t="str">
            <v>41117</v>
          </cell>
        </row>
        <row r="6894">
          <cell r="G6894" t="str">
            <v>Phường Hải Châu I</v>
          </cell>
          <cell r="I6894" t="str">
            <v>50101</v>
          </cell>
        </row>
        <row r="6895">
          <cell r="G6895" t="str">
            <v>Phường Thạch Thang</v>
          </cell>
          <cell r="I6895" t="str">
            <v>50101</v>
          </cell>
        </row>
        <row r="6896">
          <cell r="G6896" t="str">
            <v>Phường Nam Dương</v>
          </cell>
          <cell r="I6896" t="str">
            <v>50101</v>
          </cell>
        </row>
        <row r="6897">
          <cell r="G6897" t="str">
            <v xml:space="preserve">Phường Thanh Bình   </v>
          </cell>
          <cell r="I6897" t="str">
            <v>50101</v>
          </cell>
        </row>
        <row r="6898">
          <cell r="G6898" t="str">
            <v>Phường Thuận Phước</v>
          </cell>
          <cell r="I6898" t="str">
            <v>50101</v>
          </cell>
        </row>
        <row r="6899">
          <cell r="G6899" t="str">
            <v>Phường Hải Châu II</v>
          </cell>
          <cell r="I6899" t="str">
            <v>50101</v>
          </cell>
        </row>
        <row r="6900">
          <cell r="G6900" t="str">
            <v>Phường Phước Ninh</v>
          </cell>
          <cell r="I6900" t="str">
            <v>50101</v>
          </cell>
        </row>
        <row r="6901">
          <cell r="G6901" t="str">
            <v>Phường Hòa Thuận</v>
          </cell>
          <cell r="I6901" t="str">
            <v>50101</v>
          </cell>
        </row>
        <row r="6902">
          <cell r="G6902" t="str">
            <v>Phường Bình Hiên</v>
          </cell>
          <cell r="I6902" t="str">
            <v>50101</v>
          </cell>
        </row>
        <row r="6903">
          <cell r="G6903" t="str">
            <v>Phường Bình Thuận</v>
          </cell>
          <cell r="I6903" t="str">
            <v>50101</v>
          </cell>
        </row>
        <row r="6904">
          <cell r="G6904" t="str">
            <v>Phường Hòa Cường</v>
          </cell>
          <cell r="I6904" t="str">
            <v>50101</v>
          </cell>
        </row>
        <row r="6905">
          <cell r="G6905" t="str">
            <v>Phường Hòa Thuận Đông</v>
          </cell>
          <cell r="I6905" t="str">
            <v>50101</v>
          </cell>
        </row>
        <row r="6906">
          <cell r="G6906" t="str">
            <v>Phường Hòa Thuận Tây</v>
          </cell>
          <cell r="I6906" t="str">
            <v>50101</v>
          </cell>
        </row>
        <row r="6907">
          <cell r="G6907" t="str">
            <v>Phường Hòa Cường Nam</v>
          </cell>
          <cell r="I6907" t="str">
            <v>50101</v>
          </cell>
        </row>
        <row r="6908">
          <cell r="G6908" t="str">
            <v>Phường Hòa Cường Bắc</v>
          </cell>
          <cell r="I6908" t="str">
            <v>50101</v>
          </cell>
        </row>
        <row r="6909">
          <cell r="G6909" t="str">
            <v>Phường Xuân Hà</v>
          </cell>
          <cell r="I6909" t="str">
            <v>50103</v>
          </cell>
        </row>
        <row r="6910">
          <cell r="G6910" t="str">
            <v>Phường Thạc Gián</v>
          </cell>
          <cell r="I6910" t="str">
            <v>50103</v>
          </cell>
        </row>
        <row r="6911">
          <cell r="G6911" t="str">
            <v>Phường Tam Thuận</v>
          </cell>
          <cell r="I6911" t="str">
            <v>50103</v>
          </cell>
        </row>
        <row r="6912">
          <cell r="G6912" t="str">
            <v>Phường Tân Chính</v>
          </cell>
          <cell r="I6912" t="str">
            <v>50103</v>
          </cell>
        </row>
        <row r="6913">
          <cell r="G6913" t="str">
            <v>Phường Chính Gián</v>
          </cell>
          <cell r="I6913" t="str">
            <v>50103</v>
          </cell>
        </row>
        <row r="6914">
          <cell r="G6914" t="str">
            <v>Phường Vĩnh Trung</v>
          </cell>
          <cell r="I6914" t="str">
            <v>50103</v>
          </cell>
        </row>
        <row r="6915">
          <cell r="G6915" t="str">
            <v>Phường An Khê</v>
          </cell>
          <cell r="I6915" t="str">
            <v>50103</v>
          </cell>
        </row>
        <row r="6916">
          <cell r="G6916" t="str">
            <v>Phường Thanh Khê Đông</v>
          </cell>
          <cell r="I6916" t="str">
            <v>50103</v>
          </cell>
        </row>
        <row r="6917">
          <cell r="G6917" t="str">
            <v>Phường Thanh Khê Tây</v>
          </cell>
          <cell r="I6917" t="str">
            <v>50103</v>
          </cell>
        </row>
        <row r="6918">
          <cell r="G6918" t="str">
            <v>Phường Hòa Khê</v>
          </cell>
          <cell r="I6918" t="str">
            <v>50103</v>
          </cell>
        </row>
        <row r="6919">
          <cell r="G6919" t="str">
            <v>Phường An Hải Tây</v>
          </cell>
          <cell r="I6919" t="str">
            <v>50105</v>
          </cell>
        </row>
        <row r="6920">
          <cell r="G6920" t="str">
            <v>Phường Thọ Quang</v>
          </cell>
          <cell r="I6920" t="str">
            <v>50105</v>
          </cell>
        </row>
        <row r="6921">
          <cell r="G6921" t="str">
            <v>Phường Phước Mỹ</v>
          </cell>
          <cell r="I6921" t="str">
            <v>50105</v>
          </cell>
        </row>
        <row r="6922">
          <cell r="G6922" t="str">
            <v>Phường Nại Hiên Đông</v>
          </cell>
          <cell r="I6922" t="str">
            <v>50105</v>
          </cell>
        </row>
        <row r="6923">
          <cell r="G6923" t="str">
            <v>Phường Mân Thái</v>
          </cell>
          <cell r="I6923" t="str">
            <v>50105</v>
          </cell>
        </row>
        <row r="6924">
          <cell r="G6924" t="str">
            <v>Phường An Hải Bắc</v>
          </cell>
          <cell r="I6924" t="str">
            <v>50105</v>
          </cell>
        </row>
        <row r="6925">
          <cell r="G6925" t="str">
            <v>Phường An Hải Đông</v>
          </cell>
          <cell r="I6925" t="str">
            <v>50105</v>
          </cell>
        </row>
        <row r="6926">
          <cell r="G6926" t="str">
            <v>Phường Hòa Quý</v>
          </cell>
          <cell r="I6926" t="str">
            <v>50107</v>
          </cell>
        </row>
        <row r="6927">
          <cell r="G6927" t="str">
            <v>Phường Mỹ An</v>
          </cell>
          <cell r="I6927" t="str">
            <v>50107</v>
          </cell>
        </row>
        <row r="6928">
          <cell r="G6928" t="str">
            <v>Phường Khuê Mỹ</v>
          </cell>
          <cell r="I6928" t="str">
            <v>50107</v>
          </cell>
        </row>
        <row r="6929">
          <cell r="G6929" t="str">
            <v>Phường Hòa Hải</v>
          </cell>
          <cell r="I6929" t="str">
            <v>50107</v>
          </cell>
        </row>
        <row r="6930">
          <cell r="G6930" t="str">
            <v>Phường Hòa Khánh Bắc</v>
          </cell>
          <cell r="I6930" t="str">
            <v>50109</v>
          </cell>
        </row>
        <row r="6931">
          <cell r="G6931" t="str">
            <v>Phường Hòa Hiệp Bắc</v>
          </cell>
          <cell r="I6931" t="str">
            <v>50109</v>
          </cell>
        </row>
        <row r="6932">
          <cell r="G6932" t="str">
            <v>Phường Hòa Minh</v>
          </cell>
          <cell r="I6932" t="str">
            <v>50109</v>
          </cell>
        </row>
        <row r="6933">
          <cell r="G6933" t="str">
            <v>Phường Hòa Hiệp Nam</v>
          </cell>
          <cell r="I6933" t="str">
            <v>50109</v>
          </cell>
        </row>
        <row r="6934">
          <cell r="G6934" t="str">
            <v>Phường Hòa Khánh Nam</v>
          </cell>
          <cell r="I6934" t="str">
            <v>50109</v>
          </cell>
        </row>
        <row r="6935">
          <cell r="G6935" t="str">
            <v xml:space="preserve">Xã Hòa Phú  </v>
          </cell>
          <cell r="I6935" t="str">
            <v>50111</v>
          </cell>
        </row>
        <row r="6936">
          <cell r="G6936" t="str">
            <v xml:space="preserve">Xã Hòa Sơn    </v>
          </cell>
          <cell r="I6936" t="str">
            <v>50111</v>
          </cell>
        </row>
        <row r="6937">
          <cell r="G6937" t="str">
            <v>Xã Hòa Châu</v>
          </cell>
          <cell r="I6937" t="str">
            <v>50111</v>
          </cell>
        </row>
        <row r="6938">
          <cell r="G6938" t="str">
            <v>Xã Hòa Bắc</v>
          </cell>
          <cell r="I6938" t="str">
            <v>50111</v>
          </cell>
        </row>
        <row r="6939">
          <cell r="G6939" t="str">
            <v>Xã Hòa Liên</v>
          </cell>
          <cell r="I6939" t="str">
            <v>50111</v>
          </cell>
        </row>
        <row r="6940">
          <cell r="G6940" t="str">
            <v>Xã Hòa Ninh</v>
          </cell>
          <cell r="I6940" t="str">
            <v>50111</v>
          </cell>
        </row>
        <row r="6941">
          <cell r="G6941" t="str">
            <v>Xã Hòa Nhơn</v>
          </cell>
          <cell r="I6941" t="str">
            <v>50111</v>
          </cell>
        </row>
        <row r="6942">
          <cell r="G6942" t="str">
            <v xml:space="preserve">Xã Hòa Phong </v>
          </cell>
          <cell r="I6942" t="str">
            <v>50111</v>
          </cell>
        </row>
        <row r="6943">
          <cell r="G6943" t="str">
            <v xml:space="preserve">Xã Hòa Tiến  </v>
          </cell>
          <cell r="I6943" t="str">
            <v>50111</v>
          </cell>
        </row>
        <row r="6944">
          <cell r="G6944" t="str">
            <v>Xã Hòa Phước</v>
          </cell>
          <cell r="I6944" t="str">
            <v>50111</v>
          </cell>
        </row>
        <row r="6945">
          <cell r="G6945" t="str">
            <v>Xã Hòa Khương</v>
          </cell>
          <cell r="I6945" t="str">
            <v>50111</v>
          </cell>
        </row>
        <row r="6946">
          <cell r="G6946" t="str">
            <v>Phường Khuê Trung</v>
          </cell>
          <cell r="I6946" t="str">
            <v>50115</v>
          </cell>
        </row>
        <row r="6947">
          <cell r="G6947" t="str">
            <v>Phường Hòa Xuân</v>
          </cell>
          <cell r="I6947" t="str">
            <v>50115</v>
          </cell>
        </row>
        <row r="6948">
          <cell r="G6948" t="str">
            <v>Phường Hòa Thọ Đông</v>
          </cell>
          <cell r="I6948" t="str">
            <v>50115</v>
          </cell>
        </row>
        <row r="6949">
          <cell r="G6949" t="str">
            <v>Phường Hòa Thọ Tây</v>
          </cell>
          <cell r="I6949" t="str">
            <v>50115</v>
          </cell>
        </row>
        <row r="6950">
          <cell r="G6950" t="str">
            <v>Phường Hòa An</v>
          </cell>
          <cell r="I6950" t="str">
            <v>50115</v>
          </cell>
        </row>
        <row r="6951">
          <cell r="G6951" t="str">
            <v>Phường Hòa Phát</v>
          </cell>
          <cell r="I6951" t="str">
            <v>50115</v>
          </cell>
        </row>
        <row r="6952">
          <cell r="G6952" t="str">
            <v>Phường Hòa Hương</v>
          </cell>
          <cell r="I6952" t="str">
            <v>50301</v>
          </cell>
        </row>
        <row r="6953">
          <cell r="G6953" t="str">
            <v>Phường Phước Hòa</v>
          </cell>
          <cell r="I6953" t="str">
            <v>50301</v>
          </cell>
        </row>
        <row r="6954">
          <cell r="G6954" t="str">
            <v>Phường An Sơn</v>
          </cell>
          <cell r="I6954" t="str">
            <v>50301</v>
          </cell>
        </row>
        <row r="6955">
          <cell r="G6955" t="str">
            <v>Xã Tam Thăng</v>
          </cell>
          <cell r="I6955" t="str">
            <v>50301</v>
          </cell>
        </row>
        <row r="6956">
          <cell r="G6956" t="str">
            <v>Phường Tân Thạnh</v>
          </cell>
          <cell r="I6956" t="str">
            <v>50301</v>
          </cell>
        </row>
        <row r="6957">
          <cell r="G6957" t="str">
            <v>Phường An Mỹ</v>
          </cell>
          <cell r="I6957" t="str">
            <v>50301</v>
          </cell>
        </row>
        <row r="6958">
          <cell r="G6958" t="str">
            <v>Phường An Xuân</v>
          </cell>
          <cell r="I6958" t="str">
            <v>50301</v>
          </cell>
        </row>
        <row r="6959">
          <cell r="G6959" t="str">
            <v>Phường Trường Xuân</v>
          </cell>
          <cell r="I6959" t="str">
            <v>50301</v>
          </cell>
        </row>
        <row r="6960">
          <cell r="G6960" t="str">
            <v>Phường An Phú</v>
          </cell>
          <cell r="I6960" t="str">
            <v>50301</v>
          </cell>
        </row>
        <row r="6961">
          <cell r="G6961" t="str">
            <v xml:space="preserve">Xã Tam Thanh   </v>
          </cell>
          <cell r="I6961" t="str">
            <v>50301</v>
          </cell>
        </row>
        <row r="6962">
          <cell r="G6962" t="str">
            <v>Xã Tam Phú</v>
          </cell>
          <cell r="I6962" t="str">
            <v>50301</v>
          </cell>
        </row>
        <row r="6963">
          <cell r="G6963" t="str">
            <v xml:space="preserve">Phường Hòa Thuận </v>
          </cell>
          <cell r="I6963" t="str">
            <v>50301</v>
          </cell>
        </row>
        <row r="6964">
          <cell r="G6964" t="str">
            <v>Xã Tam Ngọc</v>
          </cell>
          <cell r="I6964" t="str">
            <v>50301</v>
          </cell>
        </row>
        <row r="6965">
          <cell r="G6965" t="str">
            <v>Xã Tam Dân</v>
          </cell>
          <cell r="I6965" t="str">
            <v>50302</v>
          </cell>
        </row>
        <row r="6966">
          <cell r="G6966" t="str">
            <v>Xã Tam Lãnh</v>
          </cell>
          <cell r="I6966" t="str">
            <v>50302</v>
          </cell>
        </row>
        <row r="6967">
          <cell r="G6967" t="str">
            <v xml:space="preserve">Xã Tam Thái </v>
          </cell>
          <cell r="I6967" t="str">
            <v>50302</v>
          </cell>
        </row>
        <row r="6968">
          <cell r="G6968" t="str">
            <v>Xã Tam Đại</v>
          </cell>
          <cell r="I6968" t="str">
            <v>50302</v>
          </cell>
        </row>
        <row r="6969">
          <cell r="G6969" t="str">
            <v>Xã Tam Vinh</v>
          </cell>
          <cell r="I6969" t="str">
            <v>50302</v>
          </cell>
        </row>
        <row r="6970">
          <cell r="G6970" t="str">
            <v>Xã Tam Đàn</v>
          </cell>
          <cell r="I6970" t="str">
            <v>50302</v>
          </cell>
        </row>
        <row r="6971">
          <cell r="G6971" t="str">
            <v>Xã Tam An</v>
          </cell>
          <cell r="I6971" t="str">
            <v>50302</v>
          </cell>
        </row>
        <row r="6972">
          <cell r="G6972" t="str">
            <v>Xã Tam Thành</v>
          </cell>
          <cell r="I6972" t="str">
            <v>50302</v>
          </cell>
        </row>
        <row r="6973">
          <cell r="G6973" t="str">
            <v>Xã Tam Phước</v>
          </cell>
          <cell r="I6973" t="str">
            <v>50302</v>
          </cell>
        </row>
        <row r="6974">
          <cell r="G6974" t="str">
            <v>Xã Tam Lộc</v>
          </cell>
          <cell r="I6974" t="str">
            <v>50302</v>
          </cell>
        </row>
        <row r="6975">
          <cell r="G6975" t="str">
            <v>Thị trấn Phú Thịnh</v>
          </cell>
          <cell r="I6975" t="str">
            <v>50302</v>
          </cell>
        </row>
        <row r="6976">
          <cell r="G6976" t="str">
            <v>Phường Cẩm Châu</v>
          </cell>
          <cell r="I6976" t="str">
            <v>50303</v>
          </cell>
        </row>
        <row r="6977">
          <cell r="G6977" t="str">
            <v>Phường Minh An</v>
          </cell>
          <cell r="I6977" t="str">
            <v>50303</v>
          </cell>
        </row>
        <row r="6978">
          <cell r="G6978" t="str">
            <v>Phường Sơn Phong</v>
          </cell>
          <cell r="I6978" t="str">
            <v>50303</v>
          </cell>
        </row>
        <row r="6979">
          <cell r="G6979" t="str">
            <v>Xã Cẩm Kim</v>
          </cell>
          <cell r="I6979" t="str">
            <v>50303</v>
          </cell>
        </row>
        <row r="6980">
          <cell r="G6980" t="str">
            <v xml:space="preserve">Xã Tân Hiệp </v>
          </cell>
          <cell r="I6980" t="str">
            <v>50303</v>
          </cell>
        </row>
        <row r="6981">
          <cell r="G6981" t="str">
            <v xml:space="preserve">Phường Tân An  </v>
          </cell>
          <cell r="I6981" t="str">
            <v>50303</v>
          </cell>
        </row>
        <row r="6982">
          <cell r="G6982" t="str">
            <v>Phường Cẩm Phô</v>
          </cell>
          <cell r="I6982" t="str">
            <v>50303</v>
          </cell>
        </row>
        <row r="6983">
          <cell r="G6983" t="str">
            <v>Phường Thanh Hà</v>
          </cell>
          <cell r="I6983" t="str">
            <v>50303</v>
          </cell>
        </row>
        <row r="6984">
          <cell r="G6984" t="str">
            <v>Phường Cửa Đại</v>
          </cell>
          <cell r="I6984" t="str">
            <v>50303</v>
          </cell>
        </row>
        <row r="6985">
          <cell r="G6985" t="str">
            <v>Phường Cẩm An</v>
          </cell>
          <cell r="I6985" t="str">
            <v>50303</v>
          </cell>
        </row>
        <row r="6986">
          <cell r="G6986" t="str">
            <v xml:space="preserve">Xã Cẩm Hà </v>
          </cell>
          <cell r="I6986" t="str">
            <v>50303</v>
          </cell>
        </row>
        <row r="6987">
          <cell r="G6987" t="str">
            <v>Phường Cẩm Nam</v>
          </cell>
          <cell r="I6987" t="str">
            <v>50303</v>
          </cell>
        </row>
        <row r="6988">
          <cell r="G6988" t="str">
            <v>Xã Cẩm Thanh</v>
          </cell>
          <cell r="I6988" t="str">
            <v>50303</v>
          </cell>
        </row>
        <row r="6989">
          <cell r="G6989" t="str">
            <v>Xã A Nông</v>
          </cell>
          <cell r="I6989" t="str">
            <v>50304</v>
          </cell>
        </row>
        <row r="6990">
          <cell r="G6990" t="str">
            <v>Xã Tr Hy</v>
          </cell>
          <cell r="I6990" t="str">
            <v>50304</v>
          </cell>
        </row>
        <row r="6991">
          <cell r="G6991" t="str">
            <v>Xã Bha Lê</v>
          </cell>
          <cell r="I6991" t="str">
            <v>50304</v>
          </cell>
        </row>
        <row r="6992">
          <cell r="G6992" t="str">
            <v>Xã Ch ơm</v>
          </cell>
          <cell r="I6992" t="str">
            <v>50304</v>
          </cell>
        </row>
        <row r="6993">
          <cell r="G6993" t="str">
            <v>Xã Ga Ri</v>
          </cell>
          <cell r="I6993" t="str">
            <v>50304</v>
          </cell>
        </row>
        <row r="6994">
          <cell r="G6994" t="str">
            <v>Xã A Xan</v>
          </cell>
          <cell r="I6994" t="str">
            <v>50304</v>
          </cell>
        </row>
        <row r="6995">
          <cell r="G6995" t="str">
            <v>Xã Lăng</v>
          </cell>
          <cell r="I6995" t="str">
            <v>50304</v>
          </cell>
        </row>
        <row r="6996">
          <cell r="G6996" t="str">
            <v>Xã A Tiêng</v>
          </cell>
          <cell r="I6996" t="str">
            <v>50304</v>
          </cell>
        </row>
        <row r="6997">
          <cell r="G6997" t="str">
            <v>Xã A Vương</v>
          </cell>
          <cell r="I6997" t="str">
            <v>50304</v>
          </cell>
        </row>
        <row r="6998">
          <cell r="G6998" t="str">
            <v>Xã Dang</v>
          </cell>
          <cell r="I6998" t="str">
            <v>50304</v>
          </cell>
        </row>
        <row r="6999">
          <cell r="G6999" t="str">
            <v>Xã Ba</v>
          </cell>
          <cell r="I6999" t="str">
            <v>50305</v>
          </cell>
        </row>
        <row r="7000">
          <cell r="G7000" t="str">
            <v>Thị trấn P Rao</v>
          </cell>
          <cell r="I7000" t="str">
            <v>50305</v>
          </cell>
        </row>
        <row r="7001">
          <cell r="G7001" t="str">
            <v>Xã Tư</v>
          </cell>
          <cell r="I7001" t="str">
            <v>50305</v>
          </cell>
        </row>
        <row r="7002">
          <cell r="G7002" t="str">
            <v>Xã Za Hung</v>
          </cell>
          <cell r="I7002" t="str">
            <v>50305</v>
          </cell>
        </row>
        <row r="7003">
          <cell r="G7003" t="str">
            <v>Xã Tà Lu</v>
          </cell>
          <cell r="I7003" t="str">
            <v>50305</v>
          </cell>
        </row>
        <row r="7004">
          <cell r="G7004" t="str">
            <v>Xã Sông Kôn</v>
          </cell>
          <cell r="I7004" t="str">
            <v>50305</v>
          </cell>
        </row>
        <row r="7005">
          <cell r="G7005" t="str">
            <v>Xã Zơ Ngây</v>
          </cell>
          <cell r="I7005" t="str">
            <v>50305</v>
          </cell>
        </row>
        <row r="7006">
          <cell r="G7006" t="str">
            <v>Xã ATing</v>
          </cell>
          <cell r="I7006" t="str">
            <v>50305</v>
          </cell>
        </row>
        <row r="7007">
          <cell r="G7007" t="str">
            <v>Xã A Rooi</v>
          </cell>
          <cell r="I7007" t="str">
            <v>50305</v>
          </cell>
        </row>
        <row r="7008">
          <cell r="G7008" t="str">
            <v>Xã Mà Cooil</v>
          </cell>
          <cell r="I7008" t="str">
            <v>50305</v>
          </cell>
        </row>
        <row r="7009">
          <cell r="G7009" t="str">
            <v>Xã Ka Dăng</v>
          </cell>
          <cell r="I7009" t="str">
            <v>50305</v>
          </cell>
        </row>
        <row r="7010">
          <cell r="G7010" t="str">
            <v>Xã Đại Hồng</v>
          </cell>
          <cell r="I7010" t="str">
            <v>50307</v>
          </cell>
        </row>
        <row r="7011">
          <cell r="G7011" t="str">
            <v>Xã Đại Hòa</v>
          </cell>
          <cell r="I7011" t="str">
            <v>50307</v>
          </cell>
        </row>
        <row r="7012">
          <cell r="G7012" t="str">
            <v>Thị trấn ái Nghĩa</v>
          </cell>
          <cell r="I7012" t="str">
            <v>50307</v>
          </cell>
        </row>
        <row r="7013">
          <cell r="G7013" t="str">
            <v xml:space="preserve">Xã Đại Đồng        </v>
          </cell>
          <cell r="I7013" t="str">
            <v>50307</v>
          </cell>
        </row>
        <row r="7014">
          <cell r="G7014" t="str">
            <v>Xã Đại Thạnh</v>
          </cell>
          <cell r="I7014" t="str">
            <v>50307</v>
          </cell>
        </row>
        <row r="7015">
          <cell r="G7015" t="str">
            <v xml:space="preserve">Xã Đại Minh </v>
          </cell>
          <cell r="I7015" t="str">
            <v>50307</v>
          </cell>
        </row>
        <row r="7016">
          <cell r="G7016" t="str">
            <v xml:space="preserve">Xã Đại Sơn   </v>
          </cell>
          <cell r="I7016" t="str">
            <v>50307</v>
          </cell>
        </row>
        <row r="7017">
          <cell r="G7017" t="str">
            <v>Xã Đại Lãnh</v>
          </cell>
          <cell r="I7017" t="str">
            <v>50307</v>
          </cell>
        </row>
        <row r="7018">
          <cell r="G7018" t="str">
            <v xml:space="preserve">Xã Đại Hưng  </v>
          </cell>
          <cell r="I7018" t="str">
            <v>50307</v>
          </cell>
        </row>
        <row r="7019">
          <cell r="G7019" t="str">
            <v>Xã Đại Quang</v>
          </cell>
          <cell r="I7019" t="str">
            <v>50307</v>
          </cell>
        </row>
        <row r="7020">
          <cell r="G7020" t="str">
            <v xml:space="preserve">Xã Đại Nghĩa </v>
          </cell>
          <cell r="I7020" t="str">
            <v>50307</v>
          </cell>
        </row>
        <row r="7021">
          <cell r="G7021" t="str">
            <v>Xã Đại Hiệp</v>
          </cell>
          <cell r="I7021" t="str">
            <v>50307</v>
          </cell>
        </row>
        <row r="7022">
          <cell r="G7022" t="str">
            <v>Xã Đại Chánh</v>
          </cell>
          <cell r="I7022" t="str">
            <v>50307</v>
          </cell>
        </row>
        <row r="7023">
          <cell r="G7023" t="str">
            <v>Xã Đại Tân</v>
          </cell>
          <cell r="I7023" t="str">
            <v>50307</v>
          </cell>
        </row>
        <row r="7024">
          <cell r="G7024" t="str">
            <v>Xã Đại Phong</v>
          </cell>
          <cell r="I7024" t="str">
            <v>50307</v>
          </cell>
        </row>
        <row r="7025">
          <cell r="G7025" t="str">
            <v xml:space="preserve">Xã Đại Thắng   </v>
          </cell>
          <cell r="I7025" t="str">
            <v>50307</v>
          </cell>
        </row>
        <row r="7026">
          <cell r="G7026" t="str">
            <v xml:space="preserve">Xã Đại Cường </v>
          </cell>
          <cell r="I7026" t="str">
            <v>50307</v>
          </cell>
        </row>
        <row r="7027">
          <cell r="G7027" t="str">
            <v xml:space="preserve">Xã Đại An   </v>
          </cell>
          <cell r="I7027" t="str">
            <v>50307</v>
          </cell>
        </row>
        <row r="7028">
          <cell r="G7028" t="str">
            <v>Xã Điện Phước</v>
          </cell>
          <cell r="I7028" t="str">
            <v>50309</v>
          </cell>
        </row>
        <row r="7029">
          <cell r="G7029" t="str">
            <v>Thị trấn Vĩnh Điện</v>
          </cell>
          <cell r="I7029" t="str">
            <v>50309</v>
          </cell>
        </row>
        <row r="7030">
          <cell r="G7030" t="str">
            <v>Xã Điện Hồng</v>
          </cell>
          <cell r="I7030" t="str">
            <v>50309</v>
          </cell>
        </row>
        <row r="7031">
          <cell r="G7031" t="str">
            <v>Xã Điện Nam Bắc</v>
          </cell>
          <cell r="I7031" t="str">
            <v>50309</v>
          </cell>
        </row>
        <row r="7032">
          <cell r="G7032" t="str">
            <v>Xã Điện Phong</v>
          </cell>
          <cell r="I7032" t="str">
            <v>50309</v>
          </cell>
        </row>
        <row r="7033">
          <cell r="G7033" t="str">
            <v>Xã Điện Tiến</v>
          </cell>
          <cell r="I7033" t="str">
            <v>50309</v>
          </cell>
        </row>
        <row r="7034">
          <cell r="G7034" t="str">
            <v>Xã Điện Hòa</v>
          </cell>
          <cell r="I7034" t="str">
            <v>50309</v>
          </cell>
        </row>
        <row r="7035">
          <cell r="G7035" t="str">
            <v>Xã Điện Thắng Bắc</v>
          </cell>
          <cell r="I7035" t="str">
            <v>50309</v>
          </cell>
        </row>
        <row r="7036">
          <cell r="G7036" t="str">
            <v>Xã Điện Thắng Trung</v>
          </cell>
          <cell r="I7036" t="str">
            <v>50309</v>
          </cell>
        </row>
        <row r="7037">
          <cell r="G7037" t="str">
            <v>Xã Điện Thắng Nam</v>
          </cell>
          <cell r="I7037" t="str">
            <v>50309</v>
          </cell>
        </row>
        <row r="7038">
          <cell r="G7038" t="str">
            <v>Xã Điện Ngọc</v>
          </cell>
          <cell r="I7038" t="str">
            <v>50309</v>
          </cell>
        </row>
        <row r="7039">
          <cell r="G7039" t="str">
            <v>Xã Điện Thọ</v>
          </cell>
          <cell r="I7039" t="str">
            <v>50309</v>
          </cell>
        </row>
        <row r="7040">
          <cell r="G7040" t="str">
            <v>Xã Điện An</v>
          </cell>
          <cell r="I7040" t="str">
            <v>50309</v>
          </cell>
        </row>
        <row r="7041">
          <cell r="G7041" t="str">
            <v>Xã Điện Nam Trung</v>
          </cell>
          <cell r="I7041" t="str">
            <v>50309</v>
          </cell>
        </row>
        <row r="7042">
          <cell r="G7042" t="str">
            <v>Xã Điện Nam Đông</v>
          </cell>
          <cell r="I7042" t="str">
            <v>50309</v>
          </cell>
        </row>
        <row r="7043">
          <cell r="G7043" t="str">
            <v>Xã Điện Dương</v>
          </cell>
          <cell r="I7043" t="str">
            <v>50309</v>
          </cell>
        </row>
        <row r="7044">
          <cell r="G7044" t="str">
            <v>Xã Điện Quang</v>
          </cell>
          <cell r="I7044" t="str">
            <v>50309</v>
          </cell>
        </row>
        <row r="7045">
          <cell r="G7045" t="str">
            <v>Xã Điện Trung</v>
          </cell>
          <cell r="I7045" t="str">
            <v>50309</v>
          </cell>
        </row>
        <row r="7046">
          <cell r="G7046" t="str">
            <v>Xã Điện Minh</v>
          </cell>
          <cell r="I7046" t="str">
            <v>50309</v>
          </cell>
        </row>
        <row r="7047">
          <cell r="G7047" t="str">
            <v>Xã Điện Phương</v>
          </cell>
          <cell r="I7047" t="str">
            <v>50309</v>
          </cell>
        </row>
        <row r="7048">
          <cell r="G7048" t="str">
            <v>Xã Duy Nghĩa</v>
          </cell>
          <cell r="I7048" t="str">
            <v>50311</v>
          </cell>
        </row>
        <row r="7049">
          <cell r="G7049" t="str">
            <v>Thị trấn Nam Phước</v>
          </cell>
          <cell r="I7049" t="str">
            <v>50311</v>
          </cell>
        </row>
        <row r="7050">
          <cell r="G7050" t="str">
            <v>Xã Duy Trung</v>
          </cell>
          <cell r="I7050" t="str">
            <v>50311</v>
          </cell>
        </row>
        <row r="7051">
          <cell r="G7051" t="str">
            <v>Xã Duy Phước</v>
          </cell>
          <cell r="I7051" t="str">
            <v>50311</v>
          </cell>
        </row>
        <row r="7052">
          <cell r="G7052" t="str">
            <v>Xã Duy Thu</v>
          </cell>
          <cell r="I7052" t="str">
            <v>50311</v>
          </cell>
        </row>
        <row r="7053">
          <cell r="G7053" t="str">
            <v>Xã Duy Châu</v>
          </cell>
          <cell r="I7053" t="str">
            <v>50311</v>
          </cell>
        </row>
        <row r="7054">
          <cell r="G7054" t="str">
            <v>Xã Duy Thành</v>
          </cell>
          <cell r="I7054" t="str">
            <v>50311</v>
          </cell>
        </row>
        <row r="7055">
          <cell r="G7055" t="str">
            <v>Xã Duy Vinh</v>
          </cell>
          <cell r="I7055" t="str">
            <v>50311</v>
          </cell>
        </row>
        <row r="7056">
          <cell r="G7056" t="str">
            <v xml:space="preserve">Xã Duy Hải </v>
          </cell>
          <cell r="I7056" t="str">
            <v>50311</v>
          </cell>
        </row>
        <row r="7057">
          <cell r="G7057" t="str">
            <v>Xã Duy Phú</v>
          </cell>
          <cell r="I7057" t="str">
            <v>50311</v>
          </cell>
        </row>
        <row r="7058">
          <cell r="G7058" t="str">
            <v xml:space="preserve">Xã Duy Tân </v>
          </cell>
          <cell r="I7058" t="str">
            <v>50311</v>
          </cell>
        </row>
        <row r="7059">
          <cell r="G7059" t="str">
            <v>Xã Duy Hòa</v>
          </cell>
          <cell r="I7059" t="str">
            <v>50311</v>
          </cell>
        </row>
        <row r="7060">
          <cell r="G7060" t="str">
            <v>Xã Duy Trinh</v>
          </cell>
          <cell r="I7060" t="str">
            <v>50311</v>
          </cell>
        </row>
        <row r="7061">
          <cell r="G7061" t="str">
            <v>Xã Duy Sơn</v>
          </cell>
          <cell r="I7061" t="str">
            <v>50311</v>
          </cell>
        </row>
        <row r="7062">
          <cell r="G7062" t="str">
            <v>Xã Laêê</v>
          </cell>
          <cell r="I7062" t="str">
            <v>50313</v>
          </cell>
        </row>
        <row r="7063">
          <cell r="G7063" t="str">
            <v>Xã Zuôih</v>
          </cell>
          <cell r="I7063" t="str">
            <v>50313</v>
          </cell>
        </row>
        <row r="7064">
          <cell r="G7064" t="str">
            <v>Xã Chà vàl</v>
          </cell>
          <cell r="I7064" t="str">
            <v>50313</v>
          </cell>
        </row>
        <row r="7065">
          <cell r="G7065" t="str">
            <v>Thị trấn Thạnh Mỹ</v>
          </cell>
          <cell r="I7065" t="str">
            <v>50313</v>
          </cell>
        </row>
        <row r="7066">
          <cell r="G7066" t="str">
            <v>Xã Tà Bhing</v>
          </cell>
          <cell r="I7066" t="str">
            <v>50313</v>
          </cell>
        </row>
        <row r="7067">
          <cell r="G7067" t="str">
            <v>Xã Cà Dy</v>
          </cell>
          <cell r="I7067" t="str">
            <v>50313</v>
          </cell>
        </row>
        <row r="7068">
          <cell r="G7068" t="str">
            <v>Xã La Dêê</v>
          </cell>
          <cell r="I7068" t="str">
            <v>50313</v>
          </cell>
        </row>
        <row r="7069">
          <cell r="G7069" t="str">
            <v>Xã Đắc Pring</v>
          </cell>
          <cell r="I7069" t="str">
            <v>50313</v>
          </cell>
        </row>
        <row r="7070">
          <cell r="G7070" t="str">
            <v>Xã Đắc Pre</v>
          </cell>
          <cell r="I7070" t="str">
            <v>50313</v>
          </cell>
        </row>
        <row r="7071">
          <cell r="G7071" t="str">
            <v>Xã Chơ Chun</v>
          </cell>
          <cell r="I7071" t="str">
            <v>50313</v>
          </cell>
        </row>
        <row r="7072">
          <cell r="G7072" t="str">
            <v>Xã Đắc Tôi</v>
          </cell>
          <cell r="I7072" t="str">
            <v>50313</v>
          </cell>
        </row>
        <row r="7073">
          <cell r="G7073" t="str">
            <v>Xã Tà Pơơ</v>
          </cell>
          <cell r="I7073" t="str">
            <v>50313</v>
          </cell>
        </row>
        <row r="7074">
          <cell r="G7074" t="str">
            <v>Xã Bình Phục</v>
          </cell>
          <cell r="I7074" t="str">
            <v>50315</v>
          </cell>
        </row>
        <row r="7075">
          <cell r="G7075" t="str">
            <v>Xã Bình Hải</v>
          </cell>
          <cell r="I7075" t="str">
            <v>50315</v>
          </cell>
        </row>
        <row r="7076">
          <cell r="G7076" t="str">
            <v>Xã Bình Giang</v>
          </cell>
          <cell r="I7076" t="str">
            <v>50315</v>
          </cell>
        </row>
        <row r="7077">
          <cell r="G7077" t="str">
            <v>Xã Bình Đào</v>
          </cell>
          <cell r="I7077" t="str">
            <v>50315</v>
          </cell>
        </row>
        <row r="7078">
          <cell r="G7078" t="str">
            <v xml:space="preserve">Xã Bình Định   </v>
          </cell>
          <cell r="I7078" t="str">
            <v>50315</v>
          </cell>
        </row>
        <row r="7079">
          <cell r="G7079" t="str">
            <v>Xã Bình Tú</v>
          </cell>
          <cell r="I7079" t="str">
            <v>50315</v>
          </cell>
        </row>
        <row r="7080">
          <cell r="G7080" t="str">
            <v xml:space="preserve">Xã Bình An </v>
          </cell>
          <cell r="I7080" t="str">
            <v>50315</v>
          </cell>
        </row>
        <row r="7081">
          <cell r="G7081" t="str">
            <v>Thị trấn Hà Lam</v>
          </cell>
          <cell r="I7081" t="str">
            <v>50315</v>
          </cell>
        </row>
        <row r="7082">
          <cell r="G7082" t="str">
            <v xml:space="preserve">Xã Bình Dương    </v>
          </cell>
          <cell r="I7082" t="str">
            <v>50315</v>
          </cell>
        </row>
        <row r="7083">
          <cell r="G7083" t="str">
            <v xml:space="preserve">Xã Bình Nguyên </v>
          </cell>
          <cell r="I7083" t="str">
            <v>50315</v>
          </cell>
        </row>
        <row r="7084">
          <cell r="G7084" t="str">
            <v>Xã Bình Triều</v>
          </cell>
          <cell r="I7084" t="str">
            <v>50315</v>
          </cell>
        </row>
        <row r="7085">
          <cell r="G7085" t="str">
            <v xml:space="preserve">Xã Bình Minh      </v>
          </cell>
          <cell r="I7085" t="str">
            <v>50315</v>
          </cell>
        </row>
        <row r="7086">
          <cell r="G7086" t="str">
            <v>Xã Bình Lãnh</v>
          </cell>
          <cell r="I7086" t="str">
            <v>50315</v>
          </cell>
        </row>
        <row r="7087">
          <cell r="G7087" t="str">
            <v>Xã Bình Trị</v>
          </cell>
          <cell r="I7087" t="str">
            <v>50315</v>
          </cell>
        </row>
        <row r="7088">
          <cell r="G7088" t="str">
            <v>Xã Bình Quý</v>
          </cell>
          <cell r="I7088" t="str">
            <v>50315</v>
          </cell>
        </row>
        <row r="7089">
          <cell r="G7089" t="str">
            <v xml:space="preserve">Xã Bình Phú  </v>
          </cell>
          <cell r="I7089" t="str">
            <v>50315</v>
          </cell>
        </row>
        <row r="7090">
          <cell r="G7090" t="str">
            <v>Xã Bình Chánh</v>
          </cell>
          <cell r="I7090" t="str">
            <v>50315</v>
          </cell>
        </row>
        <row r="7091">
          <cell r="G7091" t="str">
            <v>Xã Bình Sa</v>
          </cell>
          <cell r="I7091" t="str">
            <v>50315</v>
          </cell>
        </row>
        <row r="7092">
          <cell r="G7092" t="str">
            <v>Xã Bình Quế</v>
          </cell>
          <cell r="I7092" t="str">
            <v>50315</v>
          </cell>
        </row>
        <row r="7093">
          <cell r="G7093" t="str">
            <v xml:space="preserve">Xã Bình Trung  </v>
          </cell>
          <cell r="I7093" t="str">
            <v>50315</v>
          </cell>
        </row>
        <row r="7094">
          <cell r="G7094" t="str">
            <v>Xã Bình Nam</v>
          </cell>
          <cell r="I7094" t="str">
            <v>50315</v>
          </cell>
        </row>
        <row r="7095">
          <cell r="G7095" t="str">
            <v>Xã Bình Định Bắc</v>
          </cell>
          <cell r="I7095" t="str">
            <v>50315</v>
          </cell>
        </row>
        <row r="7096">
          <cell r="G7096" t="str">
            <v>Xã Bình Định Nam</v>
          </cell>
          <cell r="I7096" t="str">
            <v>50315</v>
          </cell>
        </row>
        <row r="7097">
          <cell r="G7097" t="str">
            <v>Xã Quế Cường</v>
          </cell>
          <cell r="I7097" t="str">
            <v>50317</v>
          </cell>
        </row>
        <row r="7098">
          <cell r="G7098" t="str">
            <v>Xã Phú Thọ</v>
          </cell>
          <cell r="I7098" t="str">
            <v>50317</v>
          </cell>
        </row>
        <row r="7099">
          <cell r="G7099" t="str">
            <v>Xã Quế Long</v>
          </cell>
          <cell r="I7099" t="str">
            <v>50317</v>
          </cell>
        </row>
        <row r="7100">
          <cell r="G7100" t="str">
            <v>Xã Quế Minh</v>
          </cell>
          <cell r="I7100" t="str">
            <v>50317</v>
          </cell>
        </row>
        <row r="7101">
          <cell r="G7101" t="str">
            <v>Thị trấn Đông Phú</v>
          </cell>
          <cell r="I7101" t="str">
            <v>50317</v>
          </cell>
        </row>
        <row r="7102">
          <cell r="G7102" t="str">
            <v>Xã Quế Xuân 1</v>
          </cell>
          <cell r="I7102" t="str">
            <v>50317</v>
          </cell>
        </row>
        <row r="7103">
          <cell r="G7103" t="str">
            <v>Xã Quế Xuân 2</v>
          </cell>
          <cell r="I7103" t="str">
            <v>50317</v>
          </cell>
        </row>
        <row r="7104">
          <cell r="G7104" t="str">
            <v>Xã Quế Phú</v>
          </cell>
          <cell r="I7104" t="str">
            <v>50317</v>
          </cell>
        </row>
        <row r="7105">
          <cell r="G7105" t="str">
            <v>Xã Quế Hiệp</v>
          </cell>
          <cell r="I7105" t="str">
            <v>50317</v>
          </cell>
        </row>
        <row r="7106">
          <cell r="G7106" t="str">
            <v>Xã Quế Thuận</v>
          </cell>
          <cell r="I7106" t="str">
            <v>50317</v>
          </cell>
        </row>
        <row r="7107">
          <cell r="G7107" t="str">
            <v>Xã Quế Châu</v>
          </cell>
          <cell r="I7107" t="str">
            <v>50317</v>
          </cell>
        </row>
        <row r="7108">
          <cell r="G7108" t="str">
            <v>Xã Quế Phong</v>
          </cell>
          <cell r="I7108" t="str">
            <v>50317</v>
          </cell>
        </row>
        <row r="7109">
          <cell r="G7109" t="str">
            <v>Xã Quế An</v>
          </cell>
          <cell r="I7109" t="str">
            <v>50317</v>
          </cell>
        </row>
        <row r="7110">
          <cell r="G7110" t="str">
            <v>Xã Hương An</v>
          </cell>
          <cell r="I7110" t="str">
            <v>50317</v>
          </cell>
        </row>
        <row r="7111">
          <cell r="G7111" t="str">
            <v>Xã Quế Lộc</v>
          </cell>
          <cell r="I7111" t="str">
            <v>50318</v>
          </cell>
        </row>
        <row r="7112">
          <cell r="G7112" t="str">
            <v>Xã Sơn Viên</v>
          </cell>
          <cell r="I7112" t="str">
            <v>50318</v>
          </cell>
        </row>
        <row r="7113">
          <cell r="G7113" t="str">
            <v>Xã Quế Trung</v>
          </cell>
          <cell r="I7113" t="str">
            <v>50318</v>
          </cell>
        </row>
        <row r="7114">
          <cell r="G7114" t="str">
            <v>Xã Quế Ninh</v>
          </cell>
          <cell r="I7114" t="str">
            <v>50318</v>
          </cell>
        </row>
        <row r="7115">
          <cell r="G7115" t="str">
            <v>Xã Quế Phước</v>
          </cell>
          <cell r="I7115" t="str">
            <v>50318</v>
          </cell>
        </row>
        <row r="7116">
          <cell r="G7116" t="str">
            <v>Xã Phước Ninh</v>
          </cell>
          <cell r="I7116" t="str">
            <v>50318</v>
          </cell>
        </row>
        <row r="7117">
          <cell r="G7117" t="str">
            <v xml:space="preserve">Xã Quế Lâm </v>
          </cell>
          <cell r="I7117" t="str">
            <v>50318</v>
          </cell>
        </row>
        <row r="7118">
          <cell r="G7118" t="str">
            <v>Xã Bình Lâm</v>
          </cell>
          <cell r="I7118" t="str">
            <v>50319</v>
          </cell>
        </row>
        <row r="7119">
          <cell r="G7119" t="str">
            <v xml:space="preserve">Xã Hiệp Thuận </v>
          </cell>
          <cell r="I7119" t="str">
            <v>50319</v>
          </cell>
        </row>
        <row r="7120">
          <cell r="G7120" t="str">
            <v>Xã Phước Trà</v>
          </cell>
          <cell r="I7120" t="str">
            <v>50319</v>
          </cell>
        </row>
        <row r="7121">
          <cell r="G7121" t="str">
            <v>Xã Thăng Phước</v>
          </cell>
          <cell r="I7121" t="str">
            <v>50319</v>
          </cell>
        </row>
        <row r="7122">
          <cell r="G7122" t="str">
            <v>Thị trấn Tân An</v>
          </cell>
          <cell r="I7122" t="str">
            <v>50319</v>
          </cell>
        </row>
        <row r="7123">
          <cell r="G7123" t="str">
            <v xml:space="preserve">Xã Hiệp Hòa    </v>
          </cell>
          <cell r="I7123" t="str">
            <v>50319</v>
          </cell>
        </row>
        <row r="7124">
          <cell r="G7124" t="str">
            <v>Xã Quế Thọ</v>
          </cell>
          <cell r="I7124" t="str">
            <v>50319</v>
          </cell>
        </row>
        <row r="7125">
          <cell r="G7125" t="str">
            <v>Xã Sông Trà</v>
          </cell>
          <cell r="I7125" t="str">
            <v>50319</v>
          </cell>
        </row>
        <row r="7126">
          <cell r="G7126" t="str">
            <v>Xã Phước Gia</v>
          </cell>
          <cell r="I7126" t="str">
            <v>50319</v>
          </cell>
        </row>
        <row r="7127">
          <cell r="G7127" t="str">
            <v>Xã Quế Bình</v>
          </cell>
          <cell r="I7127" t="str">
            <v>50319</v>
          </cell>
        </row>
        <row r="7128">
          <cell r="G7128" t="str">
            <v>Xã Quế Lưu</v>
          </cell>
          <cell r="I7128" t="str">
            <v>50319</v>
          </cell>
        </row>
        <row r="7129">
          <cell r="G7129" t="str">
            <v xml:space="preserve">Xã Bình Sơn     </v>
          </cell>
          <cell r="I7129" t="str">
            <v>50319</v>
          </cell>
        </row>
        <row r="7130">
          <cell r="G7130" t="str">
            <v xml:space="preserve">Xã Tiên Hiệp </v>
          </cell>
          <cell r="I7130" t="str">
            <v>50321</v>
          </cell>
        </row>
        <row r="7131">
          <cell r="G7131" t="str">
            <v>Thị trấn Tiên Kỳ</v>
          </cell>
          <cell r="I7131" t="str">
            <v>50321</v>
          </cell>
        </row>
        <row r="7132">
          <cell r="G7132" t="str">
            <v>Xã Tiên Lãnh</v>
          </cell>
          <cell r="I7132" t="str">
            <v>50321</v>
          </cell>
        </row>
        <row r="7133">
          <cell r="G7133" t="str">
            <v>Xã Tiên Mỹ</v>
          </cell>
          <cell r="I7133" t="str">
            <v>50321</v>
          </cell>
        </row>
        <row r="7134">
          <cell r="G7134" t="str">
            <v>Xã Tiên Lộc</v>
          </cell>
          <cell r="I7134" t="str">
            <v>50321</v>
          </cell>
        </row>
        <row r="7135">
          <cell r="G7135" t="str">
            <v xml:space="preserve">Xã Tiên Sơn </v>
          </cell>
          <cell r="I7135" t="str">
            <v>50321</v>
          </cell>
        </row>
        <row r="7136">
          <cell r="G7136" t="str">
            <v>Xã Tiên Hà</v>
          </cell>
          <cell r="I7136" t="str">
            <v>50321</v>
          </cell>
        </row>
        <row r="7137">
          <cell r="G7137" t="str">
            <v>Xã Tiên Cẩm</v>
          </cell>
          <cell r="I7137" t="str">
            <v>50321</v>
          </cell>
        </row>
        <row r="7138">
          <cell r="G7138" t="str">
            <v>Xã Tiên Châu</v>
          </cell>
          <cell r="I7138" t="str">
            <v>50321</v>
          </cell>
        </row>
        <row r="7139">
          <cell r="G7139" t="str">
            <v>Xã Tiên Ngọc</v>
          </cell>
          <cell r="I7139" t="str">
            <v>50321</v>
          </cell>
        </row>
        <row r="7140">
          <cell r="G7140" t="str">
            <v>Xã Tiên Cảnh</v>
          </cell>
          <cell r="I7140" t="str">
            <v>50321</v>
          </cell>
        </row>
        <row r="7141">
          <cell r="G7141" t="str">
            <v xml:space="preserve">Xã Tiên Phong  </v>
          </cell>
          <cell r="I7141" t="str">
            <v>50321</v>
          </cell>
        </row>
        <row r="7142">
          <cell r="G7142" t="str">
            <v>Xã Tiên Thọ</v>
          </cell>
          <cell r="I7142" t="str">
            <v>50321</v>
          </cell>
        </row>
        <row r="7143">
          <cell r="G7143" t="str">
            <v>Xã Tiên An</v>
          </cell>
          <cell r="I7143" t="str">
            <v>50321</v>
          </cell>
        </row>
        <row r="7144">
          <cell r="G7144" t="str">
            <v>Xã Tiên Lập</v>
          </cell>
          <cell r="I7144" t="str">
            <v>50321</v>
          </cell>
        </row>
        <row r="7145">
          <cell r="G7145" t="str">
            <v>Xã Phước Đức</v>
          </cell>
          <cell r="I7145" t="str">
            <v>50323</v>
          </cell>
        </row>
        <row r="7146">
          <cell r="G7146" t="str">
            <v>Thị trấn Khâm Đức</v>
          </cell>
          <cell r="I7146" t="str">
            <v>50323</v>
          </cell>
        </row>
        <row r="7147">
          <cell r="G7147" t="str">
            <v>Xã Phước Năng</v>
          </cell>
          <cell r="I7147" t="str">
            <v>50323</v>
          </cell>
        </row>
        <row r="7148">
          <cell r="G7148" t="str">
            <v>Xã Phước Lộc</v>
          </cell>
          <cell r="I7148" t="str">
            <v>50323</v>
          </cell>
        </row>
        <row r="7149">
          <cell r="G7149" t="str">
            <v>Xã Phước Xuân</v>
          </cell>
          <cell r="I7149" t="str">
            <v>50323</v>
          </cell>
        </row>
        <row r="7150">
          <cell r="G7150" t="str">
            <v>Xã Phước Hiệp</v>
          </cell>
          <cell r="I7150" t="str">
            <v>50323</v>
          </cell>
        </row>
        <row r="7151">
          <cell r="G7151" t="str">
            <v>Xã Phước Mỹ</v>
          </cell>
          <cell r="I7151" t="str">
            <v>50323</v>
          </cell>
        </row>
        <row r="7152">
          <cell r="G7152" t="str">
            <v>Xã Phước Chánh</v>
          </cell>
          <cell r="I7152" t="str">
            <v>50323</v>
          </cell>
        </row>
        <row r="7153">
          <cell r="G7153" t="str">
            <v>Xã Phước Công</v>
          </cell>
          <cell r="I7153" t="str">
            <v>50323</v>
          </cell>
        </row>
        <row r="7154">
          <cell r="G7154" t="str">
            <v>Xã Phước Kim</v>
          </cell>
          <cell r="I7154" t="str">
            <v>50323</v>
          </cell>
        </row>
        <row r="7155">
          <cell r="G7155" t="str">
            <v>Xã Phước Thành</v>
          </cell>
          <cell r="I7155" t="str">
            <v>50323</v>
          </cell>
        </row>
        <row r="7156">
          <cell r="G7156" t="str">
            <v>Xã Phước Hòa</v>
          </cell>
          <cell r="I7156" t="str">
            <v>50323</v>
          </cell>
        </row>
        <row r="7157">
          <cell r="G7157" t="str">
            <v>Xã Tam Anh Nam</v>
          </cell>
          <cell r="I7157" t="str">
            <v>50325</v>
          </cell>
        </row>
        <row r="7158">
          <cell r="G7158" t="str">
            <v>Xã Tam Nghĩa</v>
          </cell>
          <cell r="I7158" t="str">
            <v>50325</v>
          </cell>
        </row>
        <row r="7159">
          <cell r="G7159" t="str">
            <v>Xã Tam Xuân I</v>
          </cell>
          <cell r="I7159" t="str">
            <v>50325</v>
          </cell>
        </row>
        <row r="7160">
          <cell r="G7160" t="str">
            <v>Xã Tam Xuân II</v>
          </cell>
          <cell r="I7160" t="str">
            <v>50325</v>
          </cell>
        </row>
        <row r="7161">
          <cell r="G7161" t="str">
            <v xml:space="preserve">Xã Tam Tiến </v>
          </cell>
          <cell r="I7161" t="str">
            <v>50325</v>
          </cell>
        </row>
        <row r="7162">
          <cell r="G7162" t="str">
            <v xml:space="preserve">Xã Tam Sơn   </v>
          </cell>
          <cell r="I7162" t="str">
            <v>50325</v>
          </cell>
        </row>
        <row r="7163">
          <cell r="G7163" t="str">
            <v>Xã Tam Thạnh</v>
          </cell>
          <cell r="I7163" t="str">
            <v>50325</v>
          </cell>
        </row>
        <row r="7164">
          <cell r="G7164" t="str">
            <v>Xã Tam Anh Bắc</v>
          </cell>
          <cell r="I7164" t="str">
            <v>50325</v>
          </cell>
        </row>
        <row r="7165">
          <cell r="G7165" t="str">
            <v>Xã Tam Hòa</v>
          </cell>
          <cell r="I7165" t="str">
            <v>50325</v>
          </cell>
        </row>
        <row r="7166">
          <cell r="G7166" t="str">
            <v xml:space="preserve">Xã Tam Hiệp   </v>
          </cell>
          <cell r="I7166" t="str">
            <v>50325</v>
          </cell>
        </row>
        <row r="7167">
          <cell r="G7167" t="str">
            <v>Xã Tam Hải</v>
          </cell>
          <cell r="I7167" t="str">
            <v>50325</v>
          </cell>
        </row>
        <row r="7168">
          <cell r="G7168" t="str">
            <v xml:space="preserve">Xã Tam Giang </v>
          </cell>
          <cell r="I7168" t="str">
            <v>50325</v>
          </cell>
        </row>
        <row r="7169">
          <cell r="G7169" t="str">
            <v xml:space="preserve">Xã Tam Quang  </v>
          </cell>
          <cell r="I7169" t="str">
            <v>50325</v>
          </cell>
        </row>
        <row r="7170">
          <cell r="G7170" t="str">
            <v>Xã Tam Mỹ Tây</v>
          </cell>
          <cell r="I7170" t="str">
            <v>50325</v>
          </cell>
        </row>
        <row r="7171">
          <cell r="G7171" t="str">
            <v>Xã Tam Mỹ Đông</v>
          </cell>
          <cell r="I7171" t="str">
            <v>50325</v>
          </cell>
        </row>
        <row r="7172">
          <cell r="G7172" t="str">
            <v>Xã Tam Trà</v>
          </cell>
          <cell r="I7172" t="str">
            <v>50325</v>
          </cell>
        </row>
        <row r="7173">
          <cell r="G7173" t="str">
            <v>Thị trấn Núi Thành</v>
          </cell>
          <cell r="I7173" t="str">
            <v>50325</v>
          </cell>
        </row>
        <row r="7174">
          <cell r="G7174" t="str">
            <v>Xã Trà Dương</v>
          </cell>
          <cell r="I7174" t="str">
            <v>50327</v>
          </cell>
        </row>
        <row r="7175">
          <cell r="G7175" t="str">
            <v>Xã Trà Nú</v>
          </cell>
          <cell r="I7175" t="str">
            <v>50327</v>
          </cell>
        </row>
        <row r="7176">
          <cell r="G7176" t="str">
            <v xml:space="preserve">Xã Trà Giang </v>
          </cell>
          <cell r="I7176" t="str">
            <v>50327</v>
          </cell>
        </row>
        <row r="7177">
          <cell r="G7177" t="str">
            <v>Xã Trà Giác</v>
          </cell>
          <cell r="I7177" t="str">
            <v>50327</v>
          </cell>
        </row>
        <row r="7178">
          <cell r="G7178" t="str">
            <v>Thị trấn Trà My</v>
          </cell>
          <cell r="I7178" t="str">
            <v>50327</v>
          </cell>
        </row>
        <row r="7179">
          <cell r="G7179" t="str">
            <v>Xã Trà Kót</v>
          </cell>
          <cell r="I7179" t="str">
            <v>50327</v>
          </cell>
        </row>
        <row r="7180">
          <cell r="G7180" t="str">
            <v>Xã Trà Đông</v>
          </cell>
          <cell r="I7180" t="str">
            <v>50327</v>
          </cell>
        </row>
        <row r="7181">
          <cell r="G7181" t="str">
            <v>Xã Trà Bui</v>
          </cell>
          <cell r="I7181" t="str">
            <v>50327</v>
          </cell>
        </row>
        <row r="7182">
          <cell r="G7182" t="str">
            <v>Xã Trà Đốc</v>
          </cell>
          <cell r="I7182" t="str">
            <v>50327</v>
          </cell>
        </row>
        <row r="7183">
          <cell r="G7183" t="str">
            <v>Xã Trà Tân</v>
          </cell>
          <cell r="I7183" t="str">
            <v>50327</v>
          </cell>
        </row>
        <row r="7184">
          <cell r="G7184" t="str">
            <v>Xã Trà Giáp</v>
          </cell>
          <cell r="I7184" t="str">
            <v>50327</v>
          </cell>
        </row>
        <row r="7185">
          <cell r="G7185" t="str">
            <v>Xã Trà Ka</v>
          </cell>
          <cell r="I7185" t="str">
            <v>50327</v>
          </cell>
        </row>
        <row r="7186">
          <cell r="G7186" t="str">
            <v>Xã Trà Sơn</v>
          </cell>
          <cell r="I7186" t="str">
            <v>50327</v>
          </cell>
        </row>
        <row r="7187">
          <cell r="G7187" t="str">
            <v>Xã Trà Cang</v>
          </cell>
          <cell r="I7187" t="str">
            <v>50329</v>
          </cell>
        </row>
        <row r="7188">
          <cell r="G7188" t="str">
            <v>Xã Trà Dơn</v>
          </cell>
          <cell r="I7188" t="str">
            <v>50329</v>
          </cell>
        </row>
        <row r="7189">
          <cell r="G7189" t="str">
            <v>Xã Trà Linh</v>
          </cell>
          <cell r="I7189" t="str">
            <v>50329</v>
          </cell>
        </row>
        <row r="7190">
          <cell r="G7190" t="str">
            <v>Xã Trà Leng</v>
          </cell>
          <cell r="I7190" t="str">
            <v>50329</v>
          </cell>
        </row>
        <row r="7191">
          <cell r="G7191" t="str">
            <v>Xã Trà Tập</v>
          </cell>
          <cell r="I7191" t="str">
            <v>50329</v>
          </cell>
        </row>
        <row r="7192">
          <cell r="G7192" t="str">
            <v>Xã Trà Mai</v>
          </cell>
          <cell r="I7192" t="str">
            <v>50329</v>
          </cell>
        </row>
        <row r="7193">
          <cell r="G7193" t="str">
            <v>Xã Trà Nam</v>
          </cell>
          <cell r="I7193" t="str">
            <v>50329</v>
          </cell>
        </row>
        <row r="7194">
          <cell r="G7194" t="str">
            <v>Xã Trà Don</v>
          </cell>
          <cell r="I7194" t="str">
            <v>50329</v>
          </cell>
        </row>
        <row r="7195">
          <cell r="G7195" t="str">
            <v>Xã Trà Vân</v>
          </cell>
          <cell r="I7195" t="str">
            <v>50329</v>
          </cell>
        </row>
        <row r="7196">
          <cell r="G7196" t="str">
            <v>Xã Trà Vinh</v>
          </cell>
          <cell r="I7196" t="str">
            <v>50329</v>
          </cell>
        </row>
        <row r="7197">
          <cell r="G7197" t="str">
            <v>Phường Nghĩa Chánh</v>
          </cell>
          <cell r="I7197" t="str">
            <v>50501</v>
          </cell>
        </row>
        <row r="7198">
          <cell r="G7198" t="str">
            <v>Phường Quảng Phú</v>
          </cell>
          <cell r="I7198" t="str">
            <v>50501</v>
          </cell>
        </row>
        <row r="7199">
          <cell r="G7199" t="str">
            <v>Phường Nghĩa Lộ</v>
          </cell>
          <cell r="I7199" t="str">
            <v>50501</v>
          </cell>
        </row>
        <row r="7200">
          <cell r="G7200" t="str">
            <v xml:space="preserve">Phường Lê Hồng Phong  </v>
          </cell>
          <cell r="I7200" t="str">
            <v>50501</v>
          </cell>
        </row>
        <row r="7201">
          <cell r="G7201" t="str">
            <v xml:space="preserve">Phường Trần Phú      </v>
          </cell>
          <cell r="I7201" t="str">
            <v>50501</v>
          </cell>
        </row>
        <row r="7202">
          <cell r="G7202" t="str">
            <v xml:space="preserve">Phường Trần Hưng Đạo      </v>
          </cell>
          <cell r="I7202" t="str">
            <v>50501</v>
          </cell>
        </row>
        <row r="7203">
          <cell r="G7203" t="str">
            <v>Phường Nguyễn Nghiêm</v>
          </cell>
          <cell r="I7203" t="str">
            <v>50501</v>
          </cell>
        </row>
        <row r="7204">
          <cell r="G7204" t="str">
            <v>Phường Chánh Lộ</v>
          </cell>
          <cell r="I7204" t="str">
            <v>50501</v>
          </cell>
        </row>
        <row r="7205">
          <cell r="G7205" t="str">
            <v xml:space="preserve">Xã Nghĩa Dũng </v>
          </cell>
          <cell r="I7205" t="str">
            <v>50501</v>
          </cell>
        </row>
        <row r="7206">
          <cell r="G7206" t="str">
            <v>Xã Nghĩa Dõng</v>
          </cell>
          <cell r="I7206" t="str">
            <v>50501</v>
          </cell>
        </row>
        <row r="7207">
          <cell r="G7207" t="str">
            <v>Phường Trương Quang Trọng</v>
          </cell>
          <cell r="I7207" t="str">
            <v>50501</v>
          </cell>
        </row>
        <row r="7208">
          <cell r="G7208" t="str">
            <v>Xã Tịnh ấn Tây</v>
          </cell>
          <cell r="I7208" t="str">
            <v>50501</v>
          </cell>
        </row>
        <row r="7209">
          <cell r="G7209" t="str">
            <v>Xã Tịnh ấn Đông</v>
          </cell>
          <cell r="I7209" t="str">
            <v>50501</v>
          </cell>
        </row>
        <row r="7210">
          <cell r="G7210" t="str">
            <v>Xã Tịnh An</v>
          </cell>
          <cell r="I7210" t="str">
            <v>50501</v>
          </cell>
        </row>
        <row r="7211">
          <cell r="G7211" t="str">
            <v>Xã Tịnh Long</v>
          </cell>
          <cell r="I7211" t="str">
            <v>50501</v>
          </cell>
        </row>
        <row r="7212">
          <cell r="G7212" t="str">
            <v>Xã Tịnh Châu</v>
          </cell>
          <cell r="I7212" t="str">
            <v>50501</v>
          </cell>
        </row>
        <row r="7213">
          <cell r="G7213" t="str">
            <v>Xã Tịnh Thiện</v>
          </cell>
          <cell r="I7213" t="str">
            <v>50501</v>
          </cell>
        </row>
        <row r="7214">
          <cell r="G7214" t="str">
            <v>Xã Tịnh Khê</v>
          </cell>
          <cell r="I7214" t="str">
            <v>50501</v>
          </cell>
        </row>
        <row r="7215">
          <cell r="G7215" t="str">
            <v>Xã Tịnh Hòa</v>
          </cell>
          <cell r="I7215" t="str">
            <v>50501</v>
          </cell>
        </row>
        <row r="7216">
          <cell r="G7216" t="str">
            <v>Xã Tịnh Kỳ</v>
          </cell>
          <cell r="I7216" t="str">
            <v>50501</v>
          </cell>
        </row>
        <row r="7217">
          <cell r="G7217" t="str">
            <v>Xã Nghĩa Hà</v>
          </cell>
          <cell r="I7217" t="str">
            <v>50501</v>
          </cell>
        </row>
        <row r="7218">
          <cell r="G7218" t="str">
            <v xml:space="preserve">Xã Nghĩa Phú  </v>
          </cell>
          <cell r="I7218" t="str">
            <v>50501</v>
          </cell>
        </row>
        <row r="7219">
          <cell r="G7219" t="str">
            <v xml:space="preserve">Xã Nghĩa An    </v>
          </cell>
          <cell r="I7219" t="str">
            <v>50501</v>
          </cell>
        </row>
        <row r="7220">
          <cell r="G7220" t="str">
            <v>Xã An Vĩnh</v>
          </cell>
          <cell r="I7220" t="str">
            <v>50503</v>
          </cell>
        </row>
        <row r="7221">
          <cell r="G7221" t="str">
            <v>Xã An Hải</v>
          </cell>
          <cell r="I7221" t="str">
            <v>50503</v>
          </cell>
        </row>
        <row r="7222">
          <cell r="G7222" t="str">
            <v xml:space="preserve">Xã An Bình     </v>
          </cell>
          <cell r="I7222" t="str">
            <v>50503</v>
          </cell>
        </row>
        <row r="7223">
          <cell r="G7223" t="str">
            <v xml:space="preserve">Xã Bình Trị </v>
          </cell>
          <cell r="I7223" t="str">
            <v>50505</v>
          </cell>
        </row>
        <row r="7224">
          <cell r="G7224" t="str">
            <v xml:space="preserve">Xã Bình Phú   </v>
          </cell>
          <cell r="I7224" t="str">
            <v>50505</v>
          </cell>
        </row>
        <row r="7225">
          <cell r="G7225" t="str">
            <v xml:space="preserve">Xã Bình Thuận  </v>
          </cell>
          <cell r="I7225" t="str">
            <v>50505</v>
          </cell>
        </row>
        <row r="7226">
          <cell r="G7226" t="str">
            <v xml:space="preserve">Xã Bình Nguyên  </v>
          </cell>
          <cell r="I7226" t="str">
            <v>50505</v>
          </cell>
        </row>
        <row r="7227">
          <cell r="G7227" t="str">
            <v xml:space="preserve">Xã Bình Hải </v>
          </cell>
          <cell r="I7227" t="str">
            <v>50505</v>
          </cell>
        </row>
        <row r="7228">
          <cell r="G7228" t="str">
            <v xml:space="preserve">Xã Bình Hòa </v>
          </cell>
          <cell r="I7228" t="str">
            <v>50505</v>
          </cell>
        </row>
        <row r="7229">
          <cell r="G7229" t="str">
            <v>Xã Bình Thanh Tây</v>
          </cell>
          <cell r="I7229" t="str">
            <v>50505</v>
          </cell>
        </row>
        <row r="7230">
          <cell r="G7230" t="str">
            <v>Xã Bình Mỹ</v>
          </cell>
          <cell r="I7230" t="str">
            <v>50505</v>
          </cell>
        </row>
        <row r="7231">
          <cell r="G7231" t="str">
            <v>Thị trấn Châu ổ</v>
          </cell>
          <cell r="I7231" t="str">
            <v>50505</v>
          </cell>
        </row>
        <row r="7232">
          <cell r="G7232" t="str">
            <v>Xã Bình Thạnh</v>
          </cell>
          <cell r="I7232" t="str">
            <v>50505</v>
          </cell>
        </row>
        <row r="7233">
          <cell r="G7233" t="str">
            <v>Xã Bình Đông</v>
          </cell>
          <cell r="I7233" t="str">
            <v>50505</v>
          </cell>
        </row>
        <row r="7234">
          <cell r="G7234" t="str">
            <v xml:space="preserve">Xã Bình Chánh </v>
          </cell>
          <cell r="I7234" t="str">
            <v>50505</v>
          </cell>
        </row>
        <row r="7235">
          <cell r="G7235" t="str">
            <v>Xã Bình Khương</v>
          </cell>
          <cell r="I7235" t="str">
            <v>50505</v>
          </cell>
        </row>
        <row r="7236">
          <cell r="G7236" t="str">
            <v xml:space="preserve">Xã Bình An  </v>
          </cell>
          <cell r="I7236" t="str">
            <v>50505</v>
          </cell>
        </row>
        <row r="7237">
          <cell r="G7237" t="str">
            <v xml:space="preserve">Xã Bình Dương     </v>
          </cell>
          <cell r="I7237" t="str">
            <v>50505</v>
          </cell>
        </row>
        <row r="7238">
          <cell r="G7238" t="str">
            <v>Xã Bình Phước</v>
          </cell>
          <cell r="I7238" t="str">
            <v>50505</v>
          </cell>
        </row>
        <row r="7239">
          <cell r="G7239" t="str">
            <v>Xã Bình Thới</v>
          </cell>
          <cell r="I7239" t="str">
            <v>50505</v>
          </cell>
        </row>
        <row r="7240">
          <cell r="G7240" t="str">
            <v xml:space="preserve">Xã Bình Trung   </v>
          </cell>
          <cell r="I7240" t="str">
            <v>50505</v>
          </cell>
        </row>
        <row r="7241">
          <cell r="G7241" t="str">
            <v xml:space="preserve">Xã Bình Minh       </v>
          </cell>
          <cell r="I7241" t="str">
            <v>50505</v>
          </cell>
        </row>
        <row r="7242">
          <cell r="G7242" t="str">
            <v xml:space="preserve">Xã Bình Long  </v>
          </cell>
          <cell r="I7242" t="str">
            <v>50505</v>
          </cell>
        </row>
        <row r="7243">
          <cell r="G7243" t="str">
            <v>Xã Bình Thanh Đông</v>
          </cell>
          <cell r="I7243" t="str">
            <v>50505</v>
          </cell>
        </row>
        <row r="7244">
          <cell r="G7244" t="str">
            <v>Xã Bình Chương</v>
          </cell>
          <cell r="I7244" t="str">
            <v>50505</v>
          </cell>
        </row>
        <row r="7245">
          <cell r="G7245" t="str">
            <v>Xã Bình Hiệp</v>
          </cell>
          <cell r="I7245" t="str">
            <v>50505</v>
          </cell>
        </row>
        <row r="7246">
          <cell r="G7246" t="str">
            <v>Xã Bình Tân</v>
          </cell>
          <cell r="I7246" t="str">
            <v>50505</v>
          </cell>
        </row>
        <row r="7247">
          <cell r="G7247" t="str">
            <v>Xã Bình Châu</v>
          </cell>
          <cell r="I7247" t="str">
            <v>50505</v>
          </cell>
        </row>
        <row r="7248">
          <cell r="G7248" t="str">
            <v>Xã Trà Bình</v>
          </cell>
          <cell r="I7248" t="str">
            <v>50507</v>
          </cell>
        </row>
        <row r="7249">
          <cell r="G7249" t="str">
            <v>Thị trấn Trà Xuân</v>
          </cell>
          <cell r="I7249" t="str">
            <v>50507</v>
          </cell>
        </row>
        <row r="7250">
          <cell r="G7250" t="str">
            <v>Xã Trà Phú</v>
          </cell>
          <cell r="I7250" t="str">
            <v>50507</v>
          </cell>
        </row>
        <row r="7251">
          <cell r="G7251" t="str">
            <v>Xã Trà Bùi</v>
          </cell>
          <cell r="I7251" t="str">
            <v>50507</v>
          </cell>
        </row>
        <row r="7252">
          <cell r="G7252" t="str">
            <v xml:space="preserve">Xã Trà Giang  </v>
          </cell>
          <cell r="I7252" t="str">
            <v>50507</v>
          </cell>
        </row>
        <row r="7253">
          <cell r="G7253" t="str">
            <v>Xã Trà Thủy</v>
          </cell>
          <cell r="I7253" t="str">
            <v>50507</v>
          </cell>
        </row>
        <row r="7254">
          <cell r="G7254" t="str">
            <v>Xã Trà Hiệp</v>
          </cell>
          <cell r="I7254" t="str">
            <v>50507</v>
          </cell>
        </row>
        <row r="7255">
          <cell r="G7255" t="str">
            <v>Xã Trà Lâm</v>
          </cell>
          <cell r="I7255" t="str">
            <v>50507</v>
          </cell>
        </row>
        <row r="7256">
          <cell r="G7256" t="str">
            <v xml:space="preserve">Xã Trà Tân </v>
          </cell>
          <cell r="I7256" t="str">
            <v>50507</v>
          </cell>
        </row>
        <row r="7257">
          <cell r="G7257" t="str">
            <v xml:space="preserve">Xã Trà Sơn </v>
          </cell>
          <cell r="I7257" t="str">
            <v>50507</v>
          </cell>
        </row>
        <row r="7258">
          <cell r="G7258" t="str">
            <v>Xã Trà Thọ</v>
          </cell>
          <cell r="I7258" t="str">
            <v>50508</v>
          </cell>
        </row>
        <row r="7259">
          <cell r="G7259" t="str">
            <v>Xã Trà Quân</v>
          </cell>
          <cell r="I7259" t="str">
            <v>50508</v>
          </cell>
        </row>
        <row r="7260">
          <cell r="G7260" t="str">
            <v>Xã Trà Xinh</v>
          </cell>
          <cell r="I7260" t="str">
            <v>50508</v>
          </cell>
        </row>
        <row r="7261">
          <cell r="G7261" t="str">
            <v>Xã Trà Thanh</v>
          </cell>
          <cell r="I7261" t="str">
            <v>50508</v>
          </cell>
        </row>
        <row r="7262">
          <cell r="G7262" t="str">
            <v>Xã Trà Khê</v>
          </cell>
          <cell r="I7262" t="str">
            <v>50508</v>
          </cell>
        </row>
        <row r="7263">
          <cell r="G7263" t="str">
            <v>Xã Trà Phong</v>
          </cell>
          <cell r="I7263" t="str">
            <v>50508</v>
          </cell>
        </row>
        <row r="7264">
          <cell r="G7264" t="str">
            <v>Xã Trà Lãnh</v>
          </cell>
          <cell r="I7264" t="str">
            <v>50508</v>
          </cell>
        </row>
        <row r="7265">
          <cell r="G7265" t="str">
            <v>Xã Trà Nham</v>
          </cell>
          <cell r="I7265" t="str">
            <v>50508</v>
          </cell>
        </row>
        <row r="7266">
          <cell r="G7266" t="str">
            <v>Xã Trà Trung</v>
          </cell>
          <cell r="I7266" t="str">
            <v>50508</v>
          </cell>
        </row>
        <row r="7267">
          <cell r="G7267" t="str">
            <v>Xã Tịnh Thọ</v>
          </cell>
          <cell r="I7267" t="str">
            <v>50509</v>
          </cell>
        </row>
        <row r="7268">
          <cell r="G7268" t="str">
            <v>Xã Tịnh Đông</v>
          </cell>
          <cell r="I7268" t="str">
            <v>50509</v>
          </cell>
        </row>
        <row r="7269">
          <cell r="G7269" t="str">
            <v>Xã Tịnh Hà</v>
          </cell>
          <cell r="I7269" t="str">
            <v>50509</v>
          </cell>
        </row>
        <row r="7270">
          <cell r="G7270" t="str">
            <v>Xã Tịnh Minh</v>
          </cell>
          <cell r="I7270" t="str">
            <v>50509</v>
          </cell>
        </row>
        <row r="7271">
          <cell r="G7271" t="str">
            <v>Xã Tịnh Trà</v>
          </cell>
          <cell r="I7271" t="str">
            <v>50509</v>
          </cell>
        </row>
        <row r="7272">
          <cell r="G7272" t="str">
            <v>Xã Tịnh Phong</v>
          </cell>
          <cell r="I7272" t="str">
            <v>50509</v>
          </cell>
        </row>
        <row r="7273">
          <cell r="G7273" t="str">
            <v>Xã Tịnh Hiệp</v>
          </cell>
          <cell r="I7273" t="str">
            <v>50509</v>
          </cell>
        </row>
        <row r="7274">
          <cell r="G7274" t="str">
            <v>Xã Tịnh Bình</v>
          </cell>
          <cell r="I7274" t="str">
            <v>50509</v>
          </cell>
        </row>
        <row r="7275">
          <cell r="G7275" t="str">
            <v>Xã Tịnh Bắc</v>
          </cell>
          <cell r="I7275" t="str">
            <v>50509</v>
          </cell>
        </row>
        <row r="7276">
          <cell r="G7276" t="str">
            <v>Xã Tịnh Sơn</v>
          </cell>
          <cell r="I7276" t="str">
            <v>50509</v>
          </cell>
        </row>
        <row r="7277">
          <cell r="G7277" t="str">
            <v>Xã Tịnh Giang</v>
          </cell>
          <cell r="I7277" t="str">
            <v>50509</v>
          </cell>
        </row>
        <row r="7278">
          <cell r="G7278" t="str">
            <v>Xã Sơn Mùa</v>
          </cell>
          <cell r="I7278" t="str">
            <v>50511</v>
          </cell>
        </row>
        <row r="7279">
          <cell r="G7279" t="str">
            <v xml:space="preserve">Xã Sơn Lập </v>
          </cell>
          <cell r="I7279" t="str">
            <v>50511</v>
          </cell>
        </row>
        <row r="7280">
          <cell r="G7280" t="str">
            <v>Xã Sơn Bua</v>
          </cell>
          <cell r="I7280" t="str">
            <v>50511</v>
          </cell>
        </row>
        <row r="7281">
          <cell r="G7281" t="str">
            <v xml:space="preserve">Xã Sơn Tân </v>
          </cell>
          <cell r="I7281" t="str">
            <v>50511</v>
          </cell>
        </row>
        <row r="7282">
          <cell r="G7282" t="str">
            <v>Xã Sơn Dung</v>
          </cell>
          <cell r="I7282" t="str">
            <v>50511</v>
          </cell>
        </row>
        <row r="7283">
          <cell r="G7283" t="str">
            <v>Xã Sơn Tinh</v>
          </cell>
          <cell r="I7283" t="str">
            <v>50511</v>
          </cell>
        </row>
        <row r="7284">
          <cell r="G7284" t="str">
            <v>Xã Sơn Liên</v>
          </cell>
          <cell r="I7284" t="str">
            <v>50511</v>
          </cell>
        </row>
        <row r="7285">
          <cell r="G7285" t="str">
            <v xml:space="preserve">Xã Sơn Long </v>
          </cell>
          <cell r="I7285" t="str">
            <v>50511</v>
          </cell>
        </row>
        <row r="7286">
          <cell r="G7286" t="str">
            <v>Xã Sơn Màu</v>
          </cell>
          <cell r="I7286" t="str">
            <v>50511</v>
          </cell>
        </row>
        <row r="7287">
          <cell r="G7287" t="str">
            <v>Xã Sơn Thượng</v>
          </cell>
          <cell r="I7287" t="str">
            <v>50513</v>
          </cell>
        </row>
        <row r="7288">
          <cell r="G7288" t="str">
            <v>Xã Sơn Nham</v>
          </cell>
          <cell r="I7288" t="str">
            <v>50513</v>
          </cell>
        </row>
        <row r="7289">
          <cell r="G7289" t="str">
            <v xml:space="preserve">Xã Sơn Trung </v>
          </cell>
          <cell r="I7289" t="str">
            <v>50513</v>
          </cell>
        </row>
        <row r="7290">
          <cell r="G7290" t="str">
            <v xml:space="preserve">Xã Sơn Thủy      </v>
          </cell>
          <cell r="I7290" t="str">
            <v>50513</v>
          </cell>
        </row>
        <row r="7291">
          <cell r="G7291" t="str">
            <v>Thị trấn Di Lăng</v>
          </cell>
          <cell r="I7291" t="str">
            <v>50513</v>
          </cell>
        </row>
        <row r="7292">
          <cell r="G7292" t="str">
            <v>Xã Sơn Hạ</v>
          </cell>
          <cell r="I7292" t="str">
            <v>50513</v>
          </cell>
        </row>
        <row r="7293">
          <cell r="G7293" t="str">
            <v xml:space="preserve">Xã Sơn Thành  </v>
          </cell>
          <cell r="I7293" t="str">
            <v>50513</v>
          </cell>
        </row>
        <row r="7294">
          <cell r="G7294" t="str">
            <v>Xã Sơn Bao</v>
          </cell>
          <cell r="I7294" t="str">
            <v>50513</v>
          </cell>
        </row>
        <row r="7295">
          <cell r="G7295" t="str">
            <v>Xã Sơn Linh</v>
          </cell>
          <cell r="I7295" t="str">
            <v>50513</v>
          </cell>
        </row>
        <row r="7296">
          <cell r="G7296" t="str">
            <v xml:space="preserve">Xã Sơn Giang </v>
          </cell>
          <cell r="I7296" t="str">
            <v>50513</v>
          </cell>
        </row>
        <row r="7297">
          <cell r="G7297" t="str">
            <v>Xã Sơn Cao</v>
          </cell>
          <cell r="I7297" t="str">
            <v>50513</v>
          </cell>
        </row>
        <row r="7298">
          <cell r="G7298" t="str">
            <v xml:space="preserve">Xã Sơn Hải   </v>
          </cell>
          <cell r="I7298" t="str">
            <v>50513</v>
          </cell>
        </row>
        <row r="7299">
          <cell r="G7299" t="str">
            <v>Xã Sơn Kỳ</v>
          </cell>
          <cell r="I7299" t="str">
            <v>50513</v>
          </cell>
        </row>
        <row r="7300">
          <cell r="G7300" t="str">
            <v>Xã Sơn Ba</v>
          </cell>
          <cell r="I7300" t="str">
            <v>50513</v>
          </cell>
        </row>
        <row r="7301">
          <cell r="G7301" t="str">
            <v>Thị trấn Sông Vệ</v>
          </cell>
          <cell r="I7301" t="str">
            <v>50515</v>
          </cell>
        </row>
        <row r="7302">
          <cell r="G7302" t="str">
            <v>Xã Nghĩa Điền</v>
          </cell>
          <cell r="I7302" t="str">
            <v>50515</v>
          </cell>
        </row>
        <row r="7303">
          <cell r="G7303" t="str">
            <v>Xã Nghĩa Thương</v>
          </cell>
          <cell r="I7303" t="str">
            <v>50515</v>
          </cell>
        </row>
        <row r="7304">
          <cell r="G7304" t="str">
            <v xml:space="preserve">Xã Nghĩa Mỹ </v>
          </cell>
          <cell r="I7304" t="str">
            <v>50515</v>
          </cell>
        </row>
        <row r="7305">
          <cell r="G7305" t="str">
            <v>Thị trấn La Hà</v>
          </cell>
          <cell r="I7305" t="str">
            <v>50515</v>
          </cell>
        </row>
        <row r="7306">
          <cell r="G7306" t="str">
            <v xml:space="preserve">Xã Nghĩa Lâm  </v>
          </cell>
          <cell r="I7306" t="str">
            <v>50515</v>
          </cell>
        </row>
        <row r="7307">
          <cell r="G7307" t="str">
            <v xml:space="preserve">Xã Nghĩa Thắng  </v>
          </cell>
          <cell r="I7307" t="str">
            <v>50515</v>
          </cell>
        </row>
        <row r="7308">
          <cell r="G7308" t="str">
            <v xml:space="preserve">Xã Nghĩa Thuận  </v>
          </cell>
          <cell r="I7308" t="str">
            <v>50515</v>
          </cell>
        </row>
        <row r="7309">
          <cell r="G7309" t="str">
            <v>Xã Nghĩa Kỳ</v>
          </cell>
          <cell r="I7309" t="str">
            <v>50515</v>
          </cell>
        </row>
        <row r="7310">
          <cell r="G7310" t="str">
            <v xml:space="preserve">Xã Nghĩa Sơn   </v>
          </cell>
          <cell r="I7310" t="str">
            <v>50515</v>
          </cell>
        </row>
        <row r="7311">
          <cell r="G7311" t="str">
            <v xml:space="preserve">Xã Nghĩa Thọ </v>
          </cell>
          <cell r="I7311" t="str">
            <v>50515</v>
          </cell>
        </row>
        <row r="7312">
          <cell r="G7312" t="str">
            <v xml:space="preserve">Xã Nghĩa Hòa  </v>
          </cell>
          <cell r="I7312" t="str">
            <v>50515</v>
          </cell>
        </row>
        <row r="7313">
          <cell r="G7313" t="str">
            <v xml:space="preserve">Xã Nghĩa Trung   </v>
          </cell>
          <cell r="I7313" t="str">
            <v>50515</v>
          </cell>
        </row>
        <row r="7314">
          <cell r="G7314" t="str">
            <v xml:space="preserve">Xã Nghĩa Hiệp </v>
          </cell>
          <cell r="I7314" t="str">
            <v>50515</v>
          </cell>
        </row>
        <row r="7315">
          <cell r="G7315" t="str">
            <v xml:space="preserve">Xã Nghĩa Phương </v>
          </cell>
          <cell r="I7315" t="str">
            <v>50515</v>
          </cell>
        </row>
        <row r="7316">
          <cell r="G7316" t="str">
            <v>Xã Hành Phước</v>
          </cell>
          <cell r="I7316" t="str">
            <v>50517</v>
          </cell>
        </row>
        <row r="7317">
          <cell r="G7317" t="str">
            <v>Xã Hành Thuận</v>
          </cell>
          <cell r="I7317" t="str">
            <v>50517</v>
          </cell>
        </row>
        <row r="7318">
          <cell r="G7318" t="str">
            <v>Xã Hành Minh</v>
          </cell>
          <cell r="I7318" t="str">
            <v>50517</v>
          </cell>
        </row>
        <row r="7319">
          <cell r="G7319" t="str">
            <v>Xã Hành Tín Tây</v>
          </cell>
          <cell r="I7319" t="str">
            <v>50517</v>
          </cell>
        </row>
        <row r="7320">
          <cell r="G7320" t="str">
            <v>Thị trấn Chợ Chùa</v>
          </cell>
          <cell r="I7320" t="str">
            <v>50517</v>
          </cell>
        </row>
        <row r="7321">
          <cell r="G7321" t="str">
            <v>Xã Hành Dũng</v>
          </cell>
          <cell r="I7321" t="str">
            <v>50517</v>
          </cell>
        </row>
        <row r="7322">
          <cell r="G7322" t="str">
            <v>Xã Hành Trung</v>
          </cell>
          <cell r="I7322" t="str">
            <v>50517</v>
          </cell>
        </row>
        <row r="7323">
          <cell r="G7323" t="str">
            <v>Xã Hành Nhân</v>
          </cell>
          <cell r="I7323" t="str">
            <v>50517</v>
          </cell>
        </row>
        <row r="7324">
          <cell r="G7324" t="str">
            <v>Xã Hành Đức</v>
          </cell>
          <cell r="I7324" t="str">
            <v>50517</v>
          </cell>
        </row>
        <row r="7325">
          <cell r="G7325" t="str">
            <v>Xã Hành Thiện</v>
          </cell>
          <cell r="I7325" t="str">
            <v>50517</v>
          </cell>
        </row>
        <row r="7326">
          <cell r="G7326" t="str">
            <v>Xã Hành Thịnh</v>
          </cell>
          <cell r="I7326" t="str">
            <v>50517</v>
          </cell>
        </row>
        <row r="7327">
          <cell r="G7327" t="str">
            <v>Xã Hành Tín Đông</v>
          </cell>
          <cell r="I7327" t="str">
            <v>50517</v>
          </cell>
        </row>
        <row r="7328">
          <cell r="G7328" t="str">
            <v xml:space="preserve">Xã Long Sơn   </v>
          </cell>
          <cell r="I7328" t="str">
            <v>50519</v>
          </cell>
        </row>
        <row r="7329">
          <cell r="G7329" t="str">
            <v>Xã Long Môn</v>
          </cell>
          <cell r="I7329" t="str">
            <v>50519</v>
          </cell>
        </row>
        <row r="7330">
          <cell r="G7330" t="str">
            <v>Xã Long Mai</v>
          </cell>
          <cell r="I7330" t="str">
            <v>50519</v>
          </cell>
        </row>
        <row r="7331">
          <cell r="G7331" t="str">
            <v xml:space="preserve">Xã Thanh An   </v>
          </cell>
          <cell r="I7331" t="str">
            <v>50519</v>
          </cell>
        </row>
        <row r="7332">
          <cell r="G7332" t="str">
            <v>Xã Long Hiệp</v>
          </cell>
          <cell r="I7332" t="str">
            <v>50519</v>
          </cell>
        </row>
        <row r="7333">
          <cell r="G7333" t="str">
            <v>Xã Đức Thạnh</v>
          </cell>
          <cell r="I7333" t="str">
            <v>50521</v>
          </cell>
        </row>
        <row r="7334">
          <cell r="G7334" t="str">
            <v xml:space="preserve">Xã Đức Thắng  </v>
          </cell>
          <cell r="I7334" t="str">
            <v>50521</v>
          </cell>
        </row>
        <row r="7335">
          <cell r="G7335" t="str">
            <v>Xã Đức Minh</v>
          </cell>
          <cell r="I7335" t="str">
            <v>50521</v>
          </cell>
        </row>
        <row r="7336">
          <cell r="G7336" t="str">
            <v>Xã Đức Phú</v>
          </cell>
          <cell r="I7336" t="str">
            <v>50521</v>
          </cell>
        </row>
        <row r="7337">
          <cell r="G7337" t="str">
            <v>Thị trấn Mộ Đức</v>
          </cell>
          <cell r="I7337" t="str">
            <v>50521</v>
          </cell>
        </row>
        <row r="7338">
          <cell r="G7338" t="str">
            <v>Xã Đức Lợi</v>
          </cell>
          <cell r="I7338" t="str">
            <v>50521</v>
          </cell>
        </row>
        <row r="7339">
          <cell r="G7339" t="str">
            <v>Xã Đức Nhuận</v>
          </cell>
          <cell r="I7339" t="str">
            <v>50521</v>
          </cell>
        </row>
        <row r="7340">
          <cell r="G7340" t="str">
            <v>Xã Đức Chánh</v>
          </cell>
          <cell r="I7340" t="str">
            <v>50521</v>
          </cell>
        </row>
        <row r="7341">
          <cell r="G7341" t="str">
            <v>Xã Đức Hiệp</v>
          </cell>
          <cell r="I7341" t="str">
            <v>50521</v>
          </cell>
        </row>
        <row r="7342">
          <cell r="G7342" t="str">
            <v xml:space="preserve">Xã Đức Hòa  </v>
          </cell>
          <cell r="I7342" t="str">
            <v>50521</v>
          </cell>
        </row>
        <row r="7343">
          <cell r="G7343" t="str">
            <v>Xã Đức Tân</v>
          </cell>
          <cell r="I7343" t="str">
            <v>50521</v>
          </cell>
        </row>
        <row r="7344">
          <cell r="G7344" t="str">
            <v>Xã Đức Phong</v>
          </cell>
          <cell r="I7344" t="str">
            <v>50521</v>
          </cell>
        </row>
        <row r="7345">
          <cell r="G7345" t="str">
            <v>Xã Đức Lân</v>
          </cell>
          <cell r="I7345" t="str">
            <v>50521</v>
          </cell>
        </row>
        <row r="7346">
          <cell r="G7346" t="str">
            <v>Xã Phổ Nhơn</v>
          </cell>
          <cell r="I7346" t="str">
            <v>50523</v>
          </cell>
        </row>
        <row r="7347">
          <cell r="G7347" t="str">
            <v>Xã Phổ An</v>
          </cell>
          <cell r="I7347" t="str">
            <v>50523</v>
          </cell>
        </row>
        <row r="7348">
          <cell r="G7348" t="str">
            <v>Xã Phổ Văn</v>
          </cell>
          <cell r="I7348" t="str">
            <v>50523</v>
          </cell>
        </row>
        <row r="7349">
          <cell r="G7349" t="str">
            <v>Xã Phổ Minh</v>
          </cell>
          <cell r="I7349" t="str">
            <v>50523</v>
          </cell>
        </row>
        <row r="7350">
          <cell r="G7350" t="str">
            <v>Xã Phổ Khánh</v>
          </cell>
          <cell r="I7350" t="str">
            <v>50523</v>
          </cell>
        </row>
        <row r="7351">
          <cell r="G7351" t="str">
            <v>Thị trấn Đức Phổ</v>
          </cell>
          <cell r="I7351" t="str">
            <v>50523</v>
          </cell>
        </row>
        <row r="7352">
          <cell r="G7352" t="str">
            <v>Xã Phổ Phong</v>
          </cell>
          <cell r="I7352" t="str">
            <v>50523</v>
          </cell>
        </row>
        <row r="7353">
          <cell r="G7353" t="str">
            <v>Xã Phổ Thuận</v>
          </cell>
          <cell r="I7353" t="str">
            <v>50523</v>
          </cell>
        </row>
        <row r="7354">
          <cell r="G7354" t="str">
            <v>Xã Phổ Quang</v>
          </cell>
          <cell r="I7354" t="str">
            <v>50523</v>
          </cell>
        </row>
        <row r="7355">
          <cell r="G7355" t="str">
            <v>Xã Phổ Ninh</v>
          </cell>
          <cell r="I7355" t="str">
            <v>50523</v>
          </cell>
        </row>
        <row r="7356">
          <cell r="G7356" t="str">
            <v>Xã Phổ Vinh</v>
          </cell>
          <cell r="I7356" t="str">
            <v>50523</v>
          </cell>
        </row>
        <row r="7357">
          <cell r="G7357" t="str">
            <v>Xã Phổ Hòa</v>
          </cell>
          <cell r="I7357" t="str">
            <v>50523</v>
          </cell>
        </row>
        <row r="7358">
          <cell r="G7358" t="str">
            <v>Xã Phổ Cường</v>
          </cell>
          <cell r="I7358" t="str">
            <v>50523</v>
          </cell>
        </row>
        <row r="7359">
          <cell r="G7359" t="str">
            <v>Xã Phổ Thạnh</v>
          </cell>
          <cell r="I7359" t="str">
            <v>50523</v>
          </cell>
        </row>
        <row r="7360">
          <cell r="G7360" t="str">
            <v>Xã Phổ Châu</v>
          </cell>
          <cell r="I7360" t="str">
            <v>50523</v>
          </cell>
        </row>
        <row r="7361">
          <cell r="G7361" t="str">
            <v>Xã Ba Thành</v>
          </cell>
          <cell r="I7361" t="str">
            <v>50525</v>
          </cell>
        </row>
        <row r="7362">
          <cell r="G7362" t="str">
            <v>Xã Ba Bích</v>
          </cell>
          <cell r="I7362" t="str">
            <v>50525</v>
          </cell>
        </row>
        <row r="7363">
          <cell r="G7363" t="str">
            <v>Xã Ba Điền</v>
          </cell>
          <cell r="I7363" t="str">
            <v>50525</v>
          </cell>
        </row>
        <row r="7364">
          <cell r="G7364" t="str">
            <v>Xã Ba Dinh</v>
          </cell>
          <cell r="I7364" t="str">
            <v>50525</v>
          </cell>
        </row>
        <row r="7365">
          <cell r="G7365" t="str">
            <v>Xã Ba Khâm</v>
          </cell>
          <cell r="I7365" t="str">
            <v>50525</v>
          </cell>
        </row>
        <row r="7366">
          <cell r="G7366" t="str">
            <v>Xã Ba Trang</v>
          </cell>
          <cell r="I7366" t="str">
            <v>50525</v>
          </cell>
        </row>
        <row r="7367">
          <cell r="G7367" t="str">
            <v>Xã Ba Lế</v>
          </cell>
          <cell r="I7367" t="str">
            <v>50525</v>
          </cell>
        </row>
        <row r="7368">
          <cell r="G7368" t="str">
            <v>Thị trấn Ba Tơ</v>
          </cell>
          <cell r="I7368" t="str">
            <v>50525</v>
          </cell>
        </row>
        <row r="7369">
          <cell r="G7369" t="str">
            <v>Xã Ba Vinh</v>
          </cell>
          <cell r="I7369" t="str">
            <v>50525</v>
          </cell>
        </row>
        <row r="7370">
          <cell r="G7370" t="str">
            <v>Xã Ba Động</v>
          </cell>
          <cell r="I7370" t="str">
            <v>50525</v>
          </cell>
        </row>
        <row r="7371">
          <cell r="G7371" t="str">
            <v>Xã Ba Liên</v>
          </cell>
          <cell r="I7371" t="str">
            <v>50525</v>
          </cell>
        </row>
        <row r="7372">
          <cell r="G7372" t="str">
            <v>Xã Ba Ngạc</v>
          </cell>
          <cell r="I7372" t="str">
            <v>50525</v>
          </cell>
        </row>
        <row r="7373">
          <cell r="G7373" t="str">
            <v>Xã Ba Cung</v>
          </cell>
          <cell r="I7373" t="str">
            <v>50525</v>
          </cell>
        </row>
        <row r="7374">
          <cell r="G7374" t="str">
            <v>Xã Ba Chùa</v>
          </cell>
          <cell r="I7374" t="str">
            <v>50525</v>
          </cell>
        </row>
        <row r="7375">
          <cell r="G7375" t="str">
            <v>Xã Ba Tiêu</v>
          </cell>
          <cell r="I7375" t="str">
            <v>50525</v>
          </cell>
        </row>
        <row r="7376">
          <cell r="G7376" t="str">
            <v>Xã Ba Tô</v>
          </cell>
          <cell r="I7376" t="str">
            <v>50525</v>
          </cell>
        </row>
        <row r="7377">
          <cell r="G7377" t="str">
            <v xml:space="preserve">Xã Ba Vì </v>
          </cell>
          <cell r="I7377" t="str">
            <v>50525</v>
          </cell>
        </row>
        <row r="7378">
          <cell r="G7378" t="str">
            <v>Xã Ba Nam</v>
          </cell>
          <cell r="I7378" t="str">
            <v>50525</v>
          </cell>
        </row>
        <row r="7379">
          <cell r="G7379" t="str">
            <v>Xã Ba Xa</v>
          </cell>
          <cell r="I7379" t="str">
            <v>50525</v>
          </cell>
        </row>
        <row r="7380">
          <cell r="G7380" t="str">
            <v>Xã Ba Giang</v>
          </cell>
          <cell r="I7380" t="str">
            <v>50525</v>
          </cell>
        </row>
        <row r="7381">
          <cell r="G7381" t="str">
            <v>Phường Nhơn Bình</v>
          </cell>
          <cell r="I7381" t="str">
            <v>50701</v>
          </cell>
        </row>
        <row r="7382">
          <cell r="G7382" t="str">
            <v xml:space="preserve">Phường Trần Phú       </v>
          </cell>
          <cell r="I7382" t="str">
            <v>50701</v>
          </cell>
        </row>
        <row r="7383">
          <cell r="G7383" t="str">
            <v>Phường Thị Nại</v>
          </cell>
          <cell r="I7383" t="str">
            <v>50701</v>
          </cell>
        </row>
        <row r="7384">
          <cell r="G7384" t="str">
            <v>Phường Lý Thường Kiệt</v>
          </cell>
          <cell r="I7384" t="str">
            <v>50701</v>
          </cell>
        </row>
        <row r="7385">
          <cell r="G7385" t="str">
            <v>Phường Ghềnh Ráng</v>
          </cell>
          <cell r="I7385" t="str">
            <v>50701</v>
          </cell>
        </row>
        <row r="7386">
          <cell r="G7386" t="str">
            <v>Phường Nhơn Phú</v>
          </cell>
          <cell r="I7386" t="str">
            <v>50701</v>
          </cell>
        </row>
        <row r="7387">
          <cell r="G7387" t="str">
            <v xml:space="preserve">Phường Đống Đa </v>
          </cell>
          <cell r="I7387" t="str">
            <v>50701</v>
          </cell>
        </row>
        <row r="7388">
          <cell r="G7388" t="str">
            <v>Phường Trần Quang Diệu</v>
          </cell>
          <cell r="I7388" t="str">
            <v>50701</v>
          </cell>
        </row>
        <row r="7389">
          <cell r="G7389" t="str">
            <v>Phường Hải Cảng</v>
          </cell>
          <cell r="I7389" t="str">
            <v>50701</v>
          </cell>
        </row>
        <row r="7390">
          <cell r="G7390" t="str">
            <v xml:space="preserve">Phường Quang Trung             </v>
          </cell>
          <cell r="I7390" t="str">
            <v>50701</v>
          </cell>
        </row>
        <row r="7391">
          <cell r="G7391" t="str">
            <v xml:space="preserve">Phường Lê Hồng Phong   </v>
          </cell>
          <cell r="I7391" t="str">
            <v>50701</v>
          </cell>
        </row>
        <row r="7392">
          <cell r="G7392" t="str">
            <v xml:space="preserve">Phường Trần Hưng Đạo       </v>
          </cell>
          <cell r="I7392" t="str">
            <v>50701</v>
          </cell>
        </row>
        <row r="7393">
          <cell r="G7393" t="str">
            <v>Phường Ngô Mây</v>
          </cell>
          <cell r="I7393" t="str">
            <v>50701</v>
          </cell>
        </row>
        <row r="7394">
          <cell r="G7394" t="str">
            <v xml:space="preserve">Phường Lê Lợi     </v>
          </cell>
          <cell r="I7394" t="str">
            <v>50701</v>
          </cell>
        </row>
        <row r="7395">
          <cell r="G7395" t="str">
            <v xml:space="preserve">Phường Bùi Thị Xuân </v>
          </cell>
          <cell r="I7395" t="str">
            <v>50701</v>
          </cell>
        </row>
        <row r="7396">
          <cell r="G7396" t="str">
            <v>Phường Nguyễn Văn Cừ</v>
          </cell>
          <cell r="I7396" t="str">
            <v>50701</v>
          </cell>
        </row>
        <row r="7397">
          <cell r="G7397" t="str">
            <v>Xã Nhơn Lý</v>
          </cell>
          <cell r="I7397" t="str">
            <v>50701</v>
          </cell>
        </row>
        <row r="7398">
          <cell r="G7398" t="str">
            <v>Xã Nhơn Hội</v>
          </cell>
          <cell r="I7398" t="str">
            <v>50701</v>
          </cell>
        </row>
        <row r="7399">
          <cell r="G7399" t="str">
            <v>Xã Nhơn Hải</v>
          </cell>
          <cell r="I7399" t="str">
            <v>50701</v>
          </cell>
        </row>
        <row r="7400">
          <cell r="G7400" t="str">
            <v>Xã Nhơn Châu</v>
          </cell>
          <cell r="I7400" t="str">
            <v>50701</v>
          </cell>
        </row>
        <row r="7401">
          <cell r="G7401" t="str">
            <v xml:space="preserve">Xã Phước Mỹ </v>
          </cell>
          <cell r="I7401" t="str">
            <v>50701</v>
          </cell>
        </row>
        <row r="7402">
          <cell r="G7402" t="str">
            <v>Xã An Tân</v>
          </cell>
          <cell r="I7402" t="str">
            <v>50703</v>
          </cell>
        </row>
        <row r="7403">
          <cell r="G7403" t="str">
            <v xml:space="preserve">Xã An Hưng </v>
          </cell>
          <cell r="I7403" t="str">
            <v>50703</v>
          </cell>
        </row>
        <row r="7404">
          <cell r="G7404" t="str">
            <v>Xã An Toàn</v>
          </cell>
          <cell r="I7404" t="str">
            <v>50703</v>
          </cell>
        </row>
        <row r="7405">
          <cell r="G7405" t="str">
            <v>Xã An Quang</v>
          </cell>
          <cell r="I7405" t="str">
            <v>50703</v>
          </cell>
        </row>
        <row r="7406">
          <cell r="G7406" t="str">
            <v>Xã An Trung</v>
          </cell>
          <cell r="I7406" t="str">
            <v>50703</v>
          </cell>
        </row>
        <row r="7407">
          <cell r="G7407" t="str">
            <v>Xã An Dũng</v>
          </cell>
          <cell r="I7407" t="str">
            <v>50703</v>
          </cell>
        </row>
        <row r="7408">
          <cell r="G7408" t="str">
            <v xml:space="preserve">Xã An Vinh </v>
          </cell>
          <cell r="I7408" t="str">
            <v>50703</v>
          </cell>
        </row>
        <row r="7409">
          <cell r="G7409" t="str">
            <v xml:space="preserve">Xã An Hòa    </v>
          </cell>
          <cell r="I7409" t="str">
            <v>50703</v>
          </cell>
        </row>
        <row r="7410">
          <cell r="G7410" t="str">
            <v>Xã An Nghĩa</v>
          </cell>
          <cell r="I7410" t="str">
            <v>50703</v>
          </cell>
        </row>
        <row r="7411">
          <cell r="G7411" t="str">
            <v xml:space="preserve">Thị trấn An Lão </v>
          </cell>
          <cell r="I7411" t="str">
            <v>50703</v>
          </cell>
        </row>
        <row r="7412">
          <cell r="G7412" t="str">
            <v>Xã Tam Quan Nam</v>
          </cell>
          <cell r="I7412" t="str">
            <v>50705</v>
          </cell>
        </row>
        <row r="7413">
          <cell r="G7413" t="str">
            <v>Xã Hòai Sơn</v>
          </cell>
          <cell r="I7413" t="str">
            <v>50705</v>
          </cell>
        </row>
        <row r="7414">
          <cell r="G7414" t="str">
            <v>Xã Tam Quan Bắc</v>
          </cell>
          <cell r="I7414" t="str">
            <v>50705</v>
          </cell>
        </row>
        <row r="7415">
          <cell r="G7415" t="str">
            <v>Xã Hòai Thanh</v>
          </cell>
          <cell r="I7415" t="str">
            <v>50705</v>
          </cell>
        </row>
        <row r="7416">
          <cell r="G7416" t="str">
            <v>Xã Hòai Mỹ</v>
          </cell>
          <cell r="I7416" t="str">
            <v>50705</v>
          </cell>
        </row>
        <row r="7417">
          <cell r="G7417" t="str">
            <v>Thị trấn Tam Quan</v>
          </cell>
          <cell r="I7417" t="str">
            <v>50705</v>
          </cell>
        </row>
        <row r="7418">
          <cell r="G7418" t="str">
            <v>Thị trấn Bồng Sơn</v>
          </cell>
          <cell r="I7418" t="str">
            <v>50705</v>
          </cell>
        </row>
        <row r="7419">
          <cell r="G7419" t="str">
            <v>Xã Hòai Châu Bắc</v>
          </cell>
          <cell r="I7419" t="str">
            <v>50705</v>
          </cell>
        </row>
        <row r="7420">
          <cell r="G7420" t="str">
            <v>Xã Hòai Châu</v>
          </cell>
          <cell r="I7420" t="str">
            <v>50705</v>
          </cell>
        </row>
        <row r="7421">
          <cell r="G7421" t="str">
            <v>Xã Hòai Phú</v>
          </cell>
          <cell r="I7421" t="str">
            <v>50705</v>
          </cell>
        </row>
        <row r="7422">
          <cell r="G7422" t="str">
            <v>Xã Hòai Hảo</v>
          </cell>
          <cell r="I7422" t="str">
            <v>50705</v>
          </cell>
        </row>
        <row r="7423">
          <cell r="G7423" t="str">
            <v>Xã Hòai Thanh Tây</v>
          </cell>
          <cell r="I7423" t="str">
            <v>50705</v>
          </cell>
        </row>
        <row r="7424">
          <cell r="G7424" t="str">
            <v>Xã Hòai Hương</v>
          </cell>
          <cell r="I7424" t="str">
            <v>50705</v>
          </cell>
        </row>
        <row r="7425">
          <cell r="G7425" t="str">
            <v>Xã Hòai Tân</v>
          </cell>
          <cell r="I7425" t="str">
            <v>50705</v>
          </cell>
        </row>
        <row r="7426">
          <cell r="G7426" t="str">
            <v>Xã Hòai Hải</v>
          </cell>
          <cell r="I7426" t="str">
            <v>50705</v>
          </cell>
        </row>
        <row r="7427">
          <cell r="G7427" t="str">
            <v>Xã Hòai Xuân</v>
          </cell>
          <cell r="I7427" t="str">
            <v>50705</v>
          </cell>
        </row>
        <row r="7428">
          <cell r="G7428" t="str">
            <v>Xã Hòai Đức</v>
          </cell>
          <cell r="I7428" t="str">
            <v>50705</v>
          </cell>
        </row>
        <row r="7429">
          <cell r="G7429" t="str">
            <v>Xã Ân Mỹ</v>
          </cell>
          <cell r="I7429" t="str">
            <v>50707</v>
          </cell>
        </row>
        <row r="7430">
          <cell r="G7430" t="str">
            <v>Xã Ân Hảo Tây</v>
          </cell>
          <cell r="I7430" t="str">
            <v>50707</v>
          </cell>
        </row>
        <row r="7431">
          <cell r="G7431" t="str">
            <v>Xã Ân Hảo Đông</v>
          </cell>
          <cell r="I7431" t="str">
            <v>50707</v>
          </cell>
        </row>
        <row r="7432">
          <cell r="G7432" t="str">
            <v>Xã Ân Tín</v>
          </cell>
          <cell r="I7432" t="str">
            <v>50707</v>
          </cell>
        </row>
        <row r="7433">
          <cell r="G7433" t="str">
            <v>Xã Ân Hữu</v>
          </cell>
          <cell r="I7433" t="str">
            <v>50707</v>
          </cell>
        </row>
        <row r="7434">
          <cell r="G7434" t="str">
            <v>Xã Ân Tường Đông</v>
          </cell>
          <cell r="I7434" t="str">
            <v>50707</v>
          </cell>
        </row>
        <row r="7435">
          <cell r="G7435" t="str">
            <v>Thị trấn Tăng Bạt Hổ</v>
          </cell>
          <cell r="I7435" t="str">
            <v>50707</v>
          </cell>
        </row>
        <row r="7436">
          <cell r="G7436" t="str">
            <v>Xã Ân Sơn</v>
          </cell>
          <cell r="I7436" t="str">
            <v>50707</v>
          </cell>
        </row>
        <row r="7437">
          <cell r="G7437" t="str">
            <v>Xã Đăk Mang</v>
          </cell>
          <cell r="I7437" t="str">
            <v>50707</v>
          </cell>
        </row>
        <row r="7438">
          <cell r="G7438" t="str">
            <v>Xã Ân Thạnh</v>
          </cell>
          <cell r="I7438" t="str">
            <v>50707</v>
          </cell>
        </row>
        <row r="7439">
          <cell r="G7439" t="str">
            <v>Xã Ân Phong</v>
          </cell>
          <cell r="I7439" t="str">
            <v>50707</v>
          </cell>
        </row>
        <row r="7440">
          <cell r="G7440" t="str">
            <v>Xã Ân Đức</v>
          </cell>
          <cell r="I7440" t="str">
            <v>50707</v>
          </cell>
        </row>
        <row r="7441">
          <cell r="G7441" t="str">
            <v>Xã Bok Tới</v>
          </cell>
          <cell r="I7441" t="str">
            <v>50707</v>
          </cell>
        </row>
        <row r="7442">
          <cell r="G7442" t="str">
            <v>Xã Ân Tường Tây</v>
          </cell>
          <cell r="I7442" t="str">
            <v>50707</v>
          </cell>
        </row>
        <row r="7443">
          <cell r="G7443" t="str">
            <v xml:space="preserve">Xã Ân Nghĩa </v>
          </cell>
          <cell r="I7443" t="str">
            <v>50707</v>
          </cell>
        </row>
        <row r="7444">
          <cell r="G7444" t="str">
            <v>Thị trấn Phù Mỹ</v>
          </cell>
          <cell r="I7444" t="str">
            <v>50709</v>
          </cell>
        </row>
        <row r="7445">
          <cell r="G7445" t="str">
            <v>Xã Mỹ Chánh</v>
          </cell>
          <cell r="I7445" t="str">
            <v>50709</v>
          </cell>
        </row>
        <row r="7446">
          <cell r="G7446" t="str">
            <v>Xã Mỹ Châu</v>
          </cell>
          <cell r="I7446" t="str">
            <v>50709</v>
          </cell>
        </row>
        <row r="7447">
          <cell r="G7447" t="str">
            <v>Xã Mỹ Lợi</v>
          </cell>
          <cell r="I7447" t="str">
            <v>50709</v>
          </cell>
        </row>
        <row r="7448">
          <cell r="G7448" t="str">
            <v xml:space="preserve">Xã Mỹ Thọ </v>
          </cell>
          <cell r="I7448" t="str">
            <v>50709</v>
          </cell>
        </row>
        <row r="7449">
          <cell r="G7449" t="str">
            <v>Xã Mỹ Quang</v>
          </cell>
          <cell r="I7449" t="str">
            <v>50709</v>
          </cell>
        </row>
        <row r="7450">
          <cell r="G7450" t="str">
            <v>Xã Mỹ Chánh Tây</v>
          </cell>
          <cell r="I7450" t="str">
            <v>50709</v>
          </cell>
        </row>
        <row r="7451">
          <cell r="G7451" t="str">
            <v>Thị trấn Bình Dương</v>
          </cell>
          <cell r="I7451" t="str">
            <v>50709</v>
          </cell>
        </row>
        <row r="7452">
          <cell r="G7452" t="str">
            <v xml:space="preserve">Xã Mỹ Đức </v>
          </cell>
          <cell r="I7452" t="str">
            <v>50709</v>
          </cell>
        </row>
        <row r="7453">
          <cell r="G7453" t="str">
            <v xml:space="preserve">Xã Mỹ Thắng </v>
          </cell>
          <cell r="I7453" t="str">
            <v>50709</v>
          </cell>
        </row>
        <row r="7454">
          <cell r="G7454" t="str">
            <v xml:space="preserve">Xã Mỹ Lộc   </v>
          </cell>
          <cell r="I7454" t="str">
            <v>50709</v>
          </cell>
        </row>
        <row r="7455">
          <cell r="G7455" t="str">
            <v xml:space="preserve">Xã Mỹ An </v>
          </cell>
          <cell r="I7455" t="str">
            <v>50709</v>
          </cell>
        </row>
        <row r="7456">
          <cell r="G7456" t="str">
            <v>Xã Mỹ Phong</v>
          </cell>
          <cell r="I7456" t="str">
            <v>50709</v>
          </cell>
        </row>
        <row r="7457">
          <cell r="G7457" t="str">
            <v>Xã Mỹ Trinh</v>
          </cell>
          <cell r="I7457" t="str">
            <v>50709</v>
          </cell>
        </row>
        <row r="7458">
          <cell r="G7458" t="str">
            <v xml:space="preserve">Xã Mỹ Hòa </v>
          </cell>
          <cell r="I7458" t="str">
            <v>50709</v>
          </cell>
        </row>
        <row r="7459">
          <cell r="G7459" t="str">
            <v xml:space="preserve">Xã Mỹ Thành    </v>
          </cell>
          <cell r="I7459" t="str">
            <v>50709</v>
          </cell>
        </row>
        <row r="7460">
          <cell r="G7460" t="str">
            <v>Xã Mỹ Hiệp</v>
          </cell>
          <cell r="I7460" t="str">
            <v>50709</v>
          </cell>
        </row>
        <row r="7461">
          <cell r="G7461" t="str">
            <v>Xã Mỹ Tài</v>
          </cell>
          <cell r="I7461" t="str">
            <v>50709</v>
          </cell>
        </row>
        <row r="7462">
          <cell r="G7462" t="str">
            <v>Xã Mỹ Cát</v>
          </cell>
          <cell r="I7462" t="str">
            <v>50709</v>
          </cell>
        </row>
        <row r="7463">
          <cell r="G7463" t="str">
            <v xml:space="preserve">Xã Vĩnh Thịnh  </v>
          </cell>
          <cell r="I7463" t="str">
            <v>50711</v>
          </cell>
        </row>
        <row r="7464">
          <cell r="G7464" t="str">
            <v>Xã Vĩnh Hiệp</v>
          </cell>
          <cell r="I7464" t="str">
            <v>50711</v>
          </cell>
        </row>
        <row r="7465">
          <cell r="G7465" t="str">
            <v xml:space="preserve">Xã Vĩnh Sơn   </v>
          </cell>
          <cell r="I7465" t="str">
            <v>50711</v>
          </cell>
        </row>
        <row r="7466">
          <cell r="G7466" t="str">
            <v xml:space="preserve">Xã Vĩnh Kim </v>
          </cell>
          <cell r="I7466" t="str">
            <v>50711</v>
          </cell>
        </row>
        <row r="7467">
          <cell r="G7467" t="str">
            <v xml:space="preserve">Xã Vĩnh Hòa   </v>
          </cell>
          <cell r="I7467" t="str">
            <v>50711</v>
          </cell>
        </row>
        <row r="7468">
          <cell r="G7468" t="str">
            <v xml:space="preserve">Xã Vĩnh Hảo </v>
          </cell>
          <cell r="I7468" t="str">
            <v>50711</v>
          </cell>
        </row>
        <row r="7469">
          <cell r="G7469" t="str">
            <v xml:space="preserve">Xã Vĩnh Quang   </v>
          </cell>
          <cell r="I7469" t="str">
            <v>50711</v>
          </cell>
        </row>
        <row r="7470">
          <cell r="G7470" t="str">
            <v>Thị trấn Vĩnh Thạnh</v>
          </cell>
          <cell r="I7470" t="str">
            <v>50711</v>
          </cell>
        </row>
        <row r="7471">
          <cell r="G7471" t="str">
            <v>Xã Vĩnh Thuận</v>
          </cell>
          <cell r="I7471" t="str">
            <v>50711</v>
          </cell>
        </row>
        <row r="7472">
          <cell r="G7472" t="str">
            <v>Xã Cát Trinh</v>
          </cell>
          <cell r="I7472" t="str">
            <v>50713</v>
          </cell>
        </row>
        <row r="7473">
          <cell r="G7473" t="str">
            <v>Xã Cát Minh</v>
          </cell>
          <cell r="I7473" t="str">
            <v>50713</v>
          </cell>
        </row>
        <row r="7474">
          <cell r="G7474" t="str">
            <v xml:space="preserve">Xã Cát Tân </v>
          </cell>
          <cell r="I7474" t="str">
            <v>50713</v>
          </cell>
        </row>
        <row r="7475">
          <cell r="G7475" t="str">
            <v>Xã Cát Hanh</v>
          </cell>
          <cell r="I7475" t="str">
            <v>50713</v>
          </cell>
        </row>
        <row r="7476">
          <cell r="G7476" t="str">
            <v>Xã Cát Thành</v>
          </cell>
          <cell r="I7476" t="str">
            <v>50713</v>
          </cell>
        </row>
        <row r="7477">
          <cell r="G7477" t="str">
            <v>Xã Cát Hải</v>
          </cell>
          <cell r="I7477" t="str">
            <v>50713</v>
          </cell>
        </row>
        <row r="7478">
          <cell r="G7478" t="str">
            <v>Xã Cát Hiệp</v>
          </cell>
          <cell r="I7478" t="str">
            <v>50713</v>
          </cell>
        </row>
        <row r="7479">
          <cell r="G7479" t="str">
            <v>Xã Cát Nhơn</v>
          </cell>
          <cell r="I7479" t="str">
            <v>50713</v>
          </cell>
        </row>
        <row r="7480">
          <cell r="G7480" t="str">
            <v>Xã Cát Hưng</v>
          </cell>
          <cell r="I7480" t="str">
            <v>50713</v>
          </cell>
        </row>
        <row r="7481">
          <cell r="G7481" t="str">
            <v>Xã Cát Tường</v>
          </cell>
          <cell r="I7481" t="str">
            <v>50713</v>
          </cell>
        </row>
        <row r="7482">
          <cell r="G7482" t="str">
            <v>Xã Cát Tiến</v>
          </cell>
          <cell r="I7482" t="str">
            <v>50713</v>
          </cell>
        </row>
        <row r="7483">
          <cell r="G7483" t="str">
            <v>Xã Cát Thắng</v>
          </cell>
          <cell r="I7483" t="str">
            <v>50713</v>
          </cell>
        </row>
        <row r="7484">
          <cell r="G7484" t="str">
            <v>Xã Cát Chánh</v>
          </cell>
          <cell r="I7484" t="str">
            <v>50713</v>
          </cell>
        </row>
        <row r="7485">
          <cell r="G7485" t="str">
            <v>Xã Cát Lâm</v>
          </cell>
          <cell r="I7485" t="str">
            <v>50713</v>
          </cell>
        </row>
        <row r="7486">
          <cell r="G7486" t="str">
            <v>Thị trấn Ngô Mây</v>
          </cell>
          <cell r="I7486" t="str">
            <v>50713</v>
          </cell>
        </row>
        <row r="7487">
          <cell r="G7487" t="str">
            <v>Xã Cát Sơn</v>
          </cell>
          <cell r="I7487" t="str">
            <v>50713</v>
          </cell>
        </row>
        <row r="7488">
          <cell r="G7488" t="str">
            <v>Xã Cát Khánh</v>
          </cell>
          <cell r="I7488" t="str">
            <v>50713</v>
          </cell>
        </row>
        <row r="7489">
          <cell r="G7489" t="str">
            <v>Xã Cát Tài</v>
          </cell>
          <cell r="I7489" t="str">
            <v>50713</v>
          </cell>
        </row>
        <row r="7490">
          <cell r="G7490" t="str">
            <v xml:space="preserve">Xã Vĩnh An  </v>
          </cell>
          <cell r="I7490" t="str">
            <v>50715</v>
          </cell>
        </row>
        <row r="7491">
          <cell r="G7491" t="str">
            <v>Thị trấn Phú Phong</v>
          </cell>
          <cell r="I7491" t="str">
            <v>50715</v>
          </cell>
        </row>
        <row r="7492">
          <cell r="G7492" t="str">
            <v xml:space="preserve">Xã Bình Thành  </v>
          </cell>
          <cell r="I7492" t="str">
            <v>50715</v>
          </cell>
        </row>
        <row r="7493">
          <cell r="G7493" t="str">
            <v>Xã Bình Tường</v>
          </cell>
          <cell r="I7493" t="str">
            <v>50715</v>
          </cell>
        </row>
        <row r="7494">
          <cell r="G7494" t="str">
            <v>Xã Bình Nghi</v>
          </cell>
          <cell r="I7494" t="str">
            <v>50715</v>
          </cell>
        </row>
        <row r="7495">
          <cell r="G7495" t="str">
            <v xml:space="preserve">Xã Bình Tân </v>
          </cell>
          <cell r="I7495" t="str">
            <v>50715</v>
          </cell>
        </row>
        <row r="7496">
          <cell r="G7496" t="str">
            <v>Xã Tây Thuận</v>
          </cell>
          <cell r="I7496" t="str">
            <v>50715</v>
          </cell>
        </row>
        <row r="7497">
          <cell r="G7497" t="str">
            <v xml:space="preserve">Xã Bình Thuận   </v>
          </cell>
          <cell r="I7497" t="str">
            <v>50715</v>
          </cell>
        </row>
        <row r="7498">
          <cell r="G7498" t="str">
            <v xml:space="preserve">Xã Tây Giang </v>
          </cell>
          <cell r="I7498" t="str">
            <v>50715</v>
          </cell>
        </row>
        <row r="7499">
          <cell r="G7499" t="str">
            <v xml:space="preserve">Xã Tây An </v>
          </cell>
          <cell r="I7499" t="str">
            <v>50715</v>
          </cell>
        </row>
        <row r="7500">
          <cell r="G7500" t="str">
            <v xml:space="preserve">Xã Bình Hòa  </v>
          </cell>
          <cell r="I7500" t="str">
            <v>50715</v>
          </cell>
        </row>
        <row r="7501">
          <cell r="G7501" t="str">
            <v>Xã Tây Bình</v>
          </cell>
          <cell r="I7501" t="str">
            <v>50715</v>
          </cell>
        </row>
        <row r="7502">
          <cell r="G7502" t="str">
            <v>Xã Tây Vinh</v>
          </cell>
          <cell r="I7502" t="str">
            <v>50715</v>
          </cell>
        </row>
        <row r="7503">
          <cell r="G7503" t="str">
            <v>Xã Tây Xuân</v>
          </cell>
          <cell r="I7503" t="str">
            <v>50715</v>
          </cell>
        </row>
        <row r="7504">
          <cell r="G7504" t="str">
            <v>Xã Tây Phú</v>
          </cell>
          <cell r="I7504" t="str">
            <v>50715</v>
          </cell>
        </row>
        <row r="7505">
          <cell r="G7505" t="str">
            <v>Phường Đập Đá</v>
          </cell>
          <cell r="I7505" t="str">
            <v>50717</v>
          </cell>
        </row>
        <row r="7506">
          <cell r="G7506" t="str">
            <v>Xã Nhơn Tân</v>
          </cell>
          <cell r="I7506" t="str">
            <v>50717</v>
          </cell>
        </row>
        <row r="7507">
          <cell r="G7507" t="str">
            <v>Phường Bình Định</v>
          </cell>
          <cell r="I7507" t="str">
            <v>50717</v>
          </cell>
        </row>
        <row r="7508">
          <cell r="G7508" t="str">
            <v>Xã Nhơn Hạnh</v>
          </cell>
          <cell r="I7508" t="str">
            <v>50717</v>
          </cell>
        </row>
        <row r="7509">
          <cell r="G7509" t="str">
            <v>Xã Nhơn Phúc</v>
          </cell>
          <cell r="I7509" t="str">
            <v>50717</v>
          </cell>
        </row>
        <row r="7510">
          <cell r="G7510" t="str">
            <v>Phường Nhơn Hòa</v>
          </cell>
          <cell r="I7510" t="str">
            <v>50717</v>
          </cell>
        </row>
        <row r="7511">
          <cell r="G7511" t="str">
            <v>Xã Nhơn Mỹ</v>
          </cell>
          <cell r="I7511" t="str">
            <v>50717</v>
          </cell>
        </row>
        <row r="7512">
          <cell r="G7512" t="str">
            <v>Phường Nhơn Thành</v>
          </cell>
          <cell r="I7512" t="str">
            <v>50717</v>
          </cell>
        </row>
        <row r="7513">
          <cell r="G7513" t="str">
            <v>Xã Nhơn Hậu</v>
          </cell>
          <cell r="I7513" t="str">
            <v>50717</v>
          </cell>
        </row>
        <row r="7514">
          <cell r="G7514" t="str">
            <v>Xã Nhơn Phong</v>
          </cell>
          <cell r="I7514" t="str">
            <v>50717</v>
          </cell>
        </row>
        <row r="7515">
          <cell r="G7515" t="str">
            <v>Xã Nhơn An</v>
          </cell>
          <cell r="I7515" t="str">
            <v>50717</v>
          </cell>
        </row>
        <row r="7516">
          <cell r="G7516" t="str">
            <v>Phường Nhơn Hưng</v>
          </cell>
          <cell r="I7516" t="str">
            <v>50717</v>
          </cell>
        </row>
        <row r="7517">
          <cell r="G7517" t="str">
            <v>Xã Nhơn Khánh</v>
          </cell>
          <cell r="I7517" t="str">
            <v>50717</v>
          </cell>
        </row>
        <row r="7518">
          <cell r="G7518" t="str">
            <v>Xã Nhơn Lộc</v>
          </cell>
          <cell r="I7518" t="str">
            <v>50717</v>
          </cell>
        </row>
        <row r="7519">
          <cell r="G7519" t="str">
            <v>Xã Nhơn Thọ</v>
          </cell>
          <cell r="I7519" t="str">
            <v>50717</v>
          </cell>
        </row>
        <row r="7520">
          <cell r="G7520" t="str">
            <v>Xã Phước Nghĩa</v>
          </cell>
          <cell r="I7520" t="str">
            <v>50719</v>
          </cell>
        </row>
        <row r="7521">
          <cell r="G7521" t="str">
            <v>Xã Phước Thuận</v>
          </cell>
          <cell r="I7521" t="str">
            <v>50719</v>
          </cell>
        </row>
        <row r="7522">
          <cell r="G7522" t="str">
            <v>Xã Phước Sơn</v>
          </cell>
          <cell r="I7522" t="str">
            <v>50719</v>
          </cell>
        </row>
        <row r="7523">
          <cell r="G7523" t="str">
            <v>Thị trấn Diêu Trì</v>
          </cell>
          <cell r="I7523" t="str">
            <v>50719</v>
          </cell>
        </row>
        <row r="7524">
          <cell r="G7524" t="str">
            <v>Thị trấn Tuy Phước</v>
          </cell>
          <cell r="I7524" t="str">
            <v>50719</v>
          </cell>
        </row>
        <row r="7525">
          <cell r="G7525" t="str">
            <v>Xã Phước Thắng</v>
          </cell>
          <cell r="I7525" t="str">
            <v>50719</v>
          </cell>
        </row>
        <row r="7526">
          <cell r="G7526" t="str">
            <v>Xã Phước Hưng</v>
          </cell>
          <cell r="I7526" t="str">
            <v>50719</v>
          </cell>
        </row>
        <row r="7527">
          <cell r="G7527" t="str">
            <v>Xã Phước Quang</v>
          </cell>
          <cell r="I7527" t="str">
            <v>50719</v>
          </cell>
        </row>
        <row r="7528">
          <cell r="G7528" t="str">
            <v xml:space="preserve">Xã Phước Hòa </v>
          </cell>
          <cell r="I7528" t="str">
            <v>50719</v>
          </cell>
        </row>
        <row r="7529">
          <cell r="G7529" t="str">
            <v xml:space="preserve">Xã Phước Hiệp </v>
          </cell>
          <cell r="I7529" t="str">
            <v>50719</v>
          </cell>
        </row>
        <row r="7530">
          <cell r="G7530" t="str">
            <v xml:space="preserve">Xã Phước Lộc </v>
          </cell>
          <cell r="I7530" t="str">
            <v>50719</v>
          </cell>
        </row>
        <row r="7531">
          <cell r="G7531" t="str">
            <v>Xã Phước An</v>
          </cell>
          <cell r="I7531" t="str">
            <v>50719</v>
          </cell>
        </row>
        <row r="7532">
          <cell r="G7532" t="str">
            <v xml:space="preserve">Xã Phước Thành </v>
          </cell>
          <cell r="I7532" t="str">
            <v>50719</v>
          </cell>
        </row>
        <row r="7533">
          <cell r="G7533" t="str">
            <v>Thị trấn Vân Canh</v>
          </cell>
          <cell r="I7533" t="str">
            <v>50721</v>
          </cell>
        </row>
        <row r="7534">
          <cell r="G7534" t="str">
            <v>Xã Canh Thuận</v>
          </cell>
          <cell r="I7534" t="str">
            <v>50721</v>
          </cell>
        </row>
        <row r="7535">
          <cell r="G7535" t="str">
            <v>Xã Canh Liên</v>
          </cell>
          <cell r="I7535" t="str">
            <v>50721</v>
          </cell>
        </row>
        <row r="7536">
          <cell r="G7536" t="str">
            <v>Xã Canh Hiệp</v>
          </cell>
          <cell r="I7536" t="str">
            <v>50721</v>
          </cell>
        </row>
        <row r="7537">
          <cell r="G7537" t="str">
            <v>Xã Canh Vinh</v>
          </cell>
          <cell r="I7537" t="str">
            <v>50721</v>
          </cell>
        </row>
        <row r="7538">
          <cell r="G7538" t="str">
            <v>Xã Canh Hiển</v>
          </cell>
          <cell r="I7538" t="str">
            <v>50721</v>
          </cell>
        </row>
        <row r="7539">
          <cell r="G7539" t="str">
            <v>Xã Canh Hòa</v>
          </cell>
          <cell r="I7539" t="str">
            <v>50721</v>
          </cell>
        </row>
        <row r="7540">
          <cell r="G7540" t="str">
            <v xml:space="preserve">Phường 5 </v>
          </cell>
          <cell r="I7540" t="str">
            <v>50901</v>
          </cell>
        </row>
        <row r="7541">
          <cell r="G7541" t="str">
            <v xml:space="preserve">Phường 2  </v>
          </cell>
          <cell r="I7541" t="str">
            <v>50901</v>
          </cell>
        </row>
        <row r="7542">
          <cell r="G7542" t="str">
            <v xml:space="preserve">Phường 4 </v>
          </cell>
          <cell r="I7542" t="str">
            <v>50901</v>
          </cell>
        </row>
        <row r="7543">
          <cell r="G7543" t="str">
            <v>Xã Hòa Kiến</v>
          </cell>
          <cell r="I7543" t="str">
            <v>50901</v>
          </cell>
        </row>
        <row r="7544">
          <cell r="G7544" t="str">
            <v xml:space="preserve">Phường 1  </v>
          </cell>
          <cell r="I7544" t="str">
            <v>50901</v>
          </cell>
        </row>
        <row r="7545">
          <cell r="G7545" t="str">
            <v>Phường 8</v>
          </cell>
          <cell r="I7545" t="str">
            <v>50901</v>
          </cell>
        </row>
        <row r="7546">
          <cell r="G7546" t="str">
            <v>Phường 9</v>
          </cell>
          <cell r="I7546" t="str">
            <v>50901</v>
          </cell>
        </row>
        <row r="7547">
          <cell r="G7547" t="str">
            <v xml:space="preserve">Phường 3  </v>
          </cell>
          <cell r="I7547" t="str">
            <v>50901</v>
          </cell>
        </row>
        <row r="7548">
          <cell r="G7548" t="str">
            <v>Phường 7</v>
          </cell>
          <cell r="I7548" t="str">
            <v>50901</v>
          </cell>
        </row>
        <row r="7549">
          <cell r="G7549" t="str">
            <v>Phường 6</v>
          </cell>
          <cell r="I7549" t="str">
            <v>50901</v>
          </cell>
        </row>
        <row r="7550">
          <cell r="G7550" t="str">
            <v>Xã Bình Kiến</v>
          </cell>
          <cell r="I7550" t="str">
            <v>50901</v>
          </cell>
        </row>
        <row r="7551">
          <cell r="G7551" t="str">
            <v>Xã Bình Ngọc</v>
          </cell>
          <cell r="I7551" t="str">
            <v>50901</v>
          </cell>
        </row>
        <row r="7552">
          <cell r="G7552" t="str">
            <v xml:space="preserve">Xã An Phú  </v>
          </cell>
          <cell r="I7552" t="str">
            <v>50901</v>
          </cell>
        </row>
        <row r="7553">
          <cell r="G7553" t="str">
            <v>Phường Phú Lâm</v>
          </cell>
          <cell r="I7553" t="str">
            <v>50901</v>
          </cell>
        </row>
        <row r="7554">
          <cell r="G7554" t="str">
            <v>Phường Phú Thạnh</v>
          </cell>
          <cell r="I7554" t="str">
            <v>50901</v>
          </cell>
        </row>
        <row r="7555">
          <cell r="G7555" t="str">
            <v>Phường Phú Đông</v>
          </cell>
          <cell r="I7555" t="str">
            <v>50901</v>
          </cell>
        </row>
        <row r="7556">
          <cell r="G7556" t="str">
            <v>Xã Xuân Quang 3</v>
          </cell>
          <cell r="I7556" t="str">
            <v>50903</v>
          </cell>
        </row>
        <row r="7557">
          <cell r="G7557" t="str">
            <v>Xã Xuân Lãnh</v>
          </cell>
          <cell r="I7557" t="str">
            <v>50903</v>
          </cell>
        </row>
        <row r="7558">
          <cell r="G7558" t="str">
            <v>Xã Xuân Quang 2</v>
          </cell>
          <cell r="I7558" t="str">
            <v>50903</v>
          </cell>
        </row>
        <row r="7559">
          <cell r="G7559" t="str">
            <v>Thị trấn La Hai</v>
          </cell>
          <cell r="I7559" t="str">
            <v>50903</v>
          </cell>
        </row>
        <row r="7560">
          <cell r="G7560" t="str">
            <v xml:space="preserve">Xã Đa Lộc  </v>
          </cell>
          <cell r="I7560" t="str">
            <v>50903</v>
          </cell>
        </row>
        <row r="7561">
          <cell r="G7561" t="str">
            <v>Xã Phú Mỡ</v>
          </cell>
          <cell r="I7561" t="str">
            <v>50903</v>
          </cell>
        </row>
        <row r="7562">
          <cell r="G7562" t="str">
            <v xml:space="preserve">Xã Xuân Long  </v>
          </cell>
          <cell r="I7562" t="str">
            <v>50903</v>
          </cell>
        </row>
        <row r="7563">
          <cell r="G7563" t="str">
            <v>Xã Xuân Quang 1</v>
          </cell>
          <cell r="I7563" t="str">
            <v>50903</v>
          </cell>
        </row>
        <row r="7564">
          <cell r="G7564" t="str">
            <v>Xã Xuân Sơn Bắc</v>
          </cell>
          <cell r="I7564" t="str">
            <v>50903</v>
          </cell>
        </row>
        <row r="7565">
          <cell r="G7565" t="str">
            <v>Xã Xuân Sơn Nam</v>
          </cell>
          <cell r="I7565" t="str">
            <v>50903</v>
          </cell>
        </row>
        <row r="7566">
          <cell r="G7566" t="str">
            <v>Xã Xuân Phước</v>
          </cell>
          <cell r="I7566" t="str">
            <v>50903</v>
          </cell>
        </row>
        <row r="7567">
          <cell r="G7567" t="str">
            <v xml:space="preserve">Xã Xuân Lâm   </v>
          </cell>
          <cell r="I7567" t="str">
            <v>50905</v>
          </cell>
        </row>
        <row r="7568">
          <cell r="G7568" t="str">
            <v xml:space="preserve">Xã Xuân Phương   </v>
          </cell>
          <cell r="I7568" t="str">
            <v>50905</v>
          </cell>
        </row>
        <row r="7569">
          <cell r="G7569" t="str">
            <v xml:space="preserve">Xã Xuân Hải </v>
          </cell>
          <cell r="I7569" t="str">
            <v>50905</v>
          </cell>
        </row>
        <row r="7570">
          <cell r="G7570" t="str">
            <v>Xã Xuân Cảnh</v>
          </cell>
          <cell r="I7570" t="str">
            <v>50905</v>
          </cell>
        </row>
        <row r="7571">
          <cell r="G7571" t="str">
            <v>Xã Xuân Thọ 2</v>
          </cell>
          <cell r="I7571" t="str">
            <v>50905</v>
          </cell>
        </row>
        <row r="7572">
          <cell r="G7572" t="str">
            <v xml:space="preserve">Xã Xuân Lộc      </v>
          </cell>
          <cell r="I7572" t="str">
            <v>50905</v>
          </cell>
        </row>
        <row r="7573">
          <cell r="G7573" t="str">
            <v xml:space="preserve">Xã Xuân Bình </v>
          </cell>
          <cell r="I7573" t="str">
            <v>50905</v>
          </cell>
        </row>
        <row r="7574">
          <cell r="G7574" t="str">
            <v xml:space="preserve">Xã Xuân Hòa        </v>
          </cell>
          <cell r="I7574" t="str">
            <v>50905</v>
          </cell>
        </row>
        <row r="7575">
          <cell r="G7575" t="str">
            <v xml:space="preserve">Xã Xuân Thịnh </v>
          </cell>
          <cell r="I7575" t="str">
            <v>50905</v>
          </cell>
        </row>
        <row r="7576">
          <cell r="G7576" t="str">
            <v>Xã Xuân Thọ 1</v>
          </cell>
          <cell r="I7576" t="str">
            <v>50905</v>
          </cell>
        </row>
        <row r="7577">
          <cell r="G7577" t="str">
            <v>Phường Xuân Yên</v>
          </cell>
          <cell r="I7577" t="str">
            <v>50905</v>
          </cell>
        </row>
        <row r="7578">
          <cell r="G7578" t="str">
            <v xml:space="preserve">Phường Xuân Phú </v>
          </cell>
          <cell r="I7578" t="str">
            <v>50905</v>
          </cell>
        </row>
        <row r="7579">
          <cell r="G7579" t="str">
            <v>Phường Xuân Thành</v>
          </cell>
          <cell r="I7579" t="str">
            <v>50905</v>
          </cell>
        </row>
        <row r="7580">
          <cell r="G7580" t="str">
            <v>Phường Xuân Đài</v>
          </cell>
          <cell r="I7580" t="str">
            <v>50905</v>
          </cell>
        </row>
        <row r="7581">
          <cell r="G7581" t="str">
            <v xml:space="preserve">Xã An Hòa     </v>
          </cell>
          <cell r="I7581" t="str">
            <v>50907</v>
          </cell>
        </row>
        <row r="7582">
          <cell r="G7582" t="str">
            <v>Thị trấn Chí Thạnh</v>
          </cell>
          <cell r="I7582" t="str">
            <v>50907</v>
          </cell>
        </row>
        <row r="7583">
          <cell r="G7583" t="str">
            <v>Xã An Định</v>
          </cell>
          <cell r="I7583" t="str">
            <v>50907</v>
          </cell>
        </row>
        <row r="7584">
          <cell r="G7584" t="str">
            <v>Xã An Xuân</v>
          </cell>
          <cell r="I7584" t="str">
            <v>50907</v>
          </cell>
        </row>
        <row r="7585">
          <cell r="G7585" t="str">
            <v xml:space="preserve">Xã An Hiệp </v>
          </cell>
          <cell r="I7585" t="str">
            <v>50907</v>
          </cell>
        </row>
        <row r="7586">
          <cell r="G7586" t="str">
            <v>Xã An Dân</v>
          </cell>
          <cell r="I7586" t="str">
            <v>50907</v>
          </cell>
        </row>
        <row r="7587">
          <cell r="G7587" t="str">
            <v>Xã An Ninh Tây</v>
          </cell>
          <cell r="I7587" t="str">
            <v>50907</v>
          </cell>
        </row>
        <row r="7588">
          <cell r="G7588" t="str">
            <v>Xã An Ninh Đông</v>
          </cell>
          <cell r="I7588" t="str">
            <v>50907</v>
          </cell>
        </row>
        <row r="7589">
          <cell r="G7589" t="str">
            <v>Xã An Thạch</v>
          </cell>
          <cell r="I7589" t="str">
            <v>50907</v>
          </cell>
        </row>
        <row r="7590">
          <cell r="G7590" t="str">
            <v>Xã An Nghiệp</v>
          </cell>
          <cell r="I7590" t="str">
            <v>50907</v>
          </cell>
        </row>
        <row r="7591">
          <cell r="G7591" t="str">
            <v xml:space="preserve">Xã An Hải </v>
          </cell>
          <cell r="I7591" t="str">
            <v>50907</v>
          </cell>
        </row>
        <row r="7592">
          <cell r="G7592" t="str">
            <v>Xã An Cư</v>
          </cell>
          <cell r="I7592" t="str">
            <v>50907</v>
          </cell>
        </row>
        <row r="7593">
          <cell r="G7593" t="str">
            <v>Xã An Lĩnh</v>
          </cell>
          <cell r="I7593" t="str">
            <v>50907</v>
          </cell>
        </row>
        <row r="7594">
          <cell r="G7594" t="str">
            <v xml:space="preserve">Xã An Mỹ   </v>
          </cell>
          <cell r="I7594" t="str">
            <v>50907</v>
          </cell>
        </row>
        <row r="7595">
          <cell r="G7595" t="str">
            <v>Xã An Chấn</v>
          </cell>
          <cell r="I7595" t="str">
            <v>50907</v>
          </cell>
        </row>
        <row r="7596">
          <cell r="G7596" t="str">
            <v xml:space="preserve">Xã An Thọ </v>
          </cell>
          <cell r="I7596" t="str">
            <v>50907</v>
          </cell>
        </row>
        <row r="7597">
          <cell r="G7597" t="str">
            <v>Xã Sơn Xuân</v>
          </cell>
          <cell r="I7597" t="str">
            <v>50909</v>
          </cell>
        </row>
        <row r="7598">
          <cell r="G7598" t="str">
            <v>Thị trấn Củng Sơn</v>
          </cell>
          <cell r="I7598" t="str">
            <v>50909</v>
          </cell>
        </row>
        <row r="7599">
          <cell r="G7599" t="str">
            <v>Xã Suối Trai</v>
          </cell>
          <cell r="I7599" t="str">
            <v>50909</v>
          </cell>
        </row>
        <row r="7600">
          <cell r="G7600" t="str">
            <v xml:space="preserve">Xã Sơn Long  </v>
          </cell>
          <cell r="I7600" t="str">
            <v>50909</v>
          </cell>
        </row>
        <row r="7601">
          <cell r="G7601" t="str">
            <v>Xã Cà Lúi</v>
          </cell>
          <cell r="I7601" t="str">
            <v>50909</v>
          </cell>
        </row>
        <row r="7602">
          <cell r="G7602" t="str">
            <v>Xã Sơn Phước</v>
          </cell>
          <cell r="I7602" t="str">
            <v>50909</v>
          </cell>
        </row>
        <row r="7603">
          <cell r="G7603" t="str">
            <v>Xã Sơn Nguyên</v>
          </cell>
          <cell r="I7603" t="str">
            <v>50909</v>
          </cell>
        </row>
        <row r="7604">
          <cell r="G7604" t="str">
            <v>Xã Eachà Rang</v>
          </cell>
          <cell r="I7604" t="str">
            <v>50909</v>
          </cell>
        </row>
        <row r="7605">
          <cell r="G7605" t="str">
            <v>Xã Krông Pa</v>
          </cell>
          <cell r="I7605" t="str">
            <v>50909</v>
          </cell>
        </row>
        <row r="7606">
          <cell r="G7606" t="str">
            <v>Xã Suối Bạc</v>
          </cell>
          <cell r="I7606" t="str">
            <v>50909</v>
          </cell>
        </row>
        <row r="7607">
          <cell r="G7607" t="str">
            <v xml:space="preserve">Xã Sơn Hà      </v>
          </cell>
          <cell r="I7607" t="str">
            <v>50909</v>
          </cell>
        </row>
        <row r="7608">
          <cell r="G7608" t="str">
            <v>Xã Sơn Định</v>
          </cell>
          <cell r="I7608" t="str">
            <v>50909</v>
          </cell>
        </row>
        <row r="7609">
          <cell r="G7609" t="str">
            <v>Xã Phước Tân</v>
          </cell>
          <cell r="I7609" t="str">
            <v>50909</v>
          </cell>
        </row>
        <row r="7610">
          <cell r="G7610" t="str">
            <v>Xã Sơn Hội</v>
          </cell>
          <cell r="I7610" t="str">
            <v>50909</v>
          </cell>
        </row>
        <row r="7611">
          <cell r="G7611" t="str">
            <v>Xã Hòa Tân Đông</v>
          </cell>
          <cell r="I7611" t="str">
            <v>50911</v>
          </cell>
        </row>
        <row r="7612">
          <cell r="G7612" t="str">
            <v>Xã Hòa Xuân Nam</v>
          </cell>
          <cell r="I7612" t="str">
            <v>50911</v>
          </cell>
        </row>
        <row r="7613">
          <cell r="G7613" t="str">
            <v>Xã Hòa Thành</v>
          </cell>
          <cell r="I7613" t="str">
            <v>50911</v>
          </cell>
        </row>
        <row r="7614">
          <cell r="G7614" t="str">
            <v>Xã Hòa Hiệp Bắc</v>
          </cell>
          <cell r="I7614" t="str">
            <v>50911</v>
          </cell>
        </row>
        <row r="7615">
          <cell r="G7615" t="str">
            <v>Thị trấn Hòa Vinh</v>
          </cell>
          <cell r="I7615" t="str">
            <v>50911</v>
          </cell>
        </row>
        <row r="7616">
          <cell r="G7616" t="str">
            <v>Thị trấn Hòa Hiệp Trung</v>
          </cell>
          <cell r="I7616" t="str">
            <v>50911</v>
          </cell>
        </row>
        <row r="7617">
          <cell r="G7617" t="str">
            <v>Xã Hòa Xuân Tây</v>
          </cell>
          <cell r="I7617" t="str">
            <v>50911</v>
          </cell>
        </row>
        <row r="7618">
          <cell r="G7618" t="str">
            <v>Xã Hòa Hiệp Nam</v>
          </cell>
          <cell r="I7618" t="str">
            <v>50911</v>
          </cell>
        </row>
        <row r="7619">
          <cell r="G7619" t="str">
            <v>Xã Hòa Xuân Đông</v>
          </cell>
          <cell r="I7619" t="str">
            <v>50911</v>
          </cell>
        </row>
        <row r="7620">
          <cell r="G7620" t="str">
            <v>Xã Hòa Tâm</v>
          </cell>
          <cell r="I7620" t="str">
            <v>50911</v>
          </cell>
        </row>
        <row r="7621">
          <cell r="G7621" t="str">
            <v xml:space="preserve"> Thị trấn Phú Thứ</v>
          </cell>
          <cell r="I7621" t="str">
            <v>50912</v>
          </cell>
        </row>
        <row r="7622">
          <cell r="G7622" t="str">
            <v xml:space="preserve">Xã Hòa Phú   </v>
          </cell>
          <cell r="I7622" t="str">
            <v>50912</v>
          </cell>
        </row>
        <row r="7623">
          <cell r="G7623" t="str">
            <v>Xã Hòa Mỹ Đông</v>
          </cell>
          <cell r="I7623" t="str">
            <v>50912</v>
          </cell>
        </row>
        <row r="7624">
          <cell r="G7624" t="str">
            <v>Xã Sơn Thành Tây</v>
          </cell>
          <cell r="I7624" t="str">
            <v>50912</v>
          </cell>
        </row>
        <row r="7625">
          <cell r="G7625" t="str">
            <v>Xã Sơn Thành Đông</v>
          </cell>
          <cell r="I7625" t="str">
            <v>50912</v>
          </cell>
        </row>
        <row r="7626">
          <cell r="G7626" t="str">
            <v>Xã Hòa Bình 1</v>
          </cell>
          <cell r="I7626" t="str">
            <v>50912</v>
          </cell>
        </row>
        <row r="7627">
          <cell r="G7627" t="str">
            <v xml:space="preserve">Xã Hòa Phong  </v>
          </cell>
          <cell r="I7627" t="str">
            <v>50912</v>
          </cell>
        </row>
        <row r="7628">
          <cell r="G7628" t="str">
            <v>Xã Hòa Tân Tây</v>
          </cell>
          <cell r="I7628" t="str">
            <v>50912</v>
          </cell>
        </row>
        <row r="7629">
          <cell r="G7629" t="str">
            <v>Xã Hòa Đồng</v>
          </cell>
          <cell r="I7629" t="str">
            <v>50912</v>
          </cell>
        </row>
        <row r="7630">
          <cell r="G7630" t="str">
            <v>Xã Hòa Mỹ Tây</v>
          </cell>
          <cell r="I7630" t="str">
            <v>50912</v>
          </cell>
        </row>
        <row r="7631">
          <cell r="G7631" t="str">
            <v>Xã Hòa Thịnh</v>
          </cell>
          <cell r="I7631" t="str">
            <v>50912</v>
          </cell>
        </row>
        <row r="7632">
          <cell r="G7632" t="str">
            <v xml:space="preserve">Xã Sơn Giang  </v>
          </cell>
          <cell r="I7632" t="str">
            <v>50913</v>
          </cell>
        </row>
        <row r="7633">
          <cell r="G7633" t="str">
            <v>Xã Ea Bá</v>
          </cell>
          <cell r="I7633" t="str">
            <v>50913</v>
          </cell>
        </row>
        <row r="7634">
          <cell r="G7634" t="str">
            <v>Xã EaBia</v>
          </cell>
          <cell r="I7634" t="str">
            <v>50913</v>
          </cell>
        </row>
        <row r="7635">
          <cell r="G7635" t="str">
            <v>Xã Ealy</v>
          </cell>
          <cell r="I7635" t="str">
            <v>50913</v>
          </cell>
        </row>
        <row r="7636">
          <cell r="G7636" t="str">
            <v>Thị trấn Hai Riêng</v>
          </cell>
          <cell r="I7636" t="str">
            <v>50913</v>
          </cell>
        </row>
        <row r="7637">
          <cell r="G7637" t="str">
            <v>Xã Ea Lâm</v>
          </cell>
          <cell r="I7637" t="str">
            <v>50913</v>
          </cell>
        </row>
        <row r="7638">
          <cell r="G7638" t="str">
            <v>Xã Đức Bình Tây</v>
          </cell>
          <cell r="I7638" t="str">
            <v>50913</v>
          </cell>
        </row>
        <row r="7639">
          <cell r="G7639" t="str">
            <v>Xã Đức Bình Đông</v>
          </cell>
          <cell r="I7639" t="str">
            <v>50913</v>
          </cell>
        </row>
        <row r="7640">
          <cell r="G7640" t="str">
            <v>Xã EaBar</v>
          </cell>
          <cell r="I7640" t="str">
            <v>50913</v>
          </cell>
        </row>
        <row r="7641">
          <cell r="G7641" t="str">
            <v>Xã EaTrol</v>
          </cell>
          <cell r="I7641" t="str">
            <v>50913</v>
          </cell>
        </row>
        <row r="7642">
          <cell r="G7642" t="str">
            <v>Xã Sông Hinh</v>
          </cell>
          <cell r="I7642" t="str">
            <v>50913</v>
          </cell>
        </row>
        <row r="7643">
          <cell r="G7643" t="str">
            <v xml:space="preserve">Xã Hòa An </v>
          </cell>
          <cell r="I7643" t="str">
            <v>50915</v>
          </cell>
        </row>
        <row r="7644">
          <cell r="G7644" t="str">
            <v>Xã Hòa Hội</v>
          </cell>
          <cell r="I7644" t="str">
            <v>50915</v>
          </cell>
        </row>
        <row r="7645">
          <cell r="G7645" t="str">
            <v>Xã Hòa Định Đông</v>
          </cell>
          <cell r="I7645" t="str">
            <v>50915</v>
          </cell>
        </row>
        <row r="7646">
          <cell r="G7646" t="str">
            <v>Xã Hòa Quang Bắc</v>
          </cell>
          <cell r="I7646" t="str">
            <v>50915</v>
          </cell>
        </row>
        <row r="7647">
          <cell r="G7647" t="str">
            <v>Xã Hòa Quang Nam</v>
          </cell>
          <cell r="I7647" t="str">
            <v>50915</v>
          </cell>
        </row>
        <row r="7648">
          <cell r="G7648" t="str">
            <v>Xã Hòa Trị</v>
          </cell>
          <cell r="I7648" t="str">
            <v>50915</v>
          </cell>
        </row>
        <row r="7649">
          <cell r="G7649" t="str">
            <v>Xã Hòa Định Tây</v>
          </cell>
          <cell r="I7649" t="str">
            <v>50915</v>
          </cell>
        </row>
        <row r="7650">
          <cell r="G7650" t="str">
            <v xml:space="preserve">Xã Hòa Thắng </v>
          </cell>
          <cell r="I7650" t="str">
            <v>50915</v>
          </cell>
        </row>
        <row r="7651">
          <cell r="G7651" t="str">
            <v>Thị trấn Phú Hòa</v>
          </cell>
          <cell r="I7651" t="str">
            <v>50915</v>
          </cell>
        </row>
        <row r="7652">
          <cell r="G7652" t="str">
            <v xml:space="preserve">Xã Vĩnh Hiệp </v>
          </cell>
          <cell r="I7652" t="str">
            <v>51101</v>
          </cell>
        </row>
        <row r="7653">
          <cell r="G7653" t="str">
            <v>Phường Phước Tân</v>
          </cell>
          <cell r="I7653" t="str">
            <v>51101</v>
          </cell>
        </row>
        <row r="7654">
          <cell r="G7654" t="str">
            <v>Phường Vĩnh Hòa</v>
          </cell>
          <cell r="I7654" t="str">
            <v>51101</v>
          </cell>
        </row>
        <row r="7655">
          <cell r="G7655" t="str">
            <v>Phường Ngọc Hiệp</v>
          </cell>
          <cell r="I7655" t="str">
            <v>51101</v>
          </cell>
        </row>
        <row r="7656">
          <cell r="G7656" t="str">
            <v>Phường Vạn Thạnh</v>
          </cell>
          <cell r="I7656" t="str">
            <v>51101</v>
          </cell>
        </row>
        <row r="7657">
          <cell r="G7657" t="str">
            <v>Phường Lộc Thọ</v>
          </cell>
          <cell r="I7657" t="str">
            <v>51101</v>
          </cell>
        </row>
        <row r="7658">
          <cell r="G7658" t="str">
            <v>Phường Vĩnh Nguyên</v>
          </cell>
          <cell r="I7658" t="str">
            <v>51101</v>
          </cell>
        </row>
        <row r="7659">
          <cell r="G7659" t="str">
            <v xml:space="preserve">Xã Vĩnh Ngọc </v>
          </cell>
          <cell r="I7659" t="str">
            <v>51101</v>
          </cell>
        </row>
        <row r="7660">
          <cell r="G7660" t="str">
            <v xml:space="preserve">Xã Vĩnh Thái </v>
          </cell>
          <cell r="I7660" t="str">
            <v>51101</v>
          </cell>
        </row>
        <row r="7661">
          <cell r="G7661" t="str">
            <v>Phường Vĩnh Hải</v>
          </cell>
          <cell r="I7661" t="str">
            <v>51101</v>
          </cell>
        </row>
        <row r="7662">
          <cell r="G7662" t="str">
            <v>Phường Vĩnh Phước</v>
          </cell>
          <cell r="I7662" t="str">
            <v>51101</v>
          </cell>
        </row>
        <row r="7663">
          <cell r="G7663" t="str">
            <v>Phường Vĩnh Thọ</v>
          </cell>
          <cell r="I7663" t="str">
            <v>51101</v>
          </cell>
        </row>
        <row r="7664">
          <cell r="G7664" t="str">
            <v>Phường Xương Huân</v>
          </cell>
          <cell r="I7664" t="str">
            <v>51101</v>
          </cell>
        </row>
        <row r="7665">
          <cell r="G7665" t="str">
            <v>Phường Vạn Thắng</v>
          </cell>
          <cell r="I7665" t="str">
            <v>51101</v>
          </cell>
        </row>
        <row r="7666">
          <cell r="G7666" t="str">
            <v>Phường Phương Sài</v>
          </cell>
          <cell r="I7666" t="str">
            <v>51101</v>
          </cell>
        </row>
        <row r="7667">
          <cell r="G7667" t="str">
            <v>Phường Phương Sơn</v>
          </cell>
          <cell r="I7667" t="str">
            <v>51101</v>
          </cell>
        </row>
        <row r="7668">
          <cell r="G7668" t="str">
            <v>Phường Phước Hải</v>
          </cell>
          <cell r="I7668" t="str">
            <v>51101</v>
          </cell>
        </row>
        <row r="7669">
          <cell r="G7669" t="str">
            <v>Phường Phước Tiến</v>
          </cell>
          <cell r="I7669" t="str">
            <v>51101</v>
          </cell>
        </row>
        <row r="7670">
          <cell r="G7670" t="str">
            <v xml:space="preserve">Phường Tân Lập </v>
          </cell>
          <cell r="I7670" t="str">
            <v>51101</v>
          </cell>
        </row>
        <row r="7671">
          <cell r="G7671" t="str">
            <v xml:space="preserve">Phường Phước Hòa </v>
          </cell>
          <cell r="I7671" t="str">
            <v>51101</v>
          </cell>
        </row>
        <row r="7672">
          <cell r="G7672" t="str">
            <v>Phường Phước Long</v>
          </cell>
          <cell r="I7672" t="str">
            <v>51101</v>
          </cell>
        </row>
        <row r="7673">
          <cell r="G7673" t="str">
            <v>Phường Vĩnh Trường</v>
          </cell>
          <cell r="I7673" t="str">
            <v>51101</v>
          </cell>
        </row>
        <row r="7674">
          <cell r="G7674" t="str">
            <v>Xã Vĩnh Lương</v>
          </cell>
          <cell r="I7674" t="str">
            <v>51101</v>
          </cell>
        </row>
        <row r="7675">
          <cell r="G7675" t="str">
            <v>Xã Vĩnh Phương</v>
          </cell>
          <cell r="I7675" t="str">
            <v>51101</v>
          </cell>
        </row>
        <row r="7676">
          <cell r="G7676" t="str">
            <v>Xã Vĩnh Thạnh</v>
          </cell>
          <cell r="I7676" t="str">
            <v>51101</v>
          </cell>
        </row>
        <row r="7677">
          <cell r="G7677" t="str">
            <v xml:space="preserve">Xã Vĩnh Trung  </v>
          </cell>
          <cell r="I7677" t="str">
            <v>51101</v>
          </cell>
        </row>
        <row r="7678">
          <cell r="G7678" t="str">
            <v>Xã Phước Đồng</v>
          </cell>
          <cell r="I7678" t="str">
            <v>51101</v>
          </cell>
        </row>
        <row r="7679">
          <cell r="G7679" t="str">
            <v>Xã Vạn Long</v>
          </cell>
          <cell r="I7679" t="str">
            <v>51103</v>
          </cell>
        </row>
        <row r="7680">
          <cell r="G7680" t="str">
            <v>Xã Vạn Hưng</v>
          </cell>
          <cell r="I7680" t="str">
            <v>51103</v>
          </cell>
        </row>
        <row r="7681">
          <cell r="G7681" t="str">
            <v xml:space="preserve">Xã Đại Lãnh </v>
          </cell>
          <cell r="I7681" t="str">
            <v>51103</v>
          </cell>
        </row>
        <row r="7682">
          <cell r="G7682" t="str">
            <v>Xã Vạn Phước</v>
          </cell>
          <cell r="I7682" t="str">
            <v>51103</v>
          </cell>
        </row>
        <row r="7683">
          <cell r="G7683" t="str">
            <v>Xã Vạn Bình</v>
          </cell>
          <cell r="I7683" t="str">
            <v>51103</v>
          </cell>
        </row>
        <row r="7684">
          <cell r="G7684" t="str">
            <v xml:space="preserve">Xã Vạn Thọ </v>
          </cell>
          <cell r="I7684" t="str">
            <v>51103</v>
          </cell>
        </row>
        <row r="7685">
          <cell r="G7685" t="str">
            <v>Xã Vạn Khánh</v>
          </cell>
          <cell r="I7685" t="str">
            <v>51103</v>
          </cell>
        </row>
        <row r="7686">
          <cell r="G7686" t="str">
            <v>Xã Vạn Phú</v>
          </cell>
          <cell r="I7686" t="str">
            <v>51103</v>
          </cell>
        </row>
        <row r="7687">
          <cell r="G7687" t="str">
            <v>Xã Vạn Lương</v>
          </cell>
          <cell r="I7687" t="str">
            <v>51103</v>
          </cell>
        </row>
        <row r="7688">
          <cell r="G7688" t="str">
            <v xml:space="preserve">Xã Vạn Thắng  </v>
          </cell>
          <cell r="I7688" t="str">
            <v>51103</v>
          </cell>
        </row>
        <row r="7689">
          <cell r="G7689" t="str">
            <v>Xã Vạn Thạnh</v>
          </cell>
          <cell r="I7689" t="str">
            <v>51103</v>
          </cell>
        </row>
        <row r="7690">
          <cell r="G7690" t="str">
            <v xml:space="preserve">Xã Xuân Sơn     </v>
          </cell>
          <cell r="I7690" t="str">
            <v>51103</v>
          </cell>
        </row>
        <row r="7691">
          <cell r="G7691" t="str">
            <v>Thị trấn Vạn Giã</v>
          </cell>
          <cell r="I7691" t="str">
            <v>51103</v>
          </cell>
        </row>
        <row r="7692">
          <cell r="G7692" t="str">
            <v>Phường Ninh Hiệp</v>
          </cell>
          <cell r="I7692" t="str">
            <v>51105</v>
          </cell>
        </row>
        <row r="7693">
          <cell r="G7693" t="str">
            <v>Phường Ninh Thủy</v>
          </cell>
          <cell r="I7693" t="str">
            <v>51105</v>
          </cell>
        </row>
        <row r="7694">
          <cell r="G7694" t="str">
            <v>Xã Ninh ích</v>
          </cell>
          <cell r="I7694" t="str">
            <v>51105</v>
          </cell>
        </row>
        <row r="7695">
          <cell r="G7695" t="str">
            <v>Xã Ninh Thượng</v>
          </cell>
          <cell r="I7695" t="str">
            <v>51105</v>
          </cell>
        </row>
        <row r="7696">
          <cell r="G7696" t="str">
            <v>Xã Ninh Trung</v>
          </cell>
          <cell r="I7696" t="str">
            <v>51105</v>
          </cell>
        </row>
        <row r="7697">
          <cell r="G7697" t="str">
            <v>Phường Ninh Diêm</v>
          </cell>
          <cell r="I7697" t="str">
            <v>51105</v>
          </cell>
        </row>
        <row r="7698">
          <cell r="G7698" t="str">
            <v>Xã Ninh Phụng</v>
          </cell>
          <cell r="I7698" t="str">
            <v>51105</v>
          </cell>
        </row>
        <row r="7699">
          <cell r="G7699" t="str">
            <v>Xã Ninh Tân</v>
          </cell>
          <cell r="I7699" t="str">
            <v>51105</v>
          </cell>
        </row>
        <row r="7700">
          <cell r="G7700" t="str">
            <v>Xã Ninh Hưng</v>
          </cell>
          <cell r="I7700" t="str">
            <v>51105</v>
          </cell>
        </row>
        <row r="7701">
          <cell r="G7701" t="str">
            <v xml:space="preserve">Xã Ninh Sơn </v>
          </cell>
          <cell r="I7701" t="str">
            <v>51105</v>
          </cell>
        </row>
        <row r="7702">
          <cell r="G7702" t="str">
            <v>Xã Ninh Tây</v>
          </cell>
          <cell r="I7702" t="str">
            <v>51105</v>
          </cell>
        </row>
        <row r="7703">
          <cell r="G7703" t="str">
            <v xml:space="preserve">Xã Ninh An </v>
          </cell>
          <cell r="I7703" t="str">
            <v>51105</v>
          </cell>
        </row>
        <row r="7704">
          <cell r="G7704" t="str">
            <v>Phường Ninh Hải</v>
          </cell>
          <cell r="I7704" t="str">
            <v>51105</v>
          </cell>
        </row>
        <row r="7705">
          <cell r="G7705" t="str">
            <v>Xã Ninh Thọ</v>
          </cell>
          <cell r="I7705" t="str">
            <v>51105</v>
          </cell>
        </row>
        <row r="7706">
          <cell r="G7706" t="str">
            <v>Xã Ninh Sim</v>
          </cell>
          <cell r="I7706" t="str">
            <v>51105</v>
          </cell>
        </row>
        <row r="7707">
          <cell r="G7707" t="str">
            <v xml:space="preserve">Xã Ninh Xuân </v>
          </cell>
          <cell r="I7707" t="str">
            <v>51105</v>
          </cell>
        </row>
        <row r="7708">
          <cell r="G7708" t="str">
            <v>Xã Ninh Thân</v>
          </cell>
          <cell r="I7708" t="str">
            <v>51105</v>
          </cell>
        </row>
        <row r="7709">
          <cell r="G7709" t="str">
            <v>Xã Ninh Đông</v>
          </cell>
          <cell r="I7709" t="str">
            <v>51105</v>
          </cell>
        </row>
        <row r="7710">
          <cell r="G7710" t="str">
            <v>Phường Ninh Đa</v>
          </cell>
          <cell r="I7710" t="str">
            <v>51105</v>
          </cell>
        </row>
        <row r="7711">
          <cell r="G7711" t="str">
            <v>Xã Ninh Bình</v>
          </cell>
          <cell r="I7711" t="str">
            <v>51105</v>
          </cell>
        </row>
        <row r="7712">
          <cell r="G7712" t="str">
            <v>Xã Ninh Phước</v>
          </cell>
          <cell r="I7712" t="str">
            <v>51105</v>
          </cell>
        </row>
        <row r="7713">
          <cell r="G7713" t="str">
            <v>Xã Ninh Phú</v>
          </cell>
          <cell r="I7713" t="str">
            <v>51105</v>
          </cell>
        </row>
        <row r="7714">
          <cell r="G7714" t="str">
            <v>Xã Ninh Quang</v>
          </cell>
          <cell r="I7714" t="str">
            <v>51105</v>
          </cell>
        </row>
        <row r="7715">
          <cell r="G7715" t="str">
            <v>Phường Ninh Giang</v>
          </cell>
          <cell r="I7715" t="str">
            <v>51105</v>
          </cell>
        </row>
        <row r="7716">
          <cell r="G7716" t="str">
            <v>Phường Ninh Hà</v>
          </cell>
          <cell r="I7716" t="str">
            <v>51105</v>
          </cell>
        </row>
        <row r="7717">
          <cell r="G7717" t="str">
            <v>Xã Ninh Lộc</v>
          </cell>
          <cell r="I7717" t="str">
            <v>51105</v>
          </cell>
        </row>
        <row r="7718">
          <cell r="G7718" t="str">
            <v xml:space="preserve">Xã Ninh Vân </v>
          </cell>
          <cell r="I7718" t="str">
            <v>51105</v>
          </cell>
        </row>
        <row r="7719">
          <cell r="G7719" t="str">
            <v>Xã Diên Phú</v>
          </cell>
          <cell r="I7719" t="str">
            <v>51107</v>
          </cell>
        </row>
        <row r="7720">
          <cell r="G7720" t="str">
            <v>Xã Suối Tiên</v>
          </cell>
          <cell r="I7720" t="str">
            <v>51107</v>
          </cell>
        </row>
        <row r="7721">
          <cell r="G7721" t="str">
            <v>Thị trấn Diên Khánh</v>
          </cell>
          <cell r="I7721" t="str">
            <v>51107</v>
          </cell>
        </row>
        <row r="7722">
          <cell r="G7722" t="str">
            <v>Xã Diên Sơn</v>
          </cell>
          <cell r="I7722" t="str">
            <v>51107</v>
          </cell>
        </row>
        <row r="7723">
          <cell r="G7723" t="str">
            <v>Xã Diên Phước</v>
          </cell>
          <cell r="I7723" t="str">
            <v>51107</v>
          </cell>
        </row>
        <row r="7724">
          <cell r="G7724" t="str">
            <v>Xã Diên Thạnh</v>
          </cell>
          <cell r="I7724" t="str">
            <v>51107</v>
          </cell>
        </row>
        <row r="7725">
          <cell r="G7725" t="str">
            <v>Xã Suối Hiệp</v>
          </cell>
          <cell r="I7725" t="str">
            <v>51107</v>
          </cell>
        </row>
        <row r="7726">
          <cell r="G7726" t="str">
            <v>Xã Diên Lâm</v>
          </cell>
          <cell r="I7726" t="str">
            <v>51107</v>
          </cell>
        </row>
        <row r="7727">
          <cell r="G7727" t="str">
            <v>Xã Diên Điền</v>
          </cell>
          <cell r="I7727" t="str">
            <v>51107</v>
          </cell>
        </row>
        <row r="7728">
          <cell r="G7728" t="str">
            <v>Xã Diên Xuân</v>
          </cell>
          <cell r="I7728" t="str">
            <v>51107</v>
          </cell>
        </row>
        <row r="7729">
          <cell r="G7729" t="str">
            <v>Xã Diên Đồng</v>
          </cell>
          <cell r="I7729" t="str">
            <v>51107</v>
          </cell>
        </row>
        <row r="7730">
          <cell r="G7730" t="str">
            <v>Xã Diên Thọ</v>
          </cell>
          <cell r="I7730" t="str">
            <v>51107</v>
          </cell>
        </row>
        <row r="7731">
          <cell r="G7731" t="str">
            <v>Xã Diên Lạc</v>
          </cell>
          <cell r="I7731" t="str">
            <v>51107</v>
          </cell>
        </row>
        <row r="7732">
          <cell r="G7732" t="str">
            <v>Xã Diên Tân</v>
          </cell>
          <cell r="I7732" t="str">
            <v>51107</v>
          </cell>
        </row>
        <row r="7733">
          <cell r="G7733" t="str">
            <v>Xã Diên Hòa</v>
          </cell>
          <cell r="I7733" t="str">
            <v>51107</v>
          </cell>
        </row>
        <row r="7734">
          <cell r="G7734" t="str">
            <v>Xã Diên Toàn</v>
          </cell>
          <cell r="I7734" t="str">
            <v>51107</v>
          </cell>
        </row>
        <row r="7735">
          <cell r="G7735" t="str">
            <v>Xã Diên An</v>
          </cell>
          <cell r="I7735" t="str">
            <v>51107</v>
          </cell>
        </row>
        <row r="7736">
          <cell r="G7736" t="str">
            <v>Xã Diên Bình</v>
          </cell>
          <cell r="I7736" t="str">
            <v>51107</v>
          </cell>
        </row>
        <row r="7737">
          <cell r="G7737" t="str">
            <v>Xã Diên Lộc</v>
          </cell>
          <cell r="I7737" t="str">
            <v>51107</v>
          </cell>
        </row>
        <row r="7738">
          <cell r="G7738" t="str">
            <v>Phường Cam Thuận</v>
          </cell>
          <cell r="I7738" t="str">
            <v>51109</v>
          </cell>
        </row>
        <row r="7739">
          <cell r="G7739" t="str">
            <v>Xã Cam Bình</v>
          </cell>
          <cell r="I7739" t="str">
            <v>51109</v>
          </cell>
        </row>
        <row r="7740">
          <cell r="G7740" t="str">
            <v>Phường Cam Nghĩa</v>
          </cell>
          <cell r="I7740" t="str">
            <v>51109</v>
          </cell>
        </row>
        <row r="7741">
          <cell r="G7741" t="str">
            <v>Phường Cam Phúc Bắc</v>
          </cell>
          <cell r="I7741" t="str">
            <v>51109</v>
          </cell>
        </row>
        <row r="7742">
          <cell r="G7742" t="str">
            <v>Phường Cam Phúc Nam</v>
          </cell>
          <cell r="I7742" t="str">
            <v>51109</v>
          </cell>
        </row>
        <row r="7743">
          <cell r="G7743" t="str">
            <v>Phường Cam Lộc</v>
          </cell>
          <cell r="I7743" t="str">
            <v>51109</v>
          </cell>
        </row>
        <row r="7744">
          <cell r="G7744" t="str">
            <v>Phường Cam Phú</v>
          </cell>
          <cell r="I7744" t="str">
            <v>51109</v>
          </cell>
        </row>
        <row r="7745">
          <cell r="G7745" t="str">
            <v>Phường Ba Ngòi</v>
          </cell>
          <cell r="I7745" t="str">
            <v>51109</v>
          </cell>
        </row>
        <row r="7746">
          <cell r="G7746" t="str">
            <v>Phường Cam Lợi</v>
          </cell>
          <cell r="I7746" t="str">
            <v>51109</v>
          </cell>
        </row>
        <row r="7747">
          <cell r="G7747" t="str">
            <v>Phường Cam Linh</v>
          </cell>
          <cell r="I7747" t="str">
            <v>51109</v>
          </cell>
        </row>
        <row r="7748">
          <cell r="G7748" t="str">
            <v>Xã Cam Thành Nam</v>
          </cell>
          <cell r="I7748" t="str">
            <v>51109</v>
          </cell>
        </row>
        <row r="7749">
          <cell r="G7749" t="str">
            <v>Xã Cam Phước Đông</v>
          </cell>
          <cell r="I7749" t="str">
            <v>51109</v>
          </cell>
        </row>
        <row r="7750">
          <cell r="G7750" t="str">
            <v>Xã Cam Thịnh Tây</v>
          </cell>
          <cell r="I7750" t="str">
            <v>51109</v>
          </cell>
        </row>
        <row r="7751">
          <cell r="G7751" t="str">
            <v>Xã Cam Thịnh Đông</v>
          </cell>
          <cell r="I7751" t="str">
            <v>51109</v>
          </cell>
        </row>
        <row r="7752">
          <cell r="G7752" t="str">
            <v>Xã Cam Lập</v>
          </cell>
          <cell r="I7752" t="str">
            <v>51109</v>
          </cell>
        </row>
        <row r="7753">
          <cell r="G7753" t="str">
            <v>Xã Cầu Bà</v>
          </cell>
          <cell r="I7753" t="str">
            <v>51111</v>
          </cell>
        </row>
        <row r="7754">
          <cell r="G7754" t="str">
            <v>Thị trấn Khánh Vĩnh</v>
          </cell>
          <cell r="I7754" t="str">
            <v>51111</v>
          </cell>
        </row>
        <row r="7755">
          <cell r="G7755" t="str">
            <v xml:space="preserve">Xã Khánh Thượng  </v>
          </cell>
          <cell r="I7755" t="str">
            <v>51111</v>
          </cell>
        </row>
        <row r="7756">
          <cell r="G7756" t="str">
            <v>Xã Liên Sang</v>
          </cell>
          <cell r="I7756" t="str">
            <v>51111</v>
          </cell>
        </row>
        <row r="7757">
          <cell r="G7757" t="str">
            <v>Xã Khánh Hiệp</v>
          </cell>
          <cell r="I7757" t="str">
            <v>51111</v>
          </cell>
        </row>
        <row r="7758">
          <cell r="G7758" t="str">
            <v>Xã Khánh Bình</v>
          </cell>
          <cell r="I7758" t="str">
            <v>51111</v>
          </cell>
        </row>
        <row r="7759">
          <cell r="G7759" t="str">
            <v xml:space="preserve">Xã Khánh Trung </v>
          </cell>
          <cell r="I7759" t="str">
            <v>51111</v>
          </cell>
        </row>
        <row r="7760">
          <cell r="G7760" t="str">
            <v>Xã Khánh Đông</v>
          </cell>
          <cell r="I7760" t="str">
            <v>51111</v>
          </cell>
        </row>
        <row r="7761">
          <cell r="G7761" t="str">
            <v>Xã Khánh Nam</v>
          </cell>
          <cell r="I7761" t="str">
            <v>51111</v>
          </cell>
        </row>
        <row r="7762">
          <cell r="G7762" t="str">
            <v>Xã Sông Cầu</v>
          </cell>
          <cell r="I7762" t="str">
            <v>51111</v>
          </cell>
        </row>
        <row r="7763">
          <cell r="G7763" t="str">
            <v>Xã Giang Ly</v>
          </cell>
          <cell r="I7763" t="str">
            <v>51111</v>
          </cell>
        </row>
        <row r="7764">
          <cell r="G7764" t="str">
            <v xml:space="preserve">Xã Khánh Thành  </v>
          </cell>
          <cell r="I7764" t="str">
            <v>51111</v>
          </cell>
        </row>
        <row r="7765">
          <cell r="G7765" t="str">
            <v xml:space="preserve">Xã Khánh Phú </v>
          </cell>
          <cell r="I7765" t="str">
            <v>51111</v>
          </cell>
        </row>
        <row r="7766">
          <cell r="G7766" t="str">
            <v>Xã Sơn Thái</v>
          </cell>
          <cell r="I7766" t="str">
            <v>51111</v>
          </cell>
        </row>
        <row r="7767">
          <cell r="G7767" t="str">
            <v>Thị trấn Tô Hạp</v>
          </cell>
          <cell r="I7767" t="str">
            <v>51113</v>
          </cell>
        </row>
        <row r="7768">
          <cell r="G7768" t="str">
            <v xml:space="preserve">Xã Sơn Bình  </v>
          </cell>
          <cell r="I7768" t="str">
            <v>51113</v>
          </cell>
        </row>
        <row r="7769">
          <cell r="G7769" t="str">
            <v xml:space="preserve">Xã Thành Sơn   </v>
          </cell>
          <cell r="I7769" t="str">
            <v>51113</v>
          </cell>
        </row>
        <row r="7770">
          <cell r="G7770" t="str">
            <v xml:space="preserve">Xã Sơn Lâm </v>
          </cell>
          <cell r="I7770" t="str">
            <v>51113</v>
          </cell>
        </row>
        <row r="7771">
          <cell r="G7771" t="str">
            <v>Xã Sơn Hiệp</v>
          </cell>
          <cell r="I7771" t="str">
            <v>51113</v>
          </cell>
        </row>
        <row r="7772">
          <cell r="G7772" t="str">
            <v xml:space="preserve">Xã Sơn Trung  </v>
          </cell>
          <cell r="I7772" t="str">
            <v>51113</v>
          </cell>
        </row>
        <row r="7773">
          <cell r="G7773" t="str">
            <v>Xã Ba Cụm Bắc</v>
          </cell>
          <cell r="I7773" t="str">
            <v>51113</v>
          </cell>
        </row>
        <row r="7774">
          <cell r="G7774" t="str">
            <v>Xã Ba Cụm Nam</v>
          </cell>
          <cell r="I7774" t="str">
            <v>51113</v>
          </cell>
        </row>
        <row r="7775">
          <cell r="G7775" t="str">
            <v>Thị trấn Trường Sa</v>
          </cell>
          <cell r="I7775" t="str">
            <v>51115</v>
          </cell>
        </row>
        <row r="7776">
          <cell r="G7776" t="str">
            <v>Xã Song Tử Tây</v>
          </cell>
          <cell r="I7776" t="str">
            <v>51115</v>
          </cell>
        </row>
        <row r="7777">
          <cell r="G7777" t="str">
            <v>Xã Sinh Tồn</v>
          </cell>
          <cell r="I7777" t="str">
            <v>51115</v>
          </cell>
        </row>
        <row r="7778">
          <cell r="G7778" t="str">
            <v>Thị trấn Cam Đức</v>
          </cell>
          <cell r="I7778" t="str">
            <v>51117</v>
          </cell>
        </row>
        <row r="7779">
          <cell r="G7779" t="str">
            <v>Xã Suối Cát</v>
          </cell>
          <cell r="I7779" t="str">
            <v>51117</v>
          </cell>
        </row>
        <row r="7780">
          <cell r="G7780" t="str">
            <v>Xã Suối Tân</v>
          </cell>
          <cell r="I7780" t="str">
            <v>51117</v>
          </cell>
        </row>
        <row r="7781">
          <cell r="G7781" t="str">
            <v>Xã Cam Tân</v>
          </cell>
          <cell r="I7781" t="str">
            <v>51117</v>
          </cell>
        </row>
        <row r="7782">
          <cell r="G7782" t="str">
            <v>Xã Cam Hòa</v>
          </cell>
          <cell r="I7782" t="str">
            <v>51117</v>
          </cell>
        </row>
        <row r="7783">
          <cell r="G7783" t="str">
            <v>Xã Cam Hải Đông</v>
          </cell>
          <cell r="I7783" t="str">
            <v>51117</v>
          </cell>
        </row>
        <row r="7784">
          <cell r="G7784" t="str">
            <v>Xã Cam Hải Tây</v>
          </cell>
          <cell r="I7784" t="str">
            <v>51117</v>
          </cell>
        </row>
        <row r="7785">
          <cell r="G7785" t="str">
            <v>Xã Cam Hiệp Bắc</v>
          </cell>
          <cell r="I7785" t="str">
            <v>51117</v>
          </cell>
        </row>
        <row r="7786">
          <cell r="G7786" t="str">
            <v>Xã Cam Hiệp Nam</v>
          </cell>
          <cell r="I7786" t="str">
            <v>51117</v>
          </cell>
        </row>
        <row r="7787">
          <cell r="G7787" t="str">
            <v>Xã Cam Thành Bắc</v>
          </cell>
          <cell r="I7787" t="str">
            <v>51117</v>
          </cell>
        </row>
        <row r="7788">
          <cell r="G7788" t="str">
            <v>Xã Cam An Bắc</v>
          </cell>
          <cell r="I7788" t="str">
            <v>51117</v>
          </cell>
        </row>
        <row r="7789">
          <cell r="G7789" t="str">
            <v>Xã Cam An Nam</v>
          </cell>
          <cell r="I7789" t="str">
            <v>51117</v>
          </cell>
        </row>
        <row r="7790">
          <cell r="G7790" t="str">
            <v>Xã Cam Phước Tây</v>
          </cell>
          <cell r="I7790" t="str">
            <v>51117</v>
          </cell>
        </row>
        <row r="7791">
          <cell r="G7791" t="str">
            <v xml:space="preserve">Xã Sơn Tân  </v>
          </cell>
          <cell r="I7791" t="str">
            <v>51117</v>
          </cell>
        </row>
        <row r="7792">
          <cell r="G7792" t="str">
            <v xml:space="preserve">Phường Lê Lợi      </v>
          </cell>
          <cell r="I7792" t="str">
            <v>60101</v>
          </cell>
        </row>
        <row r="7793">
          <cell r="G7793" t="str">
            <v xml:space="preserve">Xã Hòa Bình             </v>
          </cell>
          <cell r="I7793" t="str">
            <v>60101</v>
          </cell>
        </row>
        <row r="7794">
          <cell r="G7794" t="str">
            <v xml:space="preserve">Phường Quang Trung              </v>
          </cell>
          <cell r="I7794" t="str">
            <v>60101</v>
          </cell>
        </row>
        <row r="7795">
          <cell r="G7795" t="str">
            <v xml:space="preserve">Phường Thắng Lợi </v>
          </cell>
          <cell r="I7795" t="str">
            <v>60101</v>
          </cell>
        </row>
        <row r="7796">
          <cell r="G7796" t="str">
            <v xml:space="preserve">Phường Trần Hưng Đạo        </v>
          </cell>
          <cell r="I7796" t="str">
            <v>60101</v>
          </cell>
        </row>
        <row r="7797">
          <cell r="G7797" t="str">
            <v>Xã Đắk Blà</v>
          </cell>
          <cell r="I7797" t="str">
            <v>60101</v>
          </cell>
        </row>
        <row r="7798">
          <cell r="G7798" t="str">
            <v>Xã Đắk Rơ Wa</v>
          </cell>
          <cell r="I7798" t="str">
            <v>60101</v>
          </cell>
        </row>
        <row r="7799">
          <cell r="G7799" t="str">
            <v>Phường Duy Tân</v>
          </cell>
          <cell r="I7799" t="str">
            <v>60101</v>
          </cell>
        </row>
        <row r="7800">
          <cell r="G7800" t="str">
            <v xml:space="preserve">Phường Quyết Thắng  </v>
          </cell>
          <cell r="I7800" t="str">
            <v>60101</v>
          </cell>
        </row>
        <row r="7801">
          <cell r="G7801" t="str">
            <v>Phường Trường Chinh</v>
          </cell>
          <cell r="I7801" t="str">
            <v>60101</v>
          </cell>
        </row>
        <row r="7802">
          <cell r="G7802" t="str">
            <v xml:space="preserve">Phường Ngô Mây </v>
          </cell>
          <cell r="I7802" t="str">
            <v>60101</v>
          </cell>
        </row>
        <row r="7803">
          <cell r="G7803" t="str">
            <v xml:space="preserve">Phường Thống Nhất  </v>
          </cell>
          <cell r="I7803" t="str">
            <v>60101</v>
          </cell>
        </row>
        <row r="7804">
          <cell r="G7804" t="str">
            <v xml:space="preserve">Phường Nguyễn Trãi   </v>
          </cell>
          <cell r="I7804" t="str">
            <v>60101</v>
          </cell>
        </row>
        <row r="7805">
          <cell r="G7805" t="str">
            <v>Xã Đắk Cấm</v>
          </cell>
          <cell r="I7805" t="str">
            <v>60101</v>
          </cell>
        </row>
        <row r="7806">
          <cell r="G7806" t="str">
            <v>Xã Kroong</v>
          </cell>
          <cell r="I7806" t="str">
            <v>60101</v>
          </cell>
        </row>
        <row r="7807">
          <cell r="G7807" t="str">
            <v>Xã Ngọk Bay</v>
          </cell>
          <cell r="I7807" t="str">
            <v>60101</v>
          </cell>
        </row>
        <row r="7808">
          <cell r="G7808" t="str">
            <v xml:space="preserve">Xã Vinh Quang   </v>
          </cell>
          <cell r="I7808" t="str">
            <v>60101</v>
          </cell>
        </row>
        <row r="7809">
          <cell r="G7809" t="str">
            <v>Xã Ia Chim</v>
          </cell>
          <cell r="I7809" t="str">
            <v>60101</v>
          </cell>
        </row>
        <row r="7810">
          <cell r="G7810" t="str">
            <v xml:space="preserve">Xã Đoàn Kết     </v>
          </cell>
          <cell r="I7810" t="str">
            <v>60101</v>
          </cell>
        </row>
        <row r="7811">
          <cell r="G7811" t="str">
            <v>Xã Chư Hreng</v>
          </cell>
          <cell r="I7811" t="str">
            <v>60101</v>
          </cell>
        </row>
        <row r="7812">
          <cell r="G7812" t="str">
            <v>Xã Đăk Năng</v>
          </cell>
          <cell r="I7812" t="str">
            <v>60101</v>
          </cell>
        </row>
        <row r="7813">
          <cell r="G7813" t="str">
            <v>Xã Đắk Môn</v>
          </cell>
          <cell r="I7813" t="str">
            <v>60103</v>
          </cell>
        </row>
        <row r="7814">
          <cell r="G7814" t="str">
            <v>Xã Đắk Man</v>
          </cell>
          <cell r="I7814" t="str">
            <v>60103</v>
          </cell>
        </row>
        <row r="7815">
          <cell r="G7815" t="str">
            <v>Xã Đắk Choong</v>
          </cell>
          <cell r="I7815" t="str">
            <v>60103</v>
          </cell>
        </row>
        <row r="7816">
          <cell r="G7816" t="str">
            <v>Xã Đắk KRoong</v>
          </cell>
          <cell r="I7816" t="str">
            <v>60103</v>
          </cell>
        </row>
        <row r="7817">
          <cell r="G7817" t="str">
            <v>Thị trấn Đắk Glei</v>
          </cell>
          <cell r="I7817" t="str">
            <v>60103</v>
          </cell>
        </row>
        <row r="7818">
          <cell r="G7818" t="str">
            <v>Xã Đắk Plô</v>
          </cell>
          <cell r="I7818" t="str">
            <v>60103</v>
          </cell>
        </row>
        <row r="7819">
          <cell r="G7819" t="str">
            <v>Xã Đắk Nhoong</v>
          </cell>
          <cell r="I7819" t="str">
            <v>60103</v>
          </cell>
        </row>
        <row r="7820">
          <cell r="G7820" t="str">
            <v>Xã Đắk Pék</v>
          </cell>
          <cell r="I7820" t="str">
            <v>60103</v>
          </cell>
        </row>
        <row r="7821">
          <cell r="G7821" t="str">
            <v>Xã Xốp</v>
          </cell>
          <cell r="I7821" t="str">
            <v>60103</v>
          </cell>
        </row>
        <row r="7822">
          <cell r="G7822" t="str">
            <v>Xã Mường Hoong</v>
          </cell>
          <cell r="I7822" t="str">
            <v>60103</v>
          </cell>
        </row>
        <row r="7823">
          <cell r="G7823" t="str">
            <v xml:space="preserve">Xã Ngọc Linh </v>
          </cell>
          <cell r="I7823" t="str">
            <v>60103</v>
          </cell>
        </row>
        <row r="7824">
          <cell r="G7824" t="str">
            <v>Xã Đắk Long</v>
          </cell>
          <cell r="I7824" t="str">
            <v>60103</v>
          </cell>
        </row>
        <row r="7825">
          <cell r="G7825" t="str">
            <v>Xã Đắk Dục</v>
          </cell>
          <cell r="I7825" t="str">
            <v>60105</v>
          </cell>
        </row>
        <row r="7826">
          <cell r="G7826" t="str">
            <v>Xã Đắk Kan</v>
          </cell>
          <cell r="I7826" t="str">
            <v>60105</v>
          </cell>
        </row>
        <row r="7827">
          <cell r="G7827" t="str">
            <v>Thị trấn Plei Cần</v>
          </cell>
          <cell r="I7827" t="str">
            <v>60105</v>
          </cell>
        </row>
        <row r="7828">
          <cell r="G7828" t="str">
            <v>Xã Đắk Ang</v>
          </cell>
          <cell r="I7828" t="str">
            <v>60105</v>
          </cell>
        </row>
        <row r="7829">
          <cell r="G7829" t="str">
            <v>Xã Đắk Nông</v>
          </cell>
          <cell r="I7829" t="str">
            <v>60105</v>
          </cell>
        </row>
        <row r="7830">
          <cell r="G7830" t="str">
            <v>Xã Đắk Xú</v>
          </cell>
          <cell r="I7830" t="str">
            <v>60105</v>
          </cell>
        </row>
        <row r="7831">
          <cell r="G7831" t="str">
            <v>Xã Pờ Y</v>
          </cell>
          <cell r="I7831" t="str">
            <v>60105</v>
          </cell>
        </row>
        <row r="7832">
          <cell r="G7832" t="str">
            <v>Xã Sa Loong</v>
          </cell>
          <cell r="I7832" t="str">
            <v>60105</v>
          </cell>
        </row>
        <row r="7833">
          <cell r="G7833" t="str">
            <v>Xã Ngọk Tụ</v>
          </cell>
          <cell r="I7833" t="str">
            <v>60107</v>
          </cell>
        </row>
        <row r="7834">
          <cell r="G7834" t="str">
            <v>Xã Đắk Trăm</v>
          </cell>
          <cell r="I7834" t="str">
            <v>60107</v>
          </cell>
        </row>
        <row r="7835">
          <cell r="G7835" t="str">
            <v>Xã Văn Lem</v>
          </cell>
          <cell r="I7835" t="str">
            <v>60107</v>
          </cell>
        </row>
        <row r="7836">
          <cell r="G7836" t="str">
            <v>Xã Kon Đào</v>
          </cell>
          <cell r="I7836" t="str">
            <v>60107</v>
          </cell>
        </row>
        <row r="7837">
          <cell r="G7837" t="str">
            <v>Xã Tân Cảnh</v>
          </cell>
          <cell r="I7837" t="str">
            <v>60107</v>
          </cell>
        </row>
        <row r="7838">
          <cell r="G7838" t="str">
            <v xml:space="preserve">Xã Diên Bình </v>
          </cell>
          <cell r="I7838" t="str">
            <v>60107</v>
          </cell>
        </row>
        <row r="7839">
          <cell r="G7839" t="str">
            <v>Xã Pô Kô</v>
          </cell>
          <cell r="I7839" t="str">
            <v>60107</v>
          </cell>
        </row>
        <row r="7840">
          <cell r="G7840" t="str">
            <v>Xã Đắk Rơ Nga</v>
          </cell>
          <cell r="I7840" t="str">
            <v>60107</v>
          </cell>
        </row>
        <row r="7841">
          <cell r="G7841" t="str">
            <v>Thị trấn Đắk Tô</v>
          </cell>
          <cell r="I7841" t="str">
            <v>60107</v>
          </cell>
        </row>
        <row r="7842">
          <cell r="G7842" t="str">
            <v>Xã Đắk Tờ Re</v>
          </cell>
          <cell r="I7842" t="str">
            <v>60108</v>
          </cell>
        </row>
        <row r="7843">
          <cell r="G7843" t="str">
            <v>Xã Đắk Ruồng</v>
          </cell>
          <cell r="I7843" t="str">
            <v>60108</v>
          </cell>
        </row>
        <row r="7844">
          <cell r="G7844" t="str">
            <v>Thị trấn Đắk Rve</v>
          </cell>
          <cell r="I7844" t="str">
            <v>60108</v>
          </cell>
        </row>
        <row r="7845">
          <cell r="G7845" t="str">
            <v>Xã Đắk Kôi</v>
          </cell>
          <cell r="I7845" t="str">
            <v>60108</v>
          </cell>
        </row>
        <row r="7846">
          <cell r="G7846" t="str">
            <v>Xã Đắk Tơ Lung</v>
          </cell>
          <cell r="I7846" t="str">
            <v>60108</v>
          </cell>
        </row>
        <row r="7847">
          <cell r="G7847" t="str">
            <v>Xã Đắk Pne</v>
          </cell>
          <cell r="I7847" t="str">
            <v>60108</v>
          </cell>
        </row>
        <row r="7848">
          <cell r="G7848" t="str">
            <v xml:space="preserve">Xã Tân Lập                </v>
          </cell>
          <cell r="I7848" t="str">
            <v>60108</v>
          </cell>
        </row>
        <row r="7849">
          <cell r="G7849" t="str">
            <v>Xã Măng Buk</v>
          </cell>
          <cell r="I7849" t="str">
            <v>60109</v>
          </cell>
        </row>
        <row r="7850">
          <cell r="G7850" t="str">
            <v>Xã Đắk Ring</v>
          </cell>
          <cell r="I7850" t="str">
            <v>60109</v>
          </cell>
        </row>
        <row r="7851">
          <cell r="G7851" t="str">
            <v>Xã Pờ ê</v>
          </cell>
          <cell r="I7851" t="str">
            <v>60109</v>
          </cell>
        </row>
        <row r="7852">
          <cell r="G7852" t="str">
            <v>Xã Hiếu</v>
          </cell>
          <cell r="I7852" t="str">
            <v>60109</v>
          </cell>
        </row>
        <row r="7853">
          <cell r="G7853" t="str">
            <v>Xã Đắk Nên</v>
          </cell>
          <cell r="I7853" t="str">
            <v>60109</v>
          </cell>
        </row>
        <row r="7854">
          <cell r="G7854" t="str">
            <v>Xã Đắk Tăng</v>
          </cell>
          <cell r="I7854" t="str">
            <v>60109</v>
          </cell>
        </row>
        <row r="7855">
          <cell r="G7855" t="str">
            <v>Xã Ngok Tem</v>
          </cell>
          <cell r="I7855" t="str">
            <v>60109</v>
          </cell>
        </row>
        <row r="7856">
          <cell r="G7856" t="str">
            <v>Xã Măng Cành</v>
          </cell>
          <cell r="I7856" t="str">
            <v>60109</v>
          </cell>
        </row>
        <row r="7857">
          <cell r="G7857" t="str">
            <v xml:space="preserve">Xã Đắk Long </v>
          </cell>
          <cell r="I7857" t="str">
            <v>60109</v>
          </cell>
        </row>
        <row r="7858">
          <cell r="G7858" t="str">
            <v>Thị trấn Đắk Hà</v>
          </cell>
          <cell r="I7858" t="str">
            <v>60111</v>
          </cell>
        </row>
        <row r="7859">
          <cell r="G7859" t="str">
            <v>Xã Đắk Mar</v>
          </cell>
          <cell r="I7859" t="str">
            <v>60111</v>
          </cell>
        </row>
        <row r="7860">
          <cell r="G7860" t="str">
            <v>Xã Đắk La</v>
          </cell>
          <cell r="I7860" t="str">
            <v>60111</v>
          </cell>
        </row>
        <row r="7861">
          <cell r="G7861" t="str">
            <v>Xã Đắk PXi</v>
          </cell>
          <cell r="I7861" t="str">
            <v>60111</v>
          </cell>
        </row>
        <row r="7862">
          <cell r="G7862" t="str">
            <v>Xã Đắk HRing</v>
          </cell>
          <cell r="I7862" t="str">
            <v>60111</v>
          </cell>
        </row>
        <row r="7863">
          <cell r="G7863" t="str">
            <v>Xã Đắk Ui</v>
          </cell>
          <cell r="I7863" t="str">
            <v>60111</v>
          </cell>
        </row>
        <row r="7864">
          <cell r="G7864" t="str">
            <v>Xã Ngok Wang</v>
          </cell>
          <cell r="I7864" t="str">
            <v>60111</v>
          </cell>
        </row>
        <row r="7865">
          <cell r="G7865" t="str">
            <v>Xã Ngok Réo</v>
          </cell>
          <cell r="I7865" t="str">
            <v>60111</v>
          </cell>
        </row>
        <row r="7866">
          <cell r="G7866" t="str">
            <v>Xã Hà Mòn</v>
          </cell>
          <cell r="I7866" t="str">
            <v>60111</v>
          </cell>
        </row>
        <row r="7867">
          <cell r="G7867" t="str">
            <v>Xã Đăk Long</v>
          </cell>
          <cell r="I7867" t="str">
            <v>60111</v>
          </cell>
        </row>
        <row r="7868">
          <cell r="G7868" t="str">
            <v>Xã Đăk Ngọk</v>
          </cell>
          <cell r="I7868" t="str">
            <v>60111</v>
          </cell>
        </row>
        <row r="7869">
          <cell r="G7869" t="str">
            <v>Xã Rơ Kơi</v>
          </cell>
          <cell r="I7869" t="str">
            <v>60113</v>
          </cell>
        </row>
        <row r="7870">
          <cell r="G7870" t="str">
            <v>Xã Ya ly</v>
          </cell>
          <cell r="I7870" t="str">
            <v>60113</v>
          </cell>
        </row>
        <row r="7871">
          <cell r="G7871" t="str">
            <v>Xã Mô Rai</v>
          </cell>
          <cell r="I7871" t="str">
            <v>60113</v>
          </cell>
        </row>
        <row r="7872">
          <cell r="G7872" t="str">
            <v>Xã Sa Bình</v>
          </cell>
          <cell r="I7872" t="str">
            <v>60113</v>
          </cell>
        </row>
        <row r="7873">
          <cell r="G7873" t="str">
            <v>Thị trấn Sa Thầy</v>
          </cell>
          <cell r="I7873" t="str">
            <v>60113</v>
          </cell>
        </row>
        <row r="7874">
          <cell r="G7874" t="str">
            <v>Xã Sa Nhơn</v>
          </cell>
          <cell r="I7874" t="str">
            <v>60113</v>
          </cell>
        </row>
        <row r="7875">
          <cell r="G7875" t="str">
            <v>Xã Hơ Moong</v>
          </cell>
          <cell r="I7875" t="str">
            <v>60113</v>
          </cell>
        </row>
        <row r="7876">
          <cell r="G7876" t="str">
            <v>Xã Sa Sơn</v>
          </cell>
          <cell r="I7876" t="str">
            <v>60113</v>
          </cell>
        </row>
        <row r="7877">
          <cell r="G7877" t="str">
            <v>Xã Sa Nghĩa</v>
          </cell>
          <cell r="I7877" t="str">
            <v>60113</v>
          </cell>
        </row>
        <row r="7878">
          <cell r="G7878" t="str">
            <v>Xã Ya Xiêr</v>
          </cell>
          <cell r="I7878" t="str">
            <v>60113</v>
          </cell>
        </row>
        <row r="7879">
          <cell r="G7879" t="str">
            <v>Xã Ya Tăng</v>
          </cell>
          <cell r="I7879" t="str">
            <v>60113</v>
          </cell>
        </row>
        <row r="7880">
          <cell r="G7880" t="str">
            <v>Xã Ia Dom</v>
          </cell>
          <cell r="I7880" t="str">
            <v>60114</v>
          </cell>
        </row>
        <row r="7881">
          <cell r="G7881" t="str">
            <v>Xã Ia Dal</v>
          </cell>
          <cell r="I7881" t="str">
            <v>60114</v>
          </cell>
        </row>
        <row r="7882">
          <cell r="G7882" t="str">
            <v>Xã Ia Tơi</v>
          </cell>
          <cell r="I7882" t="str">
            <v>60114</v>
          </cell>
        </row>
        <row r="7883">
          <cell r="G7883" t="str">
            <v>Xã Đắk Tơ Kan</v>
          </cell>
          <cell r="I7883" t="str">
            <v>60115</v>
          </cell>
        </row>
        <row r="7884">
          <cell r="G7884" t="str">
            <v>Xã Ngọk Lây</v>
          </cell>
          <cell r="I7884" t="str">
            <v>60115</v>
          </cell>
        </row>
        <row r="7885">
          <cell r="G7885" t="str">
            <v>Xã Đắk Na</v>
          </cell>
          <cell r="I7885" t="str">
            <v>60115</v>
          </cell>
        </row>
        <row r="7886">
          <cell r="G7886" t="str">
            <v>Xã Măng Ri</v>
          </cell>
          <cell r="I7886" t="str">
            <v>60115</v>
          </cell>
        </row>
        <row r="7887">
          <cell r="G7887" t="str">
            <v>Xã Ngok Yêu</v>
          </cell>
          <cell r="I7887" t="str">
            <v>60115</v>
          </cell>
        </row>
        <row r="7888">
          <cell r="G7888" t="str">
            <v>Xã Đắk Sao</v>
          </cell>
          <cell r="I7888" t="str">
            <v>60115</v>
          </cell>
        </row>
        <row r="7889">
          <cell r="G7889" t="str">
            <v>Xã Đắk Rơ Ông</v>
          </cell>
          <cell r="I7889" t="str">
            <v>60115</v>
          </cell>
        </row>
        <row r="7890">
          <cell r="G7890" t="str">
            <v>Xã Tu Mơ Rông</v>
          </cell>
          <cell r="I7890" t="str">
            <v>60115</v>
          </cell>
        </row>
        <row r="7891">
          <cell r="G7891" t="str">
            <v>Xã Đắk Hà</v>
          </cell>
          <cell r="I7891" t="str">
            <v>60115</v>
          </cell>
        </row>
        <row r="7892">
          <cell r="G7892" t="str">
            <v>Xã Tê Xăng</v>
          </cell>
          <cell r="I7892" t="str">
            <v>60115</v>
          </cell>
        </row>
        <row r="7893">
          <cell r="G7893" t="str">
            <v>Xã Văn Xuôi</v>
          </cell>
          <cell r="I7893" t="str">
            <v>60115</v>
          </cell>
        </row>
        <row r="7894">
          <cell r="G7894" t="str">
            <v xml:space="preserve">Phường Tây Sơn </v>
          </cell>
          <cell r="I7894" t="str">
            <v>60301</v>
          </cell>
        </row>
        <row r="7895">
          <cell r="G7895" t="str">
            <v>Phường Yên Đỗ</v>
          </cell>
          <cell r="I7895" t="str">
            <v>60301</v>
          </cell>
        </row>
        <row r="7896">
          <cell r="G7896" t="str">
            <v>Phường Hội Phú</v>
          </cell>
          <cell r="I7896" t="str">
            <v>60301</v>
          </cell>
        </row>
        <row r="7897">
          <cell r="G7897" t="str">
            <v>Phường Trà Bá</v>
          </cell>
          <cell r="I7897" t="str">
            <v>60301</v>
          </cell>
        </row>
        <row r="7898">
          <cell r="G7898" t="str">
            <v xml:space="preserve">Xã Tân Sơn        </v>
          </cell>
          <cell r="I7898" t="str">
            <v>60301</v>
          </cell>
        </row>
        <row r="7899">
          <cell r="G7899" t="str">
            <v xml:space="preserve">Xã Diên Phú </v>
          </cell>
          <cell r="I7899" t="str">
            <v>60301</v>
          </cell>
        </row>
        <row r="7900">
          <cell r="G7900" t="str">
            <v>Phường Diên Hồng</v>
          </cell>
          <cell r="I7900" t="str">
            <v>60301</v>
          </cell>
        </row>
        <row r="7901">
          <cell r="G7901" t="str">
            <v>Phường Ia Kring</v>
          </cell>
          <cell r="I7901" t="str">
            <v>60301</v>
          </cell>
        </row>
        <row r="7902">
          <cell r="G7902" t="str">
            <v>Phường Hội Thương</v>
          </cell>
          <cell r="I7902" t="str">
            <v>60301</v>
          </cell>
        </row>
        <row r="7903">
          <cell r="G7903" t="str">
            <v>Phường Hoa Lư</v>
          </cell>
          <cell r="I7903" t="str">
            <v>60301</v>
          </cell>
        </row>
        <row r="7904">
          <cell r="G7904" t="str">
            <v xml:space="preserve">Phường Thống Nhất   </v>
          </cell>
          <cell r="I7904" t="str">
            <v>60301</v>
          </cell>
        </row>
        <row r="7905">
          <cell r="G7905" t="str">
            <v>Phường Yên Thế</v>
          </cell>
          <cell r="I7905" t="str">
            <v>60301</v>
          </cell>
        </row>
        <row r="7906">
          <cell r="G7906" t="str">
            <v>Xã Chư HDrông</v>
          </cell>
          <cell r="I7906" t="str">
            <v>60301</v>
          </cell>
        </row>
        <row r="7907">
          <cell r="G7907" t="str">
            <v>Xã Biển Hồ</v>
          </cell>
          <cell r="I7907" t="str">
            <v>60301</v>
          </cell>
        </row>
        <row r="7908">
          <cell r="G7908" t="str">
            <v>Xã Trà Đa</v>
          </cell>
          <cell r="I7908" t="str">
            <v>60301</v>
          </cell>
        </row>
        <row r="7909">
          <cell r="G7909" t="str">
            <v>Xã Chư á</v>
          </cell>
          <cell r="I7909" t="str">
            <v>60301</v>
          </cell>
        </row>
        <row r="7910">
          <cell r="G7910" t="str">
            <v xml:space="preserve">Xã An Phú   </v>
          </cell>
          <cell r="I7910" t="str">
            <v>60301</v>
          </cell>
        </row>
        <row r="7911">
          <cell r="G7911" t="str">
            <v>Xã Ia Kênh</v>
          </cell>
          <cell r="I7911" t="str">
            <v>60301</v>
          </cell>
        </row>
        <row r="7912">
          <cell r="G7912" t="str">
            <v>Xã Gào</v>
          </cell>
          <cell r="I7912" t="str">
            <v>60301</v>
          </cell>
        </row>
        <row r="7913">
          <cell r="G7913" t="str">
            <v xml:space="preserve">Phường Đống Đa  </v>
          </cell>
          <cell r="I7913" t="str">
            <v>60301</v>
          </cell>
        </row>
        <row r="7914">
          <cell r="G7914" t="str">
            <v xml:space="preserve">Phường Chi Lăng </v>
          </cell>
          <cell r="I7914" t="str">
            <v>60301</v>
          </cell>
        </row>
        <row r="7915">
          <cell r="G7915" t="str">
            <v xml:space="preserve">Phường Thắng Lợi  </v>
          </cell>
          <cell r="I7915" t="str">
            <v>60301</v>
          </cell>
        </row>
        <row r="7916">
          <cell r="G7916" t="str">
            <v>Phường Phù Đổng</v>
          </cell>
          <cell r="I7916" t="str">
            <v>60301</v>
          </cell>
        </row>
        <row r="7917">
          <cell r="G7917" t="str">
            <v>Xã KRong</v>
          </cell>
          <cell r="I7917" t="str">
            <v>60303</v>
          </cell>
        </row>
        <row r="7918">
          <cell r="G7918" t="str">
            <v>Xã Kon Pne</v>
          </cell>
          <cell r="I7918" t="str">
            <v>60303</v>
          </cell>
        </row>
        <row r="7919">
          <cell r="G7919" t="str">
            <v>Xã Sơ Pai</v>
          </cell>
          <cell r="I7919" t="str">
            <v>60303</v>
          </cell>
        </row>
        <row r="7920">
          <cell r="G7920" t="str">
            <v xml:space="preserve">Xã Nghĩa An     </v>
          </cell>
          <cell r="I7920" t="str">
            <v>60303</v>
          </cell>
        </row>
        <row r="7921">
          <cell r="G7921" t="str">
            <v>Xã Đăk HLơ</v>
          </cell>
          <cell r="I7921" t="str">
            <v>60303</v>
          </cell>
        </row>
        <row r="7922">
          <cell r="G7922" t="str">
            <v>Thị trấn KBang</v>
          </cell>
          <cell r="I7922" t="str">
            <v>60303</v>
          </cell>
        </row>
        <row r="7923">
          <cell r="G7923" t="str">
            <v>Xã Đăk Roong</v>
          </cell>
          <cell r="I7923" t="str">
            <v>60303</v>
          </cell>
        </row>
        <row r="7924">
          <cell r="G7924" t="str">
            <v>Xã Sơn Lang</v>
          </cell>
          <cell r="I7924" t="str">
            <v>60303</v>
          </cell>
        </row>
        <row r="7925">
          <cell r="G7925" t="str">
            <v>Xã Lơ Ku</v>
          </cell>
          <cell r="I7925" t="str">
            <v>60303</v>
          </cell>
        </row>
        <row r="7926">
          <cell r="G7926" t="str">
            <v>Xã Đông</v>
          </cell>
          <cell r="I7926" t="str">
            <v>60303</v>
          </cell>
        </row>
        <row r="7927">
          <cell r="G7927" t="str">
            <v>Xã Tơ Tung</v>
          </cell>
          <cell r="I7927" t="str">
            <v>60303</v>
          </cell>
        </row>
        <row r="7928">
          <cell r="G7928" t="str">
            <v>Xã Kông Lơng Khơng</v>
          </cell>
          <cell r="I7928" t="str">
            <v>60303</v>
          </cell>
        </row>
        <row r="7929">
          <cell r="G7929" t="str">
            <v>Xã Kông Pla</v>
          </cell>
          <cell r="I7929" t="str">
            <v>60303</v>
          </cell>
        </row>
        <row r="7930">
          <cell r="G7930" t="str">
            <v>Xã Đăk Smar</v>
          </cell>
          <cell r="I7930" t="str">
            <v>60303</v>
          </cell>
        </row>
        <row r="7931">
          <cell r="G7931" t="str">
            <v>Xã Kon Thụp</v>
          </cell>
          <cell r="I7931" t="str">
            <v>60305</v>
          </cell>
        </row>
        <row r="7932">
          <cell r="G7932" t="str">
            <v>Xã Lơ Pang</v>
          </cell>
          <cell r="I7932" t="str">
            <v>60305</v>
          </cell>
        </row>
        <row r="7933">
          <cell r="G7933" t="str">
            <v>Xã Đăk Trôi</v>
          </cell>
          <cell r="I7933" t="str">
            <v>60305</v>
          </cell>
        </row>
        <row r="7934">
          <cell r="G7934" t="str">
            <v>Xã Hà Ra</v>
          </cell>
          <cell r="I7934" t="str">
            <v>60305</v>
          </cell>
        </row>
        <row r="7935">
          <cell r="G7935" t="str">
            <v>Thị trấn Kon Dơng</v>
          </cell>
          <cell r="I7935" t="str">
            <v>60305</v>
          </cell>
        </row>
        <row r="7936">
          <cell r="G7936" t="str">
            <v>Xã Ayun</v>
          </cell>
          <cell r="I7936" t="str">
            <v>60305</v>
          </cell>
        </row>
        <row r="7937">
          <cell r="G7937" t="str">
            <v>Xã Đăk Yă</v>
          </cell>
          <cell r="I7937" t="str">
            <v>60305</v>
          </cell>
        </row>
        <row r="7938">
          <cell r="G7938" t="str">
            <v>Xã Đăk Djrăng</v>
          </cell>
          <cell r="I7938" t="str">
            <v>60305</v>
          </cell>
        </row>
        <row r="7939">
          <cell r="G7939" t="str">
            <v>Xã Đê Ar</v>
          </cell>
          <cell r="I7939" t="str">
            <v>60305</v>
          </cell>
        </row>
        <row r="7940">
          <cell r="G7940" t="str">
            <v>Xã Kon Chiêng</v>
          </cell>
          <cell r="I7940" t="str">
            <v>60305</v>
          </cell>
        </row>
        <row r="7941">
          <cell r="G7941" t="str">
            <v>Xã ĐăkTaLey</v>
          </cell>
          <cell r="I7941" t="str">
            <v>60305</v>
          </cell>
        </row>
        <row r="7942">
          <cell r="G7942" t="str">
            <v>Xã ĐăkJơTa</v>
          </cell>
          <cell r="I7942" t="str">
            <v>60305</v>
          </cell>
        </row>
        <row r="7943">
          <cell r="G7943" t="str">
            <v xml:space="preserve">Xã Hòa Phú    </v>
          </cell>
          <cell r="I7943" t="str">
            <v>60307</v>
          </cell>
        </row>
        <row r="7944">
          <cell r="G7944" t="str">
            <v>Xã Ia Phí</v>
          </cell>
          <cell r="I7944" t="str">
            <v>60307</v>
          </cell>
        </row>
        <row r="7945">
          <cell r="G7945" t="str">
            <v>Xã Đăk Tơ Ver</v>
          </cell>
          <cell r="I7945" t="str">
            <v>60307</v>
          </cell>
        </row>
        <row r="7946">
          <cell r="G7946" t="str">
            <v>Xã Ia Nhin</v>
          </cell>
          <cell r="I7946" t="str">
            <v>60307</v>
          </cell>
        </row>
        <row r="7947">
          <cell r="G7947" t="str">
            <v xml:space="preserve">Thị trấn Phú Hòa </v>
          </cell>
          <cell r="I7947" t="str">
            <v>60307</v>
          </cell>
        </row>
        <row r="7948">
          <cell r="G7948" t="str">
            <v>Xã Hà Tây</v>
          </cell>
          <cell r="I7948" t="str">
            <v>60307</v>
          </cell>
        </row>
        <row r="7949">
          <cell r="G7949" t="str">
            <v>Xã Ia Khươl</v>
          </cell>
          <cell r="I7949" t="str">
            <v>60307</v>
          </cell>
        </row>
        <row r="7950">
          <cell r="G7950" t="str">
            <v>Thị Trấn Ia Ly</v>
          </cell>
          <cell r="I7950" t="str">
            <v>60307</v>
          </cell>
        </row>
        <row r="7951">
          <cell r="G7951" t="str">
            <v>Xã Ia Mơ Nông</v>
          </cell>
          <cell r="I7951" t="str">
            <v>60307</v>
          </cell>
        </row>
        <row r="7952">
          <cell r="G7952" t="str">
            <v>Xã Chư Đăng Ya</v>
          </cell>
          <cell r="I7952" t="str">
            <v>60307</v>
          </cell>
        </row>
        <row r="7953">
          <cell r="G7953" t="str">
            <v>Xã Ia Ka</v>
          </cell>
          <cell r="I7953" t="str">
            <v>60307</v>
          </cell>
        </row>
        <row r="7954">
          <cell r="G7954" t="str">
            <v xml:space="preserve">Xã Nghĩa Hòa   </v>
          </cell>
          <cell r="I7954" t="str">
            <v>60307</v>
          </cell>
        </row>
        <row r="7955">
          <cell r="G7955" t="str">
            <v>Xã Chư Jôr</v>
          </cell>
          <cell r="I7955" t="str">
            <v>60307</v>
          </cell>
        </row>
        <row r="7956">
          <cell r="G7956" t="str">
            <v xml:space="preserve">Xã Nghĩa Hưng   </v>
          </cell>
          <cell r="I7956" t="str">
            <v>60307</v>
          </cell>
        </row>
        <row r="7957">
          <cell r="G7957" t="str">
            <v>Xã Ia Kreng</v>
          </cell>
          <cell r="I7957" t="str">
            <v>60307</v>
          </cell>
        </row>
        <row r="7958">
          <cell r="G7958" t="str">
            <v>Xã Ia KRai</v>
          </cell>
          <cell r="I7958" t="str">
            <v>60309</v>
          </cell>
        </row>
        <row r="7959">
          <cell r="G7959" t="str">
            <v>Thị trấn Ia Kha</v>
          </cell>
          <cell r="I7959" t="str">
            <v>60309</v>
          </cell>
        </row>
        <row r="7960">
          <cell r="G7960" t="str">
            <v>Xã Ia Tô</v>
          </cell>
          <cell r="I7960" t="str">
            <v>60309</v>
          </cell>
        </row>
        <row r="7961">
          <cell r="G7961" t="str">
            <v>Xã Ia Chia</v>
          </cell>
          <cell r="I7961" t="str">
            <v>60309</v>
          </cell>
        </row>
        <row r="7962">
          <cell r="G7962" t="str">
            <v>Xã Ia Sao</v>
          </cell>
          <cell r="I7962" t="str">
            <v>60309</v>
          </cell>
        </row>
        <row r="7963">
          <cell r="G7963" t="str">
            <v>Xã Ia Hrung</v>
          </cell>
          <cell r="I7963" t="str">
            <v>60309</v>
          </cell>
        </row>
        <row r="7964">
          <cell r="G7964" t="str">
            <v>Xã Ia Khai</v>
          </cell>
          <cell r="I7964" t="str">
            <v>60309</v>
          </cell>
        </row>
        <row r="7965">
          <cell r="G7965" t="str">
            <v>Xã Ia O</v>
          </cell>
          <cell r="I7965" t="str">
            <v>60309</v>
          </cell>
        </row>
        <row r="7966">
          <cell r="G7966" t="str">
            <v>Xã Ia Dêr</v>
          </cell>
          <cell r="I7966" t="str">
            <v>60309</v>
          </cell>
        </row>
        <row r="7967">
          <cell r="G7967" t="str">
            <v>Xã Ia Pếch</v>
          </cell>
          <cell r="I7967" t="str">
            <v>60309</v>
          </cell>
        </row>
        <row r="7968">
          <cell r="G7968" t="str">
            <v>Xã Ia Bă</v>
          </cell>
          <cell r="I7968" t="str">
            <v>60309</v>
          </cell>
        </row>
        <row r="7969">
          <cell r="G7969" t="str">
            <v>Xã Ia Yok</v>
          </cell>
          <cell r="I7969" t="str">
            <v>60309</v>
          </cell>
        </row>
        <row r="7970">
          <cell r="G7970" t="str">
            <v>Xã IaGrăng</v>
          </cell>
          <cell r="I7970" t="str">
            <v>60309</v>
          </cell>
        </row>
        <row r="7971">
          <cell r="G7971" t="str">
            <v>Phường An Bình</v>
          </cell>
          <cell r="I7971" t="str">
            <v>60311</v>
          </cell>
        </row>
        <row r="7972">
          <cell r="G7972" t="str">
            <v xml:space="preserve">Phường Tây Sơn  </v>
          </cell>
          <cell r="I7972" t="str">
            <v>60311</v>
          </cell>
        </row>
        <row r="7973">
          <cell r="G7973" t="str">
            <v>Xã Cửu An</v>
          </cell>
          <cell r="I7973" t="str">
            <v>60311</v>
          </cell>
        </row>
        <row r="7974">
          <cell r="G7974" t="str">
            <v xml:space="preserve">Phường An Phú </v>
          </cell>
          <cell r="I7974" t="str">
            <v>60311</v>
          </cell>
        </row>
        <row r="7975">
          <cell r="G7975" t="str">
            <v>Phường An Tân</v>
          </cell>
          <cell r="I7975" t="str">
            <v>60311</v>
          </cell>
        </row>
        <row r="7976">
          <cell r="G7976" t="str">
            <v>Xã Tú An</v>
          </cell>
          <cell r="I7976" t="str">
            <v>60311</v>
          </cell>
        </row>
        <row r="7977">
          <cell r="G7977" t="str">
            <v xml:space="preserve">Xã Song An </v>
          </cell>
          <cell r="I7977" t="str">
            <v>60311</v>
          </cell>
        </row>
        <row r="7978">
          <cell r="G7978" t="str">
            <v xml:space="preserve">Xã Thành An </v>
          </cell>
          <cell r="I7978" t="str">
            <v>60311</v>
          </cell>
        </row>
        <row r="7979">
          <cell r="G7979" t="str">
            <v xml:space="preserve">Xã Xuân An </v>
          </cell>
          <cell r="I7979" t="str">
            <v>60311</v>
          </cell>
        </row>
        <row r="7980">
          <cell r="G7980" t="str">
            <v>Phường An Phước</v>
          </cell>
          <cell r="I7980" t="str">
            <v>60311</v>
          </cell>
        </row>
        <row r="7981">
          <cell r="G7981" t="str">
            <v xml:space="preserve">Phường Ngô Mây  </v>
          </cell>
          <cell r="I7981" t="str">
            <v>60311</v>
          </cell>
        </row>
        <row r="7982">
          <cell r="G7982" t="str">
            <v>Xã Ya Ma</v>
          </cell>
          <cell r="I7982" t="str">
            <v>60313</v>
          </cell>
        </row>
        <row r="7983">
          <cell r="G7983" t="str">
            <v>Xã Kông Yang</v>
          </cell>
          <cell r="I7983" t="str">
            <v>60313</v>
          </cell>
        </row>
        <row r="7984">
          <cell r="G7984" t="str">
            <v>Xã Yang Trung</v>
          </cell>
          <cell r="I7984" t="str">
            <v>60313</v>
          </cell>
        </row>
        <row r="7985">
          <cell r="G7985" t="str">
            <v>Thị trấn Kông Chro</v>
          </cell>
          <cell r="I7985" t="str">
            <v>60313</v>
          </cell>
        </row>
        <row r="7986">
          <cell r="G7986" t="str">
            <v>Xã Chư Krêy</v>
          </cell>
          <cell r="I7986" t="str">
            <v>60313</v>
          </cell>
        </row>
        <row r="7987">
          <cell r="G7987" t="str">
            <v xml:space="preserve">Xã An Trung </v>
          </cell>
          <cell r="I7987" t="str">
            <v>60313</v>
          </cell>
        </row>
        <row r="7988">
          <cell r="G7988" t="str">
            <v>Xã Đăk Tơ Pang</v>
          </cell>
          <cell r="I7988" t="str">
            <v>60313</v>
          </cell>
        </row>
        <row r="7989">
          <cell r="G7989" t="str">
            <v>Xã SRó</v>
          </cell>
          <cell r="I7989" t="str">
            <v>60313</v>
          </cell>
        </row>
        <row r="7990">
          <cell r="G7990" t="str">
            <v>Xã Đăk Song</v>
          </cell>
          <cell r="I7990" t="str">
            <v>60313</v>
          </cell>
        </row>
        <row r="7991">
          <cell r="G7991" t="str">
            <v>Xã Chơ Long</v>
          </cell>
          <cell r="I7991" t="str">
            <v>60313</v>
          </cell>
        </row>
        <row r="7992">
          <cell r="G7992" t="str">
            <v>Xã Yang Nam</v>
          </cell>
          <cell r="I7992" t="str">
            <v>60313</v>
          </cell>
        </row>
        <row r="7993">
          <cell r="G7993" t="str">
            <v>Xã Đăk Pling</v>
          </cell>
          <cell r="I7993" t="str">
            <v>60313</v>
          </cell>
        </row>
        <row r="7994">
          <cell r="G7994" t="str">
            <v>Xã Đăk Kơ Ning</v>
          </cell>
          <cell r="I7994" t="str">
            <v>60313</v>
          </cell>
        </row>
        <row r="7995">
          <cell r="G7995" t="str">
            <v>Xã Đăk Pơ Pho</v>
          </cell>
          <cell r="I7995" t="str">
            <v>60313</v>
          </cell>
        </row>
        <row r="7996">
          <cell r="G7996" t="str">
            <v>Xã Ia Kriêng</v>
          </cell>
          <cell r="I7996" t="str">
            <v>60315</v>
          </cell>
        </row>
        <row r="7997">
          <cell r="G7997" t="str">
            <v>Thị trấn Chư Ty</v>
          </cell>
          <cell r="I7997" t="str">
            <v>60315</v>
          </cell>
        </row>
        <row r="7998">
          <cell r="G7998" t="str">
            <v>Xã Ia Kla</v>
          </cell>
          <cell r="I7998" t="str">
            <v>60315</v>
          </cell>
        </row>
        <row r="7999">
          <cell r="G7999" t="str">
            <v>Xã Ia Pnôn</v>
          </cell>
          <cell r="I7999" t="str">
            <v>60315</v>
          </cell>
        </row>
        <row r="8000">
          <cell r="G8000" t="str">
            <v>Xã Ia Dơk</v>
          </cell>
          <cell r="I8000" t="str">
            <v>60315</v>
          </cell>
        </row>
        <row r="8001">
          <cell r="G8001" t="str">
            <v>Xã Ia Krêl</v>
          </cell>
          <cell r="I8001" t="str">
            <v>60315</v>
          </cell>
        </row>
        <row r="8002">
          <cell r="G8002" t="str">
            <v>Xã Ia Din</v>
          </cell>
          <cell r="I8002" t="str">
            <v>60315</v>
          </cell>
        </row>
        <row r="8003">
          <cell r="G8003" t="str">
            <v xml:space="preserve">Xã Ia Dom </v>
          </cell>
          <cell r="I8003" t="str">
            <v>60315</v>
          </cell>
        </row>
        <row r="8004">
          <cell r="G8004" t="str">
            <v>Xã Ia Lang</v>
          </cell>
          <cell r="I8004" t="str">
            <v>60315</v>
          </cell>
        </row>
        <row r="8005">
          <cell r="G8005" t="str">
            <v>Xã Ia Nan</v>
          </cell>
          <cell r="I8005" t="str">
            <v>60315</v>
          </cell>
        </row>
        <row r="8006">
          <cell r="G8006" t="str">
            <v>Xã Ia Púch</v>
          </cell>
          <cell r="I8006" t="str">
            <v>60317</v>
          </cell>
        </row>
        <row r="8007">
          <cell r="G8007" t="str">
            <v>Xã Ia Drăng</v>
          </cell>
          <cell r="I8007" t="str">
            <v>60317</v>
          </cell>
        </row>
        <row r="8008">
          <cell r="G8008" t="str">
            <v>Xã Ia Băng</v>
          </cell>
          <cell r="I8008" t="str">
            <v>60317</v>
          </cell>
        </row>
        <row r="8009">
          <cell r="G8009" t="str">
            <v xml:space="preserve">Xã Ia O </v>
          </cell>
          <cell r="I8009" t="str">
            <v>60317</v>
          </cell>
        </row>
        <row r="8010">
          <cell r="G8010" t="str">
            <v>Xã Ia Pia</v>
          </cell>
          <cell r="I8010" t="str">
            <v>60317</v>
          </cell>
        </row>
        <row r="8011">
          <cell r="G8011" t="str">
            <v>Xã Ia Piơr</v>
          </cell>
          <cell r="I8011" t="str">
            <v>60317</v>
          </cell>
        </row>
        <row r="8012">
          <cell r="G8012" t="str">
            <v>Thị trấn Chư Prông</v>
          </cell>
          <cell r="I8012" t="str">
            <v>60317</v>
          </cell>
        </row>
        <row r="8013">
          <cell r="G8013" t="str">
            <v>Xã Bình Giáo</v>
          </cell>
          <cell r="I8013" t="str">
            <v>60317</v>
          </cell>
        </row>
        <row r="8014">
          <cell r="G8014" t="str">
            <v>Xã Thăng Hưng</v>
          </cell>
          <cell r="I8014" t="str">
            <v>60317</v>
          </cell>
        </row>
        <row r="8015">
          <cell r="G8015" t="str">
            <v>Xã Bàu Cạn</v>
          </cell>
          <cell r="I8015" t="str">
            <v>60317</v>
          </cell>
        </row>
        <row r="8016">
          <cell r="G8016" t="str">
            <v>Xã Ia Phìn</v>
          </cell>
          <cell r="I8016" t="str">
            <v>60317</v>
          </cell>
        </row>
        <row r="8017">
          <cell r="G8017" t="str">
            <v>Xã Ia Tôr</v>
          </cell>
          <cell r="I8017" t="str">
            <v>60317</v>
          </cell>
        </row>
        <row r="8018">
          <cell r="G8018" t="str">
            <v>Xã Ia Boòng</v>
          </cell>
          <cell r="I8018" t="str">
            <v>60317</v>
          </cell>
        </row>
        <row r="8019">
          <cell r="G8019" t="str">
            <v>Xã Ia Me</v>
          </cell>
          <cell r="I8019" t="str">
            <v>60317</v>
          </cell>
        </row>
        <row r="8020">
          <cell r="G8020" t="str">
            <v>Xã Ia Vê</v>
          </cell>
          <cell r="I8020" t="str">
            <v>60317</v>
          </cell>
        </row>
        <row r="8021">
          <cell r="G8021" t="str">
            <v>Xã Ia Ga</v>
          </cell>
          <cell r="I8021" t="str">
            <v>60317</v>
          </cell>
        </row>
        <row r="8022">
          <cell r="G8022" t="str">
            <v>Xã Ia Lâu</v>
          </cell>
          <cell r="I8022" t="str">
            <v>60317</v>
          </cell>
        </row>
        <row r="8023">
          <cell r="G8023" t="str">
            <v>Xã Ia Mơ</v>
          </cell>
          <cell r="I8023" t="str">
            <v>60317</v>
          </cell>
        </row>
        <row r="8024">
          <cell r="G8024" t="str">
            <v>Xã Ia Kly</v>
          </cell>
          <cell r="I8024" t="str">
            <v>60317</v>
          </cell>
        </row>
        <row r="8025">
          <cell r="G8025" t="str">
            <v>Xã Ia Bang</v>
          </cell>
          <cell r="I8025" t="str">
            <v>60317</v>
          </cell>
        </row>
        <row r="8026">
          <cell r="G8026" t="str">
            <v>Xã AL Bá</v>
          </cell>
          <cell r="I8026" t="str">
            <v>60319</v>
          </cell>
        </row>
        <row r="8027">
          <cell r="G8027" t="str">
            <v>Xã Bờ Ngoong</v>
          </cell>
          <cell r="I8027" t="str">
            <v>60319</v>
          </cell>
        </row>
        <row r="8028">
          <cell r="G8028" t="str">
            <v>Xã Ia HLốp</v>
          </cell>
          <cell r="I8028" t="str">
            <v>60319</v>
          </cell>
        </row>
        <row r="8029">
          <cell r="G8029" t="str">
            <v>Thị trấn Chư Sê</v>
          </cell>
          <cell r="I8029" t="str">
            <v>60319</v>
          </cell>
        </row>
        <row r="8030">
          <cell r="G8030" t="str">
            <v>Xã Ia Tiêm</v>
          </cell>
          <cell r="I8030" t="str">
            <v>60319</v>
          </cell>
        </row>
        <row r="8031">
          <cell r="G8031" t="str">
            <v>Xã Ia Glai</v>
          </cell>
          <cell r="I8031" t="str">
            <v>60319</v>
          </cell>
        </row>
        <row r="8032">
          <cell r="G8032" t="str">
            <v xml:space="preserve">Xã AYun </v>
          </cell>
          <cell r="I8032" t="str">
            <v>60319</v>
          </cell>
        </row>
        <row r="8033">
          <cell r="G8033" t="str">
            <v>Xã Ia Blang</v>
          </cell>
          <cell r="I8033" t="str">
            <v>60319</v>
          </cell>
        </row>
        <row r="8034">
          <cell r="G8034" t="str">
            <v>Xã Dun</v>
          </cell>
          <cell r="I8034" t="str">
            <v>60319</v>
          </cell>
        </row>
        <row r="8035">
          <cell r="G8035" t="str">
            <v>Xã H Bông</v>
          </cell>
          <cell r="I8035" t="str">
            <v>60319</v>
          </cell>
        </row>
        <row r="8036">
          <cell r="G8036" t="str">
            <v>Xã Ia Ko</v>
          </cell>
          <cell r="I8036" t="str">
            <v>60319</v>
          </cell>
        </row>
        <row r="8037">
          <cell r="G8037" t="str">
            <v>Xã Chư Pơng</v>
          </cell>
          <cell r="I8037" t="str">
            <v>60319</v>
          </cell>
        </row>
        <row r="8038">
          <cell r="G8038" t="str">
            <v>Xã Ia Pal</v>
          </cell>
          <cell r="I8038" t="str">
            <v>60319</v>
          </cell>
        </row>
        <row r="8039">
          <cell r="G8039" t="str">
            <v>Xã Kông HTok</v>
          </cell>
          <cell r="I8039" t="str">
            <v>60319</v>
          </cell>
        </row>
        <row r="8040">
          <cell r="G8040" t="str">
            <v>Xã Bar Măih</v>
          </cell>
          <cell r="I8040" t="str">
            <v>60319</v>
          </cell>
        </row>
        <row r="8041">
          <cell r="G8041" t="str">
            <v>Xã Ia KDăm</v>
          </cell>
          <cell r="I8041" t="str">
            <v>60320</v>
          </cell>
        </row>
        <row r="8042">
          <cell r="G8042" t="str">
            <v>Xã Chư Răng</v>
          </cell>
          <cell r="I8042" t="str">
            <v>60320</v>
          </cell>
        </row>
        <row r="8043">
          <cell r="G8043" t="str">
            <v>Xã Ia Tul</v>
          </cell>
          <cell r="I8043" t="str">
            <v>60320</v>
          </cell>
        </row>
        <row r="8044">
          <cell r="G8044" t="str">
            <v>Xã Ia Trok</v>
          </cell>
          <cell r="I8044" t="str">
            <v>60320</v>
          </cell>
        </row>
        <row r="8045">
          <cell r="G8045" t="str">
            <v>Xã Pờ Tó</v>
          </cell>
          <cell r="I8045" t="str">
            <v>60320</v>
          </cell>
        </row>
        <row r="8046">
          <cell r="G8046" t="str">
            <v xml:space="preserve">Xã Kim Tân  </v>
          </cell>
          <cell r="I8046" t="str">
            <v>60320</v>
          </cell>
        </row>
        <row r="8047">
          <cell r="G8047" t="str">
            <v>Xã Chư Mố</v>
          </cell>
          <cell r="I8047" t="str">
            <v>60320</v>
          </cell>
        </row>
        <row r="8048">
          <cell r="G8048" t="str">
            <v>Xã Ia Ma Rơn</v>
          </cell>
          <cell r="I8048" t="str">
            <v>60320</v>
          </cell>
        </row>
        <row r="8049">
          <cell r="G8049" t="str">
            <v>Xã Ia Broăi</v>
          </cell>
          <cell r="I8049" t="str">
            <v>60320</v>
          </cell>
        </row>
        <row r="8050">
          <cell r="G8050" t="str">
            <v>Trung tâm huyện IAPA</v>
          </cell>
          <cell r="I8050" t="str">
            <v>60320</v>
          </cell>
        </row>
        <row r="8051">
          <cell r="G8051" t="str">
            <v>Xã la Sao</v>
          </cell>
          <cell r="I8051" t="str">
            <v>60321</v>
          </cell>
        </row>
        <row r="8052">
          <cell r="G8052" t="str">
            <v>Xã Chư Băh</v>
          </cell>
          <cell r="I8052" t="str">
            <v>60321</v>
          </cell>
        </row>
        <row r="8053">
          <cell r="G8053" t="str">
            <v>Xã la RBol</v>
          </cell>
          <cell r="I8053" t="str">
            <v>60321</v>
          </cell>
        </row>
        <row r="8054">
          <cell r="G8054" t="str">
            <v>Xã Ia RTô</v>
          </cell>
          <cell r="I8054" t="str">
            <v>60321</v>
          </cell>
        </row>
        <row r="8055">
          <cell r="G8055" t="str">
            <v xml:space="preserve">Phường Đoàn Kết </v>
          </cell>
          <cell r="I8055" t="str">
            <v>60321</v>
          </cell>
        </row>
        <row r="8056">
          <cell r="G8056" t="str">
            <v>Phường Sông Bờ</v>
          </cell>
          <cell r="I8056" t="str">
            <v>60321</v>
          </cell>
        </row>
        <row r="8057">
          <cell r="G8057" t="str">
            <v>Phường Cheo Reo</v>
          </cell>
          <cell r="I8057" t="str">
            <v>60321</v>
          </cell>
        </row>
        <row r="8058">
          <cell r="G8058" t="str">
            <v>Phường Hòa Bình</v>
          </cell>
          <cell r="I8058" t="str">
            <v>60321</v>
          </cell>
        </row>
        <row r="8059">
          <cell r="G8059" t="str">
            <v>Xã Uar</v>
          </cell>
          <cell r="I8059" t="str">
            <v>60323</v>
          </cell>
        </row>
        <row r="8060">
          <cell r="G8060" t="str">
            <v>Xã Ia RSươm</v>
          </cell>
          <cell r="I8060" t="str">
            <v>60323</v>
          </cell>
        </row>
        <row r="8061">
          <cell r="G8061" t="str">
            <v>Xã Chư Drăng</v>
          </cell>
          <cell r="I8061" t="str">
            <v>60323</v>
          </cell>
        </row>
        <row r="8062">
          <cell r="G8062" t="str">
            <v>Xã Chư Ngọc</v>
          </cell>
          <cell r="I8062" t="str">
            <v>60323</v>
          </cell>
        </row>
        <row r="8063">
          <cell r="G8063" t="str">
            <v>Thị trấn Phú Túc</v>
          </cell>
          <cell r="I8063" t="str">
            <v>60323</v>
          </cell>
        </row>
        <row r="8064">
          <cell r="G8064" t="str">
            <v>Xã Ia RSai</v>
          </cell>
          <cell r="I8064" t="str">
            <v>60323</v>
          </cell>
        </row>
        <row r="8065">
          <cell r="G8065" t="str">
            <v>Xã Chư Gu</v>
          </cell>
          <cell r="I8065" t="str">
            <v>60323</v>
          </cell>
        </row>
        <row r="8066">
          <cell r="G8066" t="str">
            <v>Xã Đất Bằng</v>
          </cell>
          <cell r="I8066" t="str">
            <v>60323</v>
          </cell>
        </row>
        <row r="8067">
          <cell r="G8067" t="str">
            <v>Xã Ia Mláh</v>
          </cell>
          <cell r="I8067" t="str">
            <v>60323</v>
          </cell>
        </row>
        <row r="8068">
          <cell r="G8068" t="str">
            <v>Xã Phú Cần</v>
          </cell>
          <cell r="I8068" t="str">
            <v>60323</v>
          </cell>
        </row>
        <row r="8069">
          <cell r="G8069" t="str">
            <v>Xã Ia HDreh</v>
          </cell>
          <cell r="I8069" t="str">
            <v>60323</v>
          </cell>
        </row>
        <row r="8070">
          <cell r="G8070" t="str">
            <v>Xã Ia RMok</v>
          </cell>
          <cell r="I8070" t="str">
            <v>60323</v>
          </cell>
        </row>
        <row r="8071">
          <cell r="G8071" t="str">
            <v>Xã Chư RCăm</v>
          </cell>
          <cell r="I8071" t="str">
            <v>60323</v>
          </cell>
        </row>
        <row r="8072">
          <cell r="G8072" t="str">
            <v>Xã Krông Năng</v>
          </cell>
          <cell r="I8072" t="str">
            <v>60323</v>
          </cell>
        </row>
        <row r="8073">
          <cell r="G8073" t="str">
            <v>Xã Trang</v>
          </cell>
          <cell r="I8073" t="str">
            <v>60325</v>
          </cell>
        </row>
        <row r="8074">
          <cell r="G8074" t="str">
            <v>Xã Đăk Sơmei</v>
          </cell>
          <cell r="I8074" t="str">
            <v>60325</v>
          </cell>
        </row>
        <row r="8075">
          <cell r="G8075" t="str">
            <v>Xã Hải Yang</v>
          </cell>
          <cell r="I8075" t="str">
            <v>60325</v>
          </cell>
        </row>
        <row r="8076">
          <cell r="G8076" t="str">
            <v>Xã K- Dang</v>
          </cell>
          <cell r="I8076" t="str">
            <v>60325</v>
          </cell>
        </row>
        <row r="8077">
          <cell r="G8077" t="str">
            <v xml:space="preserve">Xã Tân Bình   </v>
          </cell>
          <cell r="I8077" t="str">
            <v>60325</v>
          </cell>
        </row>
        <row r="8078">
          <cell r="G8078" t="str">
            <v>Xã Glar</v>
          </cell>
          <cell r="I8078" t="str">
            <v>60325</v>
          </cell>
        </row>
        <row r="8079">
          <cell r="G8079" t="str">
            <v>Xã A Dơk</v>
          </cell>
          <cell r="I8079" t="str">
            <v>60325</v>
          </cell>
        </row>
        <row r="8080">
          <cell r="G8080" t="str">
            <v>Xã Ia Pết</v>
          </cell>
          <cell r="I8080" t="str">
            <v>60325</v>
          </cell>
        </row>
        <row r="8081">
          <cell r="G8081" t="str">
            <v xml:space="preserve">Xã Ia Băng </v>
          </cell>
          <cell r="I8081" t="str">
            <v>60325</v>
          </cell>
        </row>
        <row r="8082">
          <cell r="G8082" t="str">
            <v>Xã H- Neng</v>
          </cell>
          <cell r="I8082" t="str">
            <v>60325</v>
          </cell>
        </row>
        <row r="8083">
          <cell r="G8083" t="str">
            <v>Thị trấn Đăk Đoa</v>
          </cell>
          <cell r="I8083" t="str">
            <v>60325</v>
          </cell>
        </row>
        <row r="8084">
          <cell r="G8084" t="str">
            <v xml:space="preserve">Xã Hà Đông </v>
          </cell>
          <cell r="I8084" t="str">
            <v>60325</v>
          </cell>
        </row>
        <row r="8085">
          <cell r="G8085" t="str">
            <v>Xã Kon Gang</v>
          </cell>
          <cell r="I8085" t="str">
            <v>60325</v>
          </cell>
        </row>
        <row r="8086">
          <cell r="G8086" t="str">
            <v>Xã Hà Bầu</v>
          </cell>
          <cell r="I8086" t="str">
            <v>60325</v>
          </cell>
        </row>
        <row r="8087">
          <cell r="G8087" t="str">
            <v>Xã Nam Yang</v>
          </cell>
          <cell r="I8087" t="str">
            <v>60325</v>
          </cell>
        </row>
        <row r="8088">
          <cell r="G8088" t="str">
            <v>Xã Đak Krong</v>
          </cell>
          <cell r="I8088" t="str">
            <v>60325</v>
          </cell>
        </row>
        <row r="8089">
          <cell r="G8089" t="str">
            <v>Xã HNol</v>
          </cell>
          <cell r="I8089" t="str">
            <v>60325</v>
          </cell>
        </row>
        <row r="8090">
          <cell r="G8090" t="str">
            <v>Xã An Thành</v>
          </cell>
          <cell r="I8090" t="str">
            <v>60327</v>
          </cell>
        </row>
        <row r="8091">
          <cell r="G8091" t="str">
            <v xml:space="preserve">Xã Tân An     </v>
          </cell>
          <cell r="I8091" t="str">
            <v>60327</v>
          </cell>
        </row>
        <row r="8092">
          <cell r="G8092" t="str">
            <v>Xã Hà Tam</v>
          </cell>
          <cell r="I8092" t="str">
            <v>60327</v>
          </cell>
        </row>
        <row r="8093">
          <cell r="G8093" t="str">
            <v>Thị Trấn Đak Pơ</v>
          </cell>
          <cell r="I8093" t="str">
            <v>60327</v>
          </cell>
        </row>
        <row r="8094">
          <cell r="G8094" t="str">
            <v>Xã Yang Bắc</v>
          </cell>
          <cell r="I8094" t="str">
            <v>60327</v>
          </cell>
        </row>
        <row r="8095">
          <cell r="G8095" t="str">
            <v>Xã Cư An</v>
          </cell>
          <cell r="I8095" t="str">
            <v>60327</v>
          </cell>
        </row>
        <row r="8096">
          <cell r="G8096" t="str">
            <v xml:space="preserve">Xã Phú An </v>
          </cell>
          <cell r="I8096" t="str">
            <v>60327</v>
          </cell>
        </row>
        <row r="8097">
          <cell r="G8097" t="str">
            <v>Xã Ya Hội</v>
          </cell>
          <cell r="I8097" t="str">
            <v>60327</v>
          </cell>
        </row>
        <row r="8098">
          <cell r="G8098" t="str">
            <v>Thị Trấn Phú Thiện</v>
          </cell>
          <cell r="I8098" t="str">
            <v>60329</v>
          </cell>
        </row>
        <row r="8099">
          <cell r="G8099" t="str">
            <v>Xã Ia Ke</v>
          </cell>
          <cell r="I8099" t="str">
            <v>60329</v>
          </cell>
        </row>
        <row r="8100">
          <cell r="G8100" t="str">
            <v>Xã Chư A Thai</v>
          </cell>
          <cell r="I8100" t="str">
            <v>60329</v>
          </cell>
        </row>
        <row r="8101">
          <cell r="G8101" t="str">
            <v>Xã Ia Piar</v>
          </cell>
          <cell r="I8101" t="str">
            <v>60329</v>
          </cell>
        </row>
        <row r="8102">
          <cell r="G8102" t="str">
            <v>Xã Ia Peng</v>
          </cell>
          <cell r="I8102" t="str">
            <v>60329</v>
          </cell>
        </row>
        <row r="8103">
          <cell r="G8103" t="str">
            <v>Xã Ia Hiao</v>
          </cell>
          <cell r="I8103" t="str">
            <v>60329</v>
          </cell>
        </row>
        <row r="8104">
          <cell r="G8104" t="str">
            <v>Xã Ia Yeng</v>
          </cell>
          <cell r="I8104" t="str">
            <v>60329</v>
          </cell>
        </row>
        <row r="8105">
          <cell r="G8105" t="str">
            <v>Xã Ia Sol</v>
          </cell>
          <cell r="I8105" t="str">
            <v>60329</v>
          </cell>
        </row>
        <row r="8106">
          <cell r="G8106" t="str">
            <v>Xã Ayun Hạ</v>
          </cell>
          <cell r="I8106" t="str">
            <v>60329</v>
          </cell>
        </row>
        <row r="8107">
          <cell r="G8107" t="str">
            <v>Xã Chrô PơNan</v>
          </cell>
          <cell r="I8107" t="str">
            <v>60329</v>
          </cell>
        </row>
        <row r="8108">
          <cell r="G8108" t="str">
            <v>Xã Ia Le</v>
          </cell>
          <cell r="I8108" t="str">
            <v>60331</v>
          </cell>
        </row>
        <row r="8109">
          <cell r="G8109" t="str">
            <v>Xã Ia Blứ</v>
          </cell>
          <cell r="I8109" t="str">
            <v>60331</v>
          </cell>
        </row>
        <row r="8110">
          <cell r="G8110" t="str">
            <v>Xã Ia Phang</v>
          </cell>
          <cell r="I8110" t="str">
            <v>60331</v>
          </cell>
        </row>
        <row r="8111">
          <cell r="G8111" t="str">
            <v>Xã Chư Don</v>
          </cell>
          <cell r="I8111" t="str">
            <v>60331</v>
          </cell>
        </row>
        <row r="8112">
          <cell r="G8112" t="str">
            <v>Xã Ia Dreng</v>
          </cell>
          <cell r="I8112" t="str">
            <v>60331</v>
          </cell>
        </row>
        <row r="8113">
          <cell r="G8113" t="str">
            <v>Xã Ia Hla</v>
          </cell>
          <cell r="I8113" t="str">
            <v>60331</v>
          </cell>
        </row>
        <row r="8114">
          <cell r="G8114" t="str">
            <v>Xã Ia Hrú</v>
          </cell>
          <cell r="I8114" t="str">
            <v>60331</v>
          </cell>
        </row>
        <row r="8115">
          <cell r="G8115" t="str">
            <v>Xã Ia Rong</v>
          </cell>
          <cell r="I8115" t="str">
            <v>60331</v>
          </cell>
        </row>
        <row r="8116">
          <cell r="G8116" t="str">
            <v>Thị trấn Nhơn Hòa</v>
          </cell>
          <cell r="I8116" t="str">
            <v>60331</v>
          </cell>
        </row>
        <row r="8117">
          <cell r="G8117" t="str">
            <v>Phường Tân Tiến</v>
          </cell>
          <cell r="I8117" t="str">
            <v>60501</v>
          </cell>
        </row>
        <row r="8118">
          <cell r="G8118" t="str">
            <v xml:space="preserve">Phường Tân An   </v>
          </cell>
          <cell r="I8118" t="str">
            <v>60501</v>
          </cell>
        </row>
        <row r="8119">
          <cell r="G8119" t="str">
            <v>Phường Tân Lợi</v>
          </cell>
          <cell r="I8119" t="str">
            <v>60501</v>
          </cell>
        </row>
        <row r="8120">
          <cell r="G8120" t="str">
            <v>Phường Tự An</v>
          </cell>
          <cell r="I8120" t="str">
            <v>60501</v>
          </cell>
        </row>
        <row r="8121">
          <cell r="G8121" t="str">
            <v>Xã Cư êBur</v>
          </cell>
          <cell r="I8121" t="str">
            <v>60501</v>
          </cell>
        </row>
        <row r="8122">
          <cell r="G8122" t="str">
            <v xml:space="preserve">Xã Hòa Phú     </v>
          </cell>
          <cell r="I8122" t="str">
            <v>60501</v>
          </cell>
        </row>
        <row r="8123">
          <cell r="G8123" t="str">
            <v xml:space="preserve">Phường Tân Lập  </v>
          </cell>
          <cell r="I8123" t="str">
            <v>60501</v>
          </cell>
        </row>
        <row r="8124">
          <cell r="G8124" t="str">
            <v xml:space="preserve">Phường Tân Hòa </v>
          </cell>
          <cell r="I8124" t="str">
            <v>60501</v>
          </cell>
        </row>
        <row r="8125">
          <cell r="G8125" t="str">
            <v xml:space="preserve">Phường Thống Nhất    </v>
          </cell>
          <cell r="I8125" t="str">
            <v>60501</v>
          </cell>
        </row>
        <row r="8126">
          <cell r="G8126" t="str">
            <v>Phường Thành Nhất</v>
          </cell>
          <cell r="I8126" t="str">
            <v>60501</v>
          </cell>
        </row>
        <row r="8127">
          <cell r="G8127" t="str">
            <v xml:space="preserve">Phường Thắng Lợi   </v>
          </cell>
          <cell r="I8127" t="str">
            <v>60501</v>
          </cell>
        </row>
        <row r="8128">
          <cell r="G8128" t="str">
            <v xml:space="preserve">Phường Thành Công </v>
          </cell>
          <cell r="I8128" t="str">
            <v>60501</v>
          </cell>
        </row>
        <row r="8129">
          <cell r="G8129" t="str">
            <v xml:space="preserve">Phường Tân Thành   </v>
          </cell>
          <cell r="I8129" t="str">
            <v>60501</v>
          </cell>
        </row>
        <row r="8130">
          <cell r="G8130" t="str">
            <v>Phường Ea Tam</v>
          </cell>
          <cell r="I8130" t="str">
            <v>60501</v>
          </cell>
        </row>
        <row r="8131">
          <cell r="G8131" t="str">
            <v>Phường Khánh Xuân</v>
          </cell>
          <cell r="I8131" t="str">
            <v>60501</v>
          </cell>
        </row>
        <row r="8132">
          <cell r="G8132" t="str">
            <v>Xã Hòa Thuận</v>
          </cell>
          <cell r="I8132" t="str">
            <v>60501</v>
          </cell>
        </row>
        <row r="8133">
          <cell r="G8133" t="str">
            <v>Xã Ea Tu</v>
          </cell>
          <cell r="I8133" t="str">
            <v>60501</v>
          </cell>
        </row>
        <row r="8134">
          <cell r="G8134" t="str">
            <v xml:space="preserve">Xã Hòa Thắng  </v>
          </cell>
          <cell r="I8134" t="str">
            <v>60501</v>
          </cell>
        </row>
        <row r="8135">
          <cell r="G8135" t="str">
            <v>Xã Ea Kao</v>
          </cell>
          <cell r="I8135" t="str">
            <v>60501</v>
          </cell>
        </row>
        <row r="8136">
          <cell r="G8136" t="str">
            <v>Xã Hòa Khánh</v>
          </cell>
          <cell r="I8136" t="str">
            <v>60501</v>
          </cell>
        </row>
        <row r="8137">
          <cell r="G8137" t="str">
            <v>Xã Hòa Xuân</v>
          </cell>
          <cell r="I8137" t="str">
            <v>60501</v>
          </cell>
        </row>
        <row r="8138">
          <cell r="G8138" t="str">
            <v>Thị trấn Ea Drăng</v>
          </cell>
          <cell r="I8138" t="str">
            <v>60503</v>
          </cell>
        </row>
        <row r="8139">
          <cell r="G8139" t="str">
            <v>Xã Ea H-leo</v>
          </cell>
          <cell r="I8139" t="str">
            <v>60503</v>
          </cell>
        </row>
        <row r="8140">
          <cell r="G8140" t="str">
            <v>Xã Cư Mốt</v>
          </cell>
          <cell r="I8140" t="str">
            <v>60503</v>
          </cell>
        </row>
        <row r="8141">
          <cell r="G8141" t="str">
            <v>Xã Dlê Yang</v>
          </cell>
          <cell r="I8141" t="str">
            <v>60503</v>
          </cell>
        </row>
        <row r="8142">
          <cell r="G8142" t="str">
            <v>Xã Ea Sol</v>
          </cell>
          <cell r="I8142" t="str">
            <v>60503</v>
          </cell>
        </row>
        <row r="8143">
          <cell r="G8143" t="str">
            <v>Xã Ea Ral</v>
          </cell>
          <cell r="I8143" t="str">
            <v>60503</v>
          </cell>
        </row>
        <row r="8144">
          <cell r="G8144" t="str">
            <v>Xã Ea Wy</v>
          </cell>
          <cell r="I8144" t="str">
            <v>60503</v>
          </cell>
        </row>
        <row r="8145">
          <cell r="G8145" t="str">
            <v>Xã Ea Hiao</v>
          </cell>
          <cell r="I8145" t="str">
            <v>60503</v>
          </cell>
        </row>
        <row r="8146">
          <cell r="G8146" t="str">
            <v>Xã Ea Khal</v>
          </cell>
          <cell r="I8146" t="str">
            <v>60503</v>
          </cell>
        </row>
        <row r="8147">
          <cell r="G8147" t="str">
            <v>Xã Ea Nam</v>
          </cell>
          <cell r="I8147" t="str">
            <v>60503</v>
          </cell>
        </row>
        <row r="8148">
          <cell r="G8148" t="str">
            <v>Xã Ea Tir</v>
          </cell>
          <cell r="I8148" t="str">
            <v>60503</v>
          </cell>
        </row>
        <row r="8149">
          <cell r="G8149" t="str">
            <v>Xã Cư Amung</v>
          </cell>
          <cell r="I8149" t="str">
            <v>60503</v>
          </cell>
        </row>
        <row r="8150">
          <cell r="G8150" t="str">
            <v>Xã Cư KBang</v>
          </cell>
          <cell r="I8150" t="str">
            <v>60505</v>
          </cell>
        </row>
        <row r="8151">
          <cell r="G8151" t="str">
            <v>Xã Ea Rốk</v>
          </cell>
          <cell r="I8151" t="str">
            <v>60505</v>
          </cell>
        </row>
        <row r="8152">
          <cell r="G8152" t="str">
            <v>Xã Ea Bung</v>
          </cell>
          <cell r="I8152" t="str">
            <v>60505</v>
          </cell>
        </row>
        <row r="8153">
          <cell r="G8153" t="str">
            <v>Thị trấn Ea Súp</v>
          </cell>
          <cell r="I8153" t="str">
            <v>60505</v>
          </cell>
        </row>
        <row r="8154">
          <cell r="G8154" t="str">
            <v>Xã Ia Lốp</v>
          </cell>
          <cell r="I8154" t="str">
            <v>60505</v>
          </cell>
        </row>
        <row r="8155">
          <cell r="G8155" t="str">
            <v>Xã Ya Tờ Mốt</v>
          </cell>
          <cell r="I8155" t="str">
            <v>60505</v>
          </cell>
        </row>
        <row r="8156">
          <cell r="G8156" t="str">
            <v>Xã Ea Lê</v>
          </cell>
          <cell r="I8156" t="str">
            <v>60505</v>
          </cell>
        </row>
        <row r="8157">
          <cell r="G8157" t="str">
            <v>Xã Cư M-Lan</v>
          </cell>
          <cell r="I8157" t="str">
            <v>60505</v>
          </cell>
        </row>
        <row r="8158">
          <cell r="G8158" t="str">
            <v>Xã Ia Jlơi</v>
          </cell>
          <cell r="I8158" t="str">
            <v>60505</v>
          </cell>
        </row>
        <row r="8159">
          <cell r="G8159" t="str">
            <v>Xã Ia Rvê</v>
          </cell>
          <cell r="I8159" t="str">
            <v>60505</v>
          </cell>
        </row>
        <row r="8160">
          <cell r="G8160" t="str">
            <v>Thị trấn Krông Năng</v>
          </cell>
          <cell r="I8160" t="str">
            <v>60507</v>
          </cell>
        </row>
        <row r="8161">
          <cell r="G8161" t="str">
            <v>Xã Cư Klông</v>
          </cell>
          <cell r="I8161" t="str">
            <v>60507</v>
          </cell>
        </row>
        <row r="8162">
          <cell r="G8162" t="str">
            <v>Xã ĐLiê Ya</v>
          </cell>
          <cell r="I8162" t="str">
            <v>60507</v>
          </cell>
        </row>
        <row r="8163">
          <cell r="G8163" t="str">
            <v xml:space="preserve">Xã Tam Giang  </v>
          </cell>
          <cell r="I8163" t="str">
            <v>60507</v>
          </cell>
        </row>
        <row r="8164">
          <cell r="G8164" t="str">
            <v>Xã Ea Hồ</v>
          </cell>
          <cell r="I8164" t="str">
            <v>60507</v>
          </cell>
        </row>
        <row r="8165">
          <cell r="G8165" t="str">
            <v xml:space="preserve">Xã Phú Xuân    </v>
          </cell>
          <cell r="I8165" t="str">
            <v>60507</v>
          </cell>
        </row>
        <row r="8166">
          <cell r="G8166" t="str">
            <v>Xã Ea Tân</v>
          </cell>
          <cell r="I8166" t="str">
            <v>60507</v>
          </cell>
        </row>
        <row r="8167">
          <cell r="G8167" t="str">
            <v xml:space="preserve">Xã Phú Lộc    </v>
          </cell>
          <cell r="I8167" t="str">
            <v>60507</v>
          </cell>
        </row>
        <row r="8168">
          <cell r="G8168" t="str">
            <v>Xã Ea Tóh</v>
          </cell>
          <cell r="I8168" t="str">
            <v>60507</v>
          </cell>
        </row>
        <row r="8169">
          <cell r="G8169" t="str">
            <v>Xã Ea Tam</v>
          </cell>
          <cell r="I8169" t="str">
            <v>60507</v>
          </cell>
        </row>
        <row r="8170">
          <cell r="G8170" t="str">
            <v>Xã Ea Púk</v>
          </cell>
          <cell r="I8170" t="str">
            <v>60507</v>
          </cell>
        </row>
        <row r="8171">
          <cell r="G8171" t="str">
            <v>Xã Ea Đah</v>
          </cell>
          <cell r="I8171" t="str">
            <v>60507</v>
          </cell>
        </row>
        <row r="8172">
          <cell r="G8172" t="str">
            <v xml:space="preserve">Phường Đoàn Kết  </v>
          </cell>
          <cell r="I8172" t="str">
            <v>60509</v>
          </cell>
        </row>
        <row r="8173">
          <cell r="G8173" t="str">
            <v xml:space="preserve">Phường Thống Nhất     </v>
          </cell>
          <cell r="I8173" t="str">
            <v>60509</v>
          </cell>
        </row>
        <row r="8174">
          <cell r="G8174" t="str">
            <v>Xã Ea Blang</v>
          </cell>
          <cell r="I8174" t="str">
            <v>60509</v>
          </cell>
        </row>
        <row r="8175">
          <cell r="G8175" t="str">
            <v>Xã Ea Drông</v>
          </cell>
          <cell r="I8175" t="str">
            <v>60509</v>
          </cell>
        </row>
        <row r="8176">
          <cell r="G8176" t="str">
            <v>Xã Ea Siên</v>
          </cell>
          <cell r="I8176" t="str">
            <v>60509</v>
          </cell>
        </row>
        <row r="8177">
          <cell r="G8177" t="str">
            <v xml:space="preserve">Xã Bình Thuận    </v>
          </cell>
          <cell r="I8177" t="str">
            <v>60509</v>
          </cell>
        </row>
        <row r="8178">
          <cell r="G8178" t="str">
            <v>Xã Cư Bao</v>
          </cell>
          <cell r="I8178" t="str">
            <v>60509</v>
          </cell>
        </row>
        <row r="8179">
          <cell r="G8179" t="str">
            <v>Phường Bình Tân</v>
          </cell>
          <cell r="I8179" t="str">
            <v>60509</v>
          </cell>
        </row>
        <row r="8180">
          <cell r="G8180" t="str">
            <v>Phường Đạt Hiếu</v>
          </cell>
          <cell r="I8180" t="str">
            <v>60509</v>
          </cell>
        </row>
        <row r="8181">
          <cell r="G8181" t="str">
            <v>Phường An Lạc</v>
          </cell>
          <cell r="I8181" t="str">
            <v>60509</v>
          </cell>
        </row>
        <row r="8182">
          <cell r="G8182" t="str">
            <v xml:space="preserve">Phường An Bình </v>
          </cell>
          <cell r="I8182" t="str">
            <v>60509</v>
          </cell>
        </row>
        <row r="8183">
          <cell r="G8183" t="str">
            <v>Phường Thiện An</v>
          </cell>
          <cell r="I8183" t="str">
            <v>60509</v>
          </cell>
        </row>
        <row r="8184">
          <cell r="G8184" t="str">
            <v>Xã Ea Wer</v>
          </cell>
          <cell r="I8184" t="str">
            <v>60511</v>
          </cell>
        </row>
        <row r="8185">
          <cell r="G8185" t="str">
            <v>Xã Ea Bar</v>
          </cell>
          <cell r="I8185" t="str">
            <v>60511</v>
          </cell>
        </row>
        <row r="8186">
          <cell r="G8186" t="str">
            <v>Xã Krông Na</v>
          </cell>
          <cell r="I8186" t="str">
            <v>60511</v>
          </cell>
        </row>
        <row r="8187">
          <cell r="G8187" t="str">
            <v>Xã Ea Huar</v>
          </cell>
          <cell r="I8187" t="str">
            <v>60511</v>
          </cell>
        </row>
        <row r="8188">
          <cell r="G8188" t="str">
            <v xml:space="preserve">Xã Tân Hòa     </v>
          </cell>
          <cell r="I8188" t="str">
            <v>60511</v>
          </cell>
        </row>
        <row r="8189">
          <cell r="G8189" t="str">
            <v>Xã Cuôr KNia</v>
          </cell>
          <cell r="I8189" t="str">
            <v>60511</v>
          </cell>
        </row>
        <row r="8190">
          <cell r="G8190" t="str">
            <v>Xã Ea Nuôl</v>
          </cell>
          <cell r="I8190" t="str">
            <v>60511</v>
          </cell>
        </row>
        <row r="8191">
          <cell r="G8191" t="str">
            <v>Thị trấn Quảng Phú</v>
          </cell>
          <cell r="I8191" t="str">
            <v>60513</v>
          </cell>
        </row>
        <row r="8192">
          <cell r="G8192" t="str">
            <v xml:space="preserve">Xã Quảng Tiến </v>
          </cell>
          <cell r="I8192" t="str">
            <v>60513</v>
          </cell>
        </row>
        <row r="8193">
          <cell r="G8193" t="str">
            <v>Xã Ea H-Đinh</v>
          </cell>
          <cell r="I8193" t="str">
            <v>60513</v>
          </cell>
        </row>
        <row r="8194">
          <cell r="G8194" t="str">
            <v>Xã Quảng Hiệp</v>
          </cell>
          <cell r="I8194" t="str">
            <v>60513</v>
          </cell>
        </row>
        <row r="8195">
          <cell r="G8195" t="str">
            <v>Xã Cư Suê</v>
          </cell>
          <cell r="I8195" t="str">
            <v>60513</v>
          </cell>
        </row>
        <row r="8196">
          <cell r="G8196" t="str">
            <v>Thị trấn Ea Pốk</v>
          </cell>
          <cell r="I8196" t="str">
            <v>60513</v>
          </cell>
        </row>
        <row r="8197">
          <cell r="G8197" t="str">
            <v>Xã Ea Kiết</v>
          </cell>
          <cell r="I8197" t="str">
            <v>60513</v>
          </cell>
        </row>
        <row r="8198">
          <cell r="G8198" t="str">
            <v>Xã Ea Tar</v>
          </cell>
          <cell r="I8198" t="str">
            <v>60513</v>
          </cell>
        </row>
        <row r="8199">
          <cell r="G8199" t="str">
            <v>Xã Cư Dliê M-nông</v>
          </cell>
          <cell r="I8199" t="str">
            <v>60513</v>
          </cell>
        </row>
        <row r="8200">
          <cell r="G8200" t="str">
            <v>Xã Ea Tul</v>
          </cell>
          <cell r="I8200" t="str">
            <v>60513</v>
          </cell>
        </row>
        <row r="8201">
          <cell r="G8201" t="str">
            <v>Xã Ea KPam</v>
          </cell>
          <cell r="I8201" t="str">
            <v>60513</v>
          </cell>
        </row>
        <row r="8202">
          <cell r="G8202" t="str">
            <v>Xã Ea M-DRóh</v>
          </cell>
          <cell r="I8202" t="str">
            <v>60513</v>
          </cell>
        </row>
        <row r="8203">
          <cell r="G8203" t="str">
            <v>Xã Cư M-gar</v>
          </cell>
          <cell r="I8203" t="str">
            <v>60513</v>
          </cell>
        </row>
        <row r="8204">
          <cell r="G8204" t="str">
            <v>Xã Ea D-Rơng</v>
          </cell>
          <cell r="I8204" t="str">
            <v>60513</v>
          </cell>
        </row>
        <row r="8205">
          <cell r="G8205" t="str">
            <v>Xã Ea M-nang</v>
          </cell>
          <cell r="I8205" t="str">
            <v>60513</v>
          </cell>
        </row>
        <row r="8206">
          <cell r="G8206" t="str">
            <v>Xã Cuor Đăng</v>
          </cell>
          <cell r="I8206" t="str">
            <v>60513</v>
          </cell>
        </row>
        <row r="8207">
          <cell r="G8207" t="str">
            <v>Xã Eakuêh</v>
          </cell>
          <cell r="I8207" t="str">
            <v>60513</v>
          </cell>
        </row>
        <row r="8208">
          <cell r="G8208" t="str">
            <v>Xã Ea Păn</v>
          </cell>
          <cell r="I8208" t="str">
            <v>60515</v>
          </cell>
        </row>
        <row r="8209">
          <cell r="G8209" t="str">
            <v>Xã Ea Tih</v>
          </cell>
          <cell r="I8209" t="str">
            <v>60515</v>
          </cell>
        </row>
        <row r="8210">
          <cell r="G8210" t="str">
            <v>Xã Cư Ni</v>
          </cell>
          <cell r="I8210" t="str">
            <v>60515</v>
          </cell>
        </row>
        <row r="8211">
          <cell r="G8211" t="str">
            <v>Xã Cư Jang</v>
          </cell>
          <cell r="I8211" t="str">
            <v>60515</v>
          </cell>
        </row>
        <row r="8212">
          <cell r="G8212" t="str">
            <v>Thị trấn Ea Kar</v>
          </cell>
          <cell r="I8212" t="str">
            <v>60515</v>
          </cell>
        </row>
        <row r="8213">
          <cell r="G8213" t="str">
            <v>Thị trấn Ea Knốp</v>
          </cell>
          <cell r="I8213" t="str">
            <v>60515</v>
          </cell>
        </row>
        <row r="8214">
          <cell r="G8214" t="str">
            <v>Xã Ea Sô</v>
          </cell>
          <cell r="I8214" t="str">
            <v>60515</v>
          </cell>
        </row>
        <row r="8215">
          <cell r="G8215" t="str">
            <v xml:space="preserve">Xã Xuân Phú     </v>
          </cell>
          <cell r="I8215" t="str">
            <v>60515</v>
          </cell>
        </row>
        <row r="8216">
          <cell r="G8216" t="str">
            <v>Xã Cư Huê</v>
          </cell>
          <cell r="I8216" t="str">
            <v>60515</v>
          </cell>
        </row>
        <row r="8217">
          <cell r="G8217" t="str">
            <v>Xã Ea Đar</v>
          </cell>
          <cell r="I8217" t="str">
            <v>60515</v>
          </cell>
        </row>
        <row r="8218">
          <cell r="G8218" t="str">
            <v>Xã Ea Kmút</v>
          </cell>
          <cell r="I8218" t="str">
            <v>60515</v>
          </cell>
        </row>
        <row r="8219">
          <cell r="G8219" t="str">
            <v>Xã Ea ô</v>
          </cell>
          <cell r="I8219" t="str">
            <v>60515</v>
          </cell>
        </row>
        <row r="8220">
          <cell r="G8220" t="str">
            <v>Xã Cư Bông</v>
          </cell>
          <cell r="I8220" t="str">
            <v>60515</v>
          </cell>
        </row>
        <row r="8221">
          <cell r="G8221" t="str">
            <v>Xã Cu ELang</v>
          </cell>
          <cell r="I8221" t="str">
            <v>60515</v>
          </cell>
        </row>
        <row r="8222">
          <cell r="G8222" t="str">
            <v>Xã Cu Prong</v>
          </cell>
          <cell r="I8222" t="str">
            <v>60515</v>
          </cell>
        </row>
        <row r="8223">
          <cell r="G8223" t="str">
            <v>Xã EaSar</v>
          </cell>
          <cell r="I8223" t="str">
            <v>60515</v>
          </cell>
        </row>
        <row r="8224">
          <cell r="G8224" t="str">
            <v>Xã Ea Riêng</v>
          </cell>
          <cell r="I8224" t="str">
            <v>60517</v>
          </cell>
        </row>
        <row r="8225">
          <cell r="G8225" t="str">
            <v>Xã Ea Pil</v>
          </cell>
          <cell r="I8225" t="str">
            <v>60517</v>
          </cell>
        </row>
        <row r="8226">
          <cell r="G8226" t="str">
            <v>Xã Ea M- Doal</v>
          </cell>
          <cell r="I8226" t="str">
            <v>60517</v>
          </cell>
        </row>
        <row r="8227">
          <cell r="G8227" t="str">
            <v>Xã KRông á</v>
          </cell>
          <cell r="I8227" t="str">
            <v>60517</v>
          </cell>
        </row>
        <row r="8228">
          <cell r="G8228" t="str">
            <v>Thị trấn M-Đrắk</v>
          </cell>
          <cell r="I8228" t="str">
            <v>60517</v>
          </cell>
        </row>
        <row r="8229">
          <cell r="G8229" t="str">
            <v>Xã Cư Prao</v>
          </cell>
          <cell r="I8229" t="str">
            <v>60517</v>
          </cell>
        </row>
        <row r="8230">
          <cell r="G8230" t="str">
            <v>Xã Ea Lai</v>
          </cell>
          <cell r="I8230" t="str">
            <v>60517</v>
          </cell>
        </row>
        <row r="8231">
          <cell r="G8231" t="str">
            <v>Xã Ea H-MLay</v>
          </cell>
          <cell r="I8231" t="str">
            <v>60517</v>
          </cell>
        </row>
        <row r="8232">
          <cell r="G8232" t="str">
            <v>Xã Krông Jing</v>
          </cell>
          <cell r="I8232" t="str">
            <v>60517</v>
          </cell>
        </row>
        <row r="8233">
          <cell r="G8233" t="str">
            <v>Xã Cư M-ta</v>
          </cell>
          <cell r="I8233" t="str">
            <v>60517</v>
          </cell>
        </row>
        <row r="8234">
          <cell r="G8234" t="str">
            <v>Xã Cư K Róa</v>
          </cell>
          <cell r="I8234" t="str">
            <v>60517</v>
          </cell>
        </row>
        <row r="8235">
          <cell r="G8235" t="str">
            <v>Xã Ea Trang</v>
          </cell>
          <cell r="I8235" t="str">
            <v>60517</v>
          </cell>
        </row>
        <row r="8236">
          <cell r="G8236" t="str">
            <v>Xã Cư Sang</v>
          </cell>
          <cell r="I8236" t="str">
            <v>60517</v>
          </cell>
        </row>
        <row r="8237">
          <cell r="G8237" t="str">
            <v>Xã Ea KNuec</v>
          </cell>
          <cell r="I8237" t="str">
            <v>60519</v>
          </cell>
        </row>
        <row r="8238">
          <cell r="G8238" t="str">
            <v>Thị trấn Phước An</v>
          </cell>
          <cell r="I8238" t="str">
            <v>60519</v>
          </cell>
        </row>
        <row r="8239">
          <cell r="G8239" t="str">
            <v>Xã Ea Phê</v>
          </cell>
          <cell r="I8239" t="str">
            <v>60519</v>
          </cell>
        </row>
        <row r="8240">
          <cell r="G8240" t="str">
            <v>Xã Ea Kuăng</v>
          </cell>
          <cell r="I8240" t="str">
            <v>60519</v>
          </cell>
        </row>
        <row r="8241">
          <cell r="G8241" t="str">
            <v xml:space="preserve">Xã Tân Tiến            </v>
          </cell>
          <cell r="I8241" t="str">
            <v>60519</v>
          </cell>
        </row>
        <row r="8242">
          <cell r="G8242" t="str">
            <v>Xã KRông Búk</v>
          </cell>
          <cell r="I8242" t="str">
            <v>60519</v>
          </cell>
        </row>
        <row r="8243">
          <cell r="G8243" t="str">
            <v>Xã Ea Kly</v>
          </cell>
          <cell r="I8243" t="str">
            <v>60519</v>
          </cell>
        </row>
        <row r="8244">
          <cell r="G8244" t="str">
            <v>Xã Ea Kênh</v>
          </cell>
          <cell r="I8244" t="str">
            <v>60519</v>
          </cell>
        </row>
        <row r="8245">
          <cell r="G8245" t="str">
            <v>Xã Ea Yông</v>
          </cell>
          <cell r="I8245" t="str">
            <v>60519</v>
          </cell>
        </row>
        <row r="8246">
          <cell r="G8246" t="str">
            <v xml:space="preserve">Xã Hòa An  </v>
          </cell>
          <cell r="I8246" t="str">
            <v>60519</v>
          </cell>
        </row>
        <row r="8247">
          <cell r="G8247" t="str">
            <v>Xã Hòa Đông</v>
          </cell>
          <cell r="I8247" t="str">
            <v>60519</v>
          </cell>
        </row>
        <row r="8248">
          <cell r="G8248" t="str">
            <v>Xã Ea Hiu</v>
          </cell>
          <cell r="I8248" t="str">
            <v>60519</v>
          </cell>
        </row>
        <row r="8249">
          <cell r="G8249" t="str">
            <v xml:space="preserve">Xã Hòa Tiến   </v>
          </cell>
          <cell r="I8249" t="str">
            <v>60519</v>
          </cell>
        </row>
        <row r="8250">
          <cell r="G8250" t="str">
            <v>Xã Vụ Bổn</v>
          </cell>
          <cell r="I8250" t="str">
            <v>60519</v>
          </cell>
        </row>
        <row r="8251">
          <cell r="G8251" t="str">
            <v>Xã Ea Uy</v>
          </cell>
          <cell r="I8251" t="str">
            <v>60519</v>
          </cell>
        </row>
        <row r="8252">
          <cell r="G8252" t="str">
            <v>Xã Ea Yiêng</v>
          </cell>
          <cell r="I8252" t="str">
            <v>60519</v>
          </cell>
        </row>
        <row r="8253">
          <cell r="G8253" t="str">
            <v>Xã Cư ê Wi</v>
          </cell>
          <cell r="I8253" t="str">
            <v>60523</v>
          </cell>
        </row>
        <row r="8254">
          <cell r="G8254" t="str">
            <v>Xã Dur KMăl</v>
          </cell>
          <cell r="I8254" t="str">
            <v>60523</v>
          </cell>
        </row>
        <row r="8255">
          <cell r="G8255" t="str">
            <v>Thị trấn Buôn Trấp</v>
          </cell>
          <cell r="I8255" t="str">
            <v>60523</v>
          </cell>
        </row>
        <row r="8256">
          <cell r="G8256" t="str">
            <v>Xã Ea Hu</v>
          </cell>
          <cell r="I8256" t="str">
            <v>60523</v>
          </cell>
        </row>
        <row r="8257">
          <cell r="G8257" t="str">
            <v>Xã Hòa Hiệp</v>
          </cell>
          <cell r="I8257" t="str">
            <v>60523</v>
          </cell>
        </row>
        <row r="8258">
          <cell r="G8258" t="str">
            <v xml:space="preserve">Xã Bình Hòa   </v>
          </cell>
          <cell r="I8258" t="str">
            <v>60523</v>
          </cell>
        </row>
        <row r="8259">
          <cell r="G8259" t="str">
            <v>Xã Ea Ktur</v>
          </cell>
          <cell r="I8259" t="str">
            <v>60523</v>
          </cell>
        </row>
        <row r="8260">
          <cell r="G8260" t="str">
            <v>Xã Ea Tiêu</v>
          </cell>
          <cell r="I8260" t="str">
            <v>60523</v>
          </cell>
        </row>
        <row r="8261">
          <cell r="G8261" t="str">
            <v>Xã Ea BHốk</v>
          </cell>
          <cell r="I8261" t="str">
            <v>60523</v>
          </cell>
        </row>
        <row r="8262">
          <cell r="G8262" t="str">
            <v>Xã Dray Sáp</v>
          </cell>
          <cell r="I8262" t="str">
            <v>60523</v>
          </cell>
        </row>
        <row r="8263">
          <cell r="G8263" t="str">
            <v>Xã Ea Na</v>
          </cell>
          <cell r="I8263" t="str">
            <v>60523</v>
          </cell>
        </row>
        <row r="8264">
          <cell r="G8264" t="str">
            <v>Xã Ea Bông</v>
          </cell>
          <cell r="I8264" t="str">
            <v>60523</v>
          </cell>
        </row>
        <row r="8265">
          <cell r="G8265" t="str">
            <v>Xã Băng A Drênh</v>
          </cell>
          <cell r="I8265" t="str">
            <v>60523</v>
          </cell>
        </row>
        <row r="8266">
          <cell r="G8266" t="str">
            <v xml:space="preserve">Xã Quảng Điền </v>
          </cell>
          <cell r="I8266" t="str">
            <v>60523</v>
          </cell>
        </row>
        <row r="8267">
          <cell r="G8267" t="str">
            <v>Xã Yang Reh</v>
          </cell>
          <cell r="I8267" t="str">
            <v>60525</v>
          </cell>
        </row>
        <row r="8268">
          <cell r="G8268" t="str">
            <v>Xã Cư KTy</v>
          </cell>
          <cell r="I8268" t="str">
            <v>60525</v>
          </cell>
        </row>
        <row r="8269">
          <cell r="G8269" t="str">
            <v>Xã Hòa Lễ</v>
          </cell>
          <cell r="I8269" t="str">
            <v>60525</v>
          </cell>
        </row>
        <row r="8270">
          <cell r="G8270" t="str">
            <v>Xã Khuê Ngọc Điền</v>
          </cell>
          <cell r="I8270" t="str">
            <v>60525</v>
          </cell>
        </row>
        <row r="8271">
          <cell r="G8271" t="str">
            <v>Thị trấn Krông Kmar</v>
          </cell>
          <cell r="I8271" t="str">
            <v>60525</v>
          </cell>
        </row>
        <row r="8272">
          <cell r="G8272" t="str">
            <v>Xã Dang Kang</v>
          </cell>
          <cell r="I8272" t="str">
            <v>60525</v>
          </cell>
        </row>
        <row r="8273">
          <cell r="G8273" t="str">
            <v xml:space="preserve">Xã Hòa Thành </v>
          </cell>
          <cell r="I8273" t="str">
            <v>60525</v>
          </cell>
        </row>
        <row r="8274">
          <cell r="G8274" t="str">
            <v>Xã Hòa Tân</v>
          </cell>
          <cell r="I8274" t="str">
            <v>60525</v>
          </cell>
        </row>
        <row r="8275">
          <cell r="G8275" t="str">
            <v xml:space="preserve">Xã Hòa Phong   </v>
          </cell>
          <cell r="I8275" t="str">
            <v>60525</v>
          </cell>
        </row>
        <row r="8276">
          <cell r="G8276" t="str">
            <v>Xã Ea Trul</v>
          </cell>
          <cell r="I8276" t="str">
            <v>60525</v>
          </cell>
        </row>
        <row r="8277">
          <cell r="G8277" t="str">
            <v>Xã Cư Pui</v>
          </cell>
          <cell r="I8277" t="str">
            <v>60525</v>
          </cell>
        </row>
        <row r="8278">
          <cell r="G8278" t="str">
            <v xml:space="preserve">Xã Hòa Sơn     </v>
          </cell>
          <cell r="I8278" t="str">
            <v>60525</v>
          </cell>
        </row>
        <row r="8279">
          <cell r="G8279" t="str">
            <v>Xã Cư Drăm</v>
          </cell>
          <cell r="I8279" t="str">
            <v>60525</v>
          </cell>
        </row>
        <row r="8280">
          <cell r="G8280" t="str">
            <v>Xã Yang Mao</v>
          </cell>
          <cell r="I8280" t="str">
            <v>60525</v>
          </cell>
        </row>
        <row r="8281">
          <cell r="G8281" t="str">
            <v>Xã Nam Ka</v>
          </cell>
          <cell r="I8281" t="str">
            <v>60531</v>
          </cell>
        </row>
        <row r="8282">
          <cell r="G8282" t="str">
            <v>Xã Bông Krang</v>
          </cell>
          <cell r="I8282" t="str">
            <v>60531</v>
          </cell>
        </row>
        <row r="8283">
          <cell r="G8283" t="str">
            <v>Xã Đắk Phơi</v>
          </cell>
          <cell r="I8283" t="str">
            <v>60531</v>
          </cell>
        </row>
        <row r="8284">
          <cell r="G8284" t="str">
            <v>Xã Ea R-Bin</v>
          </cell>
          <cell r="I8284" t="str">
            <v>60531</v>
          </cell>
        </row>
        <row r="8285">
          <cell r="G8285" t="str">
            <v>Thị trấn Liên Sơn</v>
          </cell>
          <cell r="I8285" t="str">
            <v>60531</v>
          </cell>
        </row>
        <row r="8286">
          <cell r="G8286" t="str">
            <v>Xã Yang Tao</v>
          </cell>
          <cell r="I8286" t="str">
            <v>60531</v>
          </cell>
        </row>
        <row r="8287">
          <cell r="G8287" t="str">
            <v>Xã Đắk Liêng</v>
          </cell>
          <cell r="I8287" t="str">
            <v>60531</v>
          </cell>
        </row>
        <row r="8288">
          <cell r="G8288" t="str">
            <v>Xã Buôn Triết</v>
          </cell>
          <cell r="I8288" t="str">
            <v>60531</v>
          </cell>
        </row>
        <row r="8289">
          <cell r="G8289" t="str">
            <v>Xã Buôn Tría</v>
          </cell>
          <cell r="I8289" t="str">
            <v>60531</v>
          </cell>
        </row>
        <row r="8290">
          <cell r="G8290" t="str">
            <v>Xã Đắk Nuê</v>
          </cell>
          <cell r="I8290" t="str">
            <v>60531</v>
          </cell>
        </row>
        <row r="8291">
          <cell r="G8291" t="str">
            <v>Xã Krông Nô</v>
          </cell>
          <cell r="I8291" t="str">
            <v>60531</v>
          </cell>
        </row>
        <row r="8292">
          <cell r="G8292" t="str">
            <v xml:space="preserve">Xã Hòa Hiệp </v>
          </cell>
          <cell r="I8292" t="str">
            <v>60537</v>
          </cell>
        </row>
        <row r="8293">
          <cell r="G8293" t="str">
            <v>Xã Dray Bhăng</v>
          </cell>
          <cell r="I8293" t="str">
            <v>60537</v>
          </cell>
        </row>
        <row r="8294">
          <cell r="G8294" t="str">
            <v>Xã Ea Bhốc</v>
          </cell>
          <cell r="I8294" t="str">
            <v>60537</v>
          </cell>
        </row>
        <row r="8295">
          <cell r="G8295" t="str">
            <v xml:space="preserve">Xã Ea Hu </v>
          </cell>
          <cell r="I8295" t="str">
            <v>60537</v>
          </cell>
        </row>
        <row r="8296">
          <cell r="G8296" t="str">
            <v xml:space="preserve">Xã Ea Tiêu </v>
          </cell>
          <cell r="I8296" t="str">
            <v>60537</v>
          </cell>
        </row>
        <row r="8297">
          <cell r="G8297" t="str">
            <v xml:space="preserve">Xã Ea Ktur </v>
          </cell>
          <cell r="I8297" t="str">
            <v>60537</v>
          </cell>
        </row>
        <row r="8298">
          <cell r="G8298" t="str">
            <v>Xã Ea Ning</v>
          </cell>
          <cell r="I8298" t="str">
            <v>60537</v>
          </cell>
        </row>
        <row r="8299">
          <cell r="G8299" t="str">
            <v>Xã Cư Êwi</v>
          </cell>
          <cell r="I8299" t="str">
            <v>60537</v>
          </cell>
        </row>
        <row r="8300">
          <cell r="G8300" t="str">
            <v>Xã Cư Né</v>
          </cell>
          <cell r="I8300" t="str">
            <v>60539</v>
          </cell>
        </row>
        <row r="8301">
          <cell r="G8301" t="str">
            <v>Xã Cư Pơng</v>
          </cell>
          <cell r="I8301" t="str">
            <v>60539</v>
          </cell>
        </row>
        <row r="8302">
          <cell r="G8302" t="str">
            <v>Xã Ea Sin</v>
          </cell>
          <cell r="I8302" t="str">
            <v>60539</v>
          </cell>
        </row>
        <row r="8303">
          <cell r="G8303" t="str">
            <v>Xã Cư Kpô</v>
          </cell>
          <cell r="I8303" t="str">
            <v>60539</v>
          </cell>
        </row>
        <row r="8304">
          <cell r="G8304" t="str">
            <v>Xã Ea Ngai</v>
          </cell>
          <cell r="I8304" t="str">
            <v>60539</v>
          </cell>
        </row>
        <row r="8305">
          <cell r="G8305" t="str">
            <v>Xã Pơng Đrang</v>
          </cell>
          <cell r="I8305" t="str">
            <v>60539</v>
          </cell>
        </row>
        <row r="8306">
          <cell r="G8306" t="str">
            <v xml:space="preserve">Xã Tân Lập                 </v>
          </cell>
          <cell r="I8306" t="str">
            <v>60539</v>
          </cell>
        </row>
        <row r="8307">
          <cell r="G8307" t="str">
            <v>Thị trấn Ea T-Ling</v>
          </cell>
          <cell r="I8307" t="str">
            <v>60603</v>
          </cell>
        </row>
        <row r="8308">
          <cell r="G8308" t="str">
            <v>Xã Ea Pô</v>
          </cell>
          <cell r="I8308" t="str">
            <v>60603</v>
          </cell>
        </row>
        <row r="8309">
          <cell r="G8309" t="str">
            <v>Xã Cư Knia</v>
          </cell>
          <cell r="I8309" t="str">
            <v>60603</v>
          </cell>
        </row>
        <row r="8310">
          <cell r="G8310" t="str">
            <v>Xã Đắk Wil</v>
          </cell>
          <cell r="I8310" t="str">
            <v>60603</v>
          </cell>
        </row>
        <row r="8311">
          <cell r="G8311" t="str">
            <v>Xã Nam Dong</v>
          </cell>
          <cell r="I8311" t="str">
            <v>60603</v>
          </cell>
        </row>
        <row r="8312">
          <cell r="G8312" t="str">
            <v>Xã Đắk DRông</v>
          </cell>
          <cell r="I8312" t="str">
            <v>60603</v>
          </cell>
        </row>
        <row r="8313">
          <cell r="G8313" t="str">
            <v>Xã Tâm Thắng</v>
          </cell>
          <cell r="I8313" t="str">
            <v>60603</v>
          </cell>
        </row>
        <row r="8314">
          <cell r="G8314" t="str">
            <v>Xã Trúc Sơn</v>
          </cell>
          <cell r="I8314" t="str">
            <v>60603</v>
          </cell>
        </row>
        <row r="8315">
          <cell r="G8315" t="str">
            <v>Xã Nam Đà</v>
          </cell>
          <cell r="I8315" t="str">
            <v>60605</v>
          </cell>
        </row>
        <row r="8316">
          <cell r="G8316" t="str">
            <v>Xã Đức Xuyên</v>
          </cell>
          <cell r="I8316" t="str">
            <v>60605</v>
          </cell>
        </row>
        <row r="8317">
          <cell r="G8317" t="str">
            <v>Thị trấn Đắk Mâm</v>
          </cell>
          <cell r="I8317" t="str">
            <v>60605</v>
          </cell>
        </row>
        <row r="8318">
          <cell r="G8318" t="str">
            <v>Xã Đắk Sôr</v>
          </cell>
          <cell r="I8318" t="str">
            <v>60605</v>
          </cell>
        </row>
        <row r="8319">
          <cell r="G8319" t="str">
            <v>Xã Buôn Choah</v>
          </cell>
          <cell r="I8319" t="str">
            <v>60605</v>
          </cell>
        </row>
        <row r="8320">
          <cell r="G8320" t="str">
            <v xml:space="preserve">Xã Tân Thành            </v>
          </cell>
          <cell r="I8320" t="str">
            <v>60605</v>
          </cell>
        </row>
        <row r="8321">
          <cell r="G8321" t="str">
            <v>Xã Đắk Drô</v>
          </cell>
          <cell r="I8321" t="str">
            <v>60605</v>
          </cell>
        </row>
        <row r="8322">
          <cell r="G8322" t="str">
            <v>Xã Nâm Nung</v>
          </cell>
          <cell r="I8322" t="str">
            <v>60605</v>
          </cell>
        </row>
        <row r="8323">
          <cell r="G8323" t="str">
            <v>Xã Đắk Nang</v>
          </cell>
          <cell r="I8323" t="str">
            <v>60605</v>
          </cell>
        </row>
        <row r="8324">
          <cell r="G8324" t="str">
            <v xml:space="preserve">Xã Quảng Phú     </v>
          </cell>
          <cell r="I8324" t="str">
            <v>60605</v>
          </cell>
        </row>
        <row r="8325">
          <cell r="G8325" t="str">
            <v>Xã Nâm   Đir</v>
          </cell>
          <cell r="I8325" t="str">
            <v>60605</v>
          </cell>
        </row>
        <row r="8326">
          <cell r="G8326" t="str">
            <v xml:space="preserve">Xã Nam Xuân  </v>
          </cell>
          <cell r="I8326" t="str">
            <v>60605</v>
          </cell>
        </row>
        <row r="8327">
          <cell r="G8327" t="str">
            <v>Xã Đắk Gằn</v>
          </cell>
          <cell r="I8327" t="str">
            <v>60607</v>
          </cell>
        </row>
        <row r="8328">
          <cell r="G8328" t="str">
            <v>Xã Thuận An</v>
          </cell>
          <cell r="I8328" t="str">
            <v>60607</v>
          </cell>
        </row>
        <row r="8329">
          <cell r="G8329" t="str">
            <v>Xã Đắk Lao</v>
          </cell>
          <cell r="I8329" t="str">
            <v>60607</v>
          </cell>
        </row>
        <row r="8330">
          <cell r="G8330" t="str">
            <v>Xã Đắk R-La</v>
          </cell>
          <cell r="I8330" t="str">
            <v>60607</v>
          </cell>
        </row>
        <row r="8331">
          <cell r="G8331" t="str">
            <v>Xã Đức Mạnh</v>
          </cell>
          <cell r="I8331" t="str">
            <v>60607</v>
          </cell>
        </row>
        <row r="8332">
          <cell r="G8332" t="str">
            <v>Xã Đắk N Drót</v>
          </cell>
          <cell r="I8332" t="str">
            <v>60607</v>
          </cell>
        </row>
        <row r="8333">
          <cell r="G8333" t="str">
            <v>Xã Đắk Sắk</v>
          </cell>
          <cell r="I8333" t="str">
            <v>60607</v>
          </cell>
        </row>
        <row r="8334">
          <cell r="G8334" t="str">
            <v xml:space="preserve">Xã Đức Minh </v>
          </cell>
          <cell r="I8334" t="str">
            <v>60607</v>
          </cell>
        </row>
        <row r="8335">
          <cell r="G8335" t="str">
            <v>Thị trấn Đắk Mil</v>
          </cell>
          <cell r="I8335" t="str">
            <v>60607</v>
          </cell>
        </row>
        <row r="8336">
          <cell r="G8336" t="str">
            <v xml:space="preserve">Xã Long Sơn    </v>
          </cell>
          <cell r="I8336" t="str">
            <v>60607</v>
          </cell>
        </row>
        <row r="8337">
          <cell r="G8337" t="str">
            <v>Xã Đắk Môl</v>
          </cell>
          <cell r="I8337" t="str">
            <v>60609</v>
          </cell>
        </row>
        <row r="8338">
          <cell r="G8338" t="str">
            <v>Xã Thuận Hạnh</v>
          </cell>
          <cell r="I8338" t="str">
            <v>60609</v>
          </cell>
        </row>
        <row r="8339">
          <cell r="G8339" t="str">
            <v xml:space="preserve">Xã Nam Bình </v>
          </cell>
          <cell r="I8339" t="str">
            <v>60609</v>
          </cell>
        </row>
        <row r="8340">
          <cell r="G8340" t="str">
            <v>Xã Đắk N Dung</v>
          </cell>
          <cell r="I8340" t="str">
            <v>60609</v>
          </cell>
        </row>
        <row r="8341">
          <cell r="G8341" t="str">
            <v>Xã Nâm N Jang</v>
          </cell>
          <cell r="I8341" t="str">
            <v>60609</v>
          </cell>
        </row>
        <row r="8342">
          <cell r="G8342" t="str">
            <v xml:space="preserve">Xã Trường Xuân </v>
          </cell>
          <cell r="I8342" t="str">
            <v>60609</v>
          </cell>
        </row>
        <row r="8343">
          <cell r="G8343" t="str">
            <v>Xã Thuận Hà</v>
          </cell>
          <cell r="I8343" t="str">
            <v>60609</v>
          </cell>
        </row>
        <row r="8344">
          <cell r="G8344" t="str">
            <v>Thị trấn Đức An</v>
          </cell>
          <cell r="I8344" t="str">
            <v>60609</v>
          </cell>
        </row>
        <row r="8345">
          <cell r="G8345" t="str">
            <v>Xã Đăk Hòa</v>
          </cell>
          <cell r="I8345" t="str">
            <v>60609</v>
          </cell>
        </row>
        <row r="8346">
          <cell r="G8346" t="str">
            <v>Xã Quảng Tín</v>
          </cell>
          <cell r="I8346" t="str">
            <v>60611</v>
          </cell>
        </row>
        <row r="8347">
          <cell r="G8347" t="str">
            <v>Xã Quảng Trực</v>
          </cell>
          <cell r="I8347" t="str">
            <v>60611</v>
          </cell>
        </row>
        <row r="8348">
          <cell r="G8348" t="str">
            <v xml:space="preserve">Xã Quảng Tân   </v>
          </cell>
          <cell r="I8348" t="str">
            <v>60611</v>
          </cell>
        </row>
        <row r="8349">
          <cell r="G8349" t="str">
            <v>Xã Đắk Sin</v>
          </cell>
          <cell r="I8349" t="str">
            <v>60611</v>
          </cell>
        </row>
        <row r="8350">
          <cell r="G8350" t="str">
            <v>Thị trấn Kiến Đức</v>
          </cell>
          <cell r="I8350" t="str">
            <v>60611</v>
          </cell>
        </row>
        <row r="8351">
          <cell r="G8351" t="str">
            <v>Xã Hưng Bình</v>
          </cell>
          <cell r="I8351" t="str">
            <v>60611</v>
          </cell>
        </row>
        <row r="8352">
          <cell r="G8352" t="str">
            <v xml:space="preserve">Xã Nghĩa Thắng   </v>
          </cell>
          <cell r="I8352" t="str">
            <v>60611</v>
          </cell>
        </row>
        <row r="8353">
          <cell r="G8353" t="str">
            <v>Xã Đắk Wer</v>
          </cell>
          <cell r="I8353" t="str">
            <v>60611</v>
          </cell>
        </row>
        <row r="8354">
          <cell r="G8354" t="str">
            <v>Xã Nhân Cơ</v>
          </cell>
          <cell r="I8354" t="str">
            <v>60611</v>
          </cell>
        </row>
        <row r="8355">
          <cell r="G8355" t="str">
            <v>Xã Kiến Thành</v>
          </cell>
          <cell r="I8355" t="str">
            <v>60611</v>
          </cell>
        </row>
        <row r="8356">
          <cell r="G8356" t="str">
            <v>Xã Đạo Nghĩa</v>
          </cell>
          <cell r="I8356" t="str">
            <v>60611</v>
          </cell>
        </row>
        <row r="8357">
          <cell r="G8357" t="str">
            <v>Xã Đắk Ru</v>
          </cell>
          <cell r="I8357" t="str">
            <v>60611</v>
          </cell>
        </row>
        <row r="8358">
          <cell r="G8358" t="str">
            <v xml:space="preserve">Xã Nhân Đạo  </v>
          </cell>
          <cell r="I8358" t="str">
            <v>60611</v>
          </cell>
        </row>
        <row r="8359">
          <cell r="G8359" t="str">
            <v xml:space="preserve">Xã Quảng Thành  </v>
          </cell>
          <cell r="I8359" t="str">
            <v>60613</v>
          </cell>
        </row>
        <row r="8360">
          <cell r="G8360" t="str">
            <v>Phường Nghĩa Thành</v>
          </cell>
          <cell r="I8360" t="str">
            <v>60613</v>
          </cell>
        </row>
        <row r="8361">
          <cell r="G8361" t="str">
            <v>Phường Nghĩa Đức</v>
          </cell>
          <cell r="I8361" t="str">
            <v>60613</v>
          </cell>
        </row>
        <row r="8362">
          <cell r="G8362" t="str">
            <v>Phường Nghĩa Phú</v>
          </cell>
          <cell r="I8362" t="str">
            <v>60613</v>
          </cell>
        </row>
        <row r="8363">
          <cell r="G8363" t="str">
            <v xml:space="preserve">Phường Nghĩa Tân </v>
          </cell>
          <cell r="I8363" t="str">
            <v>60613</v>
          </cell>
        </row>
        <row r="8364">
          <cell r="G8364" t="str">
            <v>Phường Nghĩa Trung</v>
          </cell>
          <cell r="I8364" t="str">
            <v>60613</v>
          </cell>
        </row>
        <row r="8365">
          <cell r="G8365" t="str">
            <v>Xã Đăk R Moan</v>
          </cell>
          <cell r="I8365" t="str">
            <v>60613</v>
          </cell>
        </row>
        <row r="8366">
          <cell r="G8366" t="str">
            <v>Xã Đắk Nia</v>
          </cell>
          <cell r="I8366" t="str">
            <v>60613</v>
          </cell>
        </row>
        <row r="8367">
          <cell r="G8367" t="str">
            <v xml:space="preserve">Xã Quảng Sơn  </v>
          </cell>
          <cell r="I8367" t="str">
            <v>60615</v>
          </cell>
        </row>
        <row r="8368">
          <cell r="G8368" t="str">
            <v>Xã Đắk Plao</v>
          </cell>
          <cell r="I8368" t="str">
            <v>60615</v>
          </cell>
        </row>
        <row r="8369">
          <cell r="G8369" t="str">
            <v>Xã Đắk Ha</v>
          </cell>
          <cell r="I8369" t="str">
            <v>60615</v>
          </cell>
        </row>
        <row r="8370">
          <cell r="G8370" t="str">
            <v>Xã Đắk R Măng</v>
          </cell>
          <cell r="I8370" t="str">
            <v>60615</v>
          </cell>
        </row>
        <row r="8371">
          <cell r="G8371" t="str">
            <v xml:space="preserve">Xã Quảng Khê  </v>
          </cell>
          <cell r="I8371" t="str">
            <v>60615</v>
          </cell>
        </row>
        <row r="8372">
          <cell r="G8372" t="str">
            <v>Xã Đắk Som</v>
          </cell>
          <cell r="I8372" t="str">
            <v>60615</v>
          </cell>
        </row>
        <row r="8373">
          <cell r="G8373" t="str">
            <v xml:space="preserve">Xã Quảng Hòa  </v>
          </cell>
          <cell r="I8373" t="str">
            <v>60615</v>
          </cell>
        </row>
        <row r="8374">
          <cell r="G8374" t="str">
            <v xml:space="preserve">Xã Quảng Tân    </v>
          </cell>
          <cell r="I8374" t="str">
            <v>60617</v>
          </cell>
        </row>
        <row r="8375">
          <cell r="G8375" t="str">
            <v>Xã Đắk Búk So</v>
          </cell>
          <cell r="I8375" t="str">
            <v>60617</v>
          </cell>
        </row>
        <row r="8376">
          <cell r="G8376" t="str">
            <v>Xã Đắk R-Tíh</v>
          </cell>
          <cell r="I8376" t="str">
            <v>60617</v>
          </cell>
        </row>
        <row r="8377">
          <cell r="G8377" t="str">
            <v xml:space="preserve">Xã Quảng Trực </v>
          </cell>
          <cell r="I8377" t="str">
            <v>60617</v>
          </cell>
        </row>
        <row r="8378">
          <cell r="G8378" t="str">
            <v>Xã Đăk Ngo</v>
          </cell>
          <cell r="I8378" t="str">
            <v>60617</v>
          </cell>
        </row>
        <row r="8379">
          <cell r="G8379" t="str">
            <v xml:space="preserve">Xã Quảng Tâm </v>
          </cell>
          <cell r="I8379" t="str">
            <v>60617</v>
          </cell>
        </row>
        <row r="8380">
          <cell r="G8380" t="str">
            <v>Phường Tân Định</v>
          </cell>
          <cell r="I8380" t="str">
            <v>70101</v>
          </cell>
        </row>
        <row r="8381">
          <cell r="G8381" t="str">
            <v>Phường Đa Kao</v>
          </cell>
          <cell r="I8381" t="str">
            <v>70101</v>
          </cell>
        </row>
        <row r="8382">
          <cell r="G8382" t="str">
            <v>Phường Bến Nghé</v>
          </cell>
          <cell r="I8382" t="str">
            <v>70101</v>
          </cell>
        </row>
        <row r="8383">
          <cell r="G8383" t="str">
            <v>Phường Bến Thành</v>
          </cell>
          <cell r="I8383" t="str">
            <v>70101</v>
          </cell>
        </row>
        <row r="8384">
          <cell r="G8384" t="str">
            <v>Phường Nguyễn Thái Bình</v>
          </cell>
          <cell r="I8384" t="str">
            <v>70101</v>
          </cell>
        </row>
        <row r="8385">
          <cell r="G8385" t="str">
            <v xml:space="preserve">Phường Phạm Ngũ Lão </v>
          </cell>
          <cell r="I8385" t="str">
            <v>70101</v>
          </cell>
        </row>
        <row r="8386">
          <cell r="G8386" t="str">
            <v>Phường Cô Giang</v>
          </cell>
          <cell r="I8386" t="str">
            <v>70101</v>
          </cell>
        </row>
        <row r="8387">
          <cell r="G8387" t="str">
            <v>Phường Cầu Ông Lãnh</v>
          </cell>
          <cell r="I8387" t="str">
            <v>70101</v>
          </cell>
        </row>
        <row r="8388">
          <cell r="G8388" t="str">
            <v>Phường Nguyễn Cư Trinh</v>
          </cell>
          <cell r="I8388" t="str">
            <v>70101</v>
          </cell>
        </row>
        <row r="8389">
          <cell r="G8389" t="str">
            <v>Phường Cầu Kho</v>
          </cell>
          <cell r="I8389" t="str">
            <v>70101</v>
          </cell>
        </row>
        <row r="8390">
          <cell r="G8390" t="str">
            <v xml:space="preserve">Phường An Phú  </v>
          </cell>
          <cell r="I8390" t="str">
            <v>70103</v>
          </cell>
        </row>
        <row r="8391">
          <cell r="G8391" t="str">
            <v>Phường Thảo Điền</v>
          </cell>
          <cell r="I8391" t="str">
            <v>70103</v>
          </cell>
        </row>
        <row r="8392">
          <cell r="G8392" t="str">
            <v>Phường An Khánh</v>
          </cell>
          <cell r="I8392" t="str">
            <v>70103</v>
          </cell>
        </row>
        <row r="8393">
          <cell r="G8393" t="str">
            <v>Phường Bình Khánh</v>
          </cell>
          <cell r="I8393" t="str">
            <v>70103</v>
          </cell>
        </row>
        <row r="8394">
          <cell r="G8394" t="str">
            <v>Phường Bình An</v>
          </cell>
          <cell r="I8394" t="str">
            <v>70103</v>
          </cell>
        </row>
        <row r="8395">
          <cell r="G8395" t="str">
            <v>Phường Thủ Thiêm</v>
          </cell>
          <cell r="I8395" t="str">
            <v>70103</v>
          </cell>
        </row>
        <row r="8396">
          <cell r="G8396" t="str">
            <v>Phường An Lợi Đông</v>
          </cell>
          <cell r="I8396" t="str">
            <v>70103</v>
          </cell>
        </row>
        <row r="8397">
          <cell r="G8397" t="str">
            <v>Phường Bình Trưng Tây</v>
          </cell>
          <cell r="I8397" t="str">
            <v>70103</v>
          </cell>
        </row>
        <row r="8398">
          <cell r="G8398" t="str">
            <v>Phường Bình Trưng Đông</v>
          </cell>
          <cell r="I8398" t="str">
            <v>70103</v>
          </cell>
        </row>
        <row r="8399">
          <cell r="G8399" t="str">
            <v>Phường Cát Lái</v>
          </cell>
          <cell r="I8399" t="str">
            <v>70103</v>
          </cell>
        </row>
        <row r="8400">
          <cell r="G8400" t="str">
            <v>Phường Thạnh Mỹ Lợi</v>
          </cell>
          <cell r="I8400" t="str">
            <v>70103</v>
          </cell>
        </row>
        <row r="8401">
          <cell r="G8401" t="str">
            <v>Phường 01</v>
          </cell>
          <cell r="I8401" t="str">
            <v>70105</v>
          </cell>
        </row>
        <row r="8402">
          <cell r="G8402" t="str">
            <v>Phường 02</v>
          </cell>
          <cell r="I8402" t="str">
            <v>70105</v>
          </cell>
        </row>
        <row r="8403">
          <cell r="G8403" t="str">
            <v>Phường 03</v>
          </cell>
          <cell r="I8403" t="str">
            <v>70105</v>
          </cell>
        </row>
        <row r="8404">
          <cell r="G8404" t="str">
            <v>Phường 04</v>
          </cell>
          <cell r="I8404" t="str">
            <v>70105</v>
          </cell>
        </row>
        <row r="8405">
          <cell r="G8405" t="str">
            <v>Phuờng 05</v>
          </cell>
          <cell r="I8405" t="str">
            <v>70105</v>
          </cell>
        </row>
        <row r="8406">
          <cell r="G8406" t="str">
            <v>Phường 06</v>
          </cell>
          <cell r="I8406" t="str">
            <v>70105</v>
          </cell>
        </row>
        <row r="8407">
          <cell r="G8407" t="str">
            <v>Phường 07</v>
          </cell>
          <cell r="I8407" t="str">
            <v>70105</v>
          </cell>
        </row>
        <row r="8408">
          <cell r="G8408" t="str">
            <v>Phường 08</v>
          </cell>
          <cell r="I8408" t="str">
            <v>70105</v>
          </cell>
        </row>
        <row r="8409">
          <cell r="G8409" t="str">
            <v>Phường 09</v>
          </cell>
          <cell r="I8409" t="str">
            <v>70105</v>
          </cell>
        </row>
        <row r="8410">
          <cell r="G8410" t="str">
            <v>Phường 10</v>
          </cell>
          <cell r="I8410" t="str">
            <v>70105</v>
          </cell>
        </row>
        <row r="8411">
          <cell r="G8411" t="str">
            <v>Phường 11</v>
          </cell>
          <cell r="I8411" t="str">
            <v>70105</v>
          </cell>
        </row>
        <row r="8412">
          <cell r="G8412" t="str">
            <v>Phường 12</v>
          </cell>
          <cell r="I8412" t="str">
            <v>70105</v>
          </cell>
        </row>
        <row r="8413">
          <cell r="G8413" t="str">
            <v>Phường 13</v>
          </cell>
          <cell r="I8413" t="str">
            <v>70105</v>
          </cell>
        </row>
        <row r="8414">
          <cell r="G8414" t="str">
            <v>Phường 14</v>
          </cell>
          <cell r="I8414" t="str">
            <v>70105</v>
          </cell>
        </row>
        <row r="8415">
          <cell r="G8415" t="str">
            <v xml:space="preserve">phường 01 </v>
          </cell>
          <cell r="I8415" t="str">
            <v>70107</v>
          </cell>
        </row>
        <row r="8416">
          <cell r="G8416" t="str">
            <v xml:space="preserve">Phường 02 </v>
          </cell>
          <cell r="I8416" t="str">
            <v>70107</v>
          </cell>
        </row>
        <row r="8417">
          <cell r="G8417" t="str">
            <v xml:space="preserve">phường 03 </v>
          </cell>
          <cell r="I8417" t="str">
            <v>70107</v>
          </cell>
        </row>
        <row r="8418">
          <cell r="G8418" t="str">
            <v xml:space="preserve">phường 04 </v>
          </cell>
          <cell r="I8418" t="str">
            <v>70107</v>
          </cell>
        </row>
        <row r="8419">
          <cell r="G8419" t="str">
            <v>phường 05</v>
          </cell>
          <cell r="I8419" t="str">
            <v>70107</v>
          </cell>
        </row>
        <row r="8420">
          <cell r="G8420" t="str">
            <v xml:space="preserve">phường 06 </v>
          </cell>
          <cell r="I8420" t="str">
            <v>70107</v>
          </cell>
        </row>
        <row r="8421">
          <cell r="G8421" t="str">
            <v xml:space="preserve">phường 08 </v>
          </cell>
          <cell r="I8421" t="str">
            <v>70107</v>
          </cell>
        </row>
        <row r="8422">
          <cell r="G8422" t="str">
            <v xml:space="preserve">phường 09 </v>
          </cell>
          <cell r="I8422" t="str">
            <v>70107</v>
          </cell>
        </row>
        <row r="8423">
          <cell r="G8423" t="str">
            <v xml:space="preserve">phường 10 </v>
          </cell>
          <cell r="I8423" t="str">
            <v>70107</v>
          </cell>
        </row>
        <row r="8424">
          <cell r="G8424" t="str">
            <v xml:space="preserve">phường 12 </v>
          </cell>
          <cell r="I8424" t="str">
            <v>70107</v>
          </cell>
        </row>
        <row r="8425">
          <cell r="G8425" t="str">
            <v xml:space="preserve">phường 13 </v>
          </cell>
          <cell r="I8425" t="str">
            <v>70107</v>
          </cell>
        </row>
        <row r="8426">
          <cell r="G8426" t="str">
            <v xml:space="preserve">Phường 14 </v>
          </cell>
          <cell r="I8426" t="str">
            <v>70107</v>
          </cell>
        </row>
        <row r="8427">
          <cell r="G8427" t="str">
            <v>phường 15</v>
          </cell>
          <cell r="I8427" t="str">
            <v>70107</v>
          </cell>
        </row>
        <row r="8428">
          <cell r="G8428" t="str">
            <v>Phường 16</v>
          </cell>
          <cell r="I8428" t="str">
            <v>70107</v>
          </cell>
        </row>
        <row r="8429">
          <cell r="G8429" t="str">
            <v>phường 18</v>
          </cell>
          <cell r="I8429" t="str">
            <v>70107</v>
          </cell>
        </row>
        <row r="8430">
          <cell r="G8430" t="str">
            <v xml:space="preserve">Phường 01  </v>
          </cell>
          <cell r="I8430" t="str">
            <v>70109</v>
          </cell>
        </row>
        <row r="8431">
          <cell r="G8431" t="str">
            <v xml:space="preserve">Phường 02  </v>
          </cell>
          <cell r="I8431" t="str">
            <v>70109</v>
          </cell>
        </row>
        <row r="8432">
          <cell r="G8432" t="str">
            <v xml:space="preserve">Phường 03  </v>
          </cell>
          <cell r="I8432" t="str">
            <v>70109</v>
          </cell>
        </row>
        <row r="8433">
          <cell r="G8433" t="str">
            <v xml:space="preserve">Phường 04  </v>
          </cell>
          <cell r="I8433" t="str">
            <v>70109</v>
          </cell>
        </row>
        <row r="8434">
          <cell r="G8434" t="str">
            <v xml:space="preserve">Phường 05 </v>
          </cell>
          <cell r="I8434" t="str">
            <v>70109</v>
          </cell>
        </row>
        <row r="8435">
          <cell r="G8435" t="str">
            <v xml:space="preserve">Phường 06  </v>
          </cell>
          <cell r="I8435" t="str">
            <v>70109</v>
          </cell>
        </row>
        <row r="8436">
          <cell r="G8436" t="str">
            <v xml:space="preserve">Phường 07 </v>
          </cell>
          <cell r="I8436" t="str">
            <v>70109</v>
          </cell>
        </row>
        <row r="8437">
          <cell r="G8437" t="str">
            <v xml:space="preserve">Phường 08  </v>
          </cell>
          <cell r="I8437" t="str">
            <v>70109</v>
          </cell>
        </row>
        <row r="8438">
          <cell r="G8438" t="str">
            <v xml:space="preserve">Phường 09  </v>
          </cell>
          <cell r="I8438" t="str">
            <v>70109</v>
          </cell>
        </row>
        <row r="8439">
          <cell r="G8439" t="str">
            <v xml:space="preserve">Phường 10  </v>
          </cell>
          <cell r="I8439" t="str">
            <v>70109</v>
          </cell>
        </row>
        <row r="8440">
          <cell r="G8440" t="str">
            <v xml:space="preserve">Phường 11 </v>
          </cell>
          <cell r="I8440" t="str">
            <v>70109</v>
          </cell>
        </row>
        <row r="8441">
          <cell r="G8441" t="str">
            <v xml:space="preserve">Phường 12  </v>
          </cell>
          <cell r="I8441" t="str">
            <v>70109</v>
          </cell>
        </row>
        <row r="8442">
          <cell r="G8442" t="str">
            <v xml:space="preserve">Phường 13  </v>
          </cell>
          <cell r="I8442" t="str">
            <v>70109</v>
          </cell>
        </row>
        <row r="8443">
          <cell r="G8443" t="str">
            <v xml:space="preserve">Phường 14  </v>
          </cell>
          <cell r="I8443" t="str">
            <v>70109</v>
          </cell>
        </row>
        <row r="8444">
          <cell r="G8444" t="str">
            <v xml:space="preserve">Phường 15 </v>
          </cell>
          <cell r="I8444" t="str">
            <v>70109</v>
          </cell>
        </row>
        <row r="8445">
          <cell r="G8445" t="str">
            <v xml:space="preserve">Phường 01   </v>
          </cell>
          <cell r="I8445" t="str">
            <v>70111</v>
          </cell>
        </row>
        <row r="8446">
          <cell r="G8446" t="str">
            <v xml:space="preserve">Phường 02   </v>
          </cell>
          <cell r="I8446" t="str">
            <v>70111</v>
          </cell>
        </row>
        <row r="8447">
          <cell r="G8447" t="str">
            <v xml:space="preserve">Phường 03   </v>
          </cell>
          <cell r="I8447" t="str">
            <v>70111</v>
          </cell>
        </row>
        <row r="8448">
          <cell r="G8448" t="str">
            <v xml:space="preserve">Phường 04   </v>
          </cell>
          <cell r="I8448" t="str">
            <v>70111</v>
          </cell>
        </row>
        <row r="8449">
          <cell r="G8449" t="str">
            <v xml:space="preserve">Phường 05  </v>
          </cell>
          <cell r="I8449" t="str">
            <v>70111</v>
          </cell>
        </row>
        <row r="8450">
          <cell r="G8450" t="str">
            <v xml:space="preserve">Phường 06   </v>
          </cell>
          <cell r="I8450" t="str">
            <v>70111</v>
          </cell>
        </row>
        <row r="8451">
          <cell r="G8451" t="str">
            <v xml:space="preserve">Phường 07  </v>
          </cell>
          <cell r="I8451" t="str">
            <v>70111</v>
          </cell>
        </row>
        <row r="8452">
          <cell r="G8452" t="str">
            <v xml:space="preserve">Phường 08   </v>
          </cell>
          <cell r="I8452" t="str">
            <v>70111</v>
          </cell>
        </row>
        <row r="8453">
          <cell r="G8453" t="str">
            <v xml:space="preserve">Phường 09   </v>
          </cell>
          <cell r="I8453" t="str">
            <v>70111</v>
          </cell>
        </row>
        <row r="8454">
          <cell r="G8454" t="str">
            <v xml:space="preserve">Phường 10   </v>
          </cell>
          <cell r="I8454" t="str">
            <v>70111</v>
          </cell>
        </row>
        <row r="8455">
          <cell r="G8455" t="str">
            <v xml:space="preserve">Phường 11  </v>
          </cell>
          <cell r="I8455" t="str">
            <v>70111</v>
          </cell>
        </row>
        <row r="8456">
          <cell r="G8456" t="str">
            <v xml:space="preserve">Phường 12   </v>
          </cell>
          <cell r="I8456" t="str">
            <v>70111</v>
          </cell>
        </row>
        <row r="8457">
          <cell r="G8457" t="str">
            <v xml:space="preserve">Phường 13   </v>
          </cell>
          <cell r="I8457" t="str">
            <v>70111</v>
          </cell>
        </row>
        <row r="8458">
          <cell r="G8458" t="str">
            <v xml:space="preserve">Phường 14   </v>
          </cell>
          <cell r="I8458" t="str">
            <v>70111</v>
          </cell>
        </row>
        <row r="8459">
          <cell r="G8459" t="str">
            <v>Phường Phú Mỹ</v>
          </cell>
          <cell r="I8459" t="str">
            <v>70113</v>
          </cell>
        </row>
        <row r="8460">
          <cell r="G8460" t="str">
            <v xml:space="preserve">Phường Phú Thuận </v>
          </cell>
          <cell r="I8460" t="str">
            <v>70113</v>
          </cell>
        </row>
        <row r="8461">
          <cell r="G8461" t="str">
            <v>Phường Tân Phú</v>
          </cell>
          <cell r="I8461" t="str">
            <v>70113</v>
          </cell>
        </row>
        <row r="8462">
          <cell r="G8462" t="str">
            <v>Phường Tân Thuận Đông</v>
          </cell>
          <cell r="I8462" t="str">
            <v>70113</v>
          </cell>
        </row>
        <row r="8463">
          <cell r="G8463" t="str">
            <v xml:space="preserve">Phường Bình Thuận </v>
          </cell>
          <cell r="I8463" t="str">
            <v>70113</v>
          </cell>
        </row>
        <row r="8464">
          <cell r="G8464" t="str">
            <v>Phường Tân Thuận Tây</v>
          </cell>
          <cell r="I8464" t="str">
            <v>70113</v>
          </cell>
        </row>
        <row r="8465">
          <cell r="G8465" t="str">
            <v>Phường Tân Kiểng</v>
          </cell>
          <cell r="I8465" t="str">
            <v>70113</v>
          </cell>
        </row>
        <row r="8466">
          <cell r="G8466" t="str">
            <v>Phường Tân Quy</v>
          </cell>
          <cell r="I8466" t="str">
            <v>70113</v>
          </cell>
        </row>
        <row r="8467">
          <cell r="G8467" t="str">
            <v>Phường Tân Hưng</v>
          </cell>
          <cell r="I8467" t="str">
            <v>70113</v>
          </cell>
        </row>
        <row r="8468">
          <cell r="G8468" t="str">
            <v xml:space="preserve">Phường Tân Phong </v>
          </cell>
          <cell r="I8468" t="str">
            <v>70113</v>
          </cell>
        </row>
        <row r="8469">
          <cell r="G8469" t="str">
            <v xml:space="preserve">Phường 1   </v>
          </cell>
          <cell r="I8469" t="str">
            <v>70115</v>
          </cell>
        </row>
        <row r="8470">
          <cell r="G8470" t="str">
            <v xml:space="preserve">Phường 2   </v>
          </cell>
          <cell r="I8470" t="str">
            <v>70115</v>
          </cell>
        </row>
        <row r="8471">
          <cell r="G8471" t="str">
            <v xml:space="preserve">Phường 3   </v>
          </cell>
          <cell r="I8471" t="str">
            <v>70115</v>
          </cell>
        </row>
        <row r="8472">
          <cell r="G8472" t="str">
            <v xml:space="preserve">Phường 4  </v>
          </cell>
          <cell r="I8472" t="str">
            <v>70115</v>
          </cell>
        </row>
        <row r="8473">
          <cell r="G8473" t="str">
            <v xml:space="preserve">Phường 5  </v>
          </cell>
          <cell r="I8473" t="str">
            <v>70115</v>
          </cell>
        </row>
        <row r="8474">
          <cell r="G8474" t="str">
            <v xml:space="preserve">Phường 6 </v>
          </cell>
          <cell r="I8474" t="str">
            <v>70115</v>
          </cell>
        </row>
        <row r="8475">
          <cell r="G8475" t="str">
            <v xml:space="preserve">Phường 7 </v>
          </cell>
          <cell r="I8475" t="str">
            <v>70115</v>
          </cell>
        </row>
        <row r="8476">
          <cell r="G8476" t="str">
            <v xml:space="preserve">Phường 8 </v>
          </cell>
          <cell r="I8476" t="str">
            <v>70115</v>
          </cell>
        </row>
        <row r="8477">
          <cell r="G8477" t="str">
            <v xml:space="preserve">Phường 9 </v>
          </cell>
          <cell r="I8477" t="str">
            <v>70115</v>
          </cell>
        </row>
        <row r="8478">
          <cell r="G8478" t="str">
            <v xml:space="preserve">Phường 10    </v>
          </cell>
          <cell r="I8478" t="str">
            <v>70115</v>
          </cell>
        </row>
        <row r="8479">
          <cell r="G8479" t="str">
            <v xml:space="preserve">Phường 11   </v>
          </cell>
          <cell r="I8479" t="str">
            <v>70115</v>
          </cell>
        </row>
        <row r="8480">
          <cell r="G8480" t="str">
            <v xml:space="preserve">Phường 12    </v>
          </cell>
          <cell r="I8480" t="str">
            <v>70115</v>
          </cell>
        </row>
        <row r="8481">
          <cell r="G8481" t="str">
            <v xml:space="preserve">Phường 13    </v>
          </cell>
          <cell r="I8481" t="str">
            <v>70115</v>
          </cell>
        </row>
        <row r="8482">
          <cell r="G8482" t="str">
            <v xml:space="preserve">Phường 14    </v>
          </cell>
          <cell r="I8482" t="str">
            <v>70115</v>
          </cell>
        </row>
        <row r="8483">
          <cell r="G8483" t="str">
            <v xml:space="preserve">Phường 15  </v>
          </cell>
          <cell r="I8483" t="str">
            <v>70115</v>
          </cell>
        </row>
        <row r="8484">
          <cell r="G8484" t="str">
            <v xml:space="preserve">Phường 16 </v>
          </cell>
          <cell r="I8484" t="str">
            <v>70115</v>
          </cell>
        </row>
        <row r="8485">
          <cell r="G8485" t="str">
            <v>Phường Phước Long A</v>
          </cell>
          <cell r="I8485" t="str">
            <v>70117</v>
          </cell>
        </row>
        <row r="8486">
          <cell r="G8486" t="str">
            <v>Phường Phước Long B</v>
          </cell>
          <cell r="I8486" t="str">
            <v>70117</v>
          </cell>
        </row>
        <row r="8487">
          <cell r="G8487" t="str">
            <v>Phường Tăng Nhơn Phú A</v>
          </cell>
          <cell r="I8487" t="str">
            <v>70117</v>
          </cell>
        </row>
        <row r="8488">
          <cell r="G8488" t="str">
            <v>Phường Tăng Nhơn Phú B</v>
          </cell>
          <cell r="I8488" t="str">
            <v>70117</v>
          </cell>
        </row>
        <row r="8489">
          <cell r="G8489" t="str">
            <v>Phường Long Trường</v>
          </cell>
          <cell r="I8489" t="str">
            <v>70117</v>
          </cell>
        </row>
        <row r="8490">
          <cell r="G8490" t="str">
            <v>Phường Trường Thạnh</v>
          </cell>
          <cell r="I8490" t="str">
            <v>70117</v>
          </cell>
        </row>
        <row r="8491">
          <cell r="G8491" t="str">
            <v>Phường Phước Bình</v>
          </cell>
          <cell r="I8491" t="str">
            <v>70117</v>
          </cell>
        </row>
        <row r="8492">
          <cell r="G8492" t="str">
            <v xml:space="preserve">Phường Tân Phú </v>
          </cell>
          <cell r="I8492" t="str">
            <v>70117</v>
          </cell>
        </row>
        <row r="8493">
          <cell r="G8493" t="str">
            <v>Phường Hiệp Phú</v>
          </cell>
          <cell r="I8493" t="str">
            <v>70117</v>
          </cell>
        </row>
        <row r="8494">
          <cell r="G8494" t="str">
            <v>Phường Long Thạnh Mỹ</v>
          </cell>
          <cell r="I8494" t="str">
            <v>70117</v>
          </cell>
        </row>
        <row r="8495">
          <cell r="G8495" t="str">
            <v>Phường Long Bình</v>
          </cell>
          <cell r="I8495" t="str">
            <v>70117</v>
          </cell>
        </row>
        <row r="8496">
          <cell r="G8496" t="str">
            <v>Phường Long Phước</v>
          </cell>
          <cell r="I8496" t="str">
            <v>70117</v>
          </cell>
        </row>
        <row r="8497">
          <cell r="G8497" t="str">
            <v>Phường Phú Hữu</v>
          </cell>
          <cell r="I8497" t="str">
            <v>70117</v>
          </cell>
        </row>
        <row r="8498">
          <cell r="G8498" t="str">
            <v xml:space="preserve">Phường 01    </v>
          </cell>
          <cell r="I8498" t="str">
            <v>70119</v>
          </cell>
        </row>
        <row r="8499">
          <cell r="G8499" t="str">
            <v xml:space="preserve">Phường 02    </v>
          </cell>
          <cell r="I8499" t="str">
            <v>70119</v>
          </cell>
        </row>
        <row r="8500">
          <cell r="G8500" t="str">
            <v xml:space="preserve">Phường 03    </v>
          </cell>
          <cell r="I8500" t="str">
            <v>70119</v>
          </cell>
        </row>
        <row r="8501">
          <cell r="G8501" t="str">
            <v xml:space="preserve">Phường 04    </v>
          </cell>
          <cell r="I8501" t="str">
            <v>70119</v>
          </cell>
        </row>
        <row r="8502">
          <cell r="G8502" t="str">
            <v xml:space="preserve"> Phường 05</v>
          </cell>
          <cell r="I8502" t="str">
            <v>70119</v>
          </cell>
        </row>
        <row r="8503">
          <cell r="G8503" t="str">
            <v xml:space="preserve">Phường 06    </v>
          </cell>
          <cell r="I8503" t="str">
            <v>70119</v>
          </cell>
        </row>
        <row r="8504">
          <cell r="G8504" t="str">
            <v xml:space="preserve">Phường 07   </v>
          </cell>
          <cell r="I8504" t="str">
            <v>70119</v>
          </cell>
        </row>
        <row r="8505">
          <cell r="G8505" t="str">
            <v xml:space="preserve">Phường 08    </v>
          </cell>
          <cell r="I8505" t="str">
            <v>70119</v>
          </cell>
        </row>
        <row r="8506">
          <cell r="G8506" t="str">
            <v xml:space="preserve">Phường 09    </v>
          </cell>
          <cell r="I8506" t="str">
            <v>70119</v>
          </cell>
        </row>
        <row r="8507">
          <cell r="G8507" t="str">
            <v xml:space="preserve">Phường 10     </v>
          </cell>
          <cell r="I8507" t="str">
            <v>70119</v>
          </cell>
        </row>
        <row r="8508">
          <cell r="G8508" t="str">
            <v xml:space="preserve">Phường 11    </v>
          </cell>
          <cell r="I8508" t="str">
            <v>70119</v>
          </cell>
        </row>
        <row r="8509">
          <cell r="G8509" t="str">
            <v xml:space="preserve">Phường 12     </v>
          </cell>
          <cell r="I8509" t="str">
            <v>70119</v>
          </cell>
        </row>
        <row r="8510">
          <cell r="G8510" t="str">
            <v xml:space="preserve">Phường 13     </v>
          </cell>
          <cell r="I8510" t="str">
            <v>70119</v>
          </cell>
        </row>
        <row r="8511">
          <cell r="G8511" t="str">
            <v xml:space="preserve">Phường 14     </v>
          </cell>
          <cell r="I8511" t="str">
            <v>70119</v>
          </cell>
        </row>
        <row r="8512">
          <cell r="G8512" t="str">
            <v xml:space="preserve">Phường 15   </v>
          </cell>
          <cell r="I8512" t="str">
            <v>70119</v>
          </cell>
        </row>
        <row r="8513">
          <cell r="G8513" t="str">
            <v xml:space="preserve">Phường 1    </v>
          </cell>
          <cell r="I8513" t="str">
            <v>70121</v>
          </cell>
        </row>
        <row r="8514">
          <cell r="G8514" t="str">
            <v xml:space="preserve">Phường 2    </v>
          </cell>
          <cell r="I8514" t="str">
            <v>70121</v>
          </cell>
        </row>
        <row r="8515">
          <cell r="G8515" t="str">
            <v xml:space="preserve">Phường 3    </v>
          </cell>
          <cell r="I8515" t="str">
            <v>70121</v>
          </cell>
        </row>
        <row r="8516">
          <cell r="G8516" t="str">
            <v xml:space="preserve">Phường 4   </v>
          </cell>
          <cell r="I8516" t="str">
            <v>70121</v>
          </cell>
        </row>
        <row r="8517">
          <cell r="G8517" t="str">
            <v xml:space="preserve">Phường 5   </v>
          </cell>
          <cell r="I8517" t="str">
            <v>70121</v>
          </cell>
        </row>
        <row r="8518">
          <cell r="G8518" t="str">
            <v xml:space="preserve">Phường 6  </v>
          </cell>
          <cell r="I8518" t="str">
            <v>70121</v>
          </cell>
        </row>
        <row r="8519">
          <cell r="G8519" t="str">
            <v xml:space="preserve">Phường 7  </v>
          </cell>
          <cell r="I8519" t="str">
            <v>70121</v>
          </cell>
        </row>
        <row r="8520">
          <cell r="G8520" t="str">
            <v xml:space="preserve">Phường 8  </v>
          </cell>
          <cell r="I8520" t="str">
            <v>70121</v>
          </cell>
        </row>
        <row r="8521">
          <cell r="G8521" t="str">
            <v xml:space="preserve">Phường 9  </v>
          </cell>
          <cell r="I8521" t="str">
            <v>70121</v>
          </cell>
        </row>
        <row r="8522">
          <cell r="G8522" t="str">
            <v xml:space="preserve">Phường 10      </v>
          </cell>
          <cell r="I8522" t="str">
            <v>70121</v>
          </cell>
        </row>
        <row r="8523">
          <cell r="G8523" t="str">
            <v xml:space="preserve">Phường 11     </v>
          </cell>
          <cell r="I8523" t="str">
            <v>70121</v>
          </cell>
        </row>
        <row r="8524">
          <cell r="G8524" t="str">
            <v xml:space="preserve">Phường 12      </v>
          </cell>
          <cell r="I8524" t="str">
            <v>70121</v>
          </cell>
        </row>
        <row r="8525">
          <cell r="G8525" t="str">
            <v xml:space="preserve">Phường 13      </v>
          </cell>
          <cell r="I8525" t="str">
            <v>70121</v>
          </cell>
        </row>
        <row r="8526">
          <cell r="G8526" t="str">
            <v xml:space="preserve">Phường 14      </v>
          </cell>
          <cell r="I8526" t="str">
            <v>70121</v>
          </cell>
        </row>
        <row r="8527">
          <cell r="G8527" t="str">
            <v xml:space="preserve">Phường 15    </v>
          </cell>
          <cell r="I8527" t="str">
            <v>70121</v>
          </cell>
        </row>
        <row r="8528">
          <cell r="G8528" t="str">
            <v xml:space="preserve">Phường 16  </v>
          </cell>
          <cell r="I8528" t="str">
            <v>70121</v>
          </cell>
        </row>
        <row r="8529">
          <cell r="G8529" t="str">
            <v>phường Tân Thới Nhất</v>
          </cell>
          <cell r="I8529" t="str">
            <v>70123</v>
          </cell>
        </row>
        <row r="8530">
          <cell r="G8530" t="str">
            <v>phường Đông Hưng Thuận</v>
          </cell>
          <cell r="I8530" t="str">
            <v>70123</v>
          </cell>
        </row>
        <row r="8531">
          <cell r="G8531" t="str">
            <v>phường An Phú Đông</v>
          </cell>
          <cell r="I8531" t="str">
            <v>70123</v>
          </cell>
        </row>
        <row r="8532">
          <cell r="G8532" t="str">
            <v>phường Trung Mỹ Tây</v>
          </cell>
          <cell r="I8532" t="str">
            <v>70123</v>
          </cell>
        </row>
        <row r="8533">
          <cell r="G8533" t="str">
            <v>phường Tân Chánh Hiệp</v>
          </cell>
          <cell r="I8533" t="str">
            <v>70123</v>
          </cell>
        </row>
        <row r="8534">
          <cell r="G8534" t="str">
            <v>phường Thạnh Lộc</v>
          </cell>
          <cell r="I8534" t="str">
            <v>70123</v>
          </cell>
        </row>
        <row r="8535">
          <cell r="G8535" t="str">
            <v>phường Thạnh Xuân</v>
          </cell>
          <cell r="I8535" t="str">
            <v>70123</v>
          </cell>
        </row>
        <row r="8536">
          <cell r="G8536" t="str">
            <v>phường Hiệp Thành</v>
          </cell>
          <cell r="I8536" t="str">
            <v>70123</v>
          </cell>
        </row>
        <row r="8537">
          <cell r="G8537" t="str">
            <v>phường Thới An</v>
          </cell>
          <cell r="I8537" t="str">
            <v>70123</v>
          </cell>
        </row>
        <row r="8538">
          <cell r="G8538" t="str">
            <v>phường Tân Thới Hiệp</v>
          </cell>
          <cell r="I8538" t="str">
            <v>70123</v>
          </cell>
        </row>
        <row r="8539">
          <cell r="G8539" t="str">
            <v>Phường Tân Hưng Thuận</v>
          </cell>
          <cell r="I8539" t="str">
            <v>70123</v>
          </cell>
        </row>
        <row r="8540">
          <cell r="G8540" t="str">
            <v xml:space="preserve">Phường 1     </v>
          </cell>
          <cell r="I8540" t="str">
            <v>70125</v>
          </cell>
        </row>
        <row r="8541">
          <cell r="G8541" t="str">
            <v xml:space="preserve">Phường 3     </v>
          </cell>
          <cell r="I8541" t="str">
            <v>70125</v>
          </cell>
        </row>
        <row r="8542">
          <cell r="G8542" t="str">
            <v xml:space="preserve">Phường 4    </v>
          </cell>
          <cell r="I8542" t="str">
            <v>70125</v>
          </cell>
        </row>
        <row r="8543">
          <cell r="G8543" t="str">
            <v xml:space="preserve">Phường 5    </v>
          </cell>
          <cell r="I8543" t="str">
            <v>70125</v>
          </cell>
        </row>
        <row r="8544">
          <cell r="G8544" t="str">
            <v xml:space="preserve">Phường 7   </v>
          </cell>
          <cell r="I8544" t="str">
            <v>70125</v>
          </cell>
        </row>
        <row r="8545">
          <cell r="G8545" t="str">
            <v xml:space="preserve">Phường 10       </v>
          </cell>
          <cell r="I8545" t="str">
            <v>70125</v>
          </cell>
        </row>
        <row r="8546">
          <cell r="G8546" t="str">
            <v xml:space="preserve">Phường 11      </v>
          </cell>
          <cell r="I8546" t="str">
            <v>70125</v>
          </cell>
        </row>
        <row r="8547">
          <cell r="G8547" t="str">
            <v xml:space="preserve">Phường 12       </v>
          </cell>
          <cell r="I8547" t="str">
            <v>70125</v>
          </cell>
        </row>
        <row r="8548">
          <cell r="G8548" t="str">
            <v xml:space="preserve">Phường 13       </v>
          </cell>
          <cell r="I8548" t="str">
            <v>70125</v>
          </cell>
        </row>
        <row r="8549">
          <cell r="G8549" t="str">
            <v xml:space="preserve">Phường 15     </v>
          </cell>
          <cell r="I8549" t="str">
            <v>70125</v>
          </cell>
        </row>
        <row r="8550">
          <cell r="G8550" t="str">
            <v xml:space="preserve">Phường 16   </v>
          </cell>
          <cell r="I8550" t="str">
            <v>70125</v>
          </cell>
        </row>
        <row r="8551">
          <cell r="G8551" t="str">
            <v>Phường 17</v>
          </cell>
          <cell r="I8551" t="str">
            <v>70125</v>
          </cell>
        </row>
        <row r="8552">
          <cell r="G8552" t="str">
            <v xml:space="preserve">Phường 14       </v>
          </cell>
          <cell r="I8552" t="str">
            <v>70125</v>
          </cell>
        </row>
        <row r="8553">
          <cell r="G8553" t="str">
            <v xml:space="preserve">Phường 8   </v>
          </cell>
          <cell r="I8553" t="str">
            <v>70125</v>
          </cell>
        </row>
        <row r="8554">
          <cell r="G8554" t="str">
            <v xml:space="preserve">Phường 9   </v>
          </cell>
          <cell r="I8554" t="str">
            <v>70125</v>
          </cell>
        </row>
        <row r="8555">
          <cell r="G8555" t="str">
            <v xml:space="preserve">Phường 6   </v>
          </cell>
          <cell r="I8555" t="str">
            <v>70125</v>
          </cell>
        </row>
        <row r="8556">
          <cell r="G8556" t="str">
            <v xml:space="preserve">Phường 1      </v>
          </cell>
          <cell r="I8556" t="str">
            <v>70127</v>
          </cell>
        </row>
        <row r="8557">
          <cell r="G8557" t="str">
            <v xml:space="preserve">Phường 2     </v>
          </cell>
          <cell r="I8557" t="str">
            <v>70127</v>
          </cell>
        </row>
        <row r="8558">
          <cell r="G8558" t="str">
            <v xml:space="preserve">Phường 3      </v>
          </cell>
          <cell r="I8558" t="str">
            <v>70127</v>
          </cell>
        </row>
        <row r="8559">
          <cell r="G8559" t="str">
            <v xml:space="preserve">Phường 4     </v>
          </cell>
          <cell r="I8559" t="str">
            <v>70127</v>
          </cell>
        </row>
        <row r="8560">
          <cell r="G8560" t="str">
            <v xml:space="preserve">Phường 5     </v>
          </cell>
          <cell r="I8560" t="str">
            <v>70127</v>
          </cell>
        </row>
        <row r="8561">
          <cell r="G8561" t="str">
            <v xml:space="preserve">Phường 6    </v>
          </cell>
          <cell r="I8561" t="str">
            <v>70127</v>
          </cell>
        </row>
        <row r="8562">
          <cell r="G8562" t="str">
            <v xml:space="preserve">Phường 7    </v>
          </cell>
          <cell r="I8562" t="str">
            <v>70127</v>
          </cell>
        </row>
        <row r="8563">
          <cell r="G8563" t="str">
            <v xml:space="preserve">Phường 8    </v>
          </cell>
          <cell r="I8563" t="str">
            <v>70127</v>
          </cell>
        </row>
        <row r="8564">
          <cell r="G8564" t="str">
            <v xml:space="preserve">Phường 9    </v>
          </cell>
          <cell r="I8564" t="str">
            <v>70127</v>
          </cell>
        </row>
        <row r="8565">
          <cell r="G8565" t="str">
            <v xml:space="preserve">Phường 10        </v>
          </cell>
          <cell r="I8565" t="str">
            <v>70127</v>
          </cell>
        </row>
        <row r="8566">
          <cell r="G8566" t="str">
            <v xml:space="preserve">Phường 11       </v>
          </cell>
          <cell r="I8566" t="str">
            <v>70127</v>
          </cell>
        </row>
        <row r="8567">
          <cell r="G8567" t="str">
            <v xml:space="preserve">Phường 12        </v>
          </cell>
          <cell r="I8567" t="str">
            <v>70127</v>
          </cell>
        </row>
        <row r="8568">
          <cell r="G8568" t="str">
            <v xml:space="preserve">Phường 13        </v>
          </cell>
          <cell r="I8568" t="str">
            <v>70127</v>
          </cell>
        </row>
        <row r="8569">
          <cell r="G8569" t="str">
            <v xml:space="preserve">Phường 14        </v>
          </cell>
          <cell r="I8569" t="str">
            <v>70127</v>
          </cell>
        </row>
        <row r="8570">
          <cell r="G8570" t="str">
            <v xml:space="preserve">Phường 15      </v>
          </cell>
          <cell r="I8570" t="str">
            <v>70127</v>
          </cell>
        </row>
        <row r="8571">
          <cell r="G8571" t="str">
            <v>Phường Tân Sơn Nhì</v>
          </cell>
          <cell r="I8571" t="str">
            <v>70128</v>
          </cell>
        </row>
        <row r="8572">
          <cell r="G8572" t="str">
            <v>Phường Tây Thạnh</v>
          </cell>
          <cell r="I8572" t="str">
            <v>70128</v>
          </cell>
        </row>
        <row r="8573">
          <cell r="G8573" t="str">
            <v>Phường Sơn Kỳ</v>
          </cell>
          <cell r="I8573" t="str">
            <v>70128</v>
          </cell>
        </row>
        <row r="8574">
          <cell r="G8574" t="str">
            <v>Phường Tân Quý</v>
          </cell>
          <cell r="I8574" t="str">
            <v>70128</v>
          </cell>
        </row>
        <row r="8575">
          <cell r="G8575" t="str">
            <v xml:space="preserve">Phường Tân Thành    </v>
          </cell>
          <cell r="I8575" t="str">
            <v>70128</v>
          </cell>
        </row>
        <row r="8576">
          <cell r="G8576" t="str">
            <v>Phường Phú Thọ Hòa</v>
          </cell>
          <cell r="I8576" t="str">
            <v>70128</v>
          </cell>
        </row>
        <row r="8577">
          <cell r="G8577" t="str">
            <v xml:space="preserve">Phường Phú Thạnh </v>
          </cell>
          <cell r="I8577" t="str">
            <v>70128</v>
          </cell>
        </row>
        <row r="8578">
          <cell r="G8578" t="str">
            <v>Phường Phú Trung</v>
          </cell>
          <cell r="I8578" t="str">
            <v>70128</v>
          </cell>
        </row>
        <row r="8579">
          <cell r="G8579" t="str">
            <v>Phường Hòa Thạnh</v>
          </cell>
          <cell r="I8579" t="str">
            <v>70128</v>
          </cell>
        </row>
        <row r="8580">
          <cell r="G8580" t="str">
            <v>Phường Hiệp Tân</v>
          </cell>
          <cell r="I8580" t="str">
            <v>70128</v>
          </cell>
        </row>
        <row r="8581">
          <cell r="G8581" t="str">
            <v>Phường Tân Thới Hòa</v>
          </cell>
          <cell r="I8581" t="str">
            <v>70128</v>
          </cell>
        </row>
        <row r="8582">
          <cell r="G8582" t="str">
            <v xml:space="preserve">Phường 1       </v>
          </cell>
          <cell r="I8582" t="str">
            <v>70129</v>
          </cell>
        </row>
        <row r="8583">
          <cell r="G8583" t="str">
            <v xml:space="preserve">Phường 2      </v>
          </cell>
          <cell r="I8583" t="str">
            <v>70129</v>
          </cell>
        </row>
        <row r="8584">
          <cell r="G8584" t="str">
            <v xml:space="preserve">Phường 3       </v>
          </cell>
          <cell r="I8584" t="str">
            <v>70129</v>
          </cell>
        </row>
        <row r="8585">
          <cell r="G8585" t="str">
            <v xml:space="preserve">Phường 5      </v>
          </cell>
          <cell r="I8585" t="str">
            <v>70129</v>
          </cell>
        </row>
        <row r="8586">
          <cell r="G8586" t="str">
            <v xml:space="preserve">Phường 6     </v>
          </cell>
          <cell r="I8586" t="str">
            <v>70129</v>
          </cell>
        </row>
        <row r="8587">
          <cell r="G8587" t="str">
            <v xml:space="preserve">Phường 7     </v>
          </cell>
          <cell r="I8587" t="str">
            <v>70129</v>
          </cell>
        </row>
        <row r="8588">
          <cell r="G8588" t="str">
            <v xml:space="preserve">Phường 11        </v>
          </cell>
          <cell r="I8588" t="str">
            <v>70129</v>
          </cell>
        </row>
        <row r="8589">
          <cell r="G8589" t="str">
            <v xml:space="preserve">Phường 12         </v>
          </cell>
          <cell r="I8589" t="str">
            <v>70129</v>
          </cell>
        </row>
        <row r="8590">
          <cell r="G8590" t="str">
            <v xml:space="preserve">Phường 13         </v>
          </cell>
          <cell r="I8590" t="str">
            <v>70129</v>
          </cell>
        </row>
        <row r="8591">
          <cell r="G8591" t="str">
            <v xml:space="preserve">Phường 14         </v>
          </cell>
          <cell r="I8591" t="str">
            <v>70129</v>
          </cell>
        </row>
        <row r="8592">
          <cell r="G8592" t="str">
            <v xml:space="preserve">Phường 15       </v>
          </cell>
          <cell r="I8592" t="str">
            <v>70129</v>
          </cell>
        </row>
        <row r="8593">
          <cell r="G8593" t="str">
            <v xml:space="preserve">Phường 17 </v>
          </cell>
          <cell r="I8593" t="str">
            <v>70129</v>
          </cell>
        </row>
        <row r="8594">
          <cell r="G8594" t="str">
            <v>Phường 19</v>
          </cell>
          <cell r="I8594" t="str">
            <v>70129</v>
          </cell>
        </row>
        <row r="8595">
          <cell r="G8595" t="str">
            <v>Phường 21</v>
          </cell>
          <cell r="I8595" t="str">
            <v>70129</v>
          </cell>
        </row>
        <row r="8596">
          <cell r="G8596" t="str">
            <v>Phường 22</v>
          </cell>
          <cell r="I8596" t="str">
            <v>70129</v>
          </cell>
        </row>
        <row r="8597">
          <cell r="G8597" t="str">
            <v>Phường 24</v>
          </cell>
          <cell r="I8597" t="str">
            <v>70129</v>
          </cell>
        </row>
        <row r="8598">
          <cell r="G8598" t="str">
            <v>Phường 25</v>
          </cell>
          <cell r="I8598" t="str">
            <v>70129</v>
          </cell>
        </row>
        <row r="8599">
          <cell r="G8599" t="str">
            <v>Phường 26</v>
          </cell>
          <cell r="I8599" t="str">
            <v>70129</v>
          </cell>
        </row>
        <row r="8600">
          <cell r="G8600" t="str">
            <v>Phường 27</v>
          </cell>
          <cell r="I8600" t="str">
            <v>70129</v>
          </cell>
        </row>
        <row r="8601">
          <cell r="G8601" t="str">
            <v>Phường 28</v>
          </cell>
          <cell r="I8601" t="str">
            <v>70129</v>
          </cell>
        </row>
        <row r="8602">
          <cell r="G8602" t="str">
            <v xml:space="preserve">Phường 09     </v>
          </cell>
          <cell r="I8602" t="str">
            <v>70131</v>
          </cell>
        </row>
        <row r="8603">
          <cell r="G8603" t="str">
            <v xml:space="preserve">Phường 03     </v>
          </cell>
          <cell r="I8603" t="str">
            <v>70131</v>
          </cell>
        </row>
        <row r="8604">
          <cell r="G8604" t="str">
            <v xml:space="preserve">Phường 15        </v>
          </cell>
          <cell r="I8604" t="str">
            <v>70131</v>
          </cell>
        </row>
        <row r="8605">
          <cell r="G8605" t="str">
            <v xml:space="preserve">Phường 17  </v>
          </cell>
          <cell r="I8605" t="str">
            <v>70131</v>
          </cell>
        </row>
        <row r="8606">
          <cell r="G8606" t="str">
            <v xml:space="preserve">Phường 13          </v>
          </cell>
          <cell r="I8606" t="str">
            <v>70131</v>
          </cell>
        </row>
        <row r="8607">
          <cell r="G8607" t="str">
            <v xml:space="preserve">Phường 12          </v>
          </cell>
          <cell r="I8607" t="str">
            <v>70131</v>
          </cell>
        </row>
        <row r="8608">
          <cell r="G8608" t="str">
            <v xml:space="preserve">Phường 04     </v>
          </cell>
          <cell r="I8608" t="str">
            <v>70131</v>
          </cell>
        </row>
        <row r="8609">
          <cell r="G8609" t="str">
            <v xml:space="preserve">Phường 05   </v>
          </cell>
          <cell r="I8609" t="str">
            <v>70131</v>
          </cell>
        </row>
        <row r="8610">
          <cell r="G8610" t="str">
            <v xml:space="preserve">Phường 07    </v>
          </cell>
          <cell r="I8610" t="str">
            <v>70131</v>
          </cell>
        </row>
        <row r="8611">
          <cell r="G8611" t="str">
            <v xml:space="preserve">Phường 01     </v>
          </cell>
          <cell r="I8611" t="str">
            <v>70131</v>
          </cell>
        </row>
        <row r="8612">
          <cell r="G8612" t="str">
            <v xml:space="preserve">Phường 02     </v>
          </cell>
          <cell r="I8612" t="str">
            <v>70131</v>
          </cell>
        </row>
        <row r="8613">
          <cell r="G8613" t="str">
            <v xml:space="preserve">Phường 08     </v>
          </cell>
          <cell r="I8613" t="str">
            <v>70131</v>
          </cell>
        </row>
        <row r="8614">
          <cell r="G8614" t="str">
            <v xml:space="preserve">Phường 10         </v>
          </cell>
          <cell r="I8614" t="str">
            <v>70131</v>
          </cell>
        </row>
        <row r="8615">
          <cell r="G8615" t="str">
            <v xml:space="preserve">Phường 11         </v>
          </cell>
          <cell r="I8615" t="str">
            <v>70131</v>
          </cell>
        </row>
        <row r="8616">
          <cell r="G8616" t="str">
            <v xml:space="preserve">Phường 14          </v>
          </cell>
          <cell r="I8616" t="str">
            <v>70131</v>
          </cell>
        </row>
        <row r="8617">
          <cell r="G8617" t="str">
            <v>Phường Linh Đông</v>
          </cell>
          <cell r="I8617" t="str">
            <v>70133</v>
          </cell>
        </row>
        <row r="8618">
          <cell r="G8618" t="str">
            <v>Phường Hiệp Bình Chánh</v>
          </cell>
          <cell r="I8618" t="str">
            <v>70133</v>
          </cell>
        </row>
        <row r="8619">
          <cell r="G8619" t="str">
            <v>Phường Hiệp Bình Phước</v>
          </cell>
          <cell r="I8619" t="str">
            <v>70133</v>
          </cell>
        </row>
        <row r="8620">
          <cell r="G8620" t="str">
            <v>Phường Tam Phú</v>
          </cell>
          <cell r="I8620" t="str">
            <v>70133</v>
          </cell>
        </row>
        <row r="8621">
          <cell r="G8621" t="str">
            <v>Phường Linh Xuân</v>
          </cell>
          <cell r="I8621" t="str">
            <v>70133</v>
          </cell>
        </row>
        <row r="8622">
          <cell r="G8622" t="str">
            <v>Phường Linh Chiểu</v>
          </cell>
          <cell r="I8622" t="str">
            <v>70133</v>
          </cell>
        </row>
        <row r="8623">
          <cell r="G8623" t="str">
            <v>Phường Trường Thọ</v>
          </cell>
          <cell r="I8623" t="str">
            <v>70133</v>
          </cell>
        </row>
        <row r="8624">
          <cell r="G8624" t="str">
            <v>Phường Bình Chiểu</v>
          </cell>
          <cell r="I8624" t="str">
            <v>70133</v>
          </cell>
        </row>
        <row r="8625">
          <cell r="G8625" t="str">
            <v>Phường Linh Tây</v>
          </cell>
          <cell r="I8625" t="str">
            <v>70133</v>
          </cell>
        </row>
        <row r="8626">
          <cell r="G8626" t="str">
            <v>Phường Bình Thọ</v>
          </cell>
          <cell r="I8626" t="str">
            <v>70133</v>
          </cell>
        </row>
        <row r="8627">
          <cell r="G8627" t="str">
            <v>Phường Tam Bình</v>
          </cell>
          <cell r="I8627" t="str">
            <v>70133</v>
          </cell>
        </row>
        <row r="8628">
          <cell r="G8628" t="str">
            <v>Phường Linh Trung</v>
          </cell>
          <cell r="I8628" t="str">
            <v>70133</v>
          </cell>
        </row>
        <row r="8629">
          <cell r="G8629" t="str">
            <v>Phường Bình Hưng Hòa</v>
          </cell>
          <cell r="I8629" t="str">
            <v>70134</v>
          </cell>
        </row>
        <row r="8630">
          <cell r="G8630" t="str">
            <v>Phường Bình Hưng Hòa A</v>
          </cell>
          <cell r="I8630" t="str">
            <v>70134</v>
          </cell>
        </row>
        <row r="8631">
          <cell r="G8631" t="str">
            <v>Phường Bình Hưng Hòa B</v>
          </cell>
          <cell r="I8631" t="str">
            <v>70134</v>
          </cell>
        </row>
        <row r="8632">
          <cell r="G8632" t="str">
            <v>Phường Bình Trị Đông</v>
          </cell>
          <cell r="I8632" t="str">
            <v>70134</v>
          </cell>
        </row>
        <row r="8633">
          <cell r="G8633" t="str">
            <v>Phường Bình Trị Đông A</v>
          </cell>
          <cell r="I8633" t="str">
            <v>70134</v>
          </cell>
        </row>
        <row r="8634">
          <cell r="G8634" t="str">
            <v>Phường Bình Trị Đông B</v>
          </cell>
          <cell r="I8634" t="str">
            <v>70134</v>
          </cell>
        </row>
        <row r="8635">
          <cell r="G8635" t="str">
            <v>Phường Tân Tạo</v>
          </cell>
          <cell r="I8635" t="str">
            <v>70134</v>
          </cell>
        </row>
        <row r="8636">
          <cell r="G8636" t="str">
            <v>Phường Tân Tạo A</v>
          </cell>
          <cell r="I8636" t="str">
            <v>70134</v>
          </cell>
        </row>
        <row r="8637">
          <cell r="G8637" t="str">
            <v xml:space="preserve">Phường An Lạc </v>
          </cell>
          <cell r="I8637" t="str">
            <v>70134</v>
          </cell>
        </row>
        <row r="8638">
          <cell r="G8638" t="str">
            <v>Phường An Lạc A</v>
          </cell>
          <cell r="I8638" t="str">
            <v>70134</v>
          </cell>
        </row>
        <row r="8639">
          <cell r="G8639" t="str">
            <v>Thị Trấn Củ Chi</v>
          </cell>
          <cell r="I8639" t="str">
            <v>70135</v>
          </cell>
        </row>
        <row r="8640">
          <cell r="G8640" t="str">
            <v>Xã Phú Hòa Đông</v>
          </cell>
          <cell r="I8640" t="str">
            <v>70135</v>
          </cell>
        </row>
        <row r="8641">
          <cell r="G8641" t="str">
            <v>Xã Tân Thạnh Đông</v>
          </cell>
          <cell r="I8641" t="str">
            <v>70135</v>
          </cell>
        </row>
        <row r="8642">
          <cell r="G8642" t="str">
            <v>Xã Tân Thạnh Tây</v>
          </cell>
          <cell r="I8642" t="str">
            <v>70135</v>
          </cell>
        </row>
        <row r="8643">
          <cell r="G8643" t="str">
            <v xml:space="preserve">Xã Trung An </v>
          </cell>
          <cell r="I8643" t="str">
            <v>70135</v>
          </cell>
        </row>
        <row r="8644">
          <cell r="G8644" t="str">
            <v>Xã Phước Vĩnh An</v>
          </cell>
          <cell r="I8644" t="str">
            <v>70135</v>
          </cell>
        </row>
        <row r="8645">
          <cell r="G8645" t="str">
            <v xml:space="preserve">Xã Hòa Phú      </v>
          </cell>
          <cell r="I8645" t="str">
            <v>70135</v>
          </cell>
        </row>
        <row r="8646">
          <cell r="G8646" t="str">
            <v>Xã Tân An Hội</v>
          </cell>
          <cell r="I8646" t="str">
            <v>70135</v>
          </cell>
        </row>
        <row r="8647">
          <cell r="G8647" t="str">
            <v>Xã Tân Thông Hội</v>
          </cell>
          <cell r="I8647" t="str">
            <v>70135</v>
          </cell>
        </row>
        <row r="8648">
          <cell r="G8648" t="str">
            <v>Xã Tân Phú Trung</v>
          </cell>
          <cell r="I8648" t="str">
            <v>70135</v>
          </cell>
        </row>
        <row r="8649">
          <cell r="G8649" t="str">
            <v>Xã Thái Mỹ</v>
          </cell>
          <cell r="I8649" t="str">
            <v>70135</v>
          </cell>
        </row>
        <row r="8650">
          <cell r="G8650" t="str">
            <v>Xã Phước Thạnh</v>
          </cell>
          <cell r="I8650" t="str">
            <v>70135</v>
          </cell>
        </row>
        <row r="8651">
          <cell r="G8651" t="str">
            <v>Xã An Nhơn Tây</v>
          </cell>
          <cell r="I8651" t="str">
            <v>70135</v>
          </cell>
        </row>
        <row r="8652">
          <cell r="G8652" t="str">
            <v>Xã Trung Lập Thượng</v>
          </cell>
          <cell r="I8652" t="str">
            <v>70135</v>
          </cell>
        </row>
        <row r="8653">
          <cell r="G8653" t="str">
            <v>Xã Phú Mỹ Hưng</v>
          </cell>
          <cell r="I8653" t="str">
            <v>70135</v>
          </cell>
        </row>
        <row r="8654">
          <cell r="G8654" t="str">
            <v xml:space="preserve">Xã An Phú    </v>
          </cell>
          <cell r="I8654" t="str">
            <v>70135</v>
          </cell>
        </row>
        <row r="8655">
          <cell r="G8655" t="str">
            <v>Xã Nhuận Đức</v>
          </cell>
          <cell r="I8655" t="str">
            <v>70135</v>
          </cell>
        </row>
        <row r="8656">
          <cell r="G8656" t="str">
            <v>Xã Phạm Văn Cội</v>
          </cell>
          <cell r="I8656" t="str">
            <v>70135</v>
          </cell>
        </row>
        <row r="8657">
          <cell r="G8657" t="str">
            <v xml:space="preserve">Xã Bình Mỹ </v>
          </cell>
          <cell r="I8657" t="str">
            <v>70135</v>
          </cell>
        </row>
        <row r="8658">
          <cell r="G8658" t="str">
            <v xml:space="preserve">Xã Phước Hiệp  </v>
          </cell>
          <cell r="I8658" t="str">
            <v>70135</v>
          </cell>
        </row>
        <row r="8659">
          <cell r="G8659" t="str">
            <v>Xã Trung Lập Hạ</v>
          </cell>
          <cell r="I8659" t="str">
            <v>70135</v>
          </cell>
        </row>
        <row r="8660">
          <cell r="G8660" t="str">
            <v>Thị Trấn Hóc Môn</v>
          </cell>
          <cell r="I8660" t="str">
            <v>70137</v>
          </cell>
        </row>
        <row r="8661">
          <cell r="G8661" t="str">
            <v>Xã Tân Thới Nhì</v>
          </cell>
          <cell r="I8661" t="str">
            <v>70137</v>
          </cell>
        </row>
        <row r="8662">
          <cell r="G8662" t="str">
            <v xml:space="preserve">Xã Tân Hiệp  </v>
          </cell>
          <cell r="I8662" t="str">
            <v>70137</v>
          </cell>
        </row>
        <row r="8663">
          <cell r="G8663" t="str">
            <v>Xã Thới Tam Thôn</v>
          </cell>
          <cell r="I8663" t="str">
            <v>70137</v>
          </cell>
        </row>
        <row r="8664">
          <cell r="G8664" t="str">
            <v>Xã Đông Thạnh</v>
          </cell>
          <cell r="I8664" t="str">
            <v>70137</v>
          </cell>
        </row>
        <row r="8665">
          <cell r="G8665" t="str">
            <v>Xã Nhị Bình</v>
          </cell>
          <cell r="I8665" t="str">
            <v>70137</v>
          </cell>
        </row>
        <row r="8666">
          <cell r="G8666" t="str">
            <v>Xã Xuân Thới Sơn</v>
          </cell>
          <cell r="I8666" t="str">
            <v>70137</v>
          </cell>
        </row>
        <row r="8667">
          <cell r="G8667" t="str">
            <v xml:space="preserve">Xã Tân Xuân  </v>
          </cell>
          <cell r="I8667" t="str">
            <v>70137</v>
          </cell>
        </row>
        <row r="8668">
          <cell r="G8668" t="str">
            <v>Xã Xuân Thới Thượng</v>
          </cell>
          <cell r="I8668" t="str">
            <v>70137</v>
          </cell>
        </row>
        <row r="8669">
          <cell r="G8669" t="str">
            <v>Xã Bà Điểm</v>
          </cell>
          <cell r="I8669" t="str">
            <v>70137</v>
          </cell>
        </row>
        <row r="8670">
          <cell r="G8670" t="str">
            <v>Xã Trung Chánh</v>
          </cell>
          <cell r="I8670" t="str">
            <v>70137</v>
          </cell>
        </row>
        <row r="8671">
          <cell r="G8671" t="str">
            <v>Xã Xuân T Đông</v>
          </cell>
          <cell r="I8671" t="str">
            <v>70137</v>
          </cell>
        </row>
        <row r="8672">
          <cell r="G8672" t="str">
            <v>Xã Bình Hưng</v>
          </cell>
          <cell r="I8672" t="str">
            <v>70139</v>
          </cell>
        </row>
        <row r="8673">
          <cell r="G8673" t="str">
            <v xml:space="preserve">Xã Phong Phú  </v>
          </cell>
          <cell r="I8673" t="str">
            <v>70139</v>
          </cell>
        </row>
        <row r="8674">
          <cell r="G8674" t="str">
            <v>Xã Đa Phước</v>
          </cell>
          <cell r="I8674" t="str">
            <v>70139</v>
          </cell>
        </row>
        <row r="8675">
          <cell r="G8675" t="str">
            <v>Xã Qui Đức</v>
          </cell>
          <cell r="I8675" t="str">
            <v>70139</v>
          </cell>
        </row>
        <row r="8676">
          <cell r="G8676" t="str">
            <v xml:space="preserve">Xã Hưng Long    </v>
          </cell>
          <cell r="I8676" t="str">
            <v>70139</v>
          </cell>
        </row>
        <row r="8677">
          <cell r="G8677" t="str">
            <v>Xã Tân Quý Tây</v>
          </cell>
          <cell r="I8677" t="str">
            <v>70139</v>
          </cell>
        </row>
        <row r="8678">
          <cell r="G8678" t="str">
            <v xml:space="preserve">Xã Bình Chánh  </v>
          </cell>
          <cell r="I8678" t="str">
            <v>70139</v>
          </cell>
        </row>
        <row r="8679">
          <cell r="G8679" t="str">
            <v>Xã Vĩnh Lộc A</v>
          </cell>
          <cell r="I8679" t="str">
            <v>70139</v>
          </cell>
        </row>
        <row r="8680">
          <cell r="G8680" t="str">
            <v>Xã Vĩnh Lộc B</v>
          </cell>
          <cell r="I8680" t="str">
            <v>70139</v>
          </cell>
        </row>
        <row r="8681">
          <cell r="G8681" t="str">
            <v>Xã Phạm Văn Hai</v>
          </cell>
          <cell r="I8681" t="str">
            <v>70139</v>
          </cell>
        </row>
        <row r="8682">
          <cell r="G8682" t="str">
            <v>Xã Lê Minh Xuân</v>
          </cell>
          <cell r="I8682" t="str">
            <v>70139</v>
          </cell>
        </row>
        <row r="8683">
          <cell r="G8683" t="str">
            <v>Xã Bình Lợi</v>
          </cell>
          <cell r="I8683" t="str">
            <v>70139</v>
          </cell>
        </row>
        <row r="8684">
          <cell r="G8684" t="str">
            <v>Xã Tân Nhựt</v>
          </cell>
          <cell r="I8684" t="str">
            <v>70139</v>
          </cell>
        </row>
        <row r="8685">
          <cell r="G8685" t="str">
            <v>Thị Trấn Tân Túc</v>
          </cell>
          <cell r="I8685" t="str">
            <v>70139</v>
          </cell>
        </row>
        <row r="8686">
          <cell r="G8686" t="str">
            <v>Xã Tân Kiên</v>
          </cell>
          <cell r="I8686" t="str">
            <v>70139</v>
          </cell>
        </row>
        <row r="8687">
          <cell r="G8687" t="str">
            <v>Xã An Phú Tây</v>
          </cell>
          <cell r="I8687" t="str">
            <v>70139</v>
          </cell>
        </row>
        <row r="8688">
          <cell r="G8688" t="str">
            <v>Thị Trấn Nhà Bè</v>
          </cell>
          <cell r="I8688" t="str">
            <v>70141</v>
          </cell>
        </row>
        <row r="8689">
          <cell r="G8689" t="str">
            <v xml:space="preserve">Xã Phú Xuân     </v>
          </cell>
          <cell r="I8689" t="str">
            <v>70141</v>
          </cell>
        </row>
        <row r="8690">
          <cell r="G8690" t="str">
            <v>Xã Phước Kiển</v>
          </cell>
          <cell r="I8690" t="str">
            <v>70141</v>
          </cell>
        </row>
        <row r="8691">
          <cell r="G8691" t="str">
            <v xml:space="preserve">Xã Phước Lộc  </v>
          </cell>
          <cell r="I8691" t="str">
            <v>70141</v>
          </cell>
        </row>
        <row r="8692">
          <cell r="G8692" t="str">
            <v>Xã Nhơn Đức</v>
          </cell>
          <cell r="I8692" t="str">
            <v>70141</v>
          </cell>
        </row>
        <row r="8693">
          <cell r="G8693" t="str">
            <v>Xã Long Thới</v>
          </cell>
          <cell r="I8693" t="str">
            <v>70141</v>
          </cell>
        </row>
        <row r="8694">
          <cell r="G8694" t="str">
            <v>Xã Hiệp Phước</v>
          </cell>
          <cell r="I8694" t="str">
            <v>70141</v>
          </cell>
        </row>
        <row r="8695">
          <cell r="G8695" t="str">
            <v>Thị Trấn Cần Thạnh</v>
          </cell>
          <cell r="I8695" t="str">
            <v>70143</v>
          </cell>
        </row>
        <row r="8696">
          <cell r="G8696" t="str">
            <v>Xã Long Hòa</v>
          </cell>
          <cell r="I8696" t="str">
            <v>70143</v>
          </cell>
        </row>
        <row r="8697">
          <cell r="G8697" t="str">
            <v>Xã Thạnh An</v>
          </cell>
          <cell r="I8697" t="str">
            <v>70143</v>
          </cell>
        </row>
        <row r="8698">
          <cell r="G8698" t="str">
            <v>Xã Tam Thôn Hiệp</v>
          </cell>
          <cell r="I8698" t="str">
            <v>70143</v>
          </cell>
        </row>
        <row r="8699">
          <cell r="G8699" t="str">
            <v>Xã Bình Khánh</v>
          </cell>
          <cell r="I8699" t="str">
            <v>70143</v>
          </cell>
        </row>
        <row r="8700">
          <cell r="G8700" t="str">
            <v>Xã An Thới Đông</v>
          </cell>
          <cell r="I8700" t="str">
            <v>70143</v>
          </cell>
        </row>
        <row r="8701">
          <cell r="G8701" t="str">
            <v>Xã Lý Nhơn</v>
          </cell>
          <cell r="I8701" t="str">
            <v>70143</v>
          </cell>
        </row>
        <row r="8702">
          <cell r="G8702" t="str">
            <v xml:space="preserve">Phường 2       </v>
          </cell>
          <cell r="I8702" t="str">
            <v>70301</v>
          </cell>
        </row>
        <row r="8703">
          <cell r="G8703" t="str">
            <v xml:space="preserve">Phường 6      </v>
          </cell>
          <cell r="I8703" t="str">
            <v>70301</v>
          </cell>
        </row>
        <row r="8704">
          <cell r="G8704" t="str">
            <v xml:space="preserve">Phường 11          </v>
          </cell>
          <cell r="I8704" t="str">
            <v>70301</v>
          </cell>
        </row>
        <row r="8705">
          <cell r="G8705" t="str">
            <v>Xã Tà Nung</v>
          </cell>
          <cell r="I8705" t="str">
            <v>70301</v>
          </cell>
        </row>
        <row r="8706">
          <cell r="G8706" t="str">
            <v xml:space="preserve">Phường 9     </v>
          </cell>
          <cell r="I8706" t="str">
            <v>70301</v>
          </cell>
        </row>
        <row r="8707">
          <cell r="G8707" t="str">
            <v xml:space="preserve">Phường 7      </v>
          </cell>
          <cell r="I8707" t="str">
            <v>70301</v>
          </cell>
        </row>
        <row r="8708">
          <cell r="G8708" t="str">
            <v xml:space="preserve">Phường 8     </v>
          </cell>
          <cell r="I8708" t="str">
            <v>70301</v>
          </cell>
        </row>
        <row r="8709">
          <cell r="G8709" t="str">
            <v xml:space="preserve">Phường 12           </v>
          </cell>
          <cell r="I8709" t="str">
            <v>70301</v>
          </cell>
        </row>
        <row r="8710">
          <cell r="G8710" t="str">
            <v xml:space="preserve">Phường 1        </v>
          </cell>
          <cell r="I8710" t="str">
            <v>70301</v>
          </cell>
        </row>
        <row r="8711">
          <cell r="G8711" t="str">
            <v xml:space="preserve">Phường 5       </v>
          </cell>
          <cell r="I8711" t="str">
            <v>70301</v>
          </cell>
        </row>
        <row r="8712">
          <cell r="G8712" t="str">
            <v xml:space="preserve">Phường 4      </v>
          </cell>
          <cell r="I8712" t="str">
            <v>70301</v>
          </cell>
        </row>
        <row r="8713">
          <cell r="G8713" t="str">
            <v xml:space="preserve">Phường 10          </v>
          </cell>
          <cell r="I8713" t="str">
            <v>70301</v>
          </cell>
        </row>
        <row r="8714">
          <cell r="G8714" t="str">
            <v xml:space="preserve">Phường 3        </v>
          </cell>
          <cell r="I8714" t="str">
            <v>70301</v>
          </cell>
        </row>
        <row r="8715">
          <cell r="G8715" t="str">
            <v xml:space="preserve">Xã Xuân Thọ  </v>
          </cell>
          <cell r="I8715" t="str">
            <v>70301</v>
          </cell>
        </row>
        <row r="8716">
          <cell r="G8716" t="str">
            <v xml:space="preserve">Xã Xuân Trường   </v>
          </cell>
          <cell r="I8716" t="str">
            <v>70301</v>
          </cell>
        </row>
        <row r="8717">
          <cell r="G8717" t="str">
            <v>Xã Trạm Hành</v>
          </cell>
          <cell r="I8717" t="str">
            <v>70301</v>
          </cell>
        </row>
        <row r="8718">
          <cell r="G8718" t="str">
            <v>Phường Lộc Phát</v>
          </cell>
          <cell r="I8718" t="str">
            <v>70303</v>
          </cell>
        </row>
        <row r="8719">
          <cell r="G8719" t="str">
            <v xml:space="preserve">Phường 2        </v>
          </cell>
          <cell r="I8719" t="str">
            <v>70303</v>
          </cell>
        </row>
        <row r="8720">
          <cell r="G8720" t="str">
            <v>Xã Đạm Bri</v>
          </cell>
          <cell r="I8720" t="str">
            <v>70303</v>
          </cell>
        </row>
        <row r="8721">
          <cell r="G8721" t="str">
            <v>Xã Lộc Châu</v>
          </cell>
          <cell r="I8721" t="str">
            <v>70303</v>
          </cell>
        </row>
        <row r="8722">
          <cell r="G8722" t="str">
            <v>Phường Lộc Tiến</v>
          </cell>
          <cell r="I8722" t="str">
            <v>70303</v>
          </cell>
        </row>
        <row r="8723">
          <cell r="G8723" t="str">
            <v xml:space="preserve">Phường 1         </v>
          </cell>
          <cell r="I8723" t="str">
            <v>70303</v>
          </cell>
        </row>
        <row r="8724">
          <cell r="G8724" t="str">
            <v>Phường B-lao</v>
          </cell>
          <cell r="I8724" t="str">
            <v>70303</v>
          </cell>
        </row>
        <row r="8725">
          <cell r="G8725" t="str">
            <v>Phường Lộc Sơn</v>
          </cell>
          <cell r="I8725" t="str">
            <v>70303</v>
          </cell>
        </row>
        <row r="8726">
          <cell r="G8726" t="str">
            <v>Xã Lộc Thanh</v>
          </cell>
          <cell r="I8726" t="str">
            <v>70303</v>
          </cell>
        </row>
        <row r="8727">
          <cell r="G8727" t="str">
            <v>Xã Lộc Nga</v>
          </cell>
          <cell r="I8727" t="str">
            <v>70303</v>
          </cell>
        </row>
        <row r="8728">
          <cell r="G8728" t="str">
            <v>Xã Đại Lào</v>
          </cell>
          <cell r="I8728" t="str">
            <v>70303</v>
          </cell>
        </row>
        <row r="8729">
          <cell r="G8729" t="str">
            <v>Xã Đạ Chais</v>
          </cell>
          <cell r="I8729" t="str">
            <v>70305</v>
          </cell>
        </row>
        <row r="8730">
          <cell r="G8730" t="str">
            <v>Xã Lát</v>
          </cell>
          <cell r="I8730" t="str">
            <v>70305</v>
          </cell>
        </row>
        <row r="8731">
          <cell r="G8731" t="str">
            <v>Thị trấn Lạc Dương</v>
          </cell>
          <cell r="I8731" t="str">
            <v>70305</v>
          </cell>
        </row>
        <row r="8732">
          <cell r="G8732" t="str">
            <v>Xã Đạ Nhim</v>
          </cell>
          <cell r="I8732" t="str">
            <v>70305</v>
          </cell>
        </row>
        <row r="8733">
          <cell r="G8733" t="str">
            <v>Xã Đưng KNớ</v>
          </cell>
          <cell r="I8733" t="str">
            <v>70305</v>
          </cell>
        </row>
        <row r="8734">
          <cell r="G8734" t="str">
            <v>Xã Đạ Sar</v>
          </cell>
          <cell r="I8734" t="str">
            <v>70305</v>
          </cell>
        </row>
        <row r="8735">
          <cell r="G8735" t="str">
            <v>Xã Đạ Ròn</v>
          </cell>
          <cell r="I8735" t="str">
            <v>70307</v>
          </cell>
        </row>
        <row r="8736">
          <cell r="G8736" t="str">
            <v xml:space="preserve">Thị trấn Thạnh Mỹ </v>
          </cell>
          <cell r="I8736" t="str">
            <v>70307</v>
          </cell>
        </row>
        <row r="8737">
          <cell r="G8737" t="str">
            <v>Xã Ka Đô</v>
          </cell>
          <cell r="I8737" t="str">
            <v>70307</v>
          </cell>
        </row>
        <row r="8738">
          <cell r="G8738" t="str">
            <v>Xã Pró</v>
          </cell>
          <cell r="I8738" t="str">
            <v>70307</v>
          </cell>
        </row>
        <row r="8739">
          <cell r="G8739" t="str">
            <v>Thị trấn D-Ran</v>
          </cell>
          <cell r="I8739" t="str">
            <v>70307</v>
          </cell>
        </row>
        <row r="8740">
          <cell r="G8740" t="str">
            <v>Xã Lạc Xuân</v>
          </cell>
          <cell r="I8740" t="str">
            <v>70307</v>
          </cell>
        </row>
        <row r="8741">
          <cell r="G8741" t="str">
            <v>Xã Lạc Lâm</v>
          </cell>
          <cell r="I8741" t="str">
            <v>70307</v>
          </cell>
        </row>
        <row r="8742">
          <cell r="G8742" t="str">
            <v>Xã Quảng Lập</v>
          </cell>
          <cell r="I8742" t="str">
            <v>70307</v>
          </cell>
        </row>
        <row r="8743">
          <cell r="G8743" t="str">
            <v>Xã Ka Đơn</v>
          </cell>
          <cell r="I8743" t="str">
            <v>70307</v>
          </cell>
        </row>
        <row r="8744">
          <cell r="G8744" t="str">
            <v>Xã Tu Tra</v>
          </cell>
          <cell r="I8744" t="str">
            <v>70307</v>
          </cell>
        </row>
        <row r="8745">
          <cell r="G8745" t="str">
            <v>Xã N-Thol Hạ</v>
          </cell>
          <cell r="I8745" t="str">
            <v>70309</v>
          </cell>
        </row>
        <row r="8746">
          <cell r="G8746" t="str">
            <v xml:space="preserve">Xã Liên Hiệp   </v>
          </cell>
          <cell r="I8746" t="str">
            <v>70309</v>
          </cell>
        </row>
        <row r="8747">
          <cell r="G8747" t="str">
            <v>Xã Hiệp Thạnh</v>
          </cell>
          <cell r="I8747" t="str">
            <v>70309</v>
          </cell>
        </row>
        <row r="8748">
          <cell r="G8748" t="str">
            <v xml:space="preserve">Xã Bình Thạnh </v>
          </cell>
          <cell r="I8748" t="str">
            <v>70309</v>
          </cell>
        </row>
        <row r="8749">
          <cell r="G8749" t="str">
            <v xml:space="preserve">Xã Tân Hội </v>
          </cell>
          <cell r="I8749" t="str">
            <v>70309</v>
          </cell>
        </row>
        <row r="8750">
          <cell r="G8750" t="str">
            <v xml:space="preserve">Xã Tân Thành             </v>
          </cell>
          <cell r="I8750" t="str">
            <v>70309</v>
          </cell>
        </row>
        <row r="8751">
          <cell r="G8751" t="str">
            <v>Xã Phú Hội</v>
          </cell>
          <cell r="I8751" t="str">
            <v>70309</v>
          </cell>
        </row>
        <row r="8752">
          <cell r="G8752" t="str">
            <v>Xã Ninh Gia</v>
          </cell>
          <cell r="I8752" t="str">
            <v>70309</v>
          </cell>
        </row>
        <row r="8753">
          <cell r="G8753" t="str">
            <v>Xã Tà Năng</v>
          </cell>
          <cell r="I8753" t="str">
            <v>70309</v>
          </cell>
        </row>
        <row r="8754">
          <cell r="G8754" t="str">
            <v>Xã Tà Hine</v>
          </cell>
          <cell r="I8754" t="str">
            <v>70309</v>
          </cell>
        </row>
        <row r="8755">
          <cell r="G8755" t="str">
            <v>Xã Đà Loan</v>
          </cell>
          <cell r="I8755" t="str">
            <v>70309</v>
          </cell>
        </row>
        <row r="8756">
          <cell r="G8756" t="str">
            <v>Xã Ninh Loan</v>
          </cell>
          <cell r="I8756" t="str">
            <v>70309</v>
          </cell>
        </row>
        <row r="8757">
          <cell r="G8757" t="str">
            <v>Thị trấn Liên Nghĩa</v>
          </cell>
          <cell r="I8757" t="str">
            <v>70309</v>
          </cell>
        </row>
        <row r="8758">
          <cell r="G8758" t="str">
            <v xml:space="preserve">Xã Hiệp An </v>
          </cell>
          <cell r="I8758" t="str">
            <v>70309</v>
          </cell>
        </row>
        <row r="8759">
          <cell r="G8759" t="str">
            <v>Xã Đa Quyn</v>
          </cell>
          <cell r="I8759" t="str">
            <v>70309</v>
          </cell>
        </row>
        <row r="8760">
          <cell r="G8760" t="str">
            <v xml:space="preserve">Xã Đông Thanh </v>
          </cell>
          <cell r="I8760" t="str">
            <v>70311</v>
          </cell>
        </row>
        <row r="8761">
          <cell r="G8761" t="str">
            <v xml:space="preserve">Xã Phú Sơn      </v>
          </cell>
          <cell r="I8761" t="str">
            <v>70311</v>
          </cell>
        </row>
        <row r="8762">
          <cell r="G8762" t="str">
            <v>Xã Đạ Đờn</v>
          </cell>
          <cell r="I8762" t="str">
            <v>70311</v>
          </cell>
        </row>
        <row r="8763">
          <cell r="G8763" t="str">
            <v xml:space="preserve">Xã Tân Thanh  </v>
          </cell>
          <cell r="I8763" t="str">
            <v>70311</v>
          </cell>
        </row>
        <row r="8764">
          <cell r="G8764" t="str">
            <v xml:space="preserve">Xã Liên Hà  </v>
          </cell>
          <cell r="I8764" t="str">
            <v>70311</v>
          </cell>
        </row>
        <row r="8765">
          <cell r="G8765" t="str">
            <v>Thị trấn Nam Ban</v>
          </cell>
          <cell r="I8765" t="str">
            <v>70311</v>
          </cell>
        </row>
        <row r="8766">
          <cell r="G8766" t="str">
            <v>Thị trấn Đinh Văn</v>
          </cell>
          <cell r="I8766" t="str">
            <v>70311</v>
          </cell>
        </row>
        <row r="8767">
          <cell r="G8767" t="str">
            <v>Xã Phi Tô</v>
          </cell>
          <cell r="I8767" t="str">
            <v>70311</v>
          </cell>
        </row>
        <row r="8768">
          <cell r="G8768" t="str">
            <v xml:space="preserve">Xã Mê Linh  </v>
          </cell>
          <cell r="I8768" t="str">
            <v>70311</v>
          </cell>
        </row>
        <row r="8769">
          <cell r="G8769" t="str">
            <v xml:space="preserve">Xã Phúc Thọ </v>
          </cell>
          <cell r="I8769" t="str">
            <v>70311</v>
          </cell>
        </row>
        <row r="8770">
          <cell r="G8770" t="str">
            <v xml:space="preserve">Xã Gia Lâm </v>
          </cell>
          <cell r="I8770" t="str">
            <v>70311</v>
          </cell>
        </row>
        <row r="8771">
          <cell r="G8771" t="str">
            <v xml:space="preserve">Xã Tân Văn </v>
          </cell>
          <cell r="I8771" t="str">
            <v>70311</v>
          </cell>
        </row>
        <row r="8772">
          <cell r="G8772" t="str">
            <v xml:space="preserve">Xã Hòai Đức </v>
          </cell>
          <cell r="I8772" t="str">
            <v>70311</v>
          </cell>
        </row>
        <row r="8773">
          <cell r="G8773" t="str">
            <v>Xã Tân Hà</v>
          </cell>
          <cell r="I8773" t="str">
            <v>70311</v>
          </cell>
        </row>
        <row r="8774">
          <cell r="G8774" t="str">
            <v xml:space="preserve">Xã Đan Phượng </v>
          </cell>
          <cell r="I8774" t="str">
            <v>70311</v>
          </cell>
        </row>
        <row r="8775">
          <cell r="G8775" t="str">
            <v xml:space="preserve">Xã Nam Hà </v>
          </cell>
          <cell r="I8775" t="str">
            <v>70311</v>
          </cell>
        </row>
        <row r="8776">
          <cell r="G8776" t="str">
            <v>Xã Lộc Phú</v>
          </cell>
          <cell r="I8776" t="str">
            <v>70313</v>
          </cell>
        </row>
        <row r="8777">
          <cell r="G8777" t="str">
            <v>Thị trấn Lộc Thắng</v>
          </cell>
          <cell r="I8777" t="str">
            <v>70313</v>
          </cell>
        </row>
        <row r="8778">
          <cell r="G8778" t="str">
            <v>Xã Lộc Bắc</v>
          </cell>
          <cell r="I8778" t="str">
            <v>70313</v>
          </cell>
        </row>
        <row r="8779">
          <cell r="G8779" t="str">
            <v xml:space="preserve">Xã Lộc Tân </v>
          </cell>
          <cell r="I8779" t="str">
            <v>70313</v>
          </cell>
        </row>
        <row r="8780">
          <cell r="G8780" t="str">
            <v>Xã Lộc Thành</v>
          </cell>
          <cell r="I8780" t="str">
            <v>70313</v>
          </cell>
        </row>
        <row r="8781">
          <cell r="G8781" t="str">
            <v>Xã Lộc Bảo</v>
          </cell>
          <cell r="I8781" t="str">
            <v>70313</v>
          </cell>
        </row>
        <row r="8782">
          <cell r="G8782" t="str">
            <v>Xã Lộc Lâm</v>
          </cell>
          <cell r="I8782" t="str">
            <v>70313</v>
          </cell>
        </row>
        <row r="8783">
          <cell r="G8783" t="str">
            <v>Xã B- Lá</v>
          </cell>
          <cell r="I8783" t="str">
            <v>70313</v>
          </cell>
        </row>
        <row r="8784">
          <cell r="G8784" t="str">
            <v>Xã Lộc Ngãi</v>
          </cell>
          <cell r="I8784" t="str">
            <v>70313</v>
          </cell>
        </row>
        <row r="8785">
          <cell r="G8785" t="str">
            <v>Xã Lộc Quảng</v>
          </cell>
          <cell r="I8785" t="str">
            <v>70313</v>
          </cell>
        </row>
        <row r="8786">
          <cell r="G8786" t="str">
            <v>Xã Lộc Đức</v>
          </cell>
          <cell r="I8786" t="str">
            <v>70313</v>
          </cell>
        </row>
        <row r="8787">
          <cell r="G8787" t="str">
            <v xml:space="preserve">Xã Lộc An  </v>
          </cell>
          <cell r="I8787" t="str">
            <v>70313</v>
          </cell>
        </row>
        <row r="8788">
          <cell r="G8788" t="str">
            <v>Xã Tân Lạc</v>
          </cell>
          <cell r="I8788" t="str">
            <v>70313</v>
          </cell>
        </row>
        <row r="8789">
          <cell r="G8789" t="str">
            <v>Xã Lộc Nam</v>
          </cell>
          <cell r="I8789" t="str">
            <v>70313</v>
          </cell>
        </row>
        <row r="8790">
          <cell r="G8790" t="str">
            <v>Thị trấn Di Linh</v>
          </cell>
          <cell r="I8790" t="str">
            <v>70315</v>
          </cell>
        </row>
        <row r="8791">
          <cell r="G8791" t="str">
            <v>Xã Đinh Trang Hòa</v>
          </cell>
          <cell r="I8791" t="str">
            <v>70315</v>
          </cell>
        </row>
        <row r="8792">
          <cell r="G8792" t="str">
            <v>Xã Đinh Trang Thượng</v>
          </cell>
          <cell r="I8792" t="str">
            <v>70315</v>
          </cell>
        </row>
        <row r="8793">
          <cell r="G8793" t="str">
            <v>Xã Đinh Lạc</v>
          </cell>
          <cell r="I8793" t="str">
            <v>70315</v>
          </cell>
        </row>
        <row r="8794">
          <cell r="G8794" t="str">
            <v>Xã Gung Ré</v>
          </cell>
          <cell r="I8794" t="str">
            <v>70315</v>
          </cell>
        </row>
        <row r="8795">
          <cell r="G8795" t="str">
            <v xml:space="preserve">Xã Hòa Nam </v>
          </cell>
          <cell r="I8795" t="str">
            <v>70315</v>
          </cell>
        </row>
        <row r="8796">
          <cell r="G8796" t="str">
            <v xml:space="preserve">Xã Tân Thượng </v>
          </cell>
          <cell r="I8796" t="str">
            <v>70315</v>
          </cell>
        </row>
        <row r="8797">
          <cell r="G8797" t="str">
            <v xml:space="preserve">Xã Tân Châu </v>
          </cell>
          <cell r="I8797" t="str">
            <v>70315</v>
          </cell>
        </row>
        <row r="8798">
          <cell r="G8798" t="str">
            <v>Xã Tân Nghĩa</v>
          </cell>
          <cell r="I8798" t="str">
            <v>70315</v>
          </cell>
        </row>
        <row r="8799">
          <cell r="G8799" t="str">
            <v>Xã Gia Hiệp</v>
          </cell>
          <cell r="I8799" t="str">
            <v>70315</v>
          </cell>
        </row>
        <row r="8800">
          <cell r="G8800" t="str">
            <v>Xã Tam Bố</v>
          </cell>
          <cell r="I8800" t="str">
            <v>70315</v>
          </cell>
        </row>
        <row r="8801">
          <cell r="G8801" t="str">
            <v>Xã Liên Đầm</v>
          </cell>
          <cell r="I8801" t="str">
            <v>70315</v>
          </cell>
        </row>
        <row r="8802">
          <cell r="G8802" t="str">
            <v>Xã Bảo Thuận</v>
          </cell>
          <cell r="I8802" t="str">
            <v>70315</v>
          </cell>
        </row>
        <row r="8803">
          <cell r="G8803" t="str">
            <v xml:space="preserve">Xã Hòa Ninh </v>
          </cell>
          <cell r="I8803" t="str">
            <v>70315</v>
          </cell>
        </row>
        <row r="8804">
          <cell r="G8804" t="str">
            <v>Xã Hòa Trung</v>
          </cell>
          <cell r="I8804" t="str">
            <v>70315</v>
          </cell>
        </row>
        <row r="8805">
          <cell r="G8805" t="str">
            <v xml:space="preserve">Xã Hòa Bắc </v>
          </cell>
          <cell r="I8805" t="str">
            <v>70315</v>
          </cell>
        </row>
        <row r="8806">
          <cell r="G8806" t="str">
            <v>Xã Sơn Điền</v>
          </cell>
          <cell r="I8806" t="str">
            <v>70315</v>
          </cell>
        </row>
        <row r="8807">
          <cell r="G8807" t="str">
            <v>Xã Gia Bắc</v>
          </cell>
          <cell r="I8807" t="str">
            <v>70315</v>
          </cell>
        </row>
        <row r="8808">
          <cell r="G8808" t="str">
            <v>Xã Tân Lâm</v>
          </cell>
          <cell r="I8808" t="str">
            <v>70315</v>
          </cell>
        </row>
        <row r="8809">
          <cell r="G8809" t="str">
            <v>Thị trấn Ma Đa Guôi</v>
          </cell>
          <cell r="I8809" t="str">
            <v>70317</v>
          </cell>
        </row>
        <row r="8810">
          <cell r="G8810" t="str">
            <v>Xã Đạ M-ri</v>
          </cell>
          <cell r="I8810" t="str">
            <v>70317</v>
          </cell>
        </row>
        <row r="8811">
          <cell r="G8811" t="str">
            <v>Xã Đạ Ploa</v>
          </cell>
          <cell r="I8811" t="str">
            <v>70317</v>
          </cell>
        </row>
        <row r="8812">
          <cell r="G8812" t="str">
            <v xml:space="preserve">Xã Phước Lộc   </v>
          </cell>
          <cell r="I8812" t="str">
            <v>70317</v>
          </cell>
        </row>
        <row r="8813">
          <cell r="G8813" t="str">
            <v>Thị trấn Đạ M-ri</v>
          </cell>
          <cell r="I8813" t="str">
            <v>70317</v>
          </cell>
        </row>
        <row r="8814">
          <cell r="G8814" t="str">
            <v xml:space="preserve">Xã Hà Lâm </v>
          </cell>
          <cell r="I8814" t="str">
            <v>70317</v>
          </cell>
        </row>
        <row r="8815">
          <cell r="G8815" t="str">
            <v>Xã Đạ Tồn</v>
          </cell>
          <cell r="I8815" t="str">
            <v>70317</v>
          </cell>
        </row>
        <row r="8816">
          <cell r="G8816" t="str">
            <v>Xã Đạ Oai</v>
          </cell>
          <cell r="I8816" t="str">
            <v>70317</v>
          </cell>
        </row>
        <row r="8817">
          <cell r="G8817" t="str">
            <v>Xã Ma Đa Guôi</v>
          </cell>
          <cell r="I8817" t="str">
            <v>70317</v>
          </cell>
        </row>
        <row r="8818">
          <cell r="G8818" t="str">
            <v xml:space="preserve">Xã Đoàn Kết      </v>
          </cell>
          <cell r="I8818" t="str">
            <v>70317</v>
          </cell>
        </row>
        <row r="8819">
          <cell r="G8819" t="str">
            <v>Xã Đạ Lây</v>
          </cell>
          <cell r="I8819" t="str">
            <v>70319</v>
          </cell>
        </row>
        <row r="8820">
          <cell r="G8820" t="str">
            <v xml:space="preserve">Xã Mỹ Đức  </v>
          </cell>
          <cell r="I8820" t="str">
            <v>70319</v>
          </cell>
        </row>
        <row r="8821">
          <cell r="G8821" t="str">
            <v>Xã Triệu Hải</v>
          </cell>
          <cell r="I8821" t="str">
            <v>70319</v>
          </cell>
        </row>
        <row r="8822">
          <cell r="G8822" t="str">
            <v>Thị trấn Đạ Tẻh</v>
          </cell>
          <cell r="I8822" t="str">
            <v>70319</v>
          </cell>
        </row>
        <row r="8823">
          <cell r="G8823" t="str">
            <v>Xã An Nhơn</v>
          </cell>
          <cell r="I8823" t="str">
            <v>70319</v>
          </cell>
        </row>
        <row r="8824">
          <cell r="G8824" t="str">
            <v>Xã Quốc Oai</v>
          </cell>
          <cell r="I8824" t="str">
            <v>70319</v>
          </cell>
        </row>
        <row r="8825">
          <cell r="G8825" t="str">
            <v>Xã Quảng Trị</v>
          </cell>
          <cell r="I8825" t="str">
            <v>70319</v>
          </cell>
        </row>
        <row r="8826">
          <cell r="G8826" t="str">
            <v xml:space="preserve">Xã Hương Lâm   </v>
          </cell>
          <cell r="I8826" t="str">
            <v>70319</v>
          </cell>
        </row>
        <row r="8827">
          <cell r="G8827" t="str">
            <v xml:space="preserve">Xã Hà Đông  </v>
          </cell>
          <cell r="I8827" t="str">
            <v>70319</v>
          </cell>
        </row>
        <row r="8828">
          <cell r="G8828" t="str">
            <v>Xã Đạ Kho</v>
          </cell>
          <cell r="I8828" t="str">
            <v>70319</v>
          </cell>
        </row>
        <row r="8829">
          <cell r="G8829" t="str">
            <v>Xã Đạ Pal</v>
          </cell>
          <cell r="I8829" t="str">
            <v>70319</v>
          </cell>
        </row>
        <row r="8830">
          <cell r="G8830" t="str">
            <v>Xã Tư Nghĩa</v>
          </cell>
          <cell r="I8830" t="str">
            <v>70321</v>
          </cell>
        </row>
        <row r="8831">
          <cell r="G8831" t="str">
            <v>Thị trấn Cát Tiên</v>
          </cell>
          <cell r="I8831" t="str">
            <v>70321</v>
          </cell>
        </row>
        <row r="8832">
          <cell r="G8832" t="str">
            <v>Xã Mỹ Lâm</v>
          </cell>
          <cell r="I8832" t="str">
            <v>70321</v>
          </cell>
        </row>
        <row r="8833">
          <cell r="G8833" t="str">
            <v>Xã Đức Phổ</v>
          </cell>
          <cell r="I8833" t="str">
            <v>70321</v>
          </cell>
        </row>
        <row r="8834">
          <cell r="G8834" t="str">
            <v>Xã Tiên Hoàng</v>
          </cell>
          <cell r="I8834" t="str">
            <v>70321</v>
          </cell>
        </row>
        <row r="8835">
          <cell r="G8835" t="str">
            <v>Xã Phước Cát 2</v>
          </cell>
          <cell r="I8835" t="str">
            <v>70321</v>
          </cell>
        </row>
        <row r="8836">
          <cell r="G8836" t="str">
            <v>Xã Gia Viễn</v>
          </cell>
          <cell r="I8836" t="str">
            <v>70321</v>
          </cell>
        </row>
        <row r="8837">
          <cell r="G8837" t="str">
            <v>Xã Nam Ninh</v>
          </cell>
          <cell r="I8837" t="str">
            <v>70321</v>
          </cell>
        </row>
        <row r="8838">
          <cell r="G8838" t="str">
            <v>Xã Phước Cát 1</v>
          </cell>
          <cell r="I8838" t="str">
            <v>70321</v>
          </cell>
        </row>
        <row r="8839">
          <cell r="G8839" t="str">
            <v>Xã Quảng Ngãi</v>
          </cell>
          <cell r="I8839" t="str">
            <v>70321</v>
          </cell>
        </row>
        <row r="8840">
          <cell r="G8840" t="str">
            <v>Xã Đồng Nai Thượng</v>
          </cell>
          <cell r="I8840" t="str">
            <v>70321</v>
          </cell>
        </row>
        <row r="8841">
          <cell r="G8841" t="str">
            <v>Xã Đạ Long</v>
          </cell>
          <cell r="I8841" t="str">
            <v>70323</v>
          </cell>
        </row>
        <row r="8842">
          <cell r="G8842" t="str">
            <v>Xã Rô Men</v>
          </cell>
          <cell r="I8842" t="str">
            <v>70323</v>
          </cell>
        </row>
        <row r="8843">
          <cell r="G8843" t="str">
            <v>Xã Đạ Tông</v>
          </cell>
          <cell r="I8843" t="str">
            <v>70323</v>
          </cell>
        </row>
        <row r="8844">
          <cell r="G8844" t="str">
            <v>Xã Đạ M Rong</v>
          </cell>
          <cell r="I8844" t="str">
            <v>70323</v>
          </cell>
        </row>
        <row r="8845">
          <cell r="G8845" t="str">
            <v>Xã Liêng Srônh</v>
          </cell>
          <cell r="I8845" t="str">
            <v>70323</v>
          </cell>
        </row>
        <row r="8846">
          <cell r="G8846" t="str">
            <v>Xã Đạ RSal</v>
          </cell>
          <cell r="I8846" t="str">
            <v>70323</v>
          </cell>
        </row>
        <row r="8847">
          <cell r="G8847" t="str">
            <v>Xã Phi Liêng</v>
          </cell>
          <cell r="I8847" t="str">
            <v>70323</v>
          </cell>
        </row>
        <row r="8848">
          <cell r="G8848" t="str">
            <v>Xã Đạ K Nàng</v>
          </cell>
          <cell r="I8848" t="str">
            <v>70323</v>
          </cell>
        </row>
        <row r="8849">
          <cell r="G8849" t="str">
            <v>Xã Thành Hải</v>
          </cell>
          <cell r="I8849" t="str">
            <v>70501</v>
          </cell>
        </row>
        <row r="8850">
          <cell r="G8850" t="str">
            <v>Phường Bảo An</v>
          </cell>
          <cell r="I8850" t="str">
            <v>70501</v>
          </cell>
        </row>
        <row r="8851">
          <cell r="G8851" t="str">
            <v>Phường Tấn Tài</v>
          </cell>
          <cell r="I8851" t="str">
            <v>70501</v>
          </cell>
        </row>
        <row r="8852">
          <cell r="G8852" t="str">
            <v xml:space="preserve">Phường Đông Hải  </v>
          </cell>
          <cell r="I8852" t="str">
            <v>70501</v>
          </cell>
        </row>
        <row r="8853">
          <cell r="G8853" t="str">
            <v>Phường Đô Vinh</v>
          </cell>
          <cell r="I8853" t="str">
            <v>70501</v>
          </cell>
        </row>
        <row r="8854">
          <cell r="G8854" t="str">
            <v xml:space="preserve">Phường Phước Mỹ </v>
          </cell>
          <cell r="I8854" t="str">
            <v>70501</v>
          </cell>
        </row>
        <row r="8855">
          <cell r="G8855" t="str">
            <v>Phường Phủ Hà</v>
          </cell>
          <cell r="I8855" t="str">
            <v>70501</v>
          </cell>
        </row>
        <row r="8856">
          <cell r="G8856" t="str">
            <v xml:space="preserve">Phường Thanh Sơn </v>
          </cell>
          <cell r="I8856" t="str">
            <v>70501</v>
          </cell>
        </row>
        <row r="8857">
          <cell r="G8857" t="str">
            <v>Phường Mỹ Hương</v>
          </cell>
          <cell r="I8857" t="str">
            <v>70501</v>
          </cell>
        </row>
        <row r="8858">
          <cell r="G8858" t="str">
            <v>Phường Kinh Dinh</v>
          </cell>
          <cell r="I8858" t="str">
            <v>70501</v>
          </cell>
        </row>
        <row r="8859">
          <cell r="G8859" t="str">
            <v>Phường Đạo Long</v>
          </cell>
          <cell r="I8859" t="str">
            <v>70501</v>
          </cell>
        </row>
        <row r="8860">
          <cell r="G8860" t="str">
            <v>Phường Đài Sơn</v>
          </cell>
          <cell r="I8860" t="str">
            <v>70501</v>
          </cell>
        </row>
        <row r="8861">
          <cell r="G8861" t="str">
            <v>Phường Mỹ Đông</v>
          </cell>
          <cell r="I8861" t="str">
            <v>70501</v>
          </cell>
        </row>
        <row r="8862">
          <cell r="G8862" t="str">
            <v>Phường Văn Hải</v>
          </cell>
          <cell r="I8862" t="str">
            <v>70501</v>
          </cell>
        </row>
        <row r="8863">
          <cell r="G8863" t="str">
            <v>Phường Mỹ Hải</v>
          </cell>
          <cell r="I8863" t="str">
            <v>70501</v>
          </cell>
        </row>
        <row r="8864">
          <cell r="G8864" t="str">
            <v>Phường Mỹ Bình</v>
          </cell>
          <cell r="I8864" t="str">
            <v>70501</v>
          </cell>
        </row>
        <row r="8865">
          <cell r="G8865" t="str">
            <v xml:space="preserve">Xã Hòa Sơn      </v>
          </cell>
          <cell r="I8865" t="str">
            <v>70503</v>
          </cell>
        </row>
        <row r="8866">
          <cell r="G8866" t="str">
            <v>Thị trấn Tân Sơn</v>
          </cell>
          <cell r="I8866" t="str">
            <v>70503</v>
          </cell>
        </row>
        <row r="8867">
          <cell r="G8867" t="str">
            <v xml:space="preserve">Xã Lâm Sơn  </v>
          </cell>
          <cell r="I8867" t="str">
            <v>70503</v>
          </cell>
        </row>
        <row r="8868">
          <cell r="G8868" t="str">
            <v xml:space="preserve">Xã Lương Sơn    </v>
          </cell>
          <cell r="I8868" t="str">
            <v>70503</v>
          </cell>
        </row>
        <row r="8869">
          <cell r="G8869" t="str">
            <v xml:space="preserve">Xã Quảng Sơn   </v>
          </cell>
          <cell r="I8869" t="str">
            <v>70503</v>
          </cell>
        </row>
        <row r="8870">
          <cell r="G8870" t="str">
            <v xml:space="preserve">Xã Mỹ Sơn </v>
          </cell>
          <cell r="I8870" t="str">
            <v>70503</v>
          </cell>
        </row>
        <row r="8871">
          <cell r="G8871" t="str">
            <v>Xã Ma Nới</v>
          </cell>
          <cell r="I8871" t="str">
            <v>70503</v>
          </cell>
        </row>
        <row r="8872">
          <cell r="G8872" t="str">
            <v>Xã Nhơn Sơn</v>
          </cell>
          <cell r="I8872" t="str">
            <v>70503</v>
          </cell>
        </row>
        <row r="8873">
          <cell r="G8873" t="str">
            <v>Xã Tân Hải</v>
          </cell>
          <cell r="I8873" t="str">
            <v>70505</v>
          </cell>
        </row>
        <row r="8874">
          <cell r="G8874" t="str">
            <v>Xã Hộ Hải</v>
          </cell>
          <cell r="I8874" t="str">
            <v>70505</v>
          </cell>
        </row>
        <row r="8875">
          <cell r="G8875" t="str">
            <v>Thị trấn Khánh Hải</v>
          </cell>
          <cell r="I8875" t="str">
            <v>70505</v>
          </cell>
        </row>
        <row r="8876">
          <cell r="G8876" t="str">
            <v>Xã Vĩnh Hải</v>
          </cell>
          <cell r="I8876" t="str">
            <v>70505</v>
          </cell>
        </row>
        <row r="8877">
          <cell r="G8877" t="str">
            <v>Xã Phương Hải</v>
          </cell>
          <cell r="I8877" t="str">
            <v>70505</v>
          </cell>
        </row>
        <row r="8878">
          <cell r="G8878" t="str">
            <v xml:space="preserve">Xã Xuân Hải  </v>
          </cell>
          <cell r="I8878" t="str">
            <v>70505</v>
          </cell>
        </row>
        <row r="8879">
          <cell r="G8879" t="str">
            <v>Xã Tri Hải</v>
          </cell>
          <cell r="I8879" t="str">
            <v>70505</v>
          </cell>
        </row>
        <row r="8880">
          <cell r="G8880" t="str">
            <v xml:space="preserve">Xã Nhơn Hải </v>
          </cell>
          <cell r="I8880" t="str">
            <v>70505</v>
          </cell>
        </row>
        <row r="8881">
          <cell r="G8881" t="str">
            <v xml:space="preserve">Xã Thanh Hải   </v>
          </cell>
          <cell r="I8881" t="str">
            <v>70505</v>
          </cell>
        </row>
        <row r="8882">
          <cell r="G8882" t="str">
            <v xml:space="preserve">Xã An Hải  </v>
          </cell>
          <cell r="I8882" t="str">
            <v>70507</v>
          </cell>
        </row>
        <row r="8883">
          <cell r="G8883" t="str">
            <v>Xã Phước Vinh</v>
          </cell>
          <cell r="I8883" t="str">
            <v>70507</v>
          </cell>
        </row>
        <row r="8884">
          <cell r="G8884" t="str">
            <v xml:space="preserve">Xã Phước Thuận </v>
          </cell>
          <cell r="I8884" t="str">
            <v>70507</v>
          </cell>
        </row>
        <row r="8885">
          <cell r="G8885" t="str">
            <v>Xã Phước Hải</v>
          </cell>
          <cell r="I8885" t="str">
            <v>70507</v>
          </cell>
        </row>
        <row r="8886">
          <cell r="G8886" t="str">
            <v>Xã Phước Minh</v>
          </cell>
          <cell r="I8886" t="str">
            <v>70507</v>
          </cell>
        </row>
        <row r="8887">
          <cell r="G8887" t="str">
            <v>Thị trấn Phước Dân</v>
          </cell>
          <cell r="I8887" t="str">
            <v>70507</v>
          </cell>
        </row>
        <row r="8888">
          <cell r="G8888" t="str">
            <v xml:space="preserve">Xã Phước Sơn </v>
          </cell>
          <cell r="I8888" t="str">
            <v>70507</v>
          </cell>
        </row>
        <row r="8889">
          <cell r="G8889" t="str">
            <v>Xã Phước Thái</v>
          </cell>
          <cell r="I8889" t="str">
            <v>70507</v>
          </cell>
        </row>
        <row r="8890">
          <cell r="G8890" t="str">
            <v>Xã Phước Hậu</v>
          </cell>
          <cell r="I8890" t="str">
            <v>70507</v>
          </cell>
        </row>
        <row r="8891">
          <cell r="G8891" t="str">
            <v>Xã Phước Hà</v>
          </cell>
          <cell r="I8891" t="str">
            <v>70507</v>
          </cell>
        </row>
        <row r="8892">
          <cell r="G8892" t="str">
            <v>Xã Phước Hữu</v>
          </cell>
          <cell r="I8892" t="str">
            <v>70507</v>
          </cell>
        </row>
        <row r="8893">
          <cell r="G8893" t="str">
            <v>Xã Phước Nam</v>
          </cell>
          <cell r="I8893" t="str">
            <v>70507</v>
          </cell>
        </row>
        <row r="8894">
          <cell r="G8894" t="str">
            <v>Xã Nhị Hà</v>
          </cell>
          <cell r="I8894" t="str">
            <v>70507</v>
          </cell>
        </row>
        <row r="8895">
          <cell r="G8895" t="str">
            <v>Xã Phước Dinh</v>
          </cell>
          <cell r="I8895" t="str">
            <v>70507</v>
          </cell>
        </row>
        <row r="8896">
          <cell r="G8896" t="str">
            <v>Xã Phước Diêm</v>
          </cell>
          <cell r="I8896" t="str">
            <v>70507</v>
          </cell>
        </row>
        <row r="8897">
          <cell r="G8897" t="str">
            <v>Xã Phước Bình</v>
          </cell>
          <cell r="I8897" t="str">
            <v>70509</v>
          </cell>
        </row>
        <row r="8898">
          <cell r="G8898" t="str">
            <v xml:space="preserve">Xã Phước Thắng </v>
          </cell>
          <cell r="I8898" t="str">
            <v>70509</v>
          </cell>
        </row>
        <row r="8899">
          <cell r="G8899" t="str">
            <v>Xã Phước Trung</v>
          </cell>
          <cell r="I8899" t="str">
            <v>70509</v>
          </cell>
        </row>
        <row r="8900">
          <cell r="G8900" t="str">
            <v xml:space="preserve">Xã Phước Hòa  </v>
          </cell>
          <cell r="I8900" t="str">
            <v>70509</v>
          </cell>
        </row>
        <row r="8901">
          <cell r="G8901" t="str">
            <v xml:space="preserve">Xã Phước Tân </v>
          </cell>
          <cell r="I8901" t="str">
            <v>70509</v>
          </cell>
        </row>
        <row r="8902">
          <cell r="G8902" t="str">
            <v>Xã Phước Tiến</v>
          </cell>
          <cell r="I8902" t="str">
            <v>70509</v>
          </cell>
        </row>
        <row r="8903">
          <cell r="G8903" t="str">
            <v xml:space="preserve">Xã Phước Thành  </v>
          </cell>
          <cell r="I8903" t="str">
            <v>70509</v>
          </cell>
        </row>
        <row r="8904">
          <cell r="G8904" t="str">
            <v>Xã Phước Đại</v>
          </cell>
          <cell r="I8904" t="str">
            <v>70509</v>
          </cell>
        </row>
        <row r="8905">
          <cell r="G8905" t="str">
            <v>Xã Phước Chính</v>
          </cell>
          <cell r="I8905" t="str">
            <v>70509</v>
          </cell>
        </row>
        <row r="8906">
          <cell r="G8906" t="str">
            <v>Xã Lợi Hải</v>
          </cell>
          <cell r="I8906" t="str">
            <v>70511</v>
          </cell>
        </row>
        <row r="8907">
          <cell r="G8907" t="str">
            <v>Xã Công Hải</v>
          </cell>
          <cell r="I8907" t="str">
            <v>70511</v>
          </cell>
        </row>
        <row r="8908">
          <cell r="G8908" t="str">
            <v>Xã Phước Chiến</v>
          </cell>
          <cell r="I8908" t="str">
            <v>70511</v>
          </cell>
        </row>
        <row r="8909">
          <cell r="G8909" t="str">
            <v>Xã Phước Kháng</v>
          </cell>
          <cell r="I8909" t="str">
            <v>70511</v>
          </cell>
        </row>
        <row r="8910">
          <cell r="G8910" t="str">
            <v xml:space="preserve">Xã Bắc Sơn            </v>
          </cell>
          <cell r="I8910" t="str">
            <v>70511</v>
          </cell>
        </row>
        <row r="8911">
          <cell r="G8911" t="str">
            <v xml:space="preserve">Xã Bắc Phong  </v>
          </cell>
          <cell r="I8911" t="str">
            <v>70511</v>
          </cell>
        </row>
        <row r="8912">
          <cell r="G8912" t="str">
            <v>Xã Cà Ná</v>
          </cell>
          <cell r="I8912" t="str">
            <v>70513</v>
          </cell>
        </row>
        <row r="8913">
          <cell r="G8913" t="str">
            <v xml:space="preserve">Xã Phước Diêm </v>
          </cell>
          <cell r="I8913" t="str">
            <v>70513</v>
          </cell>
        </row>
        <row r="8914">
          <cell r="G8914" t="str">
            <v xml:space="preserve">Xã Phước Ninh </v>
          </cell>
          <cell r="I8914" t="str">
            <v>70513</v>
          </cell>
        </row>
        <row r="8915">
          <cell r="G8915" t="str">
            <v xml:space="preserve">Xã Phước Nam </v>
          </cell>
          <cell r="I8915" t="str">
            <v>70513</v>
          </cell>
        </row>
        <row r="8916">
          <cell r="G8916" t="str">
            <v xml:space="preserve">Xã Phước Minh </v>
          </cell>
          <cell r="I8916" t="str">
            <v>70513</v>
          </cell>
        </row>
        <row r="8917">
          <cell r="G8917" t="str">
            <v xml:space="preserve">Xã Phước Dinh </v>
          </cell>
          <cell r="I8917" t="str">
            <v>70513</v>
          </cell>
        </row>
        <row r="8918">
          <cell r="G8918" t="str">
            <v xml:space="preserve">Xã Nhị Hà </v>
          </cell>
          <cell r="I8918" t="str">
            <v>70513</v>
          </cell>
        </row>
        <row r="8919">
          <cell r="G8919" t="str">
            <v xml:space="preserve">Xã Phước Hà </v>
          </cell>
          <cell r="I8919" t="str">
            <v>70513</v>
          </cell>
        </row>
        <row r="8920">
          <cell r="G8920" t="str">
            <v>Xã Tân Phước</v>
          </cell>
          <cell r="I8920" t="str">
            <v>70701</v>
          </cell>
        </row>
        <row r="8921">
          <cell r="G8921" t="str">
            <v xml:space="preserve">Xã Đồng Tâm      </v>
          </cell>
          <cell r="I8921" t="str">
            <v>70701</v>
          </cell>
        </row>
        <row r="8922">
          <cell r="G8922" t="str">
            <v xml:space="preserve">Xã Tân Lập                  </v>
          </cell>
          <cell r="I8922" t="str">
            <v>70701</v>
          </cell>
        </row>
        <row r="8923">
          <cell r="G8923" t="str">
            <v xml:space="preserve">Xã Tân Tiến             </v>
          </cell>
          <cell r="I8923" t="str">
            <v>70701</v>
          </cell>
        </row>
        <row r="8924">
          <cell r="G8924" t="str">
            <v>Thị trấn Tân Phú</v>
          </cell>
          <cell r="I8924" t="str">
            <v>70701</v>
          </cell>
        </row>
        <row r="8925">
          <cell r="G8925" t="str">
            <v>Xã Thuận Lợi</v>
          </cell>
          <cell r="I8925" t="str">
            <v>70701</v>
          </cell>
        </row>
        <row r="8926">
          <cell r="G8926" t="str">
            <v xml:space="preserve">Xã Tân Hưng      </v>
          </cell>
          <cell r="I8926" t="str">
            <v>70701</v>
          </cell>
        </row>
        <row r="8927">
          <cell r="G8927" t="str">
            <v xml:space="preserve">Xã Tân lợi </v>
          </cell>
          <cell r="I8927" t="str">
            <v>70701</v>
          </cell>
        </row>
        <row r="8928">
          <cell r="G8928" t="str">
            <v xml:space="preserve">Xã Tân Hòa      </v>
          </cell>
          <cell r="I8928" t="str">
            <v>70701</v>
          </cell>
        </row>
        <row r="8929">
          <cell r="G8929" t="str">
            <v>Xã Thuận Phú</v>
          </cell>
          <cell r="I8929" t="str">
            <v>70701</v>
          </cell>
        </row>
        <row r="8930">
          <cell r="G8930" t="str">
            <v xml:space="preserve">Xã Đồng Tiến         </v>
          </cell>
          <cell r="I8930" t="str">
            <v>70701</v>
          </cell>
        </row>
        <row r="8931">
          <cell r="G8931" t="str">
            <v xml:space="preserve">Phường Phước Bình </v>
          </cell>
          <cell r="I8931" t="str">
            <v>70703</v>
          </cell>
        </row>
        <row r="8932">
          <cell r="G8932" t="str">
            <v>Phường Thác Mơ</v>
          </cell>
          <cell r="I8932" t="str">
            <v>70703</v>
          </cell>
        </row>
        <row r="8933">
          <cell r="G8933" t="str">
            <v>Phường Sơn Giang</v>
          </cell>
          <cell r="I8933" t="str">
            <v>70703</v>
          </cell>
        </row>
        <row r="8934">
          <cell r="G8934" t="str">
            <v>Xã Phước Tín</v>
          </cell>
          <cell r="I8934" t="str">
            <v>70703</v>
          </cell>
        </row>
        <row r="8935">
          <cell r="G8935" t="str">
            <v>Phường Long Thuỷ</v>
          </cell>
          <cell r="I8935" t="str">
            <v>70703</v>
          </cell>
        </row>
        <row r="8936">
          <cell r="G8936" t="str">
            <v xml:space="preserve">Phường Long Phước </v>
          </cell>
          <cell r="I8936" t="str">
            <v>70703</v>
          </cell>
        </row>
        <row r="8937">
          <cell r="G8937" t="str">
            <v>Xã Long Giang</v>
          </cell>
          <cell r="I8937" t="str">
            <v>70703</v>
          </cell>
        </row>
        <row r="8938">
          <cell r="G8938" t="str">
            <v xml:space="preserve">Xã Lộc Điền </v>
          </cell>
          <cell r="I8938" t="str">
            <v>70705</v>
          </cell>
        </row>
        <row r="8939">
          <cell r="G8939" t="str">
            <v>Xã Lộc Tấn</v>
          </cell>
          <cell r="I8939" t="str">
            <v>70705</v>
          </cell>
        </row>
        <row r="8940">
          <cell r="G8940" t="str">
            <v>Xã Lộc Hiệp</v>
          </cell>
          <cell r="I8940" t="str">
            <v>70705</v>
          </cell>
        </row>
        <row r="8941">
          <cell r="G8941" t="str">
            <v>Xã Lộc Thiện</v>
          </cell>
          <cell r="I8941" t="str">
            <v>70705</v>
          </cell>
        </row>
        <row r="8942">
          <cell r="G8942" t="str">
            <v>Xã Lộc Thuận</v>
          </cell>
          <cell r="I8942" t="str">
            <v>70705</v>
          </cell>
        </row>
        <row r="8943">
          <cell r="G8943" t="str">
            <v>Xã Lộc Quang</v>
          </cell>
          <cell r="I8943" t="str">
            <v>70705</v>
          </cell>
        </row>
        <row r="8944">
          <cell r="G8944" t="str">
            <v xml:space="preserve">Xã Lộc Thành </v>
          </cell>
          <cell r="I8944" t="str">
            <v>70705</v>
          </cell>
        </row>
        <row r="8945">
          <cell r="G8945" t="str">
            <v>Xã Lộc Thái</v>
          </cell>
          <cell r="I8945" t="str">
            <v>70705</v>
          </cell>
        </row>
        <row r="8946">
          <cell r="G8946" t="str">
            <v>Xã Lộc Hưng</v>
          </cell>
          <cell r="I8946" t="str">
            <v>70705</v>
          </cell>
        </row>
        <row r="8947">
          <cell r="G8947" t="str">
            <v>Xã Lộc Khánh</v>
          </cell>
          <cell r="I8947" t="str">
            <v>70705</v>
          </cell>
        </row>
        <row r="8948">
          <cell r="G8948" t="str">
            <v>Thị trấn Lộc Ninh</v>
          </cell>
          <cell r="I8948" t="str">
            <v>70705</v>
          </cell>
        </row>
        <row r="8949">
          <cell r="G8949" t="str">
            <v xml:space="preserve">Xã Lộc Hòa  </v>
          </cell>
          <cell r="I8949" t="str">
            <v>70705</v>
          </cell>
        </row>
        <row r="8950">
          <cell r="G8950" t="str">
            <v xml:space="preserve">Xã Lộc An   </v>
          </cell>
          <cell r="I8950" t="str">
            <v>70705</v>
          </cell>
        </row>
        <row r="8951">
          <cell r="G8951" t="str">
            <v xml:space="preserve">Xã Lộc Thịnh </v>
          </cell>
          <cell r="I8951" t="str">
            <v>70705</v>
          </cell>
        </row>
        <row r="8952">
          <cell r="G8952" t="str">
            <v>Xã Lộc Thạnh</v>
          </cell>
          <cell r="I8952" t="str">
            <v>70705</v>
          </cell>
        </row>
        <row r="8953">
          <cell r="G8953" t="str">
            <v xml:space="preserve">Xã Lộc Phú </v>
          </cell>
          <cell r="I8953" t="str">
            <v>70705</v>
          </cell>
        </row>
        <row r="8954">
          <cell r="G8954" t="str">
            <v>Xã Hưng Phước</v>
          </cell>
          <cell r="I8954" t="str">
            <v>70706</v>
          </cell>
        </row>
        <row r="8955">
          <cell r="G8955" t="str">
            <v xml:space="preserve">Xã Tân Tiến              </v>
          </cell>
          <cell r="I8955" t="str">
            <v>70706</v>
          </cell>
        </row>
        <row r="8956">
          <cell r="G8956" t="str">
            <v>Xã Thiện Hưng</v>
          </cell>
          <cell r="I8956" t="str">
            <v>70706</v>
          </cell>
        </row>
        <row r="8957">
          <cell r="G8957" t="str">
            <v xml:space="preserve">Xã Thanh Hòa  </v>
          </cell>
          <cell r="I8957" t="str">
            <v>70706</v>
          </cell>
        </row>
        <row r="8958">
          <cell r="G8958" t="str">
            <v xml:space="preserve">Xã Tân Thành              </v>
          </cell>
          <cell r="I8958" t="str">
            <v>70706</v>
          </cell>
        </row>
        <row r="8959">
          <cell r="G8959" t="str">
            <v>Xã Phước Thiện</v>
          </cell>
          <cell r="I8959" t="str">
            <v>70706</v>
          </cell>
        </row>
        <row r="8960">
          <cell r="G8960" t="str">
            <v>TT Thanh Bình</v>
          </cell>
          <cell r="I8960" t="str">
            <v>70706</v>
          </cell>
        </row>
        <row r="8961">
          <cell r="G8961" t="str">
            <v xml:space="preserve">Xã Minh Hưng </v>
          </cell>
          <cell r="I8961" t="str">
            <v>70707</v>
          </cell>
        </row>
        <row r="8962">
          <cell r="G8962" t="str">
            <v>Xã Bom Bo</v>
          </cell>
          <cell r="I8962" t="str">
            <v>70707</v>
          </cell>
        </row>
        <row r="8963">
          <cell r="G8963" t="str">
            <v>Xã Đồng Nai</v>
          </cell>
          <cell r="I8963" t="str">
            <v>70707</v>
          </cell>
        </row>
        <row r="8964">
          <cell r="G8964" t="str">
            <v>Xã Đăng Hà</v>
          </cell>
          <cell r="I8964" t="str">
            <v>70707</v>
          </cell>
        </row>
        <row r="8965">
          <cell r="G8965" t="str">
            <v>Thị trấn Đức Phong</v>
          </cell>
          <cell r="I8965" t="str">
            <v>70707</v>
          </cell>
        </row>
        <row r="8966">
          <cell r="G8966" t="str">
            <v>Xã Đắk Nhau</v>
          </cell>
          <cell r="I8966" t="str">
            <v>70707</v>
          </cell>
        </row>
        <row r="8967">
          <cell r="G8967" t="str">
            <v>Xã Đường 10</v>
          </cell>
          <cell r="I8967" t="str">
            <v>70707</v>
          </cell>
        </row>
        <row r="8968">
          <cell r="G8968" t="str">
            <v xml:space="preserve">Xã Thọ Sơn  </v>
          </cell>
          <cell r="I8968" t="str">
            <v>70707</v>
          </cell>
        </row>
        <row r="8969">
          <cell r="G8969" t="str">
            <v xml:space="preserve">Xã Đoàn Kết       </v>
          </cell>
          <cell r="I8969" t="str">
            <v>70707</v>
          </cell>
        </row>
        <row r="8970">
          <cell r="G8970" t="str">
            <v>Xã Đức Liễu</v>
          </cell>
          <cell r="I8970" t="str">
            <v>70707</v>
          </cell>
        </row>
        <row r="8971">
          <cell r="G8971" t="str">
            <v xml:space="preserve">Xã Thống Nhất     </v>
          </cell>
          <cell r="I8971" t="str">
            <v>70707</v>
          </cell>
        </row>
        <row r="8972">
          <cell r="G8972" t="str">
            <v xml:space="preserve">Xã Nghĩa Trung    </v>
          </cell>
          <cell r="I8972" t="str">
            <v>70707</v>
          </cell>
        </row>
        <row r="8973">
          <cell r="G8973" t="str">
            <v xml:space="preserve">Xã Phước Sơn  </v>
          </cell>
          <cell r="I8973" t="str">
            <v>70707</v>
          </cell>
        </row>
        <row r="8974">
          <cell r="G8974" t="str">
            <v xml:space="preserve">Xã Phú Sơn       </v>
          </cell>
          <cell r="I8974" t="str">
            <v>70707</v>
          </cell>
        </row>
        <row r="8975">
          <cell r="G8975" t="str">
            <v xml:space="preserve">Xã Bình Minh        </v>
          </cell>
          <cell r="I8975" t="str">
            <v>70707</v>
          </cell>
        </row>
        <row r="8976">
          <cell r="G8976" t="str">
            <v xml:space="preserve">Xã Nghĩa Bình   </v>
          </cell>
          <cell r="I8976" t="str">
            <v>70707</v>
          </cell>
        </row>
        <row r="8977">
          <cell r="G8977" t="str">
            <v xml:space="preserve">Xã Thanh Phú </v>
          </cell>
          <cell r="I8977" t="str">
            <v>70709</v>
          </cell>
        </row>
        <row r="8978">
          <cell r="G8978" t="str">
            <v xml:space="preserve">Xã Thanh Lương    </v>
          </cell>
          <cell r="I8978" t="str">
            <v>70709</v>
          </cell>
        </row>
        <row r="8979">
          <cell r="G8979" t="str">
            <v>Phường An Lộc</v>
          </cell>
          <cell r="I8979" t="str">
            <v>70709</v>
          </cell>
        </row>
        <row r="8980">
          <cell r="G8980" t="str">
            <v>Phường Hưng Chiến</v>
          </cell>
          <cell r="I8980" t="str">
            <v>70709</v>
          </cell>
        </row>
        <row r="8981">
          <cell r="G8981" t="str">
            <v xml:space="preserve">Phường Phú Thịnh </v>
          </cell>
          <cell r="I8981" t="str">
            <v>70709</v>
          </cell>
        </row>
        <row r="8982">
          <cell r="G8982" t="str">
            <v>Phường Phú Đức</v>
          </cell>
          <cell r="I8982" t="str">
            <v>70709</v>
          </cell>
        </row>
        <row r="8983">
          <cell r="G8983" t="str">
            <v xml:space="preserve">Xã Minh Long </v>
          </cell>
          <cell r="I8983" t="str">
            <v>70710</v>
          </cell>
        </row>
        <row r="8984">
          <cell r="G8984" t="str">
            <v xml:space="preserve">Xã Quang Minh      </v>
          </cell>
          <cell r="I8984" t="str">
            <v>70710</v>
          </cell>
        </row>
        <row r="8985">
          <cell r="G8985" t="str">
            <v>Xã Nha Bích</v>
          </cell>
          <cell r="I8985" t="str">
            <v>70710</v>
          </cell>
        </row>
        <row r="8986">
          <cell r="G8986" t="str">
            <v>Thị trấn Chơn Thành</v>
          </cell>
          <cell r="I8986" t="str">
            <v>70710</v>
          </cell>
        </row>
        <row r="8987">
          <cell r="G8987" t="str">
            <v xml:space="preserve">Xã Minh Lập </v>
          </cell>
          <cell r="I8987" t="str">
            <v>70710</v>
          </cell>
        </row>
        <row r="8988">
          <cell r="G8988" t="str">
            <v xml:space="preserve">Xã Minh Hưng  </v>
          </cell>
          <cell r="I8988" t="str">
            <v>70710</v>
          </cell>
        </row>
        <row r="8989">
          <cell r="G8989" t="str">
            <v xml:space="preserve">Xã Minh Thành </v>
          </cell>
          <cell r="I8989" t="str">
            <v>70710</v>
          </cell>
        </row>
        <row r="8990">
          <cell r="G8990" t="str">
            <v>Xã Minh Thắng</v>
          </cell>
          <cell r="I8990" t="str">
            <v>70710</v>
          </cell>
        </row>
        <row r="8991">
          <cell r="G8991" t="str">
            <v xml:space="preserve">Xã Thành Tâm </v>
          </cell>
          <cell r="I8991" t="str">
            <v>70710</v>
          </cell>
        </row>
        <row r="8992">
          <cell r="G8992" t="str">
            <v xml:space="preserve">Phường Tân Phú  </v>
          </cell>
          <cell r="I8992" t="str">
            <v>70711</v>
          </cell>
        </row>
        <row r="8993">
          <cell r="G8993" t="str">
            <v xml:space="preserve">Xã Tân Thành               </v>
          </cell>
          <cell r="I8993" t="str">
            <v>70711</v>
          </cell>
        </row>
        <row r="8994">
          <cell r="G8994" t="str">
            <v>Phường Tân Đồng</v>
          </cell>
          <cell r="I8994" t="str">
            <v>70711</v>
          </cell>
        </row>
        <row r="8995">
          <cell r="G8995" t="str">
            <v xml:space="preserve">Phường Tân Bình  </v>
          </cell>
          <cell r="I8995" t="str">
            <v>70711</v>
          </cell>
        </row>
        <row r="8996">
          <cell r="G8996" t="str">
            <v>Phường Tân Xuân</v>
          </cell>
          <cell r="I8996" t="str">
            <v>70711</v>
          </cell>
        </row>
        <row r="8997">
          <cell r="G8997" t="str">
            <v xml:space="preserve">Xã Tiến Thành </v>
          </cell>
          <cell r="I8997" t="str">
            <v>70711</v>
          </cell>
        </row>
        <row r="8998">
          <cell r="G8998" t="str">
            <v>Xã Tiến Hưng</v>
          </cell>
          <cell r="I8998" t="str">
            <v>70711</v>
          </cell>
        </row>
        <row r="8999">
          <cell r="G8999" t="str">
            <v>Phường Tân Thiện</v>
          </cell>
          <cell r="I8999" t="str">
            <v>70711</v>
          </cell>
        </row>
        <row r="9000">
          <cell r="G9000" t="str">
            <v xml:space="preserve">Xã Tân Hưng       </v>
          </cell>
          <cell r="I9000" t="str">
            <v>70713</v>
          </cell>
        </row>
        <row r="9001">
          <cell r="G9001" t="str">
            <v>Xã Tân Khai</v>
          </cell>
          <cell r="I9001" t="str">
            <v>70713</v>
          </cell>
        </row>
        <row r="9002">
          <cell r="G9002" t="str">
            <v xml:space="preserve">Xã Thanh An    </v>
          </cell>
          <cell r="I9002" t="str">
            <v>70713</v>
          </cell>
        </row>
        <row r="9003">
          <cell r="G9003" t="str">
            <v>Xã An Khương</v>
          </cell>
          <cell r="I9003" t="str">
            <v>70713</v>
          </cell>
        </row>
        <row r="9004">
          <cell r="G9004" t="str">
            <v xml:space="preserve">Xã An Phú     </v>
          </cell>
          <cell r="I9004" t="str">
            <v>70713</v>
          </cell>
        </row>
        <row r="9005">
          <cell r="G9005" t="str">
            <v xml:space="preserve">Xã Tân Lợi  </v>
          </cell>
          <cell r="I9005" t="str">
            <v>70713</v>
          </cell>
        </row>
        <row r="9006">
          <cell r="G9006" t="str">
            <v xml:space="preserve">Xã Minh Đức     </v>
          </cell>
          <cell r="I9006" t="str">
            <v>70713</v>
          </cell>
        </row>
        <row r="9007">
          <cell r="G9007" t="str">
            <v xml:space="preserve">Xã Phước An </v>
          </cell>
          <cell r="I9007" t="str">
            <v>70713</v>
          </cell>
        </row>
        <row r="9008">
          <cell r="G9008" t="str">
            <v xml:space="preserve">Xã Thanh Bình    </v>
          </cell>
          <cell r="I9008" t="str">
            <v>70713</v>
          </cell>
        </row>
        <row r="9009">
          <cell r="G9009" t="str">
            <v>Xã Đồng Nơ</v>
          </cell>
          <cell r="I9009" t="str">
            <v>70713</v>
          </cell>
        </row>
        <row r="9010">
          <cell r="G9010" t="str">
            <v xml:space="preserve">Xã Minh Tâm </v>
          </cell>
          <cell r="I9010" t="str">
            <v>70713</v>
          </cell>
        </row>
        <row r="9011">
          <cell r="G9011" t="str">
            <v xml:space="preserve">Xã Tân Hiệp   </v>
          </cell>
          <cell r="I9011" t="str">
            <v>70713</v>
          </cell>
        </row>
        <row r="9012">
          <cell r="G9012" t="str">
            <v>Xã Tân Quan</v>
          </cell>
          <cell r="I9012" t="str">
            <v>70713</v>
          </cell>
        </row>
        <row r="9013">
          <cell r="G9013" t="str">
            <v>Xã Đăk Ơ</v>
          </cell>
          <cell r="I9013" t="str">
            <v>70715</v>
          </cell>
        </row>
        <row r="9014">
          <cell r="G9014" t="str">
            <v>Xã Bình Thắng</v>
          </cell>
          <cell r="I9014" t="str">
            <v>70715</v>
          </cell>
        </row>
        <row r="9015">
          <cell r="G9015" t="str">
            <v>Xã Bù Gia Mập</v>
          </cell>
          <cell r="I9015" t="str">
            <v>70715</v>
          </cell>
        </row>
        <row r="9016">
          <cell r="G9016" t="str">
            <v xml:space="preserve">Xã Đức Hạnh </v>
          </cell>
          <cell r="I9016" t="str">
            <v>70715</v>
          </cell>
        </row>
        <row r="9017">
          <cell r="G9017" t="str">
            <v>Xã Đa Kia</v>
          </cell>
          <cell r="I9017" t="str">
            <v>70715</v>
          </cell>
        </row>
        <row r="9018">
          <cell r="G9018" t="str">
            <v xml:space="preserve">Xã Phú Nghĩa </v>
          </cell>
          <cell r="I9018" t="str">
            <v>70715</v>
          </cell>
        </row>
        <row r="9019">
          <cell r="G9019" t="str">
            <v xml:space="preserve">Xã Phước Minh  </v>
          </cell>
          <cell r="I9019" t="str">
            <v>70715</v>
          </cell>
        </row>
        <row r="9020">
          <cell r="G9020" t="str">
            <v>Xã Phú Văn</v>
          </cell>
          <cell r="I9020" t="str">
            <v>70715</v>
          </cell>
        </row>
        <row r="9021">
          <cell r="G9021" t="str">
            <v xml:space="preserve">Xã Bình Tân  </v>
          </cell>
          <cell r="I9021" t="str">
            <v>70716</v>
          </cell>
        </row>
        <row r="9022">
          <cell r="G9022" t="str">
            <v xml:space="preserve">Xã Bình Sơn      </v>
          </cell>
          <cell r="I9022" t="str">
            <v>70716</v>
          </cell>
        </row>
        <row r="9023">
          <cell r="G9023" t="str">
            <v>Xã Bù Nho</v>
          </cell>
          <cell r="I9023" t="str">
            <v>70716</v>
          </cell>
        </row>
        <row r="9024">
          <cell r="G9024" t="str">
            <v>Xã Long Bình</v>
          </cell>
          <cell r="I9024" t="str">
            <v>70716</v>
          </cell>
        </row>
        <row r="9025">
          <cell r="G9025" t="str">
            <v>Xã Long Hà</v>
          </cell>
          <cell r="I9025" t="str">
            <v>70716</v>
          </cell>
        </row>
        <row r="9026">
          <cell r="G9026" t="str">
            <v xml:space="preserve">Xã Long Hưng </v>
          </cell>
          <cell r="I9026" t="str">
            <v>70716</v>
          </cell>
        </row>
        <row r="9027">
          <cell r="G9027" t="str">
            <v>Xã Long Tân</v>
          </cell>
          <cell r="I9027" t="str">
            <v>70716</v>
          </cell>
        </row>
        <row r="9028">
          <cell r="G9028" t="str">
            <v xml:space="preserve">Xã Phước Tân  </v>
          </cell>
          <cell r="I9028" t="str">
            <v>70716</v>
          </cell>
        </row>
        <row r="9029">
          <cell r="G9029" t="str">
            <v>Xã Phú Trung</v>
          </cell>
          <cell r="I9029" t="str">
            <v>70716</v>
          </cell>
        </row>
        <row r="9030">
          <cell r="G9030" t="str">
            <v>Xã Phú Riềng</v>
          </cell>
          <cell r="I9030" t="str">
            <v>70716</v>
          </cell>
        </row>
        <row r="9031">
          <cell r="G9031" t="str">
            <v xml:space="preserve">Phường 3         </v>
          </cell>
          <cell r="I9031" t="str">
            <v>70901</v>
          </cell>
        </row>
        <row r="9032">
          <cell r="G9032" t="str">
            <v>Xã Thạnh Tân</v>
          </cell>
          <cell r="I9032" t="str">
            <v>70901</v>
          </cell>
        </row>
        <row r="9033">
          <cell r="G9033" t="str">
            <v>Phường Ninh Thạnh</v>
          </cell>
          <cell r="I9033" t="str">
            <v>70901</v>
          </cell>
        </row>
        <row r="9034">
          <cell r="G9034" t="str">
            <v xml:space="preserve">Phường 1          </v>
          </cell>
          <cell r="I9034" t="str">
            <v>70901</v>
          </cell>
        </row>
        <row r="9035">
          <cell r="G9035" t="str">
            <v xml:space="preserve">Phường 4       </v>
          </cell>
          <cell r="I9035" t="str">
            <v>70901</v>
          </cell>
        </row>
        <row r="9036">
          <cell r="G9036" t="str">
            <v>Phường Hiệp Ninh</v>
          </cell>
          <cell r="I9036" t="str">
            <v>70901</v>
          </cell>
        </row>
        <row r="9037">
          <cell r="G9037" t="str">
            <v xml:space="preserve">Phường 2         </v>
          </cell>
          <cell r="I9037" t="str">
            <v>70901</v>
          </cell>
        </row>
        <row r="9038">
          <cell r="G9038" t="str">
            <v xml:space="preserve">Xã Tân Bình    </v>
          </cell>
          <cell r="I9038" t="str">
            <v>70901</v>
          </cell>
        </row>
        <row r="9039">
          <cell r="G9039" t="str">
            <v xml:space="preserve">Xã Bình Minh         </v>
          </cell>
          <cell r="I9039" t="str">
            <v>70901</v>
          </cell>
        </row>
        <row r="9040">
          <cell r="G9040" t="str">
            <v xml:space="preserve">Phường Ninh Sơn </v>
          </cell>
          <cell r="I9040" t="str">
            <v>70901</v>
          </cell>
        </row>
        <row r="9041">
          <cell r="G9041" t="str">
            <v>Xã Thạnh Bắc</v>
          </cell>
          <cell r="I9041" t="str">
            <v>70903</v>
          </cell>
        </row>
        <row r="9042">
          <cell r="G9042" t="str">
            <v xml:space="preserve">Xã Tân Bình     </v>
          </cell>
          <cell r="I9042" t="str">
            <v>70903</v>
          </cell>
        </row>
        <row r="9043">
          <cell r="G9043" t="str">
            <v xml:space="preserve">Xã Tân Phong      </v>
          </cell>
          <cell r="I9043" t="str">
            <v>70903</v>
          </cell>
        </row>
        <row r="9044">
          <cell r="G9044" t="str">
            <v>Thị trấn Tân Biên</v>
          </cell>
          <cell r="I9044" t="str">
            <v>70903</v>
          </cell>
        </row>
        <row r="9045">
          <cell r="G9045" t="str">
            <v xml:space="preserve">Xã Tân Lập                   </v>
          </cell>
          <cell r="I9045" t="str">
            <v>70903</v>
          </cell>
        </row>
        <row r="9046">
          <cell r="G9046" t="str">
            <v>Xã Thạnh Bình</v>
          </cell>
          <cell r="I9046" t="str">
            <v>70903</v>
          </cell>
        </row>
        <row r="9047">
          <cell r="G9047" t="str">
            <v>Xã Thạnh Tây</v>
          </cell>
          <cell r="I9047" t="str">
            <v>70903</v>
          </cell>
        </row>
        <row r="9048">
          <cell r="G9048" t="str">
            <v xml:space="preserve">Xã Hòa Hiệp  </v>
          </cell>
          <cell r="I9048" t="str">
            <v>70903</v>
          </cell>
        </row>
        <row r="9049">
          <cell r="G9049" t="str">
            <v>Xã Mỏ Công</v>
          </cell>
          <cell r="I9049" t="str">
            <v>70903</v>
          </cell>
        </row>
        <row r="9050">
          <cell r="G9050" t="str">
            <v>Xã Trà Vong</v>
          </cell>
          <cell r="I9050" t="str">
            <v>70903</v>
          </cell>
        </row>
        <row r="9051">
          <cell r="G9051" t="str">
            <v xml:space="preserve">Xã Tân Hòa       </v>
          </cell>
          <cell r="I9051" t="str">
            <v>70905</v>
          </cell>
        </row>
        <row r="9052">
          <cell r="G9052" t="str">
            <v xml:space="preserve">Xã Tân Hà </v>
          </cell>
          <cell r="I9052" t="str">
            <v>70905</v>
          </cell>
        </row>
        <row r="9053">
          <cell r="G9053" t="str">
            <v>Xã Suối Ngô</v>
          </cell>
          <cell r="I9053" t="str">
            <v>70905</v>
          </cell>
        </row>
        <row r="9054">
          <cell r="G9054" t="str">
            <v>Xã Thạnh Đông</v>
          </cell>
          <cell r="I9054" t="str">
            <v>70905</v>
          </cell>
        </row>
        <row r="9055">
          <cell r="G9055" t="str">
            <v>Thị trấn Tân Châu</v>
          </cell>
          <cell r="I9055" t="str">
            <v>70905</v>
          </cell>
        </row>
        <row r="9056">
          <cell r="G9056" t="str">
            <v>Xã Tân Đông</v>
          </cell>
          <cell r="I9056" t="str">
            <v>70905</v>
          </cell>
        </row>
        <row r="9057">
          <cell r="G9057" t="str">
            <v xml:space="preserve">Xã Tân Hội  </v>
          </cell>
          <cell r="I9057" t="str">
            <v>70905</v>
          </cell>
        </row>
        <row r="9058">
          <cell r="G9058" t="str">
            <v>Xã Suối Dây</v>
          </cell>
          <cell r="I9058" t="str">
            <v>70905</v>
          </cell>
        </row>
        <row r="9059">
          <cell r="G9059" t="str">
            <v xml:space="preserve">Xã Tân Hiệp    </v>
          </cell>
          <cell r="I9059" t="str">
            <v>70905</v>
          </cell>
        </row>
        <row r="9060">
          <cell r="G9060" t="str">
            <v xml:space="preserve">Xã Tân Thành                </v>
          </cell>
          <cell r="I9060" t="str">
            <v>70905</v>
          </cell>
        </row>
        <row r="9061">
          <cell r="G9061" t="str">
            <v xml:space="preserve">Xã Tân Phú    </v>
          </cell>
          <cell r="I9061" t="str">
            <v>70905</v>
          </cell>
        </row>
        <row r="9062">
          <cell r="G9062" t="str">
            <v xml:space="preserve">Xã Tân Hưng        </v>
          </cell>
          <cell r="I9062" t="str">
            <v>70905</v>
          </cell>
        </row>
        <row r="9063">
          <cell r="G9063" t="str">
            <v>Xã Bàu Năng</v>
          </cell>
          <cell r="I9063" t="str">
            <v>70907</v>
          </cell>
        </row>
        <row r="9064">
          <cell r="G9064" t="str">
            <v>Xã Suối Đá</v>
          </cell>
          <cell r="I9064" t="str">
            <v>70907</v>
          </cell>
        </row>
        <row r="9065">
          <cell r="G9065" t="str">
            <v xml:space="preserve">Xã Phước Minh   </v>
          </cell>
          <cell r="I9065" t="str">
            <v>70907</v>
          </cell>
        </row>
        <row r="9066">
          <cell r="G9066" t="str">
            <v>Xã Bến Củi</v>
          </cell>
          <cell r="I9066" t="str">
            <v>70907</v>
          </cell>
        </row>
        <row r="9067">
          <cell r="G9067" t="str">
            <v>TT. Dương Minh Châu</v>
          </cell>
          <cell r="I9067" t="str">
            <v>70907</v>
          </cell>
        </row>
        <row r="9068">
          <cell r="G9068" t="str">
            <v>Xã Phan</v>
          </cell>
          <cell r="I9068" t="str">
            <v>70907</v>
          </cell>
        </row>
        <row r="9069">
          <cell r="G9069" t="str">
            <v xml:space="preserve">Xã Phước Ninh  </v>
          </cell>
          <cell r="I9069" t="str">
            <v>70907</v>
          </cell>
        </row>
        <row r="9070">
          <cell r="G9070" t="str">
            <v>Xã Chà Là</v>
          </cell>
          <cell r="I9070" t="str">
            <v>70907</v>
          </cell>
        </row>
        <row r="9071">
          <cell r="G9071" t="str">
            <v>Xã Cầu Khởi</v>
          </cell>
          <cell r="I9071" t="str">
            <v>70907</v>
          </cell>
        </row>
        <row r="9072">
          <cell r="G9072" t="str">
            <v xml:space="preserve">Xã Lộc Ninh </v>
          </cell>
          <cell r="I9072" t="str">
            <v>70907</v>
          </cell>
        </row>
        <row r="9073">
          <cell r="G9073" t="str">
            <v>Xã Truông Mít</v>
          </cell>
          <cell r="I9073" t="str">
            <v>70907</v>
          </cell>
        </row>
        <row r="9074">
          <cell r="G9074" t="str">
            <v>Xã Đồng Khởi</v>
          </cell>
          <cell r="I9074" t="str">
            <v>70909</v>
          </cell>
        </row>
        <row r="9075">
          <cell r="G9075" t="str">
            <v xml:space="preserve">Xã Thành Long  </v>
          </cell>
          <cell r="I9075" t="str">
            <v>70909</v>
          </cell>
        </row>
        <row r="9076">
          <cell r="G9076" t="str">
            <v>Xã Ninh Điền</v>
          </cell>
          <cell r="I9076" t="str">
            <v>70909</v>
          </cell>
        </row>
        <row r="9077">
          <cell r="G9077" t="str">
            <v xml:space="preserve">Xã Phước Vinh </v>
          </cell>
          <cell r="I9077" t="str">
            <v>70909</v>
          </cell>
        </row>
        <row r="9078">
          <cell r="G9078" t="str">
            <v xml:space="preserve">Xã Thái Bình  </v>
          </cell>
          <cell r="I9078" t="str">
            <v>70909</v>
          </cell>
        </row>
        <row r="9079">
          <cell r="G9079" t="str">
            <v>Xã An Cơ</v>
          </cell>
          <cell r="I9079" t="str">
            <v>70909</v>
          </cell>
        </row>
        <row r="9080">
          <cell r="G9080" t="str">
            <v>Xã Biên Giới</v>
          </cell>
          <cell r="I9080" t="str">
            <v>70909</v>
          </cell>
        </row>
        <row r="9081">
          <cell r="G9081" t="str">
            <v>Xã Hòa Thạnh</v>
          </cell>
          <cell r="I9081" t="str">
            <v>70909</v>
          </cell>
        </row>
        <row r="9082">
          <cell r="G9082" t="str">
            <v>Xã Trí Bình</v>
          </cell>
          <cell r="I9082" t="str">
            <v>70909</v>
          </cell>
        </row>
        <row r="9083">
          <cell r="G9083" t="str">
            <v xml:space="preserve">Xã Hòa Hội </v>
          </cell>
          <cell r="I9083" t="str">
            <v>70909</v>
          </cell>
        </row>
        <row r="9084">
          <cell r="G9084" t="str">
            <v xml:space="preserve">Xã An Bình      </v>
          </cell>
          <cell r="I9084" t="str">
            <v>70909</v>
          </cell>
        </row>
        <row r="9085">
          <cell r="G9085" t="str">
            <v>Xã Thanh Điền</v>
          </cell>
          <cell r="I9085" t="str">
            <v>70909</v>
          </cell>
        </row>
        <row r="9086">
          <cell r="G9086" t="str">
            <v>Xã Long Vĩnh</v>
          </cell>
          <cell r="I9086" t="str">
            <v>70909</v>
          </cell>
        </row>
        <row r="9087">
          <cell r="G9087" t="str">
            <v>Xã Hảo Đước</v>
          </cell>
          <cell r="I9087" t="str">
            <v>70909</v>
          </cell>
        </row>
        <row r="9088">
          <cell r="G9088" t="str">
            <v>Thị trấn Châu Thành</v>
          </cell>
          <cell r="I9088" t="str">
            <v>70909</v>
          </cell>
        </row>
        <row r="9089">
          <cell r="G9089" t="str">
            <v>Xã Long Thành Bắc</v>
          </cell>
          <cell r="I9089" t="str">
            <v>70911</v>
          </cell>
        </row>
        <row r="9090">
          <cell r="G9090" t="str">
            <v>Xã Trường Tây</v>
          </cell>
          <cell r="I9090" t="str">
            <v>70911</v>
          </cell>
        </row>
        <row r="9091">
          <cell r="G9091" t="str">
            <v>Thị trấn Hòa Thành</v>
          </cell>
          <cell r="I9091" t="str">
            <v>70911</v>
          </cell>
        </row>
        <row r="9092">
          <cell r="G9092" t="str">
            <v>Xã Hiệp Tân</v>
          </cell>
          <cell r="I9092" t="str">
            <v>70911</v>
          </cell>
        </row>
        <row r="9093">
          <cell r="G9093" t="str">
            <v>Xã Trường Hòa</v>
          </cell>
          <cell r="I9093" t="str">
            <v>70911</v>
          </cell>
        </row>
        <row r="9094">
          <cell r="G9094" t="str">
            <v>Xã Trường Đông</v>
          </cell>
          <cell r="I9094" t="str">
            <v>70911</v>
          </cell>
        </row>
        <row r="9095">
          <cell r="G9095" t="str">
            <v>Xã Long Thành Trung</v>
          </cell>
          <cell r="I9095" t="str">
            <v>70911</v>
          </cell>
        </row>
        <row r="9096">
          <cell r="G9096" t="str">
            <v>Xã Long Thành Nam</v>
          </cell>
          <cell r="I9096" t="str">
            <v>70911</v>
          </cell>
        </row>
        <row r="9097">
          <cell r="G9097" t="str">
            <v>Xã Tiên Thuận</v>
          </cell>
          <cell r="I9097" t="str">
            <v>70913</v>
          </cell>
        </row>
        <row r="9098">
          <cell r="G9098" t="str">
            <v>Xã Long Phước</v>
          </cell>
          <cell r="I9098" t="str">
            <v>70913</v>
          </cell>
        </row>
        <row r="9099">
          <cell r="G9099" t="str">
            <v>Xã Lợi Thuận</v>
          </cell>
          <cell r="I9099" t="str">
            <v>70913</v>
          </cell>
        </row>
        <row r="9100">
          <cell r="G9100" t="str">
            <v>Thị trấn Bến Cầu</v>
          </cell>
          <cell r="I9100" t="str">
            <v>70913</v>
          </cell>
        </row>
        <row r="9101">
          <cell r="G9101" t="str">
            <v>Xã Long Chữ</v>
          </cell>
          <cell r="I9101" t="str">
            <v>70913</v>
          </cell>
        </row>
        <row r="9102">
          <cell r="G9102" t="str">
            <v xml:space="preserve">Xã Long Giang </v>
          </cell>
          <cell r="I9102" t="str">
            <v>70913</v>
          </cell>
        </row>
        <row r="9103">
          <cell r="G9103" t="str">
            <v xml:space="preserve">Xã Long Khánh </v>
          </cell>
          <cell r="I9103" t="str">
            <v>70913</v>
          </cell>
        </row>
        <row r="9104">
          <cell r="G9104" t="str">
            <v>Xã Long Thuận</v>
          </cell>
          <cell r="I9104" t="str">
            <v>70913</v>
          </cell>
        </row>
        <row r="9105">
          <cell r="G9105" t="str">
            <v>Xã An Thạnh</v>
          </cell>
          <cell r="I9105" t="str">
            <v>70913</v>
          </cell>
        </row>
        <row r="9106">
          <cell r="G9106" t="str">
            <v>Xã Thạnh Đức</v>
          </cell>
          <cell r="I9106" t="str">
            <v>70915</v>
          </cell>
        </row>
        <row r="9107">
          <cell r="G9107" t="str">
            <v xml:space="preserve">Xã Cẩm Giang </v>
          </cell>
          <cell r="I9107" t="str">
            <v>70915</v>
          </cell>
        </row>
        <row r="9108">
          <cell r="G9108" t="str">
            <v>Xã Phước Đông</v>
          </cell>
          <cell r="I9108" t="str">
            <v>70915</v>
          </cell>
        </row>
        <row r="9109">
          <cell r="G9109" t="str">
            <v>Thị trấn Gò Dầu</v>
          </cell>
          <cell r="I9109" t="str">
            <v>70915</v>
          </cell>
        </row>
        <row r="9110">
          <cell r="G9110" t="str">
            <v xml:space="preserve">Xã Hiệp Thạnh </v>
          </cell>
          <cell r="I9110" t="str">
            <v>70915</v>
          </cell>
        </row>
        <row r="9111">
          <cell r="G9111" t="str">
            <v>Xã Bàu Đồn</v>
          </cell>
          <cell r="I9111" t="str">
            <v>70915</v>
          </cell>
        </row>
        <row r="9112">
          <cell r="G9112" t="str">
            <v xml:space="preserve">Xã Phước Thạnh </v>
          </cell>
          <cell r="I9112" t="str">
            <v>70915</v>
          </cell>
        </row>
        <row r="9113">
          <cell r="G9113" t="str">
            <v>Xã Phước Trạch</v>
          </cell>
          <cell r="I9113" t="str">
            <v>70915</v>
          </cell>
        </row>
        <row r="9114">
          <cell r="G9114" t="str">
            <v>Xã Thanh Phước</v>
          </cell>
          <cell r="I9114" t="str">
            <v>70915</v>
          </cell>
        </row>
        <row r="9115">
          <cell r="G9115" t="str">
            <v xml:space="preserve">Xã Bình Thạnh  </v>
          </cell>
          <cell r="I9115" t="str">
            <v>70917</v>
          </cell>
        </row>
        <row r="9116">
          <cell r="G9116" t="str">
            <v>Xã Đôn Thuận</v>
          </cell>
          <cell r="I9116" t="str">
            <v>70917</v>
          </cell>
        </row>
        <row r="9117">
          <cell r="G9117" t="str">
            <v>Xã Gia Bình</v>
          </cell>
          <cell r="I9117" t="str">
            <v>70917</v>
          </cell>
        </row>
        <row r="9118">
          <cell r="G9118" t="str">
            <v xml:space="preserve">Xã An Hòa      </v>
          </cell>
          <cell r="I9118" t="str">
            <v>70917</v>
          </cell>
        </row>
        <row r="9119">
          <cell r="G9119" t="str">
            <v>Thị trấn Trảng Bàng</v>
          </cell>
          <cell r="I9119" t="str">
            <v>70917</v>
          </cell>
        </row>
        <row r="9120">
          <cell r="G9120" t="str">
            <v>Xã Hưng Thuận</v>
          </cell>
          <cell r="I9120" t="str">
            <v>70917</v>
          </cell>
        </row>
        <row r="9121">
          <cell r="G9121" t="str">
            <v xml:space="preserve">Xã Lộc Hưng </v>
          </cell>
          <cell r="I9121" t="str">
            <v>70917</v>
          </cell>
        </row>
        <row r="9122">
          <cell r="G9122" t="str">
            <v xml:space="preserve">Xã Gia Lộc </v>
          </cell>
          <cell r="I9122" t="str">
            <v>70917</v>
          </cell>
        </row>
        <row r="9123">
          <cell r="G9123" t="str">
            <v>Xã Phước Lưu</v>
          </cell>
          <cell r="I9123" t="str">
            <v>70917</v>
          </cell>
        </row>
        <row r="9124">
          <cell r="G9124" t="str">
            <v>Xã An Tịnh</v>
          </cell>
          <cell r="I9124" t="str">
            <v>70917</v>
          </cell>
        </row>
        <row r="9125">
          <cell r="G9125" t="str">
            <v>Xã Phước Chỉ</v>
          </cell>
          <cell r="I9125" t="str">
            <v>70917</v>
          </cell>
        </row>
        <row r="9126">
          <cell r="G9126" t="str">
            <v xml:space="preserve">Phường Hiệp Thành </v>
          </cell>
          <cell r="I9126" t="str">
            <v>71101</v>
          </cell>
        </row>
        <row r="9127">
          <cell r="G9127" t="str">
            <v>Phường Chánh Mỹ</v>
          </cell>
          <cell r="I9127" t="str">
            <v>71101</v>
          </cell>
        </row>
        <row r="9128">
          <cell r="G9128" t="str">
            <v xml:space="preserve">Phường Phú Mỹ </v>
          </cell>
          <cell r="I9128" t="str">
            <v>71101</v>
          </cell>
        </row>
        <row r="9129">
          <cell r="G9129" t="str">
            <v xml:space="preserve">Phường Phú Hòa </v>
          </cell>
          <cell r="I9129" t="str">
            <v>71101</v>
          </cell>
        </row>
        <row r="9130">
          <cell r="G9130" t="str">
            <v>Phường Phú Lợi</v>
          </cell>
          <cell r="I9130" t="str">
            <v>71101</v>
          </cell>
        </row>
        <row r="9131">
          <cell r="G9131" t="str">
            <v>Phường Phú Cường</v>
          </cell>
          <cell r="I9131" t="str">
            <v>71101</v>
          </cell>
        </row>
        <row r="9132">
          <cell r="G9132" t="str">
            <v>Phường Phú Thọ</v>
          </cell>
          <cell r="I9132" t="str">
            <v>71101</v>
          </cell>
        </row>
        <row r="9133">
          <cell r="G9133" t="str">
            <v>Phường Chánh Nghĩa</v>
          </cell>
          <cell r="I9133" t="str">
            <v>71101</v>
          </cell>
        </row>
        <row r="9134">
          <cell r="G9134" t="str">
            <v>Phường Định Hòa</v>
          </cell>
          <cell r="I9134" t="str">
            <v>71101</v>
          </cell>
        </row>
        <row r="9135">
          <cell r="G9135" t="str">
            <v>Phuờng Tân An</v>
          </cell>
          <cell r="I9135" t="str">
            <v>71101</v>
          </cell>
        </row>
        <row r="9136">
          <cell r="G9136" t="str">
            <v>Phường Hiệp An</v>
          </cell>
          <cell r="I9136" t="str">
            <v>71101</v>
          </cell>
        </row>
        <row r="9137">
          <cell r="G9137" t="str">
            <v>Phường Tương Bình Hiệp</v>
          </cell>
          <cell r="I9137" t="str">
            <v>71101</v>
          </cell>
        </row>
        <row r="9138">
          <cell r="G9138" t="str">
            <v>Phường Hòa Phú</v>
          </cell>
          <cell r="I9138" t="str">
            <v>71101</v>
          </cell>
        </row>
        <row r="9139">
          <cell r="G9139" t="str">
            <v>Phường Phú Tân</v>
          </cell>
          <cell r="I9139" t="str">
            <v>71101</v>
          </cell>
        </row>
        <row r="9140">
          <cell r="G9140" t="str">
            <v>Phường Thới Hòa</v>
          </cell>
          <cell r="I9140" t="str">
            <v>71103</v>
          </cell>
        </row>
        <row r="9141">
          <cell r="G9141" t="str">
            <v xml:space="preserve">Xã Phú An  </v>
          </cell>
          <cell r="I9141" t="str">
            <v>71103</v>
          </cell>
        </row>
        <row r="9142">
          <cell r="G9142" t="str">
            <v>Phường Mỹ Phước</v>
          </cell>
          <cell r="I9142" t="str">
            <v>71103</v>
          </cell>
        </row>
        <row r="9143">
          <cell r="G9143" t="str">
            <v>Phường Chánh Phú Hòa</v>
          </cell>
          <cell r="I9143" t="str">
            <v>71103</v>
          </cell>
        </row>
        <row r="9144">
          <cell r="G9144" t="str">
            <v>Xã An Điền</v>
          </cell>
          <cell r="I9144" t="str">
            <v>71103</v>
          </cell>
        </row>
        <row r="9145">
          <cell r="G9145" t="str">
            <v>Xã An Tây</v>
          </cell>
          <cell r="I9145" t="str">
            <v>71103</v>
          </cell>
        </row>
        <row r="9146">
          <cell r="G9146" t="str">
            <v>Phường Hòa Lợi</v>
          </cell>
          <cell r="I9146" t="str">
            <v>71103</v>
          </cell>
        </row>
        <row r="9147">
          <cell r="G9147" t="str">
            <v xml:space="preserve">Phường Tân Định </v>
          </cell>
          <cell r="I9147" t="str">
            <v>71103</v>
          </cell>
        </row>
        <row r="9148">
          <cell r="G9148" t="str">
            <v>Phường Tân Phước Khánh</v>
          </cell>
          <cell r="I9148" t="str">
            <v>71105</v>
          </cell>
        </row>
        <row r="9149">
          <cell r="G9149" t="str">
            <v>Xã Phú Chánh</v>
          </cell>
          <cell r="I9149" t="str">
            <v>71105</v>
          </cell>
        </row>
        <row r="9150">
          <cell r="G9150" t="str">
            <v>Phường Thạnh Phước</v>
          </cell>
          <cell r="I9150" t="str">
            <v>71105</v>
          </cell>
        </row>
        <row r="9151">
          <cell r="G9151" t="str">
            <v xml:space="preserve">Xã Vĩnh Tân  </v>
          </cell>
          <cell r="I9151" t="str">
            <v>71105</v>
          </cell>
        </row>
        <row r="9152">
          <cell r="G9152" t="str">
            <v>Xã Hội Nghĩa</v>
          </cell>
          <cell r="I9152" t="str">
            <v>71105</v>
          </cell>
        </row>
        <row r="9153">
          <cell r="G9153" t="str">
            <v>Phường Khánh Bình</v>
          </cell>
          <cell r="I9153" t="str">
            <v>71105</v>
          </cell>
        </row>
        <row r="9154">
          <cell r="G9154" t="str">
            <v xml:space="preserve">Xã Bạch Đằng    </v>
          </cell>
          <cell r="I9154" t="str">
            <v>71105</v>
          </cell>
        </row>
        <row r="9155">
          <cell r="G9155" t="str">
            <v>Xã Tân Vĩnh Hiệp</v>
          </cell>
          <cell r="I9155" t="str">
            <v>71105</v>
          </cell>
        </row>
        <row r="9156">
          <cell r="G9156" t="str">
            <v>Thị trấn Thái Hòa</v>
          </cell>
          <cell r="I9156" t="str">
            <v>71105</v>
          </cell>
        </row>
        <row r="9157">
          <cell r="G9157" t="str">
            <v>Phường Uyên Hưng</v>
          </cell>
          <cell r="I9157" t="str">
            <v>71105</v>
          </cell>
        </row>
        <row r="9158">
          <cell r="G9158" t="str">
            <v>Xã Thạnh Hội</v>
          </cell>
          <cell r="I9158" t="str">
            <v>71105</v>
          </cell>
        </row>
        <row r="9159">
          <cell r="G9159" t="str">
            <v>Phường Tân Hiệp</v>
          </cell>
          <cell r="I9159" t="str">
            <v>71105</v>
          </cell>
        </row>
        <row r="9160">
          <cell r="G9160" t="str">
            <v>Phường An Thạnh</v>
          </cell>
          <cell r="I9160" t="str">
            <v>71107</v>
          </cell>
        </row>
        <row r="9161">
          <cell r="G9161" t="str">
            <v>Phường Hưng Định</v>
          </cell>
          <cell r="I9161" t="str">
            <v>71107</v>
          </cell>
        </row>
        <row r="9162">
          <cell r="G9162" t="str">
            <v>Phường Vĩnh Phú</v>
          </cell>
          <cell r="I9162" t="str">
            <v>71107</v>
          </cell>
        </row>
        <row r="9163">
          <cell r="G9163" t="str">
            <v>Phường Lái Thiêu</v>
          </cell>
          <cell r="I9163" t="str">
            <v>71107</v>
          </cell>
        </row>
        <row r="9164">
          <cell r="G9164" t="str">
            <v>Phường Bình Chuẩn</v>
          </cell>
          <cell r="I9164" t="str">
            <v>71107</v>
          </cell>
        </row>
        <row r="9165">
          <cell r="G9165" t="str">
            <v>Phường Thuận Giao</v>
          </cell>
          <cell r="I9165" t="str">
            <v>71107</v>
          </cell>
        </row>
        <row r="9166">
          <cell r="G9166" t="str">
            <v xml:space="preserve">Phường An Phú   </v>
          </cell>
          <cell r="I9166" t="str">
            <v>71107</v>
          </cell>
        </row>
        <row r="9167">
          <cell r="G9167" t="str">
            <v xml:space="preserve">Xã An Sơn  </v>
          </cell>
          <cell r="I9167" t="str">
            <v>71107</v>
          </cell>
        </row>
        <row r="9168">
          <cell r="G9168" t="str">
            <v>Phường Bình Nhâm</v>
          </cell>
          <cell r="I9168" t="str">
            <v>71107</v>
          </cell>
        </row>
        <row r="9169">
          <cell r="G9169" t="str">
            <v>Phường Bình Hòa</v>
          </cell>
          <cell r="I9169" t="str">
            <v>71107</v>
          </cell>
        </row>
        <row r="9170">
          <cell r="G9170" t="str">
            <v xml:space="preserve">Phường An Bình  </v>
          </cell>
          <cell r="I9170" t="str">
            <v>71109</v>
          </cell>
        </row>
        <row r="9171">
          <cell r="G9171" t="str">
            <v>Phường Tân Đông Hiệp</v>
          </cell>
          <cell r="I9171" t="str">
            <v>71109</v>
          </cell>
        </row>
        <row r="9172">
          <cell r="G9172" t="str">
            <v>Phường Dĩ An</v>
          </cell>
          <cell r="I9172" t="str">
            <v>71109</v>
          </cell>
        </row>
        <row r="9173">
          <cell r="G9173" t="str">
            <v xml:space="preserve">Phường Tân Bình   </v>
          </cell>
          <cell r="I9173" t="str">
            <v>71109</v>
          </cell>
        </row>
        <row r="9174">
          <cell r="G9174" t="str">
            <v xml:space="preserve">Phường Bình An </v>
          </cell>
          <cell r="I9174" t="str">
            <v>71109</v>
          </cell>
        </row>
        <row r="9175">
          <cell r="G9175" t="str">
            <v>Phường Bình Thắng</v>
          </cell>
          <cell r="I9175" t="str">
            <v>71109</v>
          </cell>
        </row>
        <row r="9176">
          <cell r="G9176" t="str">
            <v>Phường Đông Hòa</v>
          </cell>
          <cell r="I9176" t="str">
            <v>71109</v>
          </cell>
        </row>
        <row r="9177">
          <cell r="G9177" t="str">
            <v>Xã An Linh</v>
          </cell>
          <cell r="I9177" t="str">
            <v>71111</v>
          </cell>
        </row>
        <row r="9178">
          <cell r="G9178" t="str">
            <v>Xã An Long</v>
          </cell>
          <cell r="I9178" t="str">
            <v>71111</v>
          </cell>
        </row>
        <row r="9179">
          <cell r="G9179" t="str">
            <v xml:space="preserve">Xã Tân Long    </v>
          </cell>
          <cell r="I9179" t="str">
            <v>71111</v>
          </cell>
        </row>
        <row r="9180">
          <cell r="G9180" t="str">
            <v>Thị trấn Phước Vĩnh</v>
          </cell>
          <cell r="I9180" t="str">
            <v>71111</v>
          </cell>
        </row>
        <row r="9181">
          <cell r="G9181" t="str">
            <v>Xã Phước Sang</v>
          </cell>
          <cell r="I9181" t="str">
            <v>71111</v>
          </cell>
        </row>
        <row r="9182">
          <cell r="G9182" t="str">
            <v xml:space="preserve">Xã An Bình       </v>
          </cell>
          <cell r="I9182" t="str">
            <v>71111</v>
          </cell>
        </row>
        <row r="9183">
          <cell r="G9183" t="str">
            <v xml:space="preserve">Xã Tân Hiệp     </v>
          </cell>
          <cell r="I9183" t="str">
            <v>71111</v>
          </cell>
        </row>
        <row r="9184">
          <cell r="G9184" t="str">
            <v>Xã Tam Lập</v>
          </cell>
          <cell r="I9184" t="str">
            <v>71111</v>
          </cell>
        </row>
        <row r="9185">
          <cell r="G9185" t="str">
            <v xml:space="preserve">Xã Vĩnh Hòa    </v>
          </cell>
          <cell r="I9185" t="str">
            <v>71111</v>
          </cell>
        </row>
        <row r="9186">
          <cell r="G9186" t="str">
            <v xml:space="preserve">Xã Phước Hòa   </v>
          </cell>
          <cell r="I9186" t="str">
            <v>71111</v>
          </cell>
        </row>
        <row r="9187">
          <cell r="G9187" t="str">
            <v xml:space="preserve">Xã An Thái  </v>
          </cell>
          <cell r="I9187" t="str">
            <v>71111</v>
          </cell>
        </row>
        <row r="9188">
          <cell r="G9188" t="str">
            <v>Xã Minh Thạnh</v>
          </cell>
          <cell r="I9188" t="str">
            <v>71113</v>
          </cell>
        </row>
        <row r="9189">
          <cell r="G9189" t="str">
            <v xml:space="preserve">Xã Minh Tân            </v>
          </cell>
          <cell r="I9189" t="str">
            <v>71113</v>
          </cell>
        </row>
        <row r="9190">
          <cell r="G9190" t="str">
            <v>Xã Định Hiệp</v>
          </cell>
          <cell r="I9190" t="str">
            <v>71113</v>
          </cell>
        </row>
        <row r="9191">
          <cell r="G9191" t="str">
            <v>Xã Thanh Tuyền</v>
          </cell>
          <cell r="I9191" t="str">
            <v>71113</v>
          </cell>
        </row>
        <row r="9192">
          <cell r="G9192" t="str">
            <v>Thị trấn Dầu Tiếng</v>
          </cell>
          <cell r="I9192" t="str">
            <v>71113</v>
          </cell>
        </row>
        <row r="9193">
          <cell r="G9193" t="str">
            <v xml:space="preserve">Xã Minh Hòa    </v>
          </cell>
          <cell r="I9193" t="str">
            <v>71113</v>
          </cell>
        </row>
        <row r="9194">
          <cell r="G9194" t="str">
            <v>Xã Định An</v>
          </cell>
          <cell r="I9194" t="str">
            <v>71113</v>
          </cell>
        </row>
        <row r="9195">
          <cell r="G9195" t="str">
            <v xml:space="preserve">Xã Long Hòa </v>
          </cell>
          <cell r="I9195" t="str">
            <v>71113</v>
          </cell>
        </row>
        <row r="9196">
          <cell r="G9196" t="str">
            <v xml:space="preserve">Xã Định Thành </v>
          </cell>
          <cell r="I9196" t="str">
            <v>71113</v>
          </cell>
        </row>
        <row r="9197">
          <cell r="G9197" t="str">
            <v xml:space="preserve">Xã An Lập </v>
          </cell>
          <cell r="I9197" t="str">
            <v>71113</v>
          </cell>
        </row>
        <row r="9198">
          <cell r="G9198" t="str">
            <v xml:space="preserve">Xã Long Tân </v>
          </cell>
          <cell r="I9198" t="str">
            <v>71113</v>
          </cell>
        </row>
        <row r="9199">
          <cell r="G9199" t="str">
            <v xml:space="preserve">Xã Thanh An     </v>
          </cell>
          <cell r="I9199" t="str">
            <v>71113</v>
          </cell>
        </row>
        <row r="9200">
          <cell r="G9200" t="str">
            <v>Thị trấn Bàu Bàng</v>
          </cell>
          <cell r="I9200" t="str">
            <v>71115</v>
          </cell>
        </row>
        <row r="9201">
          <cell r="G9201" t="str">
            <v>Xã Long Nguyên</v>
          </cell>
          <cell r="I9201" t="str">
            <v>71115</v>
          </cell>
        </row>
        <row r="9202">
          <cell r="G9202" t="str">
            <v>Xã Lai Hưng</v>
          </cell>
          <cell r="I9202" t="str">
            <v>71115</v>
          </cell>
        </row>
        <row r="9203">
          <cell r="G9203" t="str">
            <v>Xã Trừ Văn Thố</v>
          </cell>
          <cell r="I9203" t="str">
            <v>71115</v>
          </cell>
        </row>
        <row r="9204">
          <cell r="G9204" t="str">
            <v>Xã Cây Trường II</v>
          </cell>
          <cell r="I9204" t="str">
            <v>71115</v>
          </cell>
        </row>
        <row r="9205">
          <cell r="G9205" t="str">
            <v xml:space="preserve">Xã Tân Hưng         </v>
          </cell>
          <cell r="I9205" t="str">
            <v>71115</v>
          </cell>
        </row>
        <row r="9206">
          <cell r="G9206" t="str">
            <v xml:space="preserve">Xã Hưng Hòa </v>
          </cell>
          <cell r="I9206" t="str">
            <v>71115</v>
          </cell>
        </row>
        <row r="9207">
          <cell r="G9207" t="str">
            <v>Xã Lai Uyên</v>
          </cell>
          <cell r="I9207" t="str">
            <v>71115</v>
          </cell>
        </row>
        <row r="9208">
          <cell r="G9208" t="str">
            <v>Thị trấn Tân Lợi</v>
          </cell>
          <cell r="I9208" t="str">
            <v>71117</v>
          </cell>
        </row>
        <row r="9209">
          <cell r="G9209" t="str">
            <v xml:space="preserve">Xã Tân Bình      </v>
          </cell>
          <cell r="I9209" t="str">
            <v>71117</v>
          </cell>
        </row>
        <row r="9210">
          <cell r="G9210" t="str">
            <v xml:space="preserve">Xã Bình Mỹ  </v>
          </cell>
          <cell r="I9210" t="str">
            <v>71117</v>
          </cell>
        </row>
        <row r="9211">
          <cell r="G9211" t="str">
            <v xml:space="preserve">Xã Tân Lập                    </v>
          </cell>
          <cell r="I9211" t="str">
            <v>71117</v>
          </cell>
        </row>
        <row r="9212">
          <cell r="G9212" t="str">
            <v>Xã Tân Định</v>
          </cell>
          <cell r="I9212" t="str">
            <v>71117</v>
          </cell>
        </row>
        <row r="9213">
          <cell r="G9213" t="str">
            <v>Xã Lạc An</v>
          </cell>
          <cell r="I9213" t="str">
            <v>71117</v>
          </cell>
        </row>
        <row r="9214">
          <cell r="G9214" t="str">
            <v>Xã Hiếu Liêm</v>
          </cell>
          <cell r="I9214" t="str">
            <v>71117</v>
          </cell>
        </row>
        <row r="9215">
          <cell r="G9215" t="str">
            <v>Xã Đất Cuốc</v>
          </cell>
          <cell r="I9215" t="str">
            <v>71117</v>
          </cell>
        </row>
        <row r="9216">
          <cell r="G9216" t="str">
            <v>Xã Thường Tân</v>
          </cell>
          <cell r="I9216" t="str">
            <v>71117</v>
          </cell>
        </row>
        <row r="9217">
          <cell r="G9217" t="str">
            <v xml:space="preserve">Xã Tân Mỹ    </v>
          </cell>
          <cell r="I9217" t="str">
            <v>71117</v>
          </cell>
        </row>
        <row r="9218">
          <cell r="G9218" t="str">
            <v xml:space="preserve">Xã Tân Thành                 </v>
          </cell>
          <cell r="I9218" t="str">
            <v>71117</v>
          </cell>
        </row>
        <row r="9219">
          <cell r="G9219" t="str">
            <v xml:space="preserve">Phường Long Bình </v>
          </cell>
          <cell r="I9219" t="str">
            <v>71301</v>
          </cell>
        </row>
        <row r="9220">
          <cell r="G9220" t="str">
            <v>Phường Tân Vạn</v>
          </cell>
          <cell r="I9220" t="str">
            <v>71301</v>
          </cell>
        </row>
        <row r="9221">
          <cell r="G9221" t="str">
            <v xml:space="preserve">Phường Tân Phong  </v>
          </cell>
          <cell r="I9221" t="str">
            <v>71301</v>
          </cell>
        </row>
        <row r="9222">
          <cell r="G9222" t="str">
            <v>Phường Bửu Long</v>
          </cell>
          <cell r="I9222" t="str">
            <v>71301</v>
          </cell>
        </row>
        <row r="9223">
          <cell r="G9223" t="str">
            <v xml:space="preserve">Phường Quang Vinh </v>
          </cell>
          <cell r="I9223" t="str">
            <v>71301</v>
          </cell>
        </row>
        <row r="9224">
          <cell r="G9224" t="str">
            <v xml:space="preserve">Phường Hòa Bình </v>
          </cell>
          <cell r="I9224" t="str">
            <v>71301</v>
          </cell>
        </row>
        <row r="9225">
          <cell r="G9225" t="str">
            <v xml:space="preserve">Phường An Bình   </v>
          </cell>
          <cell r="I9225" t="str">
            <v>71301</v>
          </cell>
        </row>
        <row r="9226">
          <cell r="G9226" t="str">
            <v>Xã Tân Hạnh</v>
          </cell>
          <cell r="I9226" t="str">
            <v>71301</v>
          </cell>
        </row>
        <row r="9227">
          <cell r="G9227" t="str">
            <v>Phường Trảng Dài</v>
          </cell>
          <cell r="I9227" t="str">
            <v>71301</v>
          </cell>
        </row>
        <row r="9228">
          <cell r="G9228" t="str">
            <v>Phường Tân Biên</v>
          </cell>
          <cell r="I9228" t="str">
            <v>71301</v>
          </cell>
        </row>
        <row r="9229">
          <cell r="G9229" t="str">
            <v>Phường Hố Nai</v>
          </cell>
          <cell r="I9229" t="str">
            <v>71301</v>
          </cell>
        </row>
        <row r="9230">
          <cell r="G9230" t="str">
            <v xml:space="preserve">Phường Tân Hòa  </v>
          </cell>
          <cell r="I9230" t="str">
            <v>71301</v>
          </cell>
        </row>
        <row r="9231">
          <cell r="G9231" t="str">
            <v xml:space="preserve">Phường Tân Hiệp </v>
          </cell>
          <cell r="I9231" t="str">
            <v>71301</v>
          </cell>
        </row>
        <row r="9232">
          <cell r="G9232" t="str">
            <v xml:space="preserve">Phường Tân Tiến </v>
          </cell>
          <cell r="I9232" t="str">
            <v>71301</v>
          </cell>
        </row>
        <row r="9233">
          <cell r="G9233" t="str">
            <v>Phường Tam Hiệp</v>
          </cell>
          <cell r="I9233" t="str">
            <v>71301</v>
          </cell>
        </row>
        <row r="9234">
          <cell r="G9234" t="str">
            <v xml:space="preserve">Phường Tân Mai </v>
          </cell>
          <cell r="I9234" t="str">
            <v>71301</v>
          </cell>
        </row>
        <row r="9235">
          <cell r="G9235" t="str">
            <v xml:space="preserve">Phường Thống Nhất      </v>
          </cell>
          <cell r="I9235" t="str">
            <v>71301</v>
          </cell>
        </row>
        <row r="9236">
          <cell r="G9236" t="str">
            <v>Phường Trung Dũng</v>
          </cell>
          <cell r="I9236" t="str">
            <v>71301</v>
          </cell>
        </row>
        <row r="9237">
          <cell r="G9237" t="str">
            <v>Phường Tam Hòa</v>
          </cell>
          <cell r="I9237" t="str">
            <v>71301</v>
          </cell>
        </row>
        <row r="9238">
          <cell r="G9238" t="str">
            <v xml:space="preserve">Phường Quyết Thắng   </v>
          </cell>
          <cell r="I9238" t="str">
            <v>71301</v>
          </cell>
        </row>
        <row r="9239">
          <cell r="G9239" t="str">
            <v xml:space="preserve">Phường Thanh Bình    </v>
          </cell>
          <cell r="I9239" t="str">
            <v>71301</v>
          </cell>
        </row>
        <row r="9240">
          <cell r="G9240" t="str">
            <v>Phường Bình Đa</v>
          </cell>
          <cell r="I9240" t="str">
            <v>71301</v>
          </cell>
        </row>
        <row r="9241">
          <cell r="G9241" t="str">
            <v>Phường Bửu Hòa</v>
          </cell>
          <cell r="I9241" t="str">
            <v>71301</v>
          </cell>
        </row>
        <row r="9242">
          <cell r="G9242" t="str">
            <v>Phường Long Bình Tân</v>
          </cell>
          <cell r="I9242" t="str">
            <v>71301</v>
          </cell>
        </row>
        <row r="9243">
          <cell r="G9243" t="str">
            <v xml:space="preserve">Xã Hiệp Hòa     </v>
          </cell>
          <cell r="I9243" t="str">
            <v>71301</v>
          </cell>
        </row>
        <row r="9244">
          <cell r="G9244" t="str">
            <v>Xã Hóa An</v>
          </cell>
          <cell r="I9244" t="str">
            <v>71301</v>
          </cell>
        </row>
        <row r="9245">
          <cell r="G9245" t="str">
            <v xml:space="preserve">Xã An Hòa       </v>
          </cell>
          <cell r="I9245" t="str">
            <v>71301</v>
          </cell>
        </row>
        <row r="9246">
          <cell r="G9246" t="str">
            <v xml:space="preserve">Xã Long Hưng  </v>
          </cell>
          <cell r="I9246" t="str">
            <v>71301</v>
          </cell>
        </row>
        <row r="9247">
          <cell r="G9247" t="str">
            <v xml:space="preserve">Xã Phước Tân   </v>
          </cell>
          <cell r="I9247" t="str">
            <v>71301</v>
          </cell>
        </row>
        <row r="9248">
          <cell r="G9248" t="str">
            <v>Xã  Tam Phước</v>
          </cell>
          <cell r="I9248" t="str">
            <v>71301</v>
          </cell>
        </row>
        <row r="9249">
          <cell r="G9249" t="str">
            <v>Xã Suối Tre</v>
          </cell>
          <cell r="I9249" t="str">
            <v>71302</v>
          </cell>
        </row>
        <row r="9250">
          <cell r="G9250" t="str">
            <v>Phường Xuân Thanh</v>
          </cell>
          <cell r="I9250" t="str">
            <v>71302</v>
          </cell>
        </row>
        <row r="9251">
          <cell r="G9251" t="str">
            <v xml:space="preserve">Xã Bình Lộc </v>
          </cell>
          <cell r="I9251" t="str">
            <v>71302</v>
          </cell>
        </row>
        <row r="9252">
          <cell r="G9252" t="str">
            <v xml:space="preserve">Xã Xuân Lập  </v>
          </cell>
          <cell r="I9252" t="str">
            <v>71302</v>
          </cell>
        </row>
        <row r="9253">
          <cell r="G9253" t="str">
            <v>Xã Hàng Gòn</v>
          </cell>
          <cell r="I9253" t="str">
            <v>71302</v>
          </cell>
        </row>
        <row r="9254">
          <cell r="G9254" t="str">
            <v>Phường Xuân Trung</v>
          </cell>
          <cell r="I9254" t="str">
            <v>71302</v>
          </cell>
        </row>
        <row r="9255">
          <cell r="G9255" t="str">
            <v>Phường Xuân Bình</v>
          </cell>
          <cell r="I9255" t="str">
            <v>71302</v>
          </cell>
        </row>
        <row r="9256">
          <cell r="G9256" t="str">
            <v>Phường Xuân An</v>
          </cell>
          <cell r="I9256" t="str">
            <v>71302</v>
          </cell>
        </row>
        <row r="9257">
          <cell r="G9257" t="str">
            <v xml:space="preserve">Phường Xuân Hòa </v>
          </cell>
          <cell r="I9257" t="str">
            <v>71302</v>
          </cell>
        </row>
        <row r="9258">
          <cell r="G9258" t="str">
            <v xml:space="preserve">Phường Phú Bình </v>
          </cell>
          <cell r="I9258" t="str">
            <v>71302</v>
          </cell>
        </row>
        <row r="9259">
          <cell r="G9259" t="str">
            <v>Xã Bảo Quang</v>
          </cell>
          <cell r="I9259" t="str">
            <v>71302</v>
          </cell>
        </row>
        <row r="9260">
          <cell r="G9260" t="str">
            <v>Xã Bảo Vinh</v>
          </cell>
          <cell r="I9260" t="str">
            <v>71302</v>
          </cell>
        </row>
        <row r="9261">
          <cell r="G9261" t="str">
            <v>Xã Bàu Sen</v>
          </cell>
          <cell r="I9261" t="str">
            <v>71302</v>
          </cell>
        </row>
        <row r="9262">
          <cell r="G9262" t="str">
            <v>Xã Bàu Trâm</v>
          </cell>
          <cell r="I9262" t="str">
            <v>71302</v>
          </cell>
        </row>
        <row r="9263">
          <cell r="G9263" t="str">
            <v xml:space="preserve">Xã Xuân Tân   </v>
          </cell>
          <cell r="I9263" t="str">
            <v>71302</v>
          </cell>
        </row>
        <row r="9264">
          <cell r="G9264" t="str">
            <v>Xã Tà Lài</v>
          </cell>
          <cell r="I9264" t="str">
            <v>71303</v>
          </cell>
        </row>
        <row r="9265">
          <cell r="G9265" t="str">
            <v>Xã Trà Cổ</v>
          </cell>
          <cell r="I9265" t="str">
            <v>71303</v>
          </cell>
        </row>
        <row r="9266">
          <cell r="G9266" t="str">
            <v xml:space="preserve">Xã Phú An   </v>
          </cell>
          <cell r="I9266" t="str">
            <v>71303</v>
          </cell>
        </row>
        <row r="9267">
          <cell r="G9267" t="str">
            <v>Xã Phú Lập</v>
          </cell>
          <cell r="I9267" t="str">
            <v>71303</v>
          </cell>
        </row>
        <row r="9268">
          <cell r="G9268" t="str">
            <v xml:space="preserve">Xã Phú Trung </v>
          </cell>
          <cell r="I9268" t="str">
            <v>71303</v>
          </cell>
        </row>
        <row r="9269">
          <cell r="G9269" t="str">
            <v xml:space="preserve">Xã Phú Bình </v>
          </cell>
          <cell r="I9269" t="str">
            <v>71303</v>
          </cell>
        </row>
        <row r="9270">
          <cell r="G9270" t="str">
            <v xml:space="preserve">Thị trấn Tân Phú </v>
          </cell>
          <cell r="I9270" t="str">
            <v>71303</v>
          </cell>
        </row>
        <row r="9271">
          <cell r="G9271" t="str">
            <v>Xã Dak Lua</v>
          </cell>
          <cell r="I9271" t="str">
            <v>71303</v>
          </cell>
        </row>
        <row r="9272">
          <cell r="G9272" t="str">
            <v>Xã Nam Cát Tiên</v>
          </cell>
          <cell r="I9272" t="str">
            <v>71303</v>
          </cell>
        </row>
        <row r="9273">
          <cell r="G9273" t="str">
            <v>Xã Núi Tượng</v>
          </cell>
          <cell r="I9273" t="str">
            <v>71303</v>
          </cell>
        </row>
        <row r="9274">
          <cell r="G9274" t="str">
            <v xml:space="preserve">Xã Phú Sơn        </v>
          </cell>
          <cell r="I9274" t="str">
            <v>71303</v>
          </cell>
        </row>
        <row r="9275">
          <cell r="G9275" t="str">
            <v xml:space="preserve">Xã Phú Thịnh     </v>
          </cell>
          <cell r="I9275" t="str">
            <v>71303</v>
          </cell>
        </row>
        <row r="9276">
          <cell r="G9276" t="str">
            <v xml:space="preserve">Xã Thanh Sơn        </v>
          </cell>
          <cell r="I9276" t="str">
            <v>71303</v>
          </cell>
        </row>
        <row r="9277">
          <cell r="G9277" t="str">
            <v xml:space="preserve">Xã Phú Xuân      </v>
          </cell>
          <cell r="I9277" t="str">
            <v>71303</v>
          </cell>
        </row>
        <row r="9278">
          <cell r="G9278" t="str">
            <v xml:space="preserve">Xã Phú Lộc     </v>
          </cell>
          <cell r="I9278" t="str">
            <v>71303</v>
          </cell>
        </row>
        <row r="9279">
          <cell r="G9279" t="str">
            <v xml:space="preserve">Xã Phú Lâm   </v>
          </cell>
          <cell r="I9279" t="str">
            <v>71303</v>
          </cell>
        </row>
        <row r="9280">
          <cell r="G9280" t="str">
            <v xml:space="preserve">Xã Phú Thanh  </v>
          </cell>
          <cell r="I9280" t="str">
            <v>71303</v>
          </cell>
        </row>
        <row r="9281">
          <cell r="G9281" t="str">
            <v xml:space="preserve">Xã Phú Điền </v>
          </cell>
          <cell r="I9281" t="str">
            <v>71303</v>
          </cell>
        </row>
        <row r="9282">
          <cell r="G9282" t="str">
            <v>Xã Phú Ngọc</v>
          </cell>
          <cell r="I9282" t="str">
            <v>71305</v>
          </cell>
        </row>
        <row r="9283">
          <cell r="G9283" t="str">
            <v>Xã Ngọc Định</v>
          </cell>
          <cell r="I9283" t="str">
            <v>71305</v>
          </cell>
        </row>
        <row r="9284">
          <cell r="G9284" t="str">
            <v xml:space="preserve">Xã Phú Cường     </v>
          </cell>
          <cell r="I9284" t="str">
            <v>71305</v>
          </cell>
        </row>
        <row r="9285">
          <cell r="G9285" t="str">
            <v>Thị trấn Định Quán</v>
          </cell>
          <cell r="I9285" t="str">
            <v>71305</v>
          </cell>
        </row>
        <row r="9286">
          <cell r="G9286" t="str">
            <v xml:space="preserve">Xã Thanh Sơn         </v>
          </cell>
          <cell r="I9286" t="str">
            <v>71305</v>
          </cell>
        </row>
        <row r="9287">
          <cell r="G9287" t="str">
            <v>Xã Phú Tân</v>
          </cell>
          <cell r="I9287" t="str">
            <v>71305</v>
          </cell>
        </row>
        <row r="9288">
          <cell r="G9288" t="str">
            <v xml:space="preserve">Xã Phú Vinh  </v>
          </cell>
          <cell r="I9288" t="str">
            <v>71305</v>
          </cell>
        </row>
        <row r="9289">
          <cell r="G9289" t="str">
            <v>Xã Phú Lợi</v>
          </cell>
          <cell r="I9289" t="str">
            <v>71305</v>
          </cell>
        </row>
        <row r="9290">
          <cell r="G9290" t="str">
            <v xml:space="preserve">Xã Phú Hòa </v>
          </cell>
          <cell r="I9290" t="str">
            <v>71305</v>
          </cell>
        </row>
        <row r="9291">
          <cell r="G9291" t="str">
            <v>Xã La Ngà</v>
          </cell>
          <cell r="I9291" t="str">
            <v>71305</v>
          </cell>
        </row>
        <row r="9292">
          <cell r="G9292" t="str">
            <v>Xã Gia Canh</v>
          </cell>
          <cell r="I9292" t="str">
            <v>71305</v>
          </cell>
        </row>
        <row r="9293">
          <cell r="G9293" t="str">
            <v>Xã Túc Trưng</v>
          </cell>
          <cell r="I9293" t="str">
            <v>71305</v>
          </cell>
        </row>
        <row r="9294">
          <cell r="G9294" t="str">
            <v xml:space="preserve">Xã Phú Túc </v>
          </cell>
          <cell r="I9294" t="str">
            <v>71305</v>
          </cell>
        </row>
        <row r="9295">
          <cell r="G9295" t="str">
            <v>Xã Suối Nho</v>
          </cell>
          <cell r="I9295" t="str">
            <v>71305</v>
          </cell>
        </row>
        <row r="9296">
          <cell r="G9296" t="str">
            <v xml:space="preserve">Xã Hiếu Liêm </v>
          </cell>
          <cell r="I9296" t="str">
            <v>71307</v>
          </cell>
        </row>
        <row r="9297">
          <cell r="G9297" t="str">
            <v>Thị trấn Vĩnh An</v>
          </cell>
          <cell r="I9297" t="str">
            <v>71307</v>
          </cell>
        </row>
        <row r="9298">
          <cell r="G9298" t="str">
            <v xml:space="preserve">Xã Vĩnh Tân   </v>
          </cell>
          <cell r="I9298" t="str">
            <v>71307</v>
          </cell>
        </row>
        <row r="9299">
          <cell r="G9299" t="str">
            <v>Xã Thiện Tân</v>
          </cell>
          <cell r="I9299" t="str">
            <v>71307</v>
          </cell>
        </row>
        <row r="9300">
          <cell r="G9300" t="str">
            <v xml:space="preserve">Xã Tân Bình       </v>
          </cell>
          <cell r="I9300" t="str">
            <v>71307</v>
          </cell>
        </row>
        <row r="9301">
          <cell r="G9301" t="str">
            <v xml:space="preserve">Xã Bình Hòa    </v>
          </cell>
          <cell r="I9301" t="str">
            <v>71307</v>
          </cell>
        </row>
        <row r="9302">
          <cell r="G9302" t="str">
            <v>Xã Mã Đà</v>
          </cell>
          <cell r="I9302" t="str">
            <v>71307</v>
          </cell>
        </row>
        <row r="9303">
          <cell r="G9303" t="str">
            <v>Xã Thạnh Phú</v>
          </cell>
          <cell r="I9303" t="str">
            <v>71307</v>
          </cell>
        </row>
        <row r="9304">
          <cell r="G9304" t="str">
            <v>Xã Phú Lý</v>
          </cell>
          <cell r="I9304" t="str">
            <v>71307</v>
          </cell>
        </row>
        <row r="9305">
          <cell r="G9305" t="str">
            <v>Xã Trị An</v>
          </cell>
          <cell r="I9305" t="str">
            <v>71307</v>
          </cell>
        </row>
        <row r="9306">
          <cell r="G9306" t="str">
            <v xml:space="preserve">Xã Tân An      </v>
          </cell>
          <cell r="I9306" t="str">
            <v>71307</v>
          </cell>
        </row>
        <row r="9307">
          <cell r="G9307" t="str">
            <v xml:space="preserve">Xã Bình Lợi </v>
          </cell>
          <cell r="I9307" t="str">
            <v>71307</v>
          </cell>
        </row>
        <row r="9308">
          <cell r="G9308" t="str">
            <v xml:space="preserve">Xã Bắc Sơn             </v>
          </cell>
          <cell r="I9308" t="str">
            <v>71308</v>
          </cell>
        </row>
        <row r="9309">
          <cell r="G9309" t="str">
            <v>Thị trấn Trảng Bom</v>
          </cell>
          <cell r="I9309" t="str">
            <v>71308</v>
          </cell>
        </row>
        <row r="9310">
          <cell r="G9310" t="str">
            <v>Xã Sông Trầu</v>
          </cell>
          <cell r="I9310" t="str">
            <v>71308</v>
          </cell>
        </row>
        <row r="9311">
          <cell r="G9311" t="str">
            <v>Xã Tây Hòa</v>
          </cell>
          <cell r="I9311" t="str">
            <v>71308</v>
          </cell>
        </row>
        <row r="9312">
          <cell r="G9312" t="str">
            <v xml:space="preserve">Xã Hưng Thịnh    </v>
          </cell>
          <cell r="I9312" t="str">
            <v>71308</v>
          </cell>
        </row>
        <row r="9313">
          <cell r="G9313" t="str">
            <v xml:space="preserve">Xã Thanh Bình     </v>
          </cell>
          <cell r="I9313" t="str">
            <v>71308</v>
          </cell>
        </row>
        <row r="9314">
          <cell r="G9314" t="str">
            <v>Xã Cây Gáo</v>
          </cell>
          <cell r="I9314" t="str">
            <v>71308</v>
          </cell>
        </row>
        <row r="9315">
          <cell r="G9315" t="str">
            <v>Xã Bàu Hàm</v>
          </cell>
          <cell r="I9315" t="str">
            <v>71308</v>
          </cell>
        </row>
        <row r="9316">
          <cell r="G9316" t="str">
            <v>Xã Sông Thao</v>
          </cell>
          <cell r="I9316" t="str">
            <v>71308</v>
          </cell>
        </row>
        <row r="9317">
          <cell r="G9317" t="str">
            <v xml:space="preserve">Xã Đông Hòa  </v>
          </cell>
          <cell r="I9317" t="str">
            <v>71308</v>
          </cell>
        </row>
        <row r="9318">
          <cell r="G9318" t="str">
            <v>Xã Hố Nai 3</v>
          </cell>
          <cell r="I9318" t="str">
            <v>71308</v>
          </cell>
        </row>
        <row r="9319">
          <cell r="G9319" t="str">
            <v xml:space="preserve">Xã Bình Minh          </v>
          </cell>
          <cell r="I9319" t="str">
            <v>71308</v>
          </cell>
        </row>
        <row r="9320">
          <cell r="G9320" t="str">
            <v xml:space="preserve">Xã Trung Hòa     </v>
          </cell>
          <cell r="I9320" t="str">
            <v>71308</v>
          </cell>
        </row>
        <row r="9321">
          <cell r="G9321" t="str">
            <v>Xã Đồi 61</v>
          </cell>
          <cell r="I9321" t="str">
            <v>71308</v>
          </cell>
        </row>
        <row r="9322">
          <cell r="G9322" t="str">
            <v xml:space="preserve">Xã Quảng Tiến  </v>
          </cell>
          <cell r="I9322" t="str">
            <v>71308</v>
          </cell>
        </row>
        <row r="9323">
          <cell r="G9323" t="str">
            <v>Xã Giang Điền</v>
          </cell>
          <cell r="I9323" t="str">
            <v>71308</v>
          </cell>
        </row>
        <row r="9324">
          <cell r="G9324" t="str">
            <v>Xã An Viễn</v>
          </cell>
          <cell r="I9324" t="str">
            <v>71308</v>
          </cell>
        </row>
        <row r="9325">
          <cell r="G9325" t="str">
            <v>Xã Gia Tân 2</v>
          </cell>
          <cell r="I9325" t="str">
            <v>71309</v>
          </cell>
        </row>
        <row r="9326">
          <cell r="G9326" t="str">
            <v>Xã Gia Tân 1</v>
          </cell>
          <cell r="I9326" t="str">
            <v>71309</v>
          </cell>
        </row>
        <row r="9327">
          <cell r="G9327" t="str">
            <v xml:space="preserve">Xã Quang Trung           </v>
          </cell>
          <cell r="I9327" t="str">
            <v>71309</v>
          </cell>
        </row>
        <row r="9328">
          <cell r="G9328" t="str">
            <v xml:space="preserve">Xã Xuân Thiện </v>
          </cell>
          <cell r="I9328" t="str">
            <v>71309</v>
          </cell>
        </row>
        <row r="9329">
          <cell r="G9329" t="str">
            <v>Xã Gia Tân 3</v>
          </cell>
          <cell r="I9329" t="str">
            <v>71309</v>
          </cell>
        </row>
        <row r="9330">
          <cell r="G9330" t="str">
            <v>Xã Gia Kiệm</v>
          </cell>
          <cell r="I9330" t="str">
            <v>71309</v>
          </cell>
        </row>
        <row r="9331">
          <cell r="G9331" t="str">
            <v>Xã Bàu Hàm 2</v>
          </cell>
          <cell r="I9331" t="str">
            <v>71309</v>
          </cell>
        </row>
        <row r="9332">
          <cell r="G9332" t="str">
            <v xml:space="preserve">Xã Hưng Lộc  </v>
          </cell>
          <cell r="I9332" t="str">
            <v>71309</v>
          </cell>
        </row>
        <row r="9333">
          <cell r="G9333" t="str">
            <v>Xã Lộ 25</v>
          </cell>
          <cell r="I9333" t="str">
            <v>71309</v>
          </cell>
        </row>
        <row r="9334">
          <cell r="G9334" t="str">
            <v>Xã Xuân Thạnh</v>
          </cell>
          <cell r="I9334" t="str">
            <v>71309</v>
          </cell>
        </row>
        <row r="9335">
          <cell r="G9335" t="str">
            <v>Xã Xuân Đường</v>
          </cell>
          <cell r="I9335" t="str">
            <v>71311</v>
          </cell>
        </row>
        <row r="9336">
          <cell r="G9336" t="str">
            <v xml:space="preserve">Xã Nhân Nghĩa  </v>
          </cell>
          <cell r="I9336" t="str">
            <v>71311</v>
          </cell>
        </row>
        <row r="9337">
          <cell r="G9337" t="str">
            <v>Xã Thừa Đức</v>
          </cell>
          <cell r="I9337" t="str">
            <v>71311</v>
          </cell>
        </row>
        <row r="9338">
          <cell r="G9338" t="str">
            <v>Xã Xuân Đông</v>
          </cell>
          <cell r="I9338" t="str">
            <v>71311</v>
          </cell>
        </row>
        <row r="9339">
          <cell r="G9339" t="str">
            <v>Xã Sông Nhạn</v>
          </cell>
          <cell r="I9339" t="str">
            <v>71311</v>
          </cell>
        </row>
        <row r="9340">
          <cell r="G9340" t="str">
            <v>Xã Xuân Quế</v>
          </cell>
          <cell r="I9340" t="str">
            <v>71311</v>
          </cell>
        </row>
        <row r="9341">
          <cell r="G9341" t="str">
            <v>Xã Long Giao</v>
          </cell>
          <cell r="I9341" t="str">
            <v>71311</v>
          </cell>
        </row>
        <row r="9342">
          <cell r="G9342" t="str">
            <v xml:space="preserve">Xã Xuân Mỹ </v>
          </cell>
          <cell r="I9342" t="str">
            <v>71311</v>
          </cell>
        </row>
        <row r="9343">
          <cell r="G9343" t="str">
            <v>Xã Bảo Bình</v>
          </cell>
          <cell r="I9343" t="str">
            <v>71311</v>
          </cell>
        </row>
        <row r="9344">
          <cell r="G9344" t="str">
            <v>Xã Xuân Bảo</v>
          </cell>
          <cell r="I9344" t="str">
            <v>71311</v>
          </cell>
        </row>
        <row r="9345">
          <cell r="G9345" t="str">
            <v>Xã Xuân Tây</v>
          </cell>
          <cell r="I9345" t="str">
            <v>71311</v>
          </cell>
        </row>
        <row r="9346">
          <cell r="G9346" t="str">
            <v>Xã Sông Ray</v>
          </cell>
          <cell r="I9346" t="str">
            <v>71311</v>
          </cell>
        </row>
        <row r="9347">
          <cell r="G9347" t="str">
            <v>Xã Lâm San</v>
          </cell>
          <cell r="I9347" t="str">
            <v>71311</v>
          </cell>
        </row>
        <row r="9348">
          <cell r="G9348" t="str">
            <v>Xã Xuân Tâm</v>
          </cell>
          <cell r="I9348" t="str">
            <v>71313</v>
          </cell>
        </row>
        <row r="9349">
          <cell r="G9349" t="str">
            <v xml:space="preserve">Xã Xuân Bắc </v>
          </cell>
          <cell r="I9349" t="str">
            <v>71313</v>
          </cell>
        </row>
        <row r="9350">
          <cell r="G9350" t="str">
            <v xml:space="preserve">Xã Xuân Trường    </v>
          </cell>
          <cell r="I9350" t="str">
            <v>71313</v>
          </cell>
        </row>
        <row r="9351">
          <cell r="G9351" t="str">
            <v xml:space="preserve">Xã Suối Cát </v>
          </cell>
          <cell r="I9351" t="str">
            <v>71313</v>
          </cell>
        </row>
        <row r="9352">
          <cell r="G9352" t="str">
            <v>Xã Bảo Hòa</v>
          </cell>
          <cell r="I9352" t="str">
            <v>71313</v>
          </cell>
        </row>
        <row r="9353">
          <cell r="G9353" t="str">
            <v>Thị trấn Gia Ray</v>
          </cell>
          <cell r="I9353" t="str">
            <v>71313</v>
          </cell>
        </row>
        <row r="9354">
          <cell r="G9354" t="str">
            <v>Xã Suối Cao</v>
          </cell>
          <cell r="I9354" t="str">
            <v>71313</v>
          </cell>
        </row>
        <row r="9355">
          <cell r="G9355" t="str">
            <v xml:space="preserve">Xã Xuân Thành    </v>
          </cell>
          <cell r="I9355" t="str">
            <v>71313</v>
          </cell>
        </row>
        <row r="9356">
          <cell r="G9356" t="str">
            <v xml:space="preserve">Xã Xuân Thọ   </v>
          </cell>
          <cell r="I9356" t="str">
            <v>71313</v>
          </cell>
        </row>
        <row r="9357">
          <cell r="G9357" t="str">
            <v xml:space="preserve">Xã Xuân Hòa         </v>
          </cell>
          <cell r="I9357" t="str">
            <v>71313</v>
          </cell>
        </row>
        <row r="9358">
          <cell r="G9358" t="str">
            <v xml:space="preserve">Xã Xuân Hưng </v>
          </cell>
          <cell r="I9358" t="str">
            <v>71313</v>
          </cell>
        </row>
        <row r="9359">
          <cell r="G9359" t="str">
            <v>Xã Xuân Hiệp</v>
          </cell>
          <cell r="I9359" t="str">
            <v>71313</v>
          </cell>
        </row>
        <row r="9360">
          <cell r="G9360" t="str">
            <v xml:space="preserve">Xã Xuân Phú      </v>
          </cell>
          <cell r="I9360" t="str">
            <v>71313</v>
          </cell>
        </row>
        <row r="9361">
          <cell r="G9361" t="str">
            <v>Xã Xuân Định</v>
          </cell>
          <cell r="I9361" t="str">
            <v>71313</v>
          </cell>
        </row>
        <row r="9362">
          <cell r="G9362" t="str">
            <v>Xã Lang Minh</v>
          </cell>
          <cell r="I9362" t="str">
            <v>71313</v>
          </cell>
        </row>
        <row r="9363">
          <cell r="G9363" t="str">
            <v xml:space="preserve">Xã Long Phước </v>
          </cell>
          <cell r="I9363" t="str">
            <v>71315</v>
          </cell>
        </row>
        <row r="9364">
          <cell r="G9364" t="str">
            <v>Xã An Phước</v>
          </cell>
          <cell r="I9364" t="str">
            <v>71315</v>
          </cell>
        </row>
        <row r="9365">
          <cell r="G9365" t="str">
            <v xml:space="preserve">Xã Bình Sơn       </v>
          </cell>
          <cell r="I9365" t="str">
            <v>71315</v>
          </cell>
        </row>
        <row r="9366">
          <cell r="G9366" t="str">
            <v>Xã Long An</v>
          </cell>
          <cell r="I9366" t="str">
            <v>71315</v>
          </cell>
        </row>
        <row r="9367">
          <cell r="G9367" t="str">
            <v xml:space="preserve">Xã Phước Bình </v>
          </cell>
          <cell r="I9367" t="str">
            <v>71315</v>
          </cell>
        </row>
        <row r="9368">
          <cell r="G9368" t="str">
            <v>Thị trấn Long Thành</v>
          </cell>
          <cell r="I9368" t="str">
            <v>71315</v>
          </cell>
        </row>
        <row r="9369">
          <cell r="G9369" t="str">
            <v xml:space="preserve">Xã Bình An   </v>
          </cell>
          <cell r="I9369" t="str">
            <v>71315</v>
          </cell>
        </row>
        <row r="9370">
          <cell r="G9370" t="str">
            <v>Xã Long Đức</v>
          </cell>
          <cell r="I9370" t="str">
            <v>71315</v>
          </cell>
        </row>
        <row r="9371">
          <cell r="G9371" t="str">
            <v xml:space="preserve">Xã Lộc An    </v>
          </cell>
          <cell r="I9371" t="str">
            <v>71315</v>
          </cell>
        </row>
        <row r="9372">
          <cell r="G9372" t="str">
            <v xml:space="preserve">Xã Tam An </v>
          </cell>
          <cell r="I9372" t="str">
            <v>71315</v>
          </cell>
        </row>
        <row r="9373">
          <cell r="G9373" t="str">
            <v>Xã Cẩm Đường</v>
          </cell>
          <cell r="I9373" t="str">
            <v>71315</v>
          </cell>
        </row>
        <row r="9374">
          <cell r="G9374" t="str">
            <v>Xã Suối Trầu</v>
          </cell>
          <cell r="I9374" t="str">
            <v>71315</v>
          </cell>
        </row>
        <row r="9375">
          <cell r="G9375" t="str">
            <v xml:space="preserve">Xã Bàu Cạn </v>
          </cell>
          <cell r="I9375" t="str">
            <v>71315</v>
          </cell>
        </row>
        <row r="9376">
          <cell r="G9376" t="str">
            <v xml:space="preserve">Xã Tân Hiệp      </v>
          </cell>
          <cell r="I9376" t="str">
            <v>71315</v>
          </cell>
        </row>
        <row r="9377">
          <cell r="G9377" t="str">
            <v xml:space="preserve">Xã Phước Thái </v>
          </cell>
          <cell r="I9377" t="str">
            <v>71315</v>
          </cell>
        </row>
        <row r="9378">
          <cell r="G9378" t="str">
            <v xml:space="preserve">Xã Phú Hội </v>
          </cell>
          <cell r="I9378" t="str">
            <v>71317</v>
          </cell>
        </row>
        <row r="9379">
          <cell r="G9379" t="str">
            <v>Xã Đại Phước</v>
          </cell>
          <cell r="I9379" t="str">
            <v>71317</v>
          </cell>
        </row>
        <row r="9380">
          <cell r="G9380" t="str">
            <v>Xã Phú Thạnh</v>
          </cell>
          <cell r="I9380" t="str">
            <v>71317</v>
          </cell>
        </row>
        <row r="9381">
          <cell r="G9381" t="str">
            <v>Xã Phước Khánh</v>
          </cell>
          <cell r="I9381" t="str">
            <v>71317</v>
          </cell>
        </row>
        <row r="9382">
          <cell r="G9382" t="str">
            <v>Xã Phước Thiền</v>
          </cell>
          <cell r="I9382" t="str">
            <v>71317</v>
          </cell>
        </row>
        <row r="9383">
          <cell r="G9383" t="str">
            <v xml:space="preserve">Xã Long Tân  </v>
          </cell>
          <cell r="I9383" t="str">
            <v>71317</v>
          </cell>
        </row>
        <row r="9384">
          <cell r="G9384" t="str">
            <v xml:space="preserve">Xã Hiệp Phước </v>
          </cell>
          <cell r="I9384" t="str">
            <v>71317</v>
          </cell>
        </row>
        <row r="9385">
          <cell r="G9385" t="str">
            <v>Xã Phú Hữu</v>
          </cell>
          <cell r="I9385" t="str">
            <v>71317</v>
          </cell>
        </row>
        <row r="9386">
          <cell r="G9386" t="str">
            <v xml:space="preserve">Xã Phú Đông </v>
          </cell>
          <cell r="I9386" t="str">
            <v>71317</v>
          </cell>
        </row>
        <row r="9387">
          <cell r="G9387" t="str">
            <v>Xã Long Thọ</v>
          </cell>
          <cell r="I9387" t="str">
            <v>71317</v>
          </cell>
        </row>
        <row r="9388">
          <cell r="G9388" t="str">
            <v>Xã Vĩnh Thanh</v>
          </cell>
          <cell r="I9388" t="str">
            <v>71317</v>
          </cell>
        </row>
        <row r="9389">
          <cell r="G9389" t="str">
            <v xml:space="preserve">Xã Phước An  </v>
          </cell>
          <cell r="I9389" t="str">
            <v>71317</v>
          </cell>
        </row>
        <row r="9390">
          <cell r="G9390" t="str">
            <v>Phường Phú Tài</v>
          </cell>
          <cell r="I9390" t="str">
            <v>71501</v>
          </cell>
        </row>
        <row r="9391">
          <cell r="G9391" t="str">
            <v xml:space="preserve">Xã Tiến Thành  </v>
          </cell>
          <cell r="I9391" t="str">
            <v>71501</v>
          </cell>
        </row>
        <row r="9392">
          <cell r="G9392" t="str">
            <v>Phường Phú Hài</v>
          </cell>
          <cell r="I9392" t="str">
            <v>71501</v>
          </cell>
        </row>
        <row r="9393">
          <cell r="G9393" t="str">
            <v xml:space="preserve">Phường Xuân An </v>
          </cell>
          <cell r="I9393" t="str">
            <v>71501</v>
          </cell>
        </row>
        <row r="9394">
          <cell r="G9394" t="str">
            <v>Phường Lạc Đạo</v>
          </cell>
          <cell r="I9394" t="str">
            <v>71501</v>
          </cell>
        </row>
        <row r="9395">
          <cell r="G9395" t="str">
            <v>Xã Thiện Nghiệp</v>
          </cell>
          <cell r="I9395" t="str">
            <v>71501</v>
          </cell>
        </row>
        <row r="9396">
          <cell r="G9396" t="str">
            <v>Phường Mũi Né</v>
          </cell>
          <cell r="I9396" t="str">
            <v>71501</v>
          </cell>
        </row>
        <row r="9397">
          <cell r="G9397" t="str">
            <v>Phường Hàm Tiến</v>
          </cell>
          <cell r="I9397" t="str">
            <v>71501</v>
          </cell>
        </row>
        <row r="9398">
          <cell r="G9398" t="str">
            <v>Phường Phú Thủy</v>
          </cell>
          <cell r="I9398" t="str">
            <v>71501</v>
          </cell>
        </row>
        <row r="9399">
          <cell r="G9399" t="str">
            <v>Phường Phú Trinh</v>
          </cell>
          <cell r="I9399" t="str">
            <v>71501</v>
          </cell>
        </row>
        <row r="9400">
          <cell r="G9400" t="str">
            <v>Phường Thanh Hải</v>
          </cell>
          <cell r="I9400" t="str">
            <v>71501</v>
          </cell>
        </row>
        <row r="9401">
          <cell r="G9401" t="str">
            <v>Phường Bình Hưng</v>
          </cell>
          <cell r="I9401" t="str">
            <v>71501</v>
          </cell>
        </row>
        <row r="9402">
          <cell r="G9402" t="str">
            <v>Phường Đức Nghĩa</v>
          </cell>
          <cell r="I9402" t="str">
            <v>71501</v>
          </cell>
        </row>
        <row r="9403">
          <cell r="G9403" t="str">
            <v xml:space="preserve">Phường Đức Thắng </v>
          </cell>
          <cell r="I9403" t="str">
            <v>71501</v>
          </cell>
        </row>
        <row r="9404">
          <cell r="G9404" t="str">
            <v>Phường Hưng Long</v>
          </cell>
          <cell r="I9404" t="str">
            <v>71501</v>
          </cell>
        </row>
        <row r="9405">
          <cell r="G9405" t="str">
            <v>Phường Đức Long</v>
          </cell>
          <cell r="I9405" t="str">
            <v>71501</v>
          </cell>
        </row>
        <row r="9406">
          <cell r="G9406" t="str">
            <v>Xã Phong Nẫm</v>
          </cell>
          <cell r="I9406" t="str">
            <v>71501</v>
          </cell>
        </row>
        <row r="9407">
          <cell r="G9407" t="str">
            <v>Xã Tiến Lợi</v>
          </cell>
          <cell r="I9407" t="str">
            <v>71501</v>
          </cell>
        </row>
        <row r="9408">
          <cell r="G9408" t="str">
            <v xml:space="preserve">Xã Phong Phú   </v>
          </cell>
          <cell r="I9408" t="str">
            <v>71503</v>
          </cell>
        </row>
        <row r="9409">
          <cell r="G9409" t="str">
            <v>Thị trấn Phan Rí Cửa</v>
          </cell>
          <cell r="I9409" t="str">
            <v>71503</v>
          </cell>
        </row>
        <row r="9410">
          <cell r="G9410" t="str">
            <v xml:space="preserve">Xã Phú Lạc  </v>
          </cell>
          <cell r="I9410" t="str">
            <v>71503</v>
          </cell>
        </row>
        <row r="9411">
          <cell r="G9411" t="str">
            <v>Xã Chí Công</v>
          </cell>
          <cell r="I9411" t="str">
            <v>71503</v>
          </cell>
        </row>
        <row r="9412">
          <cell r="G9412" t="str">
            <v>Thị trấn Liên Hương</v>
          </cell>
          <cell r="I9412" t="str">
            <v>71503</v>
          </cell>
        </row>
        <row r="9413">
          <cell r="G9413" t="str">
            <v>Xã Phan Dũng</v>
          </cell>
          <cell r="I9413" t="str">
            <v>71503</v>
          </cell>
        </row>
        <row r="9414">
          <cell r="G9414" t="str">
            <v xml:space="preserve">Xã Vĩnh Hảo  </v>
          </cell>
          <cell r="I9414" t="str">
            <v>71503</v>
          </cell>
        </row>
        <row r="9415">
          <cell r="G9415" t="str">
            <v xml:space="preserve">Xã Vĩnh Tân    </v>
          </cell>
          <cell r="I9415" t="str">
            <v>71503</v>
          </cell>
        </row>
        <row r="9416">
          <cell r="G9416" t="str">
            <v>Xã Phước Thể</v>
          </cell>
          <cell r="I9416" t="str">
            <v>71503</v>
          </cell>
        </row>
        <row r="9417">
          <cell r="G9417" t="str">
            <v>Xã Hòa Minh</v>
          </cell>
          <cell r="I9417" t="str">
            <v>71503</v>
          </cell>
        </row>
        <row r="9418">
          <cell r="G9418" t="str">
            <v xml:space="preserve">Xã Bình Thạnh   </v>
          </cell>
          <cell r="I9418" t="str">
            <v>71503</v>
          </cell>
        </row>
        <row r="9419">
          <cell r="G9419" t="str">
            <v xml:space="preserve">Xã Hòa Phú       </v>
          </cell>
          <cell r="I9419" t="str">
            <v>71503</v>
          </cell>
        </row>
        <row r="9420">
          <cell r="G9420" t="str">
            <v xml:space="preserve">Xã Bình An    </v>
          </cell>
          <cell r="I9420" t="str">
            <v>71505</v>
          </cell>
        </row>
        <row r="9421">
          <cell r="G9421" t="str">
            <v>Xã Phan Rí Thành</v>
          </cell>
          <cell r="I9421" t="str">
            <v>71505</v>
          </cell>
        </row>
        <row r="9422">
          <cell r="G9422" t="str">
            <v>Xã Phan Sơn</v>
          </cell>
          <cell r="I9422" t="str">
            <v>71505</v>
          </cell>
        </row>
        <row r="9423">
          <cell r="G9423" t="str">
            <v xml:space="preserve">Xã Hải Ninh   </v>
          </cell>
          <cell r="I9423" t="str">
            <v>71505</v>
          </cell>
        </row>
        <row r="9424">
          <cell r="G9424" t="str">
            <v xml:space="preserve">Thị trấn Lương Sơn </v>
          </cell>
          <cell r="I9424" t="str">
            <v>71505</v>
          </cell>
        </row>
        <row r="9425">
          <cell r="G9425" t="str">
            <v>Xã Phan Hiệp</v>
          </cell>
          <cell r="I9425" t="str">
            <v>71505</v>
          </cell>
        </row>
        <row r="9426">
          <cell r="G9426" t="str">
            <v xml:space="preserve">Xã Hồng Phong        </v>
          </cell>
          <cell r="I9426" t="str">
            <v>71505</v>
          </cell>
        </row>
        <row r="9427">
          <cell r="G9427" t="str">
            <v>Thị trấn Chợ Lầu</v>
          </cell>
          <cell r="I9427" t="str">
            <v>71505</v>
          </cell>
        </row>
        <row r="9428">
          <cell r="G9428" t="str">
            <v>Xã Phan Lâm</v>
          </cell>
          <cell r="I9428" t="str">
            <v>71505</v>
          </cell>
        </row>
        <row r="9429">
          <cell r="G9429" t="str">
            <v>Xã Phan Điền</v>
          </cell>
          <cell r="I9429" t="str">
            <v>71505</v>
          </cell>
        </row>
        <row r="9430">
          <cell r="G9430" t="str">
            <v>Xã Sông Lũy</v>
          </cell>
          <cell r="I9430" t="str">
            <v>71505</v>
          </cell>
        </row>
        <row r="9431">
          <cell r="G9431" t="str">
            <v>Xã Phan Tiến</v>
          </cell>
          <cell r="I9431" t="str">
            <v>71505</v>
          </cell>
        </row>
        <row r="9432">
          <cell r="G9432" t="str">
            <v>Xã Sông Bình</v>
          </cell>
          <cell r="I9432" t="str">
            <v>71505</v>
          </cell>
        </row>
        <row r="9433">
          <cell r="G9433" t="str">
            <v>Xã Phan Hòa</v>
          </cell>
          <cell r="I9433" t="str">
            <v>71505</v>
          </cell>
        </row>
        <row r="9434">
          <cell r="G9434" t="str">
            <v xml:space="preserve">Xã Phan Thanh   </v>
          </cell>
          <cell r="I9434" t="str">
            <v>71505</v>
          </cell>
        </row>
        <row r="9435">
          <cell r="G9435" t="str">
            <v xml:space="preserve">Xã Hồng Thái         </v>
          </cell>
          <cell r="I9435" t="str">
            <v>71505</v>
          </cell>
        </row>
        <row r="9436">
          <cell r="G9436" t="str">
            <v xml:space="preserve">Xã Bình Tân   </v>
          </cell>
          <cell r="I9436" t="str">
            <v>71505</v>
          </cell>
        </row>
        <row r="9437">
          <cell r="G9437" t="str">
            <v xml:space="preserve">Xã Hòa Thắng   </v>
          </cell>
          <cell r="I9437" t="str">
            <v>71505</v>
          </cell>
        </row>
        <row r="9438">
          <cell r="G9438" t="str">
            <v>Xã Hàm Thắng</v>
          </cell>
          <cell r="I9438" t="str">
            <v>71507</v>
          </cell>
        </row>
        <row r="9439">
          <cell r="G9439" t="str">
            <v xml:space="preserve">Xã Đông Tiến  </v>
          </cell>
          <cell r="I9439" t="str">
            <v>71507</v>
          </cell>
        </row>
        <row r="9440">
          <cell r="G9440" t="str">
            <v>Xã Hồng Liêm</v>
          </cell>
          <cell r="I9440" t="str">
            <v>71507</v>
          </cell>
        </row>
        <row r="9441">
          <cell r="G9441" t="str">
            <v>Xã Thuận Minh</v>
          </cell>
          <cell r="I9441" t="str">
            <v>71507</v>
          </cell>
        </row>
        <row r="9442">
          <cell r="G9442" t="str">
            <v xml:space="preserve">Xã Hồng Sơn  </v>
          </cell>
          <cell r="I9442" t="str">
            <v>71507</v>
          </cell>
        </row>
        <row r="9443">
          <cell r="G9443" t="str">
            <v>Xã Hàm Trí</v>
          </cell>
          <cell r="I9443" t="str">
            <v>71507</v>
          </cell>
        </row>
        <row r="9444">
          <cell r="G9444" t="str">
            <v>Xã Hàm Đức</v>
          </cell>
          <cell r="I9444" t="str">
            <v>71507</v>
          </cell>
        </row>
        <row r="9445">
          <cell r="G9445" t="str">
            <v>Xã Hàm Liêm</v>
          </cell>
          <cell r="I9445" t="str">
            <v>71507</v>
          </cell>
        </row>
        <row r="9446">
          <cell r="G9446" t="str">
            <v>Xã Hàm Chính</v>
          </cell>
          <cell r="I9446" t="str">
            <v>71507</v>
          </cell>
        </row>
        <row r="9447">
          <cell r="G9447" t="str">
            <v>Xã Hàm Hiệp</v>
          </cell>
          <cell r="I9447" t="str">
            <v>71507</v>
          </cell>
        </row>
        <row r="9448">
          <cell r="G9448" t="str">
            <v>Xã Đa Mi</v>
          </cell>
          <cell r="I9448" t="str">
            <v>71507</v>
          </cell>
        </row>
        <row r="9449">
          <cell r="G9449" t="str">
            <v>Thị trấn Ma Lâm</v>
          </cell>
          <cell r="I9449" t="str">
            <v>71507</v>
          </cell>
        </row>
        <row r="9450">
          <cell r="G9450" t="str">
            <v>Thị trấn Phú Long</v>
          </cell>
          <cell r="I9450" t="str">
            <v>71507</v>
          </cell>
        </row>
        <row r="9451">
          <cell r="G9451" t="str">
            <v>Xã La Dạ</v>
          </cell>
          <cell r="I9451" t="str">
            <v>71507</v>
          </cell>
        </row>
        <row r="9452">
          <cell r="G9452" t="str">
            <v xml:space="preserve">Xã Thuận Hòa </v>
          </cell>
          <cell r="I9452" t="str">
            <v>71507</v>
          </cell>
        </row>
        <row r="9453">
          <cell r="G9453" t="str">
            <v xml:space="preserve">Xã Đông Giang </v>
          </cell>
          <cell r="I9453" t="str">
            <v>71507</v>
          </cell>
        </row>
        <row r="9454">
          <cell r="G9454" t="str">
            <v>Xã Hàm Phú</v>
          </cell>
          <cell r="I9454" t="str">
            <v>71507</v>
          </cell>
        </row>
        <row r="9455">
          <cell r="G9455" t="str">
            <v>Xã Hàm Minh</v>
          </cell>
          <cell r="I9455" t="str">
            <v>71509</v>
          </cell>
        </row>
        <row r="9456">
          <cell r="G9456" t="str">
            <v>Xã Hàm Cần</v>
          </cell>
          <cell r="I9456" t="str">
            <v>71509</v>
          </cell>
        </row>
        <row r="9457">
          <cell r="G9457" t="str">
            <v>Xã Hàm Cường</v>
          </cell>
          <cell r="I9457" t="str">
            <v>71509</v>
          </cell>
        </row>
        <row r="9458">
          <cell r="G9458" t="str">
            <v>Xã Thuận Quí</v>
          </cell>
          <cell r="I9458" t="str">
            <v>71509</v>
          </cell>
        </row>
        <row r="9459">
          <cell r="G9459" t="str">
            <v>Thị trấn Thuận Nam</v>
          </cell>
          <cell r="I9459" t="str">
            <v>71509</v>
          </cell>
        </row>
        <row r="9460">
          <cell r="G9460" t="str">
            <v>Xã Mỹ Thạnh</v>
          </cell>
          <cell r="I9460" t="str">
            <v>71509</v>
          </cell>
        </row>
        <row r="9461">
          <cell r="G9461" t="str">
            <v>Xã Mương Mán</v>
          </cell>
          <cell r="I9461" t="str">
            <v>71509</v>
          </cell>
        </row>
        <row r="9462">
          <cell r="G9462" t="str">
            <v>Xã Hàm Thạnh</v>
          </cell>
          <cell r="I9462" t="str">
            <v>71509</v>
          </cell>
        </row>
        <row r="9463">
          <cell r="G9463" t="str">
            <v>Xã Hàm Kiệm</v>
          </cell>
          <cell r="I9463" t="str">
            <v>71509</v>
          </cell>
        </row>
        <row r="9464">
          <cell r="G9464" t="str">
            <v>Xã Hàm Mỹ</v>
          </cell>
          <cell r="I9464" t="str">
            <v>71509</v>
          </cell>
        </row>
        <row r="9465">
          <cell r="G9465" t="str">
            <v xml:space="preserve">Xã Tân Lập                     </v>
          </cell>
          <cell r="I9465" t="str">
            <v>71509</v>
          </cell>
        </row>
        <row r="9466">
          <cell r="G9466" t="str">
            <v>Xã Tân Thuận</v>
          </cell>
          <cell r="I9466" t="str">
            <v>71509</v>
          </cell>
        </row>
        <row r="9467">
          <cell r="G9467" t="str">
            <v xml:space="preserve">Xã Tân Thành                  </v>
          </cell>
          <cell r="I9467" t="str">
            <v>71509</v>
          </cell>
        </row>
        <row r="9468">
          <cell r="G9468" t="str">
            <v xml:space="preserve">Xã Đức Phú </v>
          </cell>
          <cell r="I9468" t="str">
            <v>71511</v>
          </cell>
        </row>
        <row r="9469">
          <cell r="G9469" t="str">
            <v>Xã Bắc Ruộng</v>
          </cell>
          <cell r="I9469" t="str">
            <v>71511</v>
          </cell>
        </row>
        <row r="9470">
          <cell r="G9470" t="str">
            <v>Xã Huy Khiêm</v>
          </cell>
          <cell r="I9470" t="str">
            <v>71511</v>
          </cell>
        </row>
        <row r="9471">
          <cell r="G9471" t="str">
            <v>Xã Gia An</v>
          </cell>
          <cell r="I9471" t="str">
            <v>71511</v>
          </cell>
        </row>
        <row r="9472">
          <cell r="G9472" t="str">
            <v xml:space="preserve">Xã Đức Thuận </v>
          </cell>
          <cell r="I9472" t="str">
            <v>71511</v>
          </cell>
        </row>
        <row r="9473">
          <cell r="G9473" t="str">
            <v>Thị trấn Lạc Tánh</v>
          </cell>
          <cell r="I9473" t="str">
            <v>71511</v>
          </cell>
        </row>
        <row r="9474">
          <cell r="G9474" t="str">
            <v>Xã Măng Tố</v>
          </cell>
          <cell r="I9474" t="str">
            <v>71511</v>
          </cell>
        </row>
        <row r="9475">
          <cell r="G9475" t="str">
            <v>Xã Nghị Đức</v>
          </cell>
          <cell r="I9475" t="str">
            <v>71511</v>
          </cell>
        </row>
        <row r="9476">
          <cell r="G9476" t="str">
            <v>Xã La Ngâu</v>
          </cell>
          <cell r="I9476" t="str">
            <v>71511</v>
          </cell>
        </row>
        <row r="9477">
          <cell r="G9477" t="str">
            <v xml:space="preserve">Xã Đức Tân </v>
          </cell>
          <cell r="I9477" t="str">
            <v>71511</v>
          </cell>
        </row>
        <row r="9478">
          <cell r="G9478" t="str">
            <v>Xã Đồng Kho</v>
          </cell>
          <cell r="I9478" t="str">
            <v>71511</v>
          </cell>
        </row>
        <row r="9479">
          <cell r="G9479" t="str">
            <v>Xã Đức Bình</v>
          </cell>
          <cell r="I9479" t="str">
            <v>71511</v>
          </cell>
        </row>
        <row r="9480">
          <cell r="G9480" t="str">
            <v>Xã Gia Huynh</v>
          </cell>
          <cell r="I9480" t="str">
            <v>71511</v>
          </cell>
        </row>
        <row r="9481">
          <cell r="G9481" t="str">
            <v>Xã Suối Kiết</v>
          </cell>
          <cell r="I9481" t="str">
            <v>71511</v>
          </cell>
        </row>
        <row r="9482">
          <cell r="G9482" t="str">
            <v xml:space="preserve">Xã Tân Tiến               </v>
          </cell>
          <cell r="I9482" t="str">
            <v>71513</v>
          </cell>
        </row>
        <row r="9483">
          <cell r="G9483" t="str">
            <v>Phường Phước Hội</v>
          </cell>
          <cell r="I9483" t="str">
            <v>71513</v>
          </cell>
        </row>
        <row r="9484">
          <cell r="G9484" t="str">
            <v>Phường Phước Lộc</v>
          </cell>
          <cell r="I9484" t="str">
            <v>71513</v>
          </cell>
        </row>
        <row r="9485">
          <cell r="G9485" t="str">
            <v xml:space="preserve">Phường Tân Thiện </v>
          </cell>
          <cell r="I9485" t="str">
            <v>71513</v>
          </cell>
        </row>
        <row r="9486">
          <cell r="G9486" t="str">
            <v xml:space="preserve">Phường Tân An    </v>
          </cell>
          <cell r="I9486" t="str">
            <v>71513</v>
          </cell>
        </row>
        <row r="9487">
          <cell r="G9487" t="str">
            <v xml:space="preserve">Phường Bình Tân </v>
          </cell>
          <cell r="I9487" t="str">
            <v>71513</v>
          </cell>
        </row>
        <row r="9488">
          <cell r="G9488" t="str">
            <v xml:space="preserve">Xã Tân Hải </v>
          </cell>
          <cell r="I9488" t="str">
            <v>71513</v>
          </cell>
        </row>
        <row r="9489">
          <cell r="G9489" t="str">
            <v xml:space="preserve">Xã Tân Bình        </v>
          </cell>
          <cell r="I9489" t="str">
            <v>71513</v>
          </cell>
        </row>
        <row r="9490">
          <cell r="G9490" t="str">
            <v xml:space="preserve">Xã Tân Phước </v>
          </cell>
          <cell r="I9490" t="str">
            <v>71513</v>
          </cell>
        </row>
        <row r="9491">
          <cell r="G9491" t="str">
            <v xml:space="preserve">Xã Tân Phúc   </v>
          </cell>
          <cell r="I9491" t="str">
            <v>71514</v>
          </cell>
        </row>
        <row r="9492">
          <cell r="G9492" t="str">
            <v xml:space="preserve">Xã Tân Đức  </v>
          </cell>
          <cell r="I9492" t="str">
            <v>71514</v>
          </cell>
        </row>
        <row r="9493">
          <cell r="G9493" t="str">
            <v xml:space="preserve">Xã Sơn Mỹ </v>
          </cell>
          <cell r="I9493" t="str">
            <v>71514</v>
          </cell>
        </row>
        <row r="9494">
          <cell r="G9494" t="str">
            <v>Thị trấn Tân Minh</v>
          </cell>
          <cell r="I9494" t="str">
            <v>71514</v>
          </cell>
        </row>
        <row r="9495">
          <cell r="G9495" t="str">
            <v>Thị Trấn Tân Nghĩa</v>
          </cell>
          <cell r="I9495" t="str">
            <v>71514</v>
          </cell>
        </row>
        <row r="9496">
          <cell r="G9496" t="str">
            <v>Xã Sông Phan</v>
          </cell>
          <cell r="I9496" t="str">
            <v>71514</v>
          </cell>
        </row>
        <row r="9497">
          <cell r="G9497" t="str">
            <v xml:space="preserve">Xã Tân Thắng </v>
          </cell>
          <cell r="I9497" t="str">
            <v>71514</v>
          </cell>
        </row>
        <row r="9498">
          <cell r="G9498" t="str">
            <v xml:space="preserve">Xã Tân Hà  </v>
          </cell>
          <cell r="I9498" t="str">
            <v>71514</v>
          </cell>
        </row>
        <row r="9499">
          <cell r="G9499" t="str">
            <v xml:space="preserve">Xã Tân Xuân   </v>
          </cell>
          <cell r="I9499" t="str">
            <v>71514</v>
          </cell>
        </row>
        <row r="9500">
          <cell r="G9500" t="str">
            <v>Xã Thắng Hải</v>
          </cell>
          <cell r="I9500" t="str">
            <v>71514</v>
          </cell>
        </row>
        <row r="9501">
          <cell r="G9501" t="str">
            <v xml:space="preserve">Xã Nam Chính  </v>
          </cell>
          <cell r="I9501" t="str">
            <v>71515</v>
          </cell>
        </row>
        <row r="9502">
          <cell r="G9502" t="str">
            <v>Xã Đa Kai</v>
          </cell>
          <cell r="I9502" t="str">
            <v>71515</v>
          </cell>
        </row>
        <row r="9503">
          <cell r="G9503" t="str">
            <v xml:space="preserve">Xã Đức Chính  </v>
          </cell>
          <cell r="I9503" t="str">
            <v>71515</v>
          </cell>
        </row>
        <row r="9504">
          <cell r="G9504" t="str">
            <v xml:space="preserve">Xã Tân Hà   </v>
          </cell>
          <cell r="I9504" t="str">
            <v>71515</v>
          </cell>
        </row>
        <row r="9505">
          <cell r="G9505" t="str">
            <v>Thị trấn Võ Xu</v>
          </cell>
          <cell r="I9505" t="str">
            <v>71515</v>
          </cell>
        </row>
        <row r="9506">
          <cell r="G9506" t="str">
            <v>Thị trấn Đức Tài</v>
          </cell>
          <cell r="I9506" t="str">
            <v>71515</v>
          </cell>
        </row>
        <row r="9507">
          <cell r="G9507" t="str">
            <v>Xã Sùng Nhơn</v>
          </cell>
          <cell r="I9507" t="str">
            <v>71515</v>
          </cell>
        </row>
        <row r="9508">
          <cell r="G9508" t="str">
            <v>Xã Mê Pu</v>
          </cell>
          <cell r="I9508" t="str">
            <v>71515</v>
          </cell>
        </row>
        <row r="9509">
          <cell r="G9509" t="str">
            <v xml:space="preserve">Xã Đức Hạnh  </v>
          </cell>
          <cell r="I9509" t="str">
            <v>71515</v>
          </cell>
        </row>
        <row r="9510">
          <cell r="G9510" t="str">
            <v>Xã Đức Tín</v>
          </cell>
          <cell r="I9510" t="str">
            <v>71515</v>
          </cell>
        </row>
        <row r="9511">
          <cell r="G9511" t="str">
            <v xml:space="preserve">Xã Vũ Hòa </v>
          </cell>
          <cell r="I9511" t="str">
            <v>71515</v>
          </cell>
        </row>
        <row r="9512">
          <cell r="G9512" t="str">
            <v xml:space="preserve">Xã Đông Hà  </v>
          </cell>
          <cell r="I9512" t="str">
            <v>71515</v>
          </cell>
        </row>
        <row r="9513">
          <cell r="G9513" t="str">
            <v xml:space="preserve">Xã Trà Tân  </v>
          </cell>
          <cell r="I9513" t="str">
            <v>71515</v>
          </cell>
        </row>
        <row r="9514">
          <cell r="G9514" t="str">
            <v xml:space="preserve">Xã Tam Thanh    </v>
          </cell>
          <cell r="I9514" t="str">
            <v>71517</v>
          </cell>
        </row>
        <row r="9515">
          <cell r="G9515" t="str">
            <v>Xã Ngũ Phụng</v>
          </cell>
          <cell r="I9515" t="str">
            <v>71517</v>
          </cell>
        </row>
        <row r="9516">
          <cell r="G9516" t="str">
            <v>Xã Long Hải</v>
          </cell>
          <cell r="I9516" t="str">
            <v>71517</v>
          </cell>
        </row>
        <row r="9517">
          <cell r="G9517" t="str">
            <v xml:space="preserve">Phường 1           </v>
          </cell>
          <cell r="I9517" t="str">
            <v>71701</v>
          </cell>
        </row>
        <row r="9518">
          <cell r="G9518" t="str">
            <v>Phường Nguyễn An Ninh</v>
          </cell>
          <cell r="I9518" t="str">
            <v>71701</v>
          </cell>
        </row>
        <row r="9519">
          <cell r="G9519" t="str">
            <v xml:space="preserve">Phường 10           </v>
          </cell>
          <cell r="I9519" t="str">
            <v>71701</v>
          </cell>
        </row>
        <row r="9520">
          <cell r="G9520" t="str">
            <v xml:space="preserve">Xã Long Sơn     </v>
          </cell>
          <cell r="I9520" t="str">
            <v>71701</v>
          </cell>
        </row>
        <row r="9521">
          <cell r="G9521" t="str">
            <v>Phường Thắng Tam</v>
          </cell>
          <cell r="I9521" t="str">
            <v>71701</v>
          </cell>
        </row>
        <row r="9522">
          <cell r="G9522" t="str">
            <v xml:space="preserve">Phường 2          </v>
          </cell>
          <cell r="I9522" t="str">
            <v>71701</v>
          </cell>
        </row>
        <row r="9523">
          <cell r="G9523" t="str">
            <v xml:space="preserve">Phường 3          </v>
          </cell>
          <cell r="I9523" t="str">
            <v>71701</v>
          </cell>
        </row>
        <row r="9524">
          <cell r="G9524" t="str">
            <v xml:space="preserve">Phường 4        </v>
          </cell>
          <cell r="I9524" t="str">
            <v>71701</v>
          </cell>
        </row>
        <row r="9525">
          <cell r="G9525" t="str">
            <v xml:space="preserve">Phường 5        </v>
          </cell>
          <cell r="I9525" t="str">
            <v>71701</v>
          </cell>
        </row>
        <row r="9526">
          <cell r="G9526" t="str">
            <v>Phường Thắng Nhì</v>
          </cell>
          <cell r="I9526" t="str">
            <v>71701</v>
          </cell>
        </row>
        <row r="9527">
          <cell r="G9527" t="str">
            <v xml:space="preserve">Phường 7       </v>
          </cell>
          <cell r="I9527" t="str">
            <v>71701</v>
          </cell>
        </row>
        <row r="9528">
          <cell r="G9528" t="str">
            <v xml:space="preserve">Phường 8      </v>
          </cell>
          <cell r="I9528" t="str">
            <v>71701</v>
          </cell>
        </row>
        <row r="9529">
          <cell r="G9529" t="str">
            <v xml:space="preserve">Phường 9      </v>
          </cell>
          <cell r="I9529" t="str">
            <v>71701</v>
          </cell>
        </row>
        <row r="9530">
          <cell r="G9530" t="str">
            <v>Phường Thắng Nhất</v>
          </cell>
          <cell r="I9530" t="str">
            <v>71701</v>
          </cell>
        </row>
        <row r="9531">
          <cell r="G9531" t="str">
            <v>Phường Rạch Dừa</v>
          </cell>
          <cell r="I9531" t="str">
            <v>71701</v>
          </cell>
        </row>
        <row r="9532">
          <cell r="G9532" t="str">
            <v xml:space="preserve">Phường 11           </v>
          </cell>
          <cell r="I9532" t="str">
            <v>71701</v>
          </cell>
        </row>
        <row r="9533">
          <cell r="G9533" t="str">
            <v xml:space="preserve">Phường 12            </v>
          </cell>
          <cell r="I9533" t="str">
            <v>71701</v>
          </cell>
        </row>
        <row r="9534">
          <cell r="G9534" t="str">
            <v>Phường Phước Hiệp</v>
          </cell>
          <cell r="I9534" t="str">
            <v>71703</v>
          </cell>
        </row>
        <row r="9535">
          <cell r="G9535" t="str">
            <v>Phường Long Toàn</v>
          </cell>
          <cell r="I9535" t="str">
            <v>71703</v>
          </cell>
        </row>
        <row r="9536">
          <cell r="G9536" t="str">
            <v>Phường Phước Hưng</v>
          </cell>
          <cell r="I9536" t="str">
            <v>71703</v>
          </cell>
        </row>
        <row r="9537">
          <cell r="G9537" t="str">
            <v>Phường Phước Nguyên</v>
          </cell>
          <cell r="I9537" t="str">
            <v>71703</v>
          </cell>
        </row>
        <row r="9538">
          <cell r="G9538" t="str">
            <v>Phường Long Tâm</v>
          </cell>
          <cell r="I9538" t="str">
            <v>71703</v>
          </cell>
        </row>
        <row r="9539">
          <cell r="G9539" t="str">
            <v>Phường Phước Trung</v>
          </cell>
          <cell r="I9539" t="str">
            <v>71703</v>
          </cell>
        </row>
        <row r="9540">
          <cell r="G9540" t="str">
            <v>Phường Long Hương</v>
          </cell>
          <cell r="I9540" t="str">
            <v>71703</v>
          </cell>
        </row>
        <row r="9541">
          <cell r="G9541" t="str">
            <v>Phường Kim Dinh</v>
          </cell>
          <cell r="I9541" t="str">
            <v>71703</v>
          </cell>
        </row>
        <row r="9542">
          <cell r="G9542" t="str">
            <v xml:space="preserve">Xã Tân Hưng          </v>
          </cell>
          <cell r="I9542" t="str">
            <v>71703</v>
          </cell>
        </row>
        <row r="9543">
          <cell r="G9543" t="str">
            <v xml:space="preserve">Xã Long Phước  </v>
          </cell>
          <cell r="I9543" t="str">
            <v>71703</v>
          </cell>
        </row>
        <row r="9544">
          <cell r="G9544" t="str">
            <v xml:space="preserve">Xã Hòa Long </v>
          </cell>
          <cell r="I9544" t="str">
            <v>71703</v>
          </cell>
        </row>
        <row r="9545">
          <cell r="G9545" t="str">
            <v>Xã Bàu Chinh</v>
          </cell>
          <cell r="I9545" t="str">
            <v>71705</v>
          </cell>
        </row>
        <row r="9546">
          <cell r="G9546" t="str">
            <v xml:space="preserve">Xã Bình Trung    </v>
          </cell>
          <cell r="I9546" t="str">
            <v>71705</v>
          </cell>
        </row>
        <row r="9547">
          <cell r="G9547" t="str">
            <v>Thị trấn Ngãi Giao</v>
          </cell>
          <cell r="I9547" t="str">
            <v>71705</v>
          </cell>
        </row>
        <row r="9548">
          <cell r="G9548" t="str">
            <v xml:space="preserve">Xã Sơn Bình   </v>
          </cell>
          <cell r="I9548" t="str">
            <v>71705</v>
          </cell>
        </row>
        <row r="9549">
          <cell r="G9549" t="str">
            <v>Xã Láng Lớn</v>
          </cell>
          <cell r="I9549" t="str">
            <v>71705</v>
          </cell>
        </row>
        <row r="9550">
          <cell r="G9550" t="str">
            <v>Xã Đá Bạc</v>
          </cell>
          <cell r="I9550" t="str">
            <v>71705</v>
          </cell>
        </row>
        <row r="9551">
          <cell r="G9551" t="str">
            <v>Xã Bình Ba</v>
          </cell>
          <cell r="I9551" t="str">
            <v>71705</v>
          </cell>
        </row>
        <row r="9552">
          <cell r="G9552" t="str">
            <v>Xã Suối Nghệ</v>
          </cell>
          <cell r="I9552" t="str">
            <v>71705</v>
          </cell>
        </row>
        <row r="9553">
          <cell r="G9553" t="str">
            <v xml:space="preserve">Xã Xuân Sơn      </v>
          </cell>
          <cell r="I9553" t="str">
            <v>71705</v>
          </cell>
        </row>
        <row r="9554">
          <cell r="G9554" t="str">
            <v>Xã Bình Giã</v>
          </cell>
          <cell r="I9554" t="str">
            <v>71705</v>
          </cell>
        </row>
        <row r="9555">
          <cell r="G9555" t="str">
            <v>Xã Xà Bang</v>
          </cell>
          <cell r="I9555" t="str">
            <v>71705</v>
          </cell>
        </row>
        <row r="9556">
          <cell r="G9556" t="str">
            <v>Xã Cù Bị</v>
          </cell>
          <cell r="I9556" t="str">
            <v>71705</v>
          </cell>
        </row>
        <row r="9557">
          <cell r="G9557" t="str">
            <v xml:space="preserve">Xã Quảng Thành   </v>
          </cell>
          <cell r="I9557" t="str">
            <v>71705</v>
          </cell>
        </row>
        <row r="9558">
          <cell r="G9558" t="str">
            <v xml:space="preserve">Xã Kim Long </v>
          </cell>
          <cell r="I9558" t="str">
            <v>71705</v>
          </cell>
        </row>
        <row r="9559">
          <cell r="G9559" t="str">
            <v>Xã Suối Rao</v>
          </cell>
          <cell r="I9559" t="str">
            <v>71705</v>
          </cell>
        </row>
        <row r="9560">
          <cell r="G9560" t="str">
            <v xml:space="preserve">Xã Nghĩa Thành </v>
          </cell>
          <cell r="I9560" t="str">
            <v>71705</v>
          </cell>
        </row>
        <row r="9561">
          <cell r="G9561" t="str">
            <v>Xã Xuyên Mộc</v>
          </cell>
          <cell r="I9561" t="str">
            <v>71707</v>
          </cell>
        </row>
        <row r="9562">
          <cell r="G9562" t="str">
            <v xml:space="preserve">Xã Phước Tân    </v>
          </cell>
          <cell r="I9562" t="str">
            <v>71707</v>
          </cell>
        </row>
        <row r="9563">
          <cell r="G9563" t="str">
            <v xml:space="preserve">Xã Hòa Bình              </v>
          </cell>
          <cell r="I9563" t="str">
            <v>71707</v>
          </cell>
        </row>
        <row r="9564">
          <cell r="G9564" t="str">
            <v>Xã Bưng Riềng</v>
          </cell>
          <cell r="I9564" t="str">
            <v>71707</v>
          </cell>
        </row>
        <row r="9565">
          <cell r="G9565" t="str">
            <v>Thị trấn Phước Bửu</v>
          </cell>
          <cell r="I9565" t="str">
            <v>71707</v>
          </cell>
        </row>
        <row r="9566">
          <cell r="G9566" t="str">
            <v xml:space="preserve">Xã Phước Thuận  </v>
          </cell>
          <cell r="I9566" t="str">
            <v>71707</v>
          </cell>
        </row>
        <row r="9567">
          <cell r="G9567" t="str">
            <v>Xã Bông Trang</v>
          </cell>
          <cell r="I9567" t="str">
            <v>71707</v>
          </cell>
        </row>
        <row r="9568">
          <cell r="G9568" t="str">
            <v xml:space="preserve">Xã Tân Lâm </v>
          </cell>
          <cell r="I9568" t="str">
            <v>71707</v>
          </cell>
        </row>
        <row r="9569">
          <cell r="G9569" t="str">
            <v>Xã Bàu Lâm</v>
          </cell>
          <cell r="I9569" t="str">
            <v>71707</v>
          </cell>
        </row>
        <row r="9570">
          <cell r="G9570" t="str">
            <v>Xã Hòa Hưng</v>
          </cell>
          <cell r="I9570" t="str">
            <v>71707</v>
          </cell>
        </row>
        <row r="9571">
          <cell r="G9571" t="str">
            <v xml:space="preserve">Xã Hòa Hiệp   </v>
          </cell>
          <cell r="I9571" t="str">
            <v>71707</v>
          </cell>
        </row>
        <row r="9572">
          <cell r="G9572" t="str">
            <v xml:space="preserve">Xã Hòa Hội  </v>
          </cell>
          <cell r="I9572" t="str">
            <v>71707</v>
          </cell>
        </row>
        <row r="9573">
          <cell r="G9573" t="str">
            <v xml:space="preserve">Xã Bình Châu </v>
          </cell>
          <cell r="I9573" t="str">
            <v>71707</v>
          </cell>
        </row>
        <row r="9574">
          <cell r="G9574" t="str">
            <v>Thị trấn Phú Mỹ</v>
          </cell>
          <cell r="I9574" t="str">
            <v>71709</v>
          </cell>
        </row>
        <row r="9575">
          <cell r="G9575" t="str">
            <v>Xã Sông Xoài</v>
          </cell>
          <cell r="I9575" t="str">
            <v>71709</v>
          </cell>
        </row>
        <row r="9576">
          <cell r="G9576" t="str">
            <v xml:space="preserve">Xã Tân Hải  </v>
          </cell>
          <cell r="I9576" t="str">
            <v>71709</v>
          </cell>
        </row>
        <row r="9577">
          <cell r="G9577" t="str">
            <v xml:space="preserve">Xã Tân Hòa        </v>
          </cell>
          <cell r="I9577" t="str">
            <v>71709</v>
          </cell>
        </row>
        <row r="9578">
          <cell r="G9578" t="str">
            <v xml:space="preserve">Xã Phước Hòa    </v>
          </cell>
          <cell r="I9578" t="str">
            <v>71709</v>
          </cell>
        </row>
        <row r="9579">
          <cell r="G9579" t="str">
            <v xml:space="preserve">Xã Tân Phước  </v>
          </cell>
          <cell r="I9579" t="str">
            <v>71709</v>
          </cell>
        </row>
        <row r="9580">
          <cell r="G9580" t="str">
            <v>Xã Mỹ Xuân</v>
          </cell>
          <cell r="I9580" t="str">
            <v>71709</v>
          </cell>
        </row>
        <row r="9581">
          <cell r="G9581" t="str">
            <v>Xã Hắc Dịch</v>
          </cell>
          <cell r="I9581" t="str">
            <v>71709</v>
          </cell>
        </row>
        <row r="9582">
          <cell r="G9582" t="str">
            <v>Xã Châu Pha</v>
          </cell>
          <cell r="I9582" t="str">
            <v>71709</v>
          </cell>
        </row>
        <row r="9583">
          <cell r="G9583" t="str">
            <v>Xã Tóc Tiên</v>
          </cell>
          <cell r="I9583" t="str">
            <v>71709</v>
          </cell>
        </row>
        <row r="9584">
          <cell r="G9584" t="str">
            <v>Thị trấn Long Hải</v>
          </cell>
          <cell r="I9584" t="str">
            <v>71711</v>
          </cell>
        </row>
        <row r="9585">
          <cell r="G9585" t="str">
            <v>Xã An Ngãi</v>
          </cell>
          <cell r="I9585" t="str">
            <v>71711</v>
          </cell>
        </row>
        <row r="9586">
          <cell r="G9586" t="str">
            <v>Xã Phước Tỉnh</v>
          </cell>
          <cell r="I9586" t="str">
            <v>71711</v>
          </cell>
        </row>
        <row r="9587">
          <cell r="G9587" t="str">
            <v>Thị trấn Long Điền</v>
          </cell>
          <cell r="I9587" t="str">
            <v>71711</v>
          </cell>
        </row>
        <row r="9588">
          <cell r="G9588" t="str">
            <v xml:space="preserve">Xã Tam Phước </v>
          </cell>
          <cell r="I9588" t="str">
            <v>71711</v>
          </cell>
        </row>
        <row r="9589">
          <cell r="G9589" t="str">
            <v>Xã An Nhứt</v>
          </cell>
          <cell r="I9589" t="str">
            <v>71711</v>
          </cell>
        </row>
        <row r="9590">
          <cell r="G9590" t="str">
            <v xml:space="preserve">Xã Phước Hưng </v>
          </cell>
          <cell r="I9590" t="str">
            <v>71711</v>
          </cell>
        </row>
        <row r="9591">
          <cell r="G9591" t="str">
            <v>Xã Long Mỹ</v>
          </cell>
          <cell r="I9591" t="str">
            <v>71712</v>
          </cell>
        </row>
        <row r="9592">
          <cell r="G9592" t="str">
            <v>Xã Láng Dài</v>
          </cell>
          <cell r="I9592" t="str">
            <v>71712</v>
          </cell>
        </row>
        <row r="9593">
          <cell r="G9593" t="str">
            <v>Thị trấn Đất Đỏ</v>
          </cell>
          <cell r="I9593" t="str">
            <v>71712</v>
          </cell>
        </row>
        <row r="9594">
          <cell r="G9594" t="str">
            <v>Xã Phước Long Thọ</v>
          </cell>
          <cell r="I9594" t="str">
            <v>71712</v>
          </cell>
        </row>
        <row r="9595">
          <cell r="G9595" t="str">
            <v>Xã Phước Hội</v>
          </cell>
          <cell r="I9595" t="str">
            <v>71712</v>
          </cell>
        </row>
        <row r="9596">
          <cell r="G9596" t="str">
            <v>Thị Trấn Phước Hải</v>
          </cell>
          <cell r="I9596" t="str">
            <v>71712</v>
          </cell>
        </row>
        <row r="9597">
          <cell r="G9597" t="str">
            <v xml:space="preserve">Xã Long Tân   </v>
          </cell>
          <cell r="I9597" t="str">
            <v>71712</v>
          </cell>
        </row>
        <row r="9598">
          <cell r="G9598" t="str">
            <v xml:space="preserve">Xã Lộc An     </v>
          </cell>
          <cell r="I9598" t="str">
            <v>71712</v>
          </cell>
        </row>
        <row r="9599">
          <cell r="G9599" t="str">
            <v>Thị trấn Côn Đảo</v>
          </cell>
          <cell r="I9599" t="str">
            <v>71713</v>
          </cell>
        </row>
        <row r="9600">
          <cell r="G9600" t="str">
            <v>Xã Hướng Thọ Phú</v>
          </cell>
          <cell r="I9600" t="str">
            <v>80101</v>
          </cell>
        </row>
        <row r="9601">
          <cell r="G9601" t="str">
            <v xml:space="preserve">Phường 3           </v>
          </cell>
          <cell r="I9601" t="str">
            <v>80101</v>
          </cell>
        </row>
        <row r="9602">
          <cell r="G9602" t="str">
            <v>Xã Nhơn Thạnh Trung</v>
          </cell>
          <cell r="I9602" t="str">
            <v>80101</v>
          </cell>
        </row>
        <row r="9603">
          <cell r="G9603" t="str">
            <v xml:space="preserve">Phường 5         </v>
          </cell>
          <cell r="I9603" t="str">
            <v>80101</v>
          </cell>
        </row>
        <row r="9604">
          <cell r="G9604" t="str">
            <v>Xã An Vĩnh Ngãi</v>
          </cell>
          <cell r="I9604" t="str">
            <v>80101</v>
          </cell>
        </row>
        <row r="9605">
          <cell r="G9605" t="str">
            <v xml:space="preserve">Phường 2           </v>
          </cell>
          <cell r="I9605" t="str">
            <v>80101</v>
          </cell>
        </row>
        <row r="9606">
          <cell r="G9606" t="str">
            <v xml:space="preserve">Phường 4         </v>
          </cell>
          <cell r="I9606" t="str">
            <v>80101</v>
          </cell>
        </row>
        <row r="9607">
          <cell r="G9607" t="str">
            <v xml:space="preserve">Phường 1            </v>
          </cell>
          <cell r="I9607" t="str">
            <v>80101</v>
          </cell>
        </row>
        <row r="9608">
          <cell r="G9608" t="str">
            <v xml:space="preserve">Phường 7        </v>
          </cell>
          <cell r="I9608" t="str">
            <v>80101</v>
          </cell>
        </row>
        <row r="9609">
          <cell r="G9609" t="str">
            <v xml:space="preserve">Phường 6        </v>
          </cell>
          <cell r="I9609" t="str">
            <v>80101</v>
          </cell>
        </row>
        <row r="9610">
          <cell r="G9610" t="str">
            <v>Xã Lợi Bình Nhơn</v>
          </cell>
          <cell r="I9610" t="str">
            <v>80101</v>
          </cell>
        </row>
        <row r="9611">
          <cell r="G9611" t="str">
            <v>Xã Bình Tâm</v>
          </cell>
          <cell r="I9611" t="str">
            <v>80101</v>
          </cell>
        </row>
        <row r="9612">
          <cell r="G9612" t="str">
            <v>Phường Khánh Hậu</v>
          </cell>
          <cell r="I9612" t="str">
            <v>80101</v>
          </cell>
        </row>
        <row r="9613">
          <cell r="G9613" t="str">
            <v>Phường Tân Khánh</v>
          </cell>
          <cell r="I9613" t="str">
            <v>80101</v>
          </cell>
        </row>
        <row r="9614">
          <cell r="G9614" t="str">
            <v xml:space="preserve">Xã Vĩnh Thạnh </v>
          </cell>
          <cell r="I9614" t="str">
            <v>80103</v>
          </cell>
        </row>
        <row r="9615">
          <cell r="G9615" t="str">
            <v>Thị trấn Tân Hưng</v>
          </cell>
          <cell r="I9615" t="str">
            <v>80103</v>
          </cell>
        </row>
        <row r="9616">
          <cell r="G9616" t="str">
            <v>Xã Hưng Hà</v>
          </cell>
          <cell r="I9616" t="str">
            <v>80103</v>
          </cell>
        </row>
        <row r="9617">
          <cell r="G9617" t="str">
            <v>Xã Hưng Điền B</v>
          </cell>
          <cell r="I9617" t="str">
            <v>80103</v>
          </cell>
        </row>
        <row r="9618">
          <cell r="G9618" t="str">
            <v>Xã Hưng Điền</v>
          </cell>
          <cell r="I9618" t="str">
            <v>80103</v>
          </cell>
        </row>
        <row r="9619">
          <cell r="G9619" t="str">
            <v>Xã Thạnh Hưng</v>
          </cell>
          <cell r="I9619" t="str">
            <v>80103</v>
          </cell>
        </row>
        <row r="9620">
          <cell r="G9620" t="str">
            <v>Xã Hưng Thạnh</v>
          </cell>
          <cell r="I9620" t="str">
            <v>80103</v>
          </cell>
        </row>
        <row r="9621">
          <cell r="G9621" t="str">
            <v>Xã Vĩnh Châu B</v>
          </cell>
          <cell r="I9621" t="str">
            <v>80103</v>
          </cell>
        </row>
        <row r="9622">
          <cell r="G9622" t="str">
            <v xml:space="preserve">Xã Vĩnh Lợi </v>
          </cell>
          <cell r="I9622" t="str">
            <v>80103</v>
          </cell>
        </row>
        <row r="9623">
          <cell r="G9623" t="str">
            <v>Xã Vĩnh Đại</v>
          </cell>
          <cell r="I9623" t="str">
            <v>80103</v>
          </cell>
        </row>
        <row r="9624">
          <cell r="G9624" t="str">
            <v>Xã Vĩnh Châu A</v>
          </cell>
          <cell r="I9624" t="str">
            <v>80103</v>
          </cell>
        </row>
        <row r="9625">
          <cell r="G9625" t="str">
            <v>Xã Vĩnh Bửu</v>
          </cell>
          <cell r="I9625" t="str">
            <v>80103</v>
          </cell>
        </row>
        <row r="9626">
          <cell r="G9626" t="str">
            <v>Xã Vĩnh Trị</v>
          </cell>
          <cell r="I9626" t="str">
            <v>80105</v>
          </cell>
        </row>
        <row r="9627">
          <cell r="G9627" t="str">
            <v>Thị trấn Vĩnh Hưng</v>
          </cell>
          <cell r="I9627" t="str">
            <v>80105</v>
          </cell>
        </row>
        <row r="9628">
          <cell r="G9628" t="str">
            <v>Xã Thái Bình Trung</v>
          </cell>
          <cell r="I9628" t="str">
            <v>80105</v>
          </cell>
        </row>
        <row r="9629">
          <cell r="G9629" t="str">
            <v>Xã Hưng Điền A</v>
          </cell>
          <cell r="I9629" t="str">
            <v>80105</v>
          </cell>
        </row>
        <row r="9630">
          <cell r="G9630" t="str">
            <v>Xã Khánh Hưng</v>
          </cell>
          <cell r="I9630" t="str">
            <v>80105</v>
          </cell>
        </row>
        <row r="9631">
          <cell r="G9631" t="str">
            <v>Xã Thái Trị</v>
          </cell>
          <cell r="I9631" t="str">
            <v>80105</v>
          </cell>
        </row>
        <row r="9632">
          <cell r="G9632" t="str">
            <v>Xã Vĩnh Bình</v>
          </cell>
          <cell r="I9632" t="str">
            <v>80105</v>
          </cell>
        </row>
        <row r="9633">
          <cell r="G9633" t="str">
            <v xml:space="preserve">Xã Vĩnh Thuận </v>
          </cell>
          <cell r="I9633" t="str">
            <v>80105</v>
          </cell>
        </row>
        <row r="9634">
          <cell r="G9634" t="str">
            <v>Xã Tuyên Bình</v>
          </cell>
          <cell r="I9634" t="str">
            <v>80105</v>
          </cell>
        </row>
        <row r="9635">
          <cell r="G9635" t="str">
            <v>Xã Tuyên Bình Tây</v>
          </cell>
          <cell r="I9635" t="str">
            <v>80105</v>
          </cell>
        </row>
        <row r="9636">
          <cell r="G9636" t="str">
            <v>Xã Bình Hòa Đông</v>
          </cell>
          <cell r="I9636" t="str">
            <v>80107</v>
          </cell>
        </row>
        <row r="9637">
          <cell r="G9637" t="str">
            <v xml:space="preserve">Xã Tân Thành                   </v>
          </cell>
          <cell r="I9637" t="str">
            <v>80107</v>
          </cell>
        </row>
        <row r="9638">
          <cell r="G9638" t="str">
            <v>Xã Bình Hòa Tây</v>
          </cell>
          <cell r="I9638" t="str">
            <v>80107</v>
          </cell>
        </row>
        <row r="9639">
          <cell r="G9639" t="str">
            <v xml:space="preserve">Xã Bình Thạnh    </v>
          </cell>
          <cell r="I9639" t="str">
            <v>80107</v>
          </cell>
        </row>
        <row r="9640">
          <cell r="G9640" t="str">
            <v>Xã Bình Hòa Trung</v>
          </cell>
          <cell r="I9640" t="str">
            <v>80107</v>
          </cell>
        </row>
        <row r="9641">
          <cell r="G9641" t="str">
            <v>Xã Bình Phong Thạnh</v>
          </cell>
          <cell r="I9641" t="str">
            <v>80107</v>
          </cell>
        </row>
        <row r="9642">
          <cell r="G9642" t="str">
            <v xml:space="preserve">Xã Tân Lập                      </v>
          </cell>
          <cell r="I9642" t="str">
            <v>80107</v>
          </cell>
        </row>
        <row r="9643">
          <cell r="G9643" t="str">
            <v>Xã Nhơn Hòa</v>
          </cell>
          <cell r="I9643" t="str">
            <v>80109</v>
          </cell>
        </row>
        <row r="9644">
          <cell r="G9644" t="str">
            <v>Xã Nhơn Hòa Lập</v>
          </cell>
          <cell r="I9644" t="str">
            <v>80109</v>
          </cell>
        </row>
        <row r="9645">
          <cell r="G9645" t="str">
            <v xml:space="preserve">Xã Tân Thành                    </v>
          </cell>
          <cell r="I9645" t="str">
            <v>80109</v>
          </cell>
        </row>
        <row r="9646">
          <cell r="G9646" t="str">
            <v xml:space="preserve">Xã Tân Hòa         </v>
          </cell>
          <cell r="I9646" t="str">
            <v>80109</v>
          </cell>
        </row>
        <row r="9647">
          <cell r="G9647" t="str">
            <v>Thị trấn Tân Thạnh</v>
          </cell>
          <cell r="I9647" t="str">
            <v>80109</v>
          </cell>
        </row>
        <row r="9648">
          <cell r="G9648" t="str">
            <v>Xã Bắc Hòa</v>
          </cell>
          <cell r="I9648" t="str">
            <v>80109</v>
          </cell>
        </row>
        <row r="9649">
          <cell r="G9649" t="str">
            <v>Xã Hậu Thạnh Tây</v>
          </cell>
          <cell r="I9649" t="str">
            <v>80109</v>
          </cell>
        </row>
        <row r="9650">
          <cell r="G9650" t="str">
            <v xml:space="preserve">Xã Tân Lập                       </v>
          </cell>
          <cell r="I9650" t="str">
            <v>80109</v>
          </cell>
        </row>
        <row r="9651">
          <cell r="G9651" t="str">
            <v>Xã Hậu Thạnh Đông</v>
          </cell>
          <cell r="I9651" t="str">
            <v>80109</v>
          </cell>
        </row>
        <row r="9652">
          <cell r="G9652" t="str">
            <v>Xã Kiến Bình</v>
          </cell>
          <cell r="I9652" t="str">
            <v>80109</v>
          </cell>
        </row>
        <row r="9653">
          <cell r="G9653" t="str">
            <v xml:space="preserve">Xã Tân Bình         </v>
          </cell>
          <cell r="I9653" t="str">
            <v>80109</v>
          </cell>
        </row>
        <row r="9654">
          <cell r="G9654" t="str">
            <v xml:space="preserve">Xã Tân Ninh  </v>
          </cell>
          <cell r="I9654" t="str">
            <v>80109</v>
          </cell>
        </row>
        <row r="9655">
          <cell r="G9655" t="str">
            <v>Xã Nhơn Ninh</v>
          </cell>
          <cell r="I9655" t="str">
            <v>80109</v>
          </cell>
        </row>
        <row r="9656">
          <cell r="G9656" t="str">
            <v xml:space="preserve">Xã Thạnh Phú </v>
          </cell>
          <cell r="I9656" t="str">
            <v>80111</v>
          </cell>
        </row>
        <row r="9657">
          <cell r="G9657" t="str">
            <v>Xã Thạnh Phước</v>
          </cell>
          <cell r="I9657" t="str">
            <v>80111</v>
          </cell>
        </row>
        <row r="9658">
          <cell r="G9658" t="str">
            <v>Xã Thủy Tây</v>
          </cell>
          <cell r="I9658" t="str">
            <v>80111</v>
          </cell>
        </row>
        <row r="9659">
          <cell r="G9659" t="str">
            <v>Thị trấn Thạnh Hóa</v>
          </cell>
          <cell r="I9659" t="str">
            <v>80111</v>
          </cell>
        </row>
        <row r="9660">
          <cell r="G9660" t="str">
            <v xml:space="preserve">Xã Tân Hiệp       </v>
          </cell>
          <cell r="I9660" t="str">
            <v>80111</v>
          </cell>
        </row>
        <row r="9661">
          <cell r="G9661" t="str">
            <v>Xã Thuận Bình</v>
          </cell>
          <cell r="I9661" t="str">
            <v>80111</v>
          </cell>
        </row>
        <row r="9662">
          <cell r="G9662" t="str">
            <v>Xã Thuận Nghĩa Hòa</v>
          </cell>
          <cell r="I9662" t="str">
            <v>80111</v>
          </cell>
        </row>
        <row r="9663">
          <cell r="G9663" t="str">
            <v>Xã Thủy Đông</v>
          </cell>
          <cell r="I9663" t="str">
            <v>80111</v>
          </cell>
        </row>
        <row r="9664">
          <cell r="G9664" t="str">
            <v>Xã Tân Tây</v>
          </cell>
          <cell r="I9664" t="str">
            <v>80111</v>
          </cell>
        </row>
        <row r="9665">
          <cell r="G9665" t="str">
            <v xml:space="preserve">Xã Tân Đông </v>
          </cell>
          <cell r="I9665" t="str">
            <v>80111</v>
          </cell>
        </row>
        <row r="9666">
          <cell r="G9666" t="str">
            <v xml:space="preserve">Xã Thạnh An </v>
          </cell>
          <cell r="I9666" t="str">
            <v>80111</v>
          </cell>
        </row>
        <row r="9667">
          <cell r="G9667" t="str">
            <v>Xã Mỹ Thạnh Tây</v>
          </cell>
          <cell r="I9667" t="str">
            <v>80113</v>
          </cell>
        </row>
        <row r="9668">
          <cell r="G9668" t="str">
            <v>Thị trấn Đông Thành</v>
          </cell>
          <cell r="I9668" t="str">
            <v>80113</v>
          </cell>
        </row>
        <row r="9669">
          <cell r="G9669" t="str">
            <v>Xã Mỹ Thạnh Đông</v>
          </cell>
          <cell r="I9669" t="str">
            <v>80113</v>
          </cell>
        </row>
        <row r="9670">
          <cell r="G9670" t="str">
            <v>Xã Bình Hòa Nam</v>
          </cell>
          <cell r="I9670" t="str">
            <v>80113</v>
          </cell>
        </row>
        <row r="9671">
          <cell r="G9671" t="str">
            <v>Xã Mỹ Quý Đông</v>
          </cell>
          <cell r="I9671" t="str">
            <v>80113</v>
          </cell>
        </row>
        <row r="9672">
          <cell r="G9672" t="str">
            <v>Xã Mỹ Thạnh Bắc</v>
          </cell>
          <cell r="I9672" t="str">
            <v>80113</v>
          </cell>
        </row>
        <row r="9673">
          <cell r="G9673" t="str">
            <v>Xã Mỹ Quý Tây</v>
          </cell>
          <cell r="I9673" t="str">
            <v>80113</v>
          </cell>
        </row>
        <row r="9674">
          <cell r="G9674" t="str">
            <v xml:space="preserve">Xã Bình Thành   </v>
          </cell>
          <cell r="I9674" t="str">
            <v>80113</v>
          </cell>
        </row>
        <row r="9675">
          <cell r="G9675" t="str">
            <v>Xã Bình Hòa Bắc</v>
          </cell>
          <cell r="I9675" t="str">
            <v>80113</v>
          </cell>
        </row>
        <row r="9676">
          <cell r="G9676" t="str">
            <v>Xã Bình Hòa Hưng</v>
          </cell>
          <cell r="I9676" t="str">
            <v>80113</v>
          </cell>
        </row>
        <row r="9677">
          <cell r="G9677" t="str">
            <v>Xã Mỹ Bình</v>
          </cell>
          <cell r="I9677" t="str">
            <v>80113</v>
          </cell>
        </row>
        <row r="9678">
          <cell r="G9678" t="str">
            <v xml:space="preserve">Xã Tân Mỹ     </v>
          </cell>
          <cell r="I9678" t="str">
            <v>80115</v>
          </cell>
        </row>
        <row r="9679">
          <cell r="G9679" t="str">
            <v>Xã Đức Hòa Hạ</v>
          </cell>
          <cell r="I9679" t="str">
            <v>80115</v>
          </cell>
        </row>
        <row r="9680">
          <cell r="G9680" t="str">
            <v>Thị trấn Đức Hòa</v>
          </cell>
          <cell r="I9680" t="str">
            <v>80115</v>
          </cell>
        </row>
        <row r="9681">
          <cell r="G9681" t="str">
            <v xml:space="preserve">Xã Hiệp Hòa      </v>
          </cell>
          <cell r="I9681" t="str">
            <v>80115</v>
          </cell>
        </row>
        <row r="9682">
          <cell r="G9682" t="str">
            <v>Xã Mỹ Hạnh Bắc</v>
          </cell>
          <cell r="I9682" t="str">
            <v>80115</v>
          </cell>
        </row>
        <row r="9683">
          <cell r="G9683" t="str">
            <v>Xã Mỹ Hạnh Nam</v>
          </cell>
          <cell r="I9683" t="str">
            <v>80115</v>
          </cell>
        </row>
        <row r="9684">
          <cell r="G9684" t="str">
            <v>Xã Hựu Thạnh</v>
          </cell>
          <cell r="I9684" t="str">
            <v>80115</v>
          </cell>
        </row>
        <row r="9685">
          <cell r="G9685" t="str">
            <v>Thị trấn Hậu Nghĩa</v>
          </cell>
          <cell r="I9685" t="str">
            <v>80115</v>
          </cell>
        </row>
        <row r="9686">
          <cell r="G9686" t="str">
            <v>Thị trấn Hiệp Hòa</v>
          </cell>
          <cell r="I9686" t="str">
            <v>80115</v>
          </cell>
        </row>
        <row r="9687">
          <cell r="G9687" t="str">
            <v>Xã Lộc Giang</v>
          </cell>
          <cell r="I9687" t="str">
            <v>80115</v>
          </cell>
        </row>
        <row r="9688">
          <cell r="G9688" t="str">
            <v xml:space="preserve">Xã An Ninh Đông </v>
          </cell>
          <cell r="I9688" t="str">
            <v>80115</v>
          </cell>
        </row>
        <row r="9689">
          <cell r="G9689" t="str">
            <v xml:space="preserve">Xã An Ninh Tây </v>
          </cell>
          <cell r="I9689" t="str">
            <v>80115</v>
          </cell>
        </row>
        <row r="9690">
          <cell r="G9690" t="str">
            <v>Xã Đức Lập Thượng</v>
          </cell>
          <cell r="I9690" t="str">
            <v>80115</v>
          </cell>
        </row>
        <row r="9691">
          <cell r="G9691" t="str">
            <v>Xã Đức Lập Hạ</v>
          </cell>
          <cell r="I9691" t="str">
            <v>80115</v>
          </cell>
        </row>
        <row r="9692">
          <cell r="G9692" t="str">
            <v xml:space="preserve">Xã Tân Phú     </v>
          </cell>
          <cell r="I9692" t="str">
            <v>80115</v>
          </cell>
        </row>
        <row r="9693">
          <cell r="G9693" t="str">
            <v>Xã Đức Hòa Thượng</v>
          </cell>
          <cell r="I9693" t="str">
            <v>80115</v>
          </cell>
        </row>
        <row r="9694">
          <cell r="G9694" t="str">
            <v>Xã Hòa Khánh Tây</v>
          </cell>
          <cell r="I9694" t="str">
            <v>80115</v>
          </cell>
        </row>
        <row r="9695">
          <cell r="G9695" t="str">
            <v>Xã Hòa Khánh Đông</v>
          </cell>
          <cell r="I9695" t="str">
            <v>80115</v>
          </cell>
        </row>
        <row r="9696">
          <cell r="G9696" t="str">
            <v>Xã Hòa Khánh Nam</v>
          </cell>
          <cell r="I9696" t="str">
            <v>80115</v>
          </cell>
        </row>
        <row r="9697">
          <cell r="G9697" t="str">
            <v>Xã Đức Hòa Đông</v>
          </cell>
          <cell r="I9697" t="str">
            <v>80115</v>
          </cell>
        </row>
        <row r="9698">
          <cell r="G9698" t="str">
            <v xml:space="preserve">Xã Thanh Phú  </v>
          </cell>
          <cell r="I9698" t="str">
            <v>80117</v>
          </cell>
        </row>
        <row r="9699">
          <cell r="G9699" t="str">
            <v>Xã Thạnh Hòa</v>
          </cell>
          <cell r="I9699" t="str">
            <v>80117</v>
          </cell>
        </row>
        <row r="9700">
          <cell r="G9700" t="str">
            <v xml:space="preserve">Xã An Thạnh </v>
          </cell>
          <cell r="I9700" t="str">
            <v>80117</v>
          </cell>
        </row>
        <row r="9701">
          <cell r="G9701" t="str">
            <v xml:space="preserve">Xã Long Hiệp </v>
          </cell>
          <cell r="I9701" t="str">
            <v>80117</v>
          </cell>
        </row>
        <row r="9702">
          <cell r="G9702" t="str">
            <v>Thị trấn Bến Lức</v>
          </cell>
          <cell r="I9702" t="str">
            <v>80117</v>
          </cell>
        </row>
        <row r="9703">
          <cell r="G9703" t="str">
            <v>Xã Thạnh Lợi</v>
          </cell>
          <cell r="I9703" t="str">
            <v>80117</v>
          </cell>
        </row>
        <row r="9704">
          <cell r="G9704" t="str">
            <v>Xã Lương Bình</v>
          </cell>
          <cell r="I9704" t="str">
            <v>80117</v>
          </cell>
        </row>
        <row r="9705">
          <cell r="G9705" t="str">
            <v>Xã Lương Hòa</v>
          </cell>
          <cell r="I9705" t="str">
            <v>80117</v>
          </cell>
        </row>
        <row r="9706">
          <cell r="G9706" t="str">
            <v xml:space="preserve">Xã Tân Hòa          </v>
          </cell>
          <cell r="I9706" t="str">
            <v>80117</v>
          </cell>
        </row>
        <row r="9707">
          <cell r="G9707" t="str">
            <v>Xã Tân Bửu</v>
          </cell>
          <cell r="I9707" t="str">
            <v>80117</v>
          </cell>
        </row>
        <row r="9708">
          <cell r="G9708" t="str">
            <v>Xã Bình Đức</v>
          </cell>
          <cell r="I9708" t="str">
            <v>80117</v>
          </cell>
        </row>
        <row r="9709">
          <cell r="G9709" t="str">
            <v xml:space="preserve">Xã Mỹ Yên </v>
          </cell>
          <cell r="I9709" t="str">
            <v>80117</v>
          </cell>
        </row>
        <row r="9710">
          <cell r="G9710" t="str">
            <v xml:space="preserve">Xã Thạnh Đức </v>
          </cell>
          <cell r="I9710" t="str">
            <v>80117</v>
          </cell>
        </row>
        <row r="9711">
          <cell r="G9711" t="str">
            <v>Xã Phước Lợi</v>
          </cell>
          <cell r="I9711" t="str">
            <v>80117</v>
          </cell>
        </row>
        <row r="9712">
          <cell r="G9712" t="str">
            <v>Xã Nhựt Chánh</v>
          </cell>
          <cell r="I9712" t="str">
            <v>80117</v>
          </cell>
        </row>
        <row r="9713">
          <cell r="G9713" t="str">
            <v xml:space="preserve">Xã Mỹ Thạnh </v>
          </cell>
          <cell r="I9713" t="str">
            <v>80119</v>
          </cell>
        </row>
        <row r="9714">
          <cell r="G9714" t="str">
            <v xml:space="preserve">Xã Tân Lập                        </v>
          </cell>
          <cell r="I9714" t="str">
            <v>80119</v>
          </cell>
        </row>
        <row r="9715">
          <cell r="G9715" t="str">
            <v>Thị trấn Thủ Thừa</v>
          </cell>
          <cell r="I9715" t="str">
            <v>80119</v>
          </cell>
        </row>
        <row r="9716">
          <cell r="G9716" t="str">
            <v xml:space="preserve">Xã Tân Thành                     </v>
          </cell>
          <cell r="I9716" t="str">
            <v>80119</v>
          </cell>
        </row>
        <row r="9717">
          <cell r="G9717" t="str">
            <v xml:space="preserve">Xã Long Thuận </v>
          </cell>
          <cell r="I9717" t="str">
            <v>80119</v>
          </cell>
        </row>
        <row r="9718">
          <cell r="G9718" t="str">
            <v>Xã Mỹ Lạc</v>
          </cell>
          <cell r="I9718" t="str">
            <v>80119</v>
          </cell>
        </row>
        <row r="9719">
          <cell r="G9719" t="str">
            <v xml:space="preserve">Xã Bình An     </v>
          </cell>
          <cell r="I9719" t="str">
            <v>80119</v>
          </cell>
        </row>
        <row r="9720">
          <cell r="G9720" t="str">
            <v>Xã Nhị Thành</v>
          </cell>
          <cell r="I9720" t="str">
            <v>80119</v>
          </cell>
        </row>
        <row r="9721">
          <cell r="G9721" t="str">
            <v xml:space="preserve">Xã Mỹ An  </v>
          </cell>
          <cell r="I9721" t="str">
            <v>80119</v>
          </cell>
        </row>
        <row r="9722">
          <cell r="G9722" t="str">
            <v xml:space="preserve">Xã Bình Thạnh     </v>
          </cell>
          <cell r="I9722" t="str">
            <v>80119</v>
          </cell>
        </row>
        <row r="9723">
          <cell r="G9723" t="str">
            <v>Xã Mỹ Phú</v>
          </cell>
          <cell r="I9723" t="str">
            <v>80119</v>
          </cell>
        </row>
        <row r="9724">
          <cell r="G9724" t="str">
            <v xml:space="preserve">Xã Long Thành </v>
          </cell>
          <cell r="I9724" t="str">
            <v>80119</v>
          </cell>
        </row>
        <row r="9725">
          <cell r="G9725" t="str">
            <v>Xã Long Thạnh</v>
          </cell>
          <cell r="I9725" t="str">
            <v>80119</v>
          </cell>
        </row>
        <row r="9726">
          <cell r="G9726" t="str">
            <v>Xã Phước Tân Hưng</v>
          </cell>
          <cell r="I9726" t="str">
            <v>80121</v>
          </cell>
        </row>
        <row r="9727">
          <cell r="G9727" t="str">
            <v>Thị trấn Tầm Vu</v>
          </cell>
          <cell r="I9727" t="str">
            <v>80121</v>
          </cell>
        </row>
        <row r="9728">
          <cell r="G9728" t="str">
            <v>Xã Vĩnh Công</v>
          </cell>
          <cell r="I9728" t="str">
            <v>80121</v>
          </cell>
        </row>
        <row r="9729">
          <cell r="G9729" t="str">
            <v>Xã Thanh Phú Long</v>
          </cell>
          <cell r="I9729" t="str">
            <v>80121</v>
          </cell>
        </row>
        <row r="9730">
          <cell r="G9730" t="str">
            <v>Xã Bình Quới</v>
          </cell>
          <cell r="I9730" t="str">
            <v>80121</v>
          </cell>
        </row>
        <row r="9731">
          <cell r="G9731" t="str">
            <v xml:space="preserve">Xã Hòa Phú        </v>
          </cell>
          <cell r="I9731" t="str">
            <v>80121</v>
          </cell>
        </row>
        <row r="9732">
          <cell r="G9732" t="str">
            <v>Xã Phú Ngãi Trị</v>
          </cell>
          <cell r="I9732" t="str">
            <v>80121</v>
          </cell>
        </row>
        <row r="9733">
          <cell r="G9733" t="str">
            <v>Xã Thuận Mỹ</v>
          </cell>
          <cell r="I9733" t="str">
            <v>80121</v>
          </cell>
        </row>
        <row r="9734">
          <cell r="G9734" t="str">
            <v xml:space="preserve">Xã Hiệp Thạnh  </v>
          </cell>
          <cell r="I9734" t="str">
            <v>80121</v>
          </cell>
        </row>
        <row r="9735">
          <cell r="G9735" t="str">
            <v>Xã Dương Xuân Hội</v>
          </cell>
          <cell r="I9735" t="str">
            <v>80121</v>
          </cell>
        </row>
        <row r="9736">
          <cell r="G9736" t="str">
            <v>Xã An Lục Long</v>
          </cell>
          <cell r="I9736" t="str">
            <v>80121</v>
          </cell>
        </row>
        <row r="9737">
          <cell r="G9737" t="str">
            <v>Xã Long Trì</v>
          </cell>
          <cell r="I9737" t="str">
            <v>80121</v>
          </cell>
        </row>
        <row r="9738">
          <cell r="G9738" t="str">
            <v>Xã Thanh Vĩnh Đông</v>
          </cell>
          <cell r="I9738" t="str">
            <v>80121</v>
          </cell>
        </row>
        <row r="9739">
          <cell r="G9739" t="str">
            <v>Xã An Nhựt Tân</v>
          </cell>
          <cell r="I9739" t="str">
            <v>80123</v>
          </cell>
        </row>
        <row r="9740">
          <cell r="G9740" t="str">
            <v>Xã Quê Mỹ Thạnh</v>
          </cell>
          <cell r="I9740" t="str">
            <v>80123</v>
          </cell>
        </row>
        <row r="9741">
          <cell r="G9741" t="str">
            <v xml:space="preserve">Xã Bình Lãng  </v>
          </cell>
          <cell r="I9741" t="str">
            <v>80123</v>
          </cell>
        </row>
        <row r="9742">
          <cell r="G9742" t="str">
            <v>Thị trấn Tân Trụ</v>
          </cell>
          <cell r="I9742" t="str">
            <v>80123</v>
          </cell>
        </row>
        <row r="9743">
          <cell r="G9743" t="str">
            <v xml:space="preserve">Xã Mỹ Bình </v>
          </cell>
          <cell r="I9743" t="str">
            <v>80123</v>
          </cell>
        </row>
        <row r="9744">
          <cell r="G9744" t="str">
            <v>Xã Lạc Tấn</v>
          </cell>
          <cell r="I9744" t="str">
            <v>80123</v>
          </cell>
        </row>
        <row r="9745">
          <cell r="G9745" t="str">
            <v>Xã Bình Trinh Đông</v>
          </cell>
          <cell r="I9745" t="str">
            <v>80123</v>
          </cell>
        </row>
        <row r="9746">
          <cell r="G9746" t="str">
            <v>Xã Tân Phước Tây</v>
          </cell>
          <cell r="I9746" t="str">
            <v>80123</v>
          </cell>
        </row>
        <row r="9747">
          <cell r="G9747" t="str">
            <v>Xã Bình Tịnh</v>
          </cell>
          <cell r="I9747" t="str">
            <v>80123</v>
          </cell>
        </row>
        <row r="9748">
          <cell r="G9748" t="str">
            <v xml:space="preserve">Xã Đức Tân  </v>
          </cell>
          <cell r="I9748" t="str">
            <v>80123</v>
          </cell>
        </row>
        <row r="9749">
          <cell r="G9749" t="str">
            <v>Xã Nhựt Ninh</v>
          </cell>
          <cell r="I9749" t="str">
            <v>80123</v>
          </cell>
        </row>
        <row r="9750">
          <cell r="G9750" t="str">
            <v>Xã Phước Vân</v>
          </cell>
          <cell r="I9750" t="str">
            <v>80125</v>
          </cell>
        </row>
        <row r="9751">
          <cell r="G9751" t="str">
            <v>Xã Tân Chánh</v>
          </cell>
          <cell r="I9751" t="str">
            <v>80125</v>
          </cell>
        </row>
        <row r="9752">
          <cell r="G9752" t="str">
            <v>Thị trấn Cần Đước</v>
          </cell>
          <cell r="I9752" t="str">
            <v>80125</v>
          </cell>
        </row>
        <row r="9753">
          <cell r="G9753" t="str">
            <v xml:space="preserve">Xã Long Hòa  </v>
          </cell>
          <cell r="I9753" t="str">
            <v>80125</v>
          </cell>
        </row>
        <row r="9754">
          <cell r="G9754" t="str">
            <v>Xã Mỹ Lệ</v>
          </cell>
          <cell r="I9754" t="str">
            <v>80125</v>
          </cell>
        </row>
        <row r="9755">
          <cell r="G9755" t="str">
            <v>Xã Long Hựu Đông</v>
          </cell>
          <cell r="I9755" t="str">
            <v>80125</v>
          </cell>
        </row>
        <row r="9756">
          <cell r="G9756" t="str">
            <v>Xã Long Trạch</v>
          </cell>
          <cell r="I9756" t="str">
            <v>80125</v>
          </cell>
        </row>
        <row r="9757">
          <cell r="G9757" t="str">
            <v>Xã Long Khê</v>
          </cell>
          <cell r="I9757" t="str">
            <v>80125</v>
          </cell>
        </row>
        <row r="9758">
          <cell r="G9758" t="str">
            <v>Xã Long Định</v>
          </cell>
          <cell r="I9758" t="str">
            <v>80125</v>
          </cell>
        </row>
        <row r="9759">
          <cell r="G9759" t="str">
            <v>Xã Long Cang</v>
          </cell>
          <cell r="I9759" t="str">
            <v>80125</v>
          </cell>
        </row>
        <row r="9760">
          <cell r="G9760" t="str">
            <v xml:space="preserve">Xã Long Sơn      </v>
          </cell>
          <cell r="I9760" t="str">
            <v>80125</v>
          </cell>
        </row>
        <row r="9761">
          <cell r="G9761" t="str">
            <v xml:space="preserve">Xã Tân Trạch </v>
          </cell>
          <cell r="I9761" t="str">
            <v>80125</v>
          </cell>
        </row>
        <row r="9762">
          <cell r="G9762" t="str">
            <v>Xã Tân Lân</v>
          </cell>
          <cell r="I9762" t="str">
            <v>80125</v>
          </cell>
        </row>
        <row r="9763">
          <cell r="G9763" t="str">
            <v>Xã Phước Tuy</v>
          </cell>
          <cell r="I9763" t="str">
            <v>80125</v>
          </cell>
        </row>
        <row r="9764">
          <cell r="G9764" t="str">
            <v>Xã Tân ân</v>
          </cell>
          <cell r="I9764" t="str">
            <v>80125</v>
          </cell>
        </row>
        <row r="9765">
          <cell r="G9765" t="str">
            <v xml:space="preserve">Xã Phước Đông </v>
          </cell>
          <cell r="I9765" t="str">
            <v>80125</v>
          </cell>
        </row>
        <row r="9766">
          <cell r="G9766" t="str">
            <v>Xã Long Hựu Tây</v>
          </cell>
          <cell r="I9766" t="str">
            <v>80125</v>
          </cell>
        </row>
        <row r="9767">
          <cell r="G9767" t="str">
            <v>Xã Phước Vĩnh Tây</v>
          </cell>
          <cell r="I9767" t="str">
            <v>80127</v>
          </cell>
        </row>
        <row r="9768">
          <cell r="G9768" t="str">
            <v>Thị trấn Cần Giuộc</v>
          </cell>
          <cell r="I9768" t="str">
            <v>80127</v>
          </cell>
        </row>
        <row r="9769">
          <cell r="G9769" t="str">
            <v xml:space="preserve">Xã Tân Kim </v>
          </cell>
          <cell r="I9769" t="str">
            <v>80127</v>
          </cell>
        </row>
        <row r="9770">
          <cell r="G9770" t="str">
            <v>Xã Phước Lâm</v>
          </cell>
          <cell r="I9770" t="str">
            <v>80127</v>
          </cell>
        </row>
        <row r="9771">
          <cell r="G9771" t="str">
            <v>Xã Phước Vĩnh Đông</v>
          </cell>
          <cell r="I9771" t="str">
            <v>80127</v>
          </cell>
        </row>
        <row r="9772">
          <cell r="G9772" t="str">
            <v>Xã Phước Lý</v>
          </cell>
          <cell r="I9772" t="str">
            <v>80127</v>
          </cell>
        </row>
        <row r="9773">
          <cell r="G9773" t="str">
            <v>Xã Long Thượng</v>
          </cell>
          <cell r="I9773" t="str">
            <v>80127</v>
          </cell>
        </row>
        <row r="9774">
          <cell r="G9774" t="str">
            <v>Xã Long Hậu</v>
          </cell>
          <cell r="I9774" t="str">
            <v>80127</v>
          </cell>
        </row>
        <row r="9775">
          <cell r="G9775" t="str">
            <v>Xã Phứơc Hậu</v>
          </cell>
          <cell r="I9775" t="str">
            <v>80127</v>
          </cell>
        </row>
        <row r="9776">
          <cell r="G9776" t="str">
            <v xml:space="preserve">Xã Mỹ Lộc    </v>
          </cell>
          <cell r="I9776" t="str">
            <v>80127</v>
          </cell>
        </row>
        <row r="9777">
          <cell r="G9777" t="str">
            <v>Xã Phước Lại</v>
          </cell>
          <cell r="I9777" t="str">
            <v>80127</v>
          </cell>
        </row>
        <row r="9778">
          <cell r="G9778" t="str">
            <v>Xã Trường Bình</v>
          </cell>
          <cell r="I9778" t="str">
            <v>80127</v>
          </cell>
        </row>
        <row r="9779">
          <cell r="G9779" t="str">
            <v xml:space="preserve">Xã Thuận Thành </v>
          </cell>
          <cell r="I9779" t="str">
            <v>80127</v>
          </cell>
        </row>
        <row r="9780">
          <cell r="G9780" t="str">
            <v xml:space="preserve">Xã Long An </v>
          </cell>
          <cell r="I9780" t="str">
            <v>80127</v>
          </cell>
        </row>
        <row r="9781">
          <cell r="G9781" t="str">
            <v>Xã Long Phụng</v>
          </cell>
          <cell r="I9781" t="str">
            <v>80127</v>
          </cell>
        </row>
        <row r="9782">
          <cell r="G9782" t="str">
            <v xml:space="preserve">Xã Đông Thạnh </v>
          </cell>
          <cell r="I9782" t="str">
            <v>80127</v>
          </cell>
        </row>
        <row r="9783">
          <cell r="G9783" t="str">
            <v>Xã Tân Tập</v>
          </cell>
          <cell r="I9783" t="str">
            <v>80127</v>
          </cell>
        </row>
        <row r="9784">
          <cell r="G9784" t="str">
            <v xml:space="preserve">Phường 1             </v>
          </cell>
          <cell r="I9784" t="str">
            <v>80129</v>
          </cell>
        </row>
        <row r="9785">
          <cell r="G9785" t="str">
            <v xml:space="preserve">Phường 2            </v>
          </cell>
          <cell r="I9785" t="str">
            <v>80129</v>
          </cell>
        </row>
        <row r="9786">
          <cell r="G9786" t="str">
            <v xml:space="preserve">Phường 3            </v>
          </cell>
          <cell r="I9786" t="str">
            <v>80129</v>
          </cell>
        </row>
        <row r="9787">
          <cell r="G9787" t="str">
            <v>Xã Tuyên Thạnh</v>
          </cell>
          <cell r="I9787" t="str">
            <v>80129</v>
          </cell>
        </row>
        <row r="9788">
          <cell r="G9788" t="str">
            <v xml:space="preserve">Xã Thạnh Hưng </v>
          </cell>
          <cell r="I9788" t="str">
            <v>80129</v>
          </cell>
        </row>
        <row r="9789">
          <cell r="G9789" t="str">
            <v xml:space="preserve">Xã Bình Hiệp </v>
          </cell>
          <cell r="I9789" t="str">
            <v>80129</v>
          </cell>
        </row>
        <row r="9790">
          <cell r="G9790" t="str">
            <v xml:space="preserve">Xã Bình Tân    </v>
          </cell>
          <cell r="I9790" t="str">
            <v>80129</v>
          </cell>
        </row>
        <row r="9791">
          <cell r="G9791" t="str">
            <v>Xã Thạnh Trị</v>
          </cell>
          <cell r="I9791" t="str">
            <v>80129</v>
          </cell>
        </row>
        <row r="9792">
          <cell r="G9792" t="str">
            <v xml:space="preserve">Phường 6         </v>
          </cell>
          <cell r="I9792" t="str">
            <v>80301</v>
          </cell>
        </row>
        <row r="9793">
          <cell r="G9793" t="str">
            <v xml:space="preserve">Phường 1              </v>
          </cell>
          <cell r="I9793" t="str">
            <v>80301</v>
          </cell>
        </row>
        <row r="9794">
          <cell r="G9794" t="str">
            <v xml:space="preserve">Phường 3             </v>
          </cell>
          <cell r="I9794" t="str">
            <v>80301</v>
          </cell>
        </row>
        <row r="9795">
          <cell r="G9795" t="str">
            <v>Xã Mỹ Trà</v>
          </cell>
          <cell r="I9795" t="str">
            <v>80301</v>
          </cell>
        </row>
        <row r="9796">
          <cell r="G9796" t="str">
            <v>Xã Tân Thuận Đông</v>
          </cell>
          <cell r="I9796" t="str">
            <v>80301</v>
          </cell>
        </row>
        <row r="9797">
          <cell r="G9797" t="str">
            <v xml:space="preserve">Phường 11            </v>
          </cell>
          <cell r="I9797" t="str">
            <v>80301</v>
          </cell>
        </row>
        <row r="9798">
          <cell r="G9798" t="str">
            <v xml:space="preserve">Phường 2             </v>
          </cell>
          <cell r="I9798" t="str">
            <v>80301</v>
          </cell>
        </row>
        <row r="9799">
          <cell r="G9799" t="str">
            <v xml:space="preserve">Phường 4          </v>
          </cell>
          <cell r="I9799" t="str">
            <v>80301</v>
          </cell>
        </row>
        <row r="9800">
          <cell r="G9800" t="str">
            <v>Xã Mỹ Ngãi</v>
          </cell>
          <cell r="I9800" t="str">
            <v>80301</v>
          </cell>
        </row>
        <row r="9801">
          <cell r="G9801" t="str">
            <v xml:space="preserve">Xã Mỹ Tân  </v>
          </cell>
          <cell r="I9801" t="str">
            <v>80301</v>
          </cell>
        </row>
        <row r="9802">
          <cell r="G9802" t="str">
            <v>Xã Tân Thuận Tây</v>
          </cell>
          <cell r="I9802" t="str">
            <v>80301</v>
          </cell>
        </row>
        <row r="9803">
          <cell r="G9803" t="str">
            <v xml:space="preserve">Xã Hòa An   </v>
          </cell>
          <cell r="I9803" t="str">
            <v>80301</v>
          </cell>
        </row>
        <row r="9804">
          <cell r="G9804" t="str">
            <v>Xã Tịnh Thới</v>
          </cell>
          <cell r="I9804" t="str">
            <v>80301</v>
          </cell>
        </row>
        <row r="9805">
          <cell r="G9805" t="str">
            <v>Phường Mỹ Phú</v>
          </cell>
          <cell r="I9805" t="str">
            <v>80301</v>
          </cell>
        </row>
        <row r="9806">
          <cell r="G9806" t="str">
            <v xml:space="preserve">Phường Hòa Thuận  </v>
          </cell>
          <cell r="I9806" t="str">
            <v>80301</v>
          </cell>
        </row>
        <row r="9807">
          <cell r="G9807" t="str">
            <v>Phường Tân Quy Đông</v>
          </cell>
          <cell r="I9807" t="str">
            <v>80303</v>
          </cell>
        </row>
        <row r="9808">
          <cell r="G9808" t="str">
            <v xml:space="preserve">Phường 4           </v>
          </cell>
          <cell r="I9808" t="str">
            <v>80303</v>
          </cell>
        </row>
        <row r="9809">
          <cell r="G9809" t="str">
            <v>Xã Tân Khánh Đông</v>
          </cell>
          <cell r="I9809" t="str">
            <v>80303</v>
          </cell>
        </row>
        <row r="9810">
          <cell r="G9810" t="str">
            <v>Xã Tân Quy Tây</v>
          </cell>
          <cell r="I9810" t="str">
            <v>80303</v>
          </cell>
        </row>
        <row r="9811">
          <cell r="G9811" t="str">
            <v>Xã Tân Phú Đông</v>
          </cell>
          <cell r="I9811" t="str">
            <v>80303</v>
          </cell>
        </row>
        <row r="9812">
          <cell r="G9812" t="str">
            <v xml:space="preserve">Phường 2              </v>
          </cell>
          <cell r="I9812" t="str">
            <v>80303</v>
          </cell>
        </row>
        <row r="9813">
          <cell r="G9813" t="str">
            <v xml:space="preserve">Phường 3              </v>
          </cell>
          <cell r="I9813" t="str">
            <v>80303</v>
          </cell>
        </row>
        <row r="9814">
          <cell r="G9814" t="str">
            <v xml:space="preserve">Phường 1               </v>
          </cell>
          <cell r="I9814" t="str">
            <v>80303</v>
          </cell>
        </row>
        <row r="9815">
          <cell r="G9815" t="str">
            <v xml:space="preserve">Phường An Hòa </v>
          </cell>
          <cell r="I9815" t="str">
            <v>80303</v>
          </cell>
        </row>
        <row r="9816">
          <cell r="G9816" t="str">
            <v>Xã Tân Công Chí</v>
          </cell>
          <cell r="I9816" t="str">
            <v>80305</v>
          </cell>
        </row>
        <row r="9817">
          <cell r="G9817" t="str">
            <v xml:space="preserve">Xã An Phước </v>
          </cell>
          <cell r="I9817" t="str">
            <v>80305</v>
          </cell>
        </row>
        <row r="9818">
          <cell r="G9818" t="str">
            <v>Thị trấn Sa Rài</v>
          </cell>
          <cell r="I9818" t="str">
            <v>80305</v>
          </cell>
        </row>
        <row r="9819">
          <cell r="G9819" t="str">
            <v>Xã Tân Hộ Cơ</v>
          </cell>
          <cell r="I9819" t="str">
            <v>80305</v>
          </cell>
        </row>
        <row r="9820">
          <cell r="G9820" t="str">
            <v>Xã Thông Bình</v>
          </cell>
          <cell r="I9820" t="str">
            <v>80305</v>
          </cell>
        </row>
        <row r="9821">
          <cell r="G9821" t="str">
            <v xml:space="preserve">Xã Bình Phú    </v>
          </cell>
          <cell r="I9821" t="str">
            <v>80305</v>
          </cell>
        </row>
        <row r="9822">
          <cell r="G9822" t="str">
            <v>Xã Tân Thành A</v>
          </cell>
          <cell r="I9822" t="str">
            <v>80305</v>
          </cell>
        </row>
        <row r="9823">
          <cell r="G9823" t="str">
            <v>Xã Tân Thành B</v>
          </cell>
          <cell r="I9823" t="str">
            <v>80305</v>
          </cell>
        </row>
        <row r="9824">
          <cell r="G9824" t="str">
            <v xml:space="preserve">Xã Tân Phước   </v>
          </cell>
          <cell r="I9824" t="str">
            <v>80305</v>
          </cell>
        </row>
        <row r="9825">
          <cell r="G9825" t="str">
            <v>Xã Thường Thới Hậu A</v>
          </cell>
          <cell r="I9825" t="str">
            <v>80307</v>
          </cell>
        </row>
        <row r="9826">
          <cell r="G9826" t="str">
            <v>Xã Thường Lạc</v>
          </cell>
          <cell r="I9826" t="str">
            <v>80307</v>
          </cell>
        </row>
        <row r="9827">
          <cell r="G9827" t="str">
            <v>Xã Thường Phước 1</v>
          </cell>
          <cell r="I9827" t="str">
            <v>80307</v>
          </cell>
        </row>
        <row r="9828">
          <cell r="G9828" t="str">
            <v>Xã Thường Thới Hậu B</v>
          </cell>
          <cell r="I9828" t="str">
            <v>80307</v>
          </cell>
        </row>
        <row r="9829">
          <cell r="G9829" t="str">
            <v>Xã Thường Thới Tiền</v>
          </cell>
          <cell r="I9829" t="str">
            <v>80307</v>
          </cell>
        </row>
        <row r="9830">
          <cell r="G9830" t="str">
            <v>Xã Thường Phước 2</v>
          </cell>
          <cell r="I9830" t="str">
            <v>80307</v>
          </cell>
        </row>
        <row r="9831">
          <cell r="G9831" t="str">
            <v>Xã Long Khánh A</v>
          </cell>
          <cell r="I9831" t="str">
            <v>80307</v>
          </cell>
        </row>
        <row r="9832">
          <cell r="G9832" t="str">
            <v>Xã Long Khánh B</v>
          </cell>
          <cell r="I9832" t="str">
            <v>80307</v>
          </cell>
        </row>
        <row r="9833">
          <cell r="G9833" t="str">
            <v xml:space="preserve">Xã Long Thuận  </v>
          </cell>
          <cell r="I9833" t="str">
            <v>80307</v>
          </cell>
        </row>
        <row r="9834">
          <cell r="G9834" t="str">
            <v>Xã Phú Thuận B</v>
          </cell>
          <cell r="I9834" t="str">
            <v>80307</v>
          </cell>
        </row>
        <row r="9835">
          <cell r="G9835" t="str">
            <v>Xã Phú Thuận A</v>
          </cell>
          <cell r="I9835" t="str">
            <v>80307</v>
          </cell>
        </row>
        <row r="9836">
          <cell r="G9836" t="str">
            <v xml:space="preserve">Xã An Long </v>
          </cell>
          <cell r="I9836" t="str">
            <v>80309</v>
          </cell>
        </row>
        <row r="9837">
          <cell r="G9837" t="str">
            <v>Thị trấn Tràm Chim</v>
          </cell>
          <cell r="I9837" t="str">
            <v>80309</v>
          </cell>
        </row>
        <row r="9838">
          <cell r="G9838" t="str">
            <v>Xã Phú Thành B</v>
          </cell>
          <cell r="I9838" t="str">
            <v>80309</v>
          </cell>
        </row>
        <row r="9839">
          <cell r="G9839" t="str">
            <v>Xã Phú Ninh</v>
          </cell>
          <cell r="I9839" t="str">
            <v>80309</v>
          </cell>
        </row>
        <row r="9840">
          <cell r="G9840" t="str">
            <v xml:space="preserve">Xã Hòa Bình               </v>
          </cell>
          <cell r="I9840" t="str">
            <v>80309</v>
          </cell>
        </row>
        <row r="9841">
          <cell r="G9841" t="str">
            <v>Xã Tân Công Sính</v>
          </cell>
          <cell r="I9841" t="str">
            <v>80309</v>
          </cell>
        </row>
        <row r="9842">
          <cell r="G9842" t="str">
            <v>Xã Phú Hiệp</v>
          </cell>
          <cell r="I9842" t="str">
            <v>80309</v>
          </cell>
        </row>
        <row r="9843">
          <cell r="G9843" t="str">
            <v>Xã Phú Đức</v>
          </cell>
          <cell r="I9843" t="str">
            <v>80309</v>
          </cell>
        </row>
        <row r="9844">
          <cell r="G9844" t="str">
            <v xml:space="preserve">Xã An Hòa        </v>
          </cell>
          <cell r="I9844" t="str">
            <v>80309</v>
          </cell>
        </row>
        <row r="9845">
          <cell r="G9845" t="str">
            <v xml:space="preserve">Xã Phú Cường      </v>
          </cell>
          <cell r="I9845" t="str">
            <v>80309</v>
          </cell>
        </row>
        <row r="9846">
          <cell r="G9846" t="str">
            <v xml:space="preserve">Xã Phú Thọ </v>
          </cell>
          <cell r="I9846" t="str">
            <v>80309</v>
          </cell>
        </row>
        <row r="9847">
          <cell r="G9847" t="str">
            <v>Xã Phú Thành A</v>
          </cell>
          <cell r="I9847" t="str">
            <v>80309</v>
          </cell>
        </row>
        <row r="9848">
          <cell r="G9848" t="str">
            <v xml:space="preserve">Xã Bình Thành    </v>
          </cell>
          <cell r="I9848" t="str">
            <v>80311</v>
          </cell>
        </row>
        <row r="9849">
          <cell r="G9849" t="str">
            <v>Xã Tân Quới</v>
          </cell>
          <cell r="I9849" t="str">
            <v>80311</v>
          </cell>
        </row>
        <row r="9850">
          <cell r="G9850" t="str">
            <v xml:space="preserve">Xã Tân Mỹ      </v>
          </cell>
          <cell r="I9850" t="str">
            <v>80311</v>
          </cell>
        </row>
        <row r="9851">
          <cell r="G9851" t="str">
            <v xml:space="preserve">Xã Tân Bình          </v>
          </cell>
          <cell r="I9851" t="str">
            <v>80311</v>
          </cell>
        </row>
        <row r="9852">
          <cell r="G9852" t="str">
            <v xml:space="preserve">Xã Tân Long     </v>
          </cell>
          <cell r="I9852" t="str">
            <v>80311</v>
          </cell>
        </row>
        <row r="9853">
          <cell r="G9853" t="str">
            <v>Thị trấn Thanh Bình</v>
          </cell>
          <cell r="I9853" t="str">
            <v>80311</v>
          </cell>
        </row>
        <row r="9854">
          <cell r="G9854" t="str">
            <v xml:space="preserve">Xã Tân Hòa           </v>
          </cell>
          <cell r="I9854" t="str">
            <v>80311</v>
          </cell>
        </row>
        <row r="9855">
          <cell r="G9855" t="str">
            <v>Xã An Phong</v>
          </cell>
          <cell r="I9855" t="str">
            <v>80311</v>
          </cell>
        </row>
        <row r="9856">
          <cell r="G9856" t="str">
            <v xml:space="preserve">Xã Phú Lợi </v>
          </cell>
          <cell r="I9856" t="str">
            <v>80311</v>
          </cell>
        </row>
        <row r="9857">
          <cell r="G9857" t="str">
            <v>Xã Bình Tấn</v>
          </cell>
          <cell r="I9857" t="str">
            <v>80311</v>
          </cell>
        </row>
        <row r="9858">
          <cell r="G9858" t="str">
            <v>Xã Tân Huề</v>
          </cell>
          <cell r="I9858" t="str">
            <v>80311</v>
          </cell>
        </row>
        <row r="9859">
          <cell r="G9859" t="str">
            <v>Xã Tân Thạnh</v>
          </cell>
          <cell r="I9859" t="str">
            <v>80311</v>
          </cell>
        </row>
        <row r="9860">
          <cell r="G9860" t="str">
            <v xml:space="preserve">Xã Tân Phú      </v>
          </cell>
          <cell r="I9860" t="str">
            <v>80311</v>
          </cell>
        </row>
        <row r="9861">
          <cell r="G9861" t="str">
            <v>Xã Mỹ Quý</v>
          </cell>
          <cell r="I9861" t="str">
            <v>80313</v>
          </cell>
        </row>
        <row r="9862">
          <cell r="G9862" t="str">
            <v xml:space="preserve">Xã Mỹ Hòa  </v>
          </cell>
          <cell r="I9862" t="str">
            <v>80313</v>
          </cell>
        </row>
        <row r="9863">
          <cell r="G9863" t="str">
            <v xml:space="preserve">Xã Mỹ An   </v>
          </cell>
          <cell r="I9863" t="str">
            <v>80313</v>
          </cell>
        </row>
        <row r="9864">
          <cell r="G9864" t="str">
            <v xml:space="preserve">Xã Thanh Mỹ  </v>
          </cell>
          <cell r="I9864" t="str">
            <v>80313</v>
          </cell>
        </row>
        <row r="9865">
          <cell r="G9865" t="str">
            <v xml:space="preserve">Xã Thạnh Lợi </v>
          </cell>
          <cell r="I9865" t="str">
            <v>80313</v>
          </cell>
        </row>
        <row r="9866">
          <cell r="G9866" t="str">
            <v>Thị trấn Mỹ An</v>
          </cell>
          <cell r="I9866" t="str">
            <v>80313</v>
          </cell>
        </row>
        <row r="9867">
          <cell r="G9867" t="str">
            <v xml:space="preserve">Xã Hưng Thạnh </v>
          </cell>
          <cell r="I9867" t="str">
            <v>80313</v>
          </cell>
        </row>
        <row r="9868">
          <cell r="G9868" t="str">
            <v xml:space="preserve">Xã Trường Xuân  </v>
          </cell>
          <cell r="I9868" t="str">
            <v>80313</v>
          </cell>
        </row>
        <row r="9869">
          <cell r="G9869" t="str">
            <v>Xã Tân Kiều</v>
          </cell>
          <cell r="I9869" t="str">
            <v>80313</v>
          </cell>
        </row>
        <row r="9870">
          <cell r="G9870" t="str">
            <v>Xã Mỹ Đông</v>
          </cell>
          <cell r="I9870" t="str">
            <v>80313</v>
          </cell>
        </row>
        <row r="9871">
          <cell r="G9871" t="str">
            <v>Xã Đốc Binh Kiều</v>
          </cell>
          <cell r="I9871" t="str">
            <v>80313</v>
          </cell>
        </row>
        <row r="9872">
          <cell r="G9872" t="str">
            <v xml:space="preserve">Xã Phú Điền  </v>
          </cell>
          <cell r="I9872" t="str">
            <v>80313</v>
          </cell>
        </row>
        <row r="9873">
          <cell r="G9873" t="str">
            <v>Xã Láng Biển</v>
          </cell>
          <cell r="I9873" t="str">
            <v>80313</v>
          </cell>
        </row>
        <row r="9874">
          <cell r="G9874" t="str">
            <v xml:space="preserve">Xã Tân Nghĩa </v>
          </cell>
          <cell r="I9874" t="str">
            <v>80315</v>
          </cell>
        </row>
        <row r="9875">
          <cell r="G9875" t="str">
            <v xml:space="preserve">Xã Bình Thạnh      </v>
          </cell>
          <cell r="I9875" t="str">
            <v>80315</v>
          </cell>
        </row>
        <row r="9876">
          <cell r="G9876" t="str">
            <v>Xã Ba Sao</v>
          </cell>
          <cell r="I9876" t="str">
            <v>80315</v>
          </cell>
        </row>
        <row r="9877">
          <cell r="G9877" t="str">
            <v>Xã Nhị Mỹ</v>
          </cell>
          <cell r="I9877" t="str">
            <v>80315</v>
          </cell>
        </row>
        <row r="9878">
          <cell r="G9878" t="str">
            <v xml:space="preserve">Xã An Bình        </v>
          </cell>
          <cell r="I9878" t="str">
            <v>80315</v>
          </cell>
        </row>
        <row r="9879">
          <cell r="G9879" t="str">
            <v>Xã Bình Hàng Trung</v>
          </cell>
          <cell r="I9879" t="str">
            <v>80315</v>
          </cell>
        </row>
        <row r="9880">
          <cell r="G9880" t="str">
            <v>Thị trấn Mỹ Thọ</v>
          </cell>
          <cell r="I9880" t="str">
            <v>80315</v>
          </cell>
        </row>
        <row r="9881">
          <cell r="G9881" t="str">
            <v>Xã Gáo Giồng</v>
          </cell>
          <cell r="I9881" t="str">
            <v>80315</v>
          </cell>
        </row>
        <row r="9882">
          <cell r="G9882" t="str">
            <v xml:space="preserve">Xã Phương Thịnh </v>
          </cell>
          <cell r="I9882" t="str">
            <v>80315</v>
          </cell>
        </row>
        <row r="9883">
          <cell r="G9883" t="str">
            <v xml:space="preserve">Xã Phong Mỹ </v>
          </cell>
          <cell r="I9883" t="str">
            <v>80315</v>
          </cell>
        </row>
        <row r="9884">
          <cell r="G9884" t="str">
            <v>Xã Phương Trà</v>
          </cell>
          <cell r="I9884" t="str">
            <v>80315</v>
          </cell>
        </row>
        <row r="9885">
          <cell r="G9885" t="str">
            <v xml:space="preserve">Xã Mỹ Thọ  </v>
          </cell>
          <cell r="I9885" t="str">
            <v>80315</v>
          </cell>
        </row>
        <row r="9886">
          <cell r="G9886" t="str">
            <v>Xã Tân Hội Trung</v>
          </cell>
          <cell r="I9886" t="str">
            <v>80315</v>
          </cell>
        </row>
        <row r="9887">
          <cell r="G9887" t="str">
            <v>Xã Mỹ Hội</v>
          </cell>
          <cell r="I9887" t="str">
            <v>80315</v>
          </cell>
        </row>
        <row r="9888">
          <cell r="G9888" t="str">
            <v xml:space="preserve">Xã Mỹ Hiệp </v>
          </cell>
          <cell r="I9888" t="str">
            <v>80315</v>
          </cell>
        </row>
        <row r="9889">
          <cell r="G9889" t="str">
            <v>Xã Mỹ Long</v>
          </cell>
          <cell r="I9889" t="str">
            <v>80315</v>
          </cell>
        </row>
        <row r="9890">
          <cell r="G9890" t="str">
            <v>Xã Mỹ Xương</v>
          </cell>
          <cell r="I9890" t="str">
            <v>80315</v>
          </cell>
        </row>
        <row r="9891">
          <cell r="G9891" t="str">
            <v>Xã Bình Hàng Tây</v>
          </cell>
          <cell r="I9891" t="str">
            <v>80315</v>
          </cell>
        </row>
        <row r="9892">
          <cell r="G9892" t="str">
            <v>Xã Định Yên</v>
          </cell>
          <cell r="I9892" t="str">
            <v>80317</v>
          </cell>
        </row>
        <row r="9893">
          <cell r="G9893" t="str">
            <v>Xã Mỹ An Hưng B</v>
          </cell>
          <cell r="I9893" t="str">
            <v>80317</v>
          </cell>
        </row>
        <row r="9894">
          <cell r="G9894" t="str">
            <v>Xã Long Hưng B</v>
          </cell>
          <cell r="I9894" t="str">
            <v>80317</v>
          </cell>
        </row>
        <row r="9895">
          <cell r="G9895" t="str">
            <v>Xã Bình Thạnh Trung</v>
          </cell>
          <cell r="I9895" t="str">
            <v>80317</v>
          </cell>
        </row>
        <row r="9896">
          <cell r="G9896" t="str">
            <v>Thị trấn Lấp Vò</v>
          </cell>
          <cell r="I9896" t="str">
            <v>80317</v>
          </cell>
        </row>
        <row r="9897">
          <cell r="G9897" t="str">
            <v>Xã Mỹ An Hưng A</v>
          </cell>
          <cell r="I9897" t="str">
            <v>80317</v>
          </cell>
        </row>
        <row r="9898">
          <cell r="G9898" t="str">
            <v xml:space="preserve">Xã Tân Mỹ       </v>
          </cell>
          <cell r="I9898" t="str">
            <v>80317</v>
          </cell>
        </row>
        <row r="9899">
          <cell r="G9899" t="str">
            <v>Xã Tân Khánh Trung</v>
          </cell>
          <cell r="I9899" t="str">
            <v>80317</v>
          </cell>
        </row>
        <row r="9900">
          <cell r="G9900" t="str">
            <v>Xã Long Hưng A</v>
          </cell>
          <cell r="I9900" t="str">
            <v>80317</v>
          </cell>
        </row>
        <row r="9901">
          <cell r="G9901" t="str">
            <v xml:space="preserve">Xã Vĩnh Thạnh  </v>
          </cell>
          <cell r="I9901" t="str">
            <v>80317</v>
          </cell>
        </row>
        <row r="9902">
          <cell r="G9902" t="str">
            <v xml:space="preserve">Xã Bình Thành     </v>
          </cell>
          <cell r="I9902" t="str">
            <v>80317</v>
          </cell>
        </row>
        <row r="9903">
          <cell r="G9903" t="str">
            <v xml:space="preserve">Xã Định An </v>
          </cell>
          <cell r="I9903" t="str">
            <v>80317</v>
          </cell>
        </row>
        <row r="9904">
          <cell r="G9904" t="str">
            <v>Xã Hội An Đông</v>
          </cell>
          <cell r="I9904" t="str">
            <v>80317</v>
          </cell>
        </row>
        <row r="9905">
          <cell r="G9905" t="str">
            <v xml:space="preserve">Xã Phong Hòa </v>
          </cell>
          <cell r="I9905" t="str">
            <v>80319</v>
          </cell>
        </row>
        <row r="9906">
          <cell r="G9906" t="str">
            <v xml:space="preserve">Xã Định Hòa </v>
          </cell>
          <cell r="I9906" t="str">
            <v>80319</v>
          </cell>
        </row>
        <row r="9907">
          <cell r="G9907" t="str">
            <v xml:space="preserve">Xã Tân Hòa            </v>
          </cell>
          <cell r="I9907" t="str">
            <v>80319</v>
          </cell>
        </row>
        <row r="9908">
          <cell r="G9908" t="str">
            <v xml:space="preserve">Xã Long Hậu </v>
          </cell>
          <cell r="I9908" t="str">
            <v>80319</v>
          </cell>
        </row>
        <row r="9909">
          <cell r="G9909" t="str">
            <v>Xã Long Thắng</v>
          </cell>
          <cell r="I9909" t="str">
            <v>80319</v>
          </cell>
        </row>
        <row r="9910">
          <cell r="G9910" t="str">
            <v>Thị trấn Lai Vung</v>
          </cell>
          <cell r="I9910" t="str">
            <v>80319</v>
          </cell>
        </row>
        <row r="9911">
          <cell r="G9911" t="str">
            <v xml:space="preserve">Xã Tân Dương   </v>
          </cell>
          <cell r="I9911" t="str">
            <v>80319</v>
          </cell>
        </row>
        <row r="9912">
          <cell r="G9912" t="str">
            <v xml:space="preserve">Xã Hòa Thành  </v>
          </cell>
          <cell r="I9912" t="str">
            <v>80319</v>
          </cell>
        </row>
        <row r="9913">
          <cell r="G9913" t="str">
            <v xml:space="preserve">Xã Tân Phước    </v>
          </cell>
          <cell r="I9913" t="str">
            <v>80319</v>
          </cell>
        </row>
        <row r="9914">
          <cell r="G9914" t="str">
            <v xml:space="preserve">Xã Hòa Long  </v>
          </cell>
          <cell r="I9914" t="str">
            <v>80319</v>
          </cell>
        </row>
        <row r="9915">
          <cell r="G9915" t="str">
            <v xml:space="preserve">Xã Tân Thành                      </v>
          </cell>
          <cell r="I9915" t="str">
            <v>80319</v>
          </cell>
        </row>
        <row r="9916">
          <cell r="G9916" t="str">
            <v>Xã Vĩnh Thới</v>
          </cell>
          <cell r="I9916" t="str">
            <v>80319</v>
          </cell>
        </row>
        <row r="9917">
          <cell r="G9917" t="str">
            <v>Xã Phú Hựu</v>
          </cell>
          <cell r="I9917" t="str">
            <v>80321</v>
          </cell>
        </row>
        <row r="9918">
          <cell r="G9918" t="str">
            <v xml:space="preserve">Xã An Khánh  </v>
          </cell>
          <cell r="I9918" t="str">
            <v>80321</v>
          </cell>
        </row>
        <row r="9919">
          <cell r="G9919" t="str">
            <v>Thị trấn Cái Tàu Hạ</v>
          </cell>
          <cell r="I9919" t="str">
            <v>80321</v>
          </cell>
        </row>
        <row r="9920">
          <cell r="G9920" t="str">
            <v xml:space="preserve">Xã An Hiệp  </v>
          </cell>
          <cell r="I9920" t="str">
            <v>80321</v>
          </cell>
        </row>
        <row r="9921">
          <cell r="G9921" t="str">
            <v xml:space="preserve">Xã An Nhơn </v>
          </cell>
          <cell r="I9921" t="str">
            <v>80321</v>
          </cell>
        </row>
        <row r="9922">
          <cell r="G9922" t="str">
            <v>Xã Tân Nhuận Đông</v>
          </cell>
          <cell r="I9922" t="str">
            <v>80321</v>
          </cell>
        </row>
        <row r="9923">
          <cell r="G9923" t="str">
            <v xml:space="preserve">Xã Tân Bình           </v>
          </cell>
          <cell r="I9923" t="str">
            <v>80321</v>
          </cell>
        </row>
        <row r="9924">
          <cell r="G9924" t="str">
            <v xml:space="preserve">Xã Tân Phú Trung </v>
          </cell>
          <cell r="I9924" t="str">
            <v>80321</v>
          </cell>
        </row>
        <row r="9925">
          <cell r="G9925" t="str">
            <v xml:space="preserve">Xã Phú Long </v>
          </cell>
          <cell r="I9925" t="str">
            <v>80321</v>
          </cell>
        </row>
        <row r="9926">
          <cell r="G9926" t="str">
            <v>Xã An Phú Thuận</v>
          </cell>
          <cell r="I9926" t="str">
            <v>80321</v>
          </cell>
        </row>
        <row r="9927">
          <cell r="G9927" t="str">
            <v xml:space="preserve">Xã Tân Phú       </v>
          </cell>
          <cell r="I9927" t="str">
            <v>80321</v>
          </cell>
        </row>
        <row r="9928">
          <cell r="G9928" t="str">
            <v xml:space="preserve">Xã Hòa Tân </v>
          </cell>
          <cell r="I9928" t="str">
            <v>80321</v>
          </cell>
        </row>
        <row r="9929">
          <cell r="G9929" t="str">
            <v xml:space="preserve">Phường An Thạnh </v>
          </cell>
          <cell r="I9929" t="str">
            <v>80323</v>
          </cell>
        </row>
        <row r="9930">
          <cell r="G9930" t="str">
            <v xml:space="preserve">Phường An Lạc  </v>
          </cell>
          <cell r="I9930" t="str">
            <v>80323</v>
          </cell>
        </row>
        <row r="9931">
          <cell r="G9931" t="str">
            <v xml:space="preserve">Phường An Lộc </v>
          </cell>
          <cell r="I9931" t="str">
            <v>80323</v>
          </cell>
        </row>
        <row r="9932">
          <cell r="G9932" t="str">
            <v>Xã An Bình A</v>
          </cell>
          <cell r="I9932" t="str">
            <v>80323</v>
          </cell>
        </row>
        <row r="9933">
          <cell r="G9933" t="str">
            <v>Xã An Bình B</v>
          </cell>
          <cell r="I9933" t="str">
            <v>80323</v>
          </cell>
        </row>
        <row r="9934">
          <cell r="G9934" t="str">
            <v xml:space="preserve">Xã Bình Thạnh       </v>
          </cell>
          <cell r="I9934" t="str">
            <v>80323</v>
          </cell>
        </row>
        <row r="9935">
          <cell r="G9935" t="str">
            <v xml:space="preserve">Xã Tân Hội   </v>
          </cell>
          <cell r="I9935" t="str">
            <v>80323</v>
          </cell>
        </row>
        <row r="9936">
          <cell r="G9936" t="str">
            <v>Phường Mỹ Thạnh</v>
          </cell>
          <cell r="I9936" t="str">
            <v>80501</v>
          </cell>
        </row>
        <row r="9937">
          <cell r="G9937" t="str">
            <v xml:space="preserve">Phường Mỹ Bình </v>
          </cell>
          <cell r="I9937" t="str">
            <v>80501</v>
          </cell>
        </row>
        <row r="9938">
          <cell r="G9938" t="str">
            <v xml:space="preserve">Phường Bình Khánh </v>
          </cell>
          <cell r="I9938" t="str">
            <v>80501</v>
          </cell>
        </row>
        <row r="9939">
          <cell r="G9939" t="str">
            <v>Phường Mỹ Hòa</v>
          </cell>
          <cell r="I9939" t="str">
            <v>80501</v>
          </cell>
        </row>
        <row r="9940">
          <cell r="G9940" t="str">
            <v>Phường Mỹ Long</v>
          </cell>
          <cell r="I9940" t="str">
            <v>80501</v>
          </cell>
        </row>
        <row r="9941">
          <cell r="G9941" t="str">
            <v>Phường Mỹ Xuyên</v>
          </cell>
          <cell r="I9941" t="str">
            <v>80501</v>
          </cell>
        </row>
        <row r="9942">
          <cell r="G9942" t="str">
            <v>Phường Bình Đức</v>
          </cell>
          <cell r="I9942" t="str">
            <v>80501</v>
          </cell>
        </row>
        <row r="9943">
          <cell r="G9943" t="str">
            <v xml:space="preserve">Phường Mỹ Phước </v>
          </cell>
          <cell r="I9943" t="str">
            <v>80501</v>
          </cell>
        </row>
        <row r="9944">
          <cell r="G9944" t="str">
            <v>Phường Mỹ Quý</v>
          </cell>
          <cell r="I9944" t="str">
            <v>80501</v>
          </cell>
        </row>
        <row r="9945">
          <cell r="G9945" t="str">
            <v>Phường Mỹ Thới</v>
          </cell>
          <cell r="I9945" t="str">
            <v>80501</v>
          </cell>
        </row>
        <row r="9946">
          <cell r="G9946" t="str">
            <v>Xã Mỹ Khánh</v>
          </cell>
          <cell r="I9946" t="str">
            <v>80501</v>
          </cell>
        </row>
        <row r="9947">
          <cell r="G9947" t="str">
            <v>Xã Mỹ Hòa Hưng</v>
          </cell>
          <cell r="I9947" t="str">
            <v>80501</v>
          </cell>
        </row>
        <row r="9948">
          <cell r="G9948" t="str">
            <v>Phường Đông Xuyên</v>
          </cell>
          <cell r="I9948" t="str">
            <v>80501</v>
          </cell>
        </row>
        <row r="9949">
          <cell r="G9949" t="str">
            <v>Phường Châu Phú A</v>
          </cell>
          <cell r="I9949" t="str">
            <v>80503</v>
          </cell>
        </row>
        <row r="9950">
          <cell r="G9950" t="str">
            <v>Xã Vĩnh Tế</v>
          </cell>
          <cell r="I9950" t="str">
            <v>80503</v>
          </cell>
        </row>
        <row r="9951">
          <cell r="G9951" t="str">
            <v>Phường Châu Phú B</v>
          </cell>
          <cell r="I9951" t="str">
            <v>80503</v>
          </cell>
        </row>
        <row r="9952">
          <cell r="G9952" t="str">
            <v>Phường Vĩnh Mỹ</v>
          </cell>
          <cell r="I9952" t="str">
            <v>80503</v>
          </cell>
        </row>
        <row r="9953">
          <cell r="G9953" t="str">
            <v>Phường Núi Sam</v>
          </cell>
          <cell r="I9953" t="str">
            <v>80503</v>
          </cell>
        </row>
        <row r="9954">
          <cell r="G9954" t="str">
            <v>Phường Vĩnh Ngươn</v>
          </cell>
          <cell r="I9954" t="str">
            <v>80503</v>
          </cell>
        </row>
        <row r="9955">
          <cell r="G9955" t="str">
            <v>Xã Vĩnh Châu</v>
          </cell>
          <cell r="I9955" t="str">
            <v>80503</v>
          </cell>
        </row>
        <row r="9956">
          <cell r="G9956" t="str">
            <v>Xã Quốc Thái</v>
          </cell>
          <cell r="I9956" t="str">
            <v>80505</v>
          </cell>
        </row>
        <row r="9957">
          <cell r="G9957" t="str">
            <v xml:space="preserve">Xã Khánh Bình </v>
          </cell>
          <cell r="I9957" t="str">
            <v>80505</v>
          </cell>
        </row>
        <row r="9958">
          <cell r="G9958" t="str">
            <v xml:space="preserve">Xã Phú Hội  </v>
          </cell>
          <cell r="I9958" t="str">
            <v>80505</v>
          </cell>
        </row>
        <row r="9959">
          <cell r="G9959" t="str">
            <v xml:space="preserve">Xã Vĩnh Trường </v>
          </cell>
          <cell r="I9959" t="str">
            <v>80505</v>
          </cell>
        </row>
        <row r="9960">
          <cell r="G9960" t="str">
            <v>Thị trấn An Phú</v>
          </cell>
          <cell r="I9960" t="str">
            <v>80505</v>
          </cell>
        </row>
        <row r="9961">
          <cell r="G9961" t="str">
            <v xml:space="preserve">Xã Khánh An </v>
          </cell>
          <cell r="I9961" t="str">
            <v>80505</v>
          </cell>
        </row>
        <row r="9962">
          <cell r="G9962" t="str">
            <v xml:space="preserve">Xã Nhơn Hội </v>
          </cell>
          <cell r="I9962" t="str">
            <v>80505</v>
          </cell>
        </row>
        <row r="9963">
          <cell r="G9963" t="str">
            <v xml:space="preserve">Xã Phú Hữu </v>
          </cell>
          <cell r="I9963" t="str">
            <v>80505</v>
          </cell>
        </row>
        <row r="9964">
          <cell r="G9964" t="str">
            <v xml:space="preserve">Xã Phước Hưng  </v>
          </cell>
          <cell r="I9964" t="str">
            <v>80505</v>
          </cell>
        </row>
        <row r="9965">
          <cell r="G9965" t="str">
            <v xml:space="preserve">Xã Vĩnh Lộc </v>
          </cell>
          <cell r="I9965" t="str">
            <v>80505</v>
          </cell>
        </row>
        <row r="9966">
          <cell r="G9966" t="str">
            <v>Xã Vĩnh Hậu</v>
          </cell>
          <cell r="I9966" t="str">
            <v>80505</v>
          </cell>
        </row>
        <row r="9967">
          <cell r="G9967" t="str">
            <v>Xã Vĩnh Hội Đông</v>
          </cell>
          <cell r="I9967" t="str">
            <v>80505</v>
          </cell>
        </row>
        <row r="9968">
          <cell r="G9968" t="str">
            <v xml:space="preserve">Xã Đa Phước </v>
          </cell>
          <cell r="I9968" t="str">
            <v>80505</v>
          </cell>
        </row>
        <row r="9969">
          <cell r="G9969" t="str">
            <v>Thị trấn Long Bình</v>
          </cell>
          <cell r="I9969" t="str">
            <v>80505</v>
          </cell>
        </row>
        <row r="9970">
          <cell r="G9970" t="str">
            <v>Xã Vĩnh Xương</v>
          </cell>
          <cell r="I9970" t="str">
            <v>80507</v>
          </cell>
        </row>
        <row r="9971">
          <cell r="G9971" t="str">
            <v xml:space="preserve">Xã Phú Lộc      </v>
          </cell>
          <cell r="I9971" t="str">
            <v>80507</v>
          </cell>
        </row>
        <row r="9972">
          <cell r="G9972" t="str">
            <v xml:space="preserve">Xã Long An  </v>
          </cell>
          <cell r="I9972" t="str">
            <v>80507</v>
          </cell>
        </row>
        <row r="9973">
          <cell r="G9973" t="str">
            <v>Xã Lê Chánh</v>
          </cell>
          <cell r="I9973" t="str">
            <v>80507</v>
          </cell>
        </row>
        <row r="9974">
          <cell r="G9974" t="str">
            <v xml:space="preserve">Xã Vĩnh Hòa     </v>
          </cell>
          <cell r="I9974" t="str">
            <v>80507</v>
          </cell>
        </row>
        <row r="9975">
          <cell r="G9975" t="str">
            <v xml:space="preserve">Xã Tân An       </v>
          </cell>
          <cell r="I9975" t="str">
            <v>80507</v>
          </cell>
        </row>
        <row r="9976">
          <cell r="G9976" t="str">
            <v>Phường Long Phú</v>
          </cell>
          <cell r="I9976" t="str">
            <v>80507</v>
          </cell>
        </row>
        <row r="9977">
          <cell r="G9977" t="str">
            <v xml:space="preserve">Xã Châu Phong  </v>
          </cell>
          <cell r="I9977" t="str">
            <v>80507</v>
          </cell>
        </row>
        <row r="9978">
          <cell r="G9978" t="str">
            <v>Xã Phú Vĩnh</v>
          </cell>
          <cell r="I9978" t="str">
            <v>80507</v>
          </cell>
        </row>
        <row r="9979">
          <cell r="G9979" t="str">
            <v xml:space="preserve">Xã Tân Thạnh </v>
          </cell>
          <cell r="I9979" t="str">
            <v>80507</v>
          </cell>
        </row>
        <row r="9980">
          <cell r="G9980" t="str">
            <v>Phường Long Châu</v>
          </cell>
          <cell r="I9980" t="str">
            <v>80507</v>
          </cell>
        </row>
        <row r="9981">
          <cell r="G9981" t="str">
            <v>Phường Long Hưng</v>
          </cell>
          <cell r="I9981" t="str">
            <v>80507</v>
          </cell>
        </row>
        <row r="9982">
          <cell r="G9982" t="str">
            <v>Phường Long Thạnh</v>
          </cell>
          <cell r="I9982" t="str">
            <v>80507</v>
          </cell>
        </row>
        <row r="9983">
          <cell r="G9983" t="str">
            <v>Phương Long Sơn</v>
          </cell>
          <cell r="I9983" t="str">
            <v>80507</v>
          </cell>
        </row>
        <row r="9984">
          <cell r="G9984" t="str">
            <v xml:space="preserve">Xã Phú Long  </v>
          </cell>
          <cell r="I9984" t="str">
            <v>80509</v>
          </cell>
        </row>
        <row r="9985">
          <cell r="G9985" t="str">
            <v>Xã Bình Thạnh Đông</v>
          </cell>
          <cell r="I9985" t="str">
            <v>80509</v>
          </cell>
        </row>
        <row r="9986">
          <cell r="G9986" t="str">
            <v xml:space="preserve">Xã Long Hòa   </v>
          </cell>
          <cell r="I9986" t="str">
            <v>80509</v>
          </cell>
        </row>
        <row r="9987">
          <cell r="G9987" t="str">
            <v xml:space="preserve">Xã Phú Hiệp </v>
          </cell>
          <cell r="I9987" t="str">
            <v>80509</v>
          </cell>
        </row>
        <row r="9988">
          <cell r="G9988" t="str">
            <v xml:space="preserve">Xã Phú An    </v>
          </cell>
          <cell r="I9988" t="str">
            <v>80509</v>
          </cell>
        </row>
        <row r="9989">
          <cell r="G9989" t="str">
            <v xml:space="preserve">Xã Phú Thọ  </v>
          </cell>
          <cell r="I9989" t="str">
            <v>80509</v>
          </cell>
        </row>
        <row r="9990">
          <cell r="G9990" t="str">
            <v xml:space="preserve">Xã Tân Trung </v>
          </cell>
          <cell r="I9990" t="str">
            <v>80509</v>
          </cell>
        </row>
        <row r="9991">
          <cell r="G9991" t="str">
            <v xml:space="preserve">Thị trấn Phú Mỹ </v>
          </cell>
          <cell r="I9991" t="str">
            <v>80509</v>
          </cell>
        </row>
        <row r="9992">
          <cell r="G9992" t="str">
            <v>Thị trấn Chợ Vàm</v>
          </cell>
          <cell r="I9992" t="str">
            <v>80509</v>
          </cell>
        </row>
        <row r="9993">
          <cell r="G9993" t="str">
            <v xml:space="preserve">Xã Long Sơn       </v>
          </cell>
          <cell r="I9993" t="str">
            <v>80509</v>
          </cell>
        </row>
        <row r="9994">
          <cell r="G9994" t="str">
            <v xml:space="preserve">Xã Phú Lâm    </v>
          </cell>
          <cell r="I9994" t="str">
            <v>80509</v>
          </cell>
        </row>
        <row r="9995">
          <cell r="G9995" t="str">
            <v xml:space="preserve">Xã Phú Thạnh </v>
          </cell>
          <cell r="I9995" t="str">
            <v>80509</v>
          </cell>
        </row>
        <row r="9996">
          <cell r="G9996" t="str">
            <v xml:space="preserve">Xã Hòa Lạc </v>
          </cell>
          <cell r="I9996" t="str">
            <v>80509</v>
          </cell>
        </row>
        <row r="9997">
          <cell r="G9997" t="str">
            <v xml:space="preserve">Xã Phú Thành  </v>
          </cell>
          <cell r="I9997" t="str">
            <v>80509</v>
          </cell>
        </row>
        <row r="9998">
          <cell r="G9998" t="str">
            <v xml:space="preserve">Xã Phú Xuân       </v>
          </cell>
          <cell r="I9998" t="str">
            <v>80509</v>
          </cell>
        </row>
        <row r="9999">
          <cell r="G9999" t="str">
            <v>Xã Hiệp Xương</v>
          </cell>
          <cell r="I9999" t="str">
            <v>80509</v>
          </cell>
        </row>
        <row r="10000">
          <cell r="G10000" t="str">
            <v xml:space="preserve">Xã Phú Bình  </v>
          </cell>
          <cell r="I10000" t="str">
            <v>80509</v>
          </cell>
        </row>
        <row r="10001">
          <cell r="G10001" t="str">
            <v>Xã Phú Hưng</v>
          </cell>
          <cell r="I10001" t="str">
            <v>80509</v>
          </cell>
        </row>
        <row r="10002">
          <cell r="G10002" t="str">
            <v xml:space="preserve">Xã Tân Hòa             </v>
          </cell>
          <cell r="I10002" t="str">
            <v>80509</v>
          </cell>
        </row>
        <row r="10003">
          <cell r="G10003" t="str">
            <v>Xã Đào Hữu Cảnh</v>
          </cell>
          <cell r="I10003" t="str">
            <v>80511</v>
          </cell>
        </row>
        <row r="10004">
          <cell r="G10004" t="str">
            <v xml:space="preserve">Xã Mỹ Phú </v>
          </cell>
          <cell r="I10004" t="str">
            <v>80511</v>
          </cell>
        </row>
        <row r="10005">
          <cell r="G10005" t="str">
            <v>Xã Thạnh Mỹ Tây</v>
          </cell>
          <cell r="I10005" t="str">
            <v>80511</v>
          </cell>
        </row>
        <row r="10006">
          <cell r="G10006" t="str">
            <v xml:space="preserve">Xã Bình Phú     </v>
          </cell>
          <cell r="I10006" t="str">
            <v>80511</v>
          </cell>
        </row>
        <row r="10007">
          <cell r="G10007" t="str">
            <v>Thị trấn Cái Dầu</v>
          </cell>
          <cell r="I10007" t="str">
            <v>80511</v>
          </cell>
        </row>
        <row r="10008">
          <cell r="G10008" t="str">
            <v xml:space="preserve">Xã Khánh Hòa  </v>
          </cell>
          <cell r="I10008" t="str">
            <v>80511</v>
          </cell>
        </row>
        <row r="10009">
          <cell r="G10009" t="str">
            <v xml:space="preserve">Xã Mỹ Đức   </v>
          </cell>
          <cell r="I10009" t="str">
            <v>80511</v>
          </cell>
        </row>
        <row r="10010">
          <cell r="G10010" t="str">
            <v>Xã ô Long Vỹ</v>
          </cell>
          <cell r="I10010" t="str">
            <v>80511</v>
          </cell>
        </row>
        <row r="10011">
          <cell r="G10011" t="str">
            <v>Xã Vĩnh Thạnh Trung</v>
          </cell>
          <cell r="I10011" t="str">
            <v>80511</v>
          </cell>
        </row>
        <row r="10012">
          <cell r="G10012" t="str">
            <v xml:space="preserve">Xã Bình Long   </v>
          </cell>
          <cell r="I10012" t="str">
            <v>80511</v>
          </cell>
        </row>
        <row r="10013">
          <cell r="G10013" t="str">
            <v xml:space="preserve">Xã Bình Mỹ   </v>
          </cell>
          <cell r="I10013" t="str">
            <v>80511</v>
          </cell>
        </row>
        <row r="10014">
          <cell r="G10014" t="str">
            <v>Xã Bình Thủy</v>
          </cell>
          <cell r="I10014" t="str">
            <v>80511</v>
          </cell>
        </row>
        <row r="10015">
          <cell r="G10015" t="str">
            <v xml:space="preserve">Xã Bình Chánh   </v>
          </cell>
          <cell r="I10015" t="str">
            <v>80511</v>
          </cell>
        </row>
        <row r="10016">
          <cell r="G10016" t="str">
            <v>Xã Núi Voi</v>
          </cell>
          <cell r="I10016" t="str">
            <v>80513</v>
          </cell>
        </row>
        <row r="10017">
          <cell r="G10017" t="str">
            <v>Xã Thới Sơn</v>
          </cell>
          <cell r="I10017" t="str">
            <v>80513</v>
          </cell>
        </row>
        <row r="10018">
          <cell r="G10018" t="str">
            <v xml:space="preserve">Xã An Nông </v>
          </cell>
          <cell r="I10018" t="str">
            <v>80513</v>
          </cell>
        </row>
        <row r="10019">
          <cell r="G10019" t="str">
            <v>Xã An Hảo</v>
          </cell>
          <cell r="I10019" t="str">
            <v>80513</v>
          </cell>
        </row>
        <row r="10020">
          <cell r="G10020" t="str">
            <v xml:space="preserve">Xã Tân Lập                         </v>
          </cell>
          <cell r="I10020" t="str">
            <v>80513</v>
          </cell>
        </row>
        <row r="10021">
          <cell r="G10021" t="str">
            <v xml:space="preserve">Xã Tân Lợi   </v>
          </cell>
          <cell r="I10021" t="str">
            <v>80513</v>
          </cell>
        </row>
        <row r="10022">
          <cell r="G10022" t="str">
            <v>Thị trấn Nhà Bàng</v>
          </cell>
          <cell r="I10022" t="str">
            <v>80513</v>
          </cell>
        </row>
        <row r="10023">
          <cell r="G10023" t="str">
            <v xml:space="preserve">Thị trấn Chi Lăng </v>
          </cell>
          <cell r="I10023" t="str">
            <v>80513</v>
          </cell>
        </row>
        <row r="10024">
          <cell r="G10024" t="str">
            <v>Xã Nhơn Hưng</v>
          </cell>
          <cell r="I10024" t="str">
            <v>80513</v>
          </cell>
        </row>
        <row r="10025">
          <cell r="G10025" t="str">
            <v xml:space="preserve">Xã An Phú      </v>
          </cell>
          <cell r="I10025" t="str">
            <v>80513</v>
          </cell>
        </row>
        <row r="10026">
          <cell r="G10026" t="str">
            <v>Thị trấn Tịnh Biên</v>
          </cell>
          <cell r="I10026" t="str">
            <v>80513</v>
          </cell>
        </row>
        <row r="10027">
          <cell r="G10027" t="str">
            <v>Xã Văn Giáo</v>
          </cell>
          <cell r="I10027" t="str">
            <v>80513</v>
          </cell>
        </row>
        <row r="10028">
          <cell r="G10028" t="str">
            <v xml:space="preserve">Xã An Cư </v>
          </cell>
          <cell r="I10028" t="str">
            <v>80513</v>
          </cell>
        </row>
        <row r="10029">
          <cell r="G10029" t="str">
            <v xml:space="preserve">Xã Vĩnh Trung   </v>
          </cell>
          <cell r="I10029" t="str">
            <v>80513</v>
          </cell>
        </row>
        <row r="10030">
          <cell r="G10030" t="str">
            <v>Xã Vĩnh Phước</v>
          </cell>
          <cell r="I10030" t="str">
            <v>80515</v>
          </cell>
        </row>
        <row r="10031">
          <cell r="G10031" t="str">
            <v>Xã Châu Lăng</v>
          </cell>
          <cell r="I10031" t="str">
            <v>80515</v>
          </cell>
        </row>
        <row r="10032">
          <cell r="G10032" t="str">
            <v>Xã Núi Tô</v>
          </cell>
          <cell r="I10032" t="str">
            <v>80515</v>
          </cell>
        </row>
        <row r="10033">
          <cell r="G10033" t="str">
            <v>Xã ô Lâm</v>
          </cell>
          <cell r="I10033" t="str">
            <v>80515</v>
          </cell>
        </row>
        <row r="10034">
          <cell r="G10034" t="str">
            <v>Thị trấn Tri Tôn</v>
          </cell>
          <cell r="I10034" t="str">
            <v>80515</v>
          </cell>
        </row>
        <row r="10035">
          <cell r="G10035" t="str">
            <v>Thị trấn Ba Chúc</v>
          </cell>
          <cell r="I10035" t="str">
            <v>80515</v>
          </cell>
        </row>
        <row r="10036">
          <cell r="G10036" t="str">
            <v>Xã Lạc Quới</v>
          </cell>
          <cell r="I10036" t="str">
            <v>80515</v>
          </cell>
        </row>
        <row r="10037">
          <cell r="G10037" t="str">
            <v>Xã Lê Trì</v>
          </cell>
          <cell r="I10037" t="str">
            <v>80515</v>
          </cell>
        </row>
        <row r="10038">
          <cell r="G10038" t="str">
            <v>Xã Vĩnh Gia</v>
          </cell>
          <cell r="I10038" t="str">
            <v>80515</v>
          </cell>
        </row>
        <row r="10039">
          <cell r="G10039" t="str">
            <v>Xã Lương Phi</v>
          </cell>
          <cell r="I10039" t="str">
            <v>80515</v>
          </cell>
        </row>
        <row r="10040">
          <cell r="G10040" t="str">
            <v>Xã Lương An Trà</v>
          </cell>
          <cell r="I10040" t="str">
            <v>80515</v>
          </cell>
        </row>
        <row r="10041">
          <cell r="G10041" t="str">
            <v>Xã Tà Đảnh</v>
          </cell>
          <cell r="I10041" t="str">
            <v>80515</v>
          </cell>
        </row>
        <row r="10042">
          <cell r="G10042" t="str">
            <v>Xã An Tức</v>
          </cell>
          <cell r="I10042" t="str">
            <v>80515</v>
          </cell>
        </row>
        <row r="10043">
          <cell r="G10043" t="str">
            <v>Xã Cô Tô</v>
          </cell>
          <cell r="I10043" t="str">
            <v>80515</v>
          </cell>
        </row>
        <row r="10044">
          <cell r="G10044" t="str">
            <v>Xã Tân Tuyến</v>
          </cell>
          <cell r="I10044" t="str">
            <v>80515</v>
          </cell>
        </row>
        <row r="10045">
          <cell r="G10045" t="str">
            <v>Xã Kiến An</v>
          </cell>
          <cell r="I10045" t="str">
            <v>80517</v>
          </cell>
        </row>
        <row r="10046">
          <cell r="G10046" t="str">
            <v>Xã An Thạnh Trung</v>
          </cell>
          <cell r="I10046" t="str">
            <v>80517</v>
          </cell>
        </row>
        <row r="10047">
          <cell r="G10047" t="str">
            <v>Xã Mỹ Hội Đông</v>
          </cell>
          <cell r="I10047" t="str">
            <v>80517</v>
          </cell>
        </row>
        <row r="10048">
          <cell r="G10048" t="str">
            <v xml:space="preserve">Xã Kiến Thành </v>
          </cell>
          <cell r="I10048" t="str">
            <v>80517</v>
          </cell>
        </row>
        <row r="10049">
          <cell r="G10049" t="str">
            <v xml:space="preserve">Xã Long Giang  </v>
          </cell>
          <cell r="I10049" t="str">
            <v>80517</v>
          </cell>
        </row>
        <row r="10050">
          <cell r="G10050" t="str">
            <v>Xã Hội An</v>
          </cell>
          <cell r="I10050" t="str">
            <v>80517</v>
          </cell>
        </row>
        <row r="10051">
          <cell r="G10051" t="str">
            <v xml:space="preserve">Thị trấn Chợ Mới </v>
          </cell>
          <cell r="I10051" t="str">
            <v>80517</v>
          </cell>
        </row>
        <row r="10052">
          <cell r="G10052" t="str">
            <v>Thị trấn Mỹ Luông</v>
          </cell>
          <cell r="I10052" t="str">
            <v>80517</v>
          </cell>
        </row>
        <row r="10053">
          <cell r="G10053" t="str">
            <v>Xã Long Điền A</v>
          </cell>
          <cell r="I10053" t="str">
            <v>80517</v>
          </cell>
        </row>
        <row r="10054">
          <cell r="G10054" t="str">
            <v>Xã Tấn Mỹ</v>
          </cell>
          <cell r="I10054" t="str">
            <v>80517</v>
          </cell>
        </row>
        <row r="10055">
          <cell r="G10055" t="str">
            <v>Xã Long Điền B</v>
          </cell>
          <cell r="I10055" t="str">
            <v>80517</v>
          </cell>
        </row>
        <row r="10056">
          <cell r="G10056" t="str">
            <v xml:space="preserve">Xã Mỹ Hiệp  </v>
          </cell>
          <cell r="I10056" t="str">
            <v>80517</v>
          </cell>
        </row>
        <row r="10057">
          <cell r="G10057" t="str">
            <v xml:space="preserve">Xã Mỹ An    </v>
          </cell>
          <cell r="I10057" t="str">
            <v>80517</v>
          </cell>
        </row>
        <row r="10058">
          <cell r="G10058" t="str">
            <v xml:space="preserve">Xã Nhơn Mỹ </v>
          </cell>
          <cell r="I10058" t="str">
            <v>80517</v>
          </cell>
        </row>
        <row r="10059">
          <cell r="G10059" t="str">
            <v>Xã Long Kiến</v>
          </cell>
          <cell r="I10059" t="str">
            <v>80517</v>
          </cell>
        </row>
        <row r="10060">
          <cell r="G10060" t="str">
            <v>Xã Bình Phước Xuân</v>
          </cell>
          <cell r="I10060" t="str">
            <v>80517</v>
          </cell>
        </row>
        <row r="10061">
          <cell r="G10061" t="str">
            <v xml:space="preserve">Xã Hòa Bình                </v>
          </cell>
          <cell r="I10061" t="str">
            <v>80517</v>
          </cell>
        </row>
        <row r="10062">
          <cell r="G10062" t="str">
            <v xml:space="preserve">Xã Hòa An    </v>
          </cell>
          <cell r="I10062" t="str">
            <v>80517</v>
          </cell>
        </row>
        <row r="10063">
          <cell r="G10063" t="str">
            <v>Xã Vĩnh Nhuận</v>
          </cell>
          <cell r="I10063" t="str">
            <v>80519</v>
          </cell>
        </row>
        <row r="10064">
          <cell r="G10064" t="str">
            <v xml:space="preserve">Xã An Hòa         </v>
          </cell>
          <cell r="I10064" t="str">
            <v>80519</v>
          </cell>
        </row>
        <row r="10065">
          <cell r="G10065" t="str">
            <v xml:space="preserve">Xã Bình Thạnh        </v>
          </cell>
          <cell r="I10065" t="str">
            <v>80519</v>
          </cell>
        </row>
        <row r="10066">
          <cell r="G10066" t="str">
            <v>Xã Hòa Bình Thạnh</v>
          </cell>
          <cell r="I10066" t="str">
            <v>80519</v>
          </cell>
        </row>
        <row r="10067">
          <cell r="G10067" t="str">
            <v xml:space="preserve">Thị trấn An Châu </v>
          </cell>
          <cell r="I10067" t="str">
            <v>80519</v>
          </cell>
        </row>
        <row r="10068">
          <cell r="G10068" t="str">
            <v>Xã Cần Đăng</v>
          </cell>
          <cell r="I10068" t="str">
            <v>80519</v>
          </cell>
        </row>
        <row r="10069">
          <cell r="G10069" t="str">
            <v>Xã Vĩnh Hanh</v>
          </cell>
          <cell r="I10069" t="str">
            <v>80519</v>
          </cell>
        </row>
        <row r="10070">
          <cell r="G10070" t="str">
            <v xml:space="preserve">Xã Vĩnh Bình </v>
          </cell>
          <cell r="I10070" t="str">
            <v>80519</v>
          </cell>
        </row>
        <row r="10071">
          <cell r="G10071" t="str">
            <v xml:space="preserve">Xã Bình Hòa     </v>
          </cell>
          <cell r="I10071" t="str">
            <v>80519</v>
          </cell>
        </row>
        <row r="10072">
          <cell r="G10072" t="str">
            <v xml:space="preserve">Xã Vĩnh An   </v>
          </cell>
          <cell r="I10072" t="str">
            <v>80519</v>
          </cell>
        </row>
        <row r="10073">
          <cell r="G10073" t="str">
            <v xml:space="preserve">Xã Vĩnh Lợi  </v>
          </cell>
          <cell r="I10073" t="str">
            <v>80519</v>
          </cell>
        </row>
        <row r="10074">
          <cell r="G10074" t="str">
            <v xml:space="preserve">Xã Tân Phú        </v>
          </cell>
          <cell r="I10074" t="str">
            <v>80519</v>
          </cell>
        </row>
        <row r="10075">
          <cell r="G10075" t="str">
            <v xml:space="preserve">Xã Vĩnh Thành   </v>
          </cell>
          <cell r="I10075" t="str">
            <v>80519</v>
          </cell>
        </row>
        <row r="10076">
          <cell r="G10076" t="str">
            <v>Xã Định Mỹ</v>
          </cell>
          <cell r="I10076" t="str">
            <v>80521</v>
          </cell>
        </row>
        <row r="10077">
          <cell r="G10077" t="str">
            <v>Thị trấn Núi Sập</v>
          </cell>
          <cell r="I10077" t="str">
            <v>80521</v>
          </cell>
        </row>
        <row r="10078">
          <cell r="G10078" t="str">
            <v>Xã Vĩnh Trạch</v>
          </cell>
          <cell r="I10078" t="str">
            <v>80521</v>
          </cell>
        </row>
        <row r="10079">
          <cell r="G10079" t="str">
            <v xml:space="preserve">Xã Định Thành  </v>
          </cell>
          <cell r="I10079" t="str">
            <v>80521</v>
          </cell>
        </row>
        <row r="10080">
          <cell r="G10080" t="str">
            <v>Xã Thoại Giang</v>
          </cell>
          <cell r="I10080" t="str">
            <v>80521</v>
          </cell>
        </row>
        <row r="10081">
          <cell r="G10081" t="str">
            <v xml:space="preserve">Thị trấn Phú Hòa  </v>
          </cell>
          <cell r="I10081" t="str">
            <v>80521</v>
          </cell>
        </row>
        <row r="10082">
          <cell r="G10082" t="str">
            <v>Thị trấn óc Eo</v>
          </cell>
          <cell r="I10082" t="str">
            <v>80521</v>
          </cell>
        </row>
        <row r="10083">
          <cell r="G10083" t="str">
            <v xml:space="preserve">Xã Tây Phú </v>
          </cell>
          <cell r="I10083" t="str">
            <v>80521</v>
          </cell>
        </row>
        <row r="10084">
          <cell r="G10084" t="str">
            <v xml:space="preserve">Xã Vĩnh Phú </v>
          </cell>
          <cell r="I10084" t="str">
            <v>80521</v>
          </cell>
        </row>
        <row r="10085">
          <cell r="G10085" t="str">
            <v xml:space="preserve">Xã Phú Thuận </v>
          </cell>
          <cell r="I10085" t="str">
            <v>80521</v>
          </cell>
        </row>
        <row r="10086">
          <cell r="G10086" t="str">
            <v>Xã Vĩnh Chánh</v>
          </cell>
          <cell r="I10086" t="str">
            <v>80521</v>
          </cell>
        </row>
        <row r="10087">
          <cell r="G10087" t="str">
            <v>Xã Mỹ Phú Đông</v>
          </cell>
          <cell r="I10087" t="str">
            <v>80521</v>
          </cell>
        </row>
        <row r="10088">
          <cell r="G10088" t="str">
            <v>Xã Vọng Đông</v>
          </cell>
          <cell r="I10088" t="str">
            <v>80521</v>
          </cell>
        </row>
        <row r="10089">
          <cell r="G10089" t="str">
            <v>Xã Vĩnh Khánh</v>
          </cell>
          <cell r="I10089" t="str">
            <v>80521</v>
          </cell>
        </row>
        <row r="10090">
          <cell r="G10090" t="str">
            <v xml:space="preserve">Xã Bình Thành      </v>
          </cell>
          <cell r="I10090" t="str">
            <v>80521</v>
          </cell>
        </row>
        <row r="10091">
          <cell r="G10091" t="str">
            <v>Xã Vọng Thê</v>
          </cell>
          <cell r="I10091" t="str">
            <v>80521</v>
          </cell>
        </row>
        <row r="10092">
          <cell r="G10092" t="str">
            <v xml:space="preserve">Xã An Bình         </v>
          </cell>
          <cell r="I10092" t="str">
            <v>80521</v>
          </cell>
        </row>
        <row r="10093">
          <cell r="G10093" t="str">
            <v xml:space="preserve">Xã Mỹ Phong </v>
          </cell>
          <cell r="I10093" t="str">
            <v>80701</v>
          </cell>
        </row>
        <row r="10094">
          <cell r="G10094" t="str">
            <v xml:space="preserve">Phường 3               </v>
          </cell>
          <cell r="I10094" t="str">
            <v>80701</v>
          </cell>
        </row>
        <row r="10095">
          <cell r="G10095" t="str">
            <v xml:space="preserve">Phường 8       </v>
          </cell>
          <cell r="I10095" t="str">
            <v>80701</v>
          </cell>
        </row>
        <row r="10096">
          <cell r="G10096" t="str">
            <v xml:space="preserve">Phường Tân Long </v>
          </cell>
          <cell r="I10096" t="str">
            <v>80701</v>
          </cell>
        </row>
        <row r="10097">
          <cell r="G10097" t="str">
            <v>Xã Tân Mỹ Chánh</v>
          </cell>
          <cell r="I10097" t="str">
            <v>80701</v>
          </cell>
        </row>
        <row r="10098">
          <cell r="G10098" t="str">
            <v xml:space="preserve">Phường 5          </v>
          </cell>
          <cell r="I10098" t="str">
            <v>80701</v>
          </cell>
        </row>
        <row r="10099">
          <cell r="G10099" t="str">
            <v xml:space="preserve">Phường 4            </v>
          </cell>
          <cell r="I10099" t="str">
            <v>80701</v>
          </cell>
        </row>
        <row r="10100">
          <cell r="G10100" t="str">
            <v xml:space="preserve">Phường 7         </v>
          </cell>
          <cell r="I10100" t="str">
            <v>80701</v>
          </cell>
        </row>
        <row r="10101">
          <cell r="G10101" t="str">
            <v xml:space="preserve">Phường 1                </v>
          </cell>
          <cell r="I10101" t="str">
            <v>80701</v>
          </cell>
        </row>
        <row r="10102">
          <cell r="G10102" t="str">
            <v xml:space="preserve">Phường 2               </v>
          </cell>
          <cell r="I10102" t="str">
            <v>80701</v>
          </cell>
        </row>
        <row r="10103">
          <cell r="G10103" t="str">
            <v xml:space="preserve">Phường 6          </v>
          </cell>
          <cell r="I10103" t="str">
            <v>80701</v>
          </cell>
        </row>
        <row r="10104">
          <cell r="G10104" t="str">
            <v xml:space="preserve">Phường 9       </v>
          </cell>
          <cell r="I10104" t="str">
            <v>80701</v>
          </cell>
        </row>
        <row r="10105">
          <cell r="G10105" t="str">
            <v xml:space="preserve">Phường 10            </v>
          </cell>
          <cell r="I10105" t="str">
            <v>80701</v>
          </cell>
        </row>
        <row r="10106">
          <cell r="G10106" t="str">
            <v>Xã Đạo Thạnh</v>
          </cell>
          <cell r="I10106" t="str">
            <v>80701</v>
          </cell>
        </row>
        <row r="10107">
          <cell r="G10107" t="str">
            <v xml:space="preserve">Xã Trung An  </v>
          </cell>
          <cell r="I10107" t="str">
            <v>80701</v>
          </cell>
        </row>
        <row r="10108">
          <cell r="G10108" t="str">
            <v xml:space="preserve">Xã Phước Thạnh  </v>
          </cell>
          <cell r="I10108" t="str">
            <v>80701</v>
          </cell>
        </row>
        <row r="10109">
          <cell r="G10109" t="str">
            <v xml:space="preserve">Xã Thới Sơn </v>
          </cell>
          <cell r="I10109" t="str">
            <v>80701</v>
          </cell>
        </row>
        <row r="10110">
          <cell r="G10110" t="str">
            <v xml:space="preserve">Phường 1                 </v>
          </cell>
          <cell r="I10110" t="str">
            <v>80703</v>
          </cell>
        </row>
        <row r="10111">
          <cell r="G10111" t="str">
            <v>Xã Long Chánh</v>
          </cell>
          <cell r="I10111" t="str">
            <v>80703</v>
          </cell>
        </row>
        <row r="10112">
          <cell r="G10112" t="str">
            <v xml:space="preserve">Phường 3                </v>
          </cell>
          <cell r="I10112" t="str">
            <v>80703</v>
          </cell>
        </row>
        <row r="10113">
          <cell r="G10113" t="str">
            <v xml:space="preserve">Phường 2                </v>
          </cell>
          <cell r="I10113" t="str">
            <v>80703</v>
          </cell>
        </row>
        <row r="10114">
          <cell r="G10114" t="str">
            <v xml:space="preserve">Phường 4             </v>
          </cell>
          <cell r="I10114" t="str">
            <v>80703</v>
          </cell>
        </row>
        <row r="10115">
          <cell r="G10115" t="str">
            <v xml:space="preserve">Phường 5           </v>
          </cell>
          <cell r="I10115" t="str">
            <v>80703</v>
          </cell>
        </row>
        <row r="10116">
          <cell r="G10116" t="str">
            <v xml:space="preserve">Xã Long Hưng   </v>
          </cell>
          <cell r="I10116" t="str">
            <v>80703</v>
          </cell>
        </row>
        <row r="10117">
          <cell r="G10117" t="str">
            <v xml:space="preserve">Xã Long Thuận   </v>
          </cell>
          <cell r="I10117" t="str">
            <v>80703</v>
          </cell>
        </row>
        <row r="10118">
          <cell r="G10118" t="str">
            <v xml:space="preserve">Xã Long Hòa    </v>
          </cell>
          <cell r="I10118" t="str">
            <v>80703</v>
          </cell>
        </row>
        <row r="10119">
          <cell r="G10119" t="str">
            <v xml:space="preserve">Xã Bình Đông </v>
          </cell>
          <cell r="I10119" t="str">
            <v>80703</v>
          </cell>
        </row>
        <row r="10120">
          <cell r="G10120" t="str">
            <v>Xã Bình Xuân</v>
          </cell>
          <cell r="I10120" t="str">
            <v>80703</v>
          </cell>
        </row>
        <row r="10121">
          <cell r="G10121" t="str">
            <v xml:space="preserve">Xã Tân Trung  </v>
          </cell>
          <cell r="I10121" t="str">
            <v>80703</v>
          </cell>
        </row>
        <row r="10122">
          <cell r="G10122" t="str">
            <v>Xã Tân Lập 1</v>
          </cell>
          <cell r="I10122" t="str">
            <v>80705</v>
          </cell>
        </row>
        <row r="10123">
          <cell r="G10123" t="str">
            <v>Xã Tân Hòa Đông</v>
          </cell>
          <cell r="I10123" t="str">
            <v>80705</v>
          </cell>
        </row>
        <row r="10124">
          <cell r="G10124" t="str">
            <v>Xã Mỹ Phước</v>
          </cell>
          <cell r="I10124" t="str">
            <v>80705</v>
          </cell>
        </row>
        <row r="10125">
          <cell r="G10125" t="str">
            <v xml:space="preserve">Xã Thạnh Tân </v>
          </cell>
          <cell r="I10125" t="str">
            <v>80705</v>
          </cell>
        </row>
        <row r="10126">
          <cell r="G10126" t="str">
            <v>Xã Tân Hòa Thành</v>
          </cell>
          <cell r="I10126" t="str">
            <v>80705</v>
          </cell>
        </row>
        <row r="10127">
          <cell r="G10127" t="str">
            <v>Xã Tân Hòa Tây</v>
          </cell>
          <cell r="I10127" t="str">
            <v>80705</v>
          </cell>
        </row>
        <row r="10128">
          <cell r="G10128" t="str">
            <v>Xã Tân Lập 2</v>
          </cell>
          <cell r="I10128" t="str">
            <v>80705</v>
          </cell>
        </row>
        <row r="10129">
          <cell r="G10129" t="str">
            <v>Xã Phước Lập</v>
          </cell>
          <cell r="I10129" t="str">
            <v>80705</v>
          </cell>
        </row>
        <row r="10130">
          <cell r="G10130" t="str">
            <v>Thị trấn Mỹ Phước</v>
          </cell>
          <cell r="I10130" t="str">
            <v>80705</v>
          </cell>
        </row>
        <row r="10131">
          <cell r="G10131" t="str">
            <v>Xã Thạnh Mỹ</v>
          </cell>
          <cell r="I10131" t="str">
            <v>80705</v>
          </cell>
        </row>
        <row r="10132">
          <cell r="G10132" t="str">
            <v xml:space="preserve">Xã Thạnh Hòa </v>
          </cell>
          <cell r="I10132" t="str">
            <v>80705</v>
          </cell>
        </row>
        <row r="10133">
          <cell r="G10133" t="str">
            <v xml:space="preserve">Xã Phú Mỹ   </v>
          </cell>
          <cell r="I10133" t="str">
            <v>80705</v>
          </cell>
        </row>
        <row r="10134">
          <cell r="G10134" t="str">
            <v xml:space="preserve">Xã Hưng Thạnh  </v>
          </cell>
          <cell r="I10134" t="str">
            <v>80705</v>
          </cell>
        </row>
        <row r="10135">
          <cell r="G10135" t="str">
            <v xml:space="preserve">Xã Tân Hương      </v>
          </cell>
          <cell r="I10135" t="str">
            <v>80707</v>
          </cell>
        </row>
        <row r="10136">
          <cell r="G10136" t="str">
            <v xml:space="preserve">Xã Long An   </v>
          </cell>
          <cell r="I10136" t="str">
            <v>80707</v>
          </cell>
        </row>
        <row r="10137">
          <cell r="G10137" t="str">
            <v>Xã Tân Hội Đông</v>
          </cell>
          <cell r="I10137" t="str">
            <v>80707</v>
          </cell>
        </row>
        <row r="10138">
          <cell r="G10138" t="str">
            <v xml:space="preserve">Xã Tam Hiệp    </v>
          </cell>
          <cell r="I10138" t="str">
            <v>80707</v>
          </cell>
        </row>
        <row r="10139">
          <cell r="G10139" t="str">
            <v xml:space="preserve">Xã Đông Hòa   </v>
          </cell>
          <cell r="I10139" t="str">
            <v>80707</v>
          </cell>
        </row>
        <row r="10140">
          <cell r="G10140" t="str">
            <v xml:space="preserve">Xã Long Hưng    </v>
          </cell>
          <cell r="I10140" t="str">
            <v>80707</v>
          </cell>
        </row>
        <row r="10141">
          <cell r="G10141" t="str">
            <v>Xã Bàn Long</v>
          </cell>
          <cell r="I10141" t="str">
            <v>80707</v>
          </cell>
        </row>
        <row r="10142">
          <cell r="G10142" t="str">
            <v>Xã Song Thuận</v>
          </cell>
          <cell r="I10142" t="str">
            <v>80707</v>
          </cell>
        </row>
        <row r="10143">
          <cell r="G10143" t="str">
            <v>Thị trấn Tân Hiệp</v>
          </cell>
          <cell r="I10143" t="str">
            <v>80707</v>
          </cell>
        </row>
        <row r="10144">
          <cell r="G10144" t="str">
            <v>Xã Tân Lý Đông</v>
          </cell>
          <cell r="I10144" t="str">
            <v>80707</v>
          </cell>
        </row>
        <row r="10145">
          <cell r="G10145" t="str">
            <v>Xã Tân Lý Tây</v>
          </cell>
          <cell r="I10145" t="str">
            <v>80707</v>
          </cell>
        </row>
        <row r="10146">
          <cell r="G10146" t="str">
            <v>Xã Thân Cửu Nghĩa</v>
          </cell>
          <cell r="I10146" t="str">
            <v>80707</v>
          </cell>
        </row>
        <row r="10147">
          <cell r="G10147" t="str">
            <v>Xã Điềm Hy</v>
          </cell>
          <cell r="I10147" t="str">
            <v>80707</v>
          </cell>
        </row>
        <row r="10148">
          <cell r="G10148" t="str">
            <v xml:space="preserve">Xã Nhị Bình </v>
          </cell>
          <cell r="I10148" t="str">
            <v>80707</v>
          </cell>
        </row>
        <row r="10149">
          <cell r="G10149" t="str">
            <v>Xã Dưỡng Điềm</v>
          </cell>
          <cell r="I10149" t="str">
            <v>80707</v>
          </cell>
        </row>
        <row r="10150">
          <cell r="G10150" t="str">
            <v xml:space="preserve">Xã Long Định </v>
          </cell>
          <cell r="I10150" t="str">
            <v>80707</v>
          </cell>
        </row>
        <row r="10151">
          <cell r="G10151" t="str">
            <v>Xã Hữu Đạo</v>
          </cell>
          <cell r="I10151" t="str">
            <v>80707</v>
          </cell>
        </row>
        <row r="10152">
          <cell r="G10152" t="str">
            <v>Xã Bình Trưng</v>
          </cell>
          <cell r="I10152" t="str">
            <v>80707</v>
          </cell>
        </row>
        <row r="10153">
          <cell r="G10153" t="str">
            <v>Xã Phước Thạnh - Chuyến sang TP Mỹ Tho từ ngày 01/09/2009</v>
          </cell>
          <cell r="I10153" t="str">
            <v>80707</v>
          </cell>
        </row>
        <row r="10154">
          <cell r="G10154" t="str">
            <v xml:space="preserve">Xã Thạnh Phú  </v>
          </cell>
          <cell r="I10154" t="str">
            <v>80707</v>
          </cell>
        </row>
        <row r="10155">
          <cell r="G10155" t="str">
            <v xml:space="preserve">Xã Vĩnh Kim  </v>
          </cell>
          <cell r="I10155" t="str">
            <v>80707</v>
          </cell>
        </row>
        <row r="10156">
          <cell r="G10156" t="str">
            <v xml:space="preserve">Xã Bình Đức </v>
          </cell>
          <cell r="I10156" t="str">
            <v>80707</v>
          </cell>
        </row>
        <row r="10157">
          <cell r="G10157" t="str">
            <v xml:space="preserve">Xã Kim Sơn       </v>
          </cell>
          <cell r="I10157" t="str">
            <v>80707</v>
          </cell>
        </row>
        <row r="10158">
          <cell r="G10158" t="str">
            <v xml:space="preserve">Xã Phú Phong </v>
          </cell>
          <cell r="I10158" t="str">
            <v>80707</v>
          </cell>
        </row>
        <row r="10159">
          <cell r="G10159" t="str">
            <v>Xã Thới Sơn - Chuyến sang TP Mỹ Tho từ ngày 01/09/2009</v>
          </cell>
          <cell r="I10159" t="str">
            <v>80707</v>
          </cell>
        </row>
        <row r="10160">
          <cell r="G10160" t="str">
            <v xml:space="preserve">Xã Phú An     </v>
          </cell>
          <cell r="I10160" t="str">
            <v>80709</v>
          </cell>
        </row>
        <row r="10161">
          <cell r="G10161" t="str">
            <v>Xã Thạnh Lộc</v>
          </cell>
          <cell r="I10161" t="str">
            <v>80709</v>
          </cell>
        </row>
        <row r="10162">
          <cell r="G10162" t="str">
            <v xml:space="preserve">Xã Phú Nhuận   </v>
          </cell>
          <cell r="I10162" t="str">
            <v>80709</v>
          </cell>
        </row>
        <row r="10163">
          <cell r="G10163" t="str">
            <v>Xã Hiệp Đức</v>
          </cell>
          <cell r="I10163" t="str">
            <v>80709</v>
          </cell>
        </row>
        <row r="10164">
          <cell r="G10164" t="str">
            <v xml:space="preserve">Xã Tân Phong       </v>
          </cell>
          <cell r="I10164" t="str">
            <v>80709</v>
          </cell>
        </row>
        <row r="10165">
          <cell r="G10165" t="str">
            <v>Xã Mỹ Thành Bắc</v>
          </cell>
          <cell r="I10165" t="str">
            <v>80709</v>
          </cell>
        </row>
        <row r="10166">
          <cell r="G10166" t="str">
            <v xml:space="preserve">Xã Phú Cường       </v>
          </cell>
          <cell r="I10166" t="str">
            <v>80709</v>
          </cell>
        </row>
        <row r="10167">
          <cell r="G10167" t="str">
            <v>Xã Mỹ Thành Nam</v>
          </cell>
          <cell r="I10167" t="str">
            <v>80709</v>
          </cell>
        </row>
        <row r="10168">
          <cell r="G10168" t="str">
            <v xml:space="preserve">Xã Bình Phú      </v>
          </cell>
          <cell r="I10168" t="str">
            <v>80709</v>
          </cell>
        </row>
        <row r="10169">
          <cell r="G10169" t="str">
            <v xml:space="preserve">Xã Cẩm Sơn    </v>
          </cell>
          <cell r="I10169" t="str">
            <v>80709</v>
          </cell>
        </row>
        <row r="10170">
          <cell r="G10170" t="str">
            <v xml:space="preserve">Xã Mỹ Long </v>
          </cell>
          <cell r="I10170" t="str">
            <v>80709</v>
          </cell>
        </row>
        <row r="10171">
          <cell r="G10171" t="str">
            <v>Xã Long Tiên</v>
          </cell>
          <cell r="I10171" t="str">
            <v>80709</v>
          </cell>
        </row>
        <row r="10172">
          <cell r="G10172" t="str">
            <v>Xã Long Trung</v>
          </cell>
          <cell r="I10172" t="str">
            <v>80709</v>
          </cell>
        </row>
        <row r="10173">
          <cell r="G10173" t="str">
            <v>Xã Hội Xuân</v>
          </cell>
          <cell r="I10173" t="str">
            <v>80709</v>
          </cell>
        </row>
        <row r="10174">
          <cell r="G10174" t="str">
            <v>Xã Tam Bình</v>
          </cell>
          <cell r="I10174" t="str">
            <v>80709</v>
          </cell>
        </row>
        <row r="10175">
          <cell r="G10175" t="str">
            <v xml:space="preserve">Xã Ngũ Hiệp </v>
          </cell>
          <cell r="I10175" t="str">
            <v>80709</v>
          </cell>
        </row>
        <row r="10176">
          <cell r="G10176" t="str">
            <v>Thị trấn Chợ Gạo</v>
          </cell>
          <cell r="I10176" t="str">
            <v>80711</v>
          </cell>
        </row>
        <row r="10177">
          <cell r="G10177" t="str">
            <v>Xã Long Bình Điền</v>
          </cell>
          <cell r="I10177" t="str">
            <v>80711</v>
          </cell>
        </row>
        <row r="10178">
          <cell r="G10178" t="str">
            <v xml:space="preserve">Xã Trung Hòa      </v>
          </cell>
          <cell r="I10178" t="str">
            <v>80711</v>
          </cell>
        </row>
        <row r="10179">
          <cell r="G10179" t="str">
            <v>Xã Phú Kiết</v>
          </cell>
          <cell r="I10179" t="str">
            <v>80711</v>
          </cell>
        </row>
        <row r="10180">
          <cell r="G10180" t="str">
            <v>Xã Quơn Long</v>
          </cell>
          <cell r="I10180" t="str">
            <v>80711</v>
          </cell>
        </row>
        <row r="10181">
          <cell r="G10181" t="str">
            <v>Xã Song Bình</v>
          </cell>
          <cell r="I10181" t="str">
            <v>80711</v>
          </cell>
        </row>
        <row r="10182">
          <cell r="G10182" t="str">
            <v xml:space="preserve">Xã Xuân Đông </v>
          </cell>
          <cell r="I10182" t="str">
            <v>80711</v>
          </cell>
        </row>
        <row r="10183">
          <cell r="G10183" t="str">
            <v>Xã Hòa Tịnh</v>
          </cell>
          <cell r="I10183" t="str">
            <v>80711</v>
          </cell>
        </row>
        <row r="10184">
          <cell r="G10184" t="str">
            <v>Xã Mỹ Tịnh An</v>
          </cell>
          <cell r="I10184" t="str">
            <v>80711</v>
          </cell>
        </row>
        <row r="10185">
          <cell r="G10185" t="str">
            <v>Xã Tân Bình Thạnh</v>
          </cell>
          <cell r="I10185" t="str">
            <v>80711</v>
          </cell>
        </row>
        <row r="10186">
          <cell r="G10186" t="str">
            <v>Xã Lương Hòa Lạc</v>
          </cell>
          <cell r="I10186" t="str">
            <v>80711</v>
          </cell>
        </row>
        <row r="10187">
          <cell r="G10187" t="str">
            <v xml:space="preserve">Xã Thanh Bình      </v>
          </cell>
          <cell r="I10187" t="str">
            <v>80711</v>
          </cell>
        </row>
        <row r="10188">
          <cell r="G10188" t="str">
            <v>Xã Bình Phục Nhứt</v>
          </cell>
          <cell r="I10188" t="str">
            <v>80711</v>
          </cell>
        </row>
        <row r="10189">
          <cell r="G10189" t="str">
            <v>Xã Đăng Hưng Phước</v>
          </cell>
          <cell r="I10189" t="str">
            <v>80711</v>
          </cell>
        </row>
        <row r="10190">
          <cell r="G10190" t="str">
            <v>Xã Tân Thuận Bình</v>
          </cell>
          <cell r="I10190" t="str">
            <v>80711</v>
          </cell>
        </row>
        <row r="10191">
          <cell r="G10191" t="str">
            <v>Xã Bình Phan</v>
          </cell>
          <cell r="I10191" t="str">
            <v>80711</v>
          </cell>
        </row>
        <row r="10192">
          <cell r="G10192" t="str">
            <v>Xã An Thạnh Thủy</v>
          </cell>
          <cell r="I10192" t="str">
            <v>80711</v>
          </cell>
        </row>
        <row r="10193">
          <cell r="G10193" t="str">
            <v>Xã Hòa Định</v>
          </cell>
          <cell r="I10193" t="str">
            <v>80711</v>
          </cell>
        </row>
        <row r="10194">
          <cell r="G10194" t="str">
            <v>Xã Bình Ninh</v>
          </cell>
          <cell r="I10194" t="str">
            <v>80711</v>
          </cell>
        </row>
        <row r="10195">
          <cell r="G10195" t="str">
            <v>Xã Đông Hòa Hiệp</v>
          </cell>
          <cell r="I10195" t="str">
            <v>80713</v>
          </cell>
        </row>
        <row r="10196">
          <cell r="G10196" t="str">
            <v xml:space="preserve">Xã Mỹ Tân   </v>
          </cell>
          <cell r="I10196" t="str">
            <v>80713</v>
          </cell>
        </row>
        <row r="10197">
          <cell r="G10197" t="str">
            <v>Xã Mỹ Lợi B</v>
          </cell>
          <cell r="I10197" t="str">
            <v>80713</v>
          </cell>
        </row>
        <row r="10198">
          <cell r="G10198" t="str">
            <v xml:space="preserve">Xã Hậu Thành </v>
          </cell>
          <cell r="I10198" t="str">
            <v>80713</v>
          </cell>
        </row>
        <row r="10199">
          <cell r="G10199" t="str">
            <v>Xã Mỹ Đức Đông</v>
          </cell>
          <cell r="I10199" t="str">
            <v>80713</v>
          </cell>
        </row>
        <row r="10200">
          <cell r="G10200" t="str">
            <v xml:space="preserve">Xã Tân Hưng           </v>
          </cell>
          <cell r="I10200" t="str">
            <v>80713</v>
          </cell>
        </row>
        <row r="10201">
          <cell r="G10201" t="str">
            <v>Xã An Hữu</v>
          </cell>
          <cell r="I10201" t="str">
            <v>80713</v>
          </cell>
        </row>
        <row r="10202">
          <cell r="G10202" t="str">
            <v>Thị trấn Cái Bè</v>
          </cell>
          <cell r="I10202" t="str">
            <v>80713</v>
          </cell>
        </row>
        <row r="10203">
          <cell r="G10203" t="str">
            <v>Xã Hậu Mỹ Bắc B</v>
          </cell>
          <cell r="I10203" t="str">
            <v>80713</v>
          </cell>
        </row>
        <row r="10204">
          <cell r="G10204" t="str">
            <v>Xã Hậu Mỹ Bắc A</v>
          </cell>
          <cell r="I10204" t="str">
            <v>80713</v>
          </cell>
        </row>
        <row r="10205">
          <cell r="G10205" t="str">
            <v xml:space="preserve">Xã Mỹ Trung </v>
          </cell>
          <cell r="I10205" t="str">
            <v>80713</v>
          </cell>
        </row>
        <row r="10206">
          <cell r="G10206" t="str">
            <v>Xã Hậu Mỹ Trinh</v>
          </cell>
          <cell r="I10206" t="str">
            <v>80713</v>
          </cell>
        </row>
        <row r="10207">
          <cell r="G10207" t="str">
            <v>Xã Hậu Mỹ Phú</v>
          </cell>
          <cell r="I10207" t="str">
            <v>80713</v>
          </cell>
        </row>
        <row r="10208">
          <cell r="G10208" t="str">
            <v>Xã Thiện Trung</v>
          </cell>
          <cell r="I10208" t="str">
            <v>80713</v>
          </cell>
        </row>
        <row r="10209">
          <cell r="G10209" t="str">
            <v xml:space="preserve">Xã Mỹ Hội </v>
          </cell>
          <cell r="I10209" t="str">
            <v>80713</v>
          </cell>
        </row>
        <row r="10210">
          <cell r="G10210" t="str">
            <v xml:space="preserve">Xã An Cư  </v>
          </cell>
          <cell r="I10210" t="str">
            <v>80713</v>
          </cell>
        </row>
        <row r="10211">
          <cell r="G10211" t="str">
            <v>Xã Mỹ Lợi A</v>
          </cell>
          <cell r="I10211" t="str">
            <v>80713</v>
          </cell>
        </row>
        <row r="10212">
          <cell r="G10212" t="str">
            <v xml:space="preserve">Xã Hòa Khánh </v>
          </cell>
          <cell r="I10212" t="str">
            <v>80713</v>
          </cell>
        </row>
        <row r="10213">
          <cell r="G10213" t="str">
            <v>Xã Thiện Trí</v>
          </cell>
          <cell r="I10213" t="str">
            <v>80713</v>
          </cell>
        </row>
        <row r="10214">
          <cell r="G10214" t="str">
            <v>Xã Mỹ Đức Tây</v>
          </cell>
          <cell r="I10214" t="str">
            <v>80713</v>
          </cell>
        </row>
        <row r="10215">
          <cell r="G10215" t="str">
            <v>Xã An Thái Đông</v>
          </cell>
          <cell r="I10215" t="str">
            <v>80713</v>
          </cell>
        </row>
        <row r="10216">
          <cell r="G10216" t="str">
            <v xml:space="preserve">Xã Mỹ Lương  </v>
          </cell>
          <cell r="I10216" t="str">
            <v>80713</v>
          </cell>
        </row>
        <row r="10217">
          <cell r="G10217" t="str">
            <v xml:space="preserve">Xã Tân Thanh   </v>
          </cell>
          <cell r="I10217" t="str">
            <v>80713</v>
          </cell>
        </row>
        <row r="10218">
          <cell r="G10218" t="str">
            <v>Xã An Thái Trung</v>
          </cell>
          <cell r="I10218" t="str">
            <v>80713</v>
          </cell>
        </row>
        <row r="10219">
          <cell r="G10219" t="str">
            <v xml:space="preserve">Xã Hòa Hưng </v>
          </cell>
          <cell r="I10219" t="str">
            <v>80713</v>
          </cell>
        </row>
        <row r="10220">
          <cell r="G10220" t="str">
            <v xml:space="preserve">Xã Long Vĩnh </v>
          </cell>
          <cell r="I10220" t="str">
            <v>80715</v>
          </cell>
        </row>
        <row r="10221">
          <cell r="G10221" t="str">
            <v>Xã Bình Nhì</v>
          </cell>
          <cell r="I10221" t="str">
            <v>80715</v>
          </cell>
        </row>
        <row r="10222">
          <cell r="G10222" t="str">
            <v xml:space="preserve">Xã Đồng Sơn    </v>
          </cell>
          <cell r="I10222" t="str">
            <v>80715</v>
          </cell>
        </row>
        <row r="10223">
          <cell r="G10223" t="str">
            <v>Xã Thạnh Nhựt</v>
          </cell>
          <cell r="I10223" t="str">
            <v>80715</v>
          </cell>
        </row>
        <row r="10224">
          <cell r="G10224" t="str">
            <v xml:space="preserve">Xã Bình Tân     </v>
          </cell>
          <cell r="I10224" t="str">
            <v>80715</v>
          </cell>
        </row>
        <row r="10225">
          <cell r="G10225" t="str">
            <v>Xã Vĩnh Hựu</v>
          </cell>
          <cell r="I10225" t="str">
            <v>80715</v>
          </cell>
        </row>
        <row r="10226">
          <cell r="G10226" t="str">
            <v xml:space="preserve">Xã Long Bình </v>
          </cell>
          <cell r="I10226" t="str">
            <v>80715</v>
          </cell>
        </row>
        <row r="10227">
          <cell r="G10227" t="str">
            <v>Thị trấn Vĩnh Bình</v>
          </cell>
          <cell r="I10227" t="str">
            <v>80715</v>
          </cell>
        </row>
        <row r="10228">
          <cell r="G10228" t="str">
            <v xml:space="preserve">Xã Bình Phú       </v>
          </cell>
          <cell r="I10228" t="str">
            <v>80715</v>
          </cell>
        </row>
        <row r="10229">
          <cell r="G10229" t="str">
            <v>Xã Đồng Thạnh</v>
          </cell>
          <cell r="I10229" t="str">
            <v>80715</v>
          </cell>
        </row>
        <row r="10230">
          <cell r="G10230" t="str">
            <v xml:space="preserve">Xã Thành Công    </v>
          </cell>
          <cell r="I10230" t="str">
            <v>80715</v>
          </cell>
        </row>
        <row r="10231">
          <cell r="G10231" t="str">
            <v>Xã Yên Luông</v>
          </cell>
          <cell r="I10231" t="str">
            <v>80715</v>
          </cell>
        </row>
        <row r="10232">
          <cell r="G10232" t="str">
            <v xml:space="preserve">Xã Thạnh Trị </v>
          </cell>
          <cell r="I10232" t="str">
            <v>80715</v>
          </cell>
        </row>
        <row r="10233">
          <cell r="G10233" t="str">
            <v>Xã Tăng Hòa</v>
          </cell>
          <cell r="I10233" t="str">
            <v>80717</v>
          </cell>
        </row>
        <row r="10234">
          <cell r="G10234" t="str">
            <v>Xã Bình Nghị</v>
          </cell>
          <cell r="I10234" t="str">
            <v>80717</v>
          </cell>
        </row>
        <row r="10235">
          <cell r="G10235" t="str">
            <v xml:space="preserve">Xã Tân Phước     </v>
          </cell>
          <cell r="I10235" t="str">
            <v>80717</v>
          </cell>
        </row>
        <row r="10236">
          <cell r="G10236" t="str">
            <v xml:space="preserve">Xã Tân Tây </v>
          </cell>
          <cell r="I10236" t="str">
            <v>80717</v>
          </cell>
        </row>
        <row r="10237">
          <cell r="G10237" t="str">
            <v xml:space="preserve">Xã Tân Đông  </v>
          </cell>
          <cell r="I10237" t="str">
            <v>80717</v>
          </cell>
        </row>
        <row r="10238">
          <cell r="G10238" t="str">
            <v xml:space="preserve">Xã Phước Trung </v>
          </cell>
          <cell r="I10238" t="str">
            <v>80717</v>
          </cell>
        </row>
        <row r="10239">
          <cell r="G10239" t="str">
            <v>Thị trấn Tân Hòa</v>
          </cell>
          <cell r="I10239" t="str">
            <v>80717</v>
          </cell>
        </row>
        <row r="10240">
          <cell r="G10240" t="str">
            <v>Xã Gia Thuận</v>
          </cell>
          <cell r="I10240" t="str">
            <v>80717</v>
          </cell>
        </row>
        <row r="10241">
          <cell r="G10241" t="str">
            <v>Thị trấn Vàm Láng</v>
          </cell>
          <cell r="I10241" t="str">
            <v>80717</v>
          </cell>
        </row>
        <row r="10242">
          <cell r="G10242" t="str">
            <v>Xã Kiểng Phước</v>
          </cell>
          <cell r="I10242" t="str">
            <v>80717</v>
          </cell>
        </row>
        <row r="10243">
          <cell r="G10243" t="str">
            <v>Xã Bình ân</v>
          </cell>
          <cell r="I10243" t="str">
            <v>80717</v>
          </cell>
        </row>
        <row r="10244">
          <cell r="G10244" t="str">
            <v>Xã Tân Điền</v>
          </cell>
          <cell r="I10244" t="str">
            <v>80717</v>
          </cell>
        </row>
        <row r="10245">
          <cell r="G10245" t="str">
            <v xml:space="preserve">Xã Tân Thành                       </v>
          </cell>
          <cell r="I10245" t="str">
            <v>80717</v>
          </cell>
        </row>
        <row r="10246">
          <cell r="G10246" t="str">
            <v xml:space="preserve">Xã Phú Đông  </v>
          </cell>
          <cell r="I10246" t="str">
            <v>80719</v>
          </cell>
        </row>
        <row r="10247">
          <cell r="G10247" t="str">
            <v xml:space="preserve">Xã Phú Thạnh  </v>
          </cell>
          <cell r="I10247" t="str">
            <v>80719</v>
          </cell>
        </row>
        <row r="10248">
          <cell r="G10248" t="str">
            <v xml:space="preserve">Xã Tân Phú         </v>
          </cell>
          <cell r="I10248" t="str">
            <v>80719</v>
          </cell>
        </row>
        <row r="10249">
          <cell r="G10249" t="str">
            <v xml:space="preserve">Xã Phú Tân </v>
          </cell>
          <cell r="I10249" t="str">
            <v>80719</v>
          </cell>
        </row>
        <row r="10250">
          <cell r="G10250" t="str">
            <v xml:space="preserve">Xã Tân Thạnh  </v>
          </cell>
          <cell r="I10250" t="str">
            <v>80719</v>
          </cell>
        </row>
        <row r="10251">
          <cell r="G10251" t="str">
            <v>Xã Tân Thới</v>
          </cell>
          <cell r="I10251" t="str">
            <v>80719</v>
          </cell>
        </row>
        <row r="10252">
          <cell r="G10252" t="str">
            <v xml:space="preserve">Phường 1                  </v>
          </cell>
          <cell r="I10252" t="str">
            <v>80721</v>
          </cell>
        </row>
        <row r="10253">
          <cell r="G10253" t="str">
            <v xml:space="preserve">Phường 2                 </v>
          </cell>
          <cell r="I10253" t="str">
            <v>80721</v>
          </cell>
        </row>
        <row r="10254">
          <cell r="G10254" t="str">
            <v xml:space="preserve">Phường 3                 </v>
          </cell>
          <cell r="I10254" t="str">
            <v>80721</v>
          </cell>
        </row>
        <row r="10255">
          <cell r="G10255" t="str">
            <v xml:space="preserve">Phường 4              </v>
          </cell>
          <cell r="I10255" t="str">
            <v>80721</v>
          </cell>
        </row>
        <row r="10256">
          <cell r="G10256" t="str">
            <v xml:space="preserve">Phường 5            </v>
          </cell>
          <cell r="I10256" t="str">
            <v>80721</v>
          </cell>
        </row>
        <row r="10257">
          <cell r="G10257" t="str">
            <v>Phường Nhị Mỹ</v>
          </cell>
          <cell r="I10257" t="str">
            <v>80721</v>
          </cell>
        </row>
        <row r="10258">
          <cell r="G10258" t="str">
            <v xml:space="preserve">Xã Tân Bình            </v>
          </cell>
          <cell r="I10258" t="str">
            <v>80721</v>
          </cell>
        </row>
        <row r="10259">
          <cell r="G10259" t="str">
            <v>Xã Mỹ Phước Tây</v>
          </cell>
          <cell r="I10259" t="str">
            <v>80721</v>
          </cell>
        </row>
        <row r="10260">
          <cell r="G10260" t="str">
            <v>Xã Mỹ Hạnh Đông</v>
          </cell>
          <cell r="I10260" t="str">
            <v>80721</v>
          </cell>
        </row>
        <row r="10261">
          <cell r="G10261" t="str">
            <v>Xã Mỹ Hạnh Trung</v>
          </cell>
          <cell r="I10261" t="str">
            <v>80721</v>
          </cell>
        </row>
        <row r="10262">
          <cell r="G10262" t="str">
            <v xml:space="preserve">Xã Tân Phú          </v>
          </cell>
          <cell r="I10262" t="str">
            <v>80721</v>
          </cell>
        </row>
        <row r="10263">
          <cell r="G10263" t="str">
            <v xml:space="preserve">Xã Tân Hội    </v>
          </cell>
          <cell r="I10263" t="str">
            <v>80721</v>
          </cell>
        </row>
        <row r="10264">
          <cell r="G10264" t="str">
            <v>Xã Nhị Quý</v>
          </cell>
          <cell r="I10264" t="str">
            <v>80721</v>
          </cell>
        </row>
        <row r="10265">
          <cell r="G10265" t="str">
            <v xml:space="preserve">Xã Thanh Hòa   </v>
          </cell>
          <cell r="I10265" t="str">
            <v>80721</v>
          </cell>
        </row>
        <row r="10266">
          <cell r="G10266" t="str">
            <v>Xã Phú Quý</v>
          </cell>
          <cell r="I10266" t="str">
            <v>80721</v>
          </cell>
        </row>
        <row r="10267">
          <cell r="G10267" t="str">
            <v xml:space="preserve">Xã Long Khánh  </v>
          </cell>
          <cell r="I10267" t="str">
            <v>80721</v>
          </cell>
        </row>
        <row r="10268">
          <cell r="G10268" t="str">
            <v>Xã Trường An</v>
          </cell>
          <cell r="I10268" t="str">
            <v>80901</v>
          </cell>
        </row>
        <row r="10269">
          <cell r="G10269" t="str">
            <v xml:space="preserve">Phường 5             </v>
          </cell>
          <cell r="I10269" t="str">
            <v>80901</v>
          </cell>
        </row>
        <row r="10270">
          <cell r="G10270" t="str">
            <v xml:space="preserve">Phường 4               </v>
          </cell>
          <cell r="I10270" t="str">
            <v>80901</v>
          </cell>
        </row>
        <row r="10271">
          <cell r="G10271" t="str">
            <v xml:space="preserve">Xã Tân Hòa              </v>
          </cell>
          <cell r="I10271" t="str">
            <v>80901</v>
          </cell>
        </row>
        <row r="10272">
          <cell r="G10272" t="str">
            <v xml:space="preserve">Phường 9        </v>
          </cell>
          <cell r="I10272" t="str">
            <v>80901</v>
          </cell>
        </row>
        <row r="10273">
          <cell r="G10273" t="str">
            <v xml:space="preserve">Phường 1                   </v>
          </cell>
          <cell r="I10273" t="str">
            <v>80901</v>
          </cell>
        </row>
        <row r="10274">
          <cell r="G10274" t="str">
            <v xml:space="preserve">Phường 2                  </v>
          </cell>
          <cell r="I10274" t="str">
            <v>80901</v>
          </cell>
        </row>
        <row r="10275">
          <cell r="G10275" t="str">
            <v xml:space="preserve">Phường 3                  </v>
          </cell>
          <cell r="I10275" t="str">
            <v>80901</v>
          </cell>
        </row>
        <row r="10276">
          <cell r="G10276" t="str">
            <v xml:space="preserve">Phường 8        </v>
          </cell>
          <cell r="I10276" t="str">
            <v>80901</v>
          </cell>
        </row>
        <row r="10277">
          <cell r="G10277" t="str">
            <v>Xã Tân Ngãi</v>
          </cell>
          <cell r="I10277" t="str">
            <v>80901</v>
          </cell>
        </row>
        <row r="10278">
          <cell r="G10278" t="str">
            <v xml:space="preserve">Xã Tân Hội     </v>
          </cell>
          <cell r="I10278" t="str">
            <v>80901</v>
          </cell>
        </row>
        <row r="10279">
          <cell r="G10279" t="str">
            <v xml:space="preserve">Xã Long An    </v>
          </cell>
          <cell r="I10279" t="str">
            <v>80903</v>
          </cell>
        </row>
        <row r="10280">
          <cell r="G10280" t="str">
            <v>Xã Phú Quới</v>
          </cell>
          <cell r="I10280" t="str">
            <v>80903</v>
          </cell>
        </row>
        <row r="10281">
          <cell r="G10281" t="str">
            <v>Thị trấn Long Hồ</v>
          </cell>
          <cell r="I10281" t="str">
            <v>80903</v>
          </cell>
        </row>
        <row r="10282">
          <cell r="G10282" t="str">
            <v xml:space="preserve">Xã Thanh Đức  </v>
          </cell>
          <cell r="I10282" t="str">
            <v>80903</v>
          </cell>
        </row>
        <row r="10283">
          <cell r="G10283" t="str">
            <v xml:space="preserve">Xã Phú Đức </v>
          </cell>
          <cell r="I10283" t="str">
            <v>80903</v>
          </cell>
        </row>
        <row r="10284">
          <cell r="G10284" t="str">
            <v>Xã Thạnh Quới</v>
          </cell>
          <cell r="I10284" t="str">
            <v>80903</v>
          </cell>
        </row>
        <row r="10285">
          <cell r="G10285" t="str">
            <v xml:space="preserve">Xã Hòa Phú         </v>
          </cell>
          <cell r="I10285" t="str">
            <v>80903</v>
          </cell>
        </row>
        <row r="10286">
          <cell r="G10286" t="str">
            <v xml:space="preserve">Xã Đồng Phú  </v>
          </cell>
          <cell r="I10286" t="str">
            <v>80903</v>
          </cell>
        </row>
        <row r="10287">
          <cell r="G10287" t="str">
            <v>Xã Bình Hòa Phước</v>
          </cell>
          <cell r="I10287" t="str">
            <v>80903</v>
          </cell>
        </row>
        <row r="10288">
          <cell r="G10288" t="str">
            <v xml:space="preserve">Xã Hòa Ninh  </v>
          </cell>
          <cell r="I10288" t="str">
            <v>80903</v>
          </cell>
        </row>
        <row r="10289">
          <cell r="G10289" t="str">
            <v xml:space="preserve">Xã An Bình          </v>
          </cell>
          <cell r="I10289" t="str">
            <v>80903</v>
          </cell>
        </row>
        <row r="10290">
          <cell r="G10290" t="str">
            <v xml:space="preserve">Xã Tân Hạnh </v>
          </cell>
          <cell r="I10290" t="str">
            <v>80903</v>
          </cell>
        </row>
        <row r="10291">
          <cell r="G10291" t="str">
            <v xml:space="preserve">Xã Phước Hậu </v>
          </cell>
          <cell r="I10291" t="str">
            <v>80903</v>
          </cell>
        </row>
        <row r="10292">
          <cell r="G10292" t="str">
            <v xml:space="preserve">Xã Long Phước   </v>
          </cell>
          <cell r="I10292" t="str">
            <v>80903</v>
          </cell>
        </row>
        <row r="10293">
          <cell r="G10293" t="str">
            <v xml:space="preserve">Xã Lộc Hòa   </v>
          </cell>
          <cell r="I10293" t="str">
            <v>80903</v>
          </cell>
        </row>
        <row r="10294">
          <cell r="G10294" t="str">
            <v xml:space="preserve">Xã Mỹ Phước </v>
          </cell>
          <cell r="I10294" t="str">
            <v>80905</v>
          </cell>
        </row>
        <row r="10295">
          <cell r="G10295" t="str">
            <v xml:space="preserve">Xã Bình Phước </v>
          </cell>
          <cell r="I10295" t="str">
            <v>80905</v>
          </cell>
        </row>
        <row r="10296">
          <cell r="G10296" t="str">
            <v>Xã Tân Long Hội</v>
          </cell>
          <cell r="I10296" t="str">
            <v>80905</v>
          </cell>
        </row>
        <row r="10297">
          <cell r="G10297" t="str">
            <v>Thị trấn Cái Nhum</v>
          </cell>
          <cell r="I10297" t="str">
            <v>80905</v>
          </cell>
        </row>
        <row r="10298">
          <cell r="G10298" t="str">
            <v xml:space="preserve">Xã Mỹ An     </v>
          </cell>
          <cell r="I10298" t="str">
            <v>80905</v>
          </cell>
        </row>
        <row r="10299">
          <cell r="G10299" t="str">
            <v xml:space="preserve">Xã An Phước  </v>
          </cell>
          <cell r="I10299" t="str">
            <v>80905</v>
          </cell>
        </row>
        <row r="10300">
          <cell r="G10300" t="str">
            <v>Xã Nhơn Phú</v>
          </cell>
          <cell r="I10300" t="str">
            <v>80905</v>
          </cell>
        </row>
        <row r="10301">
          <cell r="G10301" t="str">
            <v xml:space="preserve">Xã Long Mỹ </v>
          </cell>
          <cell r="I10301" t="str">
            <v>80905</v>
          </cell>
        </row>
        <row r="10302">
          <cell r="G10302" t="str">
            <v xml:space="preserve">Xã Hòa Tịnh </v>
          </cell>
          <cell r="I10302" t="str">
            <v>80905</v>
          </cell>
        </row>
        <row r="10303">
          <cell r="G10303" t="str">
            <v>Xã Chánh Hội</v>
          </cell>
          <cell r="I10303" t="str">
            <v>80905</v>
          </cell>
        </row>
        <row r="10304">
          <cell r="G10304" t="str">
            <v>Xã Chánh An</v>
          </cell>
          <cell r="I10304" t="str">
            <v>80905</v>
          </cell>
        </row>
        <row r="10305">
          <cell r="G10305" t="str">
            <v xml:space="preserve">Xã Tân An Hội </v>
          </cell>
          <cell r="I10305" t="str">
            <v>80905</v>
          </cell>
        </row>
        <row r="10306">
          <cell r="G10306" t="str">
            <v xml:space="preserve">Xã Tân Long      </v>
          </cell>
          <cell r="I10306" t="str">
            <v>80905</v>
          </cell>
        </row>
        <row r="10307">
          <cell r="G10307" t="str">
            <v>Phường Cái Vồn</v>
          </cell>
          <cell r="I10307" t="str">
            <v>80907</v>
          </cell>
        </row>
        <row r="10308">
          <cell r="G10308" t="str">
            <v xml:space="preserve">Xã Đông Thạnh  </v>
          </cell>
          <cell r="I10308" t="str">
            <v>80907</v>
          </cell>
        </row>
        <row r="10309">
          <cell r="G10309" t="str">
            <v xml:space="preserve">Xã Thuận An </v>
          </cell>
          <cell r="I10309" t="str">
            <v>80907</v>
          </cell>
        </row>
        <row r="10310">
          <cell r="G10310" t="str">
            <v>Xã Đông Bình</v>
          </cell>
          <cell r="I10310" t="str">
            <v>80907</v>
          </cell>
        </row>
        <row r="10311">
          <cell r="G10311" t="str">
            <v xml:space="preserve">Xã Mỹ Hòa   </v>
          </cell>
          <cell r="I10311" t="str">
            <v>80907</v>
          </cell>
        </row>
        <row r="10312">
          <cell r="G10312" t="str">
            <v xml:space="preserve">Xã Đông Thành  </v>
          </cell>
          <cell r="I10312" t="str">
            <v>80907</v>
          </cell>
        </row>
        <row r="10313">
          <cell r="G10313" t="str">
            <v>Phường Đông Thuận</v>
          </cell>
          <cell r="I10313" t="str">
            <v>80907</v>
          </cell>
        </row>
        <row r="10314">
          <cell r="G10314" t="str">
            <v>Phường Thành Phước</v>
          </cell>
          <cell r="I10314" t="str">
            <v>80907</v>
          </cell>
        </row>
        <row r="10315">
          <cell r="G10315" t="str">
            <v>Xã Tân Lược</v>
          </cell>
          <cell r="I10315" t="str">
            <v>80908</v>
          </cell>
        </row>
        <row r="10316">
          <cell r="G10316" t="str">
            <v>Xã Tân An Thạnh</v>
          </cell>
          <cell r="I10316" t="str">
            <v>80908</v>
          </cell>
        </row>
        <row r="10317">
          <cell r="G10317" t="str">
            <v xml:space="preserve">Xã Tân Hưng            </v>
          </cell>
          <cell r="I10317" t="str">
            <v>80908</v>
          </cell>
        </row>
        <row r="10318">
          <cell r="G10318" t="str">
            <v xml:space="preserve">Xã Tân Quới </v>
          </cell>
          <cell r="I10318" t="str">
            <v>80908</v>
          </cell>
        </row>
        <row r="10319">
          <cell r="G10319" t="str">
            <v xml:space="preserve">Xã Tân Bình             </v>
          </cell>
          <cell r="I10319" t="str">
            <v>80908</v>
          </cell>
        </row>
        <row r="10320">
          <cell r="G10320" t="str">
            <v xml:space="preserve">Xã Tân Thành                        </v>
          </cell>
          <cell r="I10320" t="str">
            <v>80908</v>
          </cell>
        </row>
        <row r="10321">
          <cell r="G10321" t="str">
            <v xml:space="preserve">Xã Thành Lợi </v>
          </cell>
          <cell r="I10321" t="str">
            <v>80908</v>
          </cell>
        </row>
        <row r="10322">
          <cell r="G10322" t="str">
            <v>Xã Thành Đông</v>
          </cell>
          <cell r="I10322" t="str">
            <v>80908</v>
          </cell>
        </row>
        <row r="10323">
          <cell r="G10323" t="str">
            <v>Xã Thành Trung</v>
          </cell>
          <cell r="I10323" t="str">
            <v>80908</v>
          </cell>
        </row>
        <row r="10324">
          <cell r="G10324" t="str">
            <v xml:space="preserve">Xã Mỹ Thuận  </v>
          </cell>
          <cell r="I10324" t="str">
            <v>80908</v>
          </cell>
        </row>
        <row r="10325">
          <cell r="G10325" t="str">
            <v>Xã Nguyễn Văn Thảnh</v>
          </cell>
          <cell r="I10325" t="str">
            <v>80908</v>
          </cell>
        </row>
        <row r="10326">
          <cell r="G10326" t="str">
            <v xml:space="preserve">Xã Hòa Thạnh </v>
          </cell>
          <cell r="I10326" t="str">
            <v>80909</v>
          </cell>
        </row>
        <row r="10327">
          <cell r="G10327" t="str">
            <v xml:space="preserve">Xã Bình Ninh </v>
          </cell>
          <cell r="I10327" t="str">
            <v>80909</v>
          </cell>
        </row>
        <row r="10328">
          <cell r="G10328" t="str">
            <v>Thị trấn Tam Bình</v>
          </cell>
          <cell r="I10328" t="str">
            <v>80909</v>
          </cell>
        </row>
        <row r="10329">
          <cell r="G10329" t="str">
            <v xml:space="preserve">Xã Hòa Lộc </v>
          </cell>
          <cell r="I10329" t="str">
            <v>80909</v>
          </cell>
        </row>
        <row r="10330">
          <cell r="G10330" t="str">
            <v xml:space="preserve">Xã Hòa Hiệp    </v>
          </cell>
          <cell r="I10330" t="str">
            <v>80909</v>
          </cell>
        </row>
        <row r="10331">
          <cell r="G10331" t="str">
            <v>Xã Mỹ Thạnh Trung</v>
          </cell>
          <cell r="I10331" t="str">
            <v>80909</v>
          </cell>
        </row>
        <row r="10332">
          <cell r="G10332" t="str">
            <v xml:space="preserve">Xã Tân Lộc </v>
          </cell>
          <cell r="I10332" t="str">
            <v>80909</v>
          </cell>
        </row>
        <row r="10333">
          <cell r="G10333" t="str">
            <v xml:space="preserve">Xã Phú Thịnh      </v>
          </cell>
          <cell r="I10333" t="str">
            <v>80909</v>
          </cell>
        </row>
        <row r="10334">
          <cell r="G10334" t="str">
            <v>Xã Hậu Lộc</v>
          </cell>
          <cell r="I10334" t="str">
            <v>80909</v>
          </cell>
        </row>
        <row r="10335">
          <cell r="G10335" t="str">
            <v xml:space="preserve">Xã Phú Lộc       </v>
          </cell>
          <cell r="I10335" t="str">
            <v>80909</v>
          </cell>
        </row>
        <row r="10336">
          <cell r="G10336" t="str">
            <v>Xã Song Phú</v>
          </cell>
          <cell r="I10336" t="str">
            <v>80909</v>
          </cell>
        </row>
        <row r="10337">
          <cell r="G10337" t="str">
            <v xml:space="preserve">Xã Mỹ Lộc     </v>
          </cell>
          <cell r="I10337" t="str">
            <v>80909</v>
          </cell>
        </row>
        <row r="10338">
          <cell r="G10338" t="str">
            <v xml:space="preserve">Xã Tân Phú           </v>
          </cell>
          <cell r="I10338" t="str">
            <v>80909</v>
          </cell>
        </row>
        <row r="10339">
          <cell r="G10339" t="str">
            <v>Xã Long Phú</v>
          </cell>
          <cell r="I10339" t="str">
            <v>80909</v>
          </cell>
        </row>
        <row r="10340">
          <cell r="G10340" t="str">
            <v>Xã Tường Lộc</v>
          </cell>
          <cell r="I10340" t="str">
            <v>80909</v>
          </cell>
        </row>
        <row r="10341">
          <cell r="G10341" t="str">
            <v>Xã Loan Mỹ</v>
          </cell>
          <cell r="I10341" t="str">
            <v>80909</v>
          </cell>
        </row>
        <row r="10342">
          <cell r="G10342" t="str">
            <v>Xã Ngãi Tứ</v>
          </cell>
          <cell r="I10342" t="str">
            <v>80909</v>
          </cell>
        </row>
        <row r="10343">
          <cell r="G10343" t="str">
            <v xml:space="preserve">Xã Tân Mỹ        </v>
          </cell>
          <cell r="I10343" t="str">
            <v>80911</v>
          </cell>
        </row>
        <row r="10344">
          <cell r="G10344" t="str">
            <v>Thị trấn Trà ôn</v>
          </cell>
          <cell r="I10344" t="str">
            <v>80911</v>
          </cell>
        </row>
        <row r="10345">
          <cell r="G10345" t="str">
            <v>Xã Thới Hòa</v>
          </cell>
          <cell r="I10345" t="str">
            <v>80911</v>
          </cell>
        </row>
        <row r="10346">
          <cell r="G10346" t="str">
            <v>Xã Vĩnh Xuân</v>
          </cell>
          <cell r="I10346" t="str">
            <v>80911</v>
          </cell>
        </row>
        <row r="10347">
          <cell r="G10347" t="str">
            <v>Xã Lục Sỹ Thành</v>
          </cell>
          <cell r="I10347" t="str">
            <v>80911</v>
          </cell>
        </row>
        <row r="10348">
          <cell r="G10348" t="str">
            <v xml:space="preserve">Xã Xuân Hiệp </v>
          </cell>
          <cell r="I10348" t="str">
            <v>80911</v>
          </cell>
        </row>
        <row r="10349">
          <cell r="G10349" t="str">
            <v>Xã Nhơn Bình</v>
          </cell>
          <cell r="I10349" t="str">
            <v>80911</v>
          </cell>
        </row>
        <row r="10350">
          <cell r="G10350" t="str">
            <v xml:space="preserve">Xã Hòa Bình                 </v>
          </cell>
          <cell r="I10350" t="str">
            <v>80911</v>
          </cell>
        </row>
        <row r="10351">
          <cell r="G10351" t="str">
            <v>Xã Trà Côn</v>
          </cell>
          <cell r="I10351" t="str">
            <v>80911</v>
          </cell>
        </row>
        <row r="10352">
          <cell r="G10352" t="str">
            <v>Xã Hựu Thành</v>
          </cell>
          <cell r="I10352" t="str">
            <v>80911</v>
          </cell>
        </row>
        <row r="10353">
          <cell r="G10353" t="str">
            <v>Xã Thuận Thới</v>
          </cell>
          <cell r="I10353" t="str">
            <v>80911</v>
          </cell>
        </row>
        <row r="10354">
          <cell r="G10354" t="str">
            <v xml:space="preserve">Xã Phú Thành   </v>
          </cell>
          <cell r="I10354" t="str">
            <v>80911</v>
          </cell>
        </row>
        <row r="10355">
          <cell r="G10355" t="str">
            <v>Xã Thiện Mỹ</v>
          </cell>
          <cell r="I10355" t="str">
            <v>80911</v>
          </cell>
        </row>
        <row r="10356">
          <cell r="G10356" t="str">
            <v>Xã Tích Thiện</v>
          </cell>
          <cell r="I10356" t="str">
            <v>80911</v>
          </cell>
        </row>
        <row r="10357">
          <cell r="G10357" t="str">
            <v>Thị trấn Vũng Liêm</v>
          </cell>
          <cell r="I10357" t="str">
            <v>80913</v>
          </cell>
        </row>
        <row r="10358">
          <cell r="G10358" t="str">
            <v>Xã Trung Ngãi</v>
          </cell>
          <cell r="I10358" t="str">
            <v>80913</v>
          </cell>
        </row>
        <row r="10359">
          <cell r="G10359" t="str">
            <v xml:space="preserve">Xã Trung Chánh </v>
          </cell>
          <cell r="I10359" t="str">
            <v>80913</v>
          </cell>
        </row>
        <row r="10360">
          <cell r="G10360" t="str">
            <v>Xã Trung Hiệp</v>
          </cell>
          <cell r="I10360" t="str">
            <v>80913</v>
          </cell>
        </row>
        <row r="10361">
          <cell r="G10361" t="str">
            <v>Xã Trung Hiếu</v>
          </cell>
          <cell r="I10361" t="str">
            <v>80913</v>
          </cell>
        </row>
        <row r="10362">
          <cell r="G10362" t="str">
            <v xml:space="preserve">Xã Trung An   </v>
          </cell>
          <cell r="I10362" t="str">
            <v>80913</v>
          </cell>
        </row>
        <row r="10363">
          <cell r="G10363" t="str">
            <v>Xã Tân Quới Trung</v>
          </cell>
          <cell r="I10363" t="str">
            <v>80913</v>
          </cell>
        </row>
        <row r="10364">
          <cell r="G10364" t="str">
            <v>Xã Quới Thiện</v>
          </cell>
          <cell r="I10364" t="str">
            <v>80913</v>
          </cell>
        </row>
        <row r="10365">
          <cell r="G10365" t="str">
            <v>Xã Quới An</v>
          </cell>
          <cell r="I10365" t="str">
            <v>80913</v>
          </cell>
        </row>
        <row r="10366">
          <cell r="G10366" t="str">
            <v>Xã Tân An Luông</v>
          </cell>
          <cell r="I10366" t="str">
            <v>80913</v>
          </cell>
        </row>
        <row r="10367">
          <cell r="G10367" t="str">
            <v xml:space="preserve">Xã Thanh Bình       </v>
          </cell>
          <cell r="I10367" t="str">
            <v>80913</v>
          </cell>
        </row>
        <row r="10368">
          <cell r="G10368" t="str">
            <v>Xã Trung Thành Tây</v>
          </cell>
          <cell r="I10368" t="str">
            <v>80913</v>
          </cell>
        </row>
        <row r="10369">
          <cell r="G10369" t="str">
            <v>Xã Hiếu Phụng</v>
          </cell>
          <cell r="I10369" t="str">
            <v>80913</v>
          </cell>
        </row>
        <row r="10370">
          <cell r="G10370" t="str">
            <v>Xã Trung Thành Đông</v>
          </cell>
          <cell r="I10370" t="str">
            <v>80913</v>
          </cell>
        </row>
        <row r="10371">
          <cell r="G10371" t="str">
            <v xml:space="preserve">Xã Trung Thành        </v>
          </cell>
          <cell r="I10371" t="str">
            <v>80913</v>
          </cell>
        </row>
        <row r="10372">
          <cell r="G10372" t="str">
            <v>Xã Hiếu Thuận</v>
          </cell>
          <cell r="I10372" t="str">
            <v>80913</v>
          </cell>
        </row>
        <row r="10373">
          <cell r="G10373" t="str">
            <v xml:space="preserve">Xã Trung Nghĩa   </v>
          </cell>
          <cell r="I10373" t="str">
            <v>80913</v>
          </cell>
        </row>
        <row r="10374">
          <cell r="G10374" t="str">
            <v>Xã Hiếu Nhơn</v>
          </cell>
          <cell r="I10374" t="str">
            <v>80913</v>
          </cell>
        </row>
        <row r="10375">
          <cell r="G10375" t="str">
            <v>Xã Hiếu Thành</v>
          </cell>
          <cell r="I10375" t="str">
            <v>80913</v>
          </cell>
        </row>
        <row r="10376">
          <cell r="G10376" t="str">
            <v>Xã Hiếu Nghĩa</v>
          </cell>
          <cell r="I10376" t="str">
            <v>80913</v>
          </cell>
        </row>
        <row r="10377">
          <cell r="G10377" t="str">
            <v xml:space="preserve">Xã Phú Hưng </v>
          </cell>
          <cell r="I10377" t="str">
            <v>81101</v>
          </cell>
        </row>
        <row r="10378">
          <cell r="G10378" t="str">
            <v xml:space="preserve">Phường 8         </v>
          </cell>
          <cell r="I10378" t="str">
            <v>81101</v>
          </cell>
        </row>
        <row r="10379">
          <cell r="G10379" t="str">
            <v xml:space="preserve">Phường 1                    </v>
          </cell>
          <cell r="I10379" t="str">
            <v>81101</v>
          </cell>
        </row>
        <row r="10380">
          <cell r="G10380" t="str">
            <v xml:space="preserve">Phường 7          </v>
          </cell>
          <cell r="I10380" t="str">
            <v>81101</v>
          </cell>
        </row>
        <row r="10381">
          <cell r="G10381" t="str">
            <v>Xã Mỹ Thạnh An</v>
          </cell>
          <cell r="I10381" t="str">
            <v>81101</v>
          </cell>
        </row>
        <row r="10382">
          <cell r="G10382" t="str">
            <v>Phường Phú Khương</v>
          </cell>
          <cell r="I10382" t="str">
            <v>81101</v>
          </cell>
        </row>
        <row r="10383">
          <cell r="G10383" t="str">
            <v xml:space="preserve">Phường 6           </v>
          </cell>
          <cell r="I10383" t="str">
            <v>81101</v>
          </cell>
        </row>
        <row r="10384">
          <cell r="G10384" t="str">
            <v xml:space="preserve">Phường 4                </v>
          </cell>
          <cell r="I10384" t="str">
            <v>81101</v>
          </cell>
        </row>
        <row r="10385">
          <cell r="G10385" t="str">
            <v xml:space="preserve">Phường 5              </v>
          </cell>
          <cell r="I10385" t="str">
            <v>81101</v>
          </cell>
        </row>
        <row r="10386">
          <cell r="G10386" t="str">
            <v xml:space="preserve">Phường 3                   </v>
          </cell>
          <cell r="I10386" t="str">
            <v>81101</v>
          </cell>
        </row>
        <row r="10387">
          <cell r="G10387" t="str">
            <v xml:space="preserve">Phường 2                   </v>
          </cell>
          <cell r="I10387" t="str">
            <v>81101</v>
          </cell>
        </row>
        <row r="10388">
          <cell r="G10388" t="str">
            <v xml:space="preserve">Xã Sơn Đông  </v>
          </cell>
          <cell r="I10388" t="str">
            <v>81101</v>
          </cell>
        </row>
        <row r="10389">
          <cell r="G10389" t="str">
            <v xml:space="preserve">Xã Bình Phú        </v>
          </cell>
          <cell r="I10389" t="str">
            <v>81101</v>
          </cell>
        </row>
        <row r="10390">
          <cell r="G10390" t="str">
            <v>Xã Nhơn Thạnh</v>
          </cell>
          <cell r="I10390" t="str">
            <v>81101</v>
          </cell>
        </row>
        <row r="10391">
          <cell r="G10391" t="str">
            <v xml:space="preserve">Xã Phú Nhuận    </v>
          </cell>
          <cell r="I10391" t="str">
            <v>81101</v>
          </cell>
        </row>
        <row r="10392">
          <cell r="G10392" t="str">
            <v xml:space="preserve">Phường Phú Tân </v>
          </cell>
          <cell r="I10392" t="str">
            <v>81101</v>
          </cell>
        </row>
        <row r="10393">
          <cell r="G10393" t="str">
            <v xml:space="preserve">Xã Mỹ Thành     </v>
          </cell>
          <cell r="I10393" t="str">
            <v>81101</v>
          </cell>
        </row>
        <row r="10394">
          <cell r="G10394" t="str">
            <v xml:space="preserve">Xã Phú Đức  </v>
          </cell>
          <cell r="I10394" t="str">
            <v>81103</v>
          </cell>
        </row>
        <row r="10395">
          <cell r="G10395" t="str">
            <v xml:space="preserve">Xã An Hiệp   </v>
          </cell>
          <cell r="I10395" t="str">
            <v>81103</v>
          </cell>
        </row>
        <row r="10396">
          <cell r="G10396" t="str">
            <v>Xã Tân Thạch</v>
          </cell>
          <cell r="I10396" t="str">
            <v>81103</v>
          </cell>
        </row>
        <row r="10397">
          <cell r="G10397" t="str">
            <v>Xã Giao Hòa</v>
          </cell>
          <cell r="I10397" t="str">
            <v>81103</v>
          </cell>
        </row>
        <row r="10398">
          <cell r="G10398" t="str">
            <v xml:space="preserve">Xã An Phước   </v>
          </cell>
          <cell r="I10398" t="str">
            <v>81103</v>
          </cell>
        </row>
        <row r="10399">
          <cell r="G10399" t="str">
            <v xml:space="preserve">Xã Tân Phú            </v>
          </cell>
          <cell r="I10399" t="str">
            <v>81103</v>
          </cell>
        </row>
        <row r="10400">
          <cell r="G10400" t="str">
            <v>Xã Tiên Long</v>
          </cell>
          <cell r="I10400" t="str">
            <v>81103</v>
          </cell>
        </row>
        <row r="10401">
          <cell r="G10401" t="str">
            <v xml:space="preserve">Xã Sơn Hòa </v>
          </cell>
          <cell r="I10401" t="str">
            <v>81103</v>
          </cell>
        </row>
        <row r="10402">
          <cell r="G10402" t="str">
            <v xml:space="preserve">Thị trấn Châu Thành </v>
          </cell>
          <cell r="I10402" t="str">
            <v>81103</v>
          </cell>
        </row>
        <row r="10403">
          <cell r="G10403" t="str">
            <v>Xã Qưới Sơn</v>
          </cell>
          <cell r="I10403" t="str">
            <v>81103</v>
          </cell>
        </row>
        <row r="10404">
          <cell r="G10404" t="str">
            <v xml:space="preserve">Xã An Khánh   </v>
          </cell>
          <cell r="I10404" t="str">
            <v>81103</v>
          </cell>
        </row>
        <row r="10405">
          <cell r="G10405" t="str">
            <v xml:space="preserve">Xã Giao Long </v>
          </cell>
          <cell r="I10405" t="str">
            <v>81103</v>
          </cell>
        </row>
        <row r="10406">
          <cell r="G10406" t="str">
            <v xml:space="preserve">Xã Phú Túc  </v>
          </cell>
          <cell r="I10406" t="str">
            <v>81103</v>
          </cell>
        </row>
        <row r="10407">
          <cell r="G10407" t="str">
            <v>Xã Phú An Hòa</v>
          </cell>
          <cell r="I10407" t="str">
            <v>81103</v>
          </cell>
        </row>
        <row r="10408">
          <cell r="G10408" t="str">
            <v xml:space="preserve">Xã Tam Phước  </v>
          </cell>
          <cell r="I10408" t="str">
            <v>81103</v>
          </cell>
        </row>
        <row r="10409">
          <cell r="G10409" t="str">
            <v>Xã Thành Triệu</v>
          </cell>
          <cell r="I10409" t="str">
            <v>81103</v>
          </cell>
        </row>
        <row r="10410">
          <cell r="G10410" t="str">
            <v>Xã Tường Đa</v>
          </cell>
          <cell r="I10410" t="str">
            <v>81103</v>
          </cell>
        </row>
        <row r="10411">
          <cell r="G10411" t="str">
            <v>Xã Quới Thành</v>
          </cell>
          <cell r="I10411" t="str">
            <v>81103</v>
          </cell>
        </row>
        <row r="10412">
          <cell r="G10412" t="str">
            <v xml:space="preserve">Xã Phước Thạnh   </v>
          </cell>
          <cell r="I10412" t="str">
            <v>81103</v>
          </cell>
        </row>
        <row r="10413">
          <cell r="G10413" t="str">
            <v>Xã An Hóa</v>
          </cell>
          <cell r="I10413" t="str">
            <v>81103</v>
          </cell>
        </row>
        <row r="10414">
          <cell r="G10414" t="str">
            <v>Xã Hữu Định</v>
          </cell>
          <cell r="I10414" t="str">
            <v>81103</v>
          </cell>
        </row>
        <row r="10415">
          <cell r="G10415" t="str">
            <v>Xã Tiên Thủy</v>
          </cell>
          <cell r="I10415" t="str">
            <v>81103</v>
          </cell>
        </row>
        <row r="10416">
          <cell r="G10416" t="str">
            <v>Xã Tân Thiềng</v>
          </cell>
          <cell r="I10416" t="str">
            <v>81105</v>
          </cell>
        </row>
        <row r="10417">
          <cell r="G10417" t="str">
            <v>Xã Phú Phụng</v>
          </cell>
          <cell r="I10417" t="str">
            <v>81105</v>
          </cell>
        </row>
        <row r="10418">
          <cell r="G10418" t="str">
            <v xml:space="preserve">Xã Long Thới </v>
          </cell>
          <cell r="I10418" t="str">
            <v>81105</v>
          </cell>
        </row>
        <row r="10419">
          <cell r="G10419" t="str">
            <v xml:space="preserve">Xã Vĩnh Hòa      </v>
          </cell>
          <cell r="I10419" t="str">
            <v>81105</v>
          </cell>
        </row>
        <row r="10420">
          <cell r="G10420" t="str">
            <v>Thị trấn Chợ Lách</v>
          </cell>
          <cell r="I10420" t="str">
            <v>81105</v>
          </cell>
        </row>
        <row r="10421">
          <cell r="G10421" t="str">
            <v xml:space="preserve">Xã Sơn Định </v>
          </cell>
          <cell r="I10421" t="str">
            <v>81105</v>
          </cell>
        </row>
        <row r="10422">
          <cell r="G10422" t="str">
            <v xml:space="preserve">Xã Vĩnh Bình  </v>
          </cell>
          <cell r="I10422" t="str">
            <v>81105</v>
          </cell>
        </row>
        <row r="10423">
          <cell r="G10423" t="str">
            <v>Xã Hòa Nghĩa</v>
          </cell>
          <cell r="I10423" t="str">
            <v>81105</v>
          </cell>
        </row>
        <row r="10424">
          <cell r="G10424" t="str">
            <v xml:space="preserve">Xã Phú Sơn         </v>
          </cell>
          <cell r="I10424" t="str">
            <v>81105</v>
          </cell>
        </row>
        <row r="10425">
          <cell r="G10425" t="str">
            <v xml:space="preserve">Xã Vĩnh Thành    </v>
          </cell>
          <cell r="I10425" t="str">
            <v>81105</v>
          </cell>
        </row>
        <row r="10426">
          <cell r="G10426" t="str">
            <v>Xã Hưng Khánh Trung B</v>
          </cell>
          <cell r="I10426" t="str">
            <v>81105</v>
          </cell>
        </row>
        <row r="10427">
          <cell r="G10427" t="str">
            <v>Xã An Thới</v>
          </cell>
          <cell r="I10427" t="str">
            <v>81107</v>
          </cell>
        </row>
        <row r="10428">
          <cell r="G10428" t="str">
            <v>Xã Bình Khánh Đông</v>
          </cell>
          <cell r="I10428" t="str">
            <v>81107</v>
          </cell>
        </row>
        <row r="10429">
          <cell r="G10429" t="str">
            <v>Xã Thành Thới B</v>
          </cell>
          <cell r="I10429" t="str">
            <v>81107</v>
          </cell>
        </row>
        <row r="10430">
          <cell r="G10430" t="str">
            <v xml:space="preserve">Xã Minh Đức      </v>
          </cell>
          <cell r="I10430" t="str">
            <v>81107</v>
          </cell>
        </row>
        <row r="10431">
          <cell r="G10431" t="str">
            <v>Thị trấn Mỏ Cày</v>
          </cell>
          <cell r="I10431" t="str">
            <v>81107</v>
          </cell>
        </row>
        <row r="10432">
          <cell r="G10432" t="str">
            <v>Xã Định Thủy</v>
          </cell>
          <cell r="I10432" t="str">
            <v>81107</v>
          </cell>
        </row>
        <row r="10433">
          <cell r="G10433" t="str">
            <v>Xã Đa Phước Hội</v>
          </cell>
          <cell r="I10433" t="str">
            <v>81107</v>
          </cell>
        </row>
        <row r="10434">
          <cell r="G10434" t="str">
            <v xml:space="preserve">Xã Phước Hiệp   </v>
          </cell>
          <cell r="I10434" t="str">
            <v>81107</v>
          </cell>
        </row>
        <row r="10435">
          <cell r="G10435" t="str">
            <v xml:space="preserve">Xã An Thạnh  </v>
          </cell>
          <cell r="I10435" t="str">
            <v>81107</v>
          </cell>
        </row>
        <row r="10436">
          <cell r="G10436" t="str">
            <v>Xã Bình Khánh Tây</v>
          </cell>
          <cell r="I10436" t="str">
            <v>81107</v>
          </cell>
        </row>
        <row r="10437">
          <cell r="G10437" t="str">
            <v xml:space="preserve">Xã An Định </v>
          </cell>
          <cell r="I10437" t="str">
            <v>81107</v>
          </cell>
        </row>
        <row r="10438">
          <cell r="G10438" t="str">
            <v xml:space="preserve">Xã Tân Trung   </v>
          </cell>
          <cell r="I10438" t="str">
            <v>81107</v>
          </cell>
        </row>
        <row r="10439">
          <cell r="G10439" t="str">
            <v>Xã Thành Thới A</v>
          </cell>
          <cell r="I10439" t="str">
            <v>81107</v>
          </cell>
        </row>
        <row r="10440">
          <cell r="G10440" t="str">
            <v>Xã Ngãi Đăng</v>
          </cell>
          <cell r="I10440" t="str">
            <v>81107</v>
          </cell>
        </row>
        <row r="10441">
          <cell r="G10441" t="str">
            <v xml:space="preserve">Xã Cẩm Sơn     </v>
          </cell>
          <cell r="I10441" t="str">
            <v>81107</v>
          </cell>
        </row>
        <row r="10442">
          <cell r="G10442" t="str">
            <v>Xã Hương Mỹ</v>
          </cell>
          <cell r="I10442" t="str">
            <v>81107</v>
          </cell>
        </row>
        <row r="10443">
          <cell r="G10443" t="str">
            <v xml:space="preserve">Xã Tân Hội      </v>
          </cell>
          <cell r="I10443" t="str">
            <v>81107</v>
          </cell>
        </row>
        <row r="10444">
          <cell r="G10444" t="str">
            <v xml:space="preserve">Xã Thanh Tân   </v>
          </cell>
          <cell r="I10444" t="str">
            <v>81108</v>
          </cell>
        </row>
        <row r="10445">
          <cell r="G10445" t="str">
            <v>Xã Thạnh Ngãi</v>
          </cell>
          <cell r="I10445" t="str">
            <v>81108</v>
          </cell>
        </row>
        <row r="10446">
          <cell r="G10446" t="str">
            <v>Xã Tân Phú Tây</v>
          </cell>
          <cell r="I10446" t="str">
            <v>81108</v>
          </cell>
        </row>
        <row r="10447">
          <cell r="G10447" t="str">
            <v>Xã Tân Thành Bình</v>
          </cell>
          <cell r="I10447" t="str">
            <v>81108</v>
          </cell>
        </row>
        <row r="10448">
          <cell r="G10448" t="str">
            <v xml:space="preserve">Xã Thành An  </v>
          </cell>
          <cell r="I10448" t="str">
            <v>81108</v>
          </cell>
        </row>
        <row r="10449">
          <cell r="G10449" t="str">
            <v>Xã Phước Mỹ Trung</v>
          </cell>
          <cell r="I10449" t="str">
            <v>81108</v>
          </cell>
        </row>
        <row r="10450">
          <cell r="G10450" t="str">
            <v>Xã Tân Thanh Tây</v>
          </cell>
          <cell r="I10450" t="str">
            <v>81108</v>
          </cell>
        </row>
        <row r="10451">
          <cell r="G10451" t="str">
            <v xml:space="preserve">Xã Tân Bình              </v>
          </cell>
          <cell r="I10451" t="str">
            <v>81108</v>
          </cell>
        </row>
        <row r="10452">
          <cell r="G10452" t="str">
            <v>Xã Nhuận Phú Tân</v>
          </cell>
          <cell r="I10452" t="str">
            <v>81108</v>
          </cell>
        </row>
        <row r="10453">
          <cell r="G10453" t="str">
            <v xml:space="preserve">Xã Hòa Lộc  </v>
          </cell>
          <cell r="I10453" t="str">
            <v>81108</v>
          </cell>
        </row>
        <row r="10454">
          <cell r="G10454" t="str">
            <v>Xã Khánh Thạnh Tân</v>
          </cell>
          <cell r="I10454" t="str">
            <v>81108</v>
          </cell>
        </row>
        <row r="10455">
          <cell r="G10455" t="str">
            <v>Xã Hưng Khánh Trung A</v>
          </cell>
          <cell r="I10455" t="str">
            <v>81108</v>
          </cell>
        </row>
        <row r="10456">
          <cell r="G10456" t="str">
            <v xml:space="preserve">Xã Phú Mỹ    </v>
          </cell>
          <cell r="I10456" t="str">
            <v>81108</v>
          </cell>
        </row>
        <row r="10457">
          <cell r="G10457" t="str">
            <v xml:space="preserve">Xã Lương Phú </v>
          </cell>
          <cell r="I10457" t="str">
            <v>81109</v>
          </cell>
        </row>
        <row r="10458">
          <cell r="G10458" t="str">
            <v>Xã Tân Lợi Thạnh</v>
          </cell>
          <cell r="I10458" t="str">
            <v>81109</v>
          </cell>
        </row>
        <row r="10459">
          <cell r="G10459" t="str">
            <v xml:space="preserve">Xã Bình Hòa      </v>
          </cell>
          <cell r="I10459" t="str">
            <v>81109</v>
          </cell>
        </row>
        <row r="10460">
          <cell r="G10460" t="str">
            <v>Xã Tân Hào</v>
          </cell>
          <cell r="I10460" t="str">
            <v>81109</v>
          </cell>
        </row>
        <row r="10461">
          <cell r="G10461" t="str">
            <v>Xã Thạnh Phú Đông</v>
          </cell>
          <cell r="I10461" t="str">
            <v>81109</v>
          </cell>
        </row>
        <row r="10462">
          <cell r="G10462" t="str">
            <v xml:space="preserve">Xã Phong Nẫm </v>
          </cell>
          <cell r="I10462" t="str">
            <v>81109</v>
          </cell>
        </row>
        <row r="10463">
          <cell r="G10463" t="str">
            <v xml:space="preserve">Xã Phong Mỹ  </v>
          </cell>
          <cell r="I10463" t="str">
            <v>81109</v>
          </cell>
        </row>
        <row r="10464">
          <cell r="G10464" t="str">
            <v xml:space="preserve">Xã Mỹ Thạnh  </v>
          </cell>
          <cell r="I10464" t="str">
            <v>81109</v>
          </cell>
        </row>
        <row r="10465">
          <cell r="G10465" t="str">
            <v>Xã Châu Hòa</v>
          </cell>
          <cell r="I10465" t="str">
            <v>81109</v>
          </cell>
        </row>
        <row r="10466">
          <cell r="G10466" t="str">
            <v xml:space="preserve">Xã Lương Hòa </v>
          </cell>
          <cell r="I10466" t="str">
            <v>81109</v>
          </cell>
        </row>
        <row r="10467">
          <cell r="G10467" t="str">
            <v>Xã Lương Quới</v>
          </cell>
          <cell r="I10467" t="str">
            <v>81109</v>
          </cell>
        </row>
        <row r="10468">
          <cell r="G10468" t="str">
            <v xml:space="preserve">Xã Châu Bình </v>
          </cell>
          <cell r="I10468" t="str">
            <v>81109</v>
          </cell>
        </row>
        <row r="10469">
          <cell r="G10469" t="str">
            <v>Xã Thuận Điền</v>
          </cell>
          <cell r="I10469" t="str">
            <v>81109</v>
          </cell>
        </row>
        <row r="10470">
          <cell r="G10470" t="str">
            <v xml:space="preserve">Xã Sơn Phú   </v>
          </cell>
          <cell r="I10470" t="str">
            <v>81109</v>
          </cell>
        </row>
        <row r="10471">
          <cell r="G10471" t="str">
            <v>Xã Phước Long</v>
          </cell>
          <cell r="I10471" t="str">
            <v>81109</v>
          </cell>
        </row>
        <row r="10472">
          <cell r="G10472" t="str">
            <v>Xã Hưng Phong</v>
          </cell>
          <cell r="I10472" t="str">
            <v>81109</v>
          </cell>
        </row>
        <row r="10473">
          <cell r="G10473" t="str">
            <v xml:space="preserve">Xã Long Mỹ  </v>
          </cell>
          <cell r="I10473" t="str">
            <v>81109</v>
          </cell>
        </row>
        <row r="10474">
          <cell r="G10474" t="str">
            <v xml:space="preserve">Xã Bình Thành       </v>
          </cell>
          <cell r="I10474" t="str">
            <v>81109</v>
          </cell>
        </row>
        <row r="10475">
          <cell r="G10475" t="str">
            <v xml:space="preserve">Xã Tân Thanh    </v>
          </cell>
          <cell r="I10475" t="str">
            <v>81109</v>
          </cell>
        </row>
        <row r="10476">
          <cell r="G10476" t="str">
            <v>Xã Hưng Nhượng</v>
          </cell>
          <cell r="I10476" t="str">
            <v>81109</v>
          </cell>
        </row>
        <row r="10477">
          <cell r="G10477" t="str">
            <v>Xã Hưng Lễ</v>
          </cell>
          <cell r="I10477" t="str">
            <v>81109</v>
          </cell>
        </row>
        <row r="10478">
          <cell r="G10478" t="str">
            <v>Thị trấn Giồng Trôm</v>
          </cell>
          <cell r="I10478" t="str">
            <v>81109</v>
          </cell>
        </row>
        <row r="10479">
          <cell r="G10479" t="str">
            <v xml:space="preserve">Xã Lộc Thuận </v>
          </cell>
          <cell r="I10479" t="str">
            <v>81111</v>
          </cell>
        </row>
        <row r="10480">
          <cell r="G10480" t="str">
            <v>Xã Vang Quới Tây</v>
          </cell>
          <cell r="I10480" t="str">
            <v>81111</v>
          </cell>
        </row>
        <row r="10481">
          <cell r="G10481" t="str">
            <v xml:space="preserve">Xã Định Trung </v>
          </cell>
          <cell r="I10481" t="str">
            <v>81111</v>
          </cell>
        </row>
        <row r="10482">
          <cell r="G10482" t="str">
            <v xml:space="preserve">Xã Bình Thắng </v>
          </cell>
          <cell r="I10482" t="str">
            <v>81111</v>
          </cell>
        </row>
        <row r="10483">
          <cell r="G10483" t="str">
            <v xml:space="preserve">Xã Thạnh Phước </v>
          </cell>
          <cell r="I10483" t="str">
            <v>81111</v>
          </cell>
        </row>
        <row r="10484">
          <cell r="G10484" t="str">
            <v xml:space="preserve">Xã Tam Hiệp     </v>
          </cell>
          <cell r="I10484" t="str">
            <v>81111</v>
          </cell>
        </row>
        <row r="10485">
          <cell r="G10485" t="str">
            <v>Thị trấn Bình Đại</v>
          </cell>
          <cell r="I10485" t="str">
            <v>81111</v>
          </cell>
        </row>
        <row r="10486">
          <cell r="G10486" t="str">
            <v xml:space="preserve">Xã Long Định  </v>
          </cell>
          <cell r="I10486" t="str">
            <v>81111</v>
          </cell>
        </row>
        <row r="10487">
          <cell r="G10487" t="str">
            <v xml:space="preserve">Xã Long Hòa     </v>
          </cell>
          <cell r="I10487" t="str">
            <v>81111</v>
          </cell>
        </row>
        <row r="10488">
          <cell r="G10488" t="str">
            <v xml:space="preserve">Xã Phú Thuận  </v>
          </cell>
          <cell r="I10488" t="str">
            <v>81111</v>
          </cell>
        </row>
        <row r="10489">
          <cell r="G10489" t="str">
            <v>Xã Vang Quới Đông</v>
          </cell>
          <cell r="I10489" t="str">
            <v>81111</v>
          </cell>
        </row>
        <row r="10490">
          <cell r="G10490" t="str">
            <v>Xã Châu Hưng</v>
          </cell>
          <cell r="I10490" t="str">
            <v>81111</v>
          </cell>
        </row>
        <row r="10491">
          <cell r="G10491" t="str">
            <v>Xã Phú Vang</v>
          </cell>
          <cell r="I10491" t="str">
            <v>81111</v>
          </cell>
        </row>
        <row r="10492">
          <cell r="G10492" t="str">
            <v>Xã Thới Lai</v>
          </cell>
          <cell r="I10492" t="str">
            <v>81111</v>
          </cell>
        </row>
        <row r="10493">
          <cell r="G10493" t="str">
            <v xml:space="preserve">Xã Bình Thới </v>
          </cell>
          <cell r="I10493" t="str">
            <v>81111</v>
          </cell>
        </row>
        <row r="10494">
          <cell r="G10494" t="str">
            <v xml:space="preserve">Xã Phú Long   </v>
          </cell>
          <cell r="I10494" t="str">
            <v>81111</v>
          </cell>
        </row>
        <row r="10495">
          <cell r="G10495" t="str">
            <v xml:space="preserve">Xã Thạnh Trị  </v>
          </cell>
          <cell r="I10495" t="str">
            <v>81111</v>
          </cell>
        </row>
        <row r="10496">
          <cell r="G10496" t="str">
            <v>Xã Đại Hòa Lộc</v>
          </cell>
          <cell r="I10496" t="str">
            <v>81111</v>
          </cell>
        </row>
        <row r="10497">
          <cell r="G10497" t="str">
            <v xml:space="preserve">Xã Thừa Đức </v>
          </cell>
          <cell r="I10497" t="str">
            <v>81111</v>
          </cell>
        </row>
        <row r="10498">
          <cell r="G10498" t="str">
            <v>Xã Thới Thuận</v>
          </cell>
          <cell r="I10498" t="str">
            <v>81111</v>
          </cell>
        </row>
        <row r="10499">
          <cell r="G10499" t="str">
            <v xml:space="preserve">Xã Tân Mỹ         </v>
          </cell>
          <cell r="I10499" t="str">
            <v>81113</v>
          </cell>
        </row>
        <row r="10500">
          <cell r="G10500" t="str">
            <v>Xã Phú Lễ</v>
          </cell>
          <cell r="I10500" t="str">
            <v>81113</v>
          </cell>
        </row>
        <row r="10501">
          <cell r="G10501" t="str">
            <v xml:space="preserve">Xã An Thủy </v>
          </cell>
          <cell r="I10501" t="str">
            <v>81113</v>
          </cell>
        </row>
        <row r="10502">
          <cell r="G10502" t="str">
            <v xml:space="preserve">Xã Mỹ Hòa    </v>
          </cell>
          <cell r="I10502" t="str">
            <v>81113</v>
          </cell>
        </row>
        <row r="10503">
          <cell r="G10503" t="str">
            <v>Xã An Phú Trung</v>
          </cell>
          <cell r="I10503" t="str">
            <v>81113</v>
          </cell>
        </row>
        <row r="10504">
          <cell r="G10504" t="str">
            <v>Xã Phú Ngãi</v>
          </cell>
          <cell r="I10504" t="str">
            <v>81113</v>
          </cell>
        </row>
        <row r="10505">
          <cell r="G10505" t="str">
            <v xml:space="preserve">Xã Bảo Thuận </v>
          </cell>
          <cell r="I10505" t="str">
            <v>81113</v>
          </cell>
        </row>
        <row r="10506">
          <cell r="G10506" t="str">
            <v xml:space="preserve">Xã Vĩnh Hòa       </v>
          </cell>
          <cell r="I10506" t="str">
            <v>81113</v>
          </cell>
        </row>
        <row r="10507">
          <cell r="G10507" t="str">
            <v>Xã An Hòa Tây</v>
          </cell>
          <cell r="I10507" t="str">
            <v>81113</v>
          </cell>
        </row>
        <row r="10508">
          <cell r="G10508" t="str">
            <v>Thị trấn Ba Tri</v>
          </cell>
          <cell r="I10508" t="str">
            <v>81113</v>
          </cell>
        </row>
        <row r="10509">
          <cell r="G10509" t="str">
            <v xml:space="preserve">Xã Tân Xuân    </v>
          </cell>
          <cell r="I10509" t="str">
            <v>81113</v>
          </cell>
        </row>
        <row r="10510">
          <cell r="G10510" t="str">
            <v xml:space="preserve">Xã Mỹ Chánh </v>
          </cell>
          <cell r="I10510" t="str">
            <v>81113</v>
          </cell>
        </row>
        <row r="10511">
          <cell r="G10511" t="str">
            <v>Xã Bảo Thạnh</v>
          </cell>
          <cell r="I10511" t="str">
            <v>81113</v>
          </cell>
        </row>
        <row r="10512">
          <cell r="G10512" t="str">
            <v xml:space="preserve">Xã Mỹ Thạnh   </v>
          </cell>
          <cell r="I10512" t="str">
            <v>81113</v>
          </cell>
        </row>
        <row r="10513">
          <cell r="G10513" t="str">
            <v>Xã Mỹ Nhơn</v>
          </cell>
          <cell r="I10513" t="str">
            <v>81113</v>
          </cell>
        </row>
        <row r="10514">
          <cell r="G10514" t="str">
            <v xml:space="preserve">Xã Phước Tuy </v>
          </cell>
          <cell r="I10514" t="str">
            <v>81113</v>
          </cell>
        </row>
        <row r="10515">
          <cell r="G10515" t="str">
            <v>Xã An Ngãi Trung</v>
          </cell>
          <cell r="I10515" t="str">
            <v>81113</v>
          </cell>
        </row>
        <row r="10516">
          <cell r="G10516" t="str">
            <v>Xã An Bình Tây</v>
          </cell>
          <cell r="I10516" t="str">
            <v>81113</v>
          </cell>
        </row>
        <row r="10517">
          <cell r="G10517" t="str">
            <v xml:space="preserve">Xã Tân Hưng             </v>
          </cell>
          <cell r="I10517" t="str">
            <v>81113</v>
          </cell>
        </row>
        <row r="10518">
          <cell r="G10518" t="str">
            <v>Xã An Ngãi Tây</v>
          </cell>
          <cell r="I10518" t="str">
            <v>81113</v>
          </cell>
        </row>
        <row r="10519">
          <cell r="G10519" t="str">
            <v xml:space="preserve">Xã An Hiệp    </v>
          </cell>
          <cell r="I10519" t="str">
            <v>81113</v>
          </cell>
        </row>
        <row r="10520">
          <cell r="G10520" t="str">
            <v xml:space="preserve">Xã Tân Thủy </v>
          </cell>
          <cell r="I10520" t="str">
            <v>81113</v>
          </cell>
        </row>
        <row r="10521">
          <cell r="G10521" t="str">
            <v xml:space="preserve">Xã Vĩnh An    </v>
          </cell>
          <cell r="I10521" t="str">
            <v>81113</v>
          </cell>
        </row>
        <row r="10522">
          <cell r="G10522" t="str">
            <v xml:space="preserve">Xã An Đức </v>
          </cell>
          <cell r="I10522" t="str">
            <v>81113</v>
          </cell>
        </row>
        <row r="10523">
          <cell r="G10523" t="str">
            <v>Xã An Thuận</v>
          </cell>
          <cell r="I10523" t="str">
            <v>81115</v>
          </cell>
        </row>
        <row r="10524">
          <cell r="G10524" t="str">
            <v>Xã Đại Điền</v>
          </cell>
          <cell r="I10524" t="str">
            <v>81115</v>
          </cell>
        </row>
        <row r="10525">
          <cell r="G10525" t="str">
            <v xml:space="preserve">Xã An Thạnh   </v>
          </cell>
          <cell r="I10525" t="str">
            <v>81115</v>
          </cell>
        </row>
        <row r="10526">
          <cell r="G10526" t="str">
            <v xml:space="preserve">Xã Bình Thạnh         </v>
          </cell>
          <cell r="I10526" t="str">
            <v>81115</v>
          </cell>
        </row>
        <row r="10527">
          <cell r="G10527" t="str">
            <v xml:space="preserve">Xã An Nhơn  </v>
          </cell>
          <cell r="I10527" t="str">
            <v>81115</v>
          </cell>
        </row>
        <row r="10528">
          <cell r="G10528" t="str">
            <v>Thị trấn Thạnh Phú</v>
          </cell>
          <cell r="I10528" t="str">
            <v>81115</v>
          </cell>
        </row>
        <row r="10529">
          <cell r="G10529" t="str">
            <v>Xã Phú Khánh</v>
          </cell>
          <cell r="I10529" t="str">
            <v>81115</v>
          </cell>
        </row>
        <row r="10530">
          <cell r="G10530" t="str">
            <v>Xã Quới Điền</v>
          </cell>
          <cell r="I10530" t="str">
            <v>81115</v>
          </cell>
        </row>
        <row r="10531">
          <cell r="G10531" t="str">
            <v xml:space="preserve">Xã Tân Phong        </v>
          </cell>
          <cell r="I10531" t="str">
            <v>81115</v>
          </cell>
        </row>
        <row r="10532">
          <cell r="G10532" t="str">
            <v xml:space="preserve">Xã Mỹ Hưng   </v>
          </cell>
          <cell r="I10532" t="str">
            <v>81115</v>
          </cell>
        </row>
        <row r="10533">
          <cell r="G10533" t="str">
            <v>Xã Thới Thạnh</v>
          </cell>
          <cell r="I10533" t="str">
            <v>81115</v>
          </cell>
        </row>
        <row r="10534">
          <cell r="G10534" t="str">
            <v>Xã Hòa Lợi</v>
          </cell>
          <cell r="I10534" t="str">
            <v>81115</v>
          </cell>
        </row>
        <row r="10535">
          <cell r="G10535" t="str">
            <v xml:space="preserve">Xã An Điền </v>
          </cell>
          <cell r="I10535" t="str">
            <v>81115</v>
          </cell>
        </row>
        <row r="10536">
          <cell r="G10536" t="str">
            <v>Xã An Quy</v>
          </cell>
          <cell r="I10536" t="str">
            <v>81115</v>
          </cell>
        </row>
        <row r="10537">
          <cell r="G10537" t="str">
            <v>Xã Thạnh Hải</v>
          </cell>
          <cell r="I10537" t="str">
            <v>81115</v>
          </cell>
        </row>
        <row r="10538">
          <cell r="G10538" t="str">
            <v>Xã Giao Thạnh</v>
          </cell>
          <cell r="I10538" t="str">
            <v>81115</v>
          </cell>
        </row>
        <row r="10539">
          <cell r="G10539" t="str">
            <v>Xã Thạnh Phong</v>
          </cell>
          <cell r="I10539" t="str">
            <v>81115</v>
          </cell>
        </row>
        <row r="10540">
          <cell r="G10540" t="str">
            <v xml:space="preserve">Xã Mỹ An      </v>
          </cell>
          <cell r="I10540" t="str">
            <v>81115</v>
          </cell>
        </row>
        <row r="10541">
          <cell r="G10541" t="str">
            <v>Phường Vĩnh Lạc</v>
          </cell>
          <cell r="I10541" t="str">
            <v>81301</v>
          </cell>
        </row>
        <row r="10542">
          <cell r="G10542" t="str">
            <v>Phường Vĩnh Quang</v>
          </cell>
          <cell r="I10542" t="str">
            <v>81301</v>
          </cell>
        </row>
        <row r="10543">
          <cell r="G10543" t="str">
            <v xml:space="preserve">Phường An Bình    </v>
          </cell>
          <cell r="I10543" t="str">
            <v>81301</v>
          </cell>
        </row>
        <row r="10544">
          <cell r="G10544" t="str">
            <v>Xã Phi Thông</v>
          </cell>
          <cell r="I10544" t="str">
            <v>81301</v>
          </cell>
        </row>
        <row r="10545">
          <cell r="G10545" t="str">
            <v>Phường Vĩnh Thanh Vân</v>
          </cell>
          <cell r="I10545" t="str">
            <v>81301</v>
          </cell>
        </row>
        <row r="10546">
          <cell r="G10546" t="str">
            <v>Phường Vĩnh Thanh</v>
          </cell>
          <cell r="I10546" t="str">
            <v>81301</v>
          </cell>
        </row>
        <row r="10547">
          <cell r="G10547" t="str">
            <v>Phường Vĩnh Hiệp</v>
          </cell>
          <cell r="I10547" t="str">
            <v>81301</v>
          </cell>
        </row>
        <row r="10548">
          <cell r="G10548" t="str">
            <v>Phường Vĩnh Bảo</v>
          </cell>
          <cell r="I10548" t="str">
            <v>81301</v>
          </cell>
        </row>
        <row r="10549">
          <cell r="G10549" t="str">
            <v xml:space="preserve">Phường An Hòa  </v>
          </cell>
          <cell r="I10549" t="str">
            <v>81301</v>
          </cell>
        </row>
        <row r="10550">
          <cell r="G10550" t="str">
            <v>Phường Rạch Sỏi</v>
          </cell>
          <cell r="I10550" t="str">
            <v>81301</v>
          </cell>
        </row>
        <row r="10551">
          <cell r="G10551" t="str">
            <v>Phường Vĩnh Lợi</v>
          </cell>
          <cell r="I10551" t="str">
            <v>81301</v>
          </cell>
        </row>
        <row r="10552">
          <cell r="G10552" t="str">
            <v>Phường Vĩnh Thông</v>
          </cell>
          <cell r="I10552" t="str">
            <v>81301</v>
          </cell>
        </row>
        <row r="10553">
          <cell r="G10553" t="str">
            <v xml:space="preserve">Xã Bình An      </v>
          </cell>
          <cell r="I10553" t="str">
            <v>81303</v>
          </cell>
        </row>
        <row r="10554">
          <cell r="G10554" t="str">
            <v>Xã Kiên Bình</v>
          </cell>
          <cell r="I10554" t="str">
            <v>81303</v>
          </cell>
        </row>
        <row r="10555">
          <cell r="G10555" t="str">
            <v>Xã Hòa Điền</v>
          </cell>
          <cell r="I10555" t="str">
            <v>81303</v>
          </cell>
        </row>
        <row r="10556">
          <cell r="G10556" t="str">
            <v xml:space="preserve">Xã Sơn Hải    </v>
          </cell>
          <cell r="I10556" t="str">
            <v>81303</v>
          </cell>
        </row>
        <row r="10557">
          <cell r="G10557" t="str">
            <v>Thị trấn Kiên Lương</v>
          </cell>
          <cell r="I10557" t="str">
            <v>81303</v>
          </cell>
        </row>
        <row r="10558">
          <cell r="G10558" t="str">
            <v xml:space="preserve">Xã Vĩnh Phú  </v>
          </cell>
          <cell r="I10558" t="str">
            <v>81303</v>
          </cell>
        </row>
        <row r="10559">
          <cell r="G10559" t="str">
            <v>Xã Vĩnh Điều</v>
          </cell>
          <cell r="I10559" t="str">
            <v>81303</v>
          </cell>
        </row>
        <row r="10560">
          <cell r="G10560" t="str">
            <v>Xã Tân Khánh Hòa</v>
          </cell>
          <cell r="I10560" t="str">
            <v>81303</v>
          </cell>
        </row>
        <row r="10561">
          <cell r="G10561" t="str">
            <v xml:space="preserve">Xã Phú Lợi  </v>
          </cell>
          <cell r="I10561" t="str">
            <v>81303</v>
          </cell>
        </row>
        <row r="10562">
          <cell r="G10562" t="str">
            <v xml:space="preserve">Xã Phú Mỹ     </v>
          </cell>
          <cell r="I10562" t="str">
            <v>81303</v>
          </cell>
        </row>
        <row r="10563">
          <cell r="G10563" t="str">
            <v xml:space="preserve">Xã Dương Hòa </v>
          </cell>
          <cell r="I10563" t="str">
            <v>81303</v>
          </cell>
        </row>
        <row r="10564">
          <cell r="G10564" t="str">
            <v>Xã Hòn Nghệ</v>
          </cell>
          <cell r="I10564" t="str">
            <v>81303</v>
          </cell>
        </row>
        <row r="10565">
          <cell r="G10565" t="str">
            <v xml:space="preserve">Xã Bình Trị  </v>
          </cell>
          <cell r="I10565" t="str">
            <v>81303</v>
          </cell>
        </row>
        <row r="10566">
          <cell r="G10566" t="str">
            <v xml:space="preserve">Xã Phú Lợi   </v>
          </cell>
          <cell r="I10566" t="str">
            <v>81304</v>
          </cell>
        </row>
        <row r="10567">
          <cell r="G10567" t="str">
            <v xml:space="preserve">Xã Phú Mỹ      </v>
          </cell>
          <cell r="I10567" t="str">
            <v>81304</v>
          </cell>
        </row>
        <row r="10568">
          <cell r="G10568" t="str">
            <v xml:space="preserve">Xã Tân Khánh Hòa </v>
          </cell>
          <cell r="I10568" t="str">
            <v>81304</v>
          </cell>
        </row>
        <row r="10569">
          <cell r="G10569" t="str">
            <v xml:space="preserve">Xã Vĩnh Điều </v>
          </cell>
          <cell r="I10569" t="str">
            <v>81304</v>
          </cell>
        </row>
        <row r="10570">
          <cell r="G10570" t="str">
            <v xml:space="preserve">Xã Vĩnh Phú   </v>
          </cell>
          <cell r="I10570" t="str">
            <v>81304</v>
          </cell>
        </row>
        <row r="10571">
          <cell r="G10571" t="str">
            <v>Xã Lình Huỳnh</v>
          </cell>
          <cell r="I10571" t="str">
            <v>81305</v>
          </cell>
        </row>
        <row r="10572">
          <cell r="G10572" t="str">
            <v xml:space="preserve">Xã Bình Sơn        </v>
          </cell>
          <cell r="I10572" t="str">
            <v>81305</v>
          </cell>
        </row>
        <row r="10573">
          <cell r="G10573" t="str">
            <v xml:space="preserve">Xã Bình Giang </v>
          </cell>
          <cell r="I10573" t="str">
            <v>81305</v>
          </cell>
        </row>
        <row r="10574">
          <cell r="G10574" t="str">
            <v xml:space="preserve">Xã Mỹ Thái </v>
          </cell>
          <cell r="I10574" t="str">
            <v>81305</v>
          </cell>
        </row>
        <row r="10575">
          <cell r="G10575" t="str">
            <v>Xã Nam Thái Sơn</v>
          </cell>
          <cell r="I10575" t="str">
            <v>81305</v>
          </cell>
        </row>
        <row r="10576">
          <cell r="G10576" t="str">
            <v>Xã Mỹ Hiệp Sơn</v>
          </cell>
          <cell r="I10576" t="str">
            <v>81305</v>
          </cell>
        </row>
        <row r="10577">
          <cell r="G10577" t="str">
            <v>Xã Sơn Kiên</v>
          </cell>
          <cell r="I10577" t="str">
            <v>81305</v>
          </cell>
        </row>
        <row r="10578">
          <cell r="G10578" t="str">
            <v xml:space="preserve">Xã Mỹ Thuận   </v>
          </cell>
          <cell r="I10578" t="str">
            <v>81305</v>
          </cell>
        </row>
        <row r="10579">
          <cell r="G10579" t="str">
            <v>Xã Thổ Sơn</v>
          </cell>
          <cell r="I10579" t="str">
            <v>81305</v>
          </cell>
        </row>
        <row r="10580">
          <cell r="G10580" t="str">
            <v xml:space="preserve">Xã Mỹ Lâm </v>
          </cell>
          <cell r="I10580" t="str">
            <v>81305</v>
          </cell>
        </row>
        <row r="10581">
          <cell r="G10581" t="str">
            <v xml:space="preserve">Xã Mỹ Phước  </v>
          </cell>
          <cell r="I10581" t="str">
            <v>81305</v>
          </cell>
        </row>
        <row r="10582">
          <cell r="G10582" t="str">
            <v xml:space="preserve">Thị trấn Sóc Sơn </v>
          </cell>
          <cell r="I10582" t="str">
            <v>81305</v>
          </cell>
        </row>
        <row r="10583">
          <cell r="G10583" t="str">
            <v>Thị trấn Hòn Đất</v>
          </cell>
          <cell r="I10583" t="str">
            <v>81305</v>
          </cell>
        </row>
        <row r="10584">
          <cell r="G10584" t="str">
            <v xml:space="preserve">Xã Sơn Bình    </v>
          </cell>
          <cell r="I10584" t="str">
            <v>81305</v>
          </cell>
        </row>
        <row r="10585">
          <cell r="G10585" t="str">
            <v>Xã Tân Hiệp B</v>
          </cell>
          <cell r="I10585" t="str">
            <v>81307</v>
          </cell>
        </row>
        <row r="10586">
          <cell r="G10586" t="str">
            <v xml:space="preserve">Xã Tân Thành                         </v>
          </cell>
          <cell r="I10586" t="str">
            <v>81307</v>
          </cell>
        </row>
        <row r="10587">
          <cell r="G10587" t="str">
            <v>Xã Tân Hiệp A</v>
          </cell>
          <cell r="I10587" t="str">
            <v>81307</v>
          </cell>
        </row>
        <row r="10588">
          <cell r="G10588" t="str">
            <v xml:space="preserve">Thị trấn Tân Hiệp </v>
          </cell>
          <cell r="I10588" t="str">
            <v>81307</v>
          </cell>
        </row>
        <row r="10589">
          <cell r="G10589" t="str">
            <v xml:space="preserve">Xã Tân Hội       </v>
          </cell>
          <cell r="I10589" t="str">
            <v>81307</v>
          </cell>
        </row>
        <row r="10590">
          <cell r="G10590" t="str">
            <v>Xã Thạnh Đông B</v>
          </cell>
          <cell r="I10590" t="str">
            <v>81307</v>
          </cell>
        </row>
        <row r="10591">
          <cell r="G10591" t="str">
            <v xml:space="preserve">Xã Thạnh Đông </v>
          </cell>
          <cell r="I10591" t="str">
            <v>81307</v>
          </cell>
        </row>
        <row r="10592">
          <cell r="G10592" t="str">
            <v xml:space="preserve">Xã Tân An        </v>
          </cell>
          <cell r="I10592" t="str">
            <v>81307</v>
          </cell>
        </row>
        <row r="10593">
          <cell r="G10593" t="str">
            <v>Xã Thạnh Đông A</v>
          </cell>
          <cell r="I10593" t="str">
            <v>81307</v>
          </cell>
        </row>
        <row r="10594">
          <cell r="G10594" t="str">
            <v xml:space="preserve">Xã Thạnh Trị   </v>
          </cell>
          <cell r="I10594" t="str">
            <v>81307</v>
          </cell>
        </row>
        <row r="10595">
          <cell r="G10595" t="str">
            <v xml:space="preserve">Xã Tân Hòa               </v>
          </cell>
          <cell r="I10595" t="str">
            <v>81307</v>
          </cell>
        </row>
        <row r="10596">
          <cell r="G10596" t="str">
            <v>Xã Giục Tượng</v>
          </cell>
          <cell r="I10596" t="str">
            <v>81309</v>
          </cell>
        </row>
        <row r="10597">
          <cell r="G10597" t="str">
            <v>Thị trấn Minh Lương</v>
          </cell>
          <cell r="I10597" t="str">
            <v>81309</v>
          </cell>
        </row>
        <row r="10598">
          <cell r="G10598" t="str">
            <v xml:space="preserve">Xã Minh Hòa     </v>
          </cell>
          <cell r="I10598" t="str">
            <v>81309</v>
          </cell>
        </row>
        <row r="10599">
          <cell r="G10599" t="str">
            <v>Xã Mong Thọ A</v>
          </cell>
          <cell r="I10599" t="str">
            <v>81309</v>
          </cell>
        </row>
        <row r="10600">
          <cell r="G10600" t="str">
            <v>Xã Mong Thọ B</v>
          </cell>
          <cell r="I10600" t="str">
            <v>81309</v>
          </cell>
        </row>
        <row r="10601">
          <cell r="G10601" t="str">
            <v>Xã Mong Thọ</v>
          </cell>
          <cell r="I10601" t="str">
            <v>81309</v>
          </cell>
        </row>
        <row r="10602">
          <cell r="G10602" t="str">
            <v>Xã Vĩnh Hòa Hiệp</v>
          </cell>
          <cell r="I10602" t="str">
            <v>81309</v>
          </cell>
        </row>
        <row r="10603">
          <cell r="G10603" t="str">
            <v>Xã Vĩnh Hòa Phú</v>
          </cell>
          <cell r="I10603" t="str">
            <v>81309</v>
          </cell>
        </row>
        <row r="10604">
          <cell r="G10604" t="str">
            <v xml:space="preserve">Xã Bình An       </v>
          </cell>
          <cell r="I10604" t="str">
            <v>81309</v>
          </cell>
        </row>
        <row r="10605">
          <cell r="G10605" t="str">
            <v xml:space="preserve">Xã Thạnh Lộc </v>
          </cell>
          <cell r="I10605" t="str">
            <v>81309</v>
          </cell>
        </row>
        <row r="10606">
          <cell r="G10606" t="str">
            <v>Xã Bàn Tân Định</v>
          </cell>
          <cell r="I10606" t="str">
            <v>81311</v>
          </cell>
        </row>
        <row r="10607">
          <cell r="G10607" t="str">
            <v xml:space="preserve">Xã Ngọc Hòa </v>
          </cell>
          <cell r="I10607" t="str">
            <v>81311</v>
          </cell>
        </row>
        <row r="10608">
          <cell r="G10608" t="str">
            <v xml:space="preserve">Xã Long Thạnh </v>
          </cell>
          <cell r="I10608" t="str">
            <v>81311</v>
          </cell>
        </row>
        <row r="10609">
          <cell r="G10609" t="str">
            <v xml:space="preserve">Xã Thạnh Hưng  </v>
          </cell>
          <cell r="I10609" t="str">
            <v>81311</v>
          </cell>
        </row>
        <row r="10610">
          <cell r="G10610" t="str">
            <v>Xã Bàn Thạch</v>
          </cell>
          <cell r="I10610" t="str">
            <v>81311</v>
          </cell>
        </row>
        <row r="10611">
          <cell r="G10611" t="str">
            <v>Xã Ngọc Thuận</v>
          </cell>
          <cell r="I10611" t="str">
            <v>81311</v>
          </cell>
        </row>
        <row r="10612">
          <cell r="G10612" t="str">
            <v>Thị trấn Giồng Riềng</v>
          </cell>
          <cell r="I10612" t="str">
            <v>81311</v>
          </cell>
        </row>
        <row r="10613">
          <cell r="G10613" t="str">
            <v xml:space="preserve">Xã Thạnh Phước  </v>
          </cell>
          <cell r="I10613" t="str">
            <v>81311</v>
          </cell>
        </row>
        <row r="10614">
          <cell r="G10614" t="str">
            <v xml:space="preserve">Xã Thạnh Lộc  </v>
          </cell>
          <cell r="I10614" t="str">
            <v>81311</v>
          </cell>
        </row>
        <row r="10615">
          <cell r="G10615" t="str">
            <v xml:space="preserve">Xã Thạnh Hòa  </v>
          </cell>
          <cell r="I10615" t="str">
            <v>81311</v>
          </cell>
        </row>
        <row r="10616">
          <cell r="G10616" t="str">
            <v>Xã Ngọc Thành</v>
          </cell>
          <cell r="I10616" t="str">
            <v>81311</v>
          </cell>
        </row>
        <row r="10617">
          <cell r="G10617" t="str">
            <v>Xã Ngọc Chúc</v>
          </cell>
          <cell r="I10617" t="str">
            <v>81311</v>
          </cell>
        </row>
        <row r="10618">
          <cell r="G10618" t="str">
            <v xml:space="preserve">Xã Hòa Hưng  </v>
          </cell>
          <cell r="I10618" t="str">
            <v>81311</v>
          </cell>
        </row>
        <row r="10619">
          <cell r="G10619" t="str">
            <v xml:space="preserve">Xã Hòa Lợi </v>
          </cell>
          <cell r="I10619" t="str">
            <v>81311</v>
          </cell>
        </row>
        <row r="10620">
          <cell r="G10620" t="str">
            <v xml:space="preserve">Xã Hòa An     </v>
          </cell>
          <cell r="I10620" t="str">
            <v>81311</v>
          </cell>
        </row>
        <row r="10621">
          <cell r="G10621" t="str">
            <v xml:space="preserve">Xã Vĩnh Thạnh   </v>
          </cell>
          <cell r="I10621" t="str">
            <v>81311</v>
          </cell>
        </row>
        <row r="10622">
          <cell r="G10622" t="str">
            <v xml:space="preserve">Xã Vĩnh Phú    </v>
          </cell>
          <cell r="I10622" t="str">
            <v>81311</v>
          </cell>
        </row>
        <row r="10623">
          <cell r="G10623" t="str">
            <v xml:space="preserve">Xã Hòa Thuận </v>
          </cell>
          <cell r="I10623" t="str">
            <v>81311</v>
          </cell>
        </row>
        <row r="10624">
          <cell r="G10624" t="str">
            <v xml:space="preserve">Xã Thạnh Bình </v>
          </cell>
          <cell r="I10624" t="str">
            <v>81311</v>
          </cell>
        </row>
        <row r="10625">
          <cell r="G10625" t="str">
            <v>Xã Vĩnh Phước A</v>
          </cell>
          <cell r="I10625" t="str">
            <v>81313</v>
          </cell>
        </row>
        <row r="10626">
          <cell r="G10626" t="str">
            <v>Xã Vĩnh Hòa Hưng Bắc</v>
          </cell>
          <cell r="I10626" t="str">
            <v>81313</v>
          </cell>
        </row>
        <row r="10627">
          <cell r="G10627" t="str">
            <v>Xã Vĩnh Hòa Hưng Nam</v>
          </cell>
          <cell r="I10627" t="str">
            <v>81313</v>
          </cell>
        </row>
        <row r="10628">
          <cell r="G10628" t="str">
            <v>Thị trấn Gò Quao</v>
          </cell>
          <cell r="I10628" t="str">
            <v>81313</v>
          </cell>
        </row>
        <row r="10629">
          <cell r="G10629" t="str">
            <v xml:space="preserve">Xã Định Hòa  </v>
          </cell>
          <cell r="I10629" t="str">
            <v>81313</v>
          </cell>
        </row>
        <row r="10630">
          <cell r="G10630" t="str">
            <v>Xã Thới Quản</v>
          </cell>
          <cell r="I10630" t="str">
            <v>81313</v>
          </cell>
        </row>
        <row r="10631">
          <cell r="G10631" t="str">
            <v xml:space="preserve">Xã Định An  </v>
          </cell>
          <cell r="I10631" t="str">
            <v>81313</v>
          </cell>
        </row>
        <row r="10632">
          <cell r="G10632" t="str">
            <v>Xã Thủy Liễu</v>
          </cell>
          <cell r="I10632" t="str">
            <v>81313</v>
          </cell>
        </row>
        <row r="10633">
          <cell r="G10633" t="str">
            <v>Xã Vĩnh Phước B</v>
          </cell>
          <cell r="I10633" t="str">
            <v>81313</v>
          </cell>
        </row>
        <row r="10634">
          <cell r="G10634" t="str">
            <v xml:space="preserve">Xã Vĩnh Tuy </v>
          </cell>
          <cell r="I10634" t="str">
            <v>81313</v>
          </cell>
        </row>
        <row r="10635">
          <cell r="G10635" t="str">
            <v>Xã Vĩnh Thắng</v>
          </cell>
          <cell r="I10635" t="str">
            <v>81313</v>
          </cell>
        </row>
        <row r="10636">
          <cell r="G10636" t="str">
            <v>Xã Đông Thái</v>
          </cell>
          <cell r="I10636" t="str">
            <v>81315</v>
          </cell>
        </row>
        <row r="10637">
          <cell r="G10637" t="str">
            <v>Thị trấn Thứ Ba</v>
          </cell>
          <cell r="I10637" t="str">
            <v>81315</v>
          </cell>
        </row>
        <row r="10638">
          <cell r="G10638" t="str">
            <v xml:space="preserve">Xã Hưng Yên </v>
          </cell>
          <cell r="I10638" t="str">
            <v>81315</v>
          </cell>
        </row>
        <row r="10639">
          <cell r="G10639" t="str">
            <v xml:space="preserve">Xã Đông Yên  </v>
          </cell>
          <cell r="I10639" t="str">
            <v>81315</v>
          </cell>
        </row>
        <row r="10640">
          <cell r="G10640" t="str">
            <v>Xã Tây Yên</v>
          </cell>
          <cell r="I10640" t="str">
            <v>81315</v>
          </cell>
        </row>
        <row r="10641">
          <cell r="G10641" t="str">
            <v>Xã Tây Yên A</v>
          </cell>
          <cell r="I10641" t="str">
            <v>81315</v>
          </cell>
        </row>
        <row r="10642">
          <cell r="G10642" t="str">
            <v>Xã Nam Yên</v>
          </cell>
          <cell r="I10642" t="str">
            <v>81315</v>
          </cell>
        </row>
        <row r="10643">
          <cell r="G10643" t="str">
            <v xml:space="preserve">Xã Nam Thái  </v>
          </cell>
          <cell r="I10643" t="str">
            <v>81315</v>
          </cell>
        </row>
        <row r="10644">
          <cell r="G10644" t="str">
            <v>Xã Nam Thái A</v>
          </cell>
          <cell r="I10644" t="str">
            <v>81315</v>
          </cell>
        </row>
        <row r="10645">
          <cell r="G10645" t="str">
            <v>Xã Đông Hưng B</v>
          </cell>
          <cell r="I10645" t="str">
            <v>81317</v>
          </cell>
        </row>
        <row r="10646">
          <cell r="G10646" t="str">
            <v xml:space="preserve">Xã Thuận Hòa  </v>
          </cell>
          <cell r="I10646" t="str">
            <v>81317</v>
          </cell>
        </row>
        <row r="10647">
          <cell r="G10647" t="str">
            <v xml:space="preserve">Xã Đông Hưng   </v>
          </cell>
          <cell r="I10647" t="str">
            <v>81317</v>
          </cell>
        </row>
        <row r="10648">
          <cell r="G10648" t="str">
            <v>Xã Vân Khánh Đông</v>
          </cell>
          <cell r="I10648" t="str">
            <v>81317</v>
          </cell>
        </row>
        <row r="10649">
          <cell r="G10649" t="str">
            <v>Thị trấn Thứ Mười Một</v>
          </cell>
          <cell r="I10649" t="str">
            <v>81317</v>
          </cell>
        </row>
        <row r="10650">
          <cell r="G10650" t="str">
            <v xml:space="preserve">Xã Đông Hòa    </v>
          </cell>
          <cell r="I10650" t="str">
            <v>81317</v>
          </cell>
        </row>
        <row r="10651">
          <cell r="G10651" t="str">
            <v xml:space="preserve">Xã Đông Thạnh   </v>
          </cell>
          <cell r="I10651" t="str">
            <v>81317</v>
          </cell>
        </row>
        <row r="10652">
          <cell r="G10652" t="str">
            <v xml:space="preserve">Xã Tân Thạnh   </v>
          </cell>
          <cell r="I10652" t="str">
            <v>81317</v>
          </cell>
        </row>
        <row r="10653">
          <cell r="G10653" t="str">
            <v>Xã Đông Hưng A</v>
          </cell>
          <cell r="I10653" t="str">
            <v>81317</v>
          </cell>
        </row>
        <row r="10654">
          <cell r="G10654" t="str">
            <v>Xã Vân Khánh</v>
          </cell>
          <cell r="I10654" t="str">
            <v>81317</v>
          </cell>
        </row>
        <row r="10655">
          <cell r="G10655" t="str">
            <v>Xã Vân Khánh Tây</v>
          </cell>
          <cell r="I10655" t="str">
            <v>81317</v>
          </cell>
        </row>
        <row r="10656">
          <cell r="G10656" t="str">
            <v>Xã Vĩnh Bình Bắc</v>
          </cell>
          <cell r="I10656" t="str">
            <v>81319</v>
          </cell>
        </row>
        <row r="10657">
          <cell r="G10657" t="str">
            <v xml:space="preserve">Xã Tân Thuận </v>
          </cell>
          <cell r="I10657" t="str">
            <v>81319</v>
          </cell>
        </row>
        <row r="10658">
          <cell r="G10658" t="str">
            <v>Thị trấn Vĩnh Thuận</v>
          </cell>
          <cell r="I10658" t="str">
            <v>81319</v>
          </cell>
        </row>
        <row r="10659">
          <cell r="G10659" t="str">
            <v>Xã Vĩnh Bình Nam</v>
          </cell>
          <cell r="I10659" t="str">
            <v>81319</v>
          </cell>
        </row>
        <row r="10660">
          <cell r="G10660" t="str">
            <v xml:space="preserve">Xã Vĩnh Thuận  </v>
          </cell>
          <cell r="I10660" t="str">
            <v>81319</v>
          </cell>
        </row>
        <row r="10661">
          <cell r="G10661" t="str">
            <v xml:space="preserve">Xã Vĩnh Phong  </v>
          </cell>
          <cell r="I10661" t="str">
            <v>81319</v>
          </cell>
        </row>
        <row r="10662">
          <cell r="G10662" t="str">
            <v xml:space="preserve">Xã Bình Minh           </v>
          </cell>
          <cell r="I10662" t="str">
            <v>81319</v>
          </cell>
        </row>
        <row r="10663">
          <cell r="G10663" t="str">
            <v>Xã Phong Đông</v>
          </cell>
          <cell r="I10663" t="str">
            <v>81319</v>
          </cell>
        </row>
        <row r="10664">
          <cell r="G10664" t="str">
            <v>Thị trấn Dương Đông</v>
          </cell>
          <cell r="I10664" t="str">
            <v>81321</v>
          </cell>
        </row>
        <row r="10665">
          <cell r="G10665" t="str">
            <v>Xã Cửa Cạn</v>
          </cell>
          <cell r="I10665" t="str">
            <v>81321</v>
          </cell>
        </row>
        <row r="10666">
          <cell r="G10666" t="str">
            <v>Xã Dương Tơ</v>
          </cell>
          <cell r="I10666" t="str">
            <v>81321</v>
          </cell>
        </row>
        <row r="10667">
          <cell r="G10667" t="str">
            <v>Thị trấn An Thới</v>
          </cell>
          <cell r="I10667" t="str">
            <v>81321</v>
          </cell>
        </row>
        <row r="10668">
          <cell r="G10668" t="str">
            <v>Xã Gành Dầu</v>
          </cell>
          <cell r="I10668" t="str">
            <v>81321</v>
          </cell>
        </row>
        <row r="10669">
          <cell r="G10669" t="str">
            <v>Xã Cửa Dương</v>
          </cell>
          <cell r="I10669" t="str">
            <v>81321</v>
          </cell>
        </row>
        <row r="10670">
          <cell r="G10670" t="str">
            <v xml:space="preserve">Xã Hàm Ninh </v>
          </cell>
          <cell r="I10670" t="str">
            <v>81321</v>
          </cell>
        </row>
        <row r="10671">
          <cell r="G10671" t="str">
            <v>Xã Hòn Thơm</v>
          </cell>
          <cell r="I10671" t="str">
            <v>81321</v>
          </cell>
        </row>
        <row r="10672">
          <cell r="G10672" t="str">
            <v>Xã Bãi Thơm</v>
          </cell>
          <cell r="I10672" t="str">
            <v>81321</v>
          </cell>
        </row>
        <row r="10673">
          <cell r="G10673" t="str">
            <v>Xã Thổ Châu</v>
          </cell>
          <cell r="I10673" t="str">
            <v>81321</v>
          </cell>
        </row>
        <row r="10674">
          <cell r="G10674" t="str">
            <v>Xã Nam Du</v>
          </cell>
          <cell r="I10674" t="str">
            <v>81323</v>
          </cell>
        </row>
        <row r="10675">
          <cell r="G10675" t="str">
            <v>Xã Hòn Tre</v>
          </cell>
          <cell r="I10675" t="str">
            <v>81323</v>
          </cell>
        </row>
        <row r="10676">
          <cell r="G10676" t="str">
            <v>Xã Lại Sơn</v>
          </cell>
          <cell r="I10676" t="str">
            <v>81323</v>
          </cell>
        </row>
        <row r="10677">
          <cell r="G10677" t="str">
            <v xml:space="preserve">Xã An Sơn   </v>
          </cell>
          <cell r="I10677" t="str">
            <v>81323</v>
          </cell>
        </row>
        <row r="10678">
          <cell r="G10678" t="str">
            <v xml:space="preserve">Xã Tiên Hải </v>
          </cell>
          <cell r="I10678" t="str">
            <v>81325</v>
          </cell>
        </row>
        <row r="10679">
          <cell r="G10679" t="str">
            <v>Phường Pháo Đài</v>
          </cell>
          <cell r="I10679" t="str">
            <v>81325</v>
          </cell>
        </row>
        <row r="10680">
          <cell r="G10680" t="str">
            <v>Phường Tô Châu</v>
          </cell>
          <cell r="I10680" t="str">
            <v>81325</v>
          </cell>
        </row>
        <row r="10681">
          <cell r="G10681" t="str">
            <v>Phường Đông Hồ</v>
          </cell>
          <cell r="I10681" t="str">
            <v>81325</v>
          </cell>
        </row>
        <row r="10682">
          <cell r="G10682" t="str">
            <v>Phường Bình San</v>
          </cell>
          <cell r="I10682" t="str">
            <v>81325</v>
          </cell>
        </row>
        <row r="10683">
          <cell r="G10683" t="str">
            <v xml:space="preserve">Xã Mỹ Đức    </v>
          </cell>
          <cell r="I10683" t="str">
            <v>81325</v>
          </cell>
        </row>
        <row r="10684">
          <cell r="G10684" t="str">
            <v>Xã Thuận Yên</v>
          </cell>
          <cell r="I10684" t="str">
            <v>81325</v>
          </cell>
        </row>
        <row r="10685">
          <cell r="G10685" t="str">
            <v>Xã Thạnh Yên</v>
          </cell>
          <cell r="I10685" t="str">
            <v>81327</v>
          </cell>
        </row>
        <row r="10686">
          <cell r="G10686" t="str">
            <v>Xã Thạnh Yên A</v>
          </cell>
          <cell r="I10686" t="str">
            <v>81327</v>
          </cell>
        </row>
        <row r="10687">
          <cell r="G10687" t="str">
            <v>Xã An Minh Bắc</v>
          </cell>
          <cell r="I10687" t="str">
            <v>81327</v>
          </cell>
        </row>
        <row r="10688">
          <cell r="G10688" t="str">
            <v xml:space="preserve">Xã Vĩnh Hòa        </v>
          </cell>
          <cell r="I10688" t="str">
            <v>81327</v>
          </cell>
        </row>
        <row r="10689">
          <cell r="G10689" t="str">
            <v>Xã Hòa Chánh</v>
          </cell>
          <cell r="I10689" t="str">
            <v>81327</v>
          </cell>
        </row>
        <row r="10690">
          <cell r="G10690" t="str">
            <v xml:space="preserve">Xã Minh Thuận </v>
          </cell>
          <cell r="I10690" t="str">
            <v>81327</v>
          </cell>
        </row>
        <row r="10691">
          <cell r="G10691" t="str">
            <v>Phường Tân Lộc</v>
          </cell>
          <cell r="I10691" t="str">
            <v>81503</v>
          </cell>
        </row>
        <row r="10692">
          <cell r="G10692" t="str">
            <v>Phường Thốt Nốt</v>
          </cell>
          <cell r="I10692" t="str">
            <v>81503</v>
          </cell>
        </row>
        <row r="10693">
          <cell r="G10693" t="str">
            <v>Phường Thuận An</v>
          </cell>
          <cell r="I10693" t="str">
            <v>81503</v>
          </cell>
        </row>
        <row r="10694">
          <cell r="G10694" t="str">
            <v>Phường Trung Nhứt</v>
          </cell>
          <cell r="I10694" t="str">
            <v>81503</v>
          </cell>
        </row>
        <row r="10695">
          <cell r="G10695" t="str">
            <v>Phường Trung Kiên</v>
          </cell>
          <cell r="I10695" t="str">
            <v>81503</v>
          </cell>
        </row>
        <row r="10696">
          <cell r="G10696" t="str">
            <v>Phường Thuận Hưng</v>
          </cell>
          <cell r="I10696" t="str">
            <v>81503</v>
          </cell>
        </row>
        <row r="10697">
          <cell r="G10697" t="str">
            <v xml:space="preserve">Phường Tân Hưng </v>
          </cell>
          <cell r="I10697" t="str">
            <v>81503</v>
          </cell>
        </row>
        <row r="10698">
          <cell r="G10698" t="str">
            <v>Phường Thạnh Hòa</v>
          </cell>
          <cell r="I10698" t="str">
            <v>81503</v>
          </cell>
        </row>
        <row r="10699">
          <cell r="G10699" t="str">
            <v>Phường Thới Thuận</v>
          </cell>
          <cell r="I10699" t="str">
            <v>81503</v>
          </cell>
        </row>
        <row r="10700">
          <cell r="G10700" t="str">
            <v>Phường Phước Thới</v>
          </cell>
          <cell r="I10700" t="str">
            <v>81505</v>
          </cell>
        </row>
        <row r="10701">
          <cell r="G10701" t="str">
            <v xml:space="preserve">Phường Thới An </v>
          </cell>
          <cell r="I10701" t="str">
            <v>81505</v>
          </cell>
        </row>
        <row r="10702">
          <cell r="G10702" t="str">
            <v>Phường Châu Văn Liêm</v>
          </cell>
          <cell r="I10702" t="str">
            <v>81505</v>
          </cell>
        </row>
        <row r="10703">
          <cell r="G10703" t="str">
            <v>Phường Thới Long</v>
          </cell>
          <cell r="I10703" t="str">
            <v>81505</v>
          </cell>
        </row>
        <row r="10704">
          <cell r="G10704" t="str">
            <v>Phường Trường Lạc</v>
          </cell>
          <cell r="I10704" t="str">
            <v>81505</v>
          </cell>
        </row>
        <row r="10705">
          <cell r="G10705" t="str">
            <v>Phường Thới  Hòa</v>
          </cell>
          <cell r="I10705" t="str">
            <v>81505</v>
          </cell>
        </row>
        <row r="10706">
          <cell r="G10706" t="str">
            <v xml:space="preserve">Phường Long Hưng </v>
          </cell>
          <cell r="I10706" t="str">
            <v>81505</v>
          </cell>
        </row>
        <row r="10707">
          <cell r="G10707" t="str">
            <v>Phường An Cư</v>
          </cell>
          <cell r="I10707" t="str">
            <v>81519</v>
          </cell>
        </row>
        <row r="10708">
          <cell r="G10708" t="str">
            <v>Phường Hưng Lợi</v>
          </cell>
          <cell r="I10708" t="str">
            <v>81519</v>
          </cell>
        </row>
        <row r="10709">
          <cell r="G10709" t="str">
            <v>Phường Cái Khế</v>
          </cell>
          <cell r="I10709" t="str">
            <v>81519</v>
          </cell>
        </row>
        <row r="10710">
          <cell r="G10710" t="str">
            <v xml:space="preserve">Phường An Hòa   </v>
          </cell>
          <cell r="I10710" t="str">
            <v>81519</v>
          </cell>
        </row>
        <row r="10711">
          <cell r="G10711" t="str">
            <v>Phường Thới Bình</v>
          </cell>
          <cell r="I10711" t="str">
            <v>81519</v>
          </cell>
        </row>
        <row r="10712">
          <cell r="G10712" t="str">
            <v>Phường An Nghiệp</v>
          </cell>
          <cell r="I10712" t="str">
            <v>81519</v>
          </cell>
        </row>
        <row r="10713">
          <cell r="G10713" t="str">
            <v>Phường An Hội</v>
          </cell>
          <cell r="I10713" t="str">
            <v>81519</v>
          </cell>
        </row>
        <row r="10714">
          <cell r="G10714" t="str">
            <v xml:space="preserve">Phường Tân An     </v>
          </cell>
          <cell r="I10714" t="str">
            <v>81519</v>
          </cell>
        </row>
        <row r="10715">
          <cell r="G10715" t="str">
            <v xml:space="preserve">Phường An Lạc   </v>
          </cell>
          <cell r="I10715" t="str">
            <v>81519</v>
          </cell>
        </row>
        <row r="10716">
          <cell r="G10716" t="str">
            <v xml:space="preserve">Phường An Phú    </v>
          </cell>
          <cell r="I10716" t="str">
            <v>81519</v>
          </cell>
        </row>
        <row r="10717">
          <cell r="G10717" t="str">
            <v>Phường Xuân Khánh</v>
          </cell>
          <cell r="I10717" t="str">
            <v>81519</v>
          </cell>
        </row>
        <row r="10718">
          <cell r="G10718" t="str">
            <v xml:space="preserve">Phường An Bình     </v>
          </cell>
          <cell r="I10718" t="str">
            <v>81519</v>
          </cell>
        </row>
        <row r="10719">
          <cell r="G10719" t="str">
            <v xml:space="preserve">Phường An Khánh </v>
          </cell>
          <cell r="I10719" t="str">
            <v>81519</v>
          </cell>
        </row>
        <row r="10720">
          <cell r="G10720" t="str">
            <v>Phường Trà Nóc</v>
          </cell>
          <cell r="I10720" t="str">
            <v>81521</v>
          </cell>
        </row>
        <row r="10721">
          <cell r="G10721" t="str">
            <v>Phường Bình Thủy</v>
          </cell>
          <cell r="I10721" t="str">
            <v>81521</v>
          </cell>
        </row>
        <row r="10722">
          <cell r="G10722" t="str">
            <v>Phường Thới An Đông</v>
          </cell>
          <cell r="I10722" t="str">
            <v>81521</v>
          </cell>
        </row>
        <row r="10723">
          <cell r="G10723" t="str">
            <v>Phường An Thới</v>
          </cell>
          <cell r="I10723" t="str">
            <v>81521</v>
          </cell>
        </row>
        <row r="10724">
          <cell r="G10724" t="str">
            <v>Phường Long Hòa</v>
          </cell>
          <cell r="I10724" t="str">
            <v>81521</v>
          </cell>
        </row>
        <row r="10725">
          <cell r="G10725" t="str">
            <v>Phường Long Tuyền</v>
          </cell>
          <cell r="I10725" t="str">
            <v>81521</v>
          </cell>
        </row>
        <row r="10726">
          <cell r="G10726" t="str">
            <v>Phường Bùi Hữu Nghĩa</v>
          </cell>
          <cell r="I10726" t="str">
            <v>81521</v>
          </cell>
        </row>
        <row r="10727">
          <cell r="G10727" t="str">
            <v>Phường Trà An</v>
          </cell>
          <cell r="I10727" t="str">
            <v>81521</v>
          </cell>
        </row>
        <row r="10728">
          <cell r="G10728" t="str">
            <v xml:space="preserve">Phường Tân Phú   </v>
          </cell>
          <cell r="I10728" t="str">
            <v>81523</v>
          </cell>
        </row>
        <row r="10729">
          <cell r="G10729" t="str">
            <v>Phường Lê Bình</v>
          </cell>
          <cell r="I10729" t="str">
            <v>81523</v>
          </cell>
        </row>
        <row r="10730">
          <cell r="G10730" t="str">
            <v>Phường Thường Thạnh</v>
          </cell>
          <cell r="I10730" t="str">
            <v>81523</v>
          </cell>
        </row>
        <row r="10731">
          <cell r="G10731" t="str">
            <v>Phường Hưng Phú</v>
          </cell>
          <cell r="I10731" t="str">
            <v>81523</v>
          </cell>
        </row>
        <row r="10732">
          <cell r="G10732" t="str">
            <v>Phường Hưng Thạnh</v>
          </cell>
          <cell r="I10732" t="str">
            <v>81523</v>
          </cell>
        </row>
        <row r="10733">
          <cell r="G10733" t="str">
            <v>Phường Ba Láng</v>
          </cell>
          <cell r="I10733" t="str">
            <v>81523</v>
          </cell>
        </row>
        <row r="10734">
          <cell r="G10734" t="str">
            <v>Phường Phú Thứ</v>
          </cell>
          <cell r="I10734" t="str">
            <v>81523</v>
          </cell>
        </row>
        <row r="10735">
          <cell r="G10735" t="str">
            <v xml:space="preserve">Xã Thạnh An  </v>
          </cell>
          <cell r="I10735" t="str">
            <v>81525</v>
          </cell>
        </row>
        <row r="10736">
          <cell r="G10736" t="str">
            <v xml:space="preserve">Xã Thạnh Mỹ </v>
          </cell>
          <cell r="I10736" t="str">
            <v>81525</v>
          </cell>
        </row>
        <row r="10737">
          <cell r="G10737" t="str">
            <v>Xã Thạnh Qưới</v>
          </cell>
          <cell r="I10737" t="str">
            <v>81525</v>
          </cell>
        </row>
        <row r="10738">
          <cell r="G10738" t="str">
            <v>Thị trấn Thạnh An</v>
          </cell>
          <cell r="I10738" t="str">
            <v>81525</v>
          </cell>
        </row>
        <row r="10739">
          <cell r="G10739" t="str">
            <v>Xã Vĩnh Trinh</v>
          </cell>
          <cell r="I10739" t="str">
            <v>81525</v>
          </cell>
        </row>
        <row r="10740">
          <cell r="G10740" t="str">
            <v>Xã Thạnh Thắng</v>
          </cell>
          <cell r="I10740" t="str">
            <v>81525</v>
          </cell>
        </row>
        <row r="10741">
          <cell r="G10741" t="str">
            <v xml:space="preserve">Xã Thạnh Lộc   </v>
          </cell>
          <cell r="I10741" t="str">
            <v>81525</v>
          </cell>
        </row>
        <row r="10742">
          <cell r="G10742" t="str">
            <v xml:space="preserve">Thị Trấn Vĩnh Thạnh </v>
          </cell>
          <cell r="I10742" t="str">
            <v>81525</v>
          </cell>
        </row>
        <row r="10743">
          <cell r="G10743" t="str">
            <v>Xã Thạnh Tiến</v>
          </cell>
          <cell r="I10743" t="str">
            <v>81525</v>
          </cell>
        </row>
        <row r="10744">
          <cell r="G10744" t="str">
            <v xml:space="preserve">Xã Thạnh Lợi  </v>
          </cell>
          <cell r="I10744" t="str">
            <v>81525</v>
          </cell>
        </row>
        <row r="10745">
          <cell r="G10745" t="str">
            <v xml:space="preserve">Xã Vĩnh Bình   </v>
          </cell>
          <cell r="I10745" t="str">
            <v>81525</v>
          </cell>
        </row>
        <row r="10746">
          <cell r="G10746" t="str">
            <v>Xã Thới Đông</v>
          </cell>
          <cell r="I10746" t="str">
            <v>81527</v>
          </cell>
        </row>
        <row r="10747">
          <cell r="G10747" t="str">
            <v>Xã Đông Hiệp</v>
          </cell>
          <cell r="I10747" t="str">
            <v>81527</v>
          </cell>
        </row>
        <row r="10748">
          <cell r="G10748" t="str">
            <v>Thị trấn Cờ Đỏ</v>
          </cell>
          <cell r="I10748" t="str">
            <v>81527</v>
          </cell>
        </row>
        <row r="10749">
          <cell r="G10749" t="str">
            <v>Xã Thới Hưng</v>
          </cell>
          <cell r="I10749" t="str">
            <v>81527</v>
          </cell>
        </row>
        <row r="10750">
          <cell r="G10750" t="str">
            <v>Xã Đông Thắng</v>
          </cell>
          <cell r="I10750" t="str">
            <v>81527</v>
          </cell>
        </row>
        <row r="10751">
          <cell r="G10751" t="str">
            <v>Xã Thới Xuân</v>
          </cell>
          <cell r="I10751" t="str">
            <v>81527</v>
          </cell>
        </row>
        <row r="10752">
          <cell r="G10752" t="str">
            <v>Xã Trung Thạnh</v>
          </cell>
          <cell r="I10752" t="str">
            <v>81527</v>
          </cell>
        </row>
        <row r="10753">
          <cell r="G10753" t="str">
            <v xml:space="preserve">Xã Trung An    </v>
          </cell>
          <cell r="I10753" t="str">
            <v>81527</v>
          </cell>
        </row>
        <row r="10754">
          <cell r="G10754" t="str">
            <v xml:space="preserve">Xã Trung Hưng </v>
          </cell>
          <cell r="I10754" t="str">
            <v>81527</v>
          </cell>
        </row>
        <row r="10755">
          <cell r="G10755" t="str">
            <v xml:space="preserve">Xã Thạnh Phú   </v>
          </cell>
          <cell r="I10755" t="str">
            <v>81527</v>
          </cell>
        </row>
        <row r="10756">
          <cell r="G10756" t="str">
            <v xml:space="preserve">Xã Mỹ Khánh </v>
          </cell>
          <cell r="I10756" t="str">
            <v>81529</v>
          </cell>
        </row>
        <row r="10757">
          <cell r="G10757" t="str">
            <v>Xã Trường Long</v>
          </cell>
          <cell r="I10757" t="str">
            <v>81529</v>
          </cell>
        </row>
        <row r="10758">
          <cell r="G10758" t="str">
            <v>Xã Nhơn ái</v>
          </cell>
          <cell r="I10758" t="str">
            <v>81529</v>
          </cell>
        </row>
        <row r="10759">
          <cell r="G10759" t="str">
            <v xml:space="preserve">Xã Giai Xuân </v>
          </cell>
          <cell r="I10759" t="str">
            <v>81529</v>
          </cell>
        </row>
        <row r="10760">
          <cell r="G10760" t="str">
            <v xml:space="preserve">Xã Tân Thới </v>
          </cell>
          <cell r="I10760" t="str">
            <v>81529</v>
          </cell>
        </row>
        <row r="10761">
          <cell r="G10761" t="str">
            <v>Xã Nhơn Nghĩa</v>
          </cell>
          <cell r="I10761" t="str">
            <v>81529</v>
          </cell>
        </row>
        <row r="10762">
          <cell r="G10762" t="str">
            <v xml:space="preserve">Thị Trấn Phong Điền </v>
          </cell>
          <cell r="I10762" t="str">
            <v>81529</v>
          </cell>
        </row>
        <row r="10763">
          <cell r="G10763" t="str">
            <v>Thị Trấn Thới Lai</v>
          </cell>
          <cell r="I10763" t="str">
            <v>81531</v>
          </cell>
        </row>
        <row r="10764">
          <cell r="G10764" t="str">
            <v xml:space="preserve">Xã Trường Xuân   </v>
          </cell>
          <cell r="I10764" t="str">
            <v>81531</v>
          </cell>
        </row>
        <row r="10765">
          <cell r="G10765" t="str">
            <v>Xã Trường Xuân A</v>
          </cell>
          <cell r="I10765" t="str">
            <v>81531</v>
          </cell>
        </row>
        <row r="10766">
          <cell r="G10766" t="str">
            <v>Xã Trường Xuân B</v>
          </cell>
          <cell r="I10766" t="str">
            <v>81531</v>
          </cell>
        </row>
        <row r="10767">
          <cell r="G10767" t="str">
            <v xml:space="preserve">Xã Thới Thạnh </v>
          </cell>
          <cell r="I10767" t="str">
            <v>81531</v>
          </cell>
        </row>
        <row r="10768">
          <cell r="G10768" t="str">
            <v xml:space="preserve">Xã Tân Thạnh    </v>
          </cell>
          <cell r="I10768" t="str">
            <v>81531</v>
          </cell>
        </row>
        <row r="10769">
          <cell r="G10769" t="str">
            <v>Xã Định Môn</v>
          </cell>
          <cell r="I10769" t="str">
            <v>81531</v>
          </cell>
        </row>
        <row r="10770">
          <cell r="G10770" t="str">
            <v xml:space="preserve">Xã Trường Thành  </v>
          </cell>
          <cell r="I10770" t="str">
            <v>81531</v>
          </cell>
        </row>
        <row r="10771">
          <cell r="G10771" t="str">
            <v>Xã Trường Thắng</v>
          </cell>
          <cell r="I10771" t="str">
            <v>81531</v>
          </cell>
        </row>
        <row r="10772">
          <cell r="G10772" t="str">
            <v>Xã Thới Tân</v>
          </cell>
          <cell r="I10772" t="str">
            <v>81531</v>
          </cell>
        </row>
        <row r="10773">
          <cell r="G10773" t="str">
            <v xml:space="preserve">Xã Đông Bình </v>
          </cell>
          <cell r="I10773" t="str">
            <v>81531</v>
          </cell>
        </row>
        <row r="10774">
          <cell r="G10774" t="str">
            <v>Xã Đông Thuận</v>
          </cell>
          <cell r="I10774" t="str">
            <v>81531</v>
          </cell>
        </row>
        <row r="10775">
          <cell r="G10775" t="str">
            <v xml:space="preserve">Xã Xuân Thắng  </v>
          </cell>
          <cell r="I10775" t="str">
            <v>81531</v>
          </cell>
        </row>
        <row r="10776">
          <cell r="G10776" t="str">
            <v>Phường I</v>
          </cell>
          <cell r="I10776" t="str">
            <v>81601</v>
          </cell>
        </row>
        <row r="10777">
          <cell r="G10777" t="str">
            <v>Phường VII</v>
          </cell>
          <cell r="I10777" t="str">
            <v>81601</v>
          </cell>
        </row>
        <row r="10778">
          <cell r="G10778" t="str">
            <v>Xã Hoả Tiến</v>
          </cell>
          <cell r="I10778" t="str">
            <v>81601</v>
          </cell>
        </row>
        <row r="10779">
          <cell r="G10779" t="str">
            <v>Phường III</v>
          </cell>
          <cell r="I10779" t="str">
            <v>81601</v>
          </cell>
        </row>
        <row r="10780">
          <cell r="G10780" t="str">
            <v>Phường IV</v>
          </cell>
          <cell r="I10780" t="str">
            <v>81601</v>
          </cell>
        </row>
        <row r="10781">
          <cell r="G10781" t="str">
            <v>Phường V</v>
          </cell>
          <cell r="I10781" t="str">
            <v>81601</v>
          </cell>
        </row>
        <row r="10782">
          <cell r="G10782" t="str">
            <v>Xã Vị Tân</v>
          </cell>
          <cell r="I10782" t="str">
            <v>81601</v>
          </cell>
        </row>
        <row r="10783">
          <cell r="G10783" t="str">
            <v>Xã Hoả Lựu</v>
          </cell>
          <cell r="I10783" t="str">
            <v>81601</v>
          </cell>
        </row>
        <row r="10784">
          <cell r="G10784" t="str">
            <v xml:space="preserve">Xã Tân Tiến                </v>
          </cell>
          <cell r="I10784" t="str">
            <v>81601</v>
          </cell>
        </row>
        <row r="10785">
          <cell r="G10785" t="str">
            <v>Xã Trường Long Tây</v>
          </cell>
          <cell r="I10785" t="str">
            <v>81603</v>
          </cell>
        </row>
        <row r="10786">
          <cell r="G10786" t="str">
            <v>Xã Trường Long A</v>
          </cell>
          <cell r="I10786" t="str">
            <v>81603</v>
          </cell>
        </row>
        <row r="10787">
          <cell r="G10787" t="str">
            <v>Thị trấn Một Ngàn</v>
          </cell>
          <cell r="I10787" t="str">
            <v>81603</v>
          </cell>
        </row>
        <row r="10788">
          <cell r="G10788" t="str">
            <v xml:space="preserve">Xã Tân Hòa                </v>
          </cell>
          <cell r="I10788" t="str">
            <v>81603</v>
          </cell>
        </row>
        <row r="10789">
          <cell r="G10789" t="str">
            <v>Xã Nhơn nghĩa A</v>
          </cell>
          <cell r="I10789" t="str">
            <v>81603</v>
          </cell>
        </row>
        <row r="10790">
          <cell r="G10790" t="str">
            <v>Xã Thạnh Xuân</v>
          </cell>
          <cell r="I10790" t="str">
            <v>81603</v>
          </cell>
        </row>
        <row r="10791">
          <cell r="G10791" t="str">
            <v>Xã Tân Phú Thạnh</v>
          </cell>
          <cell r="I10791" t="str">
            <v>81603</v>
          </cell>
        </row>
        <row r="10792">
          <cell r="G10792" t="str">
            <v>Thị Trấn Rạch Gòi</v>
          </cell>
          <cell r="I10792" t="str">
            <v>81603</v>
          </cell>
        </row>
        <row r="10793">
          <cell r="G10793" t="str">
            <v>Thị Trấn Cái Tắc</v>
          </cell>
          <cell r="I10793" t="str">
            <v>81603</v>
          </cell>
        </row>
        <row r="10794">
          <cell r="G10794" t="str">
            <v>Thị trấn Bảy ngàn</v>
          </cell>
          <cell r="I10794" t="str">
            <v>81603</v>
          </cell>
        </row>
        <row r="10795">
          <cell r="G10795" t="str">
            <v>Xã Đông Phước A</v>
          </cell>
          <cell r="I10795" t="str">
            <v>81605</v>
          </cell>
        </row>
        <row r="10796">
          <cell r="G10796" t="str">
            <v>Thị trấn Ngã sáu</v>
          </cell>
          <cell r="I10796" t="str">
            <v>81605</v>
          </cell>
        </row>
        <row r="10797">
          <cell r="G10797" t="str">
            <v xml:space="preserve">Xã Phú Hữu  </v>
          </cell>
          <cell r="I10797" t="str">
            <v>81605</v>
          </cell>
        </row>
        <row r="10798">
          <cell r="G10798" t="str">
            <v>Xã Đông Phước</v>
          </cell>
          <cell r="I10798" t="str">
            <v>81605</v>
          </cell>
        </row>
        <row r="10799">
          <cell r="G10799" t="str">
            <v xml:space="preserve">Xã Đông Thạnh    </v>
          </cell>
          <cell r="I10799" t="str">
            <v>81605</v>
          </cell>
        </row>
        <row r="10800">
          <cell r="G10800" t="str">
            <v xml:space="preserve">Xã Phú An      </v>
          </cell>
          <cell r="I10800" t="str">
            <v>81605</v>
          </cell>
        </row>
        <row r="10801">
          <cell r="G10801" t="str">
            <v xml:space="preserve">Xã Đông Phú  </v>
          </cell>
          <cell r="I10801" t="str">
            <v>81605</v>
          </cell>
        </row>
        <row r="10802">
          <cell r="G10802" t="str">
            <v>Thị trấn Mái Dầm</v>
          </cell>
          <cell r="I10802" t="str">
            <v>81605</v>
          </cell>
        </row>
        <row r="10803">
          <cell r="G10803" t="str">
            <v xml:space="preserve">Xã Phú Tân  </v>
          </cell>
          <cell r="I10803" t="str">
            <v>81605</v>
          </cell>
        </row>
        <row r="10804">
          <cell r="G10804" t="str">
            <v xml:space="preserve">Phường Hiệp Thành  </v>
          </cell>
          <cell r="I10804" t="str">
            <v>81607</v>
          </cell>
        </row>
        <row r="10805">
          <cell r="G10805" t="str">
            <v>Phường Ngã Bảy</v>
          </cell>
          <cell r="I10805" t="str">
            <v>81607</v>
          </cell>
        </row>
        <row r="10806">
          <cell r="G10806" t="str">
            <v>Phường Lái Hiếu</v>
          </cell>
          <cell r="I10806" t="str">
            <v>81607</v>
          </cell>
        </row>
        <row r="10807">
          <cell r="G10807" t="str">
            <v>Xã Hiệp Lợi</v>
          </cell>
          <cell r="I10807" t="str">
            <v>81607</v>
          </cell>
        </row>
        <row r="10808">
          <cell r="G10808" t="str">
            <v xml:space="preserve">Xã Đại Thành    </v>
          </cell>
          <cell r="I10808" t="str">
            <v>81607</v>
          </cell>
        </row>
        <row r="10809">
          <cell r="G10809" t="str">
            <v xml:space="preserve">Xã Tân Thành                          </v>
          </cell>
          <cell r="I10809" t="str">
            <v>81607</v>
          </cell>
        </row>
        <row r="10810">
          <cell r="G10810" t="str">
            <v>Thị trấn Cây Dương</v>
          </cell>
          <cell r="I10810" t="str">
            <v>81608</v>
          </cell>
        </row>
        <row r="10811">
          <cell r="G10811" t="str">
            <v>Thị trấn Kinh Cùng</v>
          </cell>
          <cell r="I10811" t="str">
            <v>81608</v>
          </cell>
        </row>
        <row r="10812">
          <cell r="G10812" t="str">
            <v xml:space="preserve">Xã Hòa An      </v>
          </cell>
          <cell r="I10812" t="str">
            <v>81608</v>
          </cell>
        </row>
        <row r="10813">
          <cell r="G10813" t="str">
            <v xml:space="preserve">Xã Tân Bình               </v>
          </cell>
          <cell r="I10813" t="str">
            <v>81608</v>
          </cell>
        </row>
        <row r="10814">
          <cell r="G10814" t="str">
            <v xml:space="preserve">Xã Bình Thành        </v>
          </cell>
          <cell r="I10814" t="str">
            <v>81608</v>
          </cell>
        </row>
        <row r="10815">
          <cell r="G10815" t="str">
            <v xml:space="preserve">Xã Thạnh Hòa   </v>
          </cell>
          <cell r="I10815" t="str">
            <v>81608</v>
          </cell>
        </row>
        <row r="10816">
          <cell r="G10816" t="str">
            <v xml:space="preserve">Xã Tân Long       </v>
          </cell>
          <cell r="I10816" t="str">
            <v>81608</v>
          </cell>
        </row>
        <row r="10817">
          <cell r="G10817" t="str">
            <v xml:space="preserve">Xã Long Thạnh  </v>
          </cell>
          <cell r="I10817" t="str">
            <v>81608</v>
          </cell>
        </row>
        <row r="10818">
          <cell r="G10818" t="str">
            <v>Xã Phụng Hiệp</v>
          </cell>
          <cell r="I10818" t="str">
            <v>81608</v>
          </cell>
        </row>
        <row r="10819">
          <cell r="G10819" t="str">
            <v>Xã Phương Bình</v>
          </cell>
          <cell r="I10819" t="str">
            <v>81608</v>
          </cell>
        </row>
        <row r="10820">
          <cell r="G10820" t="str">
            <v>Xã Hòa Mỹ</v>
          </cell>
          <cell r="I10820" t="str">
            <v>81608</v>
          </cell>
        </row>
        <row r="10821">
          <cell r="G10821" t="str">
            <v>Xã Tân Phước Hưng</v>
          </cell>
          <cell r="I10821" t="str">
            <v>81608</v>
          </cell>
        </row>
        <row r="10822">
          <cell r="G10822" t="str">
            <v>Xã Phương Phú</v>
          </cell>
          <cell r="I10822" t="str">
            <v>81608</v>
          </cell>
        </row>
        <row r="10823">
          <cell r="G10823" t="str">
            <v>Xã Hiệp Hưng</v>
          </cell>
          <cell r="I10823" t="str">
            <v>81608</v>
          </cell>
        </row>
        <row r="10824">
          <cell r="G10824" t="str">
            <v>Thị trấn Búng Tàu</v>
          </cell>
          <cell r="I10824" t="str">
            <v>81608</v>
          </cell>
        </row>
        <row r="10825">
          <cell r="G10825" t="str">
            <v>Xã Vị Thanh</v>
          </cell>
          <cell r="I10825" t="str">
            <v>81609</v>
          </cell>
        </row>
        <row r="10826">
          <cell r="G10826" t="str">
            <v>Xã Vị Thắng</v>
          </cell>
          <cell r="I10826" t="str">
            <v>81609</v>
          </cell>
        </row>
        <row r="10827">
          <cell r="G10827" t="str">
            <v>Xã Vị Đông</v>
          </cell>
          <cell r="I10827" t="str">
            <v>81609</v>
          </cell>
        </row>
        <row r="10828">
          <cell r="G10828" t="str">
            <v>Thị trấn Nàng Mau</v>
          </cell>
          <cell r="I10828" t="str">
            <v>81609</v>
          </cell>
        </row>
        <row r="10829">
          <cell r="G10829" t="str">
            <v>Xã Vị Trung</v>
          </cell>
          <cell r="I10829" t="str">
            <v>81609</v>
          </cell>
        </row>
        <row r="10830">
          <cell r="G10830" t="str">
            <v>Xã Vị Thuỷ</v>
          </cell>
          <cell r="I10830" t="str">
            <v>81609</v>
          </cell>
        </row>
        <row r="10831">
          <cell r="G10831" t="str">
            <v>Xã Vĩnh Thuận Tây</v>
          </cell>
          <cell r="I10831" t="str">
            <v>81609</v>
          </cell>
        </row>
        <row r="10832">
          <cell r="G10832" t="str">
            <v xml:space="preserve">Xã Vĩnh Trung    </v>
          </cell>
          <cell r="I10832" t="str">
            <v>81609</v>
          </cell>
        </row>
        <row r="10833">
          <cell r="G10833" t="str">
            <v>Xã Vĩnh Tường</v>
          </cell>
          <cell r="I10833" t="str">
            <v>81609</v>
          </cell>
        </row>
        <row r="10834">
          <cell r="G10834" t="str">
            <v>Xã Vị Bình</v>
          </cell>
          <cell r="I10834" t="str">
            <v>81609</v>
          </cell>
        </row>
        <row r="10835">
          <cell r="G10835" t="str">
            <v xml:space="preserve">Xã Thuận Hòa   </v>
          </cell>
          <cell r="I10835" t="str">
            <v>81611</v>
          </cell>
        </row>
        <row r="10836">
          <cell r="G10836" t="str">
            <v>Xã Vĩnh Thuận Đông</v>
          </cell>
          <cell r="I10836" t="str">
            <v>81611</v>
          </cell>
        </row>
        <row r="10837">
          <cell r="G10837" t="str">
            <v>Xã Thuận Hưng</v>
          </cell>
          <cell r="I10837" t="str">
            <v>81611</v>
          </cell>
        </row>
        <row r="10838">
          <cell r="G10838" t="str">
            <v>Xã Vĩnh Viễn</v>
          </cell>
          <cell r="I10838" t="str">
            <v>81611</v>
          </cell>
        </row>
        <row r="10839">
          <cell r="G10839" t="str">
            <v>Xã Lương Tâm</v>
          </cell>
          <cell r="I10839" t="str">
            <v>81611</v>
          </cell>
        </row>
        <row r="10840">
          <cell r="G10840" t="str">
            <v>Xã Xà Phiên</v>
          </cell>
          <cell r="I10840" t="str">
            <v>81611</v>
          </cell>
        </row>
        <row r="10841">
          <cell r="G10841" t="str">
            <v>Xã Lương Nghĩa</v>
          </cell>
          <cell r="I10841" t="str">
            <v>81611</v>
          </cell>
        </row>
        <row r="10842">
          <cell r="G10842" t="str">
            <v>Xã Vĩnh Viễn A</v>
          </cell>
          <cell r="I10842" t="str">
            <v>81611</v>
          </cell>
        </row>
        <row r="10843">
          <cell r="G10843" t="str">
            <v>Phường Bình Thạnh</v>
          </cell>
          <cell r="I10843" t="str">
            <v>81612</v>
          </cell>
        </row>
        <row r="10844">
          <cell r="G10844" t="str">
            <v xml:space="preserve">Phường Thuận An </v>
          </cell>
          <cell r="I10844" t="str">
            <v>81612</v>
          </cell>
        </row>
        <row r="10845">
          <cell r="G10845" t="str">
            <v>Phường Trà Lồng</v>
          </cell>
          <cell r="I10845" t="str">
            <v>81612</v>
          </cell>
        </row>
        <row r="10846">
          <cell r="G10846" t="str">
            <v>Phường Vĩnh Tường</v>
          </cell>
          <cell r="I10846" t="str">
            <v>81612</v>
          </cell>
        </row>
        <row r="10847">
          <cell r="G10847" t="str">
            <v xml:space="preserve">Xã Long Bình  </v>
          </cell>
          <cell r="I10847" t="str">
            <v>81612</v>
          </cell>
        </row>
        <row r="10848">
          <cell r="G10848" t="str">
            <v xml:space="preserve">Xã Long Phú </v>
          </cell>
          <cell r="I10848" t="str">
            <v>81612</v>
          </cell>
        </row>
        <row r="10849">
          <cell r="G10849" t="str">
            <v>Xã Long Trị</v>
          </cell>
          <cell r="I10849" t="str">
            <v>81612</v>
          </cell>
        </row>
        <row r="10850">
          <cell r="G10850" t="str">
            <v>Xã Long Trị A</v>
          </cell>
          <cell r="I10850" t="str">
            <v>81612</v>
          </cell>
        </row>
        <row r="10851">
          <cell r="G10851" t="str">
            <v xml:space="preserve">Xã Tân Phú             </v>
          </cell>
          <cell r="I10851" t="str">
            <v>81612</v>
          </cell>
        </row>
        <row r="10852">
          <cell r="G10852" t="str">
            <v xml:space="preserve">Xã Long Đức </v>
          </cell>
          <cell r="I10852" t="str">
            <v>81701</v>
          </cell>
        </row>
        <row r="10853">
          <cell r="G10853" t="str">
            <v xml:space="preserve">Phường 2                    </v>
          </cell>
          <cell r="I10853" t="str">
            <v>81701</v>
          </cell>
        </row>
        <row r="10854">
          <cell r="G10854" t="str">
            <v xml:space="preserve">Phường 7           </v>
          </cell>
          <cell r="I10854" t="str">
            <v>81701</v>
          </cell>
        </row>
        <row r="10855">
          <cell r="G10855" t="str">
            <v xml:space="preserve">Phường 4                 </v>
          </cell>
          <cell r="I10855" t="str">
            <v>81701</v>
          </cell>
        </row>
        <row r="10856">
          <cell r="G10856" t="str">
            <v xml:space="preserve">Phường 1                     </v>
          </cell>
          <cell r="I10856" t="str">
            <v>81701</v>
          </cell>
        </row>
        <row r="10857">
          <cell r="G10857" t="str">
            <v xml:space="preserve">Phường 3                    </v>
          </cell>
          <cell r="I10857" t="str">
            <v>81701</v>
          </cell>
        </row>
        <row r="10858">
          <cell r="G10858" t="str">
            <v xml:space="preserve">Phường 5               </v>
          </cell>
          <cell r="I10858" t="str">
            <v>81701</v>
          </cell>
        </row>
        <row r="10859">
          <cell r="G10859" t="str">
            <v xml:space="preserve">Phường 6            </v>
          </cell>
          <cell r="I10859" t="str">
            <v>81701</v>
          </cell>
        </row>
        <row r="10860">
          <cell r="G10860" t="str">
            <v xml:space="preserve">Phường 8          </v>
          </cell>
          <cell r="I10860" t="str">
            <v>81701</v>
          </cell>
        </row>
        <row r="10861">
          <cell r="G10861" t="str">
            <v xml:space="preserve">Phường 9         </v>
          </cell>
          <cell r="I10861" t="str">
            <v>81701</v>
          </cell>
        </row>
        <row r="10862">
          <cell r="G10862" t="str">
            <v xml:space="preserve">Xã Tân An         </v>
          </cell>
          <cell r="I10862" t="str">
            <v>81703</v>
          </cell>
        </row>
        <row r="10863">
          <cell r="G10863" t="str">
            <v>Thị trấn Càng Long</v>
          </cell>
          <cell r="I10863" t="str">
            <v>81703</v>
          </cell>
        </row>
        <row r="10864">
          <cell r="G10864" t="str">
            <v>Xã Đại Phúc</v>
          </cell>
          <cell r="I10864" t="str">
            <v>81703</v>
          </cell>
        </row>
        <row r="10865">
          <cell r="G10865" t="str">
            <v>Xã An Trường</v>
          </cell>
          <cell r="I10865" t="str">
            <v>81703</v>
          </cell>
        </row>
        <row r="10866">
          <cell r="G10866" t="str">
            <v xml:space="preserve">Xã Tân Bình                </v>
          </cell>
          <cell r="I10866" t="str">
            <v>81703</v>
          </cell>
        </row>
        <row r="10867">
          <cell r="G10867" t="str">
            <v>Xã Huyền Hội</v>
          </cell>
          <cell r="I10867" t="str">
            <v>81703</v>
          </cell>
        </row>
        <row r="10868">
          <cell r="G10868" t="str">
            <v>Xã Phương Thạnh</v>
          </cell>
          <cell r="I10868" t="str">
            <v>81703</v>
          </cell>
        </row>
        <row r="10869">
          <cell r="G10869" t="str">
            <v>Xã Đức Mỹ</v>
          </cell>
          <cell r="I10869" t="str">
            <v>81703</v>
          </cell>
        </row>
        <row r="10870">
          <cell r="G10870" t="str">
            <v>Xã Nhị Long</v>
          </cell>
          <cell r="I10870" t="str">
            <v>81703</v>
          </cell>
        </row>
        <row r="10871">
          <cell r="G10871" t="str">
            <v>Xã Nhị Long Phú</v>
          </cell>
          <cell r="I10871" t="str">
            <v>81703</v>
          </cell>
        </row>
        <row r="10872">
          <cell r="G10872" t="str">
            <v xml:space="preserve">Xã Đại Phước </v>
          </cell>
          <cell r="I10872" t="str">
            <v>81703</v>
          </cell>
        </row>
        <row r="10873">
          <cell r="G10873" t="str">
            <v>Xã Mỹ Cẩm</v>
          </cell>
          <cell r="I10873" t="str">
            <v>81703</v>
          </cell>
        </row>
        <row r="10874">
          <cell r="G10874" t="str">
            <v>Xã An Trường A</v>
          </cell>
          <cell r="I10874" t="str">
            <v>81703</v>
          </cell>
        </row>
        <row r="10875">
          <cell r="G10875" t="str">
            <v xml:space="preserve">Xã Bình Phú         </v>
          </cell>
          <cell r="I10875" t="str">
            <v>81703</v>
          </cell>
        </row>
        <row r="10876">
          <cell r="G10876" t="str">
            <v xml:space="preserve">Xã Long Hòa      </v>
          </cell>
          <cell r="I10876" t="str">
            <v>81705</v>
          </cell>
        </row>
        <row r="10877">
          <cell r="G10877" t="str">
            <v xml:space="preserve">Xã Hưng Mỹ </v>
          </cell>
          <cell r="I10877" t="str">
            <v>81705</v>
          </cell>
        </row>
        <row r="10878">
          <cell r="G10878" t="str">
            <v>Xã Lương Hòa A</v>
          </cell>
          <cell r="I10878" t="str">
            <v>81705</v>
          </cell>
        </row>
        <row r="10879">
          <cell r="G10879" t="str">
            <v>Xã Phước Hảo</v>
          </cell>
          <cell r="I10879" t="str">
            <v>81705</v>
          </cell>
        </row>
        <row r="10880">
          <cell r="G10880" t="str">
            <v xml:space="preserve">Thị trấn Châu Thành  </v>
          </cell>
          <cell r="I10880" t="str">
            <v>81705</v>
          </cell>
        </row>
        <row r="10881">
          <cell r="G10881" t="str">
            <v xml:space="preserve">Xã Hòa Thuận  </v>
          </cell>
          <cell r="I10881" t="str">
            <v>81705</v>
          </cell>
        </row>
        <row r="10882">
          <cell r="G10882" t="str">
            <v>Xã Nguyệt Hóa</v>
          </cell>
          <cell r="I10882" t="str">
            <v>81705</v>
          </cell>
        </row>
        <row r="10883">
          <cell r="G10883" t="str">
            <v xml:space="preserve">Xã Hòa Minh </v>
          </cell>
          <cell r="I10883" t="str">
            <v>81705</v>
          </cell>
        </row>
        <row r="10884">
          <cell r="G10884" t="str">
            <v xml:space="preserve">Xã Lương Hòa  </v>
          </cell>
          <cell r="I10884" t="str">
            <v>81705</v>
          </cell>
        </row>
        <row r="10885">
          <cell r="G10885" t="str">
            <v xml:space="preserve">Xã Hòa Lợi  </v>
          </cell>
          <cell r="I10885" t="str">
            <v>81705</v>
          </cell>
        </row>
        <row r="10886">
          <cell r="G10886" t="str">
            <v xml:space="preserve">Xã Đa Lộc   </v>
          </cell>
          <cell r="I10886" t="str">
            <v>81705</v>
          </cell>
        </row>
        <row r="10887">
          <cell r="G10887" t="str">
            <v xml:space="preserve">Xã Song Lộc </v>
          </cell>
          <cell r="I10887" t="str">
            <v>81705</v>
          </cell>
        </row>
        <row r="10888">
          <cell r="G10888" t="str">
            <v xml:space="preserve">Xã Mỹ Chánh  </v>
          </cell>
          <cell r="I10888" t="str">
            <v>81705</v>
          </cell>
        </row>
        <row r="10889">
          <cell r="G10889" t="str">
            <v xml:space="preserve">Xã Thanh Mỹ   </v>
          </cell>
          <cell r="I10889" t="str">
            <v>81705</v>
          </cell>
        </row>
        <row r="10890">
          <cell r="G10890" t="str">
            <v>Xã Phong Thạnh</v>
          </cell>
          <cell r="I10890" t="str">
            <v>81707</v>
          </cell>
        </row>
        <row r="10891">
          <cell r="G10891" t="str">
            <v>Xã Châu Điền</v>
          </cell>
          <cell r="I10891" t="str">
            <v>81707</v>
          </cell>
        </row>
        <row r="10892">
          <cell r="G10892" t="str">
            <v xml:space="preserve">Xã Phong Phú    </v>
          </cell>
          <cell r="I10892" t="str">
            <v>81707</v>
          </cell>
        </row>
        <row r="10893">
          <cell r="G10893" t="str">
            <v>Thị trấn Cầu Kè</v>
          </cell>
          <cell r="I10893" t="str">
            <v>81707</v>
          </cell>
        </row>
        <row r="10894">
          <cell r="G10894" t="str">
            <v xml:space="preserve">Xã Thạnh Phú    </v>
          </cell>
          <cell r="I10894" t="str">
            <v>81707</v>
          </cell>
        </row>
        <row r="10895">
          <cell r="G10895" t="str">
            <v>Xã Thông Hòa</v>
          </cell>
          <cell r="I10895" t="str">
            <v>81707</v>
          </cell>
        </row>
        <row r="10896">
          <cell r="G10896" t="str">
            <v>Xã Tam Ngãi</v>
          </cell>
          <cell r="I10896" t="str">
            <v>81707</v>
          </cell>
        </row>
        <row r="10897">
          <cell r="G10897" t="str">
            <v>Xã Hòa ân</v>
          </cell>
          <cell r="I10897" t="str">
            <v>81707</v>
          </cell>
        </row>
        <row r="10898">
          <cell r="G10898" t="str">
            <v>Xã An Phú Tân</v>
          </cell>
          <cell r="I10898" t="str">
            <v>81707</v>
          </cell>
        </row>
        <row r="10899">
          <cell r="G10899" t="str">
            <v xml:space="preserve">Xã Hòa Tân  </v>
          </cell>
          <cell r="I10899" t="str">
            <v>81707</v>
          </cell>
        </row>
        <row r="10900">
          <cell r="G10900" t="str">
            <v>Xã Ninh Thới</v>
          </cell>
          <cell r="I10900" t="str">
            <v>81707</v>
          </cell>
        </row>
        <row r="10901">
          <cell r="G10901" t="str">
            <v>Xã Tân Hùng</v>
          </cell>
          <cell r="I10901" t="str">
            <v>81709</v>
          </cell>
        </row>
        <row r="10902">
          <cell r="G10902" t="str">
            <v>Xã Hiếu Trung</v>
          </cell>
          <cell r="I10902" t="str">
            <v>81709</v>
          </cell>
        </row>
        <row r="10903">
          <cell r="G10903" t="str">
            <v xml:space="preserve">Xã Long Thới  </v>
          </cell>
          <cell r="I10903" t="str">
            <v>81709</v>
          </cell>
        </row>
        <row r="10904">
          <cell r="G10904" t="str">
            <v>Xã Hùng Hòa</v>
          </cell>
          <cell r="I10904" t="str">
            <v>81709</v>
          </cell>
        </row>
        <row r="10905">
          <cell r="G10905" t="str">
            <v>Thị trấn Tiểu Cần</v>
          </cell>
          <cell r="I10905" t="str">
            <v>81709</v>
          </cell>
        </row>
        <row r="10906">
          <cell r="G10906" t="str">
            <v>Thị trấn Cầu Quan</v>
          </cell>
          <cell r="I10906" t="str">
            <v>81709</v>
          </cell>
        </row>
        <row r="10907">
          <cell r="G10907" t="str">
            <v>Xã Hiếu Tử</v>
          </cell>
          <cell r="I10907" t="str">
            <v>81709</v>
          </cell>
        </row>
        <row r="10908">
          <cell r="G10908" t="str">
            <v>Xã Tập Ngãi</v>
          </cell>
          <cell r="I10908" t="str">
            <v>81709</v>
          </cell>
        </row>
        <row r="10909">
          <cell r="G10909" t="str">
            <v xml:space="preserve">Xã Phú Cần </v>
          </cell>
          <cell r="I10909" t="str">
            <v>81709</v>
          </cell>
        </row>
        <row r="10910">
          <cell r="G10910" t="str">
            <v>Xã Ngãi Hùng</v>
          </cell>
          <cell r="I10910" t="str">
            <v>81709</v>
          </cell>
        </row>
        <row r="10911">
          <cell r="G10911" t="str">
            <v xml:space="preserve">Xã Tân Hòa                 </v>
          </cell>
          <cell r="I10911" t="str">
            <v>81709</v>
          </cell>
        </row>
        <row r="10912">
          <cell r="G10912" t="str">
            <v>Xã Mỹ Long Nam</v>
          </cell>
          <cell r="I10912" t="str">
            <v>81711</v>
          </cell>
        </row>
        <row r="10913">
          <cell r="G10913" t="str">
            <v>Thị trấn Mỹ Long</v>
          </cell>
          <cell r="I10913" t="str">
            <v>81711</v>
          </cell>
        </row>
        <row r="10914">
          <cell r="G10914" t="str">
            <v xml:space="preserve">Xã Mỹ Hòa     </v>
          </cell>
          <cell r="I10914" t="str">
            <v>81711</v>
          </cell>
        </row>
        <row r="10915">
          <cell r="G10915" t="str">
            <v xml:space="preserve">Xã Thuận Hòa    </v>
          </cell>
          <cell r="I10915" t="str">
            <v>81711</v>
          </cell>
        </row>
        <row r="10916">
          <cell r="G10916" t="str">
            <v>Xã Hiệp Mỹ Tây</v>
          </cell>
          <cell r="I10916" t="str">
            <v>81711</v>
          </cell>
        </row>
        <row r="10917">
          <cell r="G10917" t="str">
            <v>Thị trấn Cầu Ngang</v>
          </cell>
          <cell r="I10917" t="str">
            <v>81711</v>
          </cell>
        </row>
        <row r="10918">
          <cell r="G10918" t="str">
            <v xml:space="preserve">Xã Vĩnh Kim   </v>
          </cell>
          <cell r="I10918" t="str">
            <v>81711</v>
          </cell>
        </row>
        <row r="10919">
          <cell r="G10919" t="str">
            <v>Xã Kim Hòa</v>
          </cell>
          <cell r="I10919" t="str">
            <v>81711</v>
          </cell>
        </row>
        <row r="10920">
          <cell r="G10920" t="str">
            <v>Xã Mỹ Long Bắc</v>
          </cell>
          <cell r="I10920" t="str">
            <v>81711</v>
          </cell>
        </row>
        <row r="10921">
          <cell r="G10921" t="str">
            <v xml:space="preserve">Xã Hiệp Hòa       </v>
          </cell>
          <cell r="I10921" t="str">
            <v>81711</v>
          </cell>
        </row>
        <row r="10922">
          <cell r="G10922" t="str">
            <v xml:space="preserve">Xã Trường Thọ </v>
          </cell>
          <cell r="I10922" t="str">
            <v>81711</v>
          </cell>
        </row>
        <row r="10923">
          <cell r="G10923" t="str">
            <v>Xã Nhị Trường</v>
          </cell>
          <cell r="I10923" t="str">
            <v>81711</v>
          </cell>
        </row>
        <row r="10924">
          <cell r="G10924" t="str">
            <v xml:space="preserve">Xã Long Sơn        </v>
          </cell>
          <cell r="I10924" t="str">
            <v>81711</v>
          </cell>
        </row>
        <row r="10925">
          <cell r="G10925" t="str">
            <v>Xã Hiệp Mỹ Đông</v>
          </cell>
          <cell r="I10925" t="str">
            <v>81711</v>
          </cell>
        </row>
        <row r="10926">
          <cell r="G10926" t="str">
            <v>Xã Thạnh Hòa Sơn</v>
          </cell>
          <cell r="I10926" t="str">
            <v>81711</v>
          </cell>
        </row>
        <row r="10927">
          <cell r="G10927" t="str">
            <v>Xã Hiệp Mỹ</v>
          </cell>
          <cell r="I10927" t="str">
            <v>81711</v>
          </cell>
        </row>
        <row r="10928">
          <cell r="G10928" t="str">
            <v>Xã An Quảng Hữu</v>
          </cell>
          <cell r="I10928" t="str">
            <v>81713</v>
          </cell>
        </row>
        <row r="10929">
          <cell r="G10929" t="str">
            <v>Xã Tập Sơn</v>
          </cell>
          <cell r="I10929" t="str">
            <v>81713</v>
          </cell>
        </row>
        <row r="10930">
          <cell r="G10930" t="str">
            <v xml:space="preserve">Xã Long Hiệp  </v>
          </cell>
          <cell r="I10930" t="str">
            <v>81713</v>
          </cell>
        </row>
        <row r="10931">
          <cell r="G10931" t="str">
            <v xml:space="preserve">Xã Thanh Sơn          </v>
          </cell>
          <cell r="I10931" t="str">
            <v>81713</v>
          </cell>
        </row>
        <row r="10932">
          <cell r="G10932" t="str">
            <v>Xã Đôn Xuân</v>
          </cell>
          <cell r="I10932" t="str">
            <v>81713</v>
          </cell>
        </row>
        <row r="10933">
          <cell r="G10933" t="str">
            <v>Thị trấn Trà Cú</v>
          </cell>
          <cell r="I10933" t="str">
            <v>81713</v>
          </cell>
        </row>
        <row r="10934">
          <cell r="G10934" t="str">
            <v xml:space="preserve">Xã Phước Hưng   </v>
          </cell>
          <cell r="I10934" t="str">
            <v>81713</v>
          </cell>
        </row>
        <row r="10935">
          <cell r="G10935" t="str">
            <v xml:space="preserve">Xã Tân Sơn         </v>
          </cell>
          <cell r="I10935" t="str">
            <v>81713</v>
          </cell>
        </row>
        <row r="10936">
          <cell r="G10936" t="str">
            <v xml:space="preserve">Xã Tân Hiệp        </v>
          </cell>
          <cell r="I10936" t="str">
            <v>81713</v>
          </cell>
        </row>
        <row r="10937">
          <cell r="G10937" t="str">
            <v>Xã Ngãi Xuyên</v>
          </cell>
          <cell r="I10937" t="str">
            <v>81713</v>
          </cell>
        </row>
        <row r="10938">
          <cell r="G10938" t="str">
            <v>Xã Ngọc Biên</v>
          </cell>
          <cell r="I10938" t="str">
            <v>81713</v>
          </cell>
        </row>
        <row r="10939">
          <cell r="G10939" t="str">
            <v>Xã Lưu Nghiệp Anh</v>
          </cell>
          <cell r="I10939" t="str">
            <v>81713</v>
          </cell>
        </row>
        <row r="10940">
          <cell r="G10940" t="str">
            <v xml:space="preserve">Xã Kim Sơn        </v>
          </cell>
          <cell r="I10940" t="str">
            <v>81713</v>
          </cell>
        </row>
        <row r="10941">
          <cell r="G10941" t="str">
            <v>Xã Đôn Châu</v>
          </cell>
          <cell r="I10941" t="str">
            <v>81713</v>
          </cell>
        </row>
        <row r="10942">
          <cell r="G10942" t="str">
            <v>Xã Hàm Giang</v>
          </cell>
          <cell r="I10942" t="str">
            <v>81713</v>
          </cell>
        </row>
        <row r="10943">
          <cell r="G10943" t="str">
            <v xml:space="preserve">Xã Đại An    </v>
          </cell>
          <cell r="I10943" t="str">
            <v>81713</v>
          </cell>
        </row>
        <row r="10944">
          <cell r="G10944" t="str">
            <v xml:space="preserve">Xã Định An   </v>
          </cell>
          <cell r="I10944" t="str">
            <v>81713</v>
          </cell>
        </row>
        <row r="10945">
          <cell r="G10945" t="str">
            <v>Xã Hàm Tân</v>
          </cell>
          <cell r="I10945" t="str">
            <v>81713</v>
          </cell>
        </row>
        <row r="10946">
          <cell r="G10946" t="str">
            <v>Thị trấn Định An</v>
          </cell>
          <cell r="I10946" t="str">
            <v>81713</v>
          </cell>
        </row>
        <row r="10947">
          <cell r="G10947" t="str">
            <v>Xã Long Hữu</v>
          </cell>
          <cell r="I10947" t="str">
            <v>81715</v>
          </cell>
        </row>
        <row r="10948">
          <cell r="G10948" t="str">
            <v xml:space="preserve">Xã Hiệp Thạnh   </v>
          </cell>
          <cell r="I10948" t="str">
            <v>81715</v>
          </cell>
        </row>
        <row r="10949">
          <cell r="G10949" t="str">
            <v>Xã Long Toàn</v>
          </cell>
          <cell r="I10949" t="str">
            <v>81715</v>
          </cell>
        </row>
        <row r="10950">
          <cell r="G10950" t="str">
            <v xml:space="preserve">Xã Đông Hải   </v>
          </cell>
          <cell r="I10950" t="str">
            <v>81715</v>
          </cell>
        </row>
        <row r="10951">
          <cell r="G10951" t="str">
            <v>Thị trấn Duyên Hải</v>
          </cell>
          <cell r="I10951" t="str">
            <v>81715</v>
          </cell>
        </row>
        <row r="10952">
          <cell r="G10952" t="str">
            <v>Xã Ngũ Lạc</v>
          </cell>
          <cell r="I10952" t="str">
            <v>81715</v>
          </cell>
        </row>
        <row r="10953">
          <cell r="G10953" t="str">
            <v>Xã Trường Long Hòa</v>
          </cell>
          <cell r="I10953" t="str">
            <v>81715</v>
          </cell>
        </row>
        <row r="10954">
          <cell r="G10954" t="str">
            <v xml:space="preserve">Xã Long Khánh   </v>
          </cell>
          <cell r="I10954" t="str">
            <v>81715</v>
          </cell>
        </row>
        <row r="10955">
          <cell r="G10955" t="str">
            <v>Xã Dân Thành</v>
          </cell>
          <cell r="I10955" t="str">
            <v>81715</v>
          </cell>
        </row>
        <row r="10956">
          <cell r="G10956" t="str">
            <v xml:space="preserve">Xã Long Vĩnh  </v>
          </cell>
          <cell r="I10956" t="str">
            <v>81715</v>
          </cell>
        </row>
        <row r="10957">
          <cell r="G10957" t="str">
            <v xml:space="preserve">Thị Trấn Long Thành </v>
          </cell>
          <cell r="I10957" t="str">
            <v>81715</v>
          </cell>
        </row>
        <row r="10958">
          <cell r="G10958" t="str">
            <v xml:space="preserve">Phường 2                     </v>
          </cell>
          <cell r="I10958" t="str">
            <v>81901</v>
          </cell>
        </row>
        <row r="10959">
          <cell r="G10959" t="str">
            <v xml:space="preserve">Phường 7            </v>
          </cell>
          <cell r="I10959" t="str">
            <v>81901</v>
          </cell>
        </row>
        <row r="10960">
          <cell r="G10960" t="str">
            <v xml:space="preserve">Phường 1                      </v>
          </cell>
          <cell r="I10960" t="str">
            <v>81901</v>
          </cell>
        </row>
        <row r="10961">
          <cell r="G10961" t="str">
            <v xml:space="preserve">Phường 9          </v>
          </cell>
          <cell r="I10961" t="str">
            <v>81901</v>
          </cell>
        </row>
        <row r="10962">
          <cell r="G10962" t="str">
            <v xml:space="preserve">Phường 5                </v>
          </cell>
          <cell r="I10962" t="str">
            <v>81901</v>
          </cell>
        </row>
        <row r="10963">
          <cell r="G10963" t="str">
            <v xml:space="preserve">Phường 8           </v>
          </cell>
          <cell r="I10963" t="str">
            <v>81901</v>
          </cell>
        </row>
        <row r="10964">
          <cell r="G10964" t="str">
            <v xml:space="preserve">Phường 6             </v>
          </cell>
          <cell r="I10964" t="str">
            <v>81901</v>
          </cell>
        </row>
        <row r="10965">
          <cell r="G10965" t="str">
            <v xml:space="preserve">Phường 4                  </v>
          </cell>
          <cell r="I10965" t="str">
            <v>81901</v>
          </cell>
        </row>
        <row r="10966">
          <cell r="G10966" t="str">
            <v xml:space="preserve">Phường 3                     </v>
          </cell>
          <cell r="I10966" t="str">
            <v>81901</v>
          </cell>
        </row>
        <row r="10967">
          <cell r="G10967" t="str">
            <v xml:space="preserve">Phường 10             </v>
          </cell>
          <cell r="I10967" t="str">
            <v>81901</v>
          </cell>
        </row>
        <row r="10968">
          <cell r="G10968" t="str">
            <v>Xã Trinh Phú</v>
          </cell>
          <cell r="I10968" t="str">
            <v>81903</v>
          </cell>
        </row>
        <row r="10969">
          <cell r="G10969" t="str">
            <v xml:space="preserve">Xã Xuân Hòa          </v>
          </cell>
          <cell r="I10969" t="str">
            <v>81903</v>
          </cell>
        </row>
        <row r="10970">
          <cell r="G10970" t="str">
            <v>Xã Ba Trinh</v>
          </cell>
          <cell r="I10970" t="str">
            <v>81903</v>
          </cell>
        </row>
        <row r="10971">
          <cell r="G10971" t="str">
            <v>Xã Kế An</v>
          </cell>
          <cell r="I10971" t="str">
            <v>81903</v>
          </cell>
        </row>
        <row r="10972">
          <cell r="G10972" t="str">
            <v>Thị trấn Kế Sách</v>
          </cell>
          <cell r="I10972" t="str">
            <v>81903</v>
          </cell>
        </row>
        <row r="10973">
          <cell r="G10973" t="str">
            <v>Thị Trấn An Lạc Thôn</v>
          </cell>
          <cell r="I10973" t="str">
            <v>81903</v>
          </cell>
        </row>
        <row r="10974">
          <cell r="G10974" t="str">
            <v xml:space="preserve">Xã Phong Nẫm  </v>
          </cell>
          <cell r="I10974" t="str">
            <v>81903</v>
          </cell>
        </row>
        <row r="10975">
          <cell r="G10975" t="str">
            <v>Xã An Lạc Tây</v>
          </cell>
          <cell r="I10975" t="str">
            <v>81903</v>
          </cell>
        </row>
        <row r="10976">
          <cell r="G10976" t="str">
            <v>Xã Thới An Hội</v>
          </cell>
          <cell r="I10976" t="str">
            <v>81903</v>
          </cell>
        </row>
        <row r="10977">
          <cell r="G10977" t="str">
            <v xml:space="preserve">Xã Nhơn Mỹ  </v>
          </cell>
          <cell r="I10977" t="str">
            <v>81903</v>
          </cell>
        </row>
        <row r="10978">
          <cell r="G10978" t="str">
            <v>Xã Kế Thành</v>
          </cell>
          <cell r="I10978" t="str">
            <v>81903</v>
          </cell>
        </row>
        <row r="10979">
          <cell r="G10979" t="str">
            <v>Xã Đại Hải</v>
          </cell>
          <cell r="I10979" t="str">
            <v>81903</v>
          </cell>
        </row>
        <row r="10980">
          <cell r="G10980" t="str">
            <v xml:space="preserve">Xã An Mỹ    </v>
          </cell>
          <cell r="I10980" t="str">
            <v>81903</v>
          </cell>
        </row>
        <row r="10981">
          <cell r="G10981" t="str">
            <v xml:space="preserve">Xã Tân Hưng              </v>
          </cell>
          <cell r="I10981" t="str">
            <v>81905</v>
          </cell>
        </row>
        <row r="10982">
          <cell r="G10982" t="str">
            <v>Thị Trấn Đại Ngãi</v>
          </cell>
          <cell r="I10982" t="str">
            <v>81905</v>
          </cell>
        </row>
        <row r="10983">
          <cell r="G10983" t="str">
            <v>Xã Trường Khánh</v>
          </cell>
          <cell r="I10983" t="str">
            <v>81905</v>
          </cell>
        </row>
        <row r="10984">
          <cell r="G10984" t="str">
            <v xml:space="preserve">Xã Long Phú  </v>
          </cell>
          <cell r="I10984" t="str">
            <v>81905</v>
          </cell>
        </row>
        <row r="10985">
          <cell r="G10985" t="str">
            <v>Thị trấn Long Phú</v>
          </cell>
          <cell r="I10985" t="str">
            <v>81905</v>
          </cell>
        </row>
        <row r="10986">
          <cell r="G10986" t="str">
            <v>Xã Song Phụng</v>
          </cell>
          <cell r="I10986" t="str">
            <v>81905</v>
          </cell>
        </row>
        <row r="10987">
          <cell r="G10987" t="str">
            <v>Xã Hậu Thạnh</v>
          </cell>
          <cell r="I10987" t="str">
            <v>81905</v>
          </cell>
        </row>
        <row r="10988">
          <cell r="G10988" t="str">
            <v xml:space="preserve">Xã Long Đức  </v>
          </cell>
          <cell r="I10988" t="str">
            <v>81905</v>
          </cell>
        </row>
        <row r="10989">
          <cell r="G10989" t="str">
            <v xml:space="preserve">Xã Phú Hữu   </v>
          </cell>
          <cell r="I10989" t="str">
            <v>81905</v>
          </cell>
        </row>
        <row r="10990">
          <cell r="G10990" t="str">
            <v>Xã Châu Khánh</v>
          </cell>
          <cell r="I10990" t="str">
            <v>81905</v>
          </cell>
        </row>
        <row r="10991">
          <cell r="G10991" t="str">
            <v xml:space="preserve">Xã Tân Thạnh     </v>
          </cell>
          <cell r="I10991" t="str">
            <v>81905</v>
          </cell>
        </row>
        <row r="10992">
          <cell r="G10992" t="str">
            <v>Thị trấn Cù Lao Dung</v>
          </cell>
          <cell r="I10992" t="str">
            <v>81906</v>
          </cell>
        </row>
        <row r="10993">
          <cell r="G10993" t="str">
            <v>Xã An Thạnh 1</v>
          </cell>
          <cell r="I10993" t="str">
            <v>81906</v>
          </cell>
        </row>
        <row r="10994">
          <cell r="G10994" t="str">
            <v>Xã An Thạnh 2</v>
          </cell>
          <cell r="I10994" t="str">
            <v>81906</v>
          </cell>
        </row>
        <row r="10995">
          <cell r="G10995" t="str">
            <v>Xã An Thạnh Tây</v>
          </cell>
          <cell r="I10995" t="str">
            <v>81906</v>
          </cell>
        </row>
        <row r="10996">
          <cell r="G10996" t="str">
            <v>Xã An Thạnh Đông</v>
          </cell>
          <cell r="I10996" t="str">
            <v>81906</v>
          </cell>
        </row>
        <row r="10997">
          <cell r="G10997" t="str">
            <v>Xã Đại ân 1</v>
          </cell>
          <cell r="I10997" t="str">
            <v>81906</v>
          </cell>
        </row>
        <row r="10998">
          <cell r="G10998" t="str">
            <v>Xã An Thạnh 3</v>
          </cell>
          <cell r="I10998" t="str">
            <v>81906</v>
          </cell>
        </row>
        <row r="10999">
          <cell r="G10999" t="str">
            <v>Xã An Thạnh Nam</v>
          </cell>
          <cell r="I10999" t="str">
            <v>81906</v>
          </cell>
        </row>
        <row r="11000">
          <cell r="G11000" t="str">
            <v xml:space="preserve">Xã Long Hưng     </v>
          </cell>
          <cell r="I11000" t="str">
            <v>81907</v>
          </cell>
        </row>
        <row r="11001">
          <cell r="G11001" t="str">
            <v>TT.Huỳnh Hữu Nghĩa</v>
          </cell>
          <cell r="I11001" t="str">
            <v>81907</v>
          </cell>
        </row>
        <row r="11002">
          <cell r="G11002" t="str">
            <v xml:space="preserve">Xã Thuận Hưng </v>
          </cell>
          <cell r="I11002" t="str">
            <v>81907</v>
          </cell>
        </row>
        <row r="11003">
          <cell r="G11003" t="str">
            <v xml:space="preserve">Xã Hưng Phú </v>
          </cell>
          <cell r="I11003" t="str">
            <v>81907</v>
          </cell>
        </row>
        <row r="11004">
          <cell r="G11004" t="str">
            <v xml:space="preserve">Xã Mỹ Hương </v>
          </cell>
          <cell r="I11004" t="str">
            <v>81907</v>
          </cell>
        </row>
        <row r="11005">
          <cell r="G11005" t="str">
            <v>Xã Mỹ Tú</v>
          </cell>
          <cell r="I11005" t="str">
            <v>81907</v>
          </cell>
        </row>
        <row r="11006">
          <cell r="G11006" t="str">
            <v xml:space="preserve">Xã Mỹ Phước   </v>
          </cell>
          <cell r="I11006" t="str">
            <v>81907</v>
          </cell>
        </row>
        <row r="11007">
          <cell r="G11007" t="str">
            <v xml:space="preserve">Xã Mỹ Thuận    </v>
          </cell>
          <cell r="I11007" t="str">
            <v>81907</v>
          </cell>
        </row>
        <row r="11008">
          <cell r="G11008" t="str">
            <v xml:space="preserve">Xã Phú Mỹ       </v>
          </cell>
          <cell r="I11008" t="str">
            <v>81907</v>
          </cell>
        </row>
        <row r="11009">
          <cell r="G11009" t="str">
            <v>Xã Tham Đôn</v>
          </cell>
          <cell r="I11009" t="str">
            <v>81909</v>
          </cell>
        </row>
        <row r="11010">
          <cell r="G11010" t="str">
            <v>Xã Gia Hòa 1</v>
          </cell>
          <cell r="I11010" t="str">
            <v>81909</v>
          </cell>
        </row>
        <row r="11011">
          <cell r="G11011" t="str">
            <v>Xã Đại Tâm</v>
          </cell>
          <cell r="I11011" t="str">
            <v>81909</v>
          </cell>
        </row>
        <row r="11012">
          <cell r="G11012" t="str">
            <v>Xã Gia Hòa 2</v>
          </cell>
          <cell r="I11012" t="str">
            <v>81909</v>
          </cell>
        </row>
        <row r="11013">
          <cell r="G11013" t="str">
            <v xml:space="preserve">Xã Thạnh Phú     </v>
          </cell>
          <cell r="I11013" t="str">
            <v>81909</v>
          </cell>
        </row>
        <row r="11014">
          <cell r="G11014" t="str">
            <v>Xã Ngọc Đông</v>
          </cell>
          <cell r="I11014" t="str">
            <v>81909</v>
          </cell>
        </row>
        <row r="11015">
          <cell r="G11015" t="str">
            <v xml:space="preserve">Xã Thạnh Quới </v>
          </cell>
          <cell r="I11015" t="str">
            <v>81909</v>
          </cell>
        </row>
        <row r="11016">
          <cell r="G11016" t="str">
            <v>Xã Hòa Tú 1</v>
          </cell>
          <cell r="I11016" t="str">
            <v>81909</v>
          </cell>
        </row>
        <row r="11017">
          <cell r="G11017" t="str">
            <v>Xã Ngọc Tố</v>
          </cell>
          <cell r="I11017" t="str">
            <v>81909</v>
          </cell>
        </row>
        <row r="11018">
          <cell r="G11018" t="str">
            <v>Xã Hòa Tú II</v>
          </cell>
          <cell r="I11018" t="str">
            <v>81909</v>
          </cell>
        </row>
        <row r="11019">
          <cell r="G11019" t="str">
            <v>Thị trấn Mỹ Xuyên</v>
          </cell>
          <cell r="I11019" t="str">
            <v>81909</v>
          </cell>
        </row>
        <row r="11020">
          <cell r="G11020" t="str">
            <v xml:space="preserve">Thị trấn Phú Lộc </v>
          </cell>
          <cell r="I11020" t="str">
            <v>81911</v>
          </cell>
        </row>
        <row r="11021">
          <cell r="G11021" t="str">
            <v xml:space="preserve">Xã Thạnh Trị    </v>
          </cell>
          <cell r="I11021" t="str">
            <v>81911</v>
          </cell>
        </row>
        <row r="11022">
          <cell r="G11022" t="str">
            <v xml:space="preserve">Xã Thạnh Tân  </v>
          </cell>
          <cell r="I11022" t="str">
            <v>81911</v>
          </cell>
        </row>
        <row r="11023">
          <cell r="G11023" t="str">
            <v>Xã Lâm Tân</v>
          </cell>
          <cell r="I11023" t="str">
            <v>81911</v>
          </cell>
        </row>
        <row r="11024">
          <cell r="G11024" t="str">
            <v>Xã Lâm Kiết</v>
          </cell>
          <cell r="I11024" t="str">
            <v>81911</v>
          </cell>
        </row>
        <row r="11025">
          <cell r="G11025" t="str">
            <v>Xã Tuân Tức</v>
          </cell>
          <cell r="I11025" t="str">
            <v>81911</v>
          </cell>
        </row>
        <row r="11026">
          <cell r="G11026" t="str">
            <v xml:space="preserve">Xã Vĩnh Thành     </v>
          </cell>
          <cell r="I11026" t="str">
            <v>81911</v>
          </cell>
        </row>
        <row r="11027">
          <cell r="G11027" t="str">
            <v xml:space="preserve">Xã Vĩnh Lợi   </v>
          </cell>
          <cell r="I11027" t="str">
            <v>81911</v>
          </cell>
        </row>
        <row r="11028">
          <cell r="G11028" t="str">
            <v xml:space="preserve">Xã Châu Hưng </v>
          </cell>
          <cell r="I11028" t="str">
            <v>81911</v>
          </cell>
        </row>
        <row r="11029">
          <cell r="G11029" t="str">
            <v>Thị Trấn Hưng Lợi</v>
          </cell>
          <cell r="I11029" t="str">
            <v>81911</v>
          </cell>
        </row>
        <row r="11030">
          <cell r="G11030" t="str">
            <v>Xã Vĩnh Quới</v>
          </cell>
          <cell r="I11030" t="str">
            <v>81912</v>
          </cell>
        </row>
        <row r="11031">
          <cell r="G11031" t="str">
            <v xml:space="preserve">Xã Mỹ Bình  </v>
          </cell>
          <cell r="I11031" t="str">
            <v>81912</v>
          </cell>
        </row>
        <row r="11032">
          <cell r="G11032" t="str">
            <v xml:space="preserve">Xã Tân Long        </v>
          </cell>
          <cell r="I11032" t="str">
            <v>81912</v>
          </cell>
        </row>
        <row r="11033">
          <cell r="G11033" t="str">
            <v xml:space="preserve">Xã Long Bình   </v>
          </cell>
          <cell r="I11033" t="str">
            <v>81912</v>
          </cell>
        </row>
        <row r="11034">
          <cell r="G11034" t="str">
            <v>Xã Mỹ Quới</v>
          </cell>
          <cell r="I11034" t="str">
            <v>81912</v>
          </cell>
        </row>
        <row r="11035">
          <cell r="G11035" t="str">
            <v xml:space="preserve">Phường 1                       </v>
          </cell>
          <cell r="I11035" t="str">
            <v>81912</v>
          </cell>
        </row>
        <row r="11036">
          <cell r="G11036" t="str">
            <v xml:space="preserve">Phường 2                      </v>
          </cell>
          <cell r="I11036" t="str">
            <v>81912</v>
          </cell>
        </row>
        <row r="11037">
          <cell r="G11037" t="str">
            <v xml:space="preserve">Phường 3                      </v>
          </cell>
          <cell r="I11037" t="str">
            <v>81912</v>
          </cell>
        </row>
        <row r="11038">
          <cell r="G11038" t="str">
            <v>Xã Lạc Hòa</v>
          </cell>
          <cell r="I11038" t="str">
            <v>81913</v>
          </cell>
        </row>
        <row r="11039">
          <cell r="G11039" t="str">
            <v xml:space="preserve">Xã Hòa Đông </v>
          </cell>
          <cell r="I11039" t="str">
            <v>81913</v>
          </cell>
        </row>
        <row r="11040">
          <cell r="G11040" t="str">
            <v xml:space="preserve">Xã Vĩnh Hải </v>
          </cell>
          <cell r="I11040" t="str">
            <v>81913</v>
          </cell>
        </row>
        <row r="11041">
          <cell r="G11041" t="str">
            <v xml:space="preserve">Xã Vĩnh Tân     </v>
          </cell>
          <cell r="I11041" t="str">
            <v>81913</v>
          </cell>
        </row>
        <row r="11042">
          <cell r="G11042" t="str">
            <v>Phường Khánh Hòa</v>
          </cell>
          <cell r="I11042" t="str">
            <v>81913</v>
          </cell>
        </row>
        <row r="11043">
          <cell r="G11043" t="str">
            <v xml:space="preserve">Xã Vĩnh Hiệp  </v>
          </cell>
          <cell r="I11043" t="str">
            <v>81913</v>
          </cell>
        </row>
        <row r="11044">
          <cell r="G11044" t="str">
            <v xml:space="preserve">Phường Vĩnh Phước </v>
          </cell>
          <cell r="I11044" t="str">
            <v>81913</v>
          </cell>
        </row>
        <row r="11045">
          <cell r="G11045" t="str">
            <v>Xã Lai Hòa</v>
          </cell>
          <cell r="I11045" t="str">
            <v>81913</v>
          </cell>
        </row>
        <row r="11046">
          <cell r="G11046" t="str">
            <v xml:space="preserve">Phường 1                        </v>
          </cell>
          <cell r="I11046" t="str">
            <v>81913</v>
          </cell>
        </row>
        <row r="11047">
          <cell r="G11047" t="str">
            <v xml:space="preserve">Phường 2                       </v>
          </cell>
          <cell r="I11047" t="str">
            <v>81913</v>
          </cell>
        </row>
        <row r="11048">
          <cell r="G11048" t="str">
            <v xml:space="preserve">Thị trấn Châu Thành   </v>
          </cell>
          <cell r="I11048" t="str">
            <v>81915</v>
          </cell>
        </row>
        <row r="11049">
          <cell r="G11049" t="str">
            <v>Xã Hồ Đắc Kiện</v>
          </cell>
          <cell r="I11049" t="str">
            <v>81915</v>
          </cell>
        </row>
        <row r="11050">
          <cell r="G11050" t="str">
            <v xml:space="preserve">Xã An Ninh    </v>
          </cell>
          <cell r="I11050" t="str">
            <v>81915</v>
          </cell>
        </row>
        <row r="11051">
          <cell r="G11051" t="str">
            <v xml:space="preserve">Xã An Hiệp     </v>
          </cell>
          <cell r="I11051" t="str">
            <v>81915</v>
          </cell>
        </row>
        <row r="11052">
          <cell r="G11052" t="str">
            <v xml:space="preserve">Xã Phú Tân   </v>
          </cell>
          <cell r="I11052" t="str">
            <v>81915</v>
          </cell>
        </row>
        <row r="11053">
          <cell r="G11053" t="str">
            <v>Xã Phú Tâm</v>
          </cell>
          <cell r="I11053" t="str">
            <v>81915</v>
          </cell>
        </row>
        <row r="11054">
          <cell r="G11054" t="str">
            <v xml:space="preserve">Xã Thiện Mỹ </v>
          </cell>
          <cell r="I11054" t="str">
            <v>81915</v>
          </cell>
        </row>
        <row r="11055">
          <cell r="G11055" t="str">
            <v xml:space="preserve">Xã Thuận Hòa     </v>
          </cell>
          <cell r="I11055" t="str">
            <v>81915</v>
          </cell>
        </row>
        <row r="11056">
          <cell r="G11056" t="str">
            <v>Xã Lịch Hội Thượng</v>
          </cell>
          <cell r="I11056" t="str">
            <v>81917</v>
          </cell>
        </row>
        <row r="11057">
          <cell r="G11057" t="str">
            <v>Xã Trung Bình</v>
          </cell>
          <cell r="I11057" t="str">
            <v>81917</v>
          </cell>
        </row>
        <row r="11058">
          <cell r="G11058" t="str">
            <v>Xã đại ân 2</v>
          </cell>
          <cell r="I11058" t="str">
            <v>81917</v>
          </cell>
        </row>
        <row r="11059">
          <cell r="G11059" t="str">
            <v>Xã Liêu Tú</v>
          </cell>
          <cell r="I11059" t="str">
            <v>81917</v>
          </cell>
        </row>
        <row r="11060">
          <cell r="G11060" t="str">
            <v>Xã Thạnh Thới An</v>
          </cell>
          <cell r="I11060" t="str">
            <v>81917</v>
          </cell>
        </row>
        <row r="11061">
          <cell r="G11061" t="str">
            <v>Xã Thạnh Thới Thuận</v>
          </cell>
          <cell r="I11061" t="str">
            <v>81917</v>
          </cell>
        </row>
        <row r="11062">
          <cell r="G11062" t="str">
            <v>Xã Tài Văn</v>
          </cell>
          <cell r="I11062" t="str">
            <v>81917</v>
          </cell>
        </row>
        <row r="11063">
          <cell r="G11063" t="str">
            <v xml:space="preserve"> Xã Viên An</v>
          </cell>
          <cell r="I11063" t="str">
            <v>81917</v>
          </cell>
        </row>
        <row r="11064">
          <cell r="G11064" t="str">
            <v>Xã Viên Bình</v>
          </cell>
          <cell r="I11064" t="str">
            <v>81917</v>
          </cell>
        </row>
        <row r="11065">
          <cell r="G11065" t="str">
            <v>Thị Trấn Lịch Hội Thượng</v>
          </cell>
          <cell r="I11065" t="str">
            <v>81917</v>
          </cell>
        </row>
        <row r="11066">
          <cell r="G11066" t="str">
            <v>Thị Trấn Trần đề</v>
          </cell>
          <cell r="I11066" t="str">
            <v>81917</v>
          </cell>
        </row>
        <row r="11067">
          <cell r="G11067" t="str">
            <v xml:space="preserve">Phường 2                        </v>
          </cell>
          <cell r="I11067" t="str">
            <v>82101</v>
          </cell>
        </row>
        <row r="11068">
          <cell r="G11068" t="str">
            <v xml:space="preserve">Phường 1                         </v>
          </cell>
          <cell r="I11068" t="str">
            <v>82101</v>
          </cell>
        </row>
        <row r="11069">
          <cell r="G11069" t="str">
            <v xml:space="preserve">Xã Vĩnh Trạch </v>
          </cell>
          <cell r="I11069" t="str">
            <v>82101</v>
          </cell>
        </row>
        <row r="11070">
          <cell r="G11070" t="str">
            <v xml:space="preserve">Phường 3                       </v>
          </cell>
          <cell r="I11070" t="str">
            <v>82101</v>
          </cell>
        </row>
        <row r="11071">
          <cell r="G11071" t="str">
            <v xml:space="preserve">Phường 5                 </v>
          </cell>
          <cell r="I11071" t="str">
            <v>82101</v>
          </cell>
        </row>
        <row r="11072">
          <cell r="G11072" t="str">
            <v xml:space="preserve">Phường 7             </v>
          </cell>
          <cell r="I11072" t="str">
            <v>82101</v>
          </cell>
        </row>
        <row r="11073">
          <cell r="G11073" t="str">
            <v xml:space="preserve">Phường 8            </v>
          </cell>
          <cell r="I11073" t="str">
            <v>82101</v>
          </cell>
        </row>
        <row r="11074">
          <cell r="G11074" t="str">
            <v>Phường Nhà Mát</v>
          </cell>
          <cell r="I11074" t="str">
            <v>82101</v>
          </cell>
        </row>
        <row r="11075">
          <cell r="G11075" t="str">
            <v>Xã Vĩnh Trạch Đông</v>
          </cell>
          <cell r="I11075" t="str">
            <v>82101</v>
          </cell>
        </row>
        <row r="11076">
          <cell r="G11076" t="str">
            <v>Xã Hiệp Thành</v>
          </cell>
          <cell r="I11076" t="str">
            <v>82101</v>
          </cell>
        </row>
        <row r="11077">
          <cell r="G11077" t="str">
            <v>Xã Ninh Quới A</v>
          </cell>
          <cell r="I11077" t="str">
            <v>82103</v>
          </cell>
        </row>
        <row r="11078">
          <cell r="G11078" t="str">
            <v>Xã Ninh Quới</v>
          </cell>
          <cell r="I11078" t="str">
            <v>82103</v>
          </cell>
        </row>
        <row r="11079">
          <cell r="G11079" t="str">
            <v xml:space="preserve">Xã Vĩnh Lộc  </v>
          </cell>
          <cell r="I11079" t="str">
            <v>82103</v>
          </cell>
        </row>
        <row r="11080">
          <cell r="G11080" t="str">
            <v>Thị trấn Ngan Dừa</v>
          </cell>
          <cell r="I11080" t="str">
            <v>82103</v>
          </cell>
        </row>
        <row r="11081">
          <cell r="G11081" t="str">
            <v xml:space="preserve">Xã Ninh Hòa  </v>
          </cell>
          <cell r="I11081" t="str">
            <v>82103</v>
          </cell>
        </row>
        <row r="11082">
          <cell r="G11082" t="str">
            <v xml:space="preserve">Xã Lộc Ninh  </v>
          </cell>
          <cell r="I11082" t="str">
            <v>82103</v>
          </cell>
        </row>
        <row r="11083">
          <cell r="G11083" t="str">
            <v xml:space="preserve">Xã Vĩnh Lộc A </v>
          </cell>
          <cell r="I11083" t="str">
            <v>82103</v>
          </cell>
        </row>
        <row r="11084">
          <cell r="G11084" t="str">
            <v>Xã Ninh Thạnh Lợi</v>
          </cell>
          <cell r="I11084" t="str">
            <v>82103</v>
          </cell>
        </row>
        <row r="11085">
          <cell r="G11085" t="str">
            <v>Xã Ninh Thạnh Lợi A</v>
          </cell>
          <cell r="I11085" t="str">
            <v>82103</v>
          </cell>
        </row>
        <row r="11086">
          <cell r="G11086" t="str">
            <v>Xã Châu Hưng A</v>
          </cell>
          <cell r="I11086" t="str">
            <v>82105</v>
          </cell>
        </row>
        <row r="11087">
          <cell r="G11087" t="str">
            <v xml:space="preserve">Xã Long Thạnh   </v>
          </cell>
          <cell r="I11087" t="str">
            <v>82105</v>
          </cell>
        </row>
        <row r="11088">
          <cell r="G11088" t="str">
            <v xml:space="preserve">Xã Vĩnh Hưng </v>
          </cell>
          <cell r="I11088" t="str">
            <v>82105</v>
          </cell>
        </row>
        <row r="11089">
          <cell r="G11089" t="str">
            <v>Xã Vĩnh Hưng A</v>
          </cell>
          <cell r="I11089" t="str">
            <v>82105</v>
          </cell>
        </row>
        <row r="11090">
          <cell r="G11090" t="str">
            <v>Thị trấn Châu Hưng</v>
          </cell>
          <cell r="I11090" t="str">
            <v>82105</v>
          </cell>
        </row>
        <row r="11091">
          <cell r="G11091" t="str">
            <v>Xã Hưng Thành</v>
          </cell>
          <cell r="I11091" t="str">
            <v>82105</v>
          </cell>
        </row>
        <row r="11092">
          <cell r="G11092" t="str">
            <v>Xã Hưng Hội</v>
          </cell>
          <cell r="I11092" t="str">
            <v>82105</v>
          </cell>
        </row>
        <row r="11093">
          <cell r="G11093" t="str">
            <v>Xã Châu Thới</v>
          </cell>
          <cell r="I11093" t="str">
            <v>82105</v>
          </cell>
        </row>
        <row r="11094">
          <cell r="G11094" t="str">
            <v xml:space="preserve">Thị trấn Hòa Bình </v>
          </cell>
          <cell r="I11094" t="str">
            <v>82106</v>
          </cell>
        </row>
        <row r="11095">
          <cell r="G11095" t="str">
            <v>Xã Minh Diệu</v>
          </cell>
          <cell r="I11095" t="str">
            <v>82106</v>
          </cell>
        </row>
        <row r="11096">
          <cell r="G11096" t="str">
            <v xml:space="preserve">Xã Vĩnh Bình    </v>
          </cell>
          <cell r="I11096" t="str">
            <v>82106</v>
          </cell>
        </row>
        <row r="11097">
          <cell r="G11097" t="str">
            <v>Xã Vĩnh Mỹ B</v>
          </cell>
          <cell r="I11097" t="str">
            <v>82106</v>
          </cell>
        </row>
        <row r="11098">
          <cell r="G11098" t="str">
            <v xml:space="preserve">Xã Vĩnh Hậu </v>
          </cell>
          <cell r="I11098" t="str">
            <v>82106</v>
          </cell>
        </row>
        <row r="11099">
          <cell r="G11099" t="str">
            <v>Xã Vĩnh Mỹ A</v>
          </cell>
          <cell r="I11099" t="str">
            <v>82106</v>
          </cell>
        </row>
        <row r="11100">
          <cell r="G11100" t="str">
            <v xml:space="preserve">Xã Vĩnh Thịnh   </v>
          </cell>
          <cell r="I11100" t="str">
            <v>82106</v>
          </cell>
        </row>
        <row r="11101">
          <cell r="G11101" t="str">
            <v>Xã Vĩnh Hậu A</v>
          </cell>
          <cell r="I11101" t="str">
            <v>82106</v>
          </cell>
        </row>
        <row r="11102">
          <cell r="G11102" t="str">
            <v xml:space="preserve">Xã Tân Phong         </v>
          </cell>
          <cell r="I11102" t="str">
            <v>82107</v>
          </cell>
        </row>
        <row r="11103">
          <cell r="G11103" t="str">
            <v>Phường Láng Tròn</v>
          </cell>
          <cell r="I11103" t="str">
            <v>82107</v>
          </cell>
        </row>
        <row r="11104">
          <cell r="G11104" t="str">
            <v>Xã Phong Thạnh Tây</v>
          </cell>
          <cell r="I11104" t="str">
            <v>82107</v>
          </cell>
        </row>
        <row r="11105">
          <cell r="G11105" t="str">
            <v xml:space="preserve">Phường 1                          </v>
          </cell>
          <cell r="I11105" t="str">
            <v>82107</v>
          </cell>
        </row>
        <row r="11106">
          <cell r="G11106" t="str">
            <v>Phường Hộ Phòng</v>
          </cell>
          <cell r="I11106" t="str">
            <v>82107</v>
          </cell>
        </row>
        <row r="11107">
          <cell r="G11107" t="str">
            <v>Xã Phong Thạnh Đông</v>
          </cell>
          <cell r="I11107" t="str">
            <v>82107</v>
          </cell>
        </row>
        <row r="11108">
          <cell r="G11108" t="str">
            <v>Xã Phong Tân</v>
          </cell>
          <cell r="I11108" t="str">
            <v>82107</v>
          </cell>
        </row>
        <row r="11109">
          <cell r="G11109" t="str">
            <v xml:space="preserve">Xã Phong Thạnh </v>
          </cell>
          <cell r="I11109" t="str">
            <v>82107</v>
          </cell>
        </row>
        <row r="11110">
          <cell r="G11110" t="str">
            <v>Xã Phong Thạnh A</v>
          </cell>
          <cell r="I11110" t="str">
            <v>82107</v>
          </cell>
        </row>
        <row r="11111">
          <cell r="G11111" t="str">
            <v xml:space="preserve">Xã Tân Thạnh      </v>
          </cell>
          <cell r="I11111" t="str">
            <v>82107</v>
          </cell>
        </row>
        <row r="11112">
          <cell r="G11112" t="str">
            <v>Xã Phong Thạnh Tây B</v>
          </cell>
          <cell r="I11112" t="str">
            <v>82109</v>
          </cell>
        </row>
        <row r="11113">
          <cell r="G11113" t="str">
            <v>Xã Vĩnh Phú Đông</v>
          </cell>
          <cell r="I11113" t="str">
            <v>82109</v>
          </cell>
        </row>
        <row r="11114">
          <cell r="G11114" t="str">
            <v>Xã Phong Thạnh Tây A</v>
          </cell>
          <cell r="I11114" t="str">
            <v>82109</v>
          </cell>
        </row>
        <row r="11115">
          <cell r="G11115" t="str">
            <v>Thị trấn Phước Long</v>
          </cell>
          <cell r="I11115" t="str">
            <v>82109</v>
          </cell>
        </row>
        <row r="11116">
          <cell r="G11116" t="str">
            <v>Xã Vĩnh Phú Tây</v>
          </cell>
          <cell r="I11116" t="str">
            <v>82109</v>
          </cell>
        </row>
        <row r="11117">
          <cell r="G11117" t="str">
            <v xml:space="preserve">Xã Phước Long </v>
          </cell>
          <cell r="I11117" t="str">
            <v>82109</v>
          </cell>
        </row>
        <row r="11118">
          <cell r="G11118" t="str">
            <v xml:space="preserve">Xã Hưng Phú  </v>
          </cell>
          <cell r="I11118" t="str">
            <v>82109</v>
          </cell>
        </row>
        <row r="11119">
          <cell r="G11119" t="str">
            <v xml:space="preserve">Xã Vĩnh Thanh </v>
          </cell>
          <cell r="I11119" t="str">
            <v>82109</v>
          </cell>
        </row>
        <row r="11120">
          <cell r="G11120" t="str">
            <v>Xã An Phúc</v>
          </cell>
          <cell r="I11120" t="str">
            <v>82111</v>
          </cell>
        </row>
        <row r="11121">
          <cell r="G11121" t="str">
            <v>Xã Long Điền</v>
          </cell>
          <cell r="I11121" t="str">
            <v>82111</v>
          </cell>
        </row>
        <row r="11122">
          <cell r="G11122" t="str">
            <v xml:space="preserve">Xã Định Thành   </v>
          </cell>
          <cell r="I11122" t="str">
            <v>82111</v>
          </cell>
        </row>
        <row r="11123">
          <cell r="G11123" t="str">
            <v>Thị trấn Gành Hào</v>
          </cell>
          <cell r="I11123" t="str">
            <v>82111</v>
          </cell>
        </row>
        <row r="11124">
          <cell r="G11124" t="str">
            <v>Xã Long Điền Đông</v>
          </cell>
          <cell r="I11124" t="str">
            <v>82111</v>
          </cell>
        </row>
        <row r="11125">
          <cell r="G11125" t="str">
            <v>Xã Long Điền Đông A</v>
          </cell>
          <cell r="I11125" t="str">
            <v>82111</v>
          </cell>
        </row>
        <row r="11126">
          <cell r="G11126" t="str">
            <v>Xã Long Điền Tây</v>
          </cell>
          <cell r="I11126" t="str">
            <v>82111</v>
          </cell>
        </row>
        <row r="11127">
          <cell r="G11127" t="str">
            <v>Xã An Trạch</v>
          </cell>
          <cell r="I11127" t="str">
            <v>82111</v>
          </cell>
        </row>
        <row r="11128">
          <cell r="G11128" t="str">
            <v>Xã Định Thành A</v>
          </cell>
          <cell r="I11128" t="str">
            <v>82111</v>
          </cell>
        </row>
        <row r="11129">
          <cell r="G11129" t="str">
            <v>Xã An Trạch A</v>
          </cell>
          <cell r="I11129" t="str">
            <v>82111</v>
          </cell>
        </row>
        <row r="11130">
          <cell r="G11130" t="str">
            <v xml:space="preserve">Xã Điền Hải </v>
          </cell>
          <cell r="I11130" t="str">
            <v>82111</v>
          </cell>
        </row>
        <row r="11131">
          <cell r="G11131" t="str">
            <v xml:space="preserve">Phường 5                  </v>
          </cell>
          <cell r="I11131" t="str">
            <v>82301</v>
          </cell>
        </row>
        <row r="11132">
          <cell r="G11132" t="str">
            <v>Xã Lý Văn Lâm</v>
          </cell>
          <cell r="I11132" t="str">
            <v>82301</v>
          </cell>
        </row>
        <row r="11133">
          <cell r="G11133" t="str">
            <v xml:space="preserve">Phường 9           </v>
          </cell>
          <cell r="I11133" t="str">
            <v>82301</v>
          </cell>
        </row>
        <row r="11134">
          <cell r="G11134" t="str">
            <v xml:space="preserve">Phường 4                   </v>
          </cell>
          <cell r="I11134" t="str">
            <v>82301</v>
          </cell>
        </row>
        <row r="11135">
          <cell r="G11135" t="str">
            <v xml:space="preserve">Phường 1                          </v>
          </cell>
          <cell r="I11135" t="str">
            <v>82301</v>
          </cell>
        </row>
        <row r="11136">
          <cell r="G11136" t="str">
            <v xml:space="preserve">Phường 2                         </v>
          </cell>
          <cell r="I11136" t="str">
            <v>82301</v>
          </cell>
        </row>
        <row r="11137">
          <cell r="G11137" t="str">
            <v xml:space="preserve">Phường 8             </v>
          </cell>
          <cell r="I11137" t="str">
            <v>82301</v>
          </cell>
        </row>
        <row r="11138">
          <cell r="G11138" t="str">
            <v xml:space="preserve">Phường 6              </v>
          </cell>
          <cell r="I11138" t="str">
            <v>82301</v>
          </cell>
        </row>
        <row r="11139">
          <cell r="G11139" t="str">
            <v xml:space="preserve">Phường 7              </v>
          </cell>
          <cell r="I11139" t="str">
            <v>82301</v>
          </cell>
        </row>
        <row r="11140">
          <cell r="G11140" t="str">
            <v>Xã An Xuyên</v>
          </cell>
          <cell r="I11140" t="str">
            <v>82301</v>
          </cell>
        </row>
        <row r="11141">
          <cell r="G11141" t="str">
            <v xml:space="preserve">Xã Tân Thành                           </v>
          </cell>
          <cell r="I11141" t="str">
            <v>82301</v>
          </cell>
        </row>
        <row r="11142">
          <cell r="G11142" t="str">
            <v>Xã Tắc Vân</v>
          </cell>
          <cell r="I11142" t="str">
            <v>82301</v>
          </cell>
        </row>
        <row r="11143">
          <cell r="G11143" t="str">
            <v xml:space="preserve">Xã Định Bình </v>
          </cell>
          <cell r="I11143" t="str">
            <v>82301</v>
          </cell>
        </row>
        <row r="11144">
          <cell r="G11144" t="str">
            <v xml:space="preserve">Xã Hòa Thành   </v>
          </cell>
          <cell r="I11144" t="str">
            <v>82301</v>
          </cell>
        </row>
        <row r="11145">
          <cell r="G11145" t="str">
            <v xml:space="preserve">Xã Hòa Tân   </v>
          </cell>
          <cell r="I11145" t="str">
            <v>82301</v>
          </cell>
        </row>
        <row r="11146">
          <cell r="G11146" t="str">
            <v>Phường Tân Xuyên</v>
          </cell>
          <cell r="I11146" t="str">
            <v>82301</v>
          </cell>
        </row>
        <row r="11147">
          <cell r="G11147" t="str">
            <v xml:space="preserve">Phường Tân Thành     </v>
          </cell>
          <cell r="I11147" t="str">
            <v>82301</v>
          </cell>
        </row>
        <row r="11148">
          <cell r="G11148" t="str">
            <v xml:space="preserve">Xã Tân Lộc  </v>
          </cell>
          <cell r="I11148" t="str">
            <v>82303</v>
          </cell>
        </row>
        <row r="11149">
          <cell r="G11149" t="str">
            <v>Thị trấn Thới Bình</v>
          </cell>
          <cell r="I11149" t="str">
            <v>82303</v>
          </cell>
        </row>
        <row r="11150">
          <cell r="G11150" t="str">
            <v>Xã Biển Bạch</v>
          </cell>
          <cell r="I11150" t="str">
            <v>82303</v>
          </cell>
        </row>
        <row r="11151">
          <cell r="G11151" t="str">
            <v>Xã Trí Phải</v>
          </cell>
          <cell r="I11151" t="str">
            <v>82303</v>
          </cell>
        </row>
        <row r="11152">
          <cell r="G11152" t="str">
            <v>Xã Biển Bạch Đông</v>
          </cell>
          <cell r="I11152" t="str">
            <v>82303</v>
          </cell>
        </row>
        <row r="11153">
          <cell r="G11153" t="str">
            <v>Xã Thới Bình</v>
          </cell>
          <cell r="I11153" t="str">
            <v>82303</v>
          </cell>
        </row>
        <row r="11154">
          <cell r="G11154" t="str">
            <v xml:space="preserve">Xã Tân Phú              </v>
          </cell>
          <cell r="I11154" t="str">
            <v>82303</v>
          </cell>
        </row>
        <row r="11155">
          <cell r="G11155" t="str">
            <v>Xã Tân Lộc Bắc</v>
          </cell>
          <cell r="I11155" t="str">
            <v>82303</v>
          </cell>
        </row>
        <row r="11156">
          <cell r="G11156" t="str">
            <v>Xã Tân Lộc Đông</v>
          </cell>
          <cell r="I11156" t="str">
            <v>82303</v>
          </cell>
        </row>
        <row r="11157">
          <cell r="G11157" t="str">
            <v>Xã Hồ Thị Kỷ</v>
          </cell>
          <cell r="I11157" t="str">
            <v>82303</v>
          </cell>
        </row>
        <row r="11158">
          <cell r="G11158" t="str">
            <v>Xã Trí Lực</v>
          </cell>
          <cell r="I11158" t="str">
            <v>82303</v>
          </cell>
        </row>
        <row r="11159">
          <cell r="G11159" t="str">
            <v>Xã Tân Bằng</v>
          </cell>
          <cell r="I11159" t="str">
            <v>82303</v>
          </cell>
        </row>
        <row r="11160">
          <cell r="G11160" t="str">
            <v xml:space="preserve">Xã Khánh An  </v>
          </cell>
          <cell r="I11160" t="str">
            <v>82305</v>
          </cell>
        </row>
        <row r="11161">
          <cell r="G11161" t="str">
            <v>Thị trấn U Minh</v>
          </cell>
          <cell r="I11161" t="str">
            <v>82305</v>
          </cell>
        </row>
        <row r="11162">
          <cell r="G11162" t="str">
            <v xml:space="preserve">Xã Khánh Hòa   </v>
          </cell>
          <cell r="I11162" t="str">
            <v>82305</v>
          </cell>
        </row>
        <row r="11163">
          <cell r="G11163" t="str">
            <v>Xã Khánh Tiến</v>
          </cell>
          <cell r="I11163" t="str">
            <v>82305</v>
          </cell>
        </row>
        <row r="11164">
          <cell r="G11164" t="str">
            <v>Xã Nguyễn Phích</v>
          </cell>
          <cell r="I11164" t="str">
            <v>82305</v>
          </cell>
        </row>
        <row r="11165">
          <cell r="G11165" t="str">
            <v>Xã Khánh Lâm</v>
          </cell>
          <cell r="I11165" t="str">
            <v>82305</v>
          </cell>
        </row>
        <row r="11166">
          <cell r="G11166" t="str">
            <v xml:space="preserve">Xã Khánh Hội </v>
          </cell>
          <cell r="I11166" t="str">
            <v>82305</v>
          </cell>
        </row>
        <row r="11167">
          <cell r="G11167" t="str">
            <v>Xã Khánh Thuận</v>
          </cell>
          <cell r="I11167" t="str">
            <v>82305</v>
          </cell>
        </row>
        <row r="11168">
          <cell r="G11168" t="str">
            <v xml:space="preserve">Xã Khánh Hưng </v>
          </cell>
          <cell r="I11168" t="str">
            <v>82307</v>
          </cell>
        </row>
        <row r="11169">
          <cell r="G11169" t="str">
            <v>Thị trấn Trần Văn Thời</v>
          </cell>
          <cell r="I11169" t="str">
            <v>82307</v>
          </cell>
        </row>
        <row r="11170">
          <cell r="G11170" t="str">
            <v>Thị trấn Sông Đốc</v>
          </cell>
          <cell r="I11170" t="str">
            <v>82307</v>
          </cell>
        </row>
        <row r="11171">
          <cell r="G11171" t="str">
            <v>Xã Khánh Bình Tây Bắc</v>
          </cell>
          <cell r="I11171" t="str">
            <v>82307</v>
          </cell>
        </row>
        <row r="11172">
          <cell r="G11172" t="str">
            <v>Xã Khánh Bình Tây</v>
          </cell>
          <cell r="I11172" t="str">
            <v>82307</v>
          </cell>
        </row>
        <row r="11173">
          <cell r="G11173" t="str">
            <v>Xã Trần Hợi</v>
          </cell>
          <cell r="I11173" t="str">
            <v>82307</v>
          </cell>
        </row>
        <row r="11174">
          <cell r="G11174" t="str">
            <v xml:space="preserve">Xã Khánh Bình  </v>
          </cell>
          <cell r="I11174" t="str">
            <v>82307</v>
          </cell>
        </row>
        <row r="11175">
          <cell r="G11175" t="str">
            <v>Xã Khánh Bình Đông</v>
          </cell>
          <cell r="I11175" t="str">
            <v>82307</v>
          </cell>
        </row>
        <row r="11176">
          <cell r="G11176" t="str">
            <v xml:space="preserve">Xã Khánh Hải </v>
          </cell>
          <cell r="I11176" t="str">
            <v>82307</v>
          </cell>
        </row>
        <row r="11177">
          <cell r="G11177" t="str">
            <v>Xã Lợi An</v>
          </cell>
          <cell r="I11177" t="str">
            <v>82307</v>
          </cell>
        </row>
        <row r="11178">
          <cell r="G11178" t="str">
            <v>Xã Phong Lạc</v>
          </cell>
          <cell r="I11178" t="str">
            <v>82307</v>
          </cell>
        </row>
        <row r="11179">
          <cell r="G11179" t="str">
            <v>Xã Phong Điền</v>
          </cell>
          <cell r="I11179" t="str">
            <v>82307</v>
          </cell>
        </row>
        <row r="11180">
          <cell r="G11180" t="str">
            <v xml:space="preserve">Xã Khánh Lộc </v>
          </cell>
          <cell r="I11180" t="str">
            <v>82307</v>
          </cell>
        </row>
        <row r="11181">
          <cell r="G11181" t="str">
            <v xml:space="preserve">Xã Phú Tân    </v>
          </cell>
          <cell r="I11181" t="str">
            <v>82308</v>
          </cell>
        </row>
        <row r="11182">
          <cell r="G11182" t="str">
            <v>Xã Việt Thắng</v>
          </cell>
          <cell r="I11182" t="str">
            <v>82308</v>
          </cell>
        </row>
        <row r="11183">
          <cell r="G11183" t="str">
            <v>Thị trấn Cái Đôi Vàm</v>
          </cell>
          <cell r="I11183" t="str">
            <v>82308</v>
          </cell>
        </row>
        <row r="11184">
          <cell r="G11184" t="str">
            <v xml:space="preserve">Xã Phú Mỹ        </v>
          </cell>
          <cell r="I11184" t="str">
            <v>82308</v>
          </cell>
        </row>
        <row r="11185">
          <cell r="G11185" t="str">
            <v xml:space="preserve">Xã Tân Hải   </v>
          </cell>
          <cell r="I11185" t="str">
            <v>82308</v>
          </cell>
        </row>
        <row r="11186">
          <cell r="G11186" t="str">
            <v>Xã Tân Hưng Tây</v>
          </cell>
          <cell r="I11186" t="str">
            <v>82308</v>
          </cell>
        </row>
        <row r="11187">
          <cell r="G11187" t="str">
            <v>Xã Nguyễn Việt Khái</v>
          </cell>
          <cell r="I11187" t="str">
            <v>82308</v>
          </cell>
        </row>
        <row r="11188">
          <cell r="G11188" t="str">
            <v>xã Rạch Chèo</v>
          </cell>
          <cell r="I11188" t="str">
            <v>82308</v>
          </cell>
        </row>
        <row r="11189">
          <cell r="G11189" t="str">
            <v xml:space="preserve">xã Phú Thuận   </v>
          </cell>
          <cell r="I11189" t="str">
            <v>82308</v>
          </cell>
        </row>
        <row r="11190">
          <cell r="G11190" t="str">
            <v>Xã Đông Thới</v>
          </cell>
          <cell r="I11190" t="str">
            <v>82309</v>
          </cell>
        </row>
        <row r="11191">
          <cell r="G11191" t="str">
            <v xml:space="preserve">Xã Tân Hưng               </v>
          </cell>
          <cell r="I11191" t="str">
            <v>82309</v>
          </cell>
        </row>
        <row r="11192">
          <cell r="G11192" t="str">
            <v>Xã Trần Thới</v>
          </cell>
          <cell r="I11192" t="str">
            <v>82309</v>
          </cell>
        </row>
        <row r="11193">
          <cell r="G11193" t="str">
            <v>Thị trấn Cái Nước</v>
          </cell>
          <cell r="I11193" t="str">
            <v>82309</v>
          </cell>
        </row>
        <row r="11194">
          <cell r="G11194" t="str">
            <v>Xã Lương Thế Trân</v>
          </cell>
          <cell r="I11194" t="str">
            <v>82309</v>
          </cell>
        </row>
        <row r="11195">
          <cell r="G11195" t="str">
            <v xml:space="preserve">Xã Phú Hưng  </v>
          </cell>
          <cell r="I11195" t="str">
            <v>82309</v>
          </cell>
        </row>
        <row r="11196">
          <cell r="G11196" t="str">
            <v xml:space="preserve">Xã Hưng Mỹ  </v>
          </cell>
          <cell r="I11196" t="str">
            <v>82309</v>
          </cell>
        </row>
        <row r="11197">
          <cell r="G11197" t="str">
            <v>Xã Tân Hưng Đông</v>
          </cell>
          <cell r="I11197" t="str">
            <v>82309</v>
          </cell>
        </row>
        <row r="11198">
          <cell r="G11198" t="str">
            <v xml:space="preserve">Xã Thạnh Phú      </v>
          </cell>
          <cell r="I11198" t="str">
            <v>82309</v>
          </cell>
        </row>
        <row r="11199">
          <cell r="G11199" t="str">
            <v xml:space="preserve">Xã Hòa Mỹ </v>
          </cell>
          <cell r="I11199" t="str">
            <v>82309</v>
          </cell>
        </row>
        <row r="11200">
          <cell r="G11200" t="str">
            <v xml:space="preserve">Xã Đông Hưng    </v>
          </cell>
          <cell r="I11200" t="str">
            <v>82309</v>
          </cell>
        </row>
        <row r="11201">
          <cell r="G11201" t="str">
            <v>Xã Quách Phẩm Bắc</v>
          </cell>
          <cell r="I11201" t="str">
            <v>82311</v>
          </cell>
        </row>
        <row r="11202">
          <cell r="G11202" t="str">
            <v>Xã Trần Phán</v>
          </cell>
          <cell r="I11202" t="str">
            <v>82311</v>
          </cell>
        </row>
        <row r="11203">
          <cell r="G11203" t="str">
            <v>Xã Tân Duyệt</v>
          </cell>
          <cell r="I11203" t="str">
            <v>82311</v>
          </cell>
        </row>
        <row r="11204">
          <cell r="G11204" t="str">
            <v xml:space="preserve">Xã Thanh Tùng  </v>
          </cell>
          <cell r="I11204" t="str">
            <v>82311</v>
          </cell>
        </row>
        <row r="11205">
          <cell r="G11205" t="str">
            <v>Thị trấn Đầm Dơi</v>
          </cell>
          <cell r="I11205" t="str">
            <v>82311</v>
          </cell>
        </row>
        <row r="11206">
          <cell r="G11206" t="str">
            <v>Xã Tạ An Khương</v>
          </cell>
          <cell r="I11206" t="str">
            <v>82311</v>
          </cell>
        </row>
        <row r="11207">
          <cell r="G11207" t="str">
            <v>Xã Tạ An Khương Đông</v>
          </cell>
          <cell r="I11207" t="str">
            <v>82311</v>
          </cell>
        </row>
        <row r="11208">
          <cell r="G11208" t="str">
            <v xml:space="preserve">Xã Tân Đức   </v>
          </cell>
          <cell r="I11208" t="str">
            <v>82311</v>
          </cell>
        </row>
        <row r="11209">
          <cell r="G11209" t="str">
            <v xml:space="preserve">Xã Tân Thuận  </v>
          </cell>
          <cell r="I11209" t="str">
            <v>82311</v>
          </cell>
        </row>
        <row r="11210">
          <cell r="G11210" t="str">
            <v>Xã Tạ An Khương Nam</v>
          </cell>
          <cell r="I11210" t="str">
            <v>82311</v>
          </cell>
        </row>
        <row r="11211">
          <cell r="G11211" t="str">
            <v xml:space="preserve">Xã Tân Tiến                 </v>
          </cell>
          <cell r="I11211" t="str">
            <v>82311</v>
          </cell>
        </row>
        <row r="11212">
          <cell r="G11212" t="str">
            <v>Xã Quách Phẩm</v>
          </cell>
          <cell r="I11212" t="str">
            <v>82311</v>
          </cell>
        </row>
        <row r="11213">
          <cell r="G11213" t="str">
            <v>Xã Nguyễn Huân</v>
          </cell>
          <cell r="I11213" t="str">
            <v>82311</v>
          </cell>
        </row>
        <row r="11214">
          <cell r="G11214" t="str">
            <v>Xã Ngọc Chánh</v>
          </cell>
          <cell r="I11214" t="str">
            <v>82311</v>
          </cell>
        </row>
        <row r="11215">
          <cell r="G11215" t="str">
            <v xml:space="preserve">Xã Tân Dân         </v>
          </cell>
          <cell r="I11215" t="str">
            <v>82311</v>
          </cell>
        </row>
        <row r="11216">
          <cell r="G11216" t="str">
            <v xml:space="preserve">Xã Tân Trung    </v>
          </cell>
          <cell r="I11216" t="str">
            <v>82311</v>
          </cell>
        </row>
        <row r="11217">
          <cell r="G11217" t="str">
            <v>Xã Hiệp Tùng</v>
          </cell>
          <cell r="I11217" t="str">
            <v>82312</v>
          </cell>
        </row>
        <row r="11218">
          <cell r="G11218" t="str">
            <v>Xã Tam Giang Đông</v>
          </cell>
          <cell r="I11218" t="str">
            <v>82312</v>
          </cell>
        </row>
        <row r="11219">
          <cell r="G11219" t="str">
            <v>Thị trấn Năm Căn</v>
          </cell>
          <cell r="I11219" t="str">
            <v>82312</v>
          </cell>
        </row>
        <row r="11220">
          <cell r="G11220" t="str">
            <v>Xã Hàm Rồng</v>
          </cell>
          <cell r="I11220" t="str">
            <v>82312</v>
          </cell>
        </row>
        <row r="11221">
          <cell r="G11221" t="str">
            <v>Xã Đất Mới</v>
          </cell>
          <cell r="I11221" t="str">
            <v>82312</v>
          </cell>
        </row>
        <row r="11222">
          <cell r="G11222" t="str">
            <v>Xã Hàng Vịnh</v>
          </cell>
          <cell r="I11222" t="str">
            <v>82312</v>
          </cell>
        </row>
        <row r="11223">
          <cell r="G11223" t="str">
            <v xml:space="preserve">Xã Tam Giang   </v>
          </cell>
          <cell r="I11223" t="str">
            <v>82312</v>
          </cell>
        </row>
        <row r="11224">
          <cell r="G11224" t="str">
            <v>Xã Lâm Hải</v>
          </cell>
          <cell r="I11224" t="str">
            <v>82312</v>
          </cell>
        </row>
        <row r="11225">
          <cell r="G11225" t="str">
            <v>Xã Tân ân Tây</v>
          </cell>
          <cell r="I11225" t="str">
            <v>82313</v>
          </cell>
        </row>
        <row r="11226">
          <cell r="G11226" t="str">
            <v>Xã Đất Mũi</v>
          </cell>
          <cell r="I11226" t="str">
            <v>82313</v>
          </cell>
        </row>
        <row r="11227">
          <cell r="G11227" t="str">
            <v>Xã Tam Giang Tây</v>
          </cell>
          <cell r="I11227" t="str">
            <v>82313</v>
          </cell>
        </row>
        <row r="11228">
          <cell r="G11228" t="str">
            <v>Xã Viên An Đông</v>
          </cell>
          <cell r="I11228" t="str">
            <v>82313</v>
          </cell>
        </row>
        <row r="11229">
          <cell r="G11229" t="str">
            <v xml:space="preserve">Xã Viên An </v>
          </cell>
          <cell r="I11229" t="str">
            <v>82313</v>
          </cell>
        </row>
        <row r="11230">
          <cell r="G11230" t="str">
            <v xml:space="preserve">Xã Tân ân </v>
          </cell>
          <cell r="I11230" t="str">
            <v>82313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 refreshError="1"/>
      <sheetData sheetId="1" refreshError="1"/>
      <sheetData sheetId="2" refreshError="1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Z3"/>
  <sheetViews>
    <sheetView zoomScale="130" zoomScaleNormal="130" zoomScaleSheetLayoutView="80" workbookViewId="0">
      <pane xSplit="4" ySplit="2" topLeftCell="AZ3" activePane="bottomRight" state="frozen"/>
      <selection pane="topRight" activeCell="E1" sqref="E1"/>
      <selection pane="bottomLeft" activeCell="A20" sqref="A20"/>
      <selection pane="bottomRight" activeCell="AN2" sqref="AN2"/>
    </sheetView>
  </sheetViews>
  <sheetFormatPr baseColWidth="10" defaultColWidth="9.33203125" defaultRowHeight="14" outlineLevelCol="1"/>
  <cols>
    <col min="1" max="1" width="5.6640625" style="202" customWidth="1"/>
    <col min="2" max="2" width="14.1640625" style="202" customWidth="1"/>
    <col min="3" max="3" width="12.5" style="202" customWidth="1" outlineLevel="1"/>
    <col min="4" max="4" width="19.5" style="203" customWidth="1"/>
    <col min="5" max="5" width="15.6640625" style="202" customWidth="1"/>
    <col min="6" max="6" width="26.1640625" style="202" hidden="1" customWidth="1" outlineLevel="1"/>
    <col min="7" max="7" width="17.5" style="202" customWidth="1" collapsed="1"/>
    <col min="8" max="8" width="13" style="202" customWidth="1"/>
    <col min="9" max="9" width="15.33203125" style="202" customWidth="1" outlineLevel="1"/>
    <col min="10" max="12" width="15.83203125" style="202" customWidth="1"/>
    <col min="13" max="14" width="9.5" style="202" customWidth="1"/>
    <col min="15" max="15" width="9.33203125" style="202" customWidth="1" outlineLevel="1"/>
    <col min="16" max="16" width="13.33203125" style="202" customWidth="1" outlineLevel="1"/>
    <col min="17" max="17" width="17.1640625" style="202" customWidth="1" outlineLevel="1"/>
    <col min="18" max="18" width="17.6640625" style="202" customWidth="1"/>
    <col min="19" max="19" width="12.83203125" style="202" customWidth="1" outlineLevel="1"/>
    <col min="20" max="20" width="14.5" style="202" customWidth="1" outlineLevel="1"/>
    <col min="21" max="21" width="16.5" style="202" customWidth="1"/>
    <col min="22" max="22" width="15" style="204" customWidth="1" outlineLevel="1"/>
    <col min="23" max="23" width="14.83203125" style="204" customWidth="1" outlineLevel="1"/>
    <col min="24" max="24" width="12.5" style="204" customWidth="1" outlineLevel="1"/>
    <col min="25" max="25" width="13.33203125" style="202" customWidth="1"/>
    <col min="26" max="26" width="13.5" style="202" customWidth="1" outlineLevel="1"/>
    <col min="27" max="27" width="12.6640625" style="202" customWidth="1"/>
    <col min="28" max="28" width="12.5" style="202" customWidth="1"/>
    <col min="29" max="29" width="12" style="202" customWidth="1" outlineLevel="1"/>
    <col min="30" max="30" width="12.33203125" style="202" customWidth="1"/>
    <col min="31" max="31" width="8.5" style="202" customWidth="1"/>
    <col min="32" max="33" width="13.5" style="202" customWidth="1"/>
    <col min="34" max="34" width="12.5" style="202" customWidth="1"/>
    <col min="35" max="35" width="11.83203125" style="202" customWidth="1"/>
    <col min="36" max="37" width="14.6640625" style="202" customWidth="1"/>
    <col min="38" max="38" width="13.5" style="202" customWidth="1"/>
    <col min="39" max="39" width="13" style="202" customWidth="1"/>
    <col min="40" max="40" width="15.1640625" style="202" customWidth="1"/>
    <col min="41" max="41" width="6" style="202" customWidth="1"/>
    <col min="42" max="42" width="14.5" style="202" customWidth="1"/>
    <col min="43" max="43" width="14.5" style="202" customWidth="1" outlineLevel="1"/>
    <col min="44" max="44" width="12.5" style="202" customWidth="1" outlineLevel="1"/>
    <col min="45" max="45" width="13.6640625" style="202" customWidth="1" outlineLevel="1"/>
    <col min="46" max="46" width="15.5" style="202" customWidth="1"/>
    <col min="47" max="49" width="13" style="202" customWidth="1"/>
    <col min="50" max="50" width="9.1640625" style="202" customWidth="1"/>
    <col min="51" max="51" width="11.5" style="202" customWidth="1"/>
    <col min="52" max="52" width="14" style="202" customWidth="1"/>
    <col min="53" max="53" width="12.5" style="202" customWidth="1" outlineLevel="1"/>
    <col min="54" max="54" width="12.33203125" style="202" customWidth="1" outlineLevel="1"/>
    <col min="55" max="55" width="12.5" style="202" customWidth="1" outlineLevel="1"/>
    <col min="56" max="56" width="15.33203125" style="202" customWidth="1" outlineLevel="1"/>
    <col min="57" max="57" width="15" style="202" customWidth="1"/>
    <col min="58" max="60" width="12.1640625" style="202" customWidth="1"/>
    <col min="61" max="61" width="11" style="202" customWidth="1"/>
    <col min="62" max="62" width="13" style="202" customWidth="1"/>
    <col min="63" max="63" width="14" style="202" customWidth="1"/>
    <col min="64" max="64" width="12.1640625" style="202" customWidth="1"/>
    <col min="65" max="65" width="18.6640625" style="202" customWidth="1"/>
    <col min="66" max="66" width="13.83203125" style="202" customWidth="1"/>
    <col min="67" max="67" width="14.5" style="202" hidden="1" customWidth="1" outlineLevel="1"/>
    <col min="68" max="68" width="14.33203125" style="202" hidden="1" customWidth="1" outlineLevel="1"/>
    <col min="69" max="69" width="15.6640625" style="202" hidden="1" customWidth="1" outlineLevel="1"/>
    <col min="70" max="75" width="13.6640625" style="202" hidden="1" customWidth="1" outlineLevel="1"/>
    <col min="76" max="76" width="15.5" style="202" hidden="1" customWidth="1" outlineLevel="1"/>
    <col min="77" max="77" width="9.33203125" style="202" customWidth="1" collapsed="1"/>
    <col min="78" max="78" width="9.33203125" style="202" customWidth="1"/>
    <col min="79" max="16384" width="9.33203125" style="202"/>
  </cols>
  <sheetData>
    <row r="1" spans="1:78" s="205" customFormat="1" ht="48" customHeight="1">
      <c r="A1" s="207"/>
      <c r="B1" s="207"/>
      <c r="C1" s="207"/>
      <c r="D1" s="208"/>
      <c r="E1" s="207"/>
      <c r="F1" s="207"/>
      <c r="G1" s="207"/>
      <c r="H1" s="207"/>
      <c r="I1" s="207"/>
      <c r="J1" s="206"/>
      <c r="K1" s="207"/>
      <c r="M1" s="207"/>
      <c r="N1" s="206"/>
      <c r="O1" s="206"/>
      <c r="P1" s="206"/>
      <c r="Q1" s="206"/>
      <c r="R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J1" s="207"/>
      <c r="AK1" s="209"/>
      <c r="AL1" s="209"/>
      <c r="AN1" s="209"/>
      <c r="AO1" s="209"/>
      <c r="AP1" s="220">
        <v>4400000</v>
      </c>
      <c r="AQ1" s="221">
        <v>0.08</v>
      </c>
      <c r="AR1" s="221">
        <v>1.4999999999999999E-2</v>
      </c>
      <c r="AS1" s="221">
        <v>0.01</v>
      </c>
      <c r="AT1" s="210"/>
      <c r="AU1" s="209"/>
      <c r="AV1" s="209"/>
      <c r="AW1" s="209"/>
      <c r="AX1" s="209"/>
      <c r="AY1" s="211"/>
      <c r="AZ1" s="209"/>
      <c r="BA1" s="221">
        <v>0.17</v>
      </c>
      <c r="BB1" s="221">
        <v>0.03</v>
      </c>
      <c r="BC1" s="221">
        <v>0.01</v>
      </c>
      <c r="BD1" s="221">
        <v>5.0000000000000001E-3</v>
      </c>
      <c r="BE1" s="210"/>
      <c r="BF1" s="322">
        <f>2340000*20</f>
        <v>46800000</v>
      </c>
      <c r="BG1" s="322">
        <f>4960000*20</f>
        <v>99200000</v>
      </c>
      <c r="BH1" s="209" t="s">
        <v>184</v>
      </c>
      <c r="BI1" s="209" t="s">
        <v>185</v>
      </c>
      <c r="BJ1" s="209"/>
      <c r="BK1" s="209"/>
      <c r="BM1" s="211"/>
      <c r="BN1" s="209"/>
      <c r="BO1" s="209"/>
      <c r="BP1" s="209"/>
      <c r="BQ1" s="209"/>
      <c r="BR1" s="209"/>
      <c r="BS1" s="209"/>
      <c r="BT1" s="209"/>
      <c r="BU1" s="209"/>
      <c r="BV1" s="209"/>
      <c r="BW1" s="209"/>
      <c r="BX1" s="209"/>
    </row>
    <row r="2" spans="1:78" s="192" customFormat="1" ht="75.75" customHeight="1">
      <c r="A2" s="185" t="s">
        <v>21</v>
      </c>
      <c r="B2" s="185" t="s">
        <v>25</v>
      </c>
      <c r="C2" s="185" t="s">
        <v>133</v>
      </c>
      <c r="D2" s="186" t="s">
        <v>26</v>
      </c>
      <c r="E2" s="185" t="s">
        <v>134</v>
      </c>
      <c r="F2" s="185" t="s">
        <v>11</v>
      </c>
      <c r="G2" s="185" t="s">
        <v>27</v>
      </c>
      <c r="H2" s="185" t="s">
        <v>13</v>
      </c>
      <c r="I2" s="185" t="s">
        <v>110</v>
      </c>
      <c r="J2" s="185" t="s">
        <v>118</v>
      </c>
      <c r="K2" s="185" t="s">
        <v>135</v>
      </c>
      <c r="L2" s="185" t="s">
        <v>119</v>
      </c>
      <c r="M2" s="185" t="s">
        <v>136</v>
      </c>
      <c r="N2" s="185" t="s">
        <v>122</v>
      </c>
      <c r="O2" s="185" t="s">
        <v>120</v>
      </c>
      <c r="P2" s="185" t="s">
        <v>123</v>
      </c>
      <c r="Q2" s="185" t="s">
        <v>167</v>
      </c>
      <c r="R2" s="185" t="s">
        <v>121</v>
      </c>
      <c r="S2" s="185" t="s">
        <v>124</v>
      </c>
      <c r="T2" s="185" t="s">
        <v>168</v>
      </c>
      <c r="U2" s="185" t="s">
        <v>125</v>
      </c>
      <c r="V2" s="185" t="s">
        <v>14</v>
      </c>
      <c r="W2" s="185" t="s">
        <v>15</v>
      </c>
      <c r="X2" s="185" t="s">
        <v>16</v>
      </c>
      <c r="Y2" s="185" t="s">
        <v>17</v>
      </c>
      <c r="Z2" s="185" t="s">
        <v>116</v>
      </c>
      <c r="AA2" s="185" t="s">
        <v>18</v>
      </c>
      <c r="AB2" s="185" t="s">
        <v>137</v>
      </c>
      <c r="AC2" s="185" t="s">
        <v>111</v>
      </c>
      <c r="AD2" s="185" t="s">
        <v>138</v>
      </c>
      <c r="AE2" s="185" t="s">
        <v>112</v>
      </c>
      <c r="AF2" s="185" t="s">
        <v>113</v>
      </c>
      <c r="AG2" s="185" t="s">
        <v>114</v>
      </c>
      <c r="AH2" s="185" t="s">
        <v>139</v>
      </c>
      <c r="AI2" s="185" t="s">
        <v>126</v>
      </c>
      <c r="AJ2" s="185" t="s">
        <v>127</v>
      </c>
      <c r="AK2" s="185" t="s">
        <v>103</v>
      </c>
      <c r="AL2" s="185" t="s">
        <v>128</v>
      </c>
      <c r="AM2" s="185" t="s">
        <v>140</v>
      </c>
      <c r="AN2" s="185" t="s">
        <v>54</v>
      </c>
      <c r="AO2" s="185" t="s">
        <v>1</v>
      </c>
      <c r="AP2" s="185" t="s">
        <v>130</v>
      </c>
      <c r="AQ2" s="187" t="s">
        <v>141</v>
      </c>
      <c r="AR2" s="187" t="s">
        <v>142</v>
      </c>
      <c r="AS2" s="187" t="s">
        <v>143</v>
      </c>
      <c r="AT2" s="187" t="s">
        <v>144</v>
      </c>
      <c r="AU2" s="185" t="s">
        <v>145</v>
      </c>
      <c r="AV2" s="185" t="s">
        <v>146</v>
      </c>
      <c r="AW2" s="185" t="s">
        <v>147</v>
      </c>
      <c r="AX2" s="185" t="s">
        <v>2</v>
      </c>
      <c r="AY2" s="185" t="s">
        <v>3</v>
      </c>
      <c r="AZ2" s="185" t="s">
        <v>148</v>
      </c>
      <c r="BA2" s="187" t="s">
        <v>149</v>
      </c>
      <c r="BB2" s="187" t="s">
        <v>150</v>
      </c>
      <c r="BC2" s="187" t="s">
        <v>143</v>
      </c>
      <c r="BD2" s="187" t="s">
        <v>151</v>
      </c>
      <c r="BE2" s="187" t="s">
        <v>152</v>
      </c>
      <c r="BF2" s="188" t="s">
        <v>153</v>
      </c>
      <c r="BG2" s="188" t="s">
        <v>154</v>
      </c>
      <c r="BH2" s="188" t="s">
        <v>104</v>
      </c>
      <c r="BI2" s="188" t="s">
        <v>105</v>
      </c>
      <c r="BJ2" s="185" t="s">
        <v>106</v>
      </c>
      <c r="BK2" s="185" t="s">
        <v>107</v>
      </c>
      <c r="BL2" s="185" t="s">
        <v>129</v>
      </c>
      <c r="BM2" s="185" t="s">
        <v>4</v>
      </c>
      <c r="BN2" s="185" t="s">
        <v>155</v>
      </c>
      <c r="BO2" s="185" t="s">
        <v>108</v>
      </c>
      <c r="BP2" s="185" t="s">
        <v>109</v>
      </c>
      <c r="BQ2" s="185" t="s">
        <v>5</v>
      </c>
      <c r="BR2" s="185" t="s">
        <v>6</v>
      </c>
      <c r="BS2" s="189" t="s">
        <v>169</v>
      </c>
      <c r="BT2" s="189" t="s">
        <v>170</v>
      </c>
      <c r="BU2" s="189" t="s">
        <v>171</v>
      </c>
      <c r="BV2" s="189" t="s">
        <v>172</v>
      </c>
      <c r="BW2" s="189" t="s">
        <v>183</v>
      </c>
      <c r="BX2" s="190" t="s">
        <v>7</v>
      </c>
      <c r="BY2" s="191"/>
      <c r="BZ2" s="191"/>
    </row>
    <row r="3" spans="1:78" s="219" customFormat="1" ht="22.5" customHeight="1">
      <c r="A3" s="212">
        <v>1</v>
      </c>
      <c r="B3" s="212" t="s">
        <v>176</v>
      </c>
      <c r="C3" s="212"/>
      <c r="D3" s="213" t="s">
        <v>186</v>
      </c>
      <c r="E3" s="214" t="s">
        <v>101</v>
      </c>
      <c r="F3" s="214" t="s">
        <v>163</v>
      </c>
      <c r="G3" s="193" t="s">
        <v>156</v>
      </c>
      <c r="H3" s="193" t="s">
        <v>19</v>
      </c>
      <c r="I3" s="193" t="s">
        <v>115</v>
      </c>
      <c r="J3" s="160">
        <v>47000000</v>
      </c>
      <c r="K3" s="194">
        <v>10870000</v>
      </c>
      <c r="L3" s="194">
        <f>J3-K3</f>
        <v>36130000</v>
      </c>
      <c r="M3" s="194">
        <v>26</v>
      </c>
      <c r="N3" s="215">
        <f>IFERROR(VLOOKUP(B3,' TimeTB 1'!$C$4:$AU$5,45,0),0)</f>
        <v>0</v>
      </c>
      <c r="O3" s="215">
        <f>VLOOKUP(B3,'TimeTB 2'!$C$4:$AU$5,45,0)</f>
        <v>26</v>
      </c>
      <c r="P3" s="195">
        <f>ROUND(K3/M3*N3,0)</f>
        <v>0</v>
      </c>
      <c r="Q3" s="195">
        <f>ROUND(K3/M3*O3,0)</f>
        <v>10870000</v>
      </c>
      <c r="R3" s="194">
        <f>SUM(P3:Q3)</f>
        <v>10870000</v>
      </c>
      <c r="S3" s="195">
        <f>ROUND(L3/26*N3,0)</f>
        <v>0</v>
      </c>
      <c r="T3" s="195">
        <f>ROUND(L3/26*O3,0)</f>
        <v>36130000</v>
      </c>
      <c r="U3" s="194">
        <f>SUM(S3:T3)</f>
        <v>36130000</v>
      </c>
      <c r="V3" s="194">
        <v>0</v>
      </c>
      <c r="W3" s="194">
        <v>0</v>
      </c>
      <c r="X3" s="194">
        <v>0</v>
      </c>
      <c r="Y3" s="194">
        <f>VLOOKUP(B3,'PC cơm '!$B$3:$L$4,11,0)</f>
        <v>1000000</v>
      </c>
      <c r="Z3" s="194">
        <f>SUM(V3:Y3)</f>
        <v>1000000</v>
      </c>
      <c r="AA3" s="194">
        <f>VLOOKUP(B3,'OT '!$B$3:$R$4,17,0)</f>
        <v>5920193</v>
      </c>
      <c r="AB3" s="194">
        <f>VLOOKUP(B3,NS!$B$3:$G$6,6,0)</f>
        <v>135577</v>
      </c>
      <c r="AC3" s="194">
        <v>0</v>
      </c>
      <c r="AD3" s="194">
        <v>0</v>
      </c>
      <c r="AE3" s="215">
        <v>0</v>
      </c>
      <c r="AF3" s="196">
        <f>ROUND(J3/26*AE3,0)</f>
        <v>0</v>
      </c>
      <c r="AG3" s="196">
        <f>IFERROR(VLOOKUP(B3,Incentive!$B$4:$H$6,7,0),0)</f>
        <v>0</v>
      </c>
      <c r="AH3" s="196">
        <f>SUMIF(Others!$B$3:$B$10,$B3,Others!$F$3:$F$10)</f>
        <v>0</v>
      </c>
      <c r="AI3" s="196">
        <v>0</v>
      </c>
      <c r="AJ3" s="194">
        <f>AI3+AH3+AG3+AF3+AD3+AC3+AB3+AA3+Z3+U3+R3+BN3</f>
        <v>54255770</v>
      </c>
      <c r="AK3" s="194">
        <f>VLOOKUP(B3,'OT '!$B$3:$T$4,19,0)</f>
        <v>4112501</v>
      </c>
      <c r="AL3" s="194">
        <f>VLOOKUP(B3,NS!$B$3:$I$6,8,0)</f>
        <v>135577</v>
      </c>
      <c r="AM3" s="194">
        <f>AI3</f>
        <v>0</v>
      </c>
      <c r="AN3" s="194">
        <f>IF(BT3=1,0,11000000)</f>
        <v>11000000</v>
      </c>
      <c r="AO3" s="215">
        <v>4</v>
      </c>
      <c r="AP3" s="194">
        <f>AO3*$AP$1</f>
        <v>17600000</v>
      </c>
      <c r="AQ3" s="194">
        <f>BF3*$AQ$1</f>
        <v>869600</v>
      </c>
      <c r="AR3" s="194">
        <f>BF3*$AR$1</f>
        <v>163050</v>
      </c>
      <c r="AS3" s="194">
        <f>BG3*$AS$1</f>
        <v>108700</v>
      </c>
      <c r="AT3" s="196">
        <f>+AS3+AR3+AQ3</f>
        <v>1141350</v>
      </c>
      <c r="AU3" s="196">
        <f>IF(BT3=1,0,MIN(Y3,730000))</f>
        <v>730000</v>
      </c>
      <c r="AV3" s="196">
        <f>AJ3-AK3-AL3-AM3-AU3</f>
        <v>49277692</v>
      </c>
      <c r="AW3" s="196">
        <f>MAX(AV3-AN3-AP3-AT3,0)</f>
        <v>19536342</v>
      </c>
      <c r="AX3" s="197">
        <f>IF(BT3=1,10%,IF(AW3&gt;0,IF(AW3&gt;80000000,0.35,IF(AW3&gt;52000000,0.3,IF(AW3&gt;32000000,0.25,IF(AW3&gt;18000000,0.2,IF(AW3&gt;10000000,0.15,IF(AW3&gt;5000000,0.1,0.05)))))),0))</f>
        <v>0.2</v>
      </c>
      <c r="AY3" s="198">
        <f>IF(BT3=1,0,IF(AW3&gt;80000000,9850000,IF(AW3&gt;52000000,5850000,IF(AW3&gt;32000000,3250000,IF(AW3&gt;18000000,1650000,IF(AW3&gt;10000000,750000,IF(AW3&gt;5000000,250000,0)))))))</f>
        <v>1650000</v>
      </c>
      <c r="AZ3" s="199">
        <f>ROUND(AW3*AX3-AY3,0)</f>
        <v>2257268</v>
      </c>
      <c r="BA3" s="194">
        <f>BF3*$BA$1</f>
        <v>1847900.0000000002</v>
      </c>
      <c r="BB3" s="194">
        <f>BF3*$BB$1</f>
        <v>326100</v>
      </c>
      <c r="BC3" s="194">
        <f>BG3*$BC$1</f>
        <v>108700</v>
      </c>
      <c r="BD3" s="194">
        <f>BG3*$BD$1</f>
        <v>54350</v>
      </c>
      <c r="BE3" s="194">
        <f>SUM(BA3:BD3)</f>
        <v>2337050</v>
      </c>
      <c r="BF3" s="194">
        <f>MIN((IF(BS3=1,K3,0)),$BF$1)</f>
        <v>10870000</v>
      </c>
      <c r="BG3" s="194">
        <f>MIN((IF(BS3=1,K3,0)),$BG$1)</f>
        <v>10870000</v>
      </c>
      <c r="BH3" s="194">
        <v>0</v>
      </c>
      <c r="BI3" s="194">
        <v>0</v>
      </c>
      <c r="BJ3" s="194">
        <f>IF(BS3=1,BF3*2%,0)</f>
        <v>217400</v>
      </c>
      <c r="BK3" s="194">
        <f>IF(BU3=1,40000,0)</f>
        <v>40000</v>
      </c>
      <c r="BL3" s="194">
        <f>IF(BV3=0,0,IF(J3&lt;11000000,5000,IF(J3&lt;25000000,10000,IF(J3&lt;40000000,15000,20000)))*BW3)</f>
        <v>0</v>
      </c>
      <c r="BM3" s="200">
        <f>AJ3-AT3-AZ3-BK3-BL3-BN3-BO3-BP3</f>
        <v>50617152</v>
      </c>
      <c r="BN3" s="196">
        <f>IFERROR(VLOOKUP(B3,'Benefit tính thuế'!$B$2:$H$5,7,0),0)</f>
        <v>200000</v>
      </c>
      <c r="BO3" s="200">
        <v>0</v>
      </c>
      <c r="BP3" s="200">
        <v>0</v>
      </c>
      <c r="BQ3" s="216">
        <f>AN3+AP3+AU3</f>
        <v>29330000</v>
      </c>
      <c r="BR3" s="216">
        <f>+AZ3+AT3</f>
        <v>3398618</v>
      </c>
      <c r="BS3" s="216">
        <v>1</v>
      </c>
      <c r="BT3" s="217">
        <v>0</v>
      </c>
      <c r="BU3" s="216">
        <v>1</v>
      </c>
      <c r="BV3" s="216">
        <v>0</v>
      </c>
      <c r="BW3" s="216">
        <v>20</v>
      </c>
      <c r="BX3" s="218"/>
    </row>
  </sheetData>
  <sheetProtection deleteColumns="0"/>
  <autoFilter ref="A2:CG3" xr:uid="{B395567C-224D-4C12-935F-73BDB291D854}"/>
  <dataValidations count="1">
    <dataValidation allowBlank="1" showErrorMessage="1" sqref="BM1 AJ1:AL1 A1:K1 M1:R1 V1:AH1 BQ1:XFD1 A2:XFD2 AN1:BK1 E3:I3 A3:C3 K3:XFD3 A4:XFD1048576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M4"/>
  <sheetViews>
    <sheetView tabSelected="1" zoomScale="130" zoomScaleNormal="130" workbookViewId="0">
      <selection activeCell="E30" sqref="E30"/>
    </sheetView>
  </sheetViews>
  <sheetFormatPr baseColWidth="10" defaultColWidth="9.1640625" defaultRowHeight="15"/>
  <cols>
    <col min="1" max="1" width="9.1640625" style="125"/>
    <col min="2" max="2" width="14.1640625" style="125" customWidth="1"/>
    <col min="3" max="3" width="27.5" style="125" customWidth="1"/>
    <col min="4" max="4" width="14.33203125" style="125" customWidth="1"/>
    <col min="5" max="5" width="21" style="125" customWidth="1"/>
    <col min="6" max="6" width="9.6640625" style="125" customWidth="1"/>
    <col min="7" max="7" width="10.1640625" style="125" customWidth="1"/>
    <col min="8" max="8" width="9.1640625" style="125" customWidth="1"/>
    <col min="9" max="9" width="15.6640625" style="125" customWidth="1"/>
    <col min="10" max="10" width="11.6640625" style="125" customWidth="1"/>
    <col min="11" max="11" width="15" style="125" customWidth="1"/>
    <col min="12" max="12" width="15.1640625" style="125" customWidth="1"/>
    <col min="13" max="13" width="17.83203125" style="125" customWidth="1"/>
    <col min="14" max="16384" width="9.1640625" style="125"/>
  </cols>
  <sheetData>
    <row r="1" spans="1:13" s="175" customFormat="1" ht="63.75" customHeight="1">
      <c r="A1" s="162" t="s">
        <v>21</v>
      </c>
      <c r="B1" s="162" t="s">
        <v>25</v>
      </c>
      <c r="C1" s="161" t="s">
        <v>10</v>
      </c>
      <c r="D1" s="161" t="s">
        <v>193</v>
      </c>
      <c r="E1" s="161" t="s">
        <v>194</v>
      </c>
      <c r="F1" s="163" t="s">
        <v>195</v>
      </c>
      <c r="G1" s="171" t="s">
        <v>196</v>
      </c>
      <c r="H1" s="171" t="s">
        <v>197</v>
      </c>
      <c r="I1" s="172" t="s">
        <v>198</v>
      </c>
      <c r="J1" s="172" t="s">
        <v>199</v>
      </c>
      <c r="K1" s="172" t="s">
        <v>200</v>
      </c>
      <c r="L1" s="173" t="s">
        <v>201</v>
      </c>
      <c r="M1" s="174" t="s">
        <v>202</v>
      </c>
    </row>
    <row r="2" spans="1:13" s="175" customFormat="1" ht="15.75" customHeight="1">
      <c r="A2" s="176"/>
      <c r="B2" s="176"/>
      <c r="C2" s="177"/>
      <c r="D2" s="177"/>
      <c r="E2" s="177"/>
      <c r="F2" s="177"/>
      <c r="G2" s="178"/>
      <c r="H2" s="178"/>
      <c r="I2" s="179">
        <v>40000</v>
      </c>
      <c r="J2" s="179">
        <v>40000</v>
      </c>
      <c r="K2" s="179">
        <v>80000</v>
      </c>
      <c r="L2" s="180"/>
      <c r="M2" s="181"/>
    </row>
    <row r="3" spans="1:13" ht="16">
      <c r="A3" s="126">
        <f>ROW()-6</f>
        <v>-3</v>
      </c>
      <c r="B3" s="127" t="s">
        <v>176</v>
      </c>
      <c r="C3" s="127" t="s">
        <v>186</v>
      </c>
      <c r="D3" s="146">
        <v>43466</v>
      </c>
      <c r="E3" s="132" t="s">
        <v>156</v>
      </c>
      <c r="F3" s="131">
        <f>VLOOKUP($B3,'TimeTB 2'!$C$4:$AX$5,46,0)</f>
        <v>25</v>
      </c>
      <c r="G3" s="131">
        <f>VLOOKUP($B3,'TimeTB 2'!$C$4:$AX$5,48,0)</f>
        <v>0</v>
      </c>
      <c r="H3" s="131">
        <f>VLOOKUP($B3,'TimeTB 2'!$C$4:$AX$5,47,0)</f>
        <v>0</v>
      </c>
      <c r="I3" s="128">
        <f>F3*$I$2</f>
        <v>1000000</v>
      </c>
      <c r="J3" s="128">
        <f>G3*$J$2</f>
        <v>0</v>
      </c>
      <c r="K3" s="128">
        <f>H3*$K$2</f>
        <v>0</v>
      </c>
      <c r="L3" s="129">
        <f>SUM(I3:K3)</f>
        <v>1000000</v>
      </c>
      <c r="M3" s="127"/>
    </row>
    <row r="4" spans="1:13" ht="16">
      <c r="A4" s="126">
        <f t="shared" ref="A4" si="0">ROW()-6</f>
        <v>-2</v>
      </c>
      <c r="B4" s="127" t="s">
        <v>177</v>
      </c>
      <c r="C4" s="127" t="s">
        <v>187</v>
      </c>
      <c r="D4" s="146">
        <v>43831</v>
      </c>
      <c r="E4" s="132" t="s">
        <v>157</v>
      </c>
      <c r="F4" s="131">
        <f>VLOOKUP(B4,'TimeTB 2'!$C$4:$AX$5,46,0)</f>
        <v>26</v>
      </c>
      <c r="G4" s="131">
        <f>VLOOKUP($B4,'TimeTB 2'!$C$4:$AX$5,48,0)</f>
        <v>0</v>
      </c>
      <c r="H4" s="131">
        <f>VLOOKUP($B4,'TimeTB 2'!$C$4:$AX$5,47,0)</f>
        <v>1</v>
      </c>
      <c r="I4" s="128">
        <f>F4*$I$2</f>
        <v>1040000</v>
      </c>
      <c r="J4" s="128">
        <f>G4*$J$2</f>
        <v>0</v>
      </c>
      <c r="K4" s="128">
        <f>H4*$K$2</f>
        <v>80000</v>
      </c>
      <c r="L4" s="129">
        <f t="shared" ref="L4" si="1">SUM(I4:K4)</f>
        <v>1120000</v>
      </c>
      <c r="M4" s="127"/>
    </row>
  </sheetData>
  <autoFilter ref="A2:M4" xr:uid="{21B6961D-2666-4479-B858-99F75A86990E}"/>
  <mergeCells count="10"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L1:L2"/>
  </mergeCells>
  <conditionalFormatting sqref="B1">
    <cfRule type="expression" dxfId="420" priority="1327710" stopIfTrue="1">
      <formula>AND(COUNTIF($B$5:$B$65476, B1)+COUNTIF(#REF!, B1)+COUNTIF(#REF!, B1)+COUNTIF($B$1:$B$4, B1)&gt;1,NOT(ISBLANK(B1)))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AY36"/>
  <sheetViews>
    <sheetView view="pageBreakPreview" zoomScale="130" zoomScaleNormal="85" zoomScaleSheetLayoutView="130" workbookViewId="0">
      <pane xSplit="4" ySplit="3" topLeftCell="E4" activePane="bottomRight" state="frozen"/>
      <selection activeCell="C13" sqref="C13"/>
      <selection pane="topRight" activeCell="C13" sqref="C13"/>
      <selection pane="bottomLeft" activeCell="C13" sqref="C13"/>
      <selection pane="bottomRight" activeCell="I15" sqref="I15"/>
    </sheetView>
  </sheetViews>
  <sheetFormatPr baseColWidth="10" defaultColWidth="8.83203125" defaultRowHeight="19" outlineLevelCol="1"/>
  <cols>
    <col min="1" max="1" width="4.33203125" style="243" hidden="1" customWidth="1"/>
    <col min="2" max="2" width="5.83203125" style="243" customWidth="1"/>
    <col min="3" max="3" width="17.1640625" style="243" customWidth="1"/>
    <col min="4" max="4" width="29.1640625" style="243" customWidth="1"/>
    <col min="5" max="5" width="15" style="243" customWidth="1" outlineLevel="1"/>
    <col min="6" max="6" width="15.5" style="243" customWidth="1" outlineLevel="1"/>
    <col min="7" max="7" width="22.83203125" style="260" customWidth="1" outlineLevel="1"/>
    <col min="8" max="8" width="21.5" style="243" customWidth="1" outlineLevel="1"/>
    <col min="9" max="9" width="12.5" style="258" customWidth="1" outlineLevel="1"/>
    <col min="10" max="10" width="4.83203125" style="238" customWidth="1"/>
    <col min="11" max="11" width="3.5" style="238" customWidth="1"/>
    <col min="12" max="12" width="5.1640625" style="238" customWidth="1"/>
    <col min="13" max="13" width="3.6640625" style="238" customWidth="1"/>
    <col min="14" max="15" width="3.5" style="239" customWidth="1"/>
    <col min="16" max="16" width="3.6640625" style="239" customWidth="1"/>
    <col min="17" max="17" width="3.6640625" style="238" customWidth="1"/>
    <col min="18" max="18" width="4.1640625" style="238" customWidth="1"/>
    <col min="19" max="19" width="3.6640625" style="238" customWidth="1"/>
    <col min="20" max="20" width="4.5" style="238" customWidth="1"/>
    <col min="21" max="21" width="3.6640625" style="238" customWidth="1"/>
    <col min="22" max="22" width="4.33203125" style="238" customWidth="1"/>
    <col min="23" max="23" width="3.6640625" style="238" customWidth="1"/>
    <col min="24" max="24" width="4.5" style="238" customWidth="1"/>
    <col min="25" max="25" width="5.1640625" style="238" customWidth="1"/>
    <col min="26" max="26" width="4.33203125" style="238" customWidth="1"/>
    <col min="27" max="27" width="3.6640625" style="238" customWidth="1"/>
    <col min="28" max="28" width="5" style="238" customWidth="1"/>
    <col min="29" max="31" width="3.6640625" style="238" customWidth="1"/>
    <col min="32" max="32" width="4.33203125" style="238" customWidth="1"/>
    <col min="33" max="33" width="5.33203125" style="238" customWidth="1"/>
    <col min="34" max="34" width="3.6640625" style="238" customWidth="1"/>
    <col min="35" max="35" width="5" style="238" customWidth="1"/>
    <col min="36" max="36" width="3.6640625" style="238" customWidth="1"/>
    <col min="37" max="37" width="4.5" style="238" customWidth="1"/>
    <col min="38" max="40" width="4.6640625" style="238" customWidth="1"/>
    <col min="41" max="42" width="8.5" style="243" customWidth="1"/>
    <col min="43" max="43" width="10.83203125" style="243" customWidth="1"/>
    <col min="44" max="44" width="11.5" style="261" customWidth="1"/>
    <col min="45" max="45" width="12.6640625" style="243" customWidth="1"/>
    <col min="46" max="46" width="7.1640625" style="243" customWidth="1"/>
    <col min="47" max="50" width="12.83203125" style="244" customWidth="1"/>
    <col min="51" max="51" width="12.6640625" style="243" customWidth="1"/>
    <col min="52" max="52" width="9.1640625" style="243" customWidth="1"/>
    <col min="53" max="53" width="22" style="243" customWidth="1"/>
    <col min="54" max="16384" width="8.83203125" style="243"/>
  </cols>
  <sheetData>
    <row r="1" spans="1:51" ht="18.75" customHeight="1">
      <c r="B1" s="222" t="s">
        <v>38</v>
      </c>
      <c r="C1" s="222" t="s">
        <v>25</v>
      </c>
      <c r="D1" s="222" t="s">
        <v>10</v>
      </c>
      <c r="E1" s="223" t="s">
        <v>59</v>
      </c>
      <c r="F1" s="245" t="s">
        <v>32</v>
      </c>
      <c r="G1" s="223" t="s">
        <v>77</v>
      </c>
      <c r="H1" s="245" t="s">
        <v>78</v>
      </c>
      <c r="I1" s="246" t="s">
        <v>52</v>
      </c>
      <c r="J1" s="325">
        <v>45742</v>
      </c>
      <c r="K1" s="326"/>
      <c r="L1" s="326"/>
      <c r="M1" s="327">
        <f>EOMONTH(J1,0)+1</f>
        <v>45748</v>
      </c>
      <c r="N1" s="326"/>
      <c r="O1" s="326"/>
      <c r="P1" s="326"/>
      <c r="Q1" s="326"/>
      <c r="R1" s="326"/>
      <c r="S1" s="326"/>
      <c r="T1" s="326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326"/>
      <c r="AL1" s="326"/>
      <c r="AM1" s="326"/>
      <c r="AN1" s="328"/>
      <c r="AO1" s="247" t="s">
        <v>203</v>
      </c>
      <c r="AP1" s="247" t="s">
        <v>204</v>
      </c>
      <c r="AQ1" s="247" t="s">
        <v>99</v>
      </c>
      <c r="AR1" s="247" t="s">
        <v>205</v>
      </c>
      <c r="AS1" s="247" t="s">
        <v>61</v>
      </c>
      <c r="AT1" s="224" t="s">
        <v>206</v>
      </c>
      <c r="AU1" s="247" t="s">
        <v>207</v>
      </c>
      <c r="AV1" s="248" t="s">
        <v>208</v>
      </c>
      <c r="AW1" s="248" t="s">
        <v>209</v>
      </c>
      <c r="AX1" s="248" t="s">
        <v>210</v>
      </c>
      <c r="AY1" s="225" t="s">
        <v>211</v>
      </c>
    </row>
    <row r="2" spans="1:51" ht="45.75" customHeight="1">
      <c r="B2" s="249"/>
      <c r="C2" s="249"/>
      <c r="D2" s="249"/>
      <c r="E2" s="249"/>
      <c r="F2" s="250"/>
      <c r="G2" s="249"/>
      <c r="H2" s="250"/>
      <c r="I2" s="249"/>
      <c r="J2" s="329">
        <f>J1</f>
        <v>45742</v>
      </c>
      <c r="K2" s="329">
        <f t="shared" ref="K2:AN2" si="0">+J2+1</f>
        <v>45743</v>
      </c>
      <c r="L2" s="329">
        <f t="shared" si="0"/>
        <v>45744</v>
      </c>
      <c r="M2" s="329">
        <f t="shared" si="0"/>
        <v>45745</v>
      </c>
      <c r="N2" s="329">
        <f t="shared" si="0"/>
        <v>45746</v>
      </c>
      <c r="O2" s="329">
        <f t="shared" si="0"/>
        <v>45747</v>
      </c>
      <c r="P2" s="329">
        <f t="shared" si="0"/>
        <v>45748</v>
      </c>
      <c r="Q2" s="329">
        <f t="shared" si="0"/>
        <v>45749</v>
      </c>
      <c r="R2" s="329">
        <f t="shared" si="0"/>
        <v>45750</v>
      </c>
      <c r="S2" s="329">
        <f t="shared" si="0"/>
        <v>45751</v>
      </c>
      <c r="T2" s="329">
        <f t="shared" si="0"/>
        <v>45752</v>
      </c>
      <c r="U2" s="329">
        <f t="shared" si="0"/>
        <v>45753</v>
      </c>
      <c r="V2" s="329">
        <f t="shared" si="0"/>
        <v>45754</v>
      </c>
      <c r="W2" s="329">
        <f t="shared" si="0"/>
        <v>45755</v>
      </c>
      <c r="X2" s="329">
        <f t="shared" si="0"/>
        <v>45756</v>
      </c>
      <c r="Y2" s="329">
        <f t="shared" si="0"/>
        <v>45757</v>
      </c>
      <c r="Z2" s="329">
        <f t="shared" si="0"/>
        <v>45758</v>
      </c>
      <c r="AA2" s="329">
        <f t="shared" si="0"/>
        <v>45759</v>
      </c>
      <c r="AB2" s="329">
        <f t="shared" si="0"/>
        <v>45760</v>
      </c>
      <c r="AC2" s="329">
        <f t="shared" si="0"/>
        <v>45761</v>
      </c>
      <c r="AD2" s="329">
        <f t="shared" si="0"/>
        <v>45762</v>
      </c>
      <c r="AE2" s="329">
        <f t="shared" si="0"/>
        <v>45763</v>
      </c>
      <c r="AF2" s="329">
        <f t="shared" si="0"/>
        <v>45764</v>
      </c>
      <c r="AG2" s="329">
        <f t="shared" si="0"/>
        <v>45765</v>
      </c>
      <c r="AH2" s="329">
        <f t="shared" si="0"/>
        <v>45766</v>
      </c>
      <c r="AI2" s="329">
        <f t="shared" si="0"/>
        <v>45767</v>
      </c>
      <c r="AJ2" s="329">
        <f t="shared" si="0"/>
        <v>45768</v>
      </c>
      <c r="AK2" s="329">
        <f t="shared" si="0"/>
        <v>45769</v>
      </c>
      <c r="AL2" s="329">
        <f t="shared" si="0"/>
        <v>45770</v>
      </c>
      <c r="AM2" s="329">
        <f t="shared" si="0"/>
        <v>45771</v>
      </c>
      <c r="AN2" s="329">
        <f t="shared" si="0"/>
        <v>45772</v>
      </c>
      <c r="AO2" s="251"/>
      <c r="AP2" s="251"/>
      <c r="AQ2" s="251"/>
      <c r="AR2" s="251"/>
      <c r="AS2" s="251"/>
      <c r="AT2" s="249"/>
      <c r="AU2" s="251"/>
      <c r="AV2" s="251"/>
      <c r="AW2" s="251"/>
      <c r="AX2" s="251"/>
      <c r="AY2" s="252"/>
    </row>
    <row r="3" spans="1:51" ht="46.5" customHeight="1">
      <c r="B3" s="226"/>
      <c r="C3" s="226"/>
      <c r="D3" s="226"/>
      <c r="E3" s="227"/>
      <c r="F3" s="228"/>
      <c r="G3" s="229"/>
      <c r="H3" s="230"/>
      <c r="I3" s="252"/>
      <c r="J3" s="330" t="str">
        <f t="shared" ref="J3:AN3" si="1">TEXT(J2,"ddd")</f>
        <v>Wed</v>
      </c>
      <c r="K3" s="330" t="str">
        <f t="shared" si="1"/>
        <v>Thu</v>
      </c>
      <c r="L3" s="330" t="str">
        <f t="shared" si="1"/>
        <v>Fri</v>
      </c>
      <c r="M3" s="330" t="str">
        <f t="shared" si="1"/>
        <v>Sat</v>
      </c>
      <c r="N3" s="330" t="str">
        <f t="shared" si="1"/>
        <v>Sun</v>
      </c>
      <c r="O3" s="330" t="str">
        <f t="shared" si="1"/>
        <v>Mon</v>
      </c>
      <c r="P3" s="330" t="str">
        <f t="shared" si="1"/>
        <v>Tue</v>
      </c>
      <c r="Q3" s="330" t="str">
        <f t="shared" si="1"/>
        <v>Wed</v>
      </c>
      <c r="R3" s="330" t="str">
        <f t="shared" si="1"/>
        <v>Thu</v>
      </c>
      <c r="S3" s="330" t="str">
        <f t="shared" si="1"/>
        <v>Fri</v>
      </c>
      <c r="T3" s="330" t="str">
        <f t="shared" si="1"/>
        <v>Sat</v>
      </c>
      <c r="U3" s="330" t="str">
        <f t="shared" si="1"/>
        <v>Sun</v>
      </c>
      <c r="V3" s="330" t="str">
        <f t="shared" si="1"/>
        <v>Mon</v>
      </c>
      <c r="W3" s="330" t="str">
        <f t="shared" si="1"/>
        <v>Tue</v>
      </c>
      <c r="X3" s="330" t="str">
        <f t="shared" si="1"/>
        <v>Wed</v>
      </c>
      <c r="Y3" s="330" t="str">
        <f t="shared" si="1"/>
        <v>Thu</v>
      </c>
      <c r="Z3" s="330" t="str">
        <f t="shared" si="1"/>
        <v>Fri</v>
      </c>
      <c r="AA3" s="330" t="str">
        <f t="shared" si="1"/>
        <v>Sat</v>
      </c>
      <c r="AB3" s="330" t="str">
        <f t="shared" si="1"/>
        <v>Sun</v>
      </c>
      <c r="AC3" s="330" t="str">
        <f t="shared" si="1"/>
        <v>Mon</v>
      </c>
      <c r="AD3" s="330" t="str">
        <f t="shared" si="1"/>
        <v>Tue</v>
      </c>
      <c r="AE3" s="330" t="str">
        <f t="shared" si="1"/>
        <v>Wed</v>
      </c>
      <c r="AF3" s="330" t="str">
        <f t="shared" si="1"/>
        <v>Thu</v>
      </c>
      <c r="AG3" s="330" t="str">
        <f t="shared" si="1"/>
        <v>Fri</v>
      </c>
      <c r="AH3" s="330" t="str">
        <f t="shared" si="1"/>
        <v>Sat</v>
      </c>
      <c r="AI3" s="330" t="str">
        <f t="shared" si="1"/>
        <v>Sun</v>
      </c>
      <c r="AJ3" s="330" t="str">
        <f t="shared" si="1"/>
        <v>Mon</v>
      </c>
      <c r="AK3" s="330" t="str">
        <f t="shared" si="1"/>
        <v>Tue</v>
      </c>
      <c r="AL3" s="330" t="str">
        <f t="shared" si="1"/>
        <v>Wed</v>
      </c>
      <c r="AM3" s="330" t="str">
        <f t="shared" si="1"/>
        <v>Thu</v>
      </c>
      <c r="AN3" s="330" t="str">
        <f t="shared" si="1"/>
        <v>Fri</v>
      </c>
      <c r="AO3" s="253"/>
      <c r="AP3" s="253"/>
      <c r="AQ3" s="253"/>
      <c r="AR3" s="253"/>
      <c r="AS3" s="253"/>
      <c r="AT3" s="252"/>
      <c r="AU3" s="253"/>
      <c r="AV3" s="253"/>
      <c r="AW3" s="253"/>
      <c r="AX3" s="253"/>
    </row>
    <row r="4" spans="1:51" ht="29.25" customHeight="1">
      <c r="A4" s="243">
        <v>1</v>
      </c>
      <c r="B4" s="231">
        <f>ROW()-10</f>
        <v>-6</v>
      </c>
      <c r="C4" s="232" t="s">
        <v>176</v>
      </c>
      <c r="D4" s="254" t="s">
        <v>186</v>
      </c>
      <c r="E4" s="201">
        <v>43466</v>
      </c>
      <c r="F4" s="233"/>
      <c r="G4" s="234"/>
      <c r="H4" s="201" t="s">
        <v>115</v>
      </c>
      <c r="I4" s="235"/>
      <c r="J4" s="331" t="s">
        <v>36</v>
      </c>
      <c r="K4" s="331" t="s">
        <v>36</v>
      </c>
      <c r="L4" s="331" t="s">
        <v>37</v>
      </c>
      <c r="M4" s="331" t="s">
        <v>36</v>
      </c>
      <c r="N4" s="331" t="s">
        <v>36</v>
      </c>
      <c r="O4" s="331" t="s">
        <v>36</v>
      </c>
      <c r="P4" s="331" t="s">
        <v>36</v>
      </c>
      <c r="Q4" s="331" t="s">
        <v>36</v>
      </c>
      <c r="R4" s="331" t="s">
        <v>36</v>
      </c>
      <c r="S4" s="331" t="s">
        <v>166</v>
      </c>
      <c r="T4" s="331" t="s">
        <v>37</v>
      </c>
      <c r="U4" s="331" t="s">
        <v>36</v>
      </c>
      <c r="V4" s="331" t="s">
        <v>88</v>
      </c>
      <c r="W4" s="331" t="s">
        <v>36</v>
      </c>
      <c r="X4" s="331" t="s">
        <v>36</v>
      </c>
      <c r="Y4" s="331" t="s">
        <v>36</v>
      </c>
      <c r="Z4" s="331" t="s">
        <v>37</v>
      </c>
      <c r="AA4" s="331" t="s">
        <v>36</v>
      </c>
      <c r="AB4" s="331" t="s">
        <v>36</v>
      </c>
      <c r="AC4" s="331" t="s">
        <v>36</v>
      </c>
      <c r="AD4" s="331" t="s">
        <v>36</v>
      </c>
      <c r="AE4" s="331" t="s">
        <v>36</v>
      </c>
      <c r="AF4" s="331" t="s">
        <v>36</v>
      </c>
      <c r="AG4" s="331" t="s">
        <v>36</v>
      </c>
      <c r="AH4" s="331" t="s">
        <v>36</v>
      </c>
      <c r="AI4" s="331" t="s">
        <v>37</v>
      </c>
      <c r="AJ4" s="331" t="s">
        <v>36</v>
      </c>
      <c r="AK4" s="331" t="s">
        <v>36</v>
      </c>
      <c r="AL4" s="331" t="s">
        <v>36</v>
      </c>
      <c r="AM4" s="331" t="s">
        <v>36</v>
      </c>
      <c r="AN4" s="331" t="s">
        <v>36</v>
      </c>
      <c r="AO4" s="348">
        <f>COUNTIFS($J4:$AN4,"OFF ")+COUNTIFS($J4:$AN4,"OFF")</f>
        <v>4</v>
      </c>
      <c r="AP4" s="349">
        <f>+COUNTIF(J4:AN4,"UP")+0.5*COUNTIF(J4:AN4,"1/2UP")+COUNTIFS(J4:AN4,"SL1")+COUNTIFS(J4:AN4,"ML")+COUNTIFS(J4:AN4,"CC")</f>
        <v>0</v>
      </c>
      <c r="AQ4" s="349">
        <f t="shared" ref="AQ4:AQ5" si="2">COUNTIF($J4:$AN4,"AL")+0.5*(COUNTIF($J4:$AN4,"1/2AL"))+COUNTIF($J4:$AN4,"CL")+0.5*(COUNTIF($J4:$AN4,"1/2CL"))+COUNTIF($J4:$AN4,"LS")+COUNTIF($J4:$AN4,"HL")</f>
        <v>1</v>
      </c>
      <c r="AR4" s="350">
        <f>COUNTIF(J4:AN4,"X")+(COUNTIF(J4:AN4,"FP"))+COUNTIF(J4:AN4,"SL2")+(COUNTIF(J4:AN4,"LL"))+0.5*COUNTIF(J4:AN4,"1/2AL")+0.5*COUNTIF(J4:AN4,"1/2CL")+0.5*COUNTIF(J4:AN4,"1/2UP")</f>
        <v>25</v>
      </c>
      <c r="AS4" s="255">
        <f>+AQ4+AR4</f>
        <v>26</v>
      </c>
      <c r="AT4" s="256"/>
      <c r="AU4" s="236">
        <f t="shared" ref="AU4:AU5" si="3">MIN((AS4+AT4),26)</f>
        <v>26</v>
      </c>
      <c r="AV4" s="350">
        <f>COUNTIF(J4:AN4,"X")</f>
        <v>25</v>
      </c>
      <c r="AW4" s="350">
        <f>COUNTIF(V4:V4,"X")</f>
        <v>0</v>
      </c>
      <c r="AX4" s="237">
        <v>0</v>
      </c>
      <c r="AY4" s="257"/>
    </row>
    <row r="5" spans="1:51" ht="29.25" customHeight="1">
      <c r="A5" s="243">
        <f>+A3+1</f>
        <v>1</v>
      </c>
      <c r="B5" s="231">
        <f t="shared" ref="B5" si="4">ROW()-10</f>
        <v>-5</v>
      </c>
      <c r="C5" s="232" t="s">
        <v>177</v>
      </c>
      <c r="D5" s="254" t="s">
        <v>187</v>
      </c>
      <c r="E5" s="201">
        <v>43831</v>
      </c>
      <c r="F5" s="233"/>
      <c r="G5" s="234"/>
      <c r="H5" s="201" t="s">
        <v>102</v>
      </c>
      <c r="I5" s="235"/>
      <c r="J5" s="331" t="s">
        <v>36</v>
      </c>
      <c r="K5" s="331" t="s">
        <v>36</v>
      </c>
      <c r="L5" s="331" t="s">
        <v>36</v>
      </c>
      <c r="M5" s="331" t="s">
        <v>37</v>
      </c>
      <c r="N5" s="331" t="s">
        <v>36</v>
      </c>
      <c r="O5" s="331" t="s">
        <v>36</v>
      </c>
      <c r="P5" s="331" t="s">
        <v>36</v>
      </c>
      <c r="Q5" s="331" t="s">
        <v>36</v>
      </c>
      <c r="R5" s="331" t="s">
        <v>36</v>
      </c>
      <c r="S5" s="331" t="s">
        <v>36</v>
      </c>
      <c r="T5" s="331" t="s">
        <v>36</v>
      </c>
      <c r="U5" s="331" t="s">
        <v>37</v>
      </c>
      <c r="V5" s="331" t="s">
        <v>36</v>
      </c>
      <c r="W5" s="331" t="s">
        <v>36</v>
      </c>
      <c r="X5" s="331" t="s">
        <v>36</v>
      </c>
      <c r="Y5" s="331" t="s">
        <v>36</v>
      </c>
      <c r="Z5" s="331" t="s">
        <v>36</v>
      </c>
      <c r="AA5" s="331" t="s">
        <v>37</v>
      </c>
      <c r="AB5" s="331" t="s">
        <v>36</v>
      </c>
      <c r="AC5" s="331" t="s">
        <v>36</v>
      </c>
      <c r="AD5" s="331" t="s">
        <v>36</v>
      </c>
      <c r="AE5" s="331" t="s">
        <v>36</v>
      </c>
      <c r="AF5" s="331" t="s">
        <v>36</v>
      </c>
      <c r="AG5" s="331" t="s">
        <v>36</v>
      </c>
      <c r="AH5" s="331" t="s">
        <v>37</v>
      </c>
      <c r="AI5" s="331" t="s">
        <v>36</v>
      </c>
      <c r="AJ5" s="331" t="s">
        <v>36</v>
      </c>
      <c r="AK5" s="331" t="s">
        <v>36</v>
      </c>
      <c r="AL5" s="331" t="s">
        <v>36</v>
      </c>
      <c r="AM5" s="331" t="s">
        <v>36</v>
      </c>
      <c r="AN5" s="331" t="s">
        <v>37</v>
      </c>
      <c r="AO5" s="348">
        <f t="shared" ref="AO5" si="5">COUNTIFS($J5:$AN5,"OFF ")+COUNTIFS($J5:$AN5,"OFF")</f>
        <v>5</v>
      </c>
      <c r="AP5" s="349">
        <f t="shared" ref="AP5" si="6">+COUNTIF(J5:AN5,"UP")+0.5*COUNTIF(J5:AN5,"1/2UP")+COUNTIFS(J5:AN5,"SL1")+COUNTIFS(J5:AN5,"ML")+COUNTIFS(J5:AN5,"CC")</f>
        <v>0</v>
      </c>
      <c r="AQ5" s="349">
        <f t="shared" si="2"/>
        <v>0</v>
      </c>
      <c r="AR5" s="351">
        <f t="shared" ref="AR5" si="7">COUNTIF(J5:AN5,"X")+(COUNTIF(J5:AN5,"FP"))+COUNTIF(J5:AN5,"SL2")+(COUNTIF(J5:AN5,"LL"))+0.5*COUNTIF(J5:AN5,"1/2AL")+0.5*COUNTIF(J5:AN5,"1/2CL")+0.5*COUNTIF(J5:AN5,"1/2UP")</f>
        <v>26</v>
      </c>
      <c r="AS5" s="255">
        <f t="shared" ref="AS5" si="8">+AQ5+AR5</f>
        <v>26</v>
      </c>
      <c r="AT5" s="256"/>
      <c r="AU5" s="236">
        <f t="shared" si="3"/>
        <v>26</v>
      </c>
      <c r="AV5" s="350">
        <f t="shared" ref="AV5" si="9">COUNTIF(J5:AN5,"X")</f>
        <v>26</v>
      </c>
      <c r="AW5" s="350">
        <f>COUNTIF(V5:V5,"X")</f>
        <v>1</v>
      </c>
      <c r="AX5" s="237">
        <v>0</v>
      </c>
      <c r="AY5" s="257"/>
    </row>
    <row r="6" spans="1:51">
      <c r="AN6" s="259"/>
    </row>
    <row r="7" spans="1:51" ht="28.5" customHeight="1">
      <c r="C7" s="262" t="s">
        <v>132</v>
      </c>
      <c r="D7" s="263"/>
      <c r="E7" s="263"/>
      <c r="F7" s="263"/>
      <c r="G7" s="264"/>
      <c r="H7" s="263"/>
      <c r="I7" s="265"/>
      <c r="J7" s="263"/>
      <c r="K7" s="263"/>
      <c r="T7" s="240"/>
      <c r="AN7" s="259"/>
    </row>
    <row r="8" spans="1:51">
      <c r="C8" s="241" t="s">
        <v>36</v>
      </c>
      <c r="D8" s="266" t="s">
        <v>131</v>
      </c>
      <c r="E8" s="267"/>
      <c r="F8" s="267"/>
      <c r="G8" s="267"/>
      <c r="H8" s="267"/>
      <c r="I8" s="268"/>
      <c r="J8" s="267"/>
      <c r="K8" s="269"/>
      <c r="T8" s="240"/>
      <c r="AN8" s="259"/>
    </row>
    <row r="9" spans="1:51">
      <c r="C9" s="241" t="s">
        <v>88</v>
      </c>
      <c r="D9" s="266" t="s">
        <v>89</v>
      </c>
      <c r="E9" s="267"/>
      <c r="F9" s="267"/>
      <c r="G9" s="267"/>
      <c r="H9" s="267"/>
      <c r="I9" s="268"/>
      <c r="J9" s="267"/>
      <c r="K9" s="269"/>
      <c r="AN9" s="259"/>
    </row>
    <row r="10" spans="1:51">
      <c r="C10" s="241" t="s">
        <v>37</v>
      </c>
      <c r="D10" s="266" t="s">
        <v>90</v>
      </c>
      <c r="E10" s="267"/>
      <c r="F10" s="267"/>
      <c r="G10" s="267"/>
      <c r="H10" s="267"/>
      <c r="I10" s="268"/>
      <c r="J10" s="267"/>
      <c r="K10" s="269"/>
      <c r="AN10" s="259"/>
    </row>
    <row r="11" spans="1:51">
      <c r="C11" s="241" t="s">
        <v>64</v>
      </c>
      <c r="D11" s="266" t="s">
        <v>91</v>
      </c>
      <c r="E11" s="267"/>
      <c r="F11" s="267"/>
      <c r="G11" s="267"/>
      <c r="H11" s="267"/>
      <c r="I11" s="268"/>
      <c r="J11" s="267"/>
      <c r="K11" s="269"/>
      <c r="AN11" s="259"/>
    </row>
    <row r="12" spans="1:51">
      <c r="C12" s="241" t="s">
        <v>81</v>
      </c>
      <c r="D12" s="266" t="s">
        <v>92</v>
      </c>
      <c r="E12" s="267"/>
      <c r="F12" s="267"/>
      <c r="G12" s="267"/>
      <c r="H12" s="267"/>
      <c r="I12" s="268"/>
      <c r="J12" s="267"/>
      <c r="K12" s="269"/>
      <c r="AN12" s="259"/>
    </row>
    <row r="13" spans="1:51">
      <c r="C13" s="241" t="s">
        <v>69</v>
      </c>
      <c r="D13" s="266" t="s">
        <v>93</v>
      </c>
      <c r="E13" s="267"/>
      <c r="F13" s="267"/>
      <c r="G13" s="267"/>
      <c r="H13" s="267"/>
      <c r="I13" s="268"/>
      <c r="J13" s="267"/>
      <c r="K13" s="269"/>
      <c r="AN13" s="259"/>
    </row>
    <row r="14" spans="1:51">
      <c r="C14" s="241" t="s">
        <v>66</v>
      </c>
      <c r="D14" s="266" t="s">
        <v>94</v>
      </c>
      <c r="E14" s="267"/>
      <c r="F14" s="267"/>
      <c r="G14" s="267"/>
      <c r="H14" s="267"/>
      <c r="I14" s="268"/>
      <c r="J14" s="267"/>
      <c r="K14" s="269"/>
      <c r="AN14" s="259"/>
    </row>
    <row r="15" spans="1:51">
      <c r="C15" s="241" t="s">
        <v>87</v>
      </c>
      <c r="D15" s="266" t="s">
        <v>95</v>
      </c>
      <c r="E15" s="267"/>
      <c r="F15" s="267"/>
      <c r="G15" s="267"/>
      <c r="H15" s="267"/>
      <c r="I15" s="268"/>
      <c r="J15" s="267"/>
      <c r="K15" s="269"/>
      <c r="AN15" s="259"/>
    </row>
    <row r="16" spans="1:51">
      <c r="C16" s="241" t="s">
        <v>65</v>
      </c>
      <c r="D16" s="266" t="s">
        <v>96</v>
      </c>
      <c r="E16" s="267"/>
      <c r="F16" s="267"/>
      <c r="G16" s="267"/>
      <c r="H16" s="267"/>
      <c r="I16" s="268"/>
      <c r="J16" s="267"/>
      <c r="K16" s="269"/>
      <c r="AN16" s="259"/>
    </row>
    <row r="17" spans="3:40">
      <c r="C17" s="241" t="s">
        <v>33</v>
      </c>
      <c r="D17" s="266" t="s">
        <v>70</v>
      </c>
      <c r="E17" s="267"/>
      <c r="F17" s="267"/>
      <c r="G17" s="267"/>
      <c r="H17" s="267"/>
      <c r="I17" s="268"/>
      <c r="J17" s="267"/>
      <c r="K17" s="269"/>
      <c r="AN17" s="259"/>
    </row>
    <row r="18" spans="3:40">
      <c r="C18" s="241" t="s">
        <v>68</v>
      </c>
      <c r="D18" s="266" t="s">
        <v>71</v>
      </c>
      <c r="E18" s="267"/>
      <c r="F18" s="267"/>
      <c r="G18" s="267"/>
      <c r="H18" s="267"/>
      <c r="I18" s="268"/>
      <c r="J18" s="267"/>
      <c r="K18" s="269"/>
      <c r="AN18" s="259"/>
    </row>
    <row r="19" spans="3:40" ht="22.5" customHeight="1">
      <c r="C19" s="241" t="s">
        <v>72</v>
      </c>
      <c r="D19" s="266" t="s">
        <v>73</v>
      </c>
      <c r="E19" s="267"/>
      <c r="F19" s="267"/>
      <c r="G19" s="267"/>
      <c r="H19" s="267"/>
      <c r="I19" s="268"/>
      <c r="J19" s="267"/>
      <c r="K19" s="269"/>
      <c r="AN19" s="259"/>
    </row>
    <row r="20" spans="3:40" ht="22.5" customHeight="1">
      <c r="C20" s="241" t="s">
        <v>74</v>
      </c>
      <c r="D20" s="266" t="s">
        <v>75</v>
      </c>
      <c r="E20" s="267"/>
      <c r="F20" s="267"/>
      <c r="G20" s="267"/>
      <c r="H20" s="267"/>
      <c r="I20" s="268"/>
      <c r="J20" s="267"/>
      <c r="K20" s="269"/>
      <c r="AN20" s="259"/>
    </row>
    <row r="21" spans="3:40" ht="22.5" customHeight="1">
      <c r="C21" s="241" t="s">
        <v>34</v>
      </c>
      <c r="D21" s="266" t="s">
        <v>97</v>
      </c>
      <c r="E21" s="267"/>
      <c r="F21" s="267"/>
      <c r="G21" s="267"/>
      <c r="H21" s="267"/>
      <c r="I21" s="268"/>
      <c r="J21" s="267"/>
      <c r="K21" s="269"/>
      <c r="AN21" s="259"/>
    </row>
    <row r="22" spans="3:40" ht="22.5" customHeight="1">
      <c r="C22" s="241" t="s">
        <v>35</v>
      </c>
      <c r="D22" s="266" t="s">
        <v>98</v>
      </c>
      <c r="E22" s="267"/>
      <c r="F22" s="267"/>
      <c r="G22" s="267"/>
      <c r="H22" s="267"/>
      <c r="I22" s="268"/>
      <c r="J22" s="267"/>
      <c r="K22" s="269"/>
      <c r="AN22" s="259"/>
    </row>
    <row r="23" spans="3:40">
      <c r="AN23" s="259"/>
    </row>
    <row r="24" spans="3:40">
      <c r="C24" s="242"/>
      <c r="H24" s="270"/>
      <c r="I24" s="271"/>
      <c r="AN24" s="259"/>
    </row>
    <row r="25" spans="3:40" ht="18" customHeight="1">
      <c r="H25" s="270"/>
      <c r="I25" s="271"/>
      <c r="AN25" s="259"/>
    </row>
    <row r="26" spans="3:40" ht="17.25" customHeight="1">
      <c r="H26" s="270"/>
      <c r="I26" s="271"/>
      <c r="AN26" s="259"/>
    </row>
    <row r="27" spans="3:40" ht="38.25" customHeight="1">
      <c r="H27" s="270"/>
      <c r="I27" s="271"/>
      <c r="AN27" s="259"/>
    </row>
    <row r="28" spans="3:40">
      <c r="H28" s="270"/>
      <c r="I28" s="271"/>
      <c r="AN28" s="259"/>
    </row>
    <row r="29" spans="3:40">
      <c r="H29" s="270"/>
      <c r="I29" s="271"/>
      <c r="AN29" s="259"/>
    </row>
    <row r="30" spans="3:40">
      <c r="H30" s="272"/>
      <c r="I30" s="271"/>
      <c r="AN30" s="259"/>
    </row>
    <row r="31" spans="3:40">
      <c r="H31" s="273"/>
      <c r="I31" s="271"/>
      <c r="AN31" s="259"/>
    </row>
    <row r="32" spans="3:40">
      <c r="H32" s="273"/>
      <c r="I32" s="271"/>
      <c r="AN32" s="259"/>
    </row>
    <row r="33" spans="40:40">
      <c r="AN33" s="259"/>
    </row>
    <row r="34" spans="40:40">
      <c r="AN34" s="259"/>
    </row>
    <row r="35" spans="40:40">
      <c r="AN35" s="259"/>
    </row>
    <row r="36" spans="40:40">
      <c r="AN36" s="259"/>
    </row>
  </sheetData>
  <autoFilter ref="A3:AY5" xr:uid="{00000000-0009-0000-0000-00000D000000}"/>
  <mergeCells count="21">
    <mergeCell ref="AO1:AO3"/>
    <mergeCell ref="AP1:AP3"/>
    <mergeCell ref="AS1:AS3"/>
    <mergeCell ref="AT1:AT3"/>
    <mergeCell ref="J1:L1"/>
    <mergeCell ref="M1:AN1"/>
    <mergeCell ref="D1:D2"/>
    <mergeCell ref="C1:C2"/>
    <mergeCell ref="B1:B2"/>
    <mergeCell ref="I1:I3"/>
    <mergeCell ref="E1:E2"/>
    <mergeCell ref="F1:F2"/>
    <mergeCell ref="G1:G2"/>
    <mergeCell ref="H1:H2"/>
    <mergeCell ref="AY1:AY2"/>
    <mergeCell ref="AQ1:AQ3"/>
    <mergeCell ref="AR1:AR3"/>
    <mergeCell ref="AU1:AU3"/>
    <mergeCell ref="AV1:AV3"/>
    <mergeCell ref="AW1:AW3"/>
    <mergeCell ref="AX1:AX3"/>
  </mergeCells>
  <phoneticPr fontId="302" type="noConversion"/>
  <conditionalFormatting sqref="C4:C1048576">
    <cfRule type="duplicateValues" dxfId="419" priority="249585"/>
    <cfRule type="duplicateValues" dxfId="418" priority="1327277"/>
    <cfRule type="duplicateValues" dxfId="417" priority="1327278"/>
  </conditionalFormatting>
  <conditionalFormatting sqref="C4:C1048576">
    <cfRule type="duplicateValues" dxfId="416" priority="19666"/>
    <cfRule type="duplicateValues" dxfId="415" priority="1327285"/>
  </conditionalFormatting>
  <conditionalFormatting sqref="C23:C1048576 C4:C6">
    <cfRule type="duplicateValues" dxfId="414" priority="575566"/>
    <cfRule type="duplicateValues" dxfId="413" priority="575574"/>
    <cfRule type="duplicateValues" dxfId="412" priority="575588"/>
    <cfRule type="duplicateValues" dxfId="411" priority="575598"/>
  </conditionalFormatting>
  <conditionalFormatting sqref="C23:C1048576 C4:C6">
    <cfRule type="duplicateValues" dxfId="410" priority="575581"/>
  </conditionalFormatting>
  <conditionalFormatting sqref="C24">
    <cfRule type="duplicateValues" dxfId="409" priority="49117"/>
    <cfRule type="duplicateValues" dxfId="408" priority="49118"/>
  </conditionalFormatting>
  <conditionalFormatting sqref="C37:C1048576 C23 C4:C6">
    <cfRule type="duplicateValues" dxfId="407" priority="575608"/>
  </conditionalFormatting>
  <conditionalFormatting sqref="C37:C1048576">
    <cfRule type="duplicateValues" dxfId="406" priority="575606"/>
  </conditionalFormatting>
  <conditionalFormatting sqref="D7:D22">
    <cfRule type="duplicateValues" dxfId="405" priority="1327702"/>
    <cfRule type="duplicateValues" dxfId="404" priority="1327703"/>
    <cfRule type="duplicateValues" dxfId="403" priority="1327704" stopIfTrue="1"/>
    <cfRule type="duplicateValues" dxfId="402" priority="1327705" stopIfTrue="1"/>
    <cfRule type="duplicateValues" dxfId="401" priority="1327706"/>
    <cfRule type="duplicateValues" dxfId="400" priority="1327707" stopIfTrue="1"/>
    <cfRule type="duplicateValues" dxfId="399" priority="1327708" stopIfTrue="1"/>
    <cfRule type="expression" dxfId="398" priority="1327709" stopIfTrue="1">
      <formula>AND(COUNTIF(#REF!, D7)+COUNTIF($B$1:$B$5, D7)&gt;1,NOT(ISBLANK(D7)))</formula>
    </cfRule>
  </conditionalFormatting>
  <conditionalFormatting sqref="E7">
    <cfRule type="duplicateValues" dxfId="397" priority="44895"/>
    <cfRule type="duplicateValues" dxfId="396" priority="44902"/>
    <cfRule type="duplicateValues" dxfId="395" priority="44903"/>
  </conditionalFormatting>
  <conditionalFormatting sqref="J4:K5 N4:O5">
    <cfRule type="expression" dxfId="394" priority="1830">
      <formula>J4="CC"</formula>
    </cfRule>
    <cfRule type="expression" dxfId="393" priority="1831">
      <formula>J4="ML"</formula>
    </cfRule>
    <cfRule type="expression" dxfId="392" priority="1832">
      <formula>J4="SL1"</formula>
    </cfRule>
    <cfRule type="expression" dxfId="391" priority="1833">
      <formula>J4="UP"</formula>
    </cfRule>
  </conditionalFormatting>
  <conditionalFormatting sqref="J4:K5 Q4:S4 Q5 S5">
    <cfRule type="expression" dxfId="390" priority="1826">
      <formula>J4="1/2AL"</formula>
    </cfRule>
  </conditionalFormatting>
  <conditionalFormatting sqref="J4:K5">
    <cfRule type="expression" dxfId="389" priority="1808">
      <formula>XDV1047249="1/2UP"</formula>
    </cfRule>
    <cfRule type="expression" dxfId="388" priority="1809">
      <formula>J4="1/2UP"</formula>
    </cfRule>
    <cfRule type="expression" dxfId="387" priority="1810">
      <formula>J4="CL"</formula>
    </cfRule>
    <cfRule type="expression" dxfId="386" priority="1812">
      <formula>J4="CC"</formula>
    </cfRule>
    <cfRule type="expression" dxfId="385" priority="1813">
      <formula>J4="ML"</formula>
    </cfRule>
    <cfRule type="expression" dxfId="384" priority="1814">
      <formula>J4="SL1"</formula>
    </cfRule>
    <cfRule type="expression" dxfId="383" priority="1815">
      <formula>J4="FP"</formula>
    </cfRule>
    <cfRule type="expression" dxfId="382" priority="1816">
      <formula>J4="UP"</formula>
    </cfRule>
    <cfRule type="expression" dxfId="381" priority="1817">
      <formula>J4="1/2AL"</formula>
    </cfRule>
    <cfRule type="expression" dxfId="380" priority="1818">
      <formula>J4="AL"</formula>
    </cfRule>
    <cfRule type="expression" dxfId="379" priority="1819">
      <formula>J4="OFF"</formula>
    </cfRule>
    <cfRule type="expression" dxfId="378" priority="1820">
      <formula>XDV1047211="LS"</formula>
    </cfRule>
    <cfRule type="expression" dxfId="377" priority="1821">
      <formula>XDV1047211="1/2CL"</formula>
    </cfRule>
    <cfRule type="expression" dxfId="376" priority="1822">
      <formula>XDV1047211="1/2UP"</formula>
    </cfRule>
    <cfRule type="expression" dxfId="375" priority="1823">
      <formula>#REF!="1/2UP"</formula>
    </cfRule>
    <cfRule type="expression" dxfId="374" priority="1824">
      <formula>#REF!="LS"</formula>
    </cfRule>
    <cfRule type="expression" dxfId="373" priority="1825">
      <formula>#REF!="1/2CL"</formula>
    </cfRule>
  </conditionalFormatting>
  <conditionalFormatting sqref="J4:L5 N4:O5">
    <cfRule type="expression" dxfId="372" priority="1829">
      <formula>J4="FP"</formula>
    </cfRule>
  </conditionalFormatting>
  <conditionalFormatting sqref="J4:L5 Q4:S4 Q5 S5">
    <cfRule type="expression" dxfId="371" priority="1827">
      <formula>J4="AL"</formula>
    </cfRule>
  </conditionalFormatting>
  <conditionalFormatting sqref="J4:L5">
    <cfRule type="expression" dxfId="370" priority="1811">
      <formula>J4="NOT"</formula>
    </cfRule>
  </conditionalFormatting>
  <conditionalFormatting sqref="L4:L5">
    <cfRule type="expression" dxfId="369" priority="1807">
      <formula>XDX1047217="LS"</formula>
    </cfRule>
    <cfRule type="expression" dxfId="368" priority="1880">
      <formula>L4="CL"</formula>
    </cfRule>
  </conditionalFormatting>
  <conditionalFormatting sqref="L4:M5">
    <cfRule type="expression" dxfId="367" priority="1736">
      <formula>XDX1047217="1/2CL"</formula>
    </cfRule>
    <cfRule type="expression" dxfId="366" priority="1738">
      <formula>XDX1047217="1/2UP"</formula>
    </cfRule>
  </conditionalFormatting>
  <conditionalFormatting sqref="M4:M5">
    <cfRule type="expression" dxfId="365" priority="1725">
      <formula>M4="NOT"</formula>
    </cfRule>
    <cfRule type="expression" dxfId="364" priority="1726">
      <formula>M4="CL"</formula>
    </cfRule>
    <cfRule type="expression" dxfId="363" priority="1727">
      <formula>M4="FP"</formula>
    </cfRule>
    <cfRule type="expression" dxfId="362" priority="1728">
      <formula>M4="CC"</formula>
    </cfRule>
    <cfRule type="expression" dxfId="361" priority="1729">
      <formula>M4="ML"</formula>
    </cfRule>
    <cfRule type="expression" dxfId="360" priority="1730">
      <formula>M4="SL1"</formula>
    </cfRule>
    <cfRule type="expression" dxfId="359" priority="1731">
      <formula>M4="UP"</formula>
    </cfRule>
    <cfRule type="expression" dxfId="358" priority="1732">
      <formula>M4="1/2AL"</formula>
    </cfRule>
    <cfRule type="expression" dxfId="357" priority="1733">
      <formula>M4="AL"</formula>
    </cfRule>
    <cfRule type="expression" dxfId="356" priority="1734">
      <formula>M4="OFF"</formula>
    </cfRule>
    <cfRule type="expression" dxfId="355" priority="1735">
      <formula>XDY1047217="LS"</formula>
    </cfRule>
    <cfRule type="expression" dxfId="354" priority="1737">
      <formula>M4="1/2UP"</formula>
    </cfRule>
  </conditionalFormatting>
  <conditionalFormatting sqref="N4">
    <cfRule type="expression" dxfId="353" priority="137">
      <formula>XDZ1047269="LS"</formula>
    </cfRule>
    <cfRule type="expression" dxfId="352" priority="138">
      <formula>XDZ1047269="1/2CL"</formula>
    </cfRule>
    <cfRule type="expression" dxfId="351" priority="139">
      <formula>XDZ1047269="1/2UP"</formula>
    </cfRule>
  </conditionalFormatting>
  <conditionalFormatting sqref="N4:N5">
    <cfRule type="expression" dxfId="350" priority="1846">
      <formula>#REF!="1/2UP"</formula>
    </cfRule>
    <cfRule type="expression" dxfId="349" priority="1849">
      <formula>XDZ1047211="LS"</formula>
    </cfRule>
    <cfRule type="expression" dxfId="348" priority="1850">
      <formula>XDZ1047211="1/2CL"</formula>
    </cfRule>
    <cfRule type="expression" dxfId="347" priority="1851">
      <formula>XDZ1047211="1/2UP"</formula>
    </cfRule>
    <cfRule type="expression" dxfId="346" priority="1852">
      <formula>#REF!="LS"</formula>
    </cfRule>
    <cfRule type="expression" dxfId="345" priority="1853">
      <formula>#REF!="1/2CL"</formula>
    </cfRule>
  </conditionalFormatting>
  <conditionalFormatting sqref="N4:O4">
    <cfRule type="expression" dxfId="344" priority="121">
      <formula>N4="FP"</formula>
    </cfRule>
    <cfRule type="expression" dxfId="343" priority="122">
      <formula>N4="CC"</formula>
    </cfRule>
    <cfRule type="expression" dxfId="342" priority="123">
      <formula>N4="ML"</formula>
    </cfRule>
    <cfRule type="expression" dxfId="341" priority="124">
      <formula>N4="SL1"</formula>
    </cfRule>
    <cfRule type="expression" dxfId="340" priority="125">
      <formula>N4="UP"</formula>
    </cfRule>
    <cfRule type="expression" dxfId="339" priority="126">
      <formula>N4="OFF"</formula>
    </cfRule>
    <cfRule type="expression" dxfId="338" priority="127">
      <formula>N4="1/2AL"</formula>
    </cfRule>
    <cfRule type="expression" dxfId="337" priority="128">
      <formula>N4="AL"</formula>
    </cfRule>
  </conditionalFormatting>
  <conditionalFormatting sqref="N4:O5">
    <cfRule type="expression" dxfId="336" priority="1800">
      <formula>N4="1/2AL"</formula>
    </cfRule>
    <cfRule type="expression" dxfId="335" priority="1801">
      <formula>N4="AL"</formula>
    </cfRule>
    <cfRule type="expression" dxfId="334" priority="1802">
      <formula>N4="OFF"</formula>
    </cfRule>
  </conditionalFormatting>
  <conditionalFormatting sqref="N4:Y4 N5:Q5 S5:Y5">
    <cfRule type="expression" dxfId="333" priority="1837">
      <formula>N4="NOT"</formula>
    </cfRule>
    <cfRule type="expression" dxfId="332" priority="2811">
      <formula>XDZ1047249="1/2UP"</formula>
    </cfRule>
    <cfRule type="expression" dxfId="331" priority="2812">
      <formula>N4="1/2UP"</formula>
    </cfRule>
  </conditionalFormatting>
  <conditionalFormatting sqref="N4:Y4 N5:Q5 S5:Y5 J4:K5">
    <cfRule type="expression" dxfId="330" priority="9421">
      <formula>XDV1047249="LS"</formula>
    </cfRule>
    <cfRule type="expression" dxfId="329" priority="9422">
      <formula>XDV1047249="1/2CL"</formula>
    </cfRule>
  </conditionalFormatting>
  <conditionalFormatting sqref="N4:Y4 N5:Q5 S5:Y5">
    <cfRule type="expression" dxfId="328" priority="1841">
      <formula>N4="FP"</formula>
    </cfRule>
    <cfRule type="expression" dxfId="327" priority="2813">
      <formula>N4="CL"</formula>
    </cfRule>
    <cfRule type="expression" dxfId="326" priority="2815">
      <formula>N4="CC"</formula>
    </cfRule>
    <cfRule type="expression" dxfId="325" priority="2816">
      <formula>N4="ML"</formula>
    </cfRule>
    <cfRule type="expression" dxfId="324" priority="2817">
      <formula>N4="SL1"</formula>
    </cfRule>
    <cfRule type="expression" dxfId="323" priority="2819">
      <formula>N4="UP"</formula>
    </cfRule>
    <cfRule type="expression" dxfId="322" priority="2820">
      <formula>N4="1/2AL"</formula>
    </cfRule>
    <cfRule type="expression" dxfId="321" priority="2821">
      <formula>N4="AL"</formula>
    </cfRule>
    <cfRule type="expression" dxfId="320" priority="2822">
      <formula>N4="OFF"</formula>
    </cfRule>
  </conditionalFormatting>
  <conditionalFormatting sqref="O4:O5">
    <cfRule type="expression" dxfId="319" priority="1799">
      <formula>O4="1/2UP"</formula>
    </cfRule>
    <cfRule type="expression" dxfId="318" priority="1803">
      <formula>O4="CL"</formula>
    </cfRule>
    <cfRule type="expression" dxfId="317" priority="1804">
      <formula>O4="NOT"</formula>
    </cfRule>
  </conditionalFormatting>
  <conditionalFormatting sqref="O4:P5">
    <cfRule type="expression" dxfId="316" priority="9738">
      <formula>XEA1047269="LS"</formula>
    </cfRule>
    <cfRule type="expression" dxfId="315" priority="9739">
      <formula>XEA1047269="1/2CL"</formula>
    </cfRule>
    <cfRule type="expression" dxfId="314" priority="9740">
      <formula>XEA1047269="1/2UP"</formula>
    </cfRule>
  </conditionalFormatting>
  <conditionalFormatting sqref="P4:P5">
    <cfRule type="expression" dxfId="313" priority="1796">
      <formula>P4="OFF"</formula>
    </cfRule>
    <cfRule type="expression" dxfId="312" priority="1797">
      <formula>P4="1/2AL"</formula>
    </cfRule>
    <cfRule type="expression" dxfId="311" priority="1798">
      <formula>P4="AL"</formula>
    </cfRule>
  </conditionalFormatting>
  <conditionalFormatting sqref="P4:S4 P5:Q5 S5">
    <cfRule type="expression" dxfId="310" priority="1791">
      <formula>P4="FP"</formula>
    </cfRule>
    <cfRule type="expression" dxfId="309" priority="1792">
      <formula>P4="CC"</formula>
    </cfRule>
    <cfRule type="expression" dxfId="308" priority="1793">
      <formula>P4="ML"</formula>
    </cfRule>
    <cfRule type="expression" dxfId="307" priority="1794">
      <formula>P4="SL1"</formula>
    </cfRule>
    <cfRule type="expression" dxfId="306" priority="1795">
      <formula>P4="UP"</formula>
    </cfRule>
  </conditionalFormatting>
  <conditionalFormatting sqref="Q4:S4 J4:K5 Q5 S5">
    <cfRule type="expression" dxfId="305" priority="1828">
      <formula>J4="OFF"</formula>
    </cfRule>
  </conditionalFormatting>
  <conditionalFormatting sqref="Q4:S4 Q5 S5">
    <cfRule type="expression" dxfId="304" priority="1788">
      <formula>#REF!="LS"</formula>
    </cfRule>
    <cfRule type="expression" dxfId="303" priority="1789">
      <formula>#REF!="1/2CL"</formula>
    </cfRule>
    <cfRule type="expression" dxfId="302" priority="1790">
      <formula>#REF!="1/2UP"</formula>
    </cfRule>
  </conditionalFormatting>
  <conditionalFormatting sqref="Q4:T4 Q5 S5:T5">
    <cfRule type="expression" dxfId="301" priority="1787">
      <formula>XEC1047211="1/2UP"</formula>
    </cfRule>
  </conditionalFormatting>
  <conditionalFormatting sqref="Q4:T4 S5:T5 Q5">
    <cfRule type="expression" dxfId="300" priority="1785">
      <formula>XEC1047211="LS"</formula>
    </cfRule>
    <cfRule type="expression" dxfId="299" priority="1786">
      <formula>XEC1047211="1/2CL"</formula>
    </cfRule>
  </conditionalFormatting>
  <conditionalFormatting sqref="R5">
    <cfRule type="expression" dxfId="298" priority="46">
      <formula>R5="FP"</formula>
    </cfRule>
    <cfRule type="expression" dxfId="297" priority="47">
      <formula>R5="CC"</formula>
    </cfRule>
    <cfRule type="expression" dxfId="296" priority="48">
      <formula>R5="ML"</formula>
    </cfRule>
    <cfRule type="expression" dxfId="295" priority="49">
      <formula>R5="SL1"</formula>
    </cfRule>
    <cfRule type="expression" dxfId="294" priority="50">
      <formula>R5="UP"</formula>
    </cfRule>
    <cfRule type="expression" dxfId="293" priority="51">
      <formula>R5="OFF"</formula>
    </cfRule>
    <cfRule type="expression" dxfId="292" priority="52">
      <formula>R5="1/2AL"</formula>
    </cfRule>
    <cfRule type="expression" dxfId="291" priority="53">
      <formula>R5="AL"</formula>
    </cfRule>
    <cfRule type="expression" dxfId="290" priority="54">
      <formula>R5="NOT"</formula>
    </cfRule>
    <cfRule type="expression" dxfId="289" priority="55">
      <formula>R5="FP"</formula>
    </cfRule>
    <cfRule type="expression" dxfId="288" priority="56">
      <formula>XED1047250="1/2UP"</formula>
    </cfRule>
    <cfRule type="expression" dxfId="287" priority="57">
      <formula>R5="1/2UP"</formula>
    </cfRule>
    <cfRule type="expression" dxfId="286" priority="58">
      <formula>R5="CL"</formula>
    </cfRule>
    <cfRule type="expression" dxfId="285" priority="59">
      <formula>R5="CC"</formula>
    </cfRule>
    <cfRule type="expression" dxfId="284" priority="60">
      <formula>R5="ML"</formula>
    </cfRule>
    <cfRule type="expression" dxfId="283" priority="61">
      <formula>R5="SL1"</formula>
    </cfRule>
    <cfRule type="expression" dxfId="282" priority="62">
      <formula>R5="UP"</formula>
    </cfRule>
    <cfRule type="expression" dxfId="281" priority="63">
      <formula>R5="1/2AL"</formula>
    </cfRule>
    <cfRule type="expression" dxfId="280" priority="64">
      <formula>R5="AL"</formula>
    </cfRule>
    <cfRule type="expression" dxfId="279" priority="65">
      <formula>R5="OFF"</formula>
    </cfRule>
    <cfRule type="expression" dxfId="278" priority="66">
      <formula>XED1047250="LS"</formula>
    </cfRule>
    <cfRule type="expression" dxfId="277" priority="67">
      <formula>XED1047250="1/2CL"</formula>
    </cfRule>
    <cfRule type="expression" dxfId="276" priority="68">
      <formula>XED1047270="LS"</formula>
    </cfRule>
    <cfRule type="expression" dxfId="275" priority="69">
      <formula>XED1047270="1/2CL"</formula>
    </cfRule>
    <cfRule type="expression" dxfId="274" priority="70">
      <formula>XED1047270="1/2UP"</formula>
    </cfRule>
  </conditionalFormatting>
  <conditionalFormatting sqref="T4:T5">
    <cfRule type="expression" dxfId="273" priority="1770">
      <formula>XEF1047199="1/2UP"</formula>
    </cfRule>
    <cfRule type="expression" dxfId="272" priority="1771">
      <formula>XEF1047199="LS"</formula>
    </cfRule>
    <cfRule type="expression" dxfId="271" priority="1772">
      <formula>XEF1047199="1/2CL"</formula>
    </cfRule>
    <cfRule type="expression" dxfId="270" priority="1773">
      <formula>T4="FP"</formula>
    </cfRule>
    <cfRule type="expression" dxfId="269" priority="1774">
      <formula>T4="CC"</formula>
    </cfRule>
    <cfRule type="expression" dxfId="268" priority="1775">
      <formula>T4="ML"</formula>
    </cfRule>
    <cfRule type="expression" dxfId="267" priority="1776">
      <formula>T4="SL1"</formula>
    </cfRule>
    <cfRule type="expression" dxfId="266" priority="1777">
      <formula>T4="UP"</formula>
    </cfRule>
    <cfRule type="expression" dxfId="265" priority="1778">
      <formula>T4="1/2AL"</formula>
    </cfRule>
    <cfRule type="expression" dxfId="264" priority="1779">
      <formula>T4="AL"</formula>
    </cfRule>
    <cfRule type="expression" dxfId="263" priority="1780">
      <formula>T4="OFF"</formula>
    </cfRule>
  </conditionalFormatting>
  <conditionalFormatting sqref="V5">
    <cfRule type="expression" dxfId="262" priority="16">
      <formula>V5="CL"</formula>
    </cfRule>
  </conditionalFormatting>
  <conditionalFormatting sqref="W4:X5">
    <cfRule type="expression" dxfId="261" priority="1769">
      <formula>W4="CL"</formula>
    </cfRule>
  </conditionalFormatting>
  <conditionalFormatting sqref="Z4:Z5">
    <cfRule type="expression" dxfId="260" priority="1865">
      <formula>Z4="CL"</formula>
    </cfRule>
  </conditionalFormatting>
  <conditionalFormatting sqref="Z4:Z5 AD4:AE4 AE5">
    <cfRule type="expression" dxfId="259" priority="1861">
      <formula>XEL1047259="LS"</formula>
    </cfRule>
    <cfRule type="expression" dxfId="258" priority="1862">
      <formula>XEL1047259="1/2CL"</formula>
    </cfRule>
  </conditionalFormatting>
  <conditionalFormatting sqref="Z4:Z5">
    <cfRule type="expression" dxfId="257" priority="1860">
      <formula>XEL1047259="1/2UP"</formula>
    </cfRule>
    <cfRule type="expression" dxfId="256" priority="1863">
      <formula>Z4="NOT"</formula>
    </cfRule>
    <cfRule type="expression" dxfId="255" priority="1864">
      <formula>Z4="FP"</formula>
    </cfRule>
  </conditionalFormatting>
  <conditionalFormatting sqref="Z4:Z5 AD4:AE4 AE5">
    <cfRule type="expression" dxfId="254" priority="1866">
      <formula>Z4="CC"</formula>
    </cfRule>
    <cfRule type="expression" dxfId="253" priority="1867">
      <formula>Z4="ML"</formula>
    </cfRule>
    <cfRule type="expression" dxfId="252" priority="1868">
      <formula>Z4="SL1"</formula>
    </cfRule>
  </conditionalFormatting>
  <conditionalFormatting sqref="AA4:AB5">
    <cfRule type="expression" dxfId="251" priority="1327376">
      <formula>XEM1047253="LS"</formula>
    </cfRule>
    <cfRule type="expression" dxfId="250" priority="1327377">
      <formula>XEM1047253="1/2CL"</formula>
    </cfRule>
    <cfRule type="expression" dxfId="249" priority="1327378">
      <formula>AA4="1/2UP"</formula>
    </cfRule>
    <cfRule type="expression" dxfId="248" priority="1327379">
      <formula>XEN1047257="1/2UP"</formula>
    </cfRule>
    <cfRule type="expression" dxfId="247" priority="1327380">
      <formula>XEN1047257="LS"</formula>
    </cfRule>
    <cfRule type="expression" dxfId="246" priority="1327381">
      <formula>XEN1047257="1/2CL"</formula>
    </cfRule>
    <cfRule type="expression" dxfId="245" priority="1327382">
      <formula>XEM1047253="1/2UP"</formula>
    </cfRule>
  </conditionalFormatting>
  <conditionalFormatting sqref="AA4:AB5">
    <cfRule type="expression" dxfId="244" priority="1741">
      <formula>AA4="NOT"</formula>
    </cfRule>
    <cfRule type="expression" dxfId="243" priority="1742">
      <formula>AA4="FP"</formula>
    </cfRule>
  </conditionalFormatting>
  <conditionalFormatting sqref="AA4:AB5">
    <cfRule type="expression" dxfId="242" priority="1327368">
      <formula>AA4="CL"</formula>
    </cfRule>
    <cfRule type="expression" dxfId="241" priority="1327369">
      <formula>AA4="CC"</formula>
    </cfRule>
    <cfRule type="expression" dxfId="240" priority="1327370">
      <formula>AA4="ML"</formula>
    </cfRule>
    <cfRule type="expression" dxfId="239" priority="1327371">
      <formula>AA4="SL1"</formula>
    </cfRule>
    <cfRule type="expression" dxfId="238" priority="1327372">
      <formula>AA4="UP"</formula>
    </cfRule>
    <cfRule type="expression" dxfId="237" priority="1327373">
      <formula>AA4="1/2AL"</formula>
    </cfRule>
    <cfRule type="expression" dxfId="236" priority="1327374">
      <formula>AA4="AL"</formula>
    </cfRule>
    <cfRule type="expression" dxfId="235" priority="1327375">
      <formula>AA4="OFF"</formula>
    </cfRule>
  </conditionalFormatting>
  <conditionalFormatting sqref="AC4">
    <cfRule type="expression" dxfId="234" priority="102">
      <formula>AC4="1/2AL"</formula>
    </cfRule>
    <cfRule type="expression" dxfId="233" priority="103">
      <formula>AC4="AL"</formula>
    </cfRule>
    <cfRule type="expression" dxfId="232" priority="106">
      <formula>XEO1047249="1/2UP"</formula>
    </cfRule>
    <cfRule type="expression" dxfId="231" priority="107">
      <formula>AC4="1/2UP"</formula>
    </cfRule>
    <cfRule type="expression" dxfId="230" priority="109">
      <formula>AC4="CC"</formula>
    </cfRule>
    <cfRule type="expression" dxfId="229" priority="110">
      <formula>AC4="ML"</formula>
    </cfRule>
    <cfRule type="expression" dxfId="228" priority="111">
      <formula>AC4="SL1"</formula>
    </cfRule>
    <cfRule type="expression" dxfId="227" priority="112">
      <formula>AC4="UP"</formula>
    </cfRule>
    <cfRule type="expression" dxfId="226" priority="113">
      <formula>AC4="1/2AL"</formula>
    </cfRule>
    <cfRule type="expression" dxfId="225" priority="114">
      <formula>AC4="AL"</formula>
    </cfRule>
    <cfRule type="expression" dxfId="224" priority="115">
      <formula>AC4="OFF"</formula>
    </cfRule>
    <cfRule type="expression" dxfId="223" priority="116">
      <formula>XEO1047249="LS"</formula>
    </cfRule>
    <cfRule type="expression" dxfId="222" priority="117">
      <formula>XEO1047249="1/2CL"</formula>
    </cfRule>
    <cfRule type="expression" dxfId="221" priority="118">
      <formula>XEO1047269="LS"</formula>
    </cfRule>
    <cfRule type="expression" dxfId="220" priority="119">
      <formula>XEO1047269="1/2CL"</formula>
    </cfRule>
    <cfRule type="expression" dxfId="219" priority="120">
      <formula>XEO1047269="1/2UP"</formula>
    </cfRule>
  </conditionalFormatting>
  <conditionalFormatting sqref="AC4:AC5">
    <cfRule type="expression" dxfId="218" priority="33">
      <formula>AC4="FP"</formula>
    </cfRule>
    <cfRule type="expression" dxfId="217" priority="37">
      <formula>AC4="CC"</formula>
    </cfRule>
    <cfRule type="expression" dxfId="216" priority="38">
      <formula>AC4="ML"</formula>
    </cfRule>
    <cfRule type="expression" dxfId="215" priority="39">
      <formula>AC4="SL1"</formula>
    </cfRule>
    <cfRule type="expression" dxfId="214" priority="40">
      <formula>AC4="UP"</formula>
    </cfRule>
    <cfRule type="expression" dxfId="213" priority="43">
      <formula>AC4="OFF"</formula>
    </cfRule>
  </conditionalFormatting>
  <conditionalFormatting sqref="AC5">
    <cfRule type="expression" dxfId="212" priority="31">
      <formula>AC5="CL"</formula>
    </cfRule>
    <cfRule type="expression" dxfId="211" priority="32">
      <formula>AC5="NOT"</formula>
    </cfRule>
    <cfRule type="expression" dxfId="210" priority="34">
      <formula>XEO1047250="1/2UP"</formula>
    </cfRule>
    <cfRule type="expression" dxfId="209" priority="35">
      <formula>AC5="1/2UP"</formula>
    </cfRule>
    <cfRule type="expression" dxfId="208" priority="36">
      <formula>AC5="CL"</formula>
    </cfRule>
    <cfRule type="expression" dxfId="207" priority="41">
      <formula>AC5="1/2AL"</formula>
    </cfRule>
    <cfRule type="expression" dxfId="206" priority="42">
      <formula>AC5="AL"</formula>
    </cfRule>
    <cfRule type="expression" dxfId="205" priority="44">
      <formula>XEO1047250="LS"</formula>
    </cfRule>
    <cfRule type="expression" dxfId="204" priority="45">
      <formula>XEO1047250="1/2CL"</formula>
    </cfRule>
  </conditionalFormatting>
  <conditionalFormatting sqref="AC4:AE4">
    <cfRule type="expression" dxfId="203" priority="104">
      <formula>AC4="NOT"</formula>
    </cfRule>
    <cfRule type="expression" dxfId="202" priority="105">
      <formula>AC4="FP"</formula>
    </cfRule>
    <cfRule type="expression" dxfId="201" priority="108">
      <formula>AC4="CL"</formula>
    </cfRule>
  </conditionalFormatting>
  <conditionalFormatting sqref="AD5">
    <cfRule type="expression" dxfId="200" priority="71">
      <formula>AD5="FP"</formula>
    </cfRule>
    <cfRule type="expression" dxfId="199" priority="72">
      <formula>AD5="CC"</formula>
    </cfRule>
    <cfRule type="expression" dxfId="198" priority="73">
      <formula>AD5="ML"</formula>
    </cfRule>
    <cfRule type="expression" dxfId="197" priority="74">
      <formula>AD5="SL1"</formula>
    </cfRule>
    <cfRule type="expression" dxfId="196" priority="75">
      <formula>AD5="UP"</formula>
    </cfRule>
    <cfRule type="expression" dxfId="195" priority="76">
      <formula>AD5="OFF"</formula>
    </cfRule>
    <cfRule type="expression" dxfId="194" priority="77">
      <formula>AD5="1/2AL"</formula>
    </cfRule>
    <cfRule type="expression" dxfId="193" priority="78">
      <formula>AD5="AL"</formula>
    </cfRule>
    <cfRule type="expression" dxfId="192" priority="81">
      <formula>XEP1047250="1/2UP"</formula>
    </cfRule>
    <cfRule type="expression" dxfId="191" priority="82">
      <formula>AD5="1/2UP"</formula>
    </cfRule>
    <cfRule type="expression" dxfId="190" priority="84">
      <formula>AD5="CC"</formula>
    </cfRule>
    <cfRule type="expression" dxfId="189" priority="85">
      <formula>AD5="ML"</formula>
    </cfRule>
    <cfRule type="expression" dxfId="188" priority="86">
      <formula>AD5="SL1"</formula>
    </cfRule>
    <cfRule type="expression" dxfId="187" priority="87">
      <formula>AD5="UP"</formula>
    </cfRule>
    <cfRule type="expression" dxfId="186" priority="88">
      <formula>AD5="1/2AL"</formula>
    </cfRule>
    <cfRule type="expression" dxfId="185" priority="89">
      <formula>AD5="AL"</formula>
    </cfRule>
    <cfRule type="expression" dxfId="184" priority="90">
      <formula>AD5="OFF"</formula>
    </cfRule>
    <cfRule type="expression" dxfId="183" priority="91">
      <formula>XEP1047250="LS"</formula>
    </cfRule>
    <cfRule type="expression" dxfId="182" priority="92">
      <formula>XEP1047250="1/2CL"</formula>
    </cfRule>
    <cfRule type="expression" dxfId="181" priority="93">
      <formula>XEP1047270="LS"</formula>
    </cfRule>
    <cfRule type="expression" dxfId="180" priority="94">
      <formula>XEP1047270="1/2CL"</formula>
    </cfRule>
    <cfRule type="expression" dxfId="179" priority="95">
      <formula>XEP1047270="1/2UP"</formula>
    </cfRule>
  </conditionalFormatting>
  <conditionalFormatting sqref="AD4:AE4 Z4:Z5 AE5">
    <cfRule type="expression" dxfId="178" priority="1869">
      <formula>Z4="UP"</formula>
    </cfRule>
    <cfRule type="expression" dxfId="177" priority="1870">
      <formula>Z4="1/2AL"</formula>
    </cfRule>
    <cfRule type="expression" dxfId="176" priority="1871">
      <formula>Z4="AL"</formula>
    </cfRule>
    <cfRule type="expression" dxfId="175" priority="1872">
      <formula>Z4="OFF"</formula>
    </cfRule>
  </conditionalFormatting>
  <conditionalFormatting sqref="AD4:AE4 Z4:Z5 AE5">
    <cfRule type="expression" dxfId="174" priority="1873">
      <formula>Z4="1/2UP"</formula>
    </cfRule>
  </conditionalFormatting>
  <conditionalFormatting sqref="AD4:AE4 AE5">
    <cfRule type="expression" dxfId="173" priority="1327397">
      <formula>XEP1047259="1/2UP"</formula>
    </cfRule>
  </conditionalFormatting>
  <conditionalFormatting sqref="AD5:AE5">
    <cfRule type="expression" dxfId="172" priority="79">
      <formula>AD5="NOT"</formula>
    </cfRule>
    <cfRule type="expression" dxfId="171" priority="80">
      <formula>AD5="FP"</formula>
    </cfRule>
    <cfRule type="expression" dxfId="170" priority="83">
      <formula>AD5="CL"</formula>
    </cfRule>
  </conditionalFormatting>
  <conditionalFormatting sqref="AF4:AG5">
    <cfRule type="expression" dxfId="169" priority="1876">
      <formula>AF4="UP"</formula>
    </cfRule>
    <cfRule type="expression" dxfId="168" priority="1877">
      <formula>AF4="1/2AL"</formula>
    </cfRule>
    <cfRule type="expression" dxfId="167" priority="1878">
      <formula>AF4="OFF"</formula>
    </cfRule>
    <cfRule type="expression" dxfId="166" priority="1879">
      <formula>AF4="AL"</formula>
    </cfRule>
    <cfRule type="expression" dxfId="165" priority="9784">
      <formula>B1047266="LS"</formula>
    </cfRule>
    <cfRule type="expression" dxfId="164" priority="9785">
      <formula>B1047266="1/2CL"</formula>
    </cfRule>
    <cfRule type="expression" dxfId="163" priority="9786">
      <formula>B1047266="1/2UP"</formula>
    </cfRule>
  </conditionalFormatting>
  <conditionalFormatting sqref="AF4:AI5 L4:L5">
    <cfRule type="expression" dxfId="162" priority="10400">
      <formula>L4="1/2UP"</formula>
    </cfRule>
  </conditionalFormatting>
  <conditionalFormatting sqref="AF4:AI5">
    <cfRule type="expression" dxfId="161" priority="9367">
      <formula>AF4="NOT"</formula>
    </cfRule>
    <cfRule type="expression" dxfId="160" priority="10401">
      <formula>AF4="CL"</formula>
    </cfRule>
    <cfRule type="expression" dxfId="159" priority="10422">
      <formula>AF4="FP"</formula>
    </cfRule>
  </conditionalFormatting>
  <conditionalFormatting sqref="AF4:AI5 L4:L5">
    <cfRule type="expression" dxfId="158" priority="10395">
      <formula>L4="CC"</formula>
    </cfRule>
    <cfRule type="expression" dxfId="157" priority="10396">
      <formula>L4="ML"</formula>
    </cfRule>
    <cfRule type="expression" dxfId="156" priority="10397">
      <formula>L4="SL1"</formula>
    </cfRule>
  </conditionalFormatting>
  <conditionalFormatting sqref="AH4:AI5 L4:L5">
    <cfRule type="expression" dxfId="155" priority="10410">
      <formula>L4="1/2AL"</formula>
    </cfRule>
    <cfRule type="expression" dxfId="154" priority="10411">
      <formula>L4="OFF"</formula>
    </cfRule>
  </conditionalFormatting>
  <conditionalFormatting sqref="AH4:AI5 L4:L5">
    <cfRule type="expression" dxfId="153" priority="10409">
      <formula>L4="UP"</formula>
    </cfRule>
  </conditionalFormatting>
  <conditionalFormatting sqref="AH4:AI5">
    <cfRule type="expression" dxfId="152" priority="9366">
      <formula>AH4="AL"</formula>
    </cfRule>
  </conditionalFormatting>
  <conditionalFormatting sqref="AH4:AI5">
    <cfRule type="expression" dxfId="151" priority="6618">
      <formula>D1047217="LS"</formula>
    </cfRule>
    <cfRule type="expression" dxfId="150" priority="6619">
      <formula>D1047217="1/2CL"</formula>
    </cfRule>
    <cfRule type="expression" dxfId="149" priority="6620">
      <formula>D1047217="1/2UP"</formula>
    </cfRule>
  </conditionalFormatting>
  <conditionalFormatting sqref="AJ4:AK5">
    <cfRule type="expression" dxfId="148" priority="260">
      <formula>AJ4="AL"</formula>
    </cfRule>
    <cfRule type="expression" dxfId="147" priority="262">
      <formula>AJ4="1/2UP"</formula>
    </cfRule>
    <cfRule type="expression" dxfId="146" priority="263">
      <formula>F1047259="1/2UP"</formula>
    </cfRule>
  </conditionalFormatting>
  <conditionalFormatting sqref="AJ4:AK5">
    <cfRule type="expression" dxfId="145" priority="191">
      <formula>F1047259="LS"</formula>
    </cfRule>
    <cfRule type="expression" dxfId="144" priority="192">
      <formula>F1047259="1/2CL"</formula>
    </cfRule>
    <cfRule type="expression" dxfId="143" priority="193">
      <formula>AJ4="NOT"</formula>
    </cfRule>
    <cfRule type="expression" dxfId="142" priority="194">
      <formula>AJ4="FP"</formula>
    </cfRule>
    <cfRule type="expression" dxfId="141" priority="195">
      <formula>AJ4="CL"</formula>
    </cfRule>
    <cfRule type="expression" dxfId="140" priority="196">
      <formula>AJ4="CC"</formula>
    </cfRule>
    <cfRule type="expression" dxfId="139" priority="197">
      <formula>AJ4="ML"</formula>
    </cfRule>
    <cfRule type="expression" dxfId="138" priority="198">
      <formula>AJ4="SL1"</formula>
    </cfRule>
  </conditionalFormatting>
  <conditionalFormatting sqref="AJ4:AM5">
    <cfRule type="expression" dxfId="137" priority="258">
      <formula>AJ4="UP"</formula>
    </cfRule>
    <cfRule type="expression" dxfId="136" priority="259">
      <formula>AJ4="1/2AL"</formula>
    </cfRule>
    <cfRule type="expression" dxfId="135" priority="261">
      <formula>AJ4="OFF"</formula>
    </cfRule>
  </conditionalFormatting>
  <conditionalFormatting sqref="AL4:AM4">
    <cfRule type="expression" dxfId="134" priority="448">
      <formula>H1047266="LS"</formula>
    </cfRule>
    <cfRule type="expression" dxfId="133" priority="449">
      <formula>H1047266="1/2CL"</formula>
    </cfRule>
    <cfRule type="expression" dxfId="132" priority="450">
      <formula>H1047266="1/2UP"</formula>
    </cfRule>
  </conditionalFormatting>
  <conditionalFormatting sqref="AL5:AM5">
    <cfRule type="expression" dxfId="131" priority="407">
      <formula>AL5="AL"</formula>
    </cfRule>
    <cfRule type="expression" dxfId="130" priority="412">
      <formula>AL5="NOT"</formula>
    </cfRule>
    <cfRule type="expression" dxfId="129" priority="413">
      <formula>H1047267="LS"</formula>
    </cfRule>
    <cfRule type="expression" dxfId="128" priority="414">
      <formula>H1047267="1/2CL"</formula>
    </cfRule>
    <cfRule type="expression" dxfId="127" priority="415">
      <formula>H1047267="1/2UP"</formula>
    </cfRule>
    <cfRule type="expression" dxfId="126" priority="416">
      <formula>AL5="CC"</formula>
    </cfRule>
    <cfRule type="expression" dxfId="125" priority="417">
      <formula>AL5="ML"</formula>
    </cfRule>
    <cfRule type="expression" dxfId="124" priority="418">
      <formula>AL5="SL1"</formula>
    </cfRule>
    <cfRule type="expression" dxfId="123" priority="419">
      <formula>AL5="1/2UP"</formula>
    </cfRule>
    <cfRule type="expression" dxfId="122" priority="420">
      <formula>AL5="CL"</formula>
    </cfRule>
    <cfRule type="expression" dxfId="121" priority="424">
      <formula>AL5="FP"</formula>
    </cfRule>
  </conditionalFormatting>
  <conditionalFormatting sqref="AL4:AN4">
    <cfRule type="expression" dxfId="120" priority="442">
      <formula>AL4="AL"</formula>
    </cfRule>
    <cfRule type="expression" dxfId="119" priority="447">
      <formula>AL4="NOT"</formula>
    </cfRule>
    <cfRule type="expression" dxfId="118" priority="451">
      <formula>AL4="CC"</formula>
    </cfRule>
    <cfRule type="expression" dxfId="117" priority="452">
      <formula>AL4="ML"</formula>
    </cfRule>
    <cfRule type="expression" dxfId="116" priority="453">
      <formula>AL4="SL1"</formula>
    </cfRule>
    <cfRule type="expression" dxfId="115" priority="454">
      <formula>AL4="1/2UP"</formula>
    </cfRule>
    <cfRule type="expression" dxfId="114" priority="455">
      <formula>AL4="CL"</formula>
    </cfRule>
    <cfRule type="expression" dxfId="113" priority="459">
      <formula>AL4="FP"</formula>
    </cfRule>
  </conditionalFormatting>
  <conditionalFormatting sqref="AN4">
    <cfRule type="expression" dxfId="112" priority="456">
      <formula>AN4="UP"</formula>
    </cfRule>
    <cfRule type="expression" dxfId="111" priority="457">
      <formula>AN4="1/2AL"</formula>
    </cfRule>
    <cfRule type="expression" dxfId="110" priority="458">
      <formula>AN4="OFF"</formula>
    </cfRule>
  </conditionalFormatting>
  <conditionalFormatting sqref="AN4:AN5">
    <cfRule type="expression" dxfId="109" priority="17">
      <formula>J1047217="LS"</formula>
    </cfRule>
    <cfRule type="expression" dxfId="108" priority="18">
      <formula>J1047217="1/2CL"</formula>
    </cfRule>
    <cfRule type="expression" dxfId="107" priority="19">
      <formula>J1047217="1/2UP"</formula>
    </cfRule>
  </conditionalFormatting>
  <conditionalFormatting sqref="AN5">
    <cfRule type="expression" dxfId="106" priority="20">
      <formula>AN5="AL"</formula>
    </cfRule>
    <cfRule type="expression" dxfId="105" priority="21">
      <formula>AN5="NOT"</formula>
    </cfRule>
    <cfRule type="expression" dxfId="104" priority="22">
      <formula>AN5="CC"</formula>
    </cfRule>
    <cfRule type="expression" dxfId="103" priority="23">
      <formula>AN5="ML"</formula>
    </cfRule>
    <cfRule type="expression" dxfId="102" priority="24">
      <formula>AN5="SL1"</formula>
    </cfRule>
    <cfRule type="expression" dxfId="101" priority="25">
      <formula>AN5="1/2UP"</formula>
    </cfRule>
    <cfRule type="expression" dxfId="100" priority="26">
      <formula>AN5="CL"</formula>
    </cfRule>
    <cfRule type="expression" dxfId="99" priority="27">
      <formula>AN5="UP"</formula>
    </cfRule>
    <cfRule type="expression" dxfId="98" priority="28">
      <formula>AN5="1/2AL"</formula>
    </cfRule>
    <cfRule type="expression" dxfId="97" priority="29">
      <formula>AN5="OFF"</formula>
    </cfRule>
    <cfRule type="expression" dxfId="96" priority="30">
      <formula>AN5="FP"</formula>
    </cfRule>
  </conditionalFormatting>
  <conditionalFormatting sqref="C1:C3">
    <cfRule type="duplicateValues" dxfId="95" priority="10"/>
    <cfRule type="duplicateValues" dxfId="94" priority="11"/>
  </conditionalFormatting>
  <conditionalFormatting sqref="C3 C1">
    <cfRule type="duplicateValues" dxfId="93" priority="9"/>
  </conditionalFormatting>
  <conditionalFormatting sqref="C3">
    <cfRule type="duplicateValues" dxfId="92" priority="8"/>
  </conditionalFormatting>
  <conditionalFormatting sqref="C3 C1">
    <cfRule type="duplicateValues" dxfId="91" priority="4"/>
    <cfRule type="duplicateValues" dxfId="90" priority="5"/>
    <cfRule type="duplicateValues" dxfId="89" priority="6"/>
    <cfRule type="duplicateValues" dxfId="88" priority="7"/>
  </conditionalFormatting>
  <conditionalFormatting sqref="C3 C1">
    <cfRule type="duplicateValues" dxfId="87" priority="1"/>
    <cfRule type="duplicateValues" dxfId="86" priority="2"/>
    <cfRule type="duplicateValues" dxfId="85" priority="3"/>
  </conditionalFormatting>
  <conditionalFormatting sqref="K4:L5 N4:O5">
    <cfRule type="expression" dxfId="84" priority="1327750">
      <formula>$L$4:$P$5="HL"</formula>
    </cfRule>
  </conditionalFormatting>
  <dataValidations disablePrompts="1" count="1">
    <dataValidation type="list" allowBlank="1" showInputMessage="1" showErrorMessage="1" sqref="T7:T8" xr:uid="{00000000-0002-0000-0D00-000000000000}">
      <formula1>#REF!</formula1>
    </dataValidation>
  </dataValidations>
  <pageMargins left="0.25" right="0" top="0.5" bottom="0.5" header="0.3" footer="0.2"/>
  <pageSetup paperSize="9" scale="33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Y41"/>
  <sheetViews>
    <sheetView view="pageBreakPreview" zoomScale="80" zoomScaleNormal="66" zoomScaleSheetLayoutView="80" workbookViewId="0">
      <pane xSplit="6" ySplit="3" topLeftCell="I4" activePane="bottomRight" state="frozen"/>
      <selection activeCell="C13" sqref="C13"/>
      <selection pane="topRight" activeCell="C13" sqref="C13"/>
      <selection pane="bottomLeft" activeCell="C13" sqref="C13"/>
      <selection pane="bottomRight" activeCell="AU4" sqref="AU4"/>
    </sheetView>
  </sheetViews>
  <sheetFormatPr baseColWidth="10" defaultColWidth="13.5" defaultRowHeight="14" outlineLevelCol="1"/>
  <cols>
    <col min="1" max="1" width="6.5" style="275" customWidth="1"/>
    <col min="2" max="2" width="11.5" style="275" hidden="1" customWidth="1"/>
    <col min="3" max="3" width="17" style="7" customWidth="1"/>
    <col min="4" max="4" width="18.5" style="8" customWidth="1"/>
    <col min="5" max="5" width="17.33203125" style="8" customWidth="1"/>
    <col min="6" max="6" width="13.6640625" style="8" customWidth="1"/>
    <col min="7" max="7" width="14.5" style="9" bestFit="1" customWidth="1"/>
    <col min="8" max="29" width="5.33203125" style="9" customWidth="1"/>
    <col min="30" max="33" width="6.5" style="9" customWidth="1"/>
    <col min="34" max="35" width="5.33203125" style="9" customWidth="1"/>
    <col min="36" max="36" width="7.83203125" style="9" customWidth="1"/>
    <col min="37" max="37" width="11.33203125" style="9" customWidth="1"/>
    <col min="38" max="38" width="8.6640625" style="8" customWidth="1"/>
    <col min="39" max="39" width="16.5" style="8" customWidth="1"/>
    <col min="40" max="42" width="11.6640625" style="8" customWidth="1" outlineLevel="1"/>
    <col min="43" max="43" width="17.6640625" style="8" customWidth="1" outlineLevel="1"/>
    <col min="44" max="44" width="11.6640625" style="8" customWidth="1" outlineLevel="1"/>
    <col min="45" max="45" width="14.83203125" style="8" customWidth="1" outlineLevel="1"/>
    <col min="46" max="46" width="15.5" style="8" customWidth="1"/>
    <col min="47" max="47" width="18.6640625" style="275" customWidth="1"/>
    <col min="48" max="48" width="10.1640625" style="8" hidden="1" customWidth="1"/>
    <col min="49" max="49" width="28.6640625" style="8" hidden="1" customWidth="1"/>
    <col min="50" max="50" width="0" style="8" hidden="1" customWidth="1"/>
    <col min="51" max="16384" width="13.5" style="8"/>
  </cols>
  <sheetData>
    <row r="1" spans="1:51" s="275" customFormat="1" ht="21.75" customHeight="1">
      <c r="A1" s="166" t="s">
        <v>38</v>
      </c>
      <c r="B1" s="165" t="s">
        <v>11</v>
      </c>
      <c r="C1" s="182" t="s">
        <v>25</v>
      </c>
      <c r="D1" s="165" t="s">
        <v>10</v>
      </c>
      <c r="E1" s="165" t="s">
        <v>44</v>
      </c>
      <c r="F1" s="165" t="s">
        <v>59</v>
      </c>
      <c r="G1" s="332">
        <v>45444</v>
      </c>
      <c r="H1" s="333"/>
      <c r="I1" s="334">
        <v>45689</v>
      </c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6"/>
      <c r="AH1" s="354"/>
      <c r="AI1" s="354"/>
      <c r="AJ1" s="355"/>
      <c r="AK1" s="164" t="s">
        <v>39</v>
      </c>
      <c r="AL1" s="164" t="s">
        <v>40</v>
      </c>
      <c r="AM1" s="164" t="s">
        <v>216</v>
      </c>
      <c r="AN1" s="323" t="s">
        <v>217</v>
      </c>
      <c r="AO1" s="164" t="s">
        <v>218</v>
      </c>
      <c r="AP1" s="164" t="s">
        <v>29</v>
      </c>
      <c r="AQ1" s="164" t="s">
        <v>41</v>
      </c>
      <c r="AR1" s="164" t="s">
        <v>42</v>
      </c>
      <c r="AS1" s="164" t="s">
        <v>43</v>
      </c>
      <c r="AT1" s="164" t="s">
        <v>219</v>
      </c>
      <c r="AU1" s="274" t="s">
        <v>220</v>
      </c>
    </row>
    <row r="2" spans="1:51" s="7" customFormat="1" ht="33.75" customHeight="1">
      <c r="A2" s="276"/>
      <c r="B2" s="277"/>
      <c r="C2" s="278"/>
      <c r="D2" s="278"/>
      <c r="E2" s="278"/>
      <c r="F2" s="278"/>
      <c r="G2" s="337">
        <v>45411</v>
      </c>
      <c r="H2" s="337">
        <v>45412</v>
      </c>
      <c r="I2" s="337">
        <v>45566</v>
      </c>
      <c r="J2" s="337">
        <v>45567</v>
      </c>
      <c r="K2" s="337">
        <v>45568</v>
      </c>
      <c r="L2" s="337">
        <v>45569</v>
      </c>
      <c r="M2" s="337">
        <v>45570</v>
      </c>
      <c r="N2" s="337">
        <v>45571</v>
      </c>
      <c r="O2" s="337">
        <v>45572</v>
      </c>
      <c r="P2" s="337">
        <v>45573</v>
      </c>
      <c r="Q2" s="337">
        <v>45574</v>
      </c>
      <c r="R2" s="337">
        <v>45575</v>
      </c>
      <c r="S2" s="337">
        <v>45576</v>
      </c>
      <c r="T2" s="337">
        <v>45577</v>
      </c>
      <c r="U2" s="337">
        <v>45578</v>
      </c>
      <c r="V2" s="337">
        <v>45579</v>
      </c>
      <c r="W2" s="337">
        <v>45580</v>
      </c>
      <c r="X2" s="337">
        <v>45581</v>
      </c>
      <c r="Y2" s="337">
        <v>45582</v>
      </c>
      <c r="Z2" s="337">
        <v>45583</v>
      </c>
      <c r="AA2" s="337">
        <v>45584</v>
      </c>
      <c r="AB2" s="337">
        <v>45585</v>
      </c>
      <c r="AC2" s="337">
        <v>45586</v>
      </c>
      <c r="AD2" s="337">
        <v>45587</v>
      </c>
      <c r="AE2" s="337">
        <v>45588</v>
      </c>
      <c r="AF2" s="337">
        <v>45589</v>
      </c>
      <c r="AG2" s="337">
        <v>45590</v>
      </c>
      <c r="AH2" s="337">
        <f>1+AG2</f>
        <v>45591</v>
      </c>
      <c r="AI2" s="337">
        <f>1+AH2</f>
        <v>45592</v>
      </c>
      <c r="AJ2" s="337"/>
      <c r="AK2" s="278"/>
      <c r="AL2" s="277"/>
      <c r="AM2" s="278"/>
      <c r="AN2" s="324"/>
      <c r="AO2" s="277"/>
      <c r="AP2" s="277"/>
      <c r="AQ2" s="277"/>
      <c r="AR2" s="277"/>
      <c r="AS2" s="277"/>
      <c r="AT2" s="278"/>
      <c r="AU2" s="279"/>
    </row>
    <row r="3" spans="1:51" s="7" customFormat="1" ht="27" customHeight="1">
      <c r="A3" s="280"/>
      <c r="B3" s="183"/>
      <c r="C3" s="277"/>
      <c r="D3" s="277"/>
      <c r="E3" s="277"/>
      <c r="F3" s="277"/>
      <c r="G3" s="338" t="s">
        <v>51</v>
      </c>
      <c r="H3" s="338" t="s">
        <v>45</v>
      </c>
      <c r="I3" s="338" t="s">
        <v>46</v>
      </c>
      <c r="J3" s="338" t="s">
        <v>47</v>
      </c>
      <c r="K3" s="338" t="s">
        <v>48</v>
      </c>
      <c r="L3" s="338" t="s">
        <v>49</v>
      </c>
      <c r="M3" s="338" t="s">
        <v>50</v>
      </c>
      <c r="N3" s="338" t="s">
        <v>51</v>
      </c>
      <c r="O3" s="338" t="s">
        <v>45</v>
      </c>
      <c r="P3" s="338" t="s">
        <v>46</v>
      </c>
      <c r="Q3" s="338" t="s">
        <v>47</v>
      </c>
      <c r="R3" s="338" t="s">
        <v>48</v>
      </c>
      <c r="S3" s="338" t="s">
        <v>49</v>
      </c>
      <c r="T3" s="338" t="s">
        <v>50</v>
      </c>
      <c r="U3" s="338" t="s">
        <v>51</v>
      </c>
      <c r="V3" s="338" t="s">
        <v>45</v>
      </c>
      <c r="W3" s="338" t="s">
        <v>46</v>
      </c>
      <c r="X3" s="338" t="s">
        <v>47</v>
      </c>
      <c r="Y3" s="338" t="s">
        <v>48</v>
      </c>
      <c r="Z3" s="338" t="s">
        <v>49</v>
      </c>
      <c r="AA3" s="338" t="s">
        <v>50</v>
      </c>
      <c r="AB3" s="338" t="s">
        <v>51</v>
      </c>
      <c r="AC3" s="338" t="s">
        <v>45</v>
      </c>
      <c r="AD3" s="338" t="s">
        <v>46</v>
      </c>
      <c r="AE3" s="338" t="s">
        <v>47</v>
      </c>
      <c r="AF3" s="338" t="s">
        <v>48</v>
      </c>
      <c r="AG3" s="338" t="s">
        <v>49</v>
      </c>
      <c r="AH3" s="338" t="s">
        <v>45</v>
      </c>
      <c r="AI3" s="338" t="s">
        <v>45</v>
      </c>
      <c r="AJ3" s="338" t="s">
        <v>50</v>
      </c>
      <c r="AK3" s="277"/>
      <c r="AL3" s="183"/>
      <c r="AM3" s="277"/>
      <c r="AN3" s="184"/>
      <c r="AO3" s="184"/>
      <c r="AP3" s="183"/>
      <c r="AQ3" s="183"/>
      <c r="AR3" s="183"/>
      <c r="AS3" s="183"/>
      <c r="AT3" s="277"/>
      <c r="AU3" s="281"/>
    </row>
    <row r="4" spans="1:51" s="6" customFormat="1" ht="23.25" customHeight="1">
      <c r="A4" s="45">
        <v>1</v>
      </c>
      <c r="B4" s="40"/>
      <c r="C4" s="282" t="s">
        <v>160</v>
      </c>
      <c r="D4" s="283" t="s">
        <v>191</v>
      </c>
      <c r="E4" s="101"/>
      <c r="F4" s="101">
        <v>45740</v>
      </c>
      <c r="G4" s="339" t="s">
        <v>82</v>
      </c>
      <c r="H4" s="339" t="s">
        <v>20</v>
      </c>
      <c r="I4" s="339"/>
      <c r="J4" s="339"/>
      <c r="K4" s="339"/>
      <c r="L4" s="339"/>
      <c r="M4" s="339"/>
      <c r="N4" s="339"/>
      <c r="O4" s="339"/>
      <c r="P4" s="339"/>
      <c r="Q4" s="339"/>
      <c r="R4" s="339"/>
      <c r="S4" s="339"/>
      <c r="T4" s="339"/>
      <c r="U4" s="339"/>
      <c r="V4" s="339"/>
      <c r="W4" s="339"/>
      <c r="X4" s="339"/>
      <c r="Y4" s="339"/>
      <c r="Z4" s="339"/>
      <c r="AA4" s="339"/>
      <c r="AB4" s="339"/>
      <c r="AC4" s="340"/>
      <c r="AD4" s="341"/>
      <c r="AE4" s="341"/>
      <c r="AF4" s="342" t="s">
        <v>36</v>
      </c>
      <c r="AG4" s="342" t="s">
        <v>36</v>
      </c>
      <c r="AH4" s="356"/>
      <c r="AI4" s="356"/>
      <c r="AJ4" s="339"/>
      <c r="AK4" s="352">
        <f t="shared" ref="AK4:AK10" si="0">COUNTIF(G4:AJ4,"OFF")</f>
        <v>0</v>
      </c>
      <c r="AL4" s="352">
        <f t="shared" ref="AL4:AL10" si="1">COUNTA(G4:AJ4)</f>
        <v>4</v>
      </c>
      <c r="AM4" s="352">
        <f>COUNTIF(G4:AJ4,#REF!)+(COUNTIF(G4:AJ4,#REF!)/2)</f>
        <v>0</v>
      </c>
      <c r="AN4" s="352">
        <f>COUNTIF(G4:AJ4,#REF!)+(COUNTIF(G4:AJ4,#REF!)/2)</f>
        <v>0</v>
      </c>
      <c r="AO4" s="352">
        <f>COUNTIF(G4:AJ4,#REF!)+(COUNTIF(G4:AJ4,#REF!)/2)+COUNTIF(G4:AJ4,#REF!)</f>
        <v>0</v>
      </c>
      <c r="AP4" s="352">
        <f>COUNTIF(G4:AJ4,#REF!)</f>
        <v>0</v>
      </c>
      <c r="AQ4" s="352">
        <f>COUNTIF(G4:AJ4,#REF!)+(COUNTIF(G4:AJ4,#REF!)/2)</f>
        <v>0</v>
      </c>
      <c r="AR4" s="352">
        <f>COUNTIF(G4:AJ4,#REF!)+(COUNTIF(G4:AJ4,#REF!)/2)</f>
        <v>0</v>
      </c>
      <c r="AS4" s="352">
        <f>COUNTIF(G4:AJ4,#REF!)+(COUNTIF(G4:AJ4,#REF!)/2)</f>
        <v>0</v>
      </c>
      <c r="AT4" s="352">
        <f>COUNTIF(G4:AG4,"X")</f>
        <v>2</v>
      </c>
      <c r="AU4" s="46">
        <f>IF(OR(AT4=26,AT4=26),26,AT4)</f>
        <v>2</v>
      </c>
    </row>
    <row r="5" spans="1:51" s="6" customFormat="1" ht="23.25" customHeight="1">
      <c r="A5" s="80">
        <v>2</v>
      </c>
      <c r="B5" s="81"/>
      <c r="C5" s="282" t="s">
        <v>178</v>
      </c>
      <c r="D5" s="283" t="s">
        <v>192</v>
      </c>
      <c r="E5" s="284"/>
      <c r="F5" s="102">
        <v>45738</v>
      </c>
      <c r="G5" s="340" t="s">
        <v>82</v>
      </c>
      <c r="H5" s="340" t="s">
        <v>20</v>
      </c>
      <c r="I5" s="340"/>
      <c r="J5" s="340"/>
      <c r="K5" s="340"/>
      <c r="L5" s="340"/>
      <c r="M5" s="340"/>
      <c r="N5" s="340"/>
      <c r="O5" s="340"/>
      <c r="P5" s="340"/>
      <c r="Q5" s="340"/>
      <c r="R5" s="340"/>
      <c r="S5" s="340"/>
      <c r="T5" s="340"/>
      <c r="U5" s="340"/>
      <c r="V5" s="340"/>
      <c r="W5" s="340"/>
      <c r="X5" s="340"/>
      <c r="Y5" s="340"/>
      <c r="Z5" s="340"/>
      <c r="AA5" s="340"/>
      <c r="AB5" s="340"/>
      <c r="AC5" s="340"/>
      <c r="AD5" s="342" t="s">
        <v>36</v>
      </c>
      <c r="AE5" s="342" t="s">
        <v>36</v>
      </c>
      <c r="AF5" s="342" t="s">
        <v>36</v>
      </c>
      <c r="AG5" s="342" t="s">
        <v>36</v>
      </c>
      <c r="AH5" s="357"/>
      <c r="AI5" s="357"/>
      <c r="AJ5" s="340"/>
      <c r="AK5" s="352">
        <f t="shared" si="0"/>
        <v>0</v>
      </c>
      <c r="AL5" s="352">
        <f t="shared" si="1"/>
        <v>6</v>
      </c>
      <c r="AM5" s="352">
        <f>COUNTIF(G5:AJ5,#REF!)+(COUNTIF(G5:AJ5,#REF!)/2)</f>
        <v>0</v>
      </c>
      <c r="AN5" s="352">
        <f>COUNTIF(G5:AJ5,#REF!)+(COUNTIF(G5:AJ5,#REF!)/2)</f>
        <v>0</v>
      </c>
      <c r="AO5" s="352">
        <f>COUNTIF(G5:AJ5,#REF!)+(COUNTIF(G5:AJ5,#REF!)/2)+COUNTIF(G5:AJ5,#REF!)</f>
        <v>0</v>
      </c>
      <c r="AP5" s="352">
        <f>COUNTIF(G5:AJ5,#REF!)</f>
        <v>0</v>
      </c>
      <c r="AQ5" s="352">
        <f>COUNTIF(G5:AJ5,#REF!)+(COUNTIF(G5:AJ5,#REF!)/2)</f>
        <v>0</v>
      </c>
      <c r="AR5" s="352">
        <f>COUNTIF(G5:AJ5,#REF!)+(COUNTIF(G5:AJ5,#REF!)/2)</f>
        <v>0</v>
      </c>
      <c r="AS5" s="352">
        <f>COUNTIF(G5:AJ5,#REF!)+(COUNTIF(G5:AJ5,#REF!)/2)</f>
        <v>0</v>
      </c>
      <c r="AT5" s="352">
        <f t="shared" ref="AT4:AT10" si="2">COUNTIF(G5:AG5,"X")</f>
        <v>4</v>
      </c>
      <c r="AU5" s="46">
        <f t="shared" ref="AU4:AU10" si="3">IF(OR(AT5=26,AT5=26),26,AT5)</f>
        <v>4</v>
      </c>
      <c r="AX5" s="6" t="e">
        <f>VLOOKUP(C5,[20]Timetable_T03!$B$9:$AS$19,44,0)</f>
        <v>#N/A</v>
      </c>
    </row>
    <row r="6" spans="1:51" s="6" customFormat="1" ht="23.25" hidden="1" customHeight="1">
      <c r="A6" s="45">
        <f t="shared" ref="A6:A10" si="4">ROW()-21</f>
        <v>-15</v>
      </c>
      <c r="B6" s="77"/>
      <c r="C6" s="75"/>
      <c r="D6" s="41"/>
      <c r="E6" s="103"/>
      <c r="F6" s="103"/>
      <c r="G6" s="343"/>
      <c r="H6" s="343"/>
      <c r="I6" s="343"/>
      <c r="J6" s="339"/>
      <c r="K6" s="344"/>
      <c r="L6" s="344"/>
      <c r="M6" s="339"/>
      <c r="N6" s="343"/>
      <c r="O6" s="343"/>
      <c r="P6" s="343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  <c r="AB6" s="343"/>
      <c r="AC6" s="340"/>
      <c r="AD6" s="340"/>
      <c r="AE6" s="340"/>
      <c r="AF6" s="340"/>
      <c r="AG6" s="340"/>
      <c r="AH6" s="358"/>
      <c r="AI6" s="358"/>
      <c r="AJ6" s="343"/>
      <c r="AK6" s="352">
        <f t="shared" si="0"/>
        <v>0</v>
      </c>
      <c r="AL6" s="352">
        <f t="shared" si="1"/>
        <v>0</v>
      </c>
      <c r="AM6" s="352">
        <f>COUNTIF(G6:AJ6,#REF!)+(COUNTIF(G6:AJ6,#REF!)/2)</f>
        <v>0</v>
      </c>
      <c r="AN6" s="352">
        <f>COUNTIF(G6:AJ6,#REF!)+(COUNTIF(G6:AJ6,#REF!)/2)</f>
        <v>0</v>
      </c>
      <c r="AO6" s="352">
        <f>COUNTIF(G6:AJ6,#REF!)+(COUNTIF(G6:AJ6,#REF!)/2)+COUNTIF(G6:AJ6,#REF!)</f>
        <v>0</v>
      </c>
      <c r="AP6" s="352">
        <f>COUNTIF(G6:AJ6,#REF!)</f>
        <v>0</v>
      </c>
      <c r="AQ6" s="352">
        <f>COUNTIF(G6:AJ6,#REF!)+(COUNTIF(G6:AJ6,#REF!)/2)</f>
        <v>0</v>
      </c>
      <c r="AR6" s="352">
        <f>COUNTIF(G6:AJ6,#REF!)+(COUNTIF(G6:AJ6,#REF!)/2)</f>
        <v>0</v>
      </c>
      <c r="AS6" s="352">
        <f>COUNTIF(G6:AJ6,#REF!)+(COUNTIF(G6:AJ6,#REF!)/2)</f>
        <v>0</v>
      </c>
      <c r="AT6" s="352">
        <f t="shared" si="2"/>
        <v>0</v>
      </c>
      <c r="AU6" s="46">
        <f t="shared" si="3"/>
        <v>0</v>
      </c>
    </row>
    <row r="7" spans="1:51" s="6" customFormat="1" ht="23.25" hidden="1" customHeight="1">
      <c r="A7" s="45">
        <f t="shared" si="4"/>
        <v>-14</v>
      </c>
      <c r="B7" s="117"/>
      <c r="C7" s="118"/>
      <c r="D7" s="119"/>
      <c r="E7" s="120"/>
      <c r="F7" s="120"/>
      <c r="G7" s="345"/>
      <c r="H7" s="345"/>
      <c r="I7" s="345"/>
      <c r="J7" s="339"/>
      <c r="K7" s="346"/>
      <c r="L7" s="346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0"/>
      <c r="AD7" s="340"/>
      <c r="AE7" s="340"/>
      <c r="AF7" s="340"/>
      <c r="AG7" s="340"/>
      <c r="AH7" s="359"/>
      <c r="AI7" s="359"/>
      <c r="AJ7" s="345"/>
      <c r="AK7" s="352">
        <f t="shared" si="0"/>
        <v>0</v>
      </c>
      <c r="AL7" s="352">
        <f t="shared" si="1"/>
        <v>0</v>
      </c>
      <c r="AM7" s="352">
        <f>COUNTIF(G7:AJ7,#REF!)+(COUNTIF(G7:AJ7,#REF!)/2)</f>
        <v>0</v>
      </c>
      <c r="AN7" s="352">
        <f>COUNTIF(G7:AJ7,#REF!)+(COUNTIF(G7:AJ7,#REF!)/2)</f>
        <v>0</v>
      </c>
      <c r="AO7" s="352">
        <f>COUNTIF(G7:AJ7,#REF!)+(COUNTIF(G7:AJ7,#REF!)/2)+COUNTIF(G7:AJ7,#REF!)</f>
        <v>0</v>
      </c>
      <c r="AP7" s="352">
        <f>COUNTIF(G7:AJ7,#REF!)</f>
        <v>0</v>
      </c>
      <c r="AQ7" s="352">
        <f>COUNTIF(G7:AJ7,#REF!)+(COUNTIF(G7:AJ7,#REF!)/2)</f>
        <v>0</v>
      </c>
      <c r="AR7" s="352">
        <f>COUNTIF(G7:AJ7,#REF!)+(COUNTIF(G7:AJ7,#REF!)/2)</f>
        <v>0</v>
      </c>
      <c r="AS7" s="352">
        <f>COUNTIF(G7:AJ7,#REF!)+(COUNTIF(G7:AJ7,#REF!)/2)</f>
        <v>0</v>
      </c>
      <c r="AT7" s="352">
        <f t="shared" si="2"/>
        <v>0</v>
      </c>
      <c r="AU7" s="46">
        <f t="shared" si="3"/>
        <v>0</v>
      </c>
    </row>
    <row r="8" spans="1:51" s="6" customFormat="1" ht="23.25" hidden="1" customHeight="1">
      <c r="A8" s="45">
        <f t="shared" si="4"/>
        <v>-13</v>
      </c>
      <c r="B8" s="117"/>
      <c r="C8" s="118"/>
      <c r="D8" s="119"/>
      <c r="E8" s="120"/>
      <c r="F8" s="120"/>
      <c r="G8" s="345"/>
      <c r="H8" s="345"/>
      <c r="I8" s="345"/>
      <c r="J8" s="339"/>
      <c r="K8" s="346"/>
      <c r="L8" s="346"/>
      <c r="M8" s="345"/>
      <c r="N8" s="345"/>
      <c r="O8" s="345"/>
      <c r="P8" s="345"/>
      <c r="Q8" s="345"/>
      <c r="R8" s="345"/>
      <c r="S8" s="345"/>
      <c r="T8" s="345"/>
      <c r="U8" s="345"/>
      <c r="V8" s="345"/>
      <c r="W8" s="345"/>
      <c r="X8" s="345"/>
      <c r="Y8" s="345"/>
      <c r="Z8" s="345"/>
      <c r="AA8" s="345"/>
      <c r="AB8" s="345"/>
      <c r="AC8" s="340"/>
      <c r="AD8" s="340"/>
      <c r="AE8" s="340"/>
      <c r="AF8" s="340"/>
      <c r="AG8" s="340"/>
      <c r="AH8" s="359"/>
      <c r="AI8" s="359"/>
      <c r="AJ8" s="345"/>
      <c r="AK8" s="352">
        <f t="shared" si="0"/>
        <v>0</v>
      </c>
      <c r="AL8" s="352">
        <f t="shared" si="1"/>
        <v>0</v>
      </c>
      <c r="AM8" s="352">
        <f>COUNTIF(G8:AJ8,#REF!)+(COUNTIF(G8:AJ8,#REF!)/2)</f>
        <v>0</v>
      </c>
      <c r="AN8" s="352">
        <f>COUNTIF(G8:AJ8,#REF!)+(COUNTIF(G8:AJ8,#REF!)/2)</f>
        <v>0</v>
      </c>
      <c r="AO8" s="352">
        <f>COUNTIF(G8:AJ8,#REF!)+(COUNTIF(G8:AJ8,#REF!)/2)+COUNTIF(G8:AJ8,#REF!)</f>
        <v>0</v>
      </c>
      <c r="AP8" s="352">
        <f>COUNTIF(G8:AJ8,#REF!)</f>
        <v>0</v>
      </c>
      <c r="AQ8" s="352">
        <f>COUNTIF(G8:AJ8,#REF!)+(COUNTIF(G8:AJ8,#REF!)/2)</f>
        <v>0</v>
      </c>
      <c r="AR8" s="352">
        <f>COUNTIF(G8:AJ8,#REF!)+(COUNTIF(G8:AJ8,#REF!)/2)</f>
        <v>0</v>
      </c>
      <c r="AS8" s="352">
        <f>COUNTIF(G8:AJ8,#REF!)+(COUNTIF(G8:AJ8,#REF!)/2)</f>
        <v>0</v>
      </c>
      <c r="AT8" s="352">
        <f t="shared" si="2"/>
        <v>0</v>
      </c>
      <c r="AU8" s="46">
        <f t="shared" si="3"/>
        <v>0</v>
      </c>
    </row>
    <row r="9" spans="1:51" s="6" customFormat="1" ht="24" hidden="1" customHeight="1">
      <c r="A9" s="45">
        <f t="shared" si="4"/>
        <v>-12</v>
      </c>
      <c r="B9" s="40"/>
      <c r="C9" s="75"/>
      <c r="D9" s="41"/>
      <c r="E9" s="101"/>
      <c r="F9" s="101"/>
      <c r="G9" s="343"/>
      <c r="H9" s="343"/>
      <c r="I9" s="343"/>
      <c r="J9" s="339"/>
      <c r="K9" s="344"/>
      <c r="L9" s="344"/>
      <c r="M9" s="339"/>
      <c r="N9" s="343"/>
      <c r="O9" s="343"/>
      <c r="P9" s="343"/>
      <c r="Q9" s="343"/>
      <c r="R9" s="343"/>
      <c r="S9" s="343"/>
      <c r="T9" s="343"/>
      <c r="U9" s="343"/>
      <c r="V9" s="343"/>
      <c r="W9" s="343"/>
      <c r="X9" s="343"/>
      <c r="Y9" s="343"/>
      <c r="Z9" s="343"/>
      <c r="AA9" s="343"/>
      <c r="AB9" s="343"/>
      <c r="AC9" s="340"/>
      <c r="AD9" s="340"/>
      <c r="AE9" s="340"/>
      <c r="AF9" s="340"/>
      <c r="AG9" s="340"/>
      <c r="AH9" s="356"/>
      <c r="AI9" s="356"/>
      <c r="AJ9" s="339"/>
      <c r="AK9" s="352">
        <f t="shared" si="0"/>
        <v>0</v>
      </c>
      <c r="AL9" s="352">
        <f t="shared" si="1"/>
        <v>0</v>
      </c>
      <c r="AM9" s="352">
        <f>COUNTIF(G9:AJ9,#REF!)+(COUNTIF(G9:AJ9,#REF!)/2)</f>
        <v>0</v>
      </c>
      <c r="AN9" s="352">
        <f>COUNTIF(G9:AJ9,#REF!)+(COUNTIF(G9:AJ9,#REF!)/2)</f>
        <v>0</v>
      </c>
      <c r="AO9" s="352">
        <f>COUNTIF(G9:AJ9,#REF!)+(COUNTIF(G9:AJ9,#REF!)/2)+COUNTIF(G9:AJ9,#REF!)</f>
        <v>0</v>
      </c>
      <c r="AP9" s="352">
        <f>COUNTIF(G9:AJ9,#REF!)</f>
        <v>0</v>
      </c>
      <c r="AQ9" s="352">
        <f>COUNTIF(G9:AJ9,#REF!)+(COUNTIF(G9:AJ9,#REF!)/2)</f>
        <v>0</v>
      </c>
      <c r="AR9" s="352">
        <f>COUNTIF(G9:AJ9,#REF!)+(COUNTIF(G9:AJ9,#REF!)/2)</f>
        <v>0</v>
      </c>
      <c r="AS9" s="352">
        <f>COUNTIF(G9:AJ9,#REF!)+(COUNTIF(G9:AJ9,#REF!)/2)</f>
        <v>0</v>
      </c>
      <c r="AT9" s="352">
        <f t="shared" si="2"/>
        <v>0</v>
      </c>
      <c r="AU9" s="46">
        <f t="shared" si="3"/>
        <v>0</v>
      </c>
    </row>
    <row r="10" spans="1:51" s="6" customFormat="1" ht="22.5" hidden="1" customHeight="1">
      <c r="A10" s="45">
        <f t="shared" si="4"/>
        <v>-11</v>
      </c>
      <c r="B10" s="40"/>
      <c r="C10" s="75"/>
      <c r="D10" s="41"/>
      <c r="E10" s="101"/>
      <c r="F10" s="101"/>
      <c r="G10" s="339"/>
      <c r="H10" s="339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39"/>
      <c r="V10" s="339"/>
      <c r="W10" s="339"/>
      <c r="X10" s="339"/>
      <c r="Y10" s="339"/>
      <c r="Z10" s="339"/>
      <c r="AA10" s="339"/>
      <c r="AB10" s="339"/>
      <c r="AC10" s="340"/>
      <c r="AD10" s="340"/>
      <c r="AE10" s="340"/>
      <c r="AF10" s="340"/>
      <c r="AG10" s="340"/>
      <c r="AH10" s="360" t="s">
        <v>36</v>
      </c>
      <c r="AI10" s="339"/>
      <c r="AJ10" s="339"/>
      <c r="AK10" s="352">
        <f t="shared" si="0"/>
        <v>0</v>
      </c>
      <c r="AL10" s="352">
        <f t="shared" si="1"/>
        <v>1</v>
      </c>
      <c r="AM10" s="352">
        <f>COUNTIF(G10:AJ10,#REF!)+(COUNTIF(G10:AJ10,#REF!)/2)</f>
        <v>0</v>
      </c>
      <c r="AN10" s="352">
        <f>COUNTIF(G10:AJ10,#REF!)+(COUNTIF(G10:AJ10,#REF!)/2)</f>
        <v>0</v>
      </c>
      <c r="AO10" s="352">
        <f>COUNTIF(G10:AJ10,#REF!)+(COUNTIF(G10:AJ10,#REF!)/2)+COUNTIF(G10:AJ10,#REF!)</f>
        <v>0</v>
      </c>
      <c r="AP10" s="352">
        <f>COUNTIF(G10:AJ10,#REF!)</f>
        <v>0</v>
      </c>
      <c r="AQ10" s="352">
        <f>COUNTIF(G10:AJ10,#REF!)+(COUNTIF(G10:AJ10,#REF!)/2)</f>
        <v>0</v>
      </c>
      <c r="AR10" s="352">
        <f>COUNTIF(G10:AJ10,#REF!)+(COUNTIF(G10:AJ10,#REF!)/2)</f>
        <v>0</v>
      </c>
      <c r="AS10" s="352">
        <f>COUNTIF(G10:AJ10,#REF!)+(COUNTIF(G10:AJ10,#REF!)/2)</f>
        <v>0</v>
      </c>
      <c r="AT10" s="352">
        <f t="shared" si="2"/>
        <v>0</v>
      </c>
      <c r="AU10" s="46">
        <f t="shared" si="3"/>
        <v>0</v>
      </c>
    </row>
    <row r="11" spans="1:51" ht="32.25" customHeight="1" thickBot="1">
      <c r="A11" s="285" t="s">
        <v>61</v>
      </c>
      <c r="B11" s="286"/>
      <c r="C11" s="286"/>
      <c r="D11" s="286"/>
      <c r="E11" s="287"/>
      <c r="F11" s="53"/>
      <c r="G11" s="347"/>
      <c r="H11" s="347"/>
      <c r="I11" s="347"/>
      <c r="J11" s="347"/>
      <c r="K11" s="347"/>
      <c r="L11" s="347"/>
      <c r="M11" s="347"/>
      <c r="N11" s="347"/>
      <c r="O11" s="347"/>
      <c r="P11" s="347"/>
      <c r="Q11" s="347"/>
      <c r="R11" s="347"/>
      <c r="S11" s="347"/>
      <c r="T11" s="347"/>
      <c r="U11" s="347"/>
      <c r="V11" s="347"/>
      <c r="W11" s="347"/>
      <c r="X11" s="347"/>
      <c r="Y11" s="347"/>
      <c r="Z11" s="347"/>
      <c r="AA11" s="347"/>
      <c r="AB11" s="347"/>
      <c r="AC11" s="347"/>
      <c r="AD11" s="347"/>
      <c r="AE11" s="347"/>
      <c r="AF11" s="347"/>
      <c r="AG11" s="347"/>
      <c r="AH11" s="347"/>
      <c r="AI11" s="347"/>
      <c r="AJ11" s="347"/>
      <c r="AK11" s="353">
        <f t="shared" ref="AK11:AU11" si="5">SUM(AK4:AK10)</f>
        <v>0</v>
      </c>
      <c r="AL11" s="353">
        <f t="shared" si="5"/>
        <v>11</v>
      </c>
      <c r="AM11" s="353">
        <f t="shared" si="5"/>
        <v>0</v>
      </c>
      <c r="AN11" s="353">
        <f t="shared" si="5"/>
        <v>0</v>
      </c>
      <c r="AO11" s="353">
        <f t="shared" si="5"/>
        <v>0</v>
      </c>
      <c r="AP11" s="353">
        <f t="shared" si="5"/>
        <v>0</v>
      </c>
      <c r="AQ11" s="353">
        <f t="shared" si="5"/>
        <v>0</v>
      </c>
      <c r="AR11" s="353">
        <f t="shared" si="5"/>
        <v>0</v>
      </c>
      <c r="AS11" s="353">
        <f t="shared" si="5"/>
        <v>0</v>
      </c>
      <c r="AT11" s="353">
        <f>SUM(AT4:AT10)</f>
        <v>6</v>
      </c>
      <c r="AU11" s="79">
        <f t="shared" si="5"/>
        <v>6</v>
      </c>
      <c r="AV11" s="14">
        <f>SUM(AV10:AV10)</f>
        <v>0</v>
      </c>
    </row>
    <row r="15" spans="1:51" s="288" customFormat="1" ht="28.5" customHeight="1">
      <c r="C15" s="289" t="s">
        <v>132</v>
      </c>
      <c r="D15" s="290"/>
      <c r="E15" s="290"/>
      <c r="F15" s="290"/>
      <c r="G15" s="291"/>
      <c r="H15" s="290"/>
      <c r="I15" s="292"/>
      <c r="J15" s="290"/>
      <c r="K15" s="290"/>
      <c r="L15" s="11"/>
      <c r="M15" s="11"/>
      <c r="N15" s="13"/>
      <c r="O15" s="13"/>
      <c r="P15" s="13"/>
      <c r="Q15" s="11"/>
      <c r="R15" s="11"/>
      <c r="S15" s="11"/>
      <c r="T15" s="73"/>
      <c r="U15" s="11"/>
      <c r="V15" s="11"/>
      <c r="W15" s="11"/>
      <c r="X15" s="12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293"/>
      <c r="AR15" s="294"/>
      <c r="AU15" s="295"/>
      <c r="AV15" s="295"/>
      <c r="AW15" s="295"/>
      <c r="AX15" s="295"/>
      <c r="AY15" s="296"/>
    </row>
    <row r="16" spans="1:51" s="288" customFormat="1" ht="19">
      <c r="C16" s="121" t="s">
        <v>36</v>
      </c>
      <c r="D16" s="297" t="s">
        <v>131</v>
      </c>
      <c r="E16" s="298"/>
      <c r="F16" s="298"/>
      <c r="G16" s="298"/>
      <c r="H16" s="298"/>
      <c r="I16" s="299"/>
      <c r="J16" s="298"/>
      <c r="K16" s="300"/>
      <c r="L16" s="11"/>
      <c r="M16" s="11"/>
      <c r="N16" s="13"/>
      <c r="O16" s="13"/>
      <c r="P16" s="13"/>
      <c r="Q16" s="11"/>
      <c r="R16" s="11"/>
      <c r="S16" s="11"/>
      <c r="T16" s="73"/>
      <c r="U16" s="11"/>
      <c r="V16" s="11"/>
      <c r="W16" s="11"/>
      <c r="X16" s="12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293"/>
      <c r="AR16" s="294"/>
      <c r="AU16" s="295"/>
      <c r="AV16" s="295"/>
      <c r="AW16" s="295"/>
      <c r="AX16" s="295"/>
      <c r="AY16" s="296"/>
    </row>
    <row r="17" spans="3:51" s="288" customFormat="1" ht="19">
      <c r="C17" s="121" t="s">
        <v>88</v>
      </c>
      <c r="D17" s="297" t="s">
        <v>89</v>
      </c>
      <c r="E17" s="298"/>
      <c r="F17" s="298"/>
      <c r="G17" s="298"/>
      <c r="H17" s="298"/>
      <c r="I17" s="299"/>
      <c r="J17" s="298"/>
      <c r="K17" s="300"/>
      <c r="L17" s="11"/>
      <c r="M17" s="11"/>
      <c r="N17" s="13"/>
      <c r="O17" s="13"/>
      <c r="P17" s="13"/>
      <c r="Q17" s="11"/>
      <c r="R17" s="11"/>
      <c r="S17" s="11"/>
      <c r="T17" s="11"/>
      <c r="U17" s="11"/>
      <c r="V17" s="11"/>
      <c r="W17" s="11"/>
      <c r="X17" s="12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293"/>
      <c r="AR17" s="294"/>
      <c r="AU17" s="295"/>
      <c r="AV17" s="295"/>
      <c r="AW17" s="295"/>
      <c r="AX17" s="295"/>
      <c r="AY17" s="296"/>
    </row>
    <row r="18" spans="3:51" s="288" customFormat="1" ht="19">
      <c r="C18" s="121" t="s">
        <v>37</v>
      </c>
      <c r="D18" s="297" t="s">
        <v>90</v>
      </c>
      <c r="E18" s="298"/>
      <c r="F18" s="298"/>
      <c r="G18" s="298"/>
      <c r="H18" s="298"/>
      <c r="I18" s="299"/>
      <c r="J18" s="298"/>
      <c r="K18" s="300"/>
      <c r="L18" s="11"/>
      <c r="M18" s="11"/>
      <c r="N18" s="13"/>
      <c r="O18" s="13"/>
      <c r="P18" s="13"/>
      <c r="Q18" s="11"/>
      <c r="R18" s="11"/>
      <c r="S18" s="11"/>
      <c r="T18" s="11"/>
      <c r="U18" s="11"/>
      <c r="V18" s="11"/>
      <c r="W18" s="11"/>
      <c r="X18" s="12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301"/>
      <c r="AR18" s="294"/>
      <c r="AU18" s="295"/>
      <c r="AV18" s="295"/>
      <c r="AW18" s="295"/>
      <c r="AX18" s="295"/>
      <c r="AY18" s="296"/>
    </row>
    <row r="19" spans="3:51" s="288" customFormat="1" ht="19">
      <c r="C19" s="121" t="s">
        <v>64</v>
      </c>
      <c r="D19" s="297" t="s">
        <v>91</v>
      </c>
      <c r="E19" s="298"/>
      <c r="F19" s="298"/>
      <c r="G19" s="298"/>
      <c r="H19" s="298"/>
      <c r="I19" s="299"/>
      <c r="J19" s="298"/>
      <c r="K19" s="300"/>
      <c r="L19" s="11"/>
      <c r="M19" s="11"/>
      <c r="N19" s="13"/>
      <c r="O19" s="13"/>
      <c r="P19" s="13"/>
      <c r="Q19" s="11"/>
      <c r="R19" s="11"/>
      <c r="S19" s="11"/>
      <c r="T19" s="11"/>
      <c r="U19" s="11"/>
      <c r="V19" s="11"/>
      <c r="W19" s="11"/>
      <c r="X19" s="12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293"/>
      <c r="AR19" s="294"/>
      <c r="AU19" s="295"/>
      <c r="AV19" s="295"/>
      <c r="AW19" s="295"/>
      <c r="AX19" s="295"/>
      <c r="AY19" s="296"/>
    </row>
    <row r="20" spans="3:51" s="288" customFormat="1" ht="19">
      <c r="C20" s="121" t="s">
        <v>81</v>
      </c>
      <c r="D20" s="297" t="s">
        <v>92</v>
      </c>
      <c r="E20" s="298"/>
      <c r="F20" s="298"/>
      <c r="G20" s="298"/>
      <c r="H20" s="298"/>
      <c r="I20" s="299"/>
      <c r="J20" s="298"/>
      <c r="K20" s="300"/>
      <c r="L20" s="11"/>
      <c r="M20" s="11"/>
      <c r="N20" s="13"/>
      <c r="O20" s="13"/>
      <c r="P20" s="13"/>
      <c r="Q20" s="11"/>
      <c r="R20" s="11"/>
      <c r="S20" s="11"/>
      <c r="T20" s="11"/>
      <c r="U20" s="11"/>
      <c r="V20" s="11"/>
      <c r="W20" s="11"/>
      <c r="X20" s="12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293"/>
      <c r="AR20" s="294"/>
      <c r="AU20" s="295"/>
      <c r="AV20" s="295"/>
      <c r="AW20" s="295"/>
      <c r="AX20" s="295"/>
      <c r="AY20" s="296"/>
    </row>
    <row r="21" spans="3:51" s="288" customFormat="1" ht="19">
      <c r="C21" s="121" t="s">
        <v>69</v>
      </c>
      <c r="D21" s="297" t="s">
        <v>93</v>
      </c>
      <c r="E21" s="298"/>
      <c r="F21" s="298"/>
      <c r="G21" s="298"/>
      <c r="H21" s="298"/>
      <c r="I21" s="299"/>
      <c r="J21" s="298"/>
      <c r="K21" s="300"/>
      <c r="L21" s="11"/>
      <c r="M21" s="11"/>
      <c r="N21" s="13"/>
      <c r="O21" s="13"/>
      <c r="P21" s="13"/>
      <c r="Q21" s="11"/>
      <c r="R21" s="11"/>
      <c r="S21" s="11"/>
      <c r="T21" s="11"/>
      <c r="U21" s="11"/>
      <c r="V21" s="11"/>
      <c r="W21" s="11"/>
      <c r="X21" s="12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293"/>
      <c r="AR21" s="294"/>
      <c r="AU21" s="295"/>
      <c r="AV21" s="295"/>
      <c r="AW21" s="295"/>
      <c r="AX21" s="295"/>
      <c r="AY21" s="296"/>
    </row>
    <row r="22" spans="3:51" s="288" customFormat="1" ht="19">
      <c r="C22" s="121" t="s">
        <v>66</v>
      </c>
      <c r="D22" s="297" t="s">
        <v>94</v>
      </c>
      <c r="E22" s="298"/>
      <c r="F22" s="298"/>
      <c r="G22" s="298"/>
      <c r="H22" s="298"/>
      <c r="I22" s="299"/>
      <c r="J22" s="298"/>
      <c r="K22" s="300"/>
      <c r="L22" s="11"/>
      <c r="M22" s="11"/>
      <c r="N22" s="13"/>
      <c r="O22" s="13"/>
      <c r="P22" s="13"/>
      <c r="Q22" s="11"/>
      <c r="R22" s="11"/>
      <c r="S22" s="11"/>
      <c r="T22" s="11"/>
      <c r="U22" s="11"/>
      <c r="V22" s="11"/>
      <c r="W22" s="11"/>
      <c r="X22" s="12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301"/>
      <c r="AR22" s="294"/>
      <c r="AU22" s="295"/>
      <c r="AV22" s="295"/>
      <c r="AW22" s="295"/>
      <c r="AX22" s="295"/>
      <c r="AY22" s="296"/>
    </row>
    <row r="23" spans="3:51" s="288" customFormat="1" ht="19">
      <c r="C23" s="121" t="s">
        <v>87</v>
      </c>
      <c r="D23" s="297" t="s">
        <v>95</v>
      </c>
      <c r="E23" s="298"/>
      <c r="F23" s="298"/>
      <c r="G23" s="298"/>
      <c r="H23" s="298"/>
      <c r="I23" s="299"/>
      <c r="J23" s="298"/>
      <c r="K23" s="300"/>
      <c r="L23" s="11"/>
      <c r="M23" s="11"/>
      <c r="N23" s="13"/>
      <c r="O23" s="13"/>
      <c r="P23" s="13"/>
      <c r="Q23" s="11"/>
      <c r="R23" s="11"/>
      <c r="S23" s="11"/>
      <c r="T23" s="11"/>
      <c r="U23" s="11"/>
      <c r="V23" s="11"/>
      <c r="W23" s="11"/>
      <c r="X23" s="12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293"/>
      <c r="AR23" s="294"/>
      <c r="AU23" s="295"/>
      <c r="AV23" s="295"/>
      <c r="AW23" s="295"/>
      <c r="AX23" s="295"/>
      <c r="AY23" s="296"/>
    </row>
    <row r="24" spans="3:51" s="288" customFormat="1" ht="19">
      <c r="C24" s="121" t="s">
        <v>65</v>
      </c>
      <c r="D24" s="297" t="s">
        <v>96</v>
      </c>
      <c r="E24" s="298"/>
      <c r="F24" s="298"/>
      <c r="G24" s="298"/>
      <c r="H24" s="298"/>
      <c r="I24" s="299"/>
      <c r="J24" s="298"/>
      <c r="K24" s="300"/>
      <c r="L24" s="11"/>
      <c r="M24" s="11"/>
      <c r="N24" s="13"/>
      <c r="O24" s="13"/>
      <c r="P24" s="13"/>
      <c r="Q24" s="11"/>
      <c r="R24" s="11"/>
      <c r="S24" s="11"/>
      <c r="T24" s="11"/>
      <c r="U24" s="11"/>
      <c r="V24" s="11"/>
      <c r="W24" s="11"/>
      <c r="X24" s="12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293"/>
      <c r="AR24" s="294"/>
      <c r="AU24" s="295"/>
      <c r="AV24" s="295"/>
      <c r="AW24" s="295"/>
      <c r="AX24" s="295"/>
      <c r="AY24" s="296"/>
    </row>
    <row r="25" spans="3:51" s="288" customFormat="1" ht="19">
      <c r="C25" s="121" t="s">
        <v>33</v>
      </c>
      <c r="D25" s="297" t="s">
        <v>70</v>
      </c>
      <c r="E25" s="298"/>
      <c r="F25" s="298"/>
      <c r="G25" s="298"/>
      <c r="H25" s="298"/>
      <c r="I25" s="299"/>
      <c r="J25" s="298"/>
      <c r="K25" s="300"/>
      <c r="L25" s="11"/>
      <c r="M25" s="11"/>
      <c r="N25" s="13"/>
      <c r="O25" s="13"/>
      <c r="P25" s="13"/>
      <c r="Q25" s="11"/>
      <c r="R25" s="11"/>
      <c r="S25" s="11"/>
      <c r="T25" s="11"/>
      <c r="U25" s="11"/>
      <c r="V25" s="11"/>
      <c r="W25" s="11"/>
      <c r="X25" s="12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301"/>
      <c r="AR25" s="294"/>
      <c r="AU25" s="295"/>
      <c r="AV25" s="295"/>
      <c r="AW25" s="295"/>
      <c r="AX25" s="295"/>
      <c r="AY25" s="296"/>
    </row>
    <row r="26" spans="3:51" s="288" customFormat="1" ht="19">
      <c r="C26" s="121" t="s">
        <v>68</v>
      </c>
      <c r="D26" s="297" t="s">
        <v>71</v>
      </c>
      <c r="E26" s="298"/>
      <c r="F26" s="298"/>
      <c r="G26" s="298"/>
      <c r="H26" s="298"/>
      <c r="I26" s="299"/>
      <c r="J26" s="298"/>
      <c r="K26" s="300"/>
      <c r="L26" s="11"/>
      <c r="M26" s="11"/>
      <c r="N26" s="13"/>
      <c r="O26" s="13"/>
      <c r="P26" s="13"/>
      <c r="Q26" s="11"/>
      <c r="R26" s="11"/>
      <c r="S26" s="11"/>
      <c r="T26" s="11"/>
      <c r="U26" s="11"/>
      <c r="V26" s="11"/>
      <c r="W26" s="11"/>
      <c r="X26" s="12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293"/>
      <c r="AR26" s="294"/>
      <c r="AU26" s="295"/>
      <c r="AV26" s="295"/>
      <c r="AW26" s="295"/>
      <c r="AX26" s="295"/>
      <c r="AY26" s="296"/>
    </row>
    <row r="27" spans="3:51" s="288" customFormat="1" ht="22.5" customHeight="1">
      <c r="C27" s="121" t="s">
        <v>72</v>
      </c>
      <c r="D27" s="297" t="s">
        <v>73</v>
      </c>
      <c r="E27" s="298"/>
      <c r="F27" s="298"/>
      <c r="G27" s="298"/>
      <c r="H27" s="298"/>
      <c r="I27" s="299"/>
      <c r="J27" s="298"/>
      <c r="K27" s="300"/>
      <c r="L27" s="11"/>
      <c r="M27" s="11"/>
      <c r="N27" s="13"/>
      <c r="O27" s="13"/>
      <c r="P27" s="13"/>
      <c r="Q27" s="11"/>
      <c r="R27" s="11"/>
      <c r="S27" s="11"/>
      <c r="T27" s="11"/>
      <c r="U27" s="11"/>
      <c r="V27" s="11"/>
      <c r="W27" s="11"/>
      <c r="X27" s="12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293"/>
      <c r="AR27" s="294"/>
      <c r="AU27" s="295"/>
      <c r="AV27" s="295"/>
      <c r="AW27" s="295"/>
      <c r="AX27" s="295"/>
      <c r="AY27" s="296"/>
    </row>
    <row r="28" spans="3:51" s="288" customFormat="1" ht="22.5" customHeight="1">
      <c r="C28" s="121" t="s">
        <v>74</v>
      </c>
      <c r="D28" s="297" t="s">
        <v>75</v>
      </c>
      <c r="E28" s="298"/>
      <c r="F28" s="298"/>
      <c r="G28" s="298"/>
      <c r="H28" s="298"/>
      <c r="I28" s="299"/>
      <c r="J28" s="298"/>
      <c r="K28" s="300"/>
      <c r="L28" s="11"/>
      <c r="M28" s="11"/>
      <c r="N28" s="13"/>
      <c r="O28" s="13"/>
      <c r="P28" s="13"/>
      <c r="Q28" s="11"/>
      <c r="R28" s="11"/>
      <c r="S28" s="11"/>
      <c r="T28" s="11"/>
      <c r="U28" s="11"/>
      <c r="V28" s="11"/>
      <c r="W28" s="11"/>
      <c r="X28" s="12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293"/>
      <c r="AR28" s="294"/>
      <c r="AU28" s="295"/>
      <c r="AV28" s="295"/>
      <c r="AW28" s="295"/>
      <c r="AX28" s="295"/>
      <c r="AY28" s="296"/>
    </row>
    <row r="29" spans="3:51" s="288" customFormat="1" ht="22.5" customHeight="1">
      <c r="C29" s="121" t="s">
        <v>34</v>
      </c>
      <c r="D29" s="297" t="s">
        <v>97</v>
      </c>
      <c r="E29" s="298"/>
      <c r="F29" s="298"/>
      <c r="G29" s="298"/>
      <c r="H29" s="298"/>
      <c r="I29" s="299"/>
      <c r="J29" s="298"/>
      <c r="K29" s="300"/>
      <c r="L29" s="11"/>
      <c r="M29" s="11"/>
      <c r="N29" s="13"/>
      <c r="O29" s="13"/>
      <c r="P29" s="13"/>
      <c r="Q29" s="11"/>
      <c r="R29" s="11"/>
      <c r="S29" s="11"/>
      <c r="T29" s="11"/>
      <c r="U29" s="11"/>
      <c r="V29" s="11"/>
      <c r="W29" s="11"/>
      <c r="X29" s="12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301"/>
      <c r="AR29" s="294"/>
      <c r="AU29" s="295"/>
      <c r="AV29" s="295"/>
      <c r="AW29" s="295"/>
      <c r="AX29" s="295"/>
      <c r="AY29" s="296"/>
    </row>
    <row r="30" spans="3:51" s="288" customFormat="1" ht="22.5" customHeight="1">
      <c r="C30" s="121" t="s">
        <v>35</v>
      </c>
      <c r="D30" s="297" t="s">
        <v>98</v>
      </c>
      <c r="E30" s="298"/>
      <c r="F30" s="298"/>
      <c r="G30" s="298"/>
      <c r="H30" s="298"/>
      <c r="I30" s="299"/>
      <c r="J30" s="298"/>
      <c r="K30" s="300"/>
      <c r="L30" s="11"/>
      <c r="M30" s="11"/>
      <c r="N30" s="13"/>
      <c r="O30" s="13"/>
      <c r="P30" s="13"/>
      <c r="Q30" s="11"/>
      <c r="R30" s="11"/>
      <c r="S30" s="11"/>
      <c r="T30" s="11"/>
      <c r="U30" s="11"/>
      <c r="V30" s="11"/>
      <c r="W30" s="11"/>
      <c r="X30" s="12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293"/>
      <c r="AR30" s="294"/>
      <c r="AU30" s="295"/>
      <c r="AV30" s="295"/>
      <c r="AW30" s="295"/>
      <c r="AX30" s="295"/>
      <c r="AY30" s="296"/>
    </row>
    <row r="31" spans="3:51" s="288" customFormat="1" ht="19">
      <c r="G31" s="302"/>
      <c r="I31" s="303"/>
      <c r="J31" s="11"/>
      <c r="K31" s="11"/>
      <c r="L31" s="11"/>
      <c r="M31" s="11"/>
      <c r="N31" s="13"/>
      <c r="O31" s="13"/>
      <c r="P31" s="13"/>
      <c r="Q31" s="11"/>
      <c r="R31" s="11"/>
      <c r="S31" s="11"/>
      <c r="T31" s="11"/>
      <c r="U31" s="11"/>
      <c r="V31" s="11"/>
      <c r="W31" s="11"/>
      <c r="X31" s="12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293"/>
      <c r="AR31" s="294"/>
      <c r="AU31" s="295"/>
      <c r="AV31" s="295"/>
      <c r="AW31" s="295"/>
      <c r="AX31" s="295"/>
      <c r="AY31" s="296"/>
    </row>
    <row r="32" spans="3:51" s="288" customFormat="1" ht="19">
      <c r="C32" s="64"/>
      <c r="G32" s="302"/>
      <c r="H32" s="304"/>
      <c r="I32" s="305"/>
      <c r="J32" s="11"/>
      <c r="K32" s="11"/>
      <c r="L32" s="11"/>
      <c r="M32" s="11"/>
      <c r="N32" s="13"/>
      <c r="O32" s="13"/>
      <c r="P32" s="13"/>
      <c r="Q32" s="11"/>
      <c r="R32" s="11"/>
      <c r="S32" s="11"/>
      <c r="T32" s="11"/>
      <c r="U32" s="11"/>
      <c r="V32" s="11"/>
      <c r="W32" s="11"/>
      <c r="X32" s="12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293"/>
      <c r="AR32" s="294"/>
      <c r="AU32" s="295"/>
      <c r="AV32" s="295"/>
      <c r="AW32" s="295"/>
      <c r="AX32" s="295"/>
      <c r="AY32" s="296"/>
    </row>
    <row r="33" spans="7:51" s="288" customFormat="1" ht="18" customHeight="1">
      <c r="G33" s="302"/>
      <c r="H33" s="304"/>
      <c r="I33" s="305"/>
      <c r="J33" s="11"/>
      <c r="K33" s="11"/>
      <c r="L33" s="11"/>
      <c r="M33" s="11"/>
      <c r="N33" s="13"/>
      <c r="O33" s="13"/>
      <c r="P33" s="13"/>
      <c r="Q33" s="11"/>
      <c r="R33" s="11"/>
      <c r="S33" s="11"/>
      <c r="T33" s="11"/>
      <c r="U33" s="11"/>
      <c r="V33" s="11"/>
      <c r="W33" s="11"/>
      <c r="X33" s="12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293"/>
      <c r="AR33" s="294"/>
      <c r="AU33" s="295"/>
      <c r="AV33" s="295"/>
      <c r="AW33" s="295"/>
      <c r="AX33" s="295"/>
      <c r="AY33" s="296"/>
    </row>
    <row r="34" spans="7:51" s="288" customFormat="1" ht="17.25" customHeight="1">
      <c r="G34" s="302"/>
      <c r="H34" s="304"/>
      <c r="I34" s="305"/>
      <c r="J34" s="11"/>
      <c r="K34" s="11"/>
      <c r="L34" s="11"/>
      <c r="M34" s="11"/>
      <c r="N34" s="13"/>
      <c r="O34" s="13"/>
      <c r="P34" s="13"/>
      <c r="Q34" s="11"/>
      <c r="R34" s="11"/>
      <c r="S34" s="11"/>
      <c r="T34" s="11"/>
      <c r="U34" s="11"/>
      <c r="V34" s="11"/>
      <c r="W34" s="11"/>
      <c r="X34" s="12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293"/>
      <c r="AR34" s="294"/>
      <c r="AU34" s="295"/>
      <c r="AV34" s="295"/>
      <c r="AW34" s="295"/>
      <c r="AX34" s="295"/>
      <c r="AY34" s="296"/>
    </row>
    <row r="35" spans="7:51" s="288" customFormat="1" ht="38.25" customHeight="1">
      <c r="G35" s="302"/>
      <c r="H35" s="304"/>
      <c r="I35" s="305"/>
      <c r="J35" s="11"/>
      <c r="K35" s="11"/>
      <c r="L35" s="11"/>
      <c r="M35" s="11"/>
      <c r="N35" s="13"/>
      <c r="O35" s="13"/>
      <c r="P35" s="13"/>
      <c r="Q35" s="11"/>
      <c r="R35" s="11"/>
      <c r="S35" s="11"/>
      <c r="T35" s="11"/>
      <c r="U35" s="11"/>
      <c r="V35" s="11"/>
      <c r="W35" s="11"/>
      <c r="X35" s="12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293"/>
      <c r="AR35" s="294"/>
      <c r="AU35" s="295"/>
      <c r="AV35" s="295"/>
      <c r="AW35" s="295"/>
      <c r="AX35" s="295"/>
      <c r="AY35" s="296"/>
    </row>
    <row r="36" spans="7:51" s="288" customFormat="1" ht="19">
      <c r="G36" s="302"/>
      <c r="H36" s="304"/>
      <c r="I36" s="305"/>
      <c r="J36" s="11"/>
      <c r="K36" s="11"/>
      <c r="L36" s="11"/>
      <c r="M36" s="11"/>
      <c r="N36" s="13"/>
      <c r="O36" s="13"/>
      <c r="P36" s="13"/>
      <c r="Q36" s="11"/>
      <c r="R36" s="11"/>
      <c r="S36" s="11"/>
      <c r="T36" s="11"/>
      <c r="U36" s="11"/>
      <c r="V36" s="11"/>
      <c r="W36" s="11"/>
      <c r="X36" s="12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301"/>
      <c r="AR36" s="294"/>
      <c r="AU36" s="295"/>
      <c r="AV36" s="295"/>
      <c r="AW36" s="295"/>
      <c r="AX36" s="295"/>
      <c r="AY36" s="296"/>
    </row>
    <row r="37" spans="7:51" s="288" customFormat="1" ht="19">
      <c r="G37" s="302"/>
      <c r="H37" s="304"/>
      <c r="I37" s="305"/>
      <c r="J37" s="11"/>
      <c r="K37" s="11"/>
      <c r="L37" s="11"/>
      <c r="M37" s="11"/>
      <c r="N37" s="13"/>
      <c r="O37" s="13"/>
      <c r="P37" s="13"/>
      <c r="Q37" s="11"/>
      <c r="R37" s="11"/>
      <c r="S37" s="11"/>
      <c r="T37" s="11"/>
      <c r="U37" s="11"/>
      <c r="V37" s="11"/>
      <c r="W37" s="11"/>
      <c r="X37" s="12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293"/>
      <c r="AR37" s="294"/>
      <c r="AU37" s="295"/>
      <c r="AV37" s="295"/>
      <c r="AW37" s="295"/>
      <c r="AX37" s="295"/>
      <c r="AY37" s="296"/>
    </row>
    <row r="38" spans="7:51" s="288" customFormat="1" ht="19">
      <c r="G38" s="302"/>
      <c r="H38" s="306"/>
      <c r="I38" s="305"/>
      <c r="J38" s="11"/>
      <c r="K38" s="11"/>
      <c r="L38" s="11"/>
      <c r="M38" s="11"/>
      <c r="N38" s="13"/>
      <c r="O38" s="13"/>
      <c r="P38" s="13"/>
      <c r="Q38" s="11"/>
      <c r="R38" s="11"/>
      <c r="S38" s="11"/>
      <c r="T38" s="11"/>
      <c r="U38" s="11"/>
      <c r="V38" s="11"/>
      <c r="W38" s="11"/>
      <c r="X38" s="12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293"/>
      <c r="AR38" s="294"/>
      <c r="AU38" s="295"/>
      <c r="AV38" s="295"/>
      <c r="AW38" s="295"/>
      <c r="AX38" s="295"/>
      <c r="AY38" s="296"/>
    </row>
    <row r="39" spans="7:51" s="288" customFormat="1" ht="19">
      <c r="G39" s="302"/>
      <c r="H39" s="307"/>
      <c r="I39" s="305"/>
      <c r="J39" s="11"/>
      <c r="K39" s="11"/>
      <c r="L39" s="11"/>
      <c r="M39" s="11"/>
      <c r="N39" s="13"/>
      <c r="O39" s="13"/>
      <c r="P39" s="13"/>
      <c r="Q39" s="11"/>
      <c r="R39" s="11"/>
      <c r="S39" s="11"/>
      <c r="T39" s="11"/>
      <c r="U39" s="11"/>
      <c r="V39" s="11"/>
      <c r="W39" s="11"/>
      <c r="X39" s="12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293"/>
      <c r="AR39" s="294"/>
      <c r="AU39" s="295"/>
      <c r="AV39" s="295"/>
      <c r="AW39" s="295"/>
      <c r="AX39" s="295"/>
      <c r="AY39" s="296"/>
    </row>
    <row r="40" spans="7:51" s="288" customFormat="1" ht="19">
      <c r="G40" s="302"/>
      <c r="H40" s="307"/>
      <c r="I40" s="305"/>
      <c r="J40" s="11"/>
      <c r="K40" s="11"/>
      <c r="L40" s="11"/>
      <c r="M40" s="11"/>
      <c r="N40" s="13"/>
      <c r="O40" s="13"/>
      <c r="P40" s="13"/>
      <c r="Q40" s="11"/>
      <c r="R40" s="11"/>
      <c r="S40" s="11"/>
      <c r="T40" s="11"/>
      <c r="U40" s="11"/>
      <c r="V40" s="11"/>
      <c r="W40" s="11"/>
      <c r="X40" s="12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301"/>
      <c r="AR40" s="294"/>
      <c r="AU40" s="295"/>
      <c r="AV40" s="295"/>
      <c r="AW40" s="295"/>
      <c r="AX40" s="295"/>
      <c r="AY40" s="296"/>
    </row>
    <row r="41" spans="7:51" s="288" customFormat="1" ht="19">
      <c r="G41" s="302"/>
      <c r="I41" s="303"/>
      <c r="J41" s="11"/>
      <c r="K41" s="11"/>
      <c r="L41" s="11"/>
      <c r="M41" s="11"/>
      <c r="N41" s="13"/>
      <c r="O41" s="13"/>
      <c r="P41" s="13"/>
      <c r="Q41" s="11"/>
      <c r="R41" s="11"/>
      <c r="S41" s="11"/>
      <c r="T41" s="11"/>
      <c r="U41" s="11"/>
      <c r="V41" s="11"/>
      <c r="W41" s="11"/>
      <c r="X41" s="12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293"/>
      <c r="AR41" s="294"/>
      <c r="AU41" s="295"/>
      <c r="AV41" s="295"/>
      <c r="AW41" s="295"/>
      <c r="AX41" s="295"/>
      <c r="AY41" s="296"/>
    </row>
  </sheetData>
  <autoFilter ref="A3:AU10" xr:uid="{00000000-0009-0000-0000-00000E000000}"/>
  <mergeCells count="20">
    <mergeCell ref="AR1:AR2"/>
    <mergeCell ref="AS1:AS2"/>
    <mergeCell ref="AU1:AU3"/>
    <mergeCell ref="AQ1:AQ2"/>
    <mergeCell ref="AT1:AT3"/>
    <mergeCell ref="A11:E11"/>
    <mergeCell ref="AN1:AN2"/>
    <mergeCell ref="AO1:AO2"/>
    <mergeCell ref="AP1:AP2"/>
    <mergeCell ref="F1:F3"/>
    <mergeCell ref="AL1:AL2"/>
    <mergeCell ref="A1:A3"/>
    <mergeCell ref="B1:B2"/>
    <mergeCell ref="C1:C3"/>
    <mergeCell ref="D1:D3"/>
    <mergeCell ref="E1:E3"/>
    <mergeCell ref="G1:H1"/>
    <mergeCell ref="I1:AG1"/>
    <mergeCell ref="AM1:AM3"/>
    <mergeCell ref="AK1:AK3"/>
  </mergeCells>
  <conditionalFormatting sqref="C15:C41">
    <cfRule type="duplicateValues" dxfId="83" priority="1327642"/>
    <cfRule type="duplicateValues" dxfId="82" priority="1327643"/>
    <cfRule type="duplicateValues" dxfId="81" priority="1327644"/>
    <cfRule type="duplicateValues" dxfId="80" priority="1327648"/>
    <cfRule type="duplicateValues" dxfId="79" priority="1327649"/>
  </conditionalFormatting>
  <conditionalFormatting sqref="C31">
    <cfRule type="duplicateValues" dxfId="78" priority="14"/>
  </conditionalFormatting>
  <conditionalFormatting sqref="C31:C41">
    <cfRule type="duplicateValues" dxfId="77" priority="17"/>
    <cfRule type="duplicateValues" dxfId="76" priority="20"/>
    <cfRule type="duplicateValues" dxfId="75" priority="21"/>
    <cfRule type="duplicateValues" dxfId="74" priority="22"/>
    <cfRule type="duplicateValues" dxfId="73" priority="23"/>
  </conditionalFormatting>
  <conditionalFormatting sqref="C32">
    <cfRule type="duplicateValues" dxfId="72" priority="15"/>
    <cfRule type="duplicateValues" dxfId="71" priority="16"/>
  </conditionalFormatting>
  <conditionalFormatting sqref="C42:C1048576 C12:C14">
    <cfRule type="duplicateValues" dxfId="70" priority="1327639"/>
  </conditionalFormatting>
  <conditionalFormatting sqref="D15:D30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D15)+COUNTIF(#REF!, D15)&gt;1,NOT(ISBLANK(D15)))</formula>
    </cfRule>
  </conditionalFormatting>
  <conditionalFormatting sqref="E15">
    <cfRule type="duplicateValues" dxfId="61" priority="3"/>
    <cfRule type="duplicateValues" dxfId="60" priority="4"/>
    <cfRule type="duplicateValues" dxfId="59" priority="5"/>
  </conditionalFormatting>
  <conditionalFormatting sqref="C1:C3">
    <cfRule type="duplicateValues" dxfId="58" priority="1"/>
  </conditionalFormatting>
  <conditionalFormatting sqref="C4:C10">
    <cfRule type="duplicateValues" dxfId="57" priority="1327757"/>
    <cfRule type="duplicateValues" dxfId="56" priority="1327758"/>
    <cfRule type="duplicateValues" dxfId="55" priority="1327759"/>
  </conditionalFormatting>
  <dataValidations count="3">
    <dataValidation type="list" allowBlank="1" showErrorMessage="1" sqref="AI10:AJ11 AC11:AH11 G10:AB11 AJ4:AJ9" xr:uid="{00000000-0002-0000-0E00-000000000000}">
      <formula1>#REF!</formula1>
    </dataValidation>
    <dataValidation allowBlank="1" showErrorMessage="1" sqref="AC10:AH10 C4:D5 G4:AI9" xr:uid="{00000000-0002-0000-0E00-000001000000}"/>
    <dataValidation type="list" allowBlank="1" showInputMessage="1" showErrorMessage="1" sqref="T15:T16" xr:uid="{5C6E489A-E1F8-4A38-A183-5AA94C59DE80}">
      <formula1>#REF!</formula1>
    </dataValidation>
  </dataValidations>
  <pageMargins left="0.5" right="0" top="0.48" bottom="0.28000000000000003" header="0.3" footer="0.16"/>
  <pageSetup paperSize="9" scale="50" orientation="landscape" r:id="rId1"/>
  <colBreaks count="1" manualBreakCount="1">
    <brk id="4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31"/>
  <sheetViews>
    <sheetView zoomScale="80" zoomScaleNormal="80" zoomScaleSheetLayoutView="82" workbookViewId="0">
      <pane xSplit="3" ySplit="2" topLeftCell="D3" activePane="bottomRight" state="frozen"/>
      <selection activeCell="C13" sqref="C13"/>
      <selection pane="topRight" activeCell="C13" sqref="C13"/>
      <selection pane="bottomLeft" activeCell="C13" sqref="C13"/>
      <selection pane="bottomRight" activeCell="F10" sqref="F10"/>
    </sheetView>
  </sheetViews>
  <sheetFormatPr baseColWidth="10" defaultColWidth="6.5" defaultRowHeight="12" outlineLevelCol="2"/>
  <cols>
    <col min="1" max="1" width="5.1640625" style="389" customWidth="1"/>
    <col min="2" max="2" width="13.83203125" style="389" customWidth="1"/>
    <col min="3" max="3" width="23.83203125" style="389" customWidth="1" outlineLevel="1"/>
    <col min="4" max="4" width="15.5" style="389" customWidth="1" outlineLevel="1"/>
    <col min="5" max="5" width="19.1640625" style="389" customWidth="1"/>
    <col min="6" max="6" width="12.5" style="390" customWidth="1"/>
    <col min="7" max="7" width="10.6640625" style="391" customWidth="1"/>
    <col min="8" max="8" width="8" style="391" customWidth="1"/>
    <col min="9" max="9" width="8" style="390" customWidth="1"/>
    <col min="10" max="10" width="11.33203125" style="390" customWidth="1" outlineLevel="2"/>
    <col min="11" max="11" width="11.5" style="390" customWidth="1" outlineLevel="2"/>
    <col min="12" max="12" width="11.6640625" style="390" customWidth="1"/>
    <col min="13" max="13" width="15" style="390" customWidth="1"/>
    <col min="14" max="14" width="11.33203125" style="392" customWidth="1"/>
    <col min="15" max="15" width="12" style="390" customWidth="1"/>
    <col min="16" max="16" width="13.83203125" style="390" customWidth="1" outlineLevel="1"/>
    <col min="17" max="17" width="12.5" style="390" customWidth="1" outlineLevel="1"/>
    <col min="18" max="18" width="16.1640625" style="390" customWidth="1"/>
    <col min="19" max="19" width="16.33203125" style="390" customWidth="1" outlineLevel="1"/>
    <col min="20" max="20" width="14" style="390" customWidth="1" outlineLevel="1"/>
    <col min="21" max="219" width="9" style="389" customWidth="1"/>
    <col min="220" max="220" width="3.5" style="389" customWidth="1"/>
    <col min="221" max="221" width="19.1640625" style="389" customWidth="1"/>
    <col min="222" max="222" width="10.1640625" style="389" customWidth="1"/>
    <col min="223" max="223" width="10.6640625" style="389" customWidth="1"/>
    <col min="224" max="224" width="8.33203125" style="389" customWidth="1"/>
    <col min="225" max="225" width="8.6640625" style="389" customWidth="1"/>
    <col min="226" max="226" width="6.33203125" style="389" customWidth="1"/>
    <col min="227" max="227" width="7.1640625" style="389" customWidth="1"/>
    <col min="228" max="228" width="5.6640625" style="389" customWidth="1"/>
    <col min="229" max="229" width="5.83203125" style="389" customWidth="1"/>
    <col min="230" max="230" width="5.33203125" style="389" customWidth="1"/>
    <col min="231" max="231" width="6" style="389" customWidth="1"/>
    <col min="232" max="232" width="6.5" style="389" customWidth="1"/>
    <col min="233" max="233" width="6.1640625" style="389" customWidth="1"/>
    <col min="234" max="16384" width="6.5" style="389"/>
  </cols>
  <sheetData>
    <row r="1" spans="1:20" s="370" customFormat="1" ht="25.5" customHeight="1">
      <c r="A1" s="361"/>
      <c r="B1" s="362"/>
      <c r="C1" s="363"/>
      <c r="D1" s="364"/>
      <c r="E1" s="365" t="s">
        <v>179</v>
      </c>
      <c r="F1" s="366" t="s">
        <v>22</v>
      </c>
      <c r="G1" s="367"/>
      <c r="H1" s="367"/>
      <c r="I1" s="367"/>
      <c r="J1" s="367"/>
      <c r="K1" s="368"/>
      <c r="L1" s="366" t="s">
        <v>56</v>
      </c>
      <c r="M1" s="367"/>
      <c r="N1" s="367"/>
      <c r="O1" s="367"/>
      <c r="P1" s="367"/>
      <c r="Q1" s="368"/>
      <c r="R1" s="369" t="s">
        <v>55</v>
      </c>
      <c r="S1" s="369" t="s">
        <v>23</v>
      </c>
      <c r="T1" s="369" t="s">
        <v>24</v>
      </c>
    </row>
    <row r="2" spans="1:20" s="370" customFormat="1" ht="33" customHeight="1">
      <c r="A2" s="371" t="s">
        <v>8</v>
      </c>
      <c r="B2" s="185" t="s">
        <v>25</v>
      </c>
      <c r="C2" s="372" t="s">
        <v>26</v>
      </c>
      <c r="D2" s="373" t="s">
        <v>59</v>
      </c>
      <c r="E2" s="374" t="s">
        <v>28</v>
      </c>
      <c r="F2" s="375">
        <v>1.5</v>
      </c>
      <c r="G2" s="375">
        <v>2.15</v>
      </c>
      <c r="H2" s="375">
        <v>2</v>
      </c>
      <c r="I2" s="375">
        <v>2.8</v>
      </c>
      <c r="J2" s="375">
        <v>3</v>
      </c>
      <c r="K2" s="375">
        <v>4.0999999999999996</v>
      </c>
      <c r="L2" s="393">
        <v>1.5</v>
      </c>
      <c r="M2" s="393">
        <v>2.15</v>
      </c>
      <c r="N2" s="393">
        <v>2</v>
      </c>
      <c r="O2" s="393">
        <v>2.8</v>
      </c>
      <c r="P2" s="393">
        <v>3</v>
      </c>
      <c r="Q2" s="393">
        <v>4.0999999999999996</v>
      </c>
      <c r="R2" s="376"/>
      <c r="S2" s="376"/>
      <c r="T2" s="376"/>
    </row>
    <row r="3" spans="1:20" s="370" customFormat="1" ht="22.5" customHeight="1">
      <c r="A3" s="377">
        <f>ROW()-6</f>
        <v>-3</v>
      </c>
      <c r="B3" s="378" t="s">
        <v>176</v>
      </c>
      <c r="C3" s="254" t="s">
        <v>186</v>
      </c>
      <c r="D3" s="379">
        <v>43466</v>
      </c>
      <c r="E3" s="380">
        <f>VLOOKUP(B3,'Template Payroll'!$B$3:$J$3,9,0)</f>
        <v>47000000</v>
      </c>
      <c r="F3" s="381">
        <v>0</v>
      </c>
      <c r="G3" s="382">
        <v>0</v>
      </c>
      <c r="H3" s="382">
        <v>0</v>
      </c>
      <c r="I3" s="382">
        <v>0</v>
      </c>
      <c r="J3" s="382">
        <v>6</v>
      </c>
      <c r="K3" s="382">
        <v>2</v>
      </c>
      <c r="L3" s="383">
        <f>ROUND(E3/26/8*$L$2*F3,0)</f>
        <v>0</v>
      </c>
      <c r="M3" s="383">
        <f>ROUND(E3/26/8*$M$2*G3,0)</f>
        <v>0</v>
      </c>
      <c r="N3" s="383">
        <f>ROUND(E3/26/8*$N$2*H3,0)</f>
        <v>0</v>
      </c>
      <c r="O3" s="383">
        <f>ROUND(E3/26/8*$O$2*I3,0)</f>
        <v>0</v>
      </c>
      <c r="P3" s="383">
        <f>ROUND(E3/26/8*$P$2*J3,0)</f>
        <v>4067308</v>
      </c>
      <c r="Q3" s="383">
        <f>ROUND(E3/26/8*$Q$2*K3,0)</f>
        <v>1852885</v>
      </c>
      <c r="R3" s="384">
        <f>ROUND(SUM(L3:Q3),0)</f>
        <v>5920193</v>
      </c>
      <c r="S3" s="385">
        <f>ROUND(SUM(F3:K3)*E3/26/8,0)</f>
        <v>1807692</v>
      </c>
      <c r="T3" s="386">
        <f>ROUND(R3-S3,0)</f>
        <v>4112501</v>
      </c>
    </row>
    <row r="4" spans="1:20" s="370" customFormat="1" ht="22.5" customHeight="1">
      <c r="A4" s="377">
        <f t="shared" ref="A4" si="0">ROW()-6</f>
        <v>-2</v>
      </c>
      <c r="B4" s="378" t="s">
        <v>177</v>
      </c>
      <c r="C4" s="254" t="s">
        <v>187</v>
      </c>
      <c r="D4" s="387">
        <v>43831</v>
      </c>
      <c r="E4" s="388" t="e" cm="1">
        <f t="array" ref="E4">VLOOKUP(E9B4,'Template Payroll'!$B$3:$J$3,9,0)</f>
        <v>#NAME?</v>
      </c>
      <c r="F4" s="382">
        <v>0</v>
      </c>
      <c r="G4" s="382">
        <v>6</v>
      </c>
      <c r="H4" s="382">
        <v>0</v>
      </c>
      <c r="I4" s="382">
        <v>0</v>
      </c>
      <c r="J4" s="382">
        <v>6</v>
      </c>
      <c r="K4" s="382">
        <v>2</v>
      </c>
      <c r="L4" s="383" t="e">
        <f>ROUND(E4/26/8*$L$2*F4,0)</f>
        <v>#NAME?</v>
      </c>
      <c r="M4" s="383" t="e">
        <f>ROUND(E4/26/8*$M$2*G4,0)</f>
        <v>#NAME?</v>
      </c>
      <c r="N4" s="383" t="e">
        <f>ROUND(E4/26/8*$N$2*H4,0)</f>
        <v>#NAME?</v>
      </c>
      <c r="O4" s="383" t="e">
        <f>ROUND(E4/26/8*$O$2*I4,0)</f>
        <v>#NAME?</v>
      </c>
      <c r="P4" s="383" t="e">
        <f>ROUND(E4/26/8*$P$2*J4,0)</f>
        <v>#NAME?</v>
      </c>
      <c r="Q4" s="383" t="e">
        <f>ROUND(E4/26/8*$Q$2*K4,0)</f>
        <v>#NAME?</v>
      </c>
      <c r="R4" s="384" t="e">
        <f>ROUND(SUM(L4:Q4),0)</f>
        <v>#NAME?</v>
      </c>
      <c r="S4" s="385" t="e">
        <f>ROUND(SUM(F4:K4)*E4/26/8,0)</f>
        <v>#NAME?</v>
      </c>
      <c r="T4" s="386" t="e">
        <f>ROUND(R4-S4,0)</f>
        <v>#NAME?</v>
      </c>
    </row>
    <row r="5" spans="1:20">
      <c r="F5" s="389"/>
      <c r="G5" s="389"/>
      <c r="H5" s="389"/>
      <c r="N5" s="390"/>
      <c r="O5" s="389"/>
      <c r="P5" s="389"/>
      <c r="Q5" s="389"/>
      <c r="R5" s="389"/>
      <c r="S5" s="389"/>
      <c r="T5" s="389"/>
    </row>
    <row r="6" spans="1:20">
      <c r="F6" s="389"/>
      <c r="G6" s="389"/>
      <c r="H6" s="389"/>
      <c r="N6" s="390"/>
      <c r="O6" s="389"/>
      <c r="P6" s="389"/>
      <c r="Q6" s="389"/>
      <c r="R6" s="389"/>
      <c r="S6" s="389"/>
      <c r="T6" s="389"/>
    </row>
    <row r="7" spans="1:20">
      <c r="F7" s="389"/>
      <c r="G7" s="389"/>
      <c r="H7" s="389"/>
      <c r="N7" s="390"/>
      <c r="O7" s="389"/>
      <c r="P7" s="389"/>
      <c r="Q7" s="389"/>
      <c r="R7" s="389"/>
      <c r="S7" s="389"/>
      <c r="T7" s="389"/>
    </row>
    <row r="8" spans="1:20">
      <c r="F8" s="389"/>
      <c r="G8" s="389"/>
      <c r="H8" s="389"/>
      <c r="N8" s="390"/>
      <c r="O8" s="389"/>
      <c r="P8" s="389"/>
      <c r="Q8" s="389"/>
      <c r="R8" s="389"/>
      <c r="S8" s="389"/>
      <c r="T8" s="389"/>
    </row>
    <row r="9" spans="1:20">
      <c r="F9" s="389"/>
      <c r="G9" s="389"/>
      <c r="H9" s="389"/>
      <c r="N9" s="390"/>
      <c r="O9" s="389"/>
      <c r="P9" s="389"/>
      <c r="Q9" s="389"/>
      <c r="R9" s="389"/>
      <c r="S9" s="389"/>
      <c r="T9" s="389"/>
    </row>
    <row r="10" spans="1:20">
      <c r="F10" s="389"/>
      <c r="G10" s="389"/>
      <c r="H10" s="389"/>
      <c r="N10" s="390"/>
      <c r="O10" s="389"/>
      <c r="P10" s="389"/>
      <c r="Q10" s="389"/>
      <c r="R10" s="389"/>
      <c r="S10" s="389"/>
      <c r="T10" s="389"/>
    </row>
    <row r="11" spans="1:20">
      <c r="F11" s="389"/>
      <c r="G11" s="389"/>
      <c r="H11" s="389"/>
      <c r="N11" s="390"/>
      <c r="O11" s="389"/>
      <c r="P11" s="389"/>
      <c r="Q11" s="389"/>
      <c r="R11" s="389"/>
      <c r="S11" s="389"/>
      <c r="T11" s="389"/>
    </row>
    <row r="12" spans="1:20">
      <c r="F12" s="389"/>
      <c r="G12" s="389"/>
      <c r="H12" s="389"/>
      <c r="N12" s="390"/>
      <c r="O12" s="389"/>
      <c r="P12" s="389"/>
      <c r="Q12" s="389"/>
      <c r="R12" s="389"/>
      <c r="S12" s="389"/>
      <c r="T12" s="389"/>
    </row>
    <row r="13" spans="1:20">
      <c r="F13" s="389"/>
      <c r="G13" s="389"/>
      <c r="H13" s="389"/>
      <c r="N13" s="390"/>
      <c r="O13" s="389"/>
      <c r="P13" s="389"/>
      <c r="Q13" s="389"/>
      <c r="R13" s="389"/>
      <c r="S13" s="389"/>
      <c r="T13" s="389"/>
    </row>
    <row r="14" spans="1:20">
      <c r="F14" s="389"/>
      <c r="G14" s="389"/>
      <c r="H14" s="389"/>
      <c r="N14" s="390"/>
      <c r="O14" s="389"/>
      <c r="P14" s="389"/>
      <c r="Q14" s="389"/>
      <c r="R14" s="389"/>
      <c r="S14" s="389"/>
      <c r="T14" s="389"/>
    </row>
    <row r="15" spans="1:20">
      <c r="F15" s="389"/>
      <c r="G15" s="389"/>
      <c r="H15" s="389"/>
      <c r="N15" s="390"/>
      <c r="O15" s="389"/>
      <c r="P15" s="389"/>
      <c r="Q15" s="389"/>
      <c r="R15" s="389"/>
      <c r="S15" s="389"/>
      <c r="T15" s="389"/>
    </row>
    <row r="16" spans="1:20">
      <c r="F16" s="389"/>
      <c r="G16" s="389"/>
      <c r="H16" s="389"/>
      <c r="N16" s="390"/>
      <c r="O16" s="389"/>
      <c r="P16" s="389"/>
      <c r="Q16" s="389"/>
      <c r="R16" s="389"/>
      <c r="S16" s="389"/>
      <c r="T16" s="389"/>
    </row>
    <row r="17" spans="9:14" s="389" customFormat="1">
      <c r="I17" s="390"/>
      <c r="J17" s="390"/>
      <c r="K17" s="390"/>
      <c r="L17" s="390"/>
      <c r="M17" s="390"/>
      <c r="N17" s="390"/>
    </row>
    <row r="18" spans="9:14" s="389" customFormat="1">
      <c r="I18" s="390"/>
      <c r="J18" s="390"/>
      <c r="K18" s="390"/>
      <c r="L18" s="390"/>
      <c r="M18" s="390"/>
      <c r="N18" s="390"/>
    </row>
    <row r="19" spans="9:14" s="389" customFormat="1">
      <c r="I19" s="390"/>
      <c r="J19" s="390"/>
      <c r="K19" s="390"/>
      <c r="L19" s="390"/>
      <c r="M19" s="390"/>
      <c r="N19" s="390"/>
    </row>
    <row r="20" spans="9:14" s="389" customFormat="1">
      <c r="I20" s="390"/>
      <c r="J20" s="390"/>
      <c r="K20" s="390"/>
      <c r="L20" s="390"/>
      <c r="M20" s="390"/>
      <c r="N20" s="390"/>
    </row>
    <row r="21" spans="9:14" s="389" customFormat="1">
      <c r="I21" s="390"/>
      <c r="J21" s="390"/>
      <c r="K21" s="390"/>
      <c r="L21" s="390"/>
      <c r="M21" s="390"/>
      <c r="N21" s="390"/>
    </row>
    <row r="22" spans="9:14" s="389" customFormat="1">
      <c r="I22" s="390"/>
      <c r="J22" s="390"/>
      <c r="K22" s="390"/>
      <c r="L22" s="390"/>
      <c r="M22" s="390"/>
      <c r="N22" s="390"/>
    </row>
    <row r="23" spans="9:14" s="389" customFormat="1">
      <c r="I23" s="390"/>
      <c r="J23" s="390"/>
      <c r="K23" s="390"/>
      <c r="L23" s="390"/>
      <c r="M23" s="390"/>
      <c r="N23" s="390"/>
    </row>
    <row r="24" spans="9:14" s="389" customFormat="1">
      <c r="I24" s="390"/>
      <c r="J24" s="390"/>
      <c r="K24" s="390"/>
      <c r="L24" s="390"/>
      <c r="M24" s="390"/>
      <c r="N24" s="390"/>
    </row>
    <row r="25" spans="9:14" s="389" customFormat="1">
      <c r="I25" s="390"/>
      <c r="J25" s="390"/>
      <c r="K25" s="390"/>
      <c r="L25" s="390"/>
      <c r="M25" s="390"/>
      <c r="N25" s="390"/>
    </row>
    <row r="26" spans="9:14" s="389" customFormat="1">
      <c r="I26" s="390"/>
      <c r="J26" s="390"/>
      <c r="K26" s="390"/>
      <c r="L26" s="390"/>
      <c r="M26" s="390"/>
      <c r="N26" s="390"/>
    </row>
    <row r="27" spans="9:14" s="389" customFormat="1">
      <c r="I27" s="390"/>
      <c r="J27" s="390"/>
      <c r="K27" s="390"/>
      <c r="L27" s="390"/>
      <c r="M27" s="390"/>
      <c r="N27" s="390"/>
    </row>
    <row r="28" spans="9:14" s="389" customFormat="1">
      <c r="I28" s="390"/>
      <c r="J28" s="390"/>
      <c r="K28" s="390"/>
      <c r="L28" s="390"/>
      <c r="M28" s="390"/>
      <c r="N28" s="390"/>
    </row>
    <row r="29" spans="9:14" s="389" customFormat="1">
      <c r="I29" s="390"/>
      <c r="J29" s="390"/>
      <c r="K29" s="390"/>
      <c r="L29" s="390"/>
      <c r="M29" s="390"/>
      <c r="N29" s="390"/>
    </row>
    <row r="30" spans="9:14" s="389" customFormat="1">
      <c r="I30" s="390"/>
      <c r="J30" s="390"/>
      <c r="K30" s="390"/>
      <c r="L30" s="390"/>
      <c r="M30" s="390"/>
      <c r="N30" s="390"/>
    </row>
    <row r="31" spans="9:14" s="389" customFormat="1">
      <c r="I31" s="390"/>
      <c r="J31" s="390"/>
      <c r="K31" s="390"/>
      <c r="L31" s="390"/>
      <c r="M31" s="390"/>
      <c r="N31" s="390"/>
    </row>
  </sheetData>
  <sheetProtection selectLockedCells="1" selectUnlockedCells="1"/>
  <autoFilter ref="A2:T4" xr:uid="{00000000-0009-0000-0000-000011000000}"/>
  <mergeCells count="5">
    <mergeCell ref="L1:Q1"/>
    <mergeCell ref="F1:K1"/>
    <mergeCell ref="R1:R2"/>
    <mergeCell ref="S1:S2"/>
    <mergeCell ref="T1:T2"/>
  </mergeCells>
  <conditionalFormatting sqref="B1:B1048576">
    <cfRule type="duplicateValues" dxfId="54" priority="1327751"/>
  </conditionalFormatting>
  <conditionalFormatting sqref="B5:B1048576">
    <cfRule type="duplicateValues" dxfId="53" priority="1327754"/>
  </conditionalFormatting>
  <dataValidations disablePrompts="1" count="1">
    <dataValidation allowBlank="1" showErrorMessage="1" sqref="B2" xr:uid="{A55572F4-55F8-3848-86DE-63CB17BB4ABC}"/>
  </dataValidations>
  <pageMargins left="0.45833333333333298" right="0.45833333333333298" top="0.74791666666666701" bottom="0.74791666666666701" header="0.51180555555555596" footer="0.51180555555555596"/>
  <pageSetup paperSize="9" scale="5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6"/>
  <sheetViews>
    <sheetView zoomScaleNormal="100" zoomScaleSheetLayoutView="82" workbookViewId="0">
      <pane xSplit="4" ySplit="2" topLeftCell="E3" activePane="bottomRight" state="frozen"/>
      <selection activeCell="C13" sqref="C13"/>
      <selection pane="topRight" activeCell="C13" sqref="C13"/>
      <selection pane="bottomLeft" activeCell="C13" sqref="C13"/>
      <selection pane="bottomRight" activeCell="B1" sqref="B1"/>
    </sheetView>
  </sheetViews>
  <sheetFormatPr baseColWidth="10" defaultColWidth="9" defaultRowHeight="12"/>
  <cols>
    <col min="1" max="1" width="7.6640625" style="1" customWidth="1"/>
    <col min="2" max="2" width="12.83203125" style="1" customWidth="1"/>
    <col min="3" max="3" width="19.1640625" style="1" customWidth="1"/>
    <col min="4" max="4" width="17.5" style="2" customWidth="1"/>
    <col min="5" max="5" width="17.5" style="1" customWidth="1"/>
    <col min="6" max="6" width="12.5" style="3" customWidth="1"/>
    <col min="7" max="7" width="17.33203125" style="3" customWidth="1"/>
    <col min="8" max="8" width="15.83203125" style="1" customWidth="1"/>
    <col min="9" max="9" width="15" style="1" customWidth="1"/>
    <col min="10" max="204" width="9" style="1"/>
    <col min="205" max="205" width="3.5" style="1" customWidth="1"/>
    <col min="206" max="206" width="19.1640625" style="1" customWidth="1"/>
    <col min="207" max="207" width="10.1640625" style="1" customWidth="1"/>
    <col min="208" max="208" width="10.6640625" style="1" customWidth="1"/>
    <col min="209" max="209" width="8.33203125" style="1" customWidth="1"/>
    <col min="210" max="210" width="8.6640625" style="1" customWidth="1"/>
    <col min="211" max="211" width="6.33203125" style="1" customWidth="1"/>
    <col min="212" max="212" width="7.1640625" style="1" customWidth="1"/>
    <col min="213" max="213" width="5.6640625" style="1" customWidth="1"/>
    <col min="214" max="214" width="5.83203125" style="1" customWidth="1"/>
    <col min="215" max="215" width="5.33203125" style="1" customWidth="1"/>
    <col min="216" max="216" width="6" style="1" customWidth="1"/>
    <col min="217" max="217" width="6.5" style="1" customWidth="1"/>
    <col min="218" max="218" width="6.1640625" style="1" customWidth="1"/>
    <col min="219" max="221" width="6.5" style="1" customWidth="1"/>
    <col min="222" max="222" width="7.1640625" style="1" customWidth="1"/>
    <col min="223" max="223" width="7.83203125" style="1" customWidth="1"/>
    <col min="224" max="224" width="5.5" style="1" customWidth="1"/>
    <col min="225" max="225" width="8.83203125" style="1" customWidth="1"/>
    <col min="226" max="226" width="12.5" style="1" customWidth="1"/>
    <col min="227" max="227" width="13.5" style="1" customWidth="1"/>
    <col min="228" max="229" width="7.5" style="1" customWidth="1"/>
    <col min="230" max="230" width="6" style="1" customWidth="1"/>
    <col min="231" max="231" width="8.5" style="1" customWidth="1"/>
    <col min="232" max="232" width="7.1640625" style="1" customWidth="1"/>
    <col min="233" max="16384" width="9" style="1"/>
  </cols>
  <sheetData>
    <row r="1" spans="1:9" s="4" customFormat="1" ht="54" customHeight="1">
      <c r="A1" s="147" t="s">
        <v>8</v>
      </c>
      <c r="B1" s="185" t="s">
        <v>25</v>
      </c>
      <c r="C1" s="148" t="s">
        <v>26</v>
      </c>
      <c r="D1" s="149" t="s">
        <v>59</v>
      </c>
      <c r="E1" s="150" t="s">
        <v>118</v>
      </c>
      <c r="F1" s="151" t="s">
        <v>31</v>
      </c>
      <c r="G1" s="151" t="s">
        <v>180</v>
      </c>
      <c r="H1" s="151" t="s">
        <v>181</v>
      </c>
      <c r="I1" s="151" t="s">
        <v>182</v>
      </c>
    </row>
    <row r="2" spans="1:9" s="5" customFormat="1" ht="15.75" customHeight="1">
      <c r="A2" s="152"/>
      <c r="B2" s="144">
        <v>1</v>
      </c>
      <c r="C2" s="144">
        <f t="shared" ref="C2:E2" si="0">B2+1</f>
        <v>2</v>
      </c>
      <c r="D2" s="153">
        <v>3</v>
      </c>
      <c r="E2" s="144">
        <f t="shared" si="0"/>
        <v>4</v>
      </c>
      <c r="F2" s="144">
        <f t="shared" ref="F2" si="1">E2+1</f>
        <v>5</v>
      </c>
      <c r="G2" s="144">
        <f t="shared" ref="G2" si="2">F2+1</f>
        <v>6</v>
      </c>
      <c r="H2" s="144">
        <f t="shared" ref="H2" si="3">G2+1</f>
        <v>7</v>
      </c>
      <c r="I2" s="144">
        <f t="shared" ref="I2" si="4">H2+1</f>
        <v>8</v>
      </c>
    </row>
    <row r="3" spans="1:9" s="5" customFormat="1" ht="15.75" customHeight="1">
      <c r="A3" s="154">
        <f>ROW()-8</f>
        <v>-5</v>
      </c>
      <c r="B3" s="145" t="s">
        <v>176</v>
      </c>
      <c r="C3" s="155" t="s">
        <v>174</v>
      </c>
      <c r="D3" s="156">
        <v>43466</v>
      </c>
      <c r="E3" s="157">
        <f>IFERROR(VLOOKUP(B3,'Template Payroll'!$B$3:$J$3,9,0),0)</f>
        <v>47000000</v>
      </c>
      <c r="F3" s="158">
        <v>2</v>
      </c>
      <c r="G3" s="143">
        <f t="shared" ref="G3:G6" si="5">ROUND((E3/26/8)*30%*F3,0)</f>
        <v>135577</v>
      </c>
      <c r="H3" s="159">
        <f>G3-I3</f>
        <v>0</v>
      </c>
      <c r="I3" s="159">
        <f>G3</f>
        <v>135577</v>
      </c>
    </row>
    <row r="4" spans="1:9" s="5" customFormat="1" ht="15.75" customHeight="1">
      <c r="A4" s="154">
        <f t="shared" ref="A4:A6" si="6">ROW()-8</f>
        <v>-4</v>
      </c>
      <c r="B4" s="145" t="s">
        <v>177</v>
      </c>
      <c r="C4" s="155" t="s">
        <v>175</v>
      </c>
      <c r="D4" s="156">
        <v>43831</v>
      </c>
      <c r="E4" s="157">
        <f>IFERROR(VLOOKUP(B4,'Template Payroll'!$B$3:$J$3,9,0),0)</f>
        <v>0</v>
      </c>
      <c r="F4" s="158">
        <v>3</v>
      </c>
      <c r="G4" s="143">
        <f t="shared" si="5"/>
        <v>0</v>
      </c>
      <c r="H4" s="159">
        <f t="shared" ref="H4:H6" si="7">G4-I4</f>
        <v>0</v>
      </c>
      <c r="I4" s="159">
        <f t="shared" ref="I4:I6" si="8">G4</f>
        <v>0</v>
      </c>
    </row>
    <row r="5" spans="1:9" s="5" customFormat="1" ht="15.75" customHeight="1">
      <c r="A5" s="154">
        <f t="shared" si="6"/>
        <v>-3</v>
      </c>
      <c r="B5" s="145" t="s">
        <v>158</v>
      </c>
      <c r="C5" s="155" t="s">
        <v>188</v>
      </c>
      <c r="D5" s="156">
        <v>44197</v>
      </c>
      <c r="E5" s="157">
        <f>IFERROR(VLOOKUP(B5,'Template Payroll'!$B$3:$J$3,9,0),0)</f>
        <v>0</v>
      </c>
      <c r="F5" s="158">
        <v>4</v>
      </c>
      <c r="G5" s="143">
        <f t="shared" si="5"/>
        <v>0</v>
      </c>
      <c r="H5" s="159">
        <f t="shared" si="7"/>
        <v>0</v>
      </c>
      <c r="I5" s="159">
        <f t="shared" si="8"/>
        <v>0</v>
      </c>
    </row>
    <row r="6" spans="1:9" s="5" customFormat="1" ht="15.75" customHeight="1">
      <c r="A6" s="154">
        <f t="shared" si="6"/>
        <v>-2</v>
      </c>
      <c r="B6" s="145" t="s">
        <v>159</v>
      </c>
      <c r="C6" s="155" t="s">
        <v>189</v>
      </c>
      <c r="D6" s="156">
        <v>44562</v>
      </c>
      <c r="E6" s="157">
        <f>IFERROR(VLOOKUP(B6,'Template Payroll'!$B$3:$J$3,9,0),0)</f>
        <v>0</v>
      </c>
      <c r="F6" s="158">
        <v>1.5</v>
      </c>
      <c r="G6" s="143">
        <f t="shared" si="5"/>
        <v>0</v>
      </c>
      <c r="H6" s="159">
        <f t="shared" si="7"/>
        <v>0</v>
      </c>
      <c r="I6" s="159">
        <f t="shared" si="8"/>
        <v>0</v>
      </c>
    </row>
  </sheetData>
  <sheetProtection selectLockedCells="1" selectUnlockedCells="1"/>
  <autoFilter ref="A1:G6" xr:uid="{00000000-0009-0000-0000-000015000000}"/>
  <conditionalFormatting sqref="B1:B1048576">
    <cfRule type="duplicateValues" dxfId="52" priority="1"/>
    <cfRule type="duplicateValues" dxfId="51" priority="188938"/>
  </conditionalFormatting>
  <conditionalFormatting sqref="B1:B1048576">
    <cfRule type="duplicateValues" dxfId="50" priority="1327755"/>
    <cfRule type="duplicateValues" dxfId="49" priority="1327756"/>
  </conditionalFormatting>
  <dataValidations count="1">
    <dataValidation allowBlank="1" showErrorMessage="1" sqref="B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9"/>
  <sheetViews>
    <sheetView zoomScaleNormal="100" zoomScaleSheetLayoutView="20" workbookViewId="0">
      <pane xSplit="5" ySplit="3" topLeftCell="G4" activePane="bottomRight" state="frozen"/>
      <selection activeCell="C13" sqref="C13"/>
      <selection pane="topRight" activeCell="C13" sqref="C13"/>
      <selection pane="bottomLeft" activeCell="C13" sqref="C13"/>
      <selection pane="bottomRight" activeCell="B3" sqref="B3"/>
    </sheetView>
  </sheetViews>
  <sheetFormatPr baseColWidth="10" defaultColWidth="9.1640625" defaultRowHeight="14"/>
  <cols>
    <col min="1" max="1" width="7.5" style="10" customWidth="1"/>
    <col min="2" max="2" width="12.6640625" style="10" customWidth="1"/>
    <col min="3" max="3" width="26.83203125" style="10" customWidth="1"/>
    <col min="4" max="4" width="10.1640625" style="39" hidden="1" customWidth="1"/>
    <col min="5" max="5" width="10.1640625" style="38" hidden="1" customWidth="1"/>
    <col min="6" max="6" width="10.1640625" style="10" hidden="1" customWidth="1"/>
    <col min="7" max="7" width="18.83203125" style="10" customWidth="1"/>
    <col min="8" max="10" width="16.33203125" style="10" customWidth="1"/>
    <col min="11" max="11" width="13.6640625" style="10" customWidth="1"/>
    <col min="12" max="12" width="15.5" style="10" hidden="1" customWidth="1"/>
    <col min="13" max="13" width="11.83203125" style="10" hidden="1" customWidth="1"/>
    <col min="14" max="16384" width="9.1640625" style="10"/>
  </cols>
  <sheetData>
    <row r="1" spans="1:13" s="18" customFormat="1" ht="21.75" hidden="1" customHeight="1">
      <c r="C1" s="21">
        <v>42004</v>
      </c>
      <c r="D1" s="22">
        <v>41974</v>
      </c>
      <c r="E1" s="19"/>
      <c r="F1" s="23"/>
      <c r="G1" s="23" t="s">
        <v>0</v>
      </c>
      <c r="H1" s="47">
        <f>SUBTOTAL(9,H4:H5)</f>
        <v>4600000</v>
      </c>
      <c r="I1" s="47">
        <f>SUBTOTAL(9,I4:I5)</f>
        <v>0</v>
      </c>
      <c r="J1" s="48">
        <f>SUBTOTAL(9,J4:J5)</f>
        <v>4000000</v>
      </c>
      <c r="K1" s="47">
        <f>SUBTOTAL(9,K4:K5)</f>
        <v>600000</v>
      </c>
    </row>
    <row r="2" spans="1:13" s="25" customFormat="1" ht="20.25" hidden="1" customHeight="1">
      <c r="A2" s="24"/>
      <c r="B2" s="24"/>
      <c r="D2" s="26">
        <v>44561</v>
      </c>
      <c r="E2" s="27"/>
      <c r="F2" s="28">
        <v>42339</v>
      </c>
      <c r="G2" s="29">
        <v>364</v>
      </c>
      <c r="H2" s="65">
        <f>SUBTOTAL(9,H4:H7)</f>
        <v>10210000</v>
      </c>
      <c r="I2" s="65">
        <f>SUBTOTAL(9,I4:I7)</f>
        <v>5610000</v>
      </c>
      <c r="J2" s="65">
        <f>SUBTOTAL(9,J4:J7)</f>
        <v>4000000</v>
      </c>
      <c r="K2" s="65">
        <f>SUBTOTAL(9,K4:K7)</f>
        <v>600000</v>
      </c>
    </row>
    <row r="3" spans="1:13" s="20" customFormat="1" ht="27.75" customHeight="1">
      <c r="A3" s="15" t="s">
        <v>8</v>
      </c>
      <c r="B3" s="185" t="s">
        <v>25</v>
      </c>
      <c r="C3" s="30" t="s">
        <v>10</v>
      </c>
      <c r="D3" s="16" t="s">
        <v>53</v>
      </c>
      <c r="E3" s="31" t="s">
        <v>57</v>
      </c>
      <c r="F3" s="15" t="s">
        <v>11</v>
      </c>
      <c r="G3" s="15" t="s">
        <v>12</v>
      </c>
      <c r="H3" s="17" t="s">
        <v>60</v>
      </c>
      <c r="I3" s="32" t="s">
        <v>79</v>
      </c>
      <c r="J3" s="32" t="s">
        <v>63</v>
      </c>
      <c r="K3" s="32" t="s">
        <v>62</v>
      </c>
    </row>
    <row r="4" spans="1:13" s="33" customFormat="1" ht="15.75" customHeight="1">
      <c r="A4" s="96">
        <f>SUBTOTAL(3,$B$4:B4)</f>
        <v>1</v>
      </c>
      <c r="B4" s="104" t="s">
        <v>161</v>
      </c>
      <c r="C4" s="49" t="s">
        <v>190</v>
      </c>
      <c r="D4" s="42"/>
      <c r="E4" s="42"/>
      <c r="F4" s="49"/>
      <c r="G4" s="49" t="s">
        <v>67</v>
      </c>
      <c r="H4" s="56">
        <f t="shared" ref="H4:H6" si="0">ROUND(SUM($I4:$K4),0)</f>
        <v>2000000</v>
      </c>
      <c r="I4" s="56">
        <v>0</v>
      </c>
      <c r="J4" s="56">
        <v>2000000</v>
      </c>
      <c r="K4" s="56">
        <v>0</v>
      </c>
      <c r="L4" s="33" t="e">
        <f>VLOOKUP(B4,#REF!,36,0)</f>
        <v>#REF!</v>
      </c>
      <c r="M4" s="43" t="e">
        <f>L4=H4</f>
        <v>#REF!</v>
      </c>
    </row>
    <row r="5" spans="1:13" s="33" customFormat="1" ht="15.75" customHeight="1">
      <c r="A5" s="96">
        <f>SUBTOTAL(3,$B$4:B5)</f>
        <v>2</v>
      </c>
      <c r="B5" s="104" t="s">
        <v>162</v>
      </c>
      <c r="C5" s="49" t="s">
        <v>191</v>
      </c>
      <c r="D5" s="42"/>
      <c r="E5" s="42"/>
      <c r="F5" s="49"/>
      <c r="G5" s="49" t="s">
        <v>67</v>
      </c>
      <c r="H5" s="56">
        <f t="shared" si="0"/>
        <v>2600000</v>
      </c>
      <c r="I5" s="56">
        <v>0</v>
      </c>
      <c r="J5" s="56">
        <v>2000000</v>
      </c>
      <c r="K5" s="56">
        <v>600000</v>
      </c>
      <c r="L5" s="33" t="e">
        <f>VLOOKUP(B5,#REF!,36,0)</f>
        <v>#REF!</v>
      </c>
      <c r="M5" s="43" t="e">
        <f t="shared" ref="M5:M6" si="1">L5=H5</f>
        <v>#REF!</v>
      </c>
    </row>
    <row r="6" spans="1:13" s="33" customFormat="1" ht="15.75" customHeight="1">
      <c r="A6" s="96">
        <f>SUBTOTAL(3,$B$4:B6)</f>
        <v>3</v>
      </c>
      <c r="B6" s="105" t="s">
        <v>178</v>
      </c>
      <c r="C6" s="49" t="s">
        <v>192</v>
      </c>
      <c r="D6" s="52"/>
      <c r="E6" s="52"/>
      <c r="F6" s="51"/>
      <c r="G6" s="54" t="s">
        <v>58</v>
      </c>
      <c r="H6" s="56">
        <f t="shared" si="0"/>
        <v>5610000</v>
      </c>
      <c r="I6" s="56">
        <v>5610000</v>
      </c>
      <c r="J6" s="57"/>
      <c r="K6" s="57"/>
      <c r="L6" s="33" t="e">
        <f>VLOOKUP(B6,#REF!,36,0)</f>
        <v>#REF!</v>
      </c>
      <c r="M6" s="43" t="e">
        <f t="shared" si="1"/>
        <v>#REF!</v>
      </c>
    </row>
    <row r="7" spans="1:13" s="33" customFormat="1" ht="15.75" hidden="1" customHeight="1">
      <c r="A7" s="50"/>
      <c r="B7" s="105"/>
      <c r="C7" s="49"/>
      <c r="D7" s="52"/>
      <c r="E7" s="52"/>
      <c r="F7" s="51"/>
      <c r="G7" s="54"/>
      <c r="H7" s="56"/>
      <c r="I7" s="56"/>
      <c r="J7" s="57"/>
      <c r="K7" s="57"/>
      <c r="M7" s="43"/>
    </row>
    <row r="8" spans="1:13" s="33" customFormat="1" ht="20.25" customHeight="1">
      <c r="A8" s="167" t="s">
        <v>61</v>
      </c>
      <c r="B8" s="168"/>
      <c r="C8" s="169"/>
      <c r="D8" s="34"/>
      <c r="E8" s="35"/>
      <c r="F8" s="36"/>
      <c r="G8" s="36"/>
      <c r="H8" s="36">
        <f>SUM(H4:H7)</f>
        <v>10210000</v>
      </c>
      <c r="I8" s="36">
        <f>SUM(I4:I7)</f>
        <v>5610000</v>
      </c>
      <c r="J8" s="36">
        <f>SUM(J4:J7)</f>
        <v>4000000</v>
      </c>
      <c r="K8" s="36">
        <f>SUM(K4:K7)</f>
        <v>600000</v>
      </c>
      <c r="L8" s="44">
        <f>H8-I8-J8-K8</f>
        <v>0</v>
      </c>
    </row>
    <row r="9" spans="1:13" ht="15" customHeight="1">
      <c r="D9" s="37"/>
    </row>
  </sheetData>
  <sheetProtection selectLockedCells="1" selectUnlockedCells="1"/>
  <autoFilter ref="A3:K8" xr:uid="{00000000-0009-0000-0000-000007000000}"/>
  <mergeCells count="1">
    <mergeCell ref="A8:C8"/>
  </mergeCells>
  <phoneticPr fontId="302" type="noConversion"/>
  <conditionalFormatting sqref="B1:B1048576">
    <cfRule type="duplicateValues" dxfId="48" priority="1"/>
    <cfRule type="duplicateValues" dxfId="47" priority="320509"/>
    <cfRule type="duplicateValues" dxfId="46" priority="1327392"/>
  </conditionalFormatting>
  <conditionalFormatting sqref="B4:B5">
    <cfRule type="duplicateValues" dxfId="45" priority="1327401"/>
  </conditionalFormatting>
  <conditionalFormatting sqref="B4:B7">
    <cfRule type="duplicateValues" dxfId="44" priority="1327416"/>
  </conditionalFormatting>
  <conditionalFormatting sqref="B6:B7">
    <cfRule type="duplicateValues" dxfId="43" priority="1327411"/>
  </conditionalFormatting>
  <conditionalFormatting sqref="B9">
    <cfRule type="duplicateValues" dxfId="42" priority="1327597"/>
  </conditionalFormatting>
  <conditionalFormatting sqref="B9:B1048576 B1:B3">
    <cfRule type="duplicateValues" dxfId="41" priority="60"/>
  </conditionalFormatting>
  <conditionalFormatting sqref="B9:B1048576">
    <cfRule type="duplicateValues" dxfId="40" priority="56"/>
    <cfRule type="duplicateValues" dxfId="39" priority="164535"/>
  </conditionalFormatting>
  <conditionalFormatting sqref="B10:B1048576 B1:B3">
    <cfRule type="duplicateValues" dxfId="38" priority="1327608"/>
  </conditionalFormatting>
  <conditionalFormatting sqref="B10:B1048576">
    <cfRule type="duplicateValues" dxfId="37" priority="1327611"/>
    <cfRule type="duplicateValues" dxfId="36" priority="1327612"/>
  </conditionalFormatting>
  <dataValidations count="1">
    <dataValidation allowBlank="1" showErrorMessage="1" sqref="B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7"/>
  <sheetViews>
    <sheetView zoomScale="90" zoomScaleNormal="90" workbookViewId="0">
      <selection activeCell="B1" sqref="B1:B3"/>
    </sheetView>
  </sheetViews>
  <sheetFormatPr baseColWidth="10" defaultColWidth="9.1640625" defaultRowHeight="15"/>
  <cols>
    <col min="1" max="1" width="7.5" style="58" customWidth="1"/>
    <col min="2" max="2" width="13.5" style="58" customWidth="1"/>
    <col min="3" max="3" width="27.83203125" style="58" customWidth="1"/>
    <col min="4" max="4" width="21" style="58" customWidth="1"/>
    <col min="5" max="5" width="22.5" style="58" customWidth="1"/>
    <col min="6" max="6" width="15" style="58" customWidth="1"/>
    <col min="7" max="7" width="13.33203125" style="58" customWidth="1"/>
    <col min="8" max="8" width="16.5" style="58" customWidth="1"/>
    <col min="9" max="9" width="19.6640625" style="58" customWidth="1"/>
    <col min="10" max="10" width="10.5" style="58" customWidth="1"/>
    <col min="11" max="11" width="6.6640625" style="58" customWidth="1"/>
    <col min="12" max="12" width="11.33203125" style="58" bestFit="1" customWidth="1"/>
    <col min="13" max="14" width="12.5" style="58" customWidth="1"/>
    <col min="15" max="15" width="13" style="58" customWidth="1"/>
    <col min="16" max="16" width="12.83203125" style="58" customWidth="1"/>
    <col min="17" max="16384" width="9.1640625" style="58"/>
  </cols>
  <sheetData>
    <row r="1" spans="1:12" ht="8.25" customHeight="1">
      <c r="A1" s="170" t="s">
        <v>8</v>
      </c>
      <c r="B1" s="170" t="s">
        <v>25</v>
      </c>
      <c r="C1" s="170" t="s">
        <v>10</v>
      </c>
      <c r="D1" s="170" t="s">
        <v>164</v>
      </c>
      <c r="E1" s="170" t="s">
        <v>165</v>
      </c>
      <c r="F1" s="170" t="s">
        <v>100</v>
      </c>
    </row>
    <row r="2" spans="1:12">
      <c r="A2" s="170"/>
      <c r="B2" s="170"/>
      <c r="C2" s="170"/>
      <c r="D2" s="170"/>
      <c r="E2" s="170"/>
      <c r="F2" s="170"/>
    </row>
    <row r="3" spans="1:12" ht="8.25" customHeight="1">
      <c r="A3" s="170"/>
      <c r="B3" s="170"/>
      <c r="C3" s="170"/>
      <c r="D3" s="170"/>
      <c r="E3" s="170"/>
      <c r="F3" s="170"/>
    </row>
    <row r="4" spans="1:12" ht="18" customHeight="1">
      <c r="A4" s="136">
        <v>1</v>
      </c>
      <c r="B4" s="133" t="s">
        <v>158</v>
      </c>
      <c r="C4" s="127" t="s">
        <v>187</v>
      </c>
      <c r="D4" s="100">
        <v>2000000</v>
      </c>
      <c r="E4" s="137" t="e">
        <f>VLOOKUP(B4,'TimeTB 2'!$C$4:$AU$5,45,0)</f>
        <v>#N/A</v>
      </c>
      <c r="F4" s="100" t="e">
        <f>D4/26*E4</f>
        <v>#N/A</v>
      </c>
    </row>
    <row r="5" spans="1:12" ht="16" hidden="1">
      <c r="A5" s="138"/>
      <c r="B5" s="138"/>
      <c r="C5" s="138"/>
      <c r="D5" s="59"/>
      <c r="E5" s="139"/>
      <c r="F5" s="60">
        <f>E5*D5</f>
        <v>0</v>
      </c>
    </row>
    <row r="6" spans="1:12" ht="21" customHeight="1">
      <c r="A6" s="140"/>
      <c r="B6" s="141"/>
      <c r="C6" s="123" t="s">
        <v>61</v>
      </c>
      <c r="D6" s="130">
        <f>SUM(D4:D5)</f>
        <v>2000000</v>
      </c>
      <c r="E6" s="124"/>
      <c r="F6" s="142" t="e">
        <f>SUM(F4:F5)</f>
        <v>#N/A</v>
      </c>
    </row>
    <row r="7" spans="1:12" ht="26.25" customHeight="1">
      <c r="A7" s="71" t="s">
        <v>86</v>
      </c>
      <c r="B7" s="72"/>
      <c r="C7" s="72"/>
      <c r="D7" s="72"/>
    </row>
    <row r="8" spans="1:12" ht="34">
      <c r="A8" s="68" t="s">
        <v>8</v>
      </c>
      <c r="B8" s="69" t="s">
        <v>9</v>
      </c>
      <c r="C8" s="69" t="s">
        <v>10</v>
      </c>
      <c r="D8" s="70" t="s">
        <v>85</v>
      </c>
      <c r="E8" s="70" t="s">
        <v>80</v>
      </c>
      <c r="F8" s="78" t="s">
        <v>100</v>
      </c>
    </row>
    <row r="9" spans="1:12" ht="16">
      <c r="A9" s="62">
        <v>1</v>
      </c>
      <c r="B9" s="133" t="s">
        <v>159</v>
      </c>
      <c r="C9" s="127" t="s">
        <v>188</v>
      </c>
      <c r="D9" s="134">
        <v>500000</v>
      </c>
      <c r="E9" s="134"/>
      <c r="F9" s="135">
        <f t="shared" ref="F9:F10" si="0">D9+E9</f>
        <v>500000</v>
      </c>
    </row>
    <row r="10" spans="1:12" ht="16">
      <c r="A10" s="62">
        <f t="shared" ref="A10" si="1">1+A9</f>
        <v>2</v>
      </c>
      <c r="B10" s="133" t="s">
        <v>160</v>
      </c>
      <c r="C10" s="127" t="s">
        <v>189</v>
      </c>
      <c r="D10" s="134">
        <v>500000</v>
      </c>
      <c r="E10" s="134"/>
      <c r="F10" s="135">
        <f t="shared" si="0"/>
        <v>500000</v>
      </c>
    </row>
    <row r="11" spans="1:12" ht="25.5" customHeight="1">
      <c r="A11" s="89"/>
      <c r="B11" s="89"/>
      <c r="C11" s="116" t="s">
        <v>61</v>
      </c>
      <c r="D11" s="61"/>
      <c r="E11" s="61"/>
      <c r="F11" s="91">
        <f>SUM(F9:F10)</f>
        <v>1000000</v>
      </c>
    </row>
    <row r="12" spans="1:12" ht="9" customHeight="1"/>
    <row r="13" spans="1:12" ht="9" customHeight="1"/>
    <row r="14" spans="1:12" ht="36" hidden="1" customHeight="1">
      <c r="A14" s="95" t="s">
        <v>117</v>
      </c>
      <c r="B14" s="83"/>
      <c r="C14" s="83"/>
      <c r="D14" s="83"/>
      <c r="E14" s="83"/>
      <c r="F14" s="83"/>
    </row>
    <row r="15" spans="1:12" ht="21.75" hidden="1" customHeight="1">
      <c r="A15" s="82" t="s">
        <v>8</v>
      </c>
      <c r="B15" s="84" t="s">
        <v>76</v>
      </c>
      <c r="C15" s="85" t="s">
        <v>30</v>
      </c>
      <c r="D15" s="86" t="s">
        <v>83</v>
      </c>
      <c r="E15" s="87" t="s">
        <v>84</v>
      </c>
      <c r="F15" s="88" t="s">
        <v>100</v>
      </c>
    </row>
    <row r="16" spans="1:12" ht="16" hidden="1">
      <c r="A16" s="63"/>
      <c r="B16" s="74"/>
      <c r="C16" s="94"/>
      <c r="D16" s="66"/>
      <c r="E16" s="98"/>
      <c r="F16" s="67"/>
      <c r="H16" s="112"/>
      <c r="I16" s="122"/>
      <c r="L16" s="112"/>
    </row>
    <row r="17" spans="1:12" ht="16" hidden="1">
      <c r="A17" s="63"/>
      <c r="B17" s="74"/>
      <c r="C17" s="94"/>
      <c r="D17" s="66"/>
      <c r="E17" s="98"/>
      <c r="F17" s="67"/>
      <c r="H17" s="112"/>
      <c r="L17" s="112"/>
    </row>
    <row r="18" spans="1:12" ht="16" hidden="1">
      <c r="A18" s="63"/>
      <c r="B18" s="74"/>
      <c r="C18" s="94"/>
      <c r="D18" s="66"/>
      <c r="E18" s="99"/>
      <c r="F18" s="97"/>
      <c r="H18" s="112"/>
      <c r="L18" s="112"/>
    </row>
    <row r="19" spans="1:12" ht="16" hidden="1">
      <c r="A19" s="63"/>
      <c r="B19" s="74"/>
      <c r="C19" s="94"/>
      <c r="D19" s="66"/>
      <c r="E19" s="99"/>
      <c r="F19" s="97"/>
      <c r="H19" s="112"/>
      <c r="I19" s="115"/>
      <c r="L19" s="112"/>
    </row>
    <row r="20" spans="1:12" ht="16" hidden="1">
      <c r="A20" s="63"/>
      <c r="B20" s="76"/>
      <c r="C20" s="94"/>
      <c r="D20" s="66"/>
      <c r="E20" s="99"/>
      <c r="F20" s="97"/>
      <c r="H20" s="112"/>
      <c r="J20" s="111"/>
      <c r="L20" s="112"/>
    </row>
    <row r="21" spans="1:12" ht="16" hidden="1">
      <c r="A21" s="63"/>
      <c r="B21" s="113"/>
      <c r="C21" s="94"/>
      <c r="D21" s="66"/>
      <c r="E21" s="114"/>
      <c r="F21" s="97"/>
      <c r="H21" s="112"/>
      <c r="J21" s="111"/>
      <c r="L21" s="112"/>
    </row>
    <row r="22" spans="1:12" ht="16" hidden="1">
      <c r="A22" s="63"/>
      <c r="B22" s="113"/>
      <c r="C22" s="94"/>
      <c r="D22" s="66"/>
      <c r="E22" s="114"/>
      <c r="F22" s="97"/>
      <c r="H22" s="112"/>
      <c r="J22" s="111"/>
      <c r="L22" s="112"/>
    </row>
    <row r="23" spans="1:12" ht="16" hidden="1">
      <c r="A23" s="63"/>
      <c r="B23" s="113"/>
      <c r="C23" s="94"/>
      <c r="D23" s="66"/>
      <c r="E23" s="114"/>
      <c r="F23" s="97"/>
      <c r="H23" s="112"/>
      <c r="J23" s="111"/>
      <c r="L23" s="112"/>
    </row>
    <row r="24" spans="1:12" ht="16" hidden="1">
      <c r="A24" s="63">
        <f>ROW()-85</f>
        <v>-61</v>
      </c>
      <c r="B24" s="113"/>
      <c r="C24" s="94" t="e">
        <f>VLOOKUP($B24,#REF!,3,0)</f>
        <v>#REF!</v>
      </c>
      <c r="D24" s="66">
        <f>IFERROR(VLOOKUP(B24,#REF!,81,0),0)</f>
        <v>0</v>
      </c>
      <c r="E24" s="114"/>
      <c r="F24" s="97">
        <f>ROUND((D24/26*E24),0)</f>
        <v>0</v>
      </c>
      <c r="G24" s="58" t="e">
        <f>VLOOKUP(B24,#REF!,74,0)</f>
        <v>#REF!</v>
      </c>
      <c r="H24" s="112" t="e">
        <f>G24-E24</f>
        <v>#REF!</v>
      </c>
      <c r="J24" s="111"/>
      <c r="L24" s="112"/>
    </row>
    <row r="25" spans="1:12" ht="16" hidden="1">
      <c r="A25" s="63">
        <f>ROW()-85</f>
        <v>-60</v>
      </c>
      <c r="B25" s="74"/>
      <c r="C25" s="94" t="e">
        <f>VLOOKUP($B25,#REF!,3,0)</f>
        <v>#REF!</v>
      </c>
      <c r="D25" s="66">
        <f>IFERROR(VLOOKUP(B25,#REF!,81,0),0)</f>
        <v>0</v>
      </c>
      <c r="E25" s="55"/>
      <c r="F25" s="97">
        <f>ROUND((D25/26*E25),0)</f>
        <v>0</v>
      </c>
      <c r="G25" s="58" t="e">
        <f>VLOOKUP(B25,#REF!,74,0)</f>
        <v>#REF!</v>
      </c>
      <c r="H25" s="112" t="e">
        <f>G25-E25</f>
        <v>#REF!</v>
      </c>
      <c r="J25" s="111"/>
      <c r="L25" s="112"/>
    </row>
    <row r="26" spans="1:12" ht="16" hidden="1">
      <c r="A26" s="63">
        <f>ROW()-85</f>
        <v>-59</v>
      </c>
      <c r="B26" s="74"/>
      <c r="C26" s="94" t="e">
        <f>VLOOKUP($B26,#REF!,3,0)</f>
        <v>#REF!</v>
      </c>
      <c r="D26" s="66">
        <f>IFERROR(VLOOKUP(B26,#REF!,81,0),0)</f>
        <v>0</v>
      </c>
      <c r="E26" s="99"/>
      <c r="F26" s="97">
        <f>ROUND((D26/26*E26),0)</f>
        <v>0</v>
      </c>
      <c r="G26" s="58" t="e">
        <f>VLOOKUP(B26,#REF!,74,0)</f>
        <v>#REF!</v>
      </c>
      <c r="H26" s="112" t="e">
        <f>G26-E26</f>
        <v>#REF!</v>
      </c>
      <c r="J26" s="111"/>
      <c r="L26" s="112"/>
    </row>
    <row r="27" spans="1:12" ht="16" hidden="1">
      <c r="A27" s="63">
        <f>ROW()-85</f>
        <v>-58</v>
      </c>
      <c r="B27" s="74"/>
      <c r="C27" s="94" t="e">
        <f>VLOOKUP($B27,#REF!,3,0)</f>
        <v>#REF!</v>
      </c>
      <c r="D27" s="66">
        <f>IFERROR(VLOOKUP(B27,#REF!,81,0),0)</f>
        <v>0</v>
      </c>
      <c r="E27" s="99"/>
      <c r="F27" s="97">
        <f>ROUND((D27/26*E27),0)</f>
        <v>0</v>
      </c>
      <c r="G27" s="58" t="e">
        <f>VLOOKUP(B27,#REF!,74,0)</f>
        <v>#REF!</v>
      </c>
      <c r="H27" s="112" t="e">
        <f>G27-E27</f>
        <v>#REF!</v>
      </c>
    </row>
    <row r="28" spans="1:12" ht="16" hidden="1">
      <c r="A28" s="63">
        <f>ROW()-85</f>
        <v>-57</v>
      </c>
      <c r="B28" s="74"/>
      <c r="C28" s="94"/>
      <c r="D28" s="66"/>
      <c r="E28" s="55"/>
      <c r="F28" s="97"/>
    </row>
    <row r="29" spans="1:12" ht="24.75" hidden="1" customHeight="1">
      <c r="A29" s="90"/>
      <c r="B29" s="89"/>
      <c r="C29" s="116" t="s">
        <v>61</v>
      </c>
      <c r="D29" s="92"/>
      <c r="E29" s="93">
        <f>SUM(E16:E28)</f>
        <v>0</v>
      </c>
      <c r="F29" s="91">
        <f>SUM(F16:F28)</f>
        <v>0</v>
      </c>
    </row>
    <row r="32" spans="1:12" ht="21.75" hidden="1" customHeight="1">
      <c r="G32" s="110"/>
    </row>
    <row r="33" spans="7:16" ht="19.5" hidden="1" customHeight="1">
      <c r="G33" s="106"/>
      <c r="H33" s="106"/>
      <c r="I33" s="106"/>
      <c r="J33" s="106"/>
      <c r="K33" s="106"/>
      <c r="L33" s="107"/>
      <c r="M33" s="107"/>
      <c r="N33" s="107"/>
      <c r="O33" s="107"/>
      <c r="P33" s="107"/>
    </row>
    <row r="34" spans="7:16" ht="19" hidden="1">
      <c r="G34" s="106"/>
      <c r="H34" s="106"/>
      <c r="I34" s="106"/>
      <c r="J34" s="106"/>
      <c r="K34" s="106"/>
      <c r="L34" s="108"/>
      <c r="M34" s="109"/>
      <c r="N34" s="108"/>
      <c r="O34" s="108"/>
      <c r="P34" s="109"/>
    </row>
    <row r="35" spans="7:16" ht="19" hidden="1">
      <c r="G35" s="106"/>
      <c r="H35" s="106"/>
      <c r="I35" s="106"/>
      <c r="J35" s="106"/>
      <c r="K35" s="106"/>
      <c r="L35" s="108"/>
      <c r="M35" s="109"/>
      <c r="N35" s="108"/>
      <c r="O35" s="108"/>
      <c r="P35" s="109"/>
    </row>
    <row r="36" spans="7:16" ht="19" hidden="1">
      <c r="G36" s="106"/>
      <c r="H36" s="106"/>
      <c r="I36" s="106"/>
      <c r="J36" s="106"/>
      <c r="K36" s="106"/>
      <c r="L36" s="108"/>
      <c r="M36" s="109"/>
      <c r="N36" s="108"/>
      <c r="O36" s="108"/>
      <c r="P36" s="109"/>
    </row>
    <row r="37" spans="7:16" hidden="1"/>
  </sheetData>
  <autoFilter ref="A8:F11" xr:uid="{00000000-0009-0000-0000-00001A000000}"/>
  <mergeCells count="6">
    <mergeCell ref="E1:E3"/>
    <mergeCell ref="F1:F3"/>
    <mergeCell ref="A1:A3"/>
    <mergeCell ref="B1:B3"/>
    <mergeCell ref="C1:C3"/>
    <mergeCell ref="D1:D3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19"/>
  <sheetViews>
    <sheetView zoomScaleNormal="100" workbookViewId="0">
      <pane xSplit="3" ySplit="1" topLeftCell="D2" activePane="bottomRight" state="frozen"/>
      <selection activeCell="X34" sqref="X34"/>
      <selection pane="topRight" activeCell="X34" sqref="X34"/>
      <selection pane="bottomLeft" activeCell="X34" sqref="X34"/>
      <selection pane="bottomRight" activeCell="B1" sqref="B1"/>
    </sheetView>
  </sheetViews>
  <sheetFormatPr baseColWidth="10" defaultColWidth="8.83203125" defaultRowHeight="15"/>
  <cols>
    <col min="1" max="1" width="9.1640625" style="316"/>
    <col min="2" max="2" width="17.5" style="316" customWidth="1"/>
    <col min="3" max="3" width="30.1640625" style="316" customWidth="1"/>
    <col min="4" max="4" width="14.5" style="316" customWidth="1"/>
    <col min="5" max="5" width="14.6640625" style="316" customWidth="1"/>
    <col min="6" max="7" width="13.5" style="316" customWidth="1"/>
    <col min="8" max="8" width="15.5" style="316" customWidth="1"/>
    <col min="9" max="9" width="24.33203125" style="316" customWidth="1"/>
    <col min="10" max="249" width="9.1640625" style="316"/>
    <col min="250" max="250" width="10.33203125" style="316" bestFit="1" customWidth="1"/>
    <col min="251" max="251" width="30.1640625" style="316" bestFit="1" customWidth="1"/>
    <col min="252" max="252" width="21" style="316" customWidth="1"/>
    <col min="253" max="254" width="13.5" style="316" customWidth="1"/>
    <col min="255" max="255" width="21.83203125" style="316" bestFit="1" customWidth="1"/>
    <col min="256" max="256" width="12" style="316" customWidth="1"/>
    <col min="257" max="257" width="11.5" style="316" bestFit="1" customWidth="1"/>
    <col min="258" max="258" width="13.5" style="316" customWidth="1"/>
    <col min="259" max="259" width="15.5" style="316" customWidth="1"/>
    <col min="260" max="261" width="18.5" style="316" customWidth="1"/>
    <col min="262" max="262" width="17.83203125" style="316" customWidth="1"/>
    <col min="263" max="505" width="9.1640625" style="316"/>
    <col min="506" max="506" width="10.33203125" style="316" bestFit="1" customWidth="1"/>
    <col min="507" max="507" width="30.1640625" style="316" bestFit="1" customWidth="1"/>
    <col min="508" max="508" width="21" style="316" customWidth="1"/>
    <col min="509" max="510" width="13.5" style="316" customWidth="1"/>
    <col min="511" max="511" width="21.83203125" style="316" bestFit="1" customWidth="1"/>
    <col min="512" max="512" width="12" style="316" customWidth="1"/>
    <col min="513" max="513" width="11.5" style="316" bestFit="1" customWidth="1"/>
    <col min="514" max="514" width="13.5" style="316" customWidth="1"/>
    <col min="515" max="515" width="15.5" style="316" customWidth="1"/>
    <col min="516" max="517" width="18.5" style="316" customWidth="1"/>
    <col min="518" max="518" width="17.83203125" style="316" customWidth="1"/>
    <col min="519" max="761" width="9.1640625" style="316"/>
    <col min="762" max="762" width="10.33203125" style="316" bestFit="1" customWidth="1"/>
    <col min="763" max="763" width="30.1640625" style="316" bestFit="1" customWidth="1"/>
    <col min="764" max="764" width="21" style="316" customWidth="1"/>
    <col min="765" max="766" width="13.5" style="316" customWidth="1"/>
    <col min="767" max="767" width="21.83203125" style="316" bestFit="1" customWidth="1"/>
    <col min="768" max="768" width="12" style="316" customWidth="1"/>
    <col min="769" max="769" width="11.5" style="316" bestFit="1" customWidth="1"/>
    <col min="770" max="770" width="13.5" style="316" customWidth="1"/>
    <col min="771" max="771" width="15.5" style="316" customWidth="1"/>
    <col min="772" max="773" width="18.5" style="316" customWidth="1"/>
    <col min="774" max="774" width="17.83203125" style="316" customWidth="1"/>
    <col min="775" max="1017" width="9.1640625" style="316"/>
    <col min="1018" max="1018" width="10.33203125" style="316" bestFit="1" customWidth="1"/>
    <col min="1019" max="1019" width="30.1640625" style="316" bestFit="1" customWidth="1"/>
    <col min="1020" max="1020" width="21" style="316" customWidth="1"/>
    <col min="1021" max="1022" width="13.5" style="316" customWidth="1"/>
    <col min="1023" max="1023" width="21.83203125" style="316" bestFit="1" customWidth="1"/>
    <col min="1024" max="1024" width="12" style="316" customWidth="1"/>
    <col min="1025" max="1025" width="11.5" style="316" bestFit="1" customWidth="1"/>
    <col min="1026" max="1026" width="13.5" style="316" customWidth="1"/>
    <col min="1027" max="1027" width="15.5" style="316" customWidth="1"/>
    <col min="1028" max="1029" width="18.5" style="316" customWidth="1"/>
    <col min="1030" max="1030" width="17.83203125" style="316" customWidth="1"/>
    <col min="1031" max="1273" width="9.1640625" style="316"/>
    <col min="1274" max="1274" width="10.33203125" style="316" bestFit="1" customWidth="1"/>
    <col min="1275" max="1275" width="30.1640625" style="316" bestFit="1" customWidth="1"/>
    <col min="1276" max="1276" width="21" style="316" customWidth="1"/>
    <col min="1277" max="1278" width="13.5" style="316" customWidth="1"/>
    <col min="1279" max="1279" width="21.83203125" style="316" bestFit="1" customWidth="1"/>
    <col min="1280" max="1280" width="12" style="316" customWidth="1"/>
    <col min="1281" max="1281" width="11.5" style="316" bestFit="1" customWidth="1"/>
    <col min="1282" max="1282" width="13.5" style="316" customWidth="1"/>
    <col min="1283" max="1283" width="15.5" style="316" customWidth="1"/>
    <col min="1284" max="1285" width="18.5" style="316" customWidth="1"/>
    <col min="1286" max="1286" width="17.83203125" style="316" customWidth="1"/>
    <col min="1287" max="1529" width="9.1640625" style="316"/>
    <col min="1530" max="1530" width="10.33203125" style="316" bestFit="1" customWidth="1"/>
    <col min="1531" max="1531" width="30.1640625" style="316" bestFit="1" customWidth="1"/>
    <col min="1532" max="1532" width="21" style="316" customWidth="1"/>
    <col min="1533" max="1534" width="13.5" style="316" customWidth="1"/>
    <col min="1535" max="1535" width="21.83203125" style="316" bestFit="1" customWidth="1"/>
    <col min="1536" max="1536" width="12" style="316" customWidth="1"/>
    <col min="1537" max="1537" width="11.5" style="316" bestFit="1" customWidth="1"/>
    <col min="1538" max="1538" width="13.5" style="316" customWidth="1"/>
    <col min="1539" max="1539" width="15.5" style="316" customWidth="1"/>
    <col min="1540" max="1541" width="18.5" style="316" customWidth="1"/>
    <col min="1542" max="1542" width="17.83203125" style="316" customWidth="1"/>
    <col min="1543" max="1785" width="9.1640625" style="316"/>
    <col min="1786" max="1786" width="10.33203125" style="316" bestFit="1" customWidth="1"/>
    <col min="1787" max="1787" width="30.1640625" style="316" bestFit="1" customWidth="1"/>
    <col min="1788" max="1788" width="21" style="316" customWidth="1"/>
    <col min="1789" max="1790" width="13.5" style="316" customWidth="1"/>
    <col min="1791" max="1791" width="21.83203125" style="316" bestFit="1" customWidth="1"/>
    <col min="1792" max="1792" width="12" style="316" customWidth="1"/>
    <col min="1793" max="1793" width="11.5" style="316" bestFit="1" customWidth="1"/>
    <col min="1794" max="1794" width="13.5" style="316" customWidth="1"/>
    <col min="1795" max="1795" width="15.5" style="316" customWidth="1"/>
    <col min="1796" max="1797" width="18.5" style="316" customWidth="1"/>
    <col min="1798" max="1798" width="17.83203125" style="316" customWidth="1"/>
    <col min="1799" max="2041" width="9.1640625" style="316"/>
    <col min="2042" max="2042" width="10.33203125" style="316" bestFit="1" customWidth="1"/>
    <col min="2043" max="2043" width="30.1640625" style="316" bestFit="1" customWidth="1"/>
    <col min="2044" max="2044" width="21" style="316" customWidth="1"/>
    <col min="2045" max="2046" width="13.5" style="316" customWidth="1"/>
    <col min="2047" max="2047" width="21.83203125" style="316" bestFit="1" customWidth="1"/>
    <col min="2048" max="2048" width="12" style="316" customWidth="1"/>
    <col min="2049" max="2049" width="11.5" style="316" bestFit="1" customWidth="1"/>
    <col min="2050" max="2050" width="13.5" style="316" customWidth="1"/>
    <col min="2051" max="2051" width="15.5" style="316" customWidth="1"/>
    <col min="2052" max="2053" width="18.5" style="316" customWidth="1"/>
    <col min="2054" max="2054" width="17.83203125" style="316" customWidth="1"/>
    <col min="2055" max="2297" width="9.1640625" style="316"/>
    <col min="2298" max="2298" width="10.33203125" style="316" bestFit="1" customWidth="1"/>
    <col min="2299" max="2299" width="30.1640625" style="316" bestFit="1" customWidth="1"/>
    <col min="2300" max="2300" width="21" style="316" customWidth="1"/>
    <col min="2301" max="2302" width="13.5" style="316" customWidth="1"/>
    <col min="2303" max="2303" width="21.83203125" style="316" bestFit="1" customWidth="1"/>
    <col min="2304" max="2304" width="12" style="316" customWidth="1"/>
    <col min="2305" max="2305" width="11.5" style="316" bestFit="1" customWidth="1"/>
    <col min="2306" max="2306" width="13.5" style="316" customWidth="1"/>
    <col min="2307" max="2307" width="15.5" style="316" customWidth="1"/>
    <col min="2308" max="2309" width="18.5" style="316" customWidth="1"/>
    <col min="2310" max="2310" width="17.83203125" style="316" customWidth="1"/>
    <col min="2311" max="2553" width="9.1640625" style="316"/>
    <col min="2554" max="2554" width="10.33203125" style="316" bestFit="1" customWidth="1"/>
    <col min="2555" max="2555" width="30.1640625" style="316" bestFit="1" customWidth="1"/>
    <col min="2556" max="2556" width="21" style="316" customWidth="1"/>
    <col min="2557" max="2558" width="13.5" style="316" customWidth="1"/>
    <col min="2559" max="2559" width="21.83203125" style="316" bestFit="1" customWidth="1"/>
    <col min="2560" max="2560" width="12" style="316" customWidth="1"/>
    <col min="2561" max="2561" width="11.5" style="316" bestFit="1" customWidth="1"/>
    <col min="2562" max="2562" width="13.5" style="316" customWidth="1"/>
    <col min="2563" max="2563" width="15.5" style="316" customWidth="1"/>
    <col min="2564" max="2565" width="18.5" style="316" customWidth="1"/>
    <col min="2566" max="2566" width="17.83203125" style="316" customWidth="1"/>
    <col min="2567" max="2809" width="9.1640625" style="316"/>
    <col min="2810" max="2810" width="10.33203125" style="316" bestFit="1" customWidth="1"/>
    <col min="2811" max="2811" width="30.1640625" style="316" bestFit="1" customWidth="1"/>
    <col min="2812" max="2812" width="21" style="316" customWidth="1"/>
    <col min="2813" max="2814" width="13.5" style="316" customWidth="1"/>
    <col min="2815" max="2815" width="21.83203125" style="316" bestFit="1" customWidth="1"/>
    <col min="2816" max="2816" width="12" style="316" customWidth="1"/>
    <col min="2817" max="2817" width="11.5" style="316" bestFit="1" customWidth="1"/>
    <col min="2818" max="2818" width="13.5" style="316" customWidth="1"/>
    <col min="2819" max="2819" width="15.5" style="316" customWidth="1"/>
    <col min="2820" max="2821" width="18.5" style="316" customWidth="1"/>
    <col min="2822" max="2822" width="17.83203125" style="316" customWidth="1"/>
    <col min="2823" max="3065" width="9.1640625" style="316"/>
    <col min="3066" max="3066" width="10.33203125" style="316" bestFit="1" customWidth="1"/>
    <col min="3067" max="3067" width="30.1640625" style="316" bestFit="1" customWidth="1"/>
    <col min="3068" max="3068" width="21" style="316" customWidth="1"/>
    <col min="3069" max="3070" width="13.5" style="316" customWidth="1"/>
    <col min="3071" max="3071" width="21.83203125" style="316" bestFit="1" customWidth="1"/>
    <col min="3072" max="3072" width="12" style="316" customWidth="1"/>
    <col min="3073" max="3073" width="11.5" style="316" bestFit="1" customWidth="1"/>
    <col min="3074" max="3074" width="13.5" style="316" customWidth="1"/>
    <col min="3075" max="3075" width="15.5" style="316" customWidth="1"/>
    <col min="3076" max="3077" width="18.5" style="316" customWidth="1"/>
    <col min="3078" max="3078" width="17.83203125" style="316" customWidth="1"/>
    <col min="3079" max="3321" width="9.1640625" style="316"/>
    <col min="3322" max="3322" width="10.33203125" style="316" bestFit="1" customWidth="1"/>
    <col min="3323" max="3323" width="30.1640625" style="316" bestFit="1" customWidth="1"/>
    <col min="3324" max="3324" width="21" style="316" customWidth="1"/>
    <col min="3325" max="3326" width="13.5" style="316" customWidth="1"/>
    <col min="3327" max="3327" width="21.83203125" style="316" bestFit="1" customWidth="1"/>
    <col min="3328" max="3328" width="12" style="316" customWidth="1"/>
    <col min="3329" max="3329" width="11.5" style="316" bestFit="1" customWidth="1"/>
    <col min="3330" max="3330" width="13.5" style="316" customWidth="1"/>
    <col min="3331" max="3331" width="15.5" style="316" customWidth="1"/>
    <col min="3332" max="3333" width="18.5" style="316" customWidth="1"/>
    <col min="3334" max="3334" width="17.83203125" style="316" customWidth="1"/>
    <col min="3335" max="3577" width="9.1640625" style="316"/>
    <col min="3578" max="3578" width="10.33203125" style="316" bestFit="1" customWidth="1"/>
    <col min="3579" max="3579" width="30.1640625" style="316" bestFit="1" customWidth="1"/>
    <col min="3580" max="3580" width="21" style="316" customWidth="1"/>
    <col min="3581" max="3582" width="13.5" style="316" customWidth="1"/>
    <col min="3583" max="3583" width="21.83203125" style="316" bestFit="1" customWidth="1"/>
    <col min="3584" max="3584" width="12" style="316" customWidth="1"/>
    <col min="3585" max="3585" width="11.5" style="316" bestFit="1" customWidth="1"/>
    <col min="3586" max="3586" width="13.5" style="316" customWidth="1"/>
    <col min="3587" max="3587" width="15.5" style="316" customWidth="1"/>
    <col min="3588" max="3589" width="18.5" style="316" customWidth="1"/>
    <col min="3590" max="3590" width="17.83203125" style="316" customWidth="1"/>
    <col min="3591" max="3833" width="9.1640625" style="316"/>
    <col min="3834" max="3834" width="10.33203125" style="316" bestFit="1" customWidth="1"/>
    <col min="3835" max="3835" width="30.1640625" style="316" bestFit="1" customWidth="1"/>
    <col min="3836" max="3836" width="21" style="316" customWidth="1"/>
    <col min="3837" max="3838" width="13.5" style="316" customWidth="1"/>
    <col min="3839" max="3839" width="21.83203125" style="316" bestFit="1" customWidth="1"/>
    <col min="3840" max="3840" width="12" style="316" customWidth="1"/>
    <col min="3841" max="3841" width="11.5" style="316" bestFit="1" customWidth="1"/>
    <col min="3842" max="3842" width="13.5" style="316" customWidth="1"/>
    <col min="3843" max="3843" width="15.5" style="316" customWidth="1"/>
    <col min="3844" max="3845" width="18.5" style="316" customWidth="1"/>
    <col min="3846" max="3846" width="17.83203125" style="316" customWidth="1"/>
    <col min="3847" max="4089" width="9.1640625" style="316"/>
    <col min="4090" max="4090" width="10.33203125" style="316" bestFit="1" customWidth="1"/>
    <col min="4091" max="4091" width="30.1640625" style="316" bestFit="1" customWidth="1"/>
    <col min="4092" max="4092" width="21" style="316" customWidth="1"/>
    <col min="4093" max="4094" width="13.5" style="316" customWidth="1"/>
    <col min="4095" max="4095" width="21.83203125" style="316" bestFit="1" customWidth="1"/>
    <col min="4096" max="4096" width="12" style="316" customWidth="1"/>
    <col min="4097" max="4097" width="11.5" style="316" bestFit="1" customWidth="1"/>
    <col min="4098" max="4098" width="13.5" style="316" customWidth="1"/>
    <col min="4099" max="4099" width="15.5" style="316" customWidth="1"/>
    <col min="4100" max="4101" width="18.5" style="316" customWidth="1"/>
    <col min="4102" max="4102" width="17.83203125" style="316" customWidth="1"/>
    <col min="4103" max="4345" width="9.1640625" style="316"/>
    <col min="4346" max="4346" width="10.33203125" style="316" bestFit="1" customWidth="1"/>
    <col min="4347" max="4347" width="30.1640625" style="316" bestFit="1" customWidth="1"/>
    <col min="4348" max="4348" width="21" style="316" customWidth="1"/>
    <col min="4349" max="4350" width="13.5" style="316" customWidth="1"/>
    <col min="4351" max="4351" width="21.83203125" style="316" bestFit="1" customWidth="1"/>
    <col min="4352" max="4352" width="12" style="316" customWidth="1"/>
    <col min="4353" max="4353" width="11.5" style="316" bestFit="1" customWidth="1"/>
    <col min="4354" max="4354" width="13.5" style="316" customWidth="1"/>
    <col min="4355" max="4355" width="15.5" style="316" customWidth="1"/>
    <col min="4356" max="4357" width="18.5" style="316" customWidth="1"/>
    <col min="4358" max="4358" width="17.83203125" style="316" customWidth="1"/>
    <col min="4359" max="4601" width="9.1640625" style="316"/>
    <col min="4602" max="4602" width="10.33203125" style="316" bestFit="1" customWidth="1"/>
    <col min="4603" max="4603" width="30.1640625" style="316" bestFit="1" customWidth="1"/>
    <col min="4604" max="4604" width="21" style="316" customWidth="1"/>
    <col min="4605" max="4606" width="13.5" style="316" customWidth="1"/>
    <col min="4607" max="4607" width="21.83203125" style="316" bestFit="1" customWidth="1"/>
    <col min="4608" max="4608" width="12" style="316" customWidth="1"/>
    <col min="4609" max="4609" width="11.5" style="316" bestFit="1" customWidth="1"/>
    <col min="4610" max="4610" width="13.5" style="316" customWidth="1"/>
    <col min="4611" max="4611" width="15.5" style="316" customWidth="1"/>
    <col min="4612" max="4613" width="18.5" style="316" customWidth="1"/>
    <col min="4614" max="4614" width="17.83203125" style="316" customWidth="1"/>
    <col min="4615" max="4857" width="9.1640625" style="316"/>
    <col min="4858" max="4858" width="10.33203125" style="316" bestFit="1" customWidth="1"/>
    <col min="4859" max="4859" width="30.1640625" style="316" bestFit="1" customWidth="1"/>
    <col min="4860" max="4860" width="21" style="316" customWidth="1"/>
    <col min="4861" max="4862" width="13.5" style="316" customWidth="1"/>
    <col min="4863" max="4863" width="21.83203125" style="316" bestFit="1" customWidth="1"/>
    <col min="4864" max="4864" width="12" style="316" customWidth="1"/>
    <col min="4865" max="4865" width="11.5" style="316" bestFit="1" customWidth="1"/>
    <col min="4866" max="4866" width="13.5" style="316" customWidth="1"/>
    <col min="4867" max="4867" width="15.5" style="316" customWidth="1"/>
    <col min="4868" max="4869" width="18.5" style="316" customWidth="1"/>
    <col min="4870" max="4870" width="17.83203125" style="316" customWidth="1"/>
    <col min="4871" max="5113" width="9.1640625" style="316"/>
    <col min="5114" max="5114" width="10.33203125" style="316" bestFit="1" customWidth="1"/>
    <col min="5115" max="5115" width="30.1640625" style="316" bestFit="1" customWidth="1"/>
    <col min="5116" max="5116" width="21" style="316" customWidth="1"/>
    <col min="5117" max="5118" width="13.5" style="316" customWidth="1"/>
    <col min="5119" max="5119" width="21.83203125" style="316" bestFit="1" customWidth="1"/>
    <col min="5120" max="5120" width="12" style="316" customWidth="1"/>
    <col min="5121" max="5121" width="11.5" style="316" bestFit="1" customWidth="1"/>
    <col min="5122" max="5122" width="13.5" style="316" customWidth="1"/>
    <col min="5123" max="5123" width="15.5" style="316" customWidth="1"/>
    <col min="5124" max="5125" width="18.5" style="316" customWidth="1"/>
    <col min="5126" max="5126" width="17.83203125" style="316" customWidth="1"/>
    <col min="5127" max="5369" width="9.1640625" style="316"/>
    <col min="5370" max="5370" width="10.33203125" style="316" bestFit="1" customWidth="1"/>
    <col min="5371" max="5371" width="30.1640625" style="316" bestFit="1" customWidth="1"/>
    <col min="5372" max="5372" width="21" style="316" customWidth="1"/>
    <col min="5373" max="5374" width="13.5" style="316" customWidth="1"/>
    <col min="5375" max="5375" width="21.83203125" style="316" bestFit="1" customWidth="1"/>
    <col min="5376" max="5376" width="12" style="316" customWidth="1"/>
    <col min="5377" max="5377" width="11.5" style="316" bestFit="1" customWidth="1"/>
    <col min="5378" max="5378" width="13.5" style="316" customWidth="1"/>
    <col min="5379" max="5379" width="15.5" style="316" customWidth="1"/>
    <col min="5380" max="5381" width="18.5" style="316" customWidth="1"/>
    <col min="5382" max="5382" width="17.83203125" style="316" customWidth="1"/>
    <col min="5383" max="5625" width="9.1640625" style="316"/>
    <col min="5626" max="5626" width="10.33203125" style="316" bestFit="1" customWidth="1"/>
    <col min="5627" max="5627" width="30.1640625" style="316" bestFit="1" customWidth="1"/>
    <col min="5628" max="5628" width="21" style="316" customWidth="1"/>
    <col min="5629" max="5630" width="13.5" style="316" customWidth="1"/>
    <col min="5631" max="5631" width="21.83203125" style="316" bestFit="1" customWidth="1"/>
    <col min="5632" max="5632" width="12" style="316" customWidth="1"/>
    <col min="5633" max="5633" width="11.5" style="316" bestFit="1" customWidth="1"/>
    <col min="5634" max="5634" width="13.5" style="316" customWidth="1"/>
    <col min="5635" max="5635" width="15.5" style="316" customWidth="1"/>
    <col min="5636" max="5637" width="18.5" style="316" customWidth="1"/>
    <col min="5638" max="5638" width="17.83203125" style="316" customWidth="1"/>
    <col min="5639" max="5881" width="9.1640625" style="316"/>
    <col min="5882" max="5882" width="10.33203125" style="316" bestFit="1" customWidth="1"/>
    <col min="5883" max="5883" width="30.1640625" style="316" bestFit="1" customWidth="1"/>
    <col min="5884" max="5884" width="21" style="316" customWidth="1"/>
    <col min="5885" max="5886" width="13.5" style="316" customWidth="1"/>
    <col min="5887" max="5887" width="21.83203125" style="316" bestFit="1" customWidth="1"/>
    <col min="5888" max="5888" width="12" style="316" customWidth="1"/>
    <col min="5889" max="5889" width="11.5" style="316" bestFit="1" customWidth="1"/>
    <col min="5890" max="5890" width="13.5" style="316" customWidth="1"/>
    <col min="5891" max="5891" width="15.5" style="316" customWidth="1"/>
    <col min="5892" max="5893" width="18.5" style="316" customWidth="1"/>
    <col min="5894" max="5894" width="17.83203125" style="316" customWidth="1"/>
    <col min="5895" max="6137" width="9.1640625" style="316"/>
    <col min="6138" max="6138" width="10.33203125" style="316" bestFit="1" customWidth="1"/>
    <col min="6139" max="6139" width="30.1640625" style="316" bestFit="1" customWidth="1"/>
    <col min="6140" max="6140" width="21" style="316" customWidth="1"/>
    <col min="6141" max="6142" width="13.5" style="316" customWidth="1"/>
    <col min="6143" max="6143" width="21.83203125" style="316" bestFit="1" customWidth="1"/>
    <col min="6144" max="6144" width="12" style="316" customWidth="1"/>
    <col min="6145" max="6145" width="11.5" style="316" bestFit="1" customWidth="1"/>
    <col min="6146" max="6146" width="13.5" style="316" customWidth="1"/>
    <col min="6147" max="6147" width="15.5" style="316" customWidth="1"/>
    <col min="6148" max="6149" width="18.5" style="316" customWidth="1"/>
    <col min="6150" max="6150" width="17.83203125" style="316" customWidth="1"/>
    <col min="6151" max="6393" width="9.1640625" style="316"/>
    <col min="6394" max="6394" width="10.33203125" style="316" bestFit="1" customWidth="1"/>
    <col min="6395" max="6395" width="30.1640625" style="316" bestFit="1" customWidth="1"/>
    <col min="6396" max="6396" width="21" style="316" customWidth="1"/>
    <col min="6397" max="6398" width="13.5" style="316" customWidth="1"/>
    <col min="6399" max="6399" width="21.83203125" style="316" bestFit="1" customWidth="1"/>
    <col min="6400" max="6400" width="12" style="316" customWidth="1"/>
    <col min="6401" max="6401" width="11.5" style="316" bestFit="1" customWidth="1"/>
    <col min="6402" max="6402" width="13.5" style="316" customWidth="1"/>
    <col min="6403" max="6403" width="15.5" style="316" customWidth="1"/>
    <col min="6404" max="6405" width="18.5" style="316" customWidth="1"/>
    <col min="6406" max="6406" width="17.83203125" style="316" customWidth="1"/>
    <col min="6407" max="6649" width="9.1640625" style="316"/>
    <col min="6650" max="6650" width="10.33203125" style="316" bestFit="1" customWidth="1"/>
    <col min="6651" max="6651" width="30.1640625" style="316" bestFit="1" customWidth="1"/>
    <col min="6652" max="6652" width="21" style="316" customWidth="1"/>
    <col min="6653" max="6654" width="13.5" style="316" customWidth="1"/>
    <col min="6655" max="6655" width="21.83203125" style="316" bestFit="1" customWidth="1"/>
    <col min="6656" max="6656" width="12" style="316" customWidth="1"/>
    <col min="6657" max="6657" width="11.5" style="316" bestFit="1" customWidth="1"/>
    <col min="6658" max="6658" width="13.5" style="316" customWidth="1"/>
    <col min="6659" max="6659" width="15.5" style="316" customWidth="1"/>
    <col min="6660" max="6661" width="18.5" style="316" customWidth="1"/>
    <col min="6662" max="6662" width="17.83203125" style="316" customWidth="1"/>
    <col min="6663" max="6905" width="9.1640625" style="316"/>
    <col min="6906" max="6906" width="10.33203125" style="316" bestFit="1" customWidth="1"/>
    <col min="6907" max="6907" width="30.1640625" style="316" bestFit="1" customWidth="1"/>
    <col min="6908" max="6908" width="21" style="316" customWidth="1"/>
    <col min="6909" max="6910" width="13.5" style="316" customWidth="1"/>
    <col min="6911" max="6911" width="21.83203125" style="316" bestFit="1" customWidth="1"/>
    <col min="6912" max="6912" width="12" style="316" customWidth="1"/>
    <col min="6913" max="6913" width="11.5" style="316" bestFit="1" customWidth="1"/>
    <col min="6914" max="6914" width="13.5" style="316" customWidth="1"/>
    <col min="6915" max="6915" width="15.5" style="316" customWidth="1"/>
    <col min="6916" max="6917" width="18.5" style="316" customWidth="1"/>
    <col min="6918" max="6918" width="17.83203125" style="316" customWidth="1"/>
    <col min="6919" max="7161" width="9.1640625" style="316"/>
    <col min="7162" max="7162" width="10.33203125" style="316" bestFit="1" customWidth="1"/>
    <col min="7163" max="7163" width="30.1640625" style="316" bestFit="1" customWidth="1"/>
    <col min="7164" max="7164" width="21" style="316" customWidth="1"/>
    <col min="7165" max="7166" width="13.5" style="316" customWidth="1"/>
    <col min="7167" max="7167" width="21.83203125" style="316" bestFit="1" customWidth="1"/>
    <col min="7168" max="7168" width="12" style="316" customWidth="1"/>
    <col min="7169" max="7169" width="11.5" style="316" bestFit="1" customWidth="1"/>
    <col min="7170" max="7170" width="13.5" style="316" customWidth="1"/>
    <col min="7171" max="7171" width="15.5" style="316" customWidth="1"/>
    <col min="7172" max="7173" width="18.5" style="316" customWidth="1"/>
    <col min="7174" max="7174" width="17.83203125" style="316" customWidth="1"/>
    <col min="7175" max="7417" width="9.1640625" style="316"/>
    <col min="7418" max="7418" width="10.33203125" style="316" bestFit="1" customWidth="1"/>
    <col min="7419" max="7419" width="30.1640625" style="316" bestFit="1" customWidth="1"/>
    <col min="7420" max="7420" width="21" style="316" customWidth="1"/>
    <col min="7421" max="7422" width="13.5" style="316" customWidth="1"/>
    <col min="7423" max="7423" width="21.83203125" style="316" bestFit="1" customWidth="1"/>
    <col min="7424" max="7424" width="12" style="316" customWidth="1"/>
    <col min="7425" max="7425" width="11.5" style="316" bestFit="1" customWidth="1"/>
    <col min="7426" max="7426" width="13.5" style="316" customWidth="1"/>
    <col min="7427" max="7427" width="15.5" style="316" customWidth="1"/>
    <col min="7428" max="7429" width="18.5" style="316" customWidth="1"/>
    <col min="7430" max="7430" width="17.83203125" style="316" customWidth="1"/>
    <col min="7431" max="7673" width="9.1640625" style="316"/>
    <col min="7674" max="7674" width="10.33203125" style="316" bestFit="1" customWidth="1"/>
    <col min="7675" max="7675" width="30.1640625" style="316" bestFit="1" customWidth="1"/>
    <col min="7676" max="7676" width="21" style="316" customWidth="1"/>
    <col min="7677" max="7678" width="13.5" style="316" customWidth="1"/>
    <col min="7679" max="7679" width="21.83203125" style="316" bestFit="1" customWidth="1"/>
    <col min="7680" max="7680" width="12" style="316" customWidth="1"/>
    <col min="7681" max="7681" width="11.5" style="316" bestFit="1" customWidth="1"/>
    <col min="7682" max="7682" width="13.5" style="316" customWidth="1"/>
    <col min="7683" max="7683" width="15.5" style="316" customWidth="1"/>
    <col min="7684" max="7685" width="18.5" style="316" customWidth="1"/>
    <col min="7686" max="7686" width="17.83203125" style="316" customWidth="1"/>
    <col min="7687" max="7929" width="9.1640625" style="316"/>
    <col min="7930" max="7930" width="10.33203125" style="316" bestFit="1" customWidth="1"/>
    <col min="7931" max="7931" width="30.1640625" style="316" bestFit="1" customWidth="1"/>
    <col min="7932" max="7932" width="21" style="316" customWidth="1"/>
    <col min="7933" max="7934" width="13.5" style="316" customWidth="1"/>
    <col min="7935" max="7935" width="21.83203125" style="316" bestFit="1" customWidth="1"/>
    <col min="7936" max="7936" width="12" style="316" customWidth="1"/>
    <col min="7937" max="7937" width="11.5" style="316" bestFit="1" customWidth="1"/>
    <col min="7938" max="7938" width="13.5" style="316" customWidth="1"/>
    <col min="7939" max="7939" width="15.5" style="316" customWidth="1"/>
    <col min="7940" max="7941" width="18.5" style="316" customWidth="1"/>
    <col min="7942" max="7942" width="17.83203125" style="316" customWidth="1"/>
    <col min="7943" max="8185" width="9.1640625" style="316"/>
    <col min="8186" max="8186" width="10.33203125" style="316" bestFit="1" customWidth="1"/>
    <col min="8187" max="8187" width="30.1640625" style="316" bestFit="1" customWidth="1"/>
    <col min="8188" max="8188" width="21" style="316" customWidth="1"/>
    <col min="8189" max="8190" width="13.5" style="316" customWidth="1"/>
    <col min="8191" max="8191" width="21.83203125" style="316" bestFit="1" customWidth="1"/>
    <col min="8192" max="8192" width="12" style="316" customWidth="1"/>
    <col min="8193" max="8193" width="11.5" style="316" bestFit="1" customWidth="1"/>
    <col min="8194" max="8194" width="13.5" style="316" customWidth="1"/>
    <col min="8195" max="8195" width="15.5" style="316" customWidth="1"/>
    <col min="8196" max="8197" width="18.5" style="316" customWidth="1"/>
    <col min="8198" max="8198" width="17.83203125" style="316" customWidth="1"/>
    <col min="8199" max="8441" width="9.1640625" style="316"/>
    <col min="8442" max="8442" width="10.33203125" style="316" bestFit="1" customWidth="1"/>
    <col min="8443" max="8443" width="30.1640625" style="316" bestFit="1" customWidth="1"/>
    <col min="8444" max="8444" width="21" style="316" customWidth="1"/>
    <col min="8445" max="8446" width="13.5" style="316" customWidth="1"/>
    <col min="8447" max="8447" width="21.83203125" style="316" bestFit="1" customWidth="1"/>
    <col min="8448" max="8448" width="12" style="316" customWidth="1"/>
    <col min="8449" max="8449" width="11.5" style="316" bestFit="1" customWidth="1"/>
    <col min="8450" max="8450" width="13.5" style="316" customWidth="1"/>
    <col min="8451" max="8451" width="15.5" style="316" customWidth="1"/>
    <col min="8452" max="8453" width="18.5" style="316" customWidth="1"/>
    <col min="8454" max="8454" width="17.83203125" style="316" customWidth="1"/>
    <col min="8455" max="8697" width="9.1640625" style="316"/>
    <col min="8698" max="8698" width="10.33203125" style="316" bestFit="1" customWidth="1"/>
    <col min="8699" max="8699" width="30.1640625" style="316" bestFit="1" customWidth="1"/>
    <col min="8700" max="8700" width="21" style="316" customWidth="1"/>
    <col min="8701" max="8702" width="13.5" style="316" customWidth="1"/>
    <col min="8703" max="8703" width="21.83203125" style="316" bestFit="1" customWidth="1"/>
    <col min="8704" max="8704" width="12" style="316" customWidth="1"/>
    <col min="8705" max="8705" width="11.5" style="316" bestFit="1" customWidth="1"/>
    <col min="8706" max="8706" width="13.5" style="316" customWidth="1"/>
    <col min="8707" max="8707" width="15.5" style="316" customWidth="1"/>
    <col min="8708" max="8709" width="18.5" style="316" customWidth="1"/>
    <col min="8710" max="8710" width="17.83203125" style="316" customWidth="1"/>
    <col min="8711" max="8953" width="9.1640625" style="316"/>
    <col min="8954" max="8954" width="10.33203125" style="316" bestFit="1" customWidth="1"/>
    <col min="8955" max="8955" width="30.1640625" style="316" bestFit="1" customWidth="1"/>
    <col min="8956" max="8956" width="21" style="316" customWidth="1"/>
    <col min="8957" max="8958" width="13.5" style="316" customWidth="1"/>
    <col min="8959" max="8959" width="21.83203125" style="316" bestFit="1" customWidth="1"/>
    <col min="8960" max="8960" width="12" style="316" customWidth="1"/>
    <col min="8961" max="8961" width="11.5" style="316" bestFit="1" customWidth="1"/>
    <col min="8962" max="8962" width="13.5" style="316" customWidth="1"/>
    <col min="8963" max="8963" width="15.5" style="316" customWidth="1"/>
    <col min="8964" max="8965" width="18.5" style="316" customWidth="1"/>
    <col min="8966" max="8966" width="17.83203125" style="316" customWidth="1"/>
    <col min="8967" max="9209" width="9.1640625" style="316"/>
    <col min="9210" max="9210" width="10.33203125" style="316" bestFit="1" customWidth="1"/>
    <col min="9211" max="9211" width="30.1640625" style="316" bestFit="1" customWidth="1"/>
    <col min="9212" max="9212" width="21" style="316" customWidth="1"/>
    <col min="9213" max="9214" width="13.5" style="316" customWidth="1"/>
    <col min="9215" max="9215" width="21.83203125" style="316" bestFit="1" customWidth="1"/>
    <col min="9216" max="9216" width="12" style="316" customWidth="1"/>
    <col min="9217" max="9217" width="11.5" style="316" bestFit="1" customWidth="1"/>
    <col min="9218" max="9218" width="13.5" style="316" customWidth="1"/>
    <col min="9219" max="9219" width="15.5" style="316" customWidth="1"/>
    <col min="9220" max="9221" width="18.5" style="316" customWidth="1"/>
    <col min="9222" max="9222" width="17.83203125" style="316" customWidth="1"/>
    <col min="9223" max="9465" width="9.1640625" style="316"/>
    <col min="9466" max="9466" width="10.33203125" style="316" bestFit="1" customWidth="1"/>
    <col min="9467" max="9467" width="30.1640625" style="316" bestFit="1" customWidth="1"/>
    <col min="9468" max="9468" width="21" style="316" customWidth="1"/>
    <col min="9469" max="9470" width="13.5" style="316" customWidth="1"/>
    <col min="9471" max="9471" width="21.83203125" style="316" bestFit="1" customWidth="1"/>
    <col min="9472" max="9472" width="12" style="316" customWidth="1"/>
    <col min="9473" max="9473" width="11.5" style="316" bestFit="1" customWidth="1"/>
    <col min="9474" max="9474" width="13.5" style="316" customWidth="1"/>
    <col min="9475" max="9475" width="15.5" style="316" customWidth="1"/>
    <col min="9476" max="9477" width="18.5" style="316" customWidth="1"/>
    <col min="9478" max="9478" width="17.83203125" style="316" customWidth="1"/>
    <col min="9479" max="9721" width="9.1640625" style="316"/>
    <col min="9722" max="9722" width="10.33203125" style="316" bestFit="1" customWidth="1"/>
    <col min="9723" max="9723" width="30.1640625" style="316" bestFit="1" customWidth="1"/>
    <col min="9724" max="9724" width="21" style="316" customWidth="1"/>
    <col min="9725" max="9726" width="13.5" style="316" customWidth="1"/>
    <col min="9727" max="9727" width="21.83203125" style="316" bestFit="1" customWidth="1"/>
    <col min="9728" max="9728" width="12" style="316" customWidth="1"/>
    <col min="9729" max="9729" width="11.5" style="316" bestFit="1" customWidth="1"/>
    <col min="9730" max="9730" width="13.5" style="316" customWidth="1"/>
    <col min="9731" max="9731" width="15.5" style="316" customWidth="1"/>
    <col min="9732" max="9733" width="18.5" style="316" customWidth="1"/>
    <col min="9734" max="9734" width="17.83203125" style="316" customWidth="1"/>
    <col min="9735" max="9977" width="9.1640625" style="316"/>
    <col min="9978" max="9978" width="10.33203125" style="316" bestFit="1" customWidth="1"/>
    <col min="9979" max="9979" width="30.1640625" style="316" bestFit="1" customWidth="1"/>
    <col min="9980" max="9980" width="21" style="316" customWidth="1"/>
    <col min="9981" max="9982" width="13.5" style="316" customWidth="1"/>
    <col min="9983" max="9983" width="21.83203125" style="316" bestFit="1" customWidth="1"/>
    <col min="9984" max="9984" width="12" style="316" customWidth="1"/>
    <col min="9985" max="9985" width="11.5" style="316" bestFit="1" customWidth="1"/>
    <col min="9986" max="9986" width="13.5" style="316" customWidth="1"/>
    <col min="9987" max="9987" width="15.5" style="316" customWidth="1"/>
    <col min="9988" max="9989" width="18.5" style="316" customWidth="1"/>
    <col min="9990" max="9990" width="17.83203125" style="316" customWidth="1"/>
    <col min="9991" max="10233" width="9.1640625" style="316"/>
    <col min="10234" max="10234" width="10.33203125" style="316" bestFit="1" customWidth="1"/>
    <col min="10235" max="10235" width="30.1640625" style="316" bestFit="1" customWidth="1"/>
    <col min="10236" max="10236" width="21" style="316" customWidth="1"/>
    <col min="10237" max="10238" width="13.5" style="316" customWidth="1"/>
    <col min="10239" max="10239" width="21.83203125" style="316" bestFit="1" customWidth="1"/>
    <col min="10240" max="10240" width="12" style="316" customWidth="1"/>
    <col min="10241" max="10241" width="11.5" style="316" bestFit="1" customWidth="1"/>
    <col min="10242" max="10242" width="13.5" style="316" customWidth="1"/>
    <col min="10243" max="10243" width="15.5" style="316" customWidth="1"/>
    <col min="10244" max="10245" width="18.5" style="316" customWidth="1"/>
    <col min="10246" max="10246" width="17.83203125" style="316" customWidth="1"/>
    <col min="10247" max="10489" width="9.1640625" style="316"/>
    <col min="10490" max="10490" width="10.33203125" style="316" bestFit="1" customWidth="1"/>
    <col min="10491" max="10491" width="30.1640625" style="316" bestFit="1" customWidth="1"/>
    <col min="10492" max="10492" width="21" style="316" customWidth="1"/>
    <col min="10493" max="10494" width="13.5" style="316" customWidth="1"/>
    <col min="10495" max="10495" width="21.83203125" style="316" bestFit="1" customWidth="1"/>
    <col min="10496" max="10496" width="12" style="316" customWidth="1"/>
    <col min="10497" max="10497" width="11.5" style="316" bestFit="1" customWidth="1"/>
    <col min="10498" max="10498" width="13.5" style="316" customWidth="1"/>
    <col min="10499" max="10499" width="15.5" style="316" customWidth="1"/>
    <col min="10500" max="10501" width="18.5" style="316" customWidth="1"/>
    <col min="10502" max="10502" width="17.83203125" style="316" customWidth="1"/>
    <col min="10503" max="10745" width="9.1640625" style="316"/>
    <col min="10746" max="10746" width="10.33203125" style="316" bestFit="1" customWidth="1"/>
    <col min="10747" max="10747" width="30.1640625" style="316" bestFit="1" customWidth="1"/>
    <col min="10748" max="10748" width="21" style="316" customWidth="1"/>
    <col min="10749" max="10750" width="13.5" style="316" customWidth="1"/>
    <col min="10751" max="10751" width="21.83203125" style="316" bestFit="1" customWidth="1"/>
    <col min="10752" max="10752" width="12" style="316" customWidth="1"/>
    <col min="10753" max="10753" width="11.5" style="316" bestFit="1" customWidth="1"/>
    <col min="10754" max="10754" width="13.5" style="316" customWidth="1"/>
    <col min="10755" max="10755" width="15.5" style="316" customWidth="1"/>
    <col min="10756" max="10757" width="18.5" style="316" customWidth="1"/>
    <col min="10758" max="10758" width="17.83203125" style="316" customWidth="1"/>
    <col min="10759" max="11001" width="9.1640625" style="316"/>
    <col min="11002" max="11002" width="10.33203125" style="316" bestFit="1" customWidth="1"/>
    <col min="11003" max="11003" width="30.1640625" style="316" bestFit="1" customWidth="1"/>
    <col min="11004" max="11004" width="21" style="316" customWidth="1"/>
    <col min="11005" max="11006" width="13.5" style="316" customWidth="1"/>
    <col min="11007" max="11007" width="21.83203125" style="316" bestFit="1" customWidth="1"/>
    <col min="11008" max="11008" width="12" style="316" customWidth="1"/>
    <col min="11009" max="11009" width="11.5" style="316" bestFit="1" customWidth="1"/>
    <col min="11010" max="11010" width="13.5" style="316" customWidth="1"/>
    <col min="11011" max="11011" width="15.5" style="316" customWidth="1"/>
    <col min="11012" max="11013" width="18.5" style="316" customWidth="1"/>
    <col min="11014" max="11014" width="17.83203125" style="316" customWidth="1"/>
    <col min="11015" max="11257" width="9.1640625" style="316"/>
    <col min="11258" max="11258" width="10.33203125" style="316" bestFit="1" customWidth="1"/>
    <col min="11259" max="11259" width="30.1640625" style="316" bestFit="1" customWidth="1"/>
    <col min="11260" max="11260" width="21" style="316" customWidth="1"/>
    <col min="11261" max="11262" width="13.5" style="316" customWidth="1"/>
    <col min="11263" max="11263" width="21.83203125" style="316" bestFit="1" customWidth="1"/>
    <col min="11264" max="11264" width="12" style="316" customWidth="1"/>
    <col min="11265" max="11265" width="11.5" style="316" bestFit="1" customWidth="1"/>
    <col min="11266" max="11266" width="13.5" style="316" customWidth="1"/>
    <col min="11267" max="11267" width="15.5" style="316" customWidth="1"/>
    <col min="11268" max="11269" width="18.5" style="316" customWidth="1"/>
    <col min="11270" max="11270" width="17.83203125" style="316" customWidth="1"/>
    <col min="11271" max="11513" width="9.1640625" style="316"/>
    <col min="11514" max="11514" width="10.33203125" style="316" bestFit="1" customWidth="1"/>
    <col min="11515" max="11515" width="30.1640625" style="316" bestFit="1" customWidth="1"/>
    <col min="11516" max="11516" width="21" style="316" customWidth="1"/>
    <col min="11517" max="11518" width="13.5" style="316" customWidth="1"/>
    <col min="11519" max="11519" width="21.83203125" style="316" bestFit="1" customWidth="1"/>
    <col min="11520" max="11520" width="12" style="316" customWidth="1"/>
    <col min="11521" max="11521" width="11.5" style="316" bestFit="1" customWidth="1"/>
    <col min="11522" max="11522" width="13.5" style="316" customWidth="1"/>
    <col min="11523" max="11523" width="15.5" style="316" customWidth="1"/>
    <col min="11524" max="11525" width="18.5" style="316" customWidth="1"/>
    <col min="11526" max="11526" width="17.83203125" style="316" customWidth="1"/>
    <col min="11527" max="11769" width="9.1640625" style="316"/>
    <col min="11770" max="11770" width="10.33203125" style="316" bestFit="1" customWidth="1"/>
    <col min="11771" max="11771" width="30.1640625" style="316" bestFit="1" customWidth="1"/>
    <col min="11772" max="11772" width="21" style="316" customWidth="1"/>
    <col min="11773" max="11774" width="13.5" style="316" customWidth="1"/>
    <col min="11775" max="11775" width="21.83203125" style="316" bestFit="1" customWidth="1"/>
    <col min="11776" max="11776" width="12" style="316" customWidth="1"/>
    <col min="11777" max="11777" width="11.5" style="316" bestFit="1" customWidth="1"/>
    <col min="11778" max="11778" width="13.5" style="316" customWidth="1"/>
    <col min="11779" max="11779" width="15.5" style="316" customWidth="1"/>
    <col min="11780" max="11781" width="18.5" style="316" customWidth="1"/>
    <col min="11782" max="11782" width="17.83203125" style="316" customWidth="1"/>
    <col min="11783" max="12025" width="9.1640625" style="316"/>
    <col min="12026" max="12026" width="10.33203125" style="316" bestFit="1" customWidth="1"/>
    <col min="12027" max="12027" width="30.1640625" style="316" bestFit="1" customWidth="1"/>
    <col min="12028" max="12028" width="21" style="316" customWidth="1"/>
    <col min="12029" max="12030" width="13.5" style="316" customWidth="1"/>
    <col min="12031" max="12031" width="21.83203125" style="316" bestFit="1" customWidth="1"/>
    <col min="12032" max="12032" width="12" style="316" customWidth="1"/>
    <col min="12033" max="12033" width="11.5" style="316" bestFit="1" customWidth="1"/>
    <col min="12034" max="12034" width="13.5" style="316" customWidth="1"/>
    <col min="12035" max="12035" width="15.5" style="316" customWidth="1"/>
    <col min="12036" max="12037" width="18.5" style="316" customWidth="1"/>
    <col min="12038" max="12038" width="17.83203125" style="316" customWidth="1"/>
    <col min="12039" max="12281" width="9.1640625" style="316"/>
    <col min="12282" max="12282" width="10.33203125" style="316" bestFit="1" customWidth="1"/>
    <col min="12283" max="12283" width="30.1640625" style="316" bestFit="1" customWidth="1"/>
    <col min="12284" max="12284" width="21" style="316" customWidth="1"/>
    <col min="12285" max="12286" width="13.5" style="316" customWidth="1"/>
    <col min="12287" max="12287" width="21.83203125" style="316" bestFit="1" customWidth="1"/>
    <col min="12288" max="12288" width="12" style="316" customWidth="1"/>
    <col min="12289" max="12289" width="11.5" style="316" bestFit="1" customWidth="1"/>
    <col min="12290" max="12290" width="13.5" style="316" customWidth="1"/>
    <col min="12291" max="12291" width="15.5" style="316" customWidth="1"/>
    <col min="12292" max="12293" width="18.5" style="316" customWidth="1"/>
    <col min="12294" max="12294" width="17.83203125" style="316" customWidth="1"/>
    <col min="12295" max="12537" width="9.1640625" style="316"/>
    <col min="12538" max="12538" width="10.33203125" style="316" bestFit="1" customWidth="1"/>
    <col min="12539" max="12539" width="30.1640625" style="316" bestFit="1" customWidth="1"/>
    <col min="12540" max="12540" width="21" style="316" customWidth="1"/>
    <col min="12541" max="12542" width="13.5" style="316" customWidth="1"/>
    <col min="12543" max="12543" width="21.83203125" style="316" bestFit="1" customWidth="1"/>
    <col min="12544" max="12544" width="12" style="316" customWidth="1"/>
    <col min="12545" max="12545" width="11.5" style="316" bestFit="1" customWidth="1"/>
    <col min="12546" max="12546" width="13.5" style="316" customWidth="1"/>
    <col min="12547" max="12547" width="15.5" style="316" customWidth="1"/>
    <col min="12548" max="12549" width="18.5" style="316" customWidth="1"/>
    <col min="12550" max="12550" width="17.83203125" style="316" customWidth="1"/>
    <col min="12551" max="12793" width="9.1640625" style="316"/>
    <col min="12794" max="12794" width="10.33203125" style="316" bestFit="1" customWidth="1"/>
    <col min="12795" max="12795" width="30.1640625" style="316" bestFit="1" customWidth="1"/>
    <col min="12796" max="12796" width="21" style="316" customWidth="1"/>
    <col min="12797" max="12798" width="13.5" style="316" customWidth="1"/>
    <col min="12799" max="12799" width="21.83203125" style="316" bestFit="1" customWidth="1"/>
    <col min="12800" max="12800" width="12" style="316" customWidth="1"/>
    <col min="12801" max="12801" width="11.5" style="316" bestFit="1" customWidth="1"/>
    <col min="12802" max="12802" width="13.5" style="316" customWidth="1"/>
    <col min="12803" max="12803" width="15.5" style="316" customWidth="1"/>
    <col min="12804" max="12805" width="18.5" style="316" customWidth="1"/>
    <col min="12806" max="12806" width="17.83203125" style="316" customWidth="1"/>
    <col min="12807" max="13049" width="9.1640625" style="316"/>
    <col min="13050" max="13050" width="10.33203125" style="316" bestFit="1" customWidth="1"/>
    <col min="13051" max="13051" width="30.1640625" style="316" bestFit="1" customWidth="1"/>
    <col min="13052" max="13052" width="21" style="316" customWidth="1"/>
    <col min="13053" max="13054" width="13.5" style="316" customWidth="1"/>
    <col min="13055" max="13055" width="21.83203125" style="316" bestFit="1" customWidth="1"/>
    <col min="13056" max="13056" width="12" style="316" customWidth="1"/>
    <col min="13057" max="13057" width="11.5" style="316" bestFit="1" customWidth="1"/>
    <col min="13058" max="13058" width="13.5" style="316" customWidth="1"/>
    <col min="13059" max="13059" width="15.5" style="316" customWidth="1"/>
    <col min="13060" max="13061" width="18.5" style="316" customWidth="1"/>
    <col min="13062" max="13062" width="17.83203125" style="316" customWidth="1"/>
    <col min="13063" max="13305" width="9.1640625" style="316"/>
    <col min="13306" max="13306" width="10.33203125" style="316" bestFit="1" customWidth="1"/>
    <col min="13307" max="13307" width="30.1640625" style="316" bestFit="1" customWidth="1"/>
    <col min="13308" max="13308" width="21" style="316" customWidth="1"/>
    <col min="13309" max="13310" width="13.5" style="316" customWidth="1"/>
    <col min="13311" max="13311" width="21.83203125" style="316" bestFit="1" customWidth="1"/>
    <col min="13312" max="13312" width="12" style="316" customWidth="1"/>
    <col min="13313" max="13313" width="11.5" style="316" bestFit="1" customWidth="1"/>
    <col min="13314" max="13314" width="13.5" style="316" customWidth="1"/>
    <col min="13315" max="13315" width="15.5" style="316" customWidth="1"/>
    <col min="13316" max="13317" width="18.5" style="316" customWidth="1"/>
    <col min="13318" max="13318" width="17.83203125" style="316" customWidth="1"/>
    <col min="13319" max="13561" width="9.1640625" style="316"/>
    <col min="13562" max="13562" width="10.33203125" style="316" bestFit="1" customWidth="1"/>
    <col min="13563" max="13563" width="30.1640625" style="316" bestFit="1" customWidth="1"/>
    <col min="13564" max="13564" width="21" style="316" customWidth="1"/>
    <col min="13565" max="13566" width="13.5" style="316" customWidth="1"/>
    <col min="13567" max="13567" width="21.83203125" style="316" bestFit="1" customWidth="1"/>
    <col min="13568" max="13568" width="12" style="316" customWidth="1"/>
    <col min="13569" max="13569" width="11.5" style="316" bestFit="1" customWidth="1"/>
    <col min="13570" max="13570" width="13.5" style="316" customWidth="1"/>
    <col min="13571" max="13571" width="15.5" style="316" customWidth="1"/>
    <col min="13572" max="13573" width="18.5" style="316" customWidth="1"/>
    <col min="13574" max="13574" width="17.83203125" style="316" customWidth="1"/>
    <col min="13575" max="13817" width="9.1640625" style="316"/>
    <col min="13818" max="13818" width="10.33203125" style="316" bestFit="1" customWidth="1"/>
    <col min="13819" max="13819" width="30.1640625" style="316" bestFit="1" customWidth="1"/>
    <col min="13820" max="13820" width="21" style="316" customWidth="1"/>
    <col min="13821" max="13822" width="13.5" style="316" customWidth="1"/>
    <col min="13823" max="13823" width="21.83203125" style="316" bestFit="1" customWidth="1"/>
    <col min="13824" max="13824" width="12" style="316" customWidth="1"/>
    <col min="13825" max="13825" width="11.5" style="316" bestFit="1" customWidth="1"/>
    <col min="13826" max="13826" width="13.5" style="316" customWidth="1"/>
    <col min="13827" max="13827" width="15.5" style="316" customWidth="1"/>
    <col min="13828" max="13829" width="18.5" style="316" customWidth="1"/>
    <col min="13830" max="13830" width="17.83203125" style="316" customWidth="1"/>
    <col min="13831" max="14073" width="9.1640625" style="316"/>
    <col min="14074" max="14074" width="10.33203125" style="316" bestFit="1" customWidth="1"/>
    <col min="14075" max="14075" width="30.1640625" style="316" bestFit="1" customWidth="1"/>
    <col min="14076" max="14076" width="21" style="316" customWidth="1"/>
    <col min="14077" max="14078" width="13.5" style="316" customWidth="1"/>
    <col min="14079" max="14079" width="21.83203125" style="316" bestFit="1" customWidth="1"/>
    <col min="14080" max="14080" width="12" style="316" customWidth="1"/>
    <col min="14081" max="14081" width="11.5" style="316" bestFit="1" customWidth="1"/>
    <col min="14082" max="14082" width="13.5" style="316" customWidth="1"/>
    <col min="14083" max="14083" width="15.5" style="316" customWidth="1"/>
    <col min="14084" max="14085" width="18.5" style="316" customWidth="1"/>
    <col min="14086" max="14086" width="17.83203125" style="316" customWidth="1"/>
    <col min="14087" max="14329" width="9.1640625" style="316"/>
    <col min="14330" max="14330" width="10.33203125" style="316" bestFit="1" customWidth="1"/>
    <col min="14331" max="14331" width="30.1640625" style="316" bestFit="1" customWidth="1"/>
    <col min="14332" max="14332" width="21" style="316" customWidth="1"/>
    <col min="14333" max="14334" width="13.5" style="316" customWidth="1"/>
    <col min="14335" max="14335" width="21.83203125" style="316" bestFit="1" customWidth="1"/>
    <col min="14336" max="14336" width="12" style="316" customWidth="1"/>
    <col min="14337" max="14337" width="11.5" style="316" bestFit="1" customWidth="1"/>
    <col min="14338" max="14338" width="13.5" style="316" customWidth="1"/>
    <col min="14339" max="14339" width="15.5" style="316" customWidth="1"/>
    <col min="14340" max="14341" width="18.5" style="316" customWidth="1"/>
    <col min="14342" max="14342" width="17.83203125" style="316" customWidth="1"/>
    <col min="14343" max="14585" width="9.1640625" style="316"/>
    <col min="14586" max="14586" width="10.33203125" style="316" bestFit="1" customWidth="1"/>
    <col min="14587" max="14587" width="30.1640625" style="316" bestFit="1" customWidth="1"/>
    <col min="14588" max="14588" width="21" style="316" customWidth="1"/>
    <col min="14589" max="14590" width="13.5" style="316" customWidth="1"/>
    <col min="14591" max="14591" width="21.83203125" style="316" bestFit="1" customWidth="1"/>
    <col min="14592" max="14592" width="12" style="316" customWidth="1"/>
    <col min="14593" max="14593" width="11.5" style="316" bestFit="1" customWidth="1"/>
    <col min="14594" max="14594" width="13.5" style="316" customWidth="1"/>
    <col min="14595" max="14595" width="15.5" style="316" customWidth="1"/>
    <col min="14596" max="14597" width="18.5" style="316" customWidth="1"/>
    <col min="14598" max="14598" width="17.83203125" style="316" customWidth="1"/>
    <col min="14599" max="14841" width="9.1640625" style="316"/>
    <col min="14842" max="14842" width="10.33203125" style="316" bestFit="1" customWidth="1"/>
    <col min="14843" max="14843" width="30.1640625" style="316" bestFit="1" customWidth="1"/>
    <col min="14844" max="14844" width="21" style="316" customWidth="1"/>
    <col min="14845" max="14846" width="13.5" style="316" customWidth="1"/>
    <col min="14847" max="14847" width="21.83203125" style="316" bestFit="1" customWidth="1"/>
    <col min="14848" max="14848" width="12" style="316" customWidth="1"/>
    <col min="14849" max="14849" width="11.5" style="316" bestFit="1" customWidth="1"/>
    <col min="14850" max="14850" width="13.5" style="316" customWidth="1"/>
    <col min="14851" max="14851" width="15.5" style="316" customWidth="1"/>
    <col min="14852" max="14853" width="18.5" style="316" customWidth="1"/>
    <col min="14854" max="14854" width="17.83203125" style="316" customWidth="1"/>
    <col min="14855" max="15097" width="9.1640625" style="316"/>
    <col min="15098" max="15098" width="10.33203125" style="316" bestFit="1" customWidth="1"/>
    <col min="15099" max="15099" width="30.1640625" style="316" bestFit="1" customWidth="1"/>
    <col min="15100" max="15100" width="21" style="316" customWidth="1"/>
    <col min="15101" max="15102" width="13.5" style="316" customWidth="1"/>
    <col min="15103" max="15103" width="21.83203125" style="316" bestFit="1" customWidth="1"/>
    <col min="15104" max="15104" width="12" style="316" customWidth="1"/>
    <col min="15105" max="15105" width="11.5" style="316" bestFit="1" customWidth="1"/>
    <col min="15106" max="15106" width="13.5" style="316" customWidth="1"/>
    <col min="15107" max="15107" width="15.5" style="316" customWidth="1"/>
    <col min="15108" max="15109" width="18.5" style="316" customWidth="1"/>
    <col min="15110" max="15110" width="17.83203125" style="316" customWidth="1"/>
    <col min="15111" max="15353" width="9.1640625" style="316"/>
    <col min="15354" max="15354" width="10.33203125" style="316" bestFit="1" customWidth="1"/>
    <col min="15355" max="15355" width="30.1640625" style="316" bestFit="1" customWidth="1"/>
    <col min="15356" max="15356" width="21" style="316" customWidth="1"/>
    <col min="15357" max="15358" width="13.5" style="316" customWidth="1"/>
    <col min="15359" max="15359" width="21.83203125" style="316" bestFit="1" customWidth="1"/>
    <col min="15360" max="15360" width="12" style="316" customWidth="1"/>
    <col min="15361" max="15361" width="11.5" style="316" bestFit="1" customWidth="1"/>
    <col min="15362" max="15362" width="13.5" style="316" customWidth="1"/>
    <col min="15363" max="15363" width="15.5" style="316" customWidth="1"/>
    <col min="15364" max="15365" width="18.5" style="316" customWidth="1"/>
    <col min="15366" max="15366" width="17.83203125" style="316" customWidth="1"/>
    <col min="15367" max="15609" width="9.1640625" style="316"/>
    <col min="15610" max="15610" width="10.33203125" style="316" bestFit="1" customWidth="1"/>
    <col min="15611" max="15611" width="30.1640625" style="316" bestFit="1" customWidth="1"/>
    <col min="15612" max="15612" width="21" style="316" customWidth="1"/>
    <col min="15613" max="15614" width="13.5" style="316" customWidth="1"/>
    <col min="15615" max="15615" width="21.83203125" style="316" bestFit="1" customWidth="1"/>
    <col min="15616" max="15616" width="12" style="316" customWidth="1"/>
    <col min="15617" max="15617" width="11.5" style="316" bestFit="1" customWidth="1"/>
    <col min="15618" max="15618" width="13.5" style="316" customWidth="1"/>
    <col min="15619" max="15619" width="15.5" style="316" customWidth="1"/>
    <col min="15620" max="15621" width="18.5" style="316" customWidth="1"/>
    <col min="15622" max="15622" width="17.83203125" style="316" customWidth="1"/>
    <col min="15623" max="15865" width="9.1640625" style="316"/>
    <col min="15866" max="15866" width="10.33203125" style="316" bestFit="1" customWidth="1"/>
    <col min="15867" max="15867" width="30.1640625" style="316" bestFit="1" customWidth="1"/>
    <col min="15868" max="15868" width="21" style="316" customWidth="1"/>
    <col min="15869" max="15870" width="13.5" style="316" customWidth="1"/>
    <col min="15871" max="15871" width="21.83203125" style="316" bestFit="1" customWidth="1"/>
    <col min="15872" max="15872" width="12" style="316" customWidth="1"/>
    <col min="15873" max="15873" width="11.5" style="316" bestFit="1" customWidth="1"/>
    <col min="15874" max="15874" width="13.5" style="316" customWidth="1"/>
    <col min="15875" max="15875" width="15.5" style="316" customWidth="1"/>
    <col min="15876" max="15877" width="18.5" style="316" customWidth="1"/>
    <col min="15878" max="15878" width="17.83203125" style="316" customWidth="1"/>
    <col min="15879" max="16121" width="9.1640625" style="316"/>
    <col min="16122" max="16122" width="10.33203125" style="316" bestFit="1" customWidth="1"/>
    <col min="16123" max="16123" width="30.1640625" style="316" bestFit="1" customWidth="1"/>
    <col min="16124" max="16124" width="21" style="316" customWidth="1"/>
    <col min="16125" max="16126" width="13.5" style="316" customWidth="1"/>
    <col min="16127" max="16127" width="21.83203125" style="316" bestFit="1" customWidth="1"/>
    <col min="16128" max="16128" width="12" style="316" customWidth="1"/>
    <col min="16129" max="16129" width="11.5" style="316" bestFit="1" customWidth="1"/>
    <col min="16130" max="16130" width="13.5" style="316" customWidth="1"/>
    <col min="16131" max="16131" width="15.5" style="316" customWidth="1"/>
    <col min="16132" max="16133" width="18.5" style="316" customWidth="1"/>
    <col min="16134" max="16134" width="17.83203125" style="316" customWidth="1"/>
    <col min="16135" max="16384" width="9.1640625" style="316"/>
  </cols>
  <sheetData>
    <row r="1" spans="1:8" ht="43.5" customHeight="1">
      <c r="A1" s="313" t="s">
        <v>38</v>
      </c>
      <c r="B1" s="185" t="s">
        <v>25</v>
      </c>
      <c r="C1" s="313" t="s">
        <v>26</v>
      </c>
      <c r="D1" s="314" t="s">
        <v>212</v>
      </c>
      <c r="E1" s="314" t="s">
        <v>213</v>
      </c>
      <c r="F1" s="313" t="s">
        <v>214</v>
      </c>
      <c r="G1" s="313" t="s">
        <v>173</v>
      </c>
      <c r="H1" s="315" t="s">
        <v>215</v>
      </c>
    </row>
    <row r="2" spans="1:8" ht="17">
      <c r="A2" s="308">
        <f>ROW()-1</f>
        <v>1</v>
      </c>
      <c r="B2" s="309" t="s">
        <v>176</v>
      </c>
      <c r="C2" s="254" t="s">
        <v>186</v>
      </c>
      <c r="D2" s="317"/>
      <c r="E2" s="310">
        <v>200000</v>
      </c>
      <c r="F2" s="311"/>
      <c r="G2" s="311"/>
      <c r="H2" s="318">
        <f>SUM(D2:G2)</f>
        <v>200000</v>
      </c>
    </row>
    <row r="3" spans="1:8" ht="17">
      <c r="A3" s="308">
        <f t="shared" ref="A3:A5" si="0">ROW()-1</f>
        <v>2</v>
      </c>
      <c r="B3" s="309" t="s">
        <v>177</v>
      </c>
      <c r="C3" s="254" t="s">
        <v>187</v>
      </c>
      <c r="D3" s="317"/>
      <c r="E3" s="310"/>
      <c r="F3" s="311">
        <v>2000000</v>
      </c>
      <c r="G3" s="311"/>
      <c r="H3" s="318">
        <f>SUM(D3:G3)</f>
        <v>2000000</v>
      </c>
    </row>
    <row r="4" spans="1:8" ht="17">
      <c r="A4" s="308">
        <f t="shared" si="0"/>
        <v>3</v>
      </c>
      <c r="B4" s="309" t="s">
        <v>158</v>
      </c>
      <c r="C4" s="254" t="s">
        <v>188</v>
      </c>
      <c r="D4" s="317"/>
      <c r="E4" s="310"/>
      <c r="F4" s="311"/>
      <c r="G4" s="311">
        <v>1000000</v>
      </c>
      <c r="H4" s="318">
        <f>SUM(D4:G4)</f>
        <v>1000000</v>
      </c>
    </row>
    <row r="5" spans="1:8" ht="17">
      <c r="A5" s="308">
        <f t="shared" si="0"/>
        <v>4</v>
      </c>
      <c r="B5" s="309" t="s">
        <v>159</v>
      </c>
      <c r="C5" s="254" t="s">
        <v>189</v>
      </c>
      <c r="D5" s="317">
        <v>500000</v>
      </c>
      <c r="E5" s="310"/>
      <c r="F5" s="311"/>
      <c r="G5" s="311">
        <v>750000</v>
      </c>
      <c r="H5" s="318">
        <f>SUM(D5:G5)</f>
        <v>1250000</v>
      </c>
    </row>
    <row r="6" spans="1:8" ht="23.25" customHeight="1">
      <c r="A6" s="308"/>
      <c r="B6" s="319"/>
      <c r="C6" s="319"/>
      <c r="D6" s="320">
        <f>SUM(D2:D5)</f>
        <v>500000</v>
      </c>
      <c r="E6" s="320">
        <f>SUM(E2:E5)</f>
        <v>200000</v>
      </c>
      <c r="F6" s="320">
        <f>SUM(F2:F5)</f>
        <v>2000000</v>
      </c>
      <c r="G6" s="320">
        <f>SUM(G2:G5)</f>
        <v>1750000</v>
      </c>
      <c r="H6" s="320">
        <f>SUM(H2:H5)</f>
        <v>4450000</v>
      </c>
    </row>
    <row r="7" spans="1:8" ht="16">
      <c r="A7" s="312"/>
    </row>
    <row r="8" spans="1:8" ht="23.25" customHeight="1">
      <c r="A8" s="312"/>
      <c r="C8" s="321"/>
    </row>
    <row r="9" spans="1:8" ht="16">
      <c r="A9" s="312"/>
    </row>
    <row r="10" spans="1:8" ht="16">
      <c r="A10" s="312"/>
    </row>
    <row r="11" spans="1:8" ht="16">
      <c r="A11" s="312"/>
    </row>
    <row r="12" spans="1:8" ht="16">
      <c r="A12" s="312"/>
    </row>
    <row r="13" spans="1:8" ht="16">
      <c r="A13" s="312"/>
    </row>
    <row r="14" spans="1:8" ht="16">
      <c r="A14" s="312"/>
    </row>
    <row r="15" spans="1:8" ht="16">
      <c r="A15" s="312"/>
    </row>
    <row r="16" spans="1:8" ht="16">
      <c r="A16" s="312"/>
    </row>
    <row r="17" spans="1:1" ht="16">
      <c r="A17" s="312"/>
    </row>
    <row r="18" spans="1:1" ht="16">
      <c r="A18" s="312"/>
    </row>
    <row r="19" spans="1:1" ht="16">
      <c r="A19" s="312"/>
    </row>
  </sheetData>
  <autoFilter ref="A1:H19" xr:uid="{00000000-0009-0000-0000-00001B000000}"/>
  <conditionalFormatting sqref="B2:B1048576">
    <cfRule type="duplicateValues" dxfId="35" priority="45"/>
    <cfRule type="duplicateValues" dxfId="34" priority="46"/>
    <cfRule type="duplicateValues" dxfId="33" priority="192581"/>
  </conditionalFormatting>
  <conditionalFormatting sqref="B2">
    <cfRule type="duplicateValues" dxfId="32" priority="1327433"/>
    <cfRule type="duplicateValues" dxfId="31" priority="1327434"/>
    <cfRule type="duplicateValues" dxfId="30" priority="1327435"/>
  </conditionalFormatting>
  <conditionalFormatting sqref="B2:B5">
    <cfRule type="duplicateValues" dxfId="29" priority="1327574"/>
    <cfRule type="duplicateValues" dxfId="28" priority="1327575"/>
    <cfRule type="duplicateValues" dxfId="27" priority="1327576"/>
    <cfRule type="duplicateValues" dxfId="26" priority="1327577"/>
    <cfRule type="duplicateValues" dxfId="25" priority="1327578"/>
    <cfRule type="duplicateValues" dxfId="24" priority="1327579"/>
    <cfRule type="duplicateValues" dxfId="23" priority="1327580"/>
    <cfRule type="duplicateValues" dxfId="22" priority="1327581"/>
    <cfRule type="duplicateValues" dxfId="21" priority="1327582"/>
    <cfRule type="duplicateValues" dxfId="20" priority="1327583" stopIfTrue="1"/>
    <cfRule type="duplicateValues" dxfId="19" priority="1327584" stopIfTrue="1"/>
    <cfRule type="duplicateValues" dxfId="18" priority="1327585" stopIfTrue="1"/>
    <cfRule type="duplicateValues" dxfId="17" priority="1327586" stopIfTrue="1"/>
    <cfRule type="duplicateValues" dxfId="16" priority="1327587" stopIfTrue="1"/>
    <cfRule type="duplicateValues" dxfId="15" priority="1327588" stopIfTrue="1"/>
    <cfRule type="duplicateValues" dxfId="14" priority="1327589"/>
  </conditionalFormatting>
  <conditionalFormatting sqref="B3:B5">
    <cfRule type="duplicateValues" dxfId="13" priority="1327590"/>
    <cfRule type="duplicateValues" dxfId="12" priority="1327591"/>
    <cfRule type="duplicateValues" dxfId="11" priority="1327592"/>
    <cfRule type="duplicateValues" dxfId="10" priority="1327593"/>
  </conditionalFormatting>
  <conditionalFormatting sqref="B6:B65157">
    <cfRule type="duplicateValues" dxfId="9" priority="167483" stopIfTrue="1"/>
    <cfRule type="duplicateValues" dxfId="8" priority="167484" stopIfTrue="1"/>
  </conditionalFormatting>
  <conditionalFormatting sqref="B6:B1048576">
    <cfRule type="duplicateValues" dxfId="7" priority="1276"/>
  </conditionalFormatting>
  <conditionalFormatting sqref="B1">
    <cfRule type="duplicateValues" dxfId="6" priority="4" stopIfTrue="1"/>
    <cfRule type="duplicateValues" dxfId="5" priority="5" stopIfTrue="1"/>
    <cfRule type="duplicateValues" dxfId="4" priority="6" stopIfTrue="1"/>
    <cfRule type="duplicateValues" dxfId="3" priority="7" stopIfTrue="1"/>
  </conditionalFormatting>
  <conditionalFormatting sqref="B1">
    <cfRule type="duplicateValues" dxfId="2" priority="1"/>
    <cfRule type="duplicateValues" dxfId="1" priority="2"/>
    <cfRule type="duplicateValues" dxfId="0" priority="3"/>
  </conditionalFormatting>
  <dataValidations count="1">
    <dataValidation allowBlank="1" showErrorMessage="1" sqref="B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HeadingPairs>
  <TitlesOfParts>
    <vt:vector size="29" baseType="lpstr">
      <vt:lpstr>Template Payroll</vt:lpstr>
      <vt:lpstr>PC cơm </vt:lpstr>
      <vt:lpstr>TimeTB 2</vt:lpstr>
      <vt:lpstr> TimeTB 1</vt:lpstr>
      <vt:lpstr>OT </vt:lpstr>
      <vt:lpstr>NS</vt:lpstr>
      <vt:lpstr>Incentive</vt:lpstr>
      <vt:lpstr>Others</vt:lpstr>
      <vt:lpstr>Benefit tính thuế</vt:lpstr>
      <vt:lpstr>Incentive!__xlnm._FilterDatabase</vt:lpstr>
      <vt:lpstr>NS!__xlnm._FilterDatabase</vt:lpstr>
      <vt:lpstr>'OT '!__xlnm._FilterDatabase</vt:lpstr>
      <vt:lpstr>Incentive!__xlnm.Print_Area</vt:lpstr>
      <vt:lpstr>Incentive!__xlnm.Print_Titles</vt:lpstr>
      <vt:lpstr>NS!__xlnm.Print_Titles</vt:lpstr>
      <vt:lpstr>'OT '!__xlnm.Print_Titles</vt:lpstr>
      <vt:lpstr>NS!ot_ID</vt:lpstr>
      <vt:lpstr>'OT '!ot_ID</vt:lpstr>
      <vt:lpstr>'OT '!ot_total</vt:lpstr>
      <vt:lpstr>'OT '!ot_untax</vt:lpstr>
      <vt:lpstr>Incentive!Print_Area</vt:lpstr>
      <vt:lpstr>'TimeTB 2'!Print_Area</vt:lpstr>
      <vt:lpstr>' TimeTB 1'!Print_Titles</vt:lpstr>
      <vt:lpstr>Incentive!Print_Titles</vt:lpstr>
      <vt:lpstr>NS!Print_Titles</vt:lpstr>
      <vt:lpstr>'OT '!Print_Titles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2026-01-03T08:42:43Z</dcterms:modified>
</cp:coreProperties>
</file>