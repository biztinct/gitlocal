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hared/AshAcerComputer/Thetbak/Ash/bizt/ZohoPayroll/"/>
    </mc:Choice>
  </mc:AlternateContent>
  <xr:revisionPtr revIDLastSave="0" documentId="13_ncr:1_{4683CF89-D50D-CA43-9364-5D6E35D0E403}" xr6:coauthVersionLast="47" xr6:coauthVersionMax="47" xr10:uidLastSave="{00000000-0000-0000-0000-000000000000}"/>
  <bookViews>
    <workbookView xWindow="0" yWindow="500" windowWidth="38400" windowHeight="21100" tabRatio="562" activeTab="1" xr2:uid="{00000000-000D-0000-FFFF-FFFF00000000}"/>
  </bookViews>
  <sheets>
    <sheet name="SHUI &amp; PIT" sheetId="6" r:id="rId1"/>
    <sheet name="SEVL" sheetId="1" r:id="rId2"/>
    <sheet name="Main" sheetId="11" r:id="rId3"/>
    <sheet name="CC" sheetId="13" state="hidden" r:id="rId4"/>
  </sheets>
  <externalReferences>
    <externalReference r:id="rId5"/>
    <externalReference r:id="rId6"/>
  </externalReferences>
  <definedNames>
    <definedName name="_xlnm._FilterDatabase" localSheetId="2" hidden="1">Main!$A$12:$CC$35</definedName>
    <definedName name="_xlnm._FilterDatabase" localSheetId="1" hidden="1">SEVL!$A$6:$CL$29</definedName>
    <definedName name="_xlnm.Print_Titles" localSheetId="2">Main!$11:$12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2" i="1" l="1"/>
  <c r="BY17" i="1"/>
  <c r="BS17" i="1"/>
  <c r="BC24" i="1"/>
  <c r="CJ12" i="1"/>
  <c r="BK12" i="1"/>
  <c r="T8" i="1"/>
  <c r="T9" i="1"/>
  <c r="T10" i="1"/>
  <c r="T11" i="1"/>
  <c r="T12" i="1"/>
  <c r="T13" i="1"/>
  <c r="T14" i="1"/>
  <c r="T15" i="1"/>
  <c r="T16" i="1"/>
  <c r="T17" i="1"/>
  <c r="T18" i="1"/>
  <c r="T20" i="1"/>
  <c r="T21" i="1"/>
  <c r="T22" i="1"/>
  <c r="T23" i="1"/>
  <c r="T25" i="1"/>
  <c r="T26" i="1"/>
  <c r="T27" i="1"/>
  <c r="T28" i="1"/>
  <c r="T29" i="1"/>
  <c r="T7" i="1"/>
  <c r="BU13" i="11"/>
  <c r="AO7" i="1" s="1"/>
  <c r="BV13" i="11"/>
  <c r="AP7" i="1" s="1"/>
  <c r="BW13" i="11"/>
  <c r="AQ7" i="1" s="1"/>
  <c r="BX13" i="11"/>
  <c r="AR7" i="1" s="1"/>
  <c r="BY13" i="11"/>
  <c r="AS7" i="1" s="1"/>
  <c r="BZ13" i="11"/>
  <c r="AT7" i="1" s="1"/>
  <c r="CA13" i="11"/>
  <c r="AU7" i="1" s="1"/>
  <c r="BU14" i="11"/>
  <c r="AO20" i="1" s="1"/>
  <c r="BV14" i="11"/>
  <c r="AP20" i="1" s="1"/>
  <c r="BW14" i="11"/>
  <c r="AQ20" i="1" s="1"/>
  <c r="BX14" i="11"/>
  <c r="AR20" i="1" s="1"/>
  <c r="BY14" i="11"/>
  <c r="AS20" i="1" s="1"/>
  <c r="BZ14" i="11"/>
  <c r="AT20" i="1" s="1"/>
  <c r="CA14" i="11"/>
  <c r="AU20" i="1" s="1"/>
  <c r="BU15" i="11"/>
  <c r="AO23" i="1" s="1"/>
  <c r="BV15" i="11"/>
  <c r="AP23" i="1" s="1"/>
  <c r="BW15" i="11"/>
  <c r="AQ23" i="1" s="1"/>
  <c r="BX15" i="11"/>
  <c r="AR23" i="1" s="1"/>
  <c r="BY15" i="11"/>
  <c r="AS23" i="1" s="1"/>
  <c r="BZ15" i="11"/>
  <c r="AT23" i="1" s="1"/>
  <c r="CA15" i="11"/>
  <c r="AU23" i="1" s="1"/>
  <c r="BU16" i="11"/>
  <c r="AO28" i="1" s="1"/>
  <c r="BV16" i="11"/>
  <c r="AP28" i="1" s="1"/>
  <c r="BW16" i="11"/>
  <c r="AQ28" i="1" s="1"/>
  <c r="BX16" i="11"/>
  <c r="AR28" i="1" s="1"/>
  <c r="BY16" i="11"/>
  <c r="AS28" i="1" s="1"/>
  <c r="BZ16" i="11"/>
  <c r="AT28" i="1" s="1"/>
  <c r="CA16" i="11"/>
  <c r="AU28" i="1" s="1"/>
  <c r="BU17" i="11"/>
  <c r="AO25" i="1" s="1"/>
  <c r="BV17" i="11"/>
  <c r="AP25" i="1" s="1"/>
  <c r="BW17" i="11"/>
  <c r="AQ25" i="1" s="1"/>
  <c r="BX17" i="11"/>
  <c r="AR25" i="1" s="1"/>
  <c r="BY17" i="11"/>
  <c r="AS25" i="1" s="1"/>
  <c r="BZ17" i="11"/>
  <c r="AT25" i="1" s="1"/>
  <c r="CA17" i="11"/>
  <c r="AU25" i="1" s="1"/>
  <c r="BU18" i="11"/>
  <c r="AO21" i="1" s="1"/>
  <c r="BV18" i="11"/>
  <c r="AP21" i="1" s="1"/>
  <c r="BW18" i="11"/>
  <c r="AQ21" i="1" s="1"/>
  <c r="BX18" i="11"/>
  <c r="AR21" i="1" s="1"/>
  <c r="BY18" i="11"/>
  <c r="AS21" i="1" s="1"/>
  <c r="BZ18" i="11"/>
  <c r="AT21" i="1" s="1"/>
  <c r="CA18" i="11"/>
  <c r="AU21" i="1" s="1"/>
  <c r="BU19" i="11"/>
  <c r="AO22" i="1" s="1"/>
  <c r="BV19" i="11"/>
  <c r="AP22" i="1" s="1"/>
  <c r="BW19" i="11"/>
  <c r="AQ22" i="1" s="1"/>
  <c r="BX19" i="11"/>
  <c r="AR22" i="1" s="1"/>
  <c r="BY19" i="11"/>
  <c r="AS22" i="1" s="1"/>
  <c r="BZ19" i="11"/>
  <c r="AT22" i="1" s="1"/>
  <c r="CA19" i="11"/>
  <c r="AU22" i="1" s="1"/>
  <c r="BU20" i="11"/>
  <c r="AO24" i="1" s="1"/>
  <c r="BV20" i="11"/>
  <c r="AP24" i="1" s="1"/>
  <c r="BW20" i="11"/>
  <c r="AQ24" i="1" s="1"/>
  <c r="BX20" i="11"/>
  <c r="AR24" i="1" s="1"/>
  <c r="BY20" i="11"/>
  <c r="AS24" i="1" s="1"/>
  <c r="BZ20" i="11"/>
  <c r="AT24" i="1" s="1"/>
  <c r="CA20" i="11"/>
  <c r="AU24" i="1" s="1"/>
  <c r="BU21" i="11"/>
  <c r="AO26" i="1" s="1"/>
  <c r="BV21" i="11"/>
  <c r="AP26" i="1" s="1"/>
  <c r="BW21" i="11"/>
  <c r="AQ26" i="1" s="1"/>
  <c r="BX21" i="11"/>
  <c r="AR26" i="1" s="1"/>
  <c r="BY21" i="11"/>
  <c r="AS26" i="1" s="1"/>
  <c r="BZ21" i="11"/>
  <c r="AT26" i="1" s="1"/>
  <c r="CA21" i="11"/>
  <c r="AU26" i="1" s="1"/>
  <c r="BU22" i="11"/>
  <c r="AO27" i="1" s="1"/>
  <c r="BV22" i="11"/>
  <c r="AP27" i="1" s="1"/>
  <c r="BW22" i="11"/>
  <c r="AQ27" i="1" s="1"/>
  <c r="BX22" i="11"/>
  <c r="AR27" i="1" s="1"/>
  <c r="BY22" i="11"/>
  <c r="AS27" i="1" s="1"/>
  <c r="BZ22" i="11"/>
  <c r="AT27" i="1" s="1"/>
  <c r="CA22" i="11"/>
  <c r="AU27" i="1" s="1"/>
  <c r="BU23" i="11"/>
  <c r="AO29" i="1" s="1"/>
  <c r="BV23" i="11"/>
  <c r="AP29" i="1" s="1"/>
  <c r="BW23" i="11"/>
  <c r="AQ29" i="1" s="1"/>
  <c r="BX23" i="11"/>
  <c r="AR29" i="1" s="1"/>
  <c r="BY23" i="11"/>
  <c r="AS29" i="1" s="1"/>
  <c r="BZ23" i="11"/>
  <c r="AT29" i="1" s="1"/>
  <c r="CA23" i="11"/>
  <c r="AU29" i="1" s="1"/>
  <c r="BU24" i="11"/>
  <c r="AO8" i="1" s="1"/>
  <c r="BV24" i="11"/>
  <c r="AP8" i="1" s="1"/>
  <c r="BW24" i="11"/>
  <c r="AQ8" i="1" s="1"/>
  <c r="BX24" i="11"/>
  <c r="AR8" i="1" s="1"/>
  <c r="BY24" i="11"/>
  <c r="AS8" i="1" s="1"/>
  <c r="BZ24" i="11"/>
  <c r="AT8" i="1" s="1"/>
  <c r="CA24" i="11"/>
  <c r="AU8" i="1" s="1"/>
  <c r="BU25" i="11"/>
  <c r="AO9" i="1" s="1"/>
  <c r="BV25" i="11"/>
  <c r="AP9" i="1" s="1"/>
  <c r="BW25" i="11"/>
  <c r="AQ9" i="1" s="1"/>
  <c r="BX25" i="11"/>
  <c r="AR9" i="1" s="1"/>
  <c r="BY25" i="11"/>
  <c r="AS9" i="1" s="1"/>
  <c r="BZ25" i="11"/>
  <c r="AT9" i="1" s="1"/>
  <c r="CA25" i="11"/>
  <c r="AU9" i="1" s="1"/>
  <c r="BU26" i="11"/>
  <c r="AO10" i="1" s="1"/>
  <c r="BV26" i="11"/>
  <c r="AP10" i="1" s="1"/>
  <c r="BW26" i="11"/>
  <c r="AQ10" i="1" s="1"/>
  <c r="BX26" i="11"/>
  <c r="AR10" i="1" s="1"/>
  <c r="BY26" i="11"/>
  <c r="AS10" i="1" s="1"/>
  <c r="BZ26" i="11"/>
  <c r="AT10" i="1" s="1"/>
  <c r="CA26" i="11"/>
  <c r="AU10" i="1" s="1"/>
  <c r="BU27" i="11"/>
  <c r="AO11" i="1" s="1"/>
  <c r="BV27" i="11"/>
  <c r="AP11" i="1" s="1"/>
  <c r="BW27" i="11"/>
  <c r="AQ11" i="1" s="1"/>
  <c r="BX27" i="11"/>
  <c r="AR11" i="1" s="1"/>
  <c r="BY27" i="11"/>
  <c r="AS11" i="1" s="1"/>
  <c r="BZ27" i="11"/>
  <c r="AT11" i="1" s="1"/>
  <c r="CA27" i="11"/>
  <c r="AU11" i="1" s="1"/>
  <c r="BU28" i="11"/>
  <c r="AO12" i="1" s="1"/>
  <c r="BV28" i="11"/>
  <c r="AP12" i="1" s="1"/>
  <c r="BW28" i="11"/>
  <c r="AQ12" i="1" s="1"/>
  <c r="BX28" i="11"/>
  <c r="AR12" i="1" s="1"/>
  <c r="BY28" i="11"/>
  <c r="AS12" i="1" s="1"/>
  <c r="BZ28" i="11"/>
  <c r="AT12" i="1" s="1"/>
  <c r="CA28" i="11"/>
  <c r="AU12" i="1" s="1"/>
  <c r="BU29" i="11"/>
  <c r="AO13" i="1" s="1"/>
  <c r="BV29" i="11"/>
  <c r="AP13" i="1" s="1"/>
  <c r="BW29" i="11"/>
  <c r="AQ13" i="1" s="1"/>
  <c r="BX29" i="11"/>
  <c r="AR13" i="1" s="1"/>
  <c r="BY29" i="11"/>
  <c r="AS13" i="1" s="1"/>
  <c r="BZ29" i="11"/>
  <c r="AT13" i="1" s="1"/>
  <c r="CA29" i="11"/>
  <c r="AU13" i="1" s="1"/>
  <c r="BU30" i="11"/>
  <c r="AO14" i="1" s="1"/>
  <c r="BV30" i="11"/>
  <c r="AP14" i="1" s="1"/>
  <c r="BW30" i="11"/>
  <c r="AQ14" i="1" s="1"/>
  <c r="BX30" i="11"/>
  <c r="AR14" i="1" s="1"/>
  <c r="BY30" i="11"/>
  <c r="AS14" i="1" s="1"/>
  <c r="BZ30" i="11"/>
  <c r="AT14" i="1" s="1"/>
  <c r="CA30" i="11"/>
  <c r="AU14" i="1" s="1"/>
  <c r="BU31" i="11"/>
  <c r="AO15" i="1" s="1"/>
  <c r="BV31" i="11"/>
  <c r="AP15" i="1" s="1"/>
  <c r="BW31" i="11"/>
  <c r="AQ15" i="1" s="1"/>
  <c r="BX31" i="11"/>
  <c r="AR15" i="1" s="1"/>
  <c r="BY31" i="11"/>
  <c r="AS15" i="1" s="1"/>
  <c r="BZ31" i="11"/>
  <c r="AT15" i="1" s="1"/>
  <c r="CA31" i="11"/>
  <c r="AU15" i="1" s="1"/>
  <c r="BU32" i="11"/>
  <c r="AO16" i="1" s="1"/>
  <c r="BV32" i="11"/>
  <c r="AP16" i="1" s="1"/>
  <c r="BW32" i="11"/>
  <c r="AQ16" i="1" s="1"/>
  <c r="BX32" i="11"/>
  <c r="AR16" i="1" s="1"/>
  <c r="BY32" i="11"/>
  <c r="AS16" i="1" s="1"/>
  <c r="BZ32" i="11"/>
  <c r="AT16" i="1" s="1"/>
  <c r="CA32" i="11"/>
  <c r="AU16" i="1" s="1"/>
  <c r="BU33" i="11"/>
  <c r="AO17" i="1" s="1"/>
  <c r="BV33" i="11"/>
  <c r="AP17" i="1" s="1"/>
  <c r="BW33" i="11"/>
  <c r="AQ17" i="1" s="1"/>
  <c r="BX33" i="11"/>
  <c r="AR17" i="1" s="1"/>
  <c r="BY33" i="11"/>
  <c r="AS17" i="1" s="1"/>
  <c r="BZ33" i="11"/>
  <c r="AT17" i="1" s="1"/>
  <c r="CA33" i="11"/>
  <c r="AU17" i="1" s="1"/>
  <c r="BU34" i="11"/>
  <c r="AO18" i="1" s="1"/>
  <c r="BV34" i="11"/>
  <c r="AP18" i="1" s="1"/>
  <c r="BW34" i="11"/>
  <c r="AQ18" i="1" s="1"/>
  <c r="BX34" i="11"/>
  <c r="AR18" i="1" s="1"/>
  <c r="BY34" i="11"/>
  <c r="AS18" i="1" s="1"/>
  <c r="BZ34" i="11"/>
  <c r="AT18" i="1" s="1"/>
  <c r="CA34" i="11"/>
  <c r="AU18" i="1" s="1"/>
  <c r="BU35" i="11"/>
  <c r="AO19" i="1" s="1"/>
  <c r="BV35" i="11"/>
  <c r="AP19" i="1" s="1"/>
  <c r="BW35" i="11"/>
  <c r="AQ19" i="1" s="1"/>
  <c r="BX35" i="11"/>
  <c r="AR19" i="1" s="1"/>
  <c r="BY35" i="11"/>
  <c r="AS19" i="1" s="1"/>
  <c r="BZ35" i="11"/>
  <c r="AT19" i="1" s="1"/>
  <c r="CA35" i="11"/>
  <c r="AU19" i="1" s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AP4" i="1" l="1"/>
  <c r="AQ4" i="1"/>
  <c r="AU4" i="1"/>
  <c r="AR4" i="1"/>
  <c r="AO4" i="1"/>
  <c r="AS4" i="1"/>
  <c r="AT4" i="1"/>
  <c r="BZ10" i="11"/>
  <c r="BY10" i="11"/>
  <c r="BW10" i="11"/>
  <c r="BV10" i="11"/>
  <c r="BX10" i="11"/>
  <c r="BU10" i="11"/>
  <c r="CA10" i="11"/>
  <c r="CF7" i="1"/>
  <c r="CF4" i="1" l="1"/>
  <c r="BR15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BP15" i="1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J24" i="1"/>
  <c r="T24" i="1" s="1"/>
  <c r="X19" i="1" l="1"/>
  <c r="BM28" i="1"/>
  <c r="BQ13" i="11"/>
  <c r="BQ14" i="11"/>
  <c r="BQ15" i="11"/>
  <c r="BQ16" i="11"/>
  <c r="BQ17" i="11"/>
  <c r="BQ18" i="11"/>
  <c r="BQ19" i="11"/>
  <c r="BQ20" i="11"/>
  <c r="BQ21" i="11"/>
  <c r="BQ22" i="11"/>
  <c r="BQ23" i="11"/>
  <c r="BQ24" i="11"/>
  <c r="BQ25" i="11"/>
  <c r="BQ26" i="11"/>
  <c r="BQ27" i="11"/>
  <c r="BQ28" i="11"/>
  <c r="BQ29" i="11"/>
  <c r="BQ30" i="11"/>
  <c r="BQ31" i="11"/>
  <c r="BQ32" i="11"/>
  <c r="BQ33" i="11"/>
  <c r="BQ34" i="11"/>
  <c r="BQ35" i="11"/>
  <c r="BP13" i="11"/>
  <c r="BP14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P33" i="11"/>
  <c r="BP34" i="11"/>
  <c r="BP35" i="11"/>
  <c r="N29" i="1" l="1"/>
  <c r="N20" i="1"/>
  <c r="N12" i="1"/>
  <c r="N9" i="1"/>
  <c r="N8" i="1"/>
  <c r="N28" i="1"/>
  <c r="N19" i="1"/>
  <c r="N13" i="1"/>
  <c r="N22" i="1"/>
  <c r="N10" i="1"/>
  <c r="N21" i="1"/>
  <c r="N18" i="1"/>
  <c r="N27" i="1"/>
  <c r="N17" i="1"/>
  <c r="N15" i="1"/>
  <c r="N16" i="1"/>
  <c r="N26" i="1"/>
  <c r="N14" i="1"/>
  <c r="N11" i="1"/>
  <c r="N24" i="1"/>
  <c r="N25" i="1"/>
  <c r="N23" i="1"/>
  <c r="AH6" i="1"/>
  <c r="BO13" i="11"/>
  <c r="BS13" i="11" s="1"/>
  <c r="BO14" i="11"/>
  <c r="BS14" i="11" s="1"/>
  <c r="BO15" i="11"/>
  <c r="BS15" i="11" s="1"/>
  <c r="BO16" i="11"/>
  <c r="BS16" i="11" s="1"/>
  <c r="BO17" i="11"/>
  <c r="BS17" i="11" s="1"/>
  <c r="BO18" i="11"/>
  <c r="BS18" i="11" s="1"/>
  <c r="BO19" i="11"/>
  <c r="BS19" i="11" s="1"/>
  <c r="BO20" i="11"/>
  <c r="BS20" i="11" s="1"/>
  <c r="BO21" i="11"/>
  <c r="BS21" i="11" s="1"/>
  <c r="BO22" i="11"/>
  <c r="BS22" i="11" s="1"/>
  <c r="BO23" i="11"/>
  <c r="BS23" i="11" s="1"/>
  <c r="BO24" i="11"/>
  <c r="BS24" i="11" s="1"/>
  <c r="BO25" i="11"/>
  <c r="BS25" i="11" s="1"/>
  <c r="BO26" i="11"/>
  <c r="BS26" i="11" s="1"/>
  <c r="BO27" i="11"/>
  <c r="BS27" i="11" s="1"/>
  <c r="BO28" i="11"/>
  <c r="BS28" i="11" s="1"/>
  <c r="BO29" i="11"/>
  <c r="BS29" i="11" s="1"/>
  <c r="BO30" i="11"/>
  <c r="BS30" i="11" s="1"/>
  <c r="BO31" i="11"/>
  <c r="BS31" i="11" s="1"/>
  <c r="BO32" i="11"/>
  <c r="BS32" i="11" s="1"/>
  <c r="BO33" i="11"/>
  <c r="BS33" i="11" s="1"/>
  <c r="BO34" i="11"/>
  <c r="BS34" i="11" s="1"/>
  <c r="BO35" i="11"/>
  <c r="BS35" i="11" s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28" i="1"/>
  <c r="D29" i="1"/>
  <c r="D7" i="1"/>
  <c r="M7" i="1"/>
  <c r="G6" i="1"/>
  <c r="H6" i="1"/>
  <c r="K6" i="1"/>
  <c r="L6" i="1"/>
  <c r="W6" i="1"/>
  <c r="X6" i="1"/>
  <c r="Y6" i="1"/>
  <c r="Z6" i="1"/>
  <c r="AA6" i="1"/>
  <c r="AB6" i="1"/>
  <c r="AC6" i="1"/>
  <c r="AD6" i="1"/>
  <c r="AE6" i="1"/>
  <c r="AF6" i="1"/>
  <c r="AG6" i="1"/>
  <c r="AI6" i="1"/>
  <c r="AJ6" i="1"/>
  <c r="AK6" i="1"/>
  <c r="AL6" i="1"/>
  <c r="AM6" i="1"/>
  <c r="AN6" i="1"/>
  <c r="BE6" i="1"/>
  <c r="BF6" i="1"/>
  <c r="BQ6" i="1"/>
  <c r="BR6" i="1"/>
  <c r="BX6" i="1"/>
  <c r="CF6" i="1"/>
  <c r="CI6" i="1"/>
  <c r="F6" i="1"/>
  <c r="J6" i="1"/>
  <c r="V7" i="1" l="1"/>
  <c r="R7" i="1"/>
  <c r="R28" i="1"/>
  <c r="V28" i="1"/>
  <c r="R16" i="1"/>
  <c r="V16" i="1"/>
  <c r="R12" i="1"/>
  <c r="V12" i="1"/>
  <c r="R27" i="1"/>
  <c r="V27" i="1"/>
  <c r="R13" i="1"/>
  <c r="V13" i="1"/>
  <c r="R11" i="1"/>
  <c r="V11" i="1"/>
  <c r="R20" i="1"/>
  <c r="V20" i="1"/>
  <c r="R17" i="1"/>
  <c r="V17" i="1"/>
  <c r="R26" i="1"/>
  <c r="V26" i="1"/>
  <c r="R10" i="1"/>
  <c r="V10" i="1"/>
  <c r="R18" i="1"/>
  <c r="V18" i="1"/>
  <c r="R29" i="1"/>
  <c r="V29" i="1"/>
  <c r="R9" i="1"/>
  <c r="V9" i="1"/>
  <c r="V19" i="1"/>
  <c r="R19" i="1"/>
  <c r="R24" i="1"/>
  <c r="V24" i="1"/>
  <c r="R8" i="1"/>
  <c r="V8" i="1"/>
  <c r="R25" i="1"/>
  <c r="V25" i="1"/>
  <c r="R23" i="1"/>
  <c r="V23" i="1"/>
  <c r="R15" i="1"/>
  <c r="V15" i="1"/>
  <c r="R22" i="1"/>
  <c r="V22" i="1"/>
  <c r="R21" i="1"/>
  <c r="V21" i="1"/>
  <c r="R14" i="1"/>
  <c r="V14" i="1"/>
  <c r="AR12" i="11" l="1"/>
  <c r="AQ12" i="11"/>
  <c r="AP12" i="11"/>
  <c r="AO12" i="11"/>
  <c r="AN12" i="11"/>
  <c r="AM12" i="11"/>
  <c r="AL12" i="11"/>
  <c r="AK12" i="11"/>
  <c r="AJ12" i="11"/>
  <c r="AR11" i="11"/>
  <c r="AQ11" i="11"/>
  <c r="AP11" i="11"/>
  <c r="AO11" i="11"/>
  <c r="AN11" i="11"/>
  <c r="AM11" i="11"/>
  <c r="AL11" i="11"/>
  <c r="AK11" i="11"/>
  <c r="AJ11" i="11"/>
  <c r="BR35" i="11" l="1"/>
  <c r="BR34" i="11"/>
  <c r="BR33" i="11"/>
  <c r="BT33" i="11"/>
  <c r="BR32" i="11"/>
  <c r="BT32" i="11"/>
  <c r="BR31" i="11"/>
  <c r="BT31" i="11"/>
  <c r="BR30" i="11"/>
  <c r="BT30" i="11"/>
  <c r="BR29" i="11"/>
  <c r="BT29" i="11"/>
  <c r="BR28" i="11"/>
  <c r="BR27" i="11"/>
  <c r="BR26" i="11"/>
  <c r="BT26" i="11"/>
  <c r="BR25" i="11"/>
  <c r="BR24" i="11"/>
  <c r="BR23" i="11"/>
  <c r="BT23" i="11"/>
  <c r="BR22" i="11"/>
  <c r="BT22" i="11"/>
  <c r="BR21" i="11"/>
  <c r="BR20" i="11"/>
  <c r="BR19" i="11"/>
  <c r="BR18" i="11"/>
  <c r="BT18" i="11"/>
  <c r="BR17" i="11"/>
  <c r="BT17" i="11"/>
  <c r="BR16" i="11"/>
  <c r="BT16" i="11"/>
  <c r="BT15" i="11"/>
  <c r="BR14" i="11"/>
  <c r="BT14" i="11"/>
  <c r="BR13" i="11"/>
  <c r="BT13" i="11"/>
  <c r="CG29" i="1"/>
  <c r="BL29" i="1"/>
  <c r="BK29" i="1"/>
  <c r="BP29" i="1"/>
  <c r="CG28" i="1"/>
  <c r="BK28" i="1"/>
  <c r="BP28" i="1"/>
  <c r="CG27" i="1"/>
  <c r="BL27" i="1"/>
  <c r="BK27" i="1"/>
  <c r="BP27" i="1"/>
  <c r="CG26" i="1"/>
  <c r="BL26" i="1"/>
  <c r="BK26" i="1"/>
  <c r="BP26" i="1"/>
  <c r="CC26" i="1"/>
  <c r="BI26" i="1" s="1"/>
  <c r="CG25" i="1"/>
  <c r="BL25" i="1"/>
  <c r="BK25" i="1"/>
  <c r="BP25" i="1"/>
  <c r="CG24" i="1"/>
  <c r="BL24" i="1"/>
  <c r="BK24" i="1"/>
  <c r="BP24" i="1"/>
  <c r="CG23" i="1"/>
  <c r="BL23" i="1"/>
  <c r="BK23" i="1"/>
  <c r="BP23" i="1"/>
  <c r="CC23" i="1"/>
  <c r="CG22" i="1"/>
  <c r="BL22" i="1"/>
  <c r="BK22" i="1"/>
  <c r="BP22" i="1"/>
  <c r="CG21" i="1"/>
  <c r="BL21" i="1"/>
  <c r="BK21" i="1"/>
  <c r="BP21" i="1"/>
  <c r="CG20" i="1"/>
  <c r="BL20" i="1"/>
  <c r="BK20" i="1"/>
  <c r="BP20" i="1"/>
  <c r="CC20" i="1"/>
  <c r="BW20" i="1" s="1"/>
  <c r="CG19" i="1"/>
  <c r="BL19" i="1"/>
  <c r="BP19" i="1"/>
  <c r="CG18" i="1"/>
  <c r="BL18" i="1"/>
  <c r="BK18" i="1"/>
  <c r="BP18" i="1"/>
  <c r="CG17" i="1"/>
  <c r="BL17" i="1"/>
  <c r="BK17" i="1"/>
  <c r="BP17" i="1"/>
  <c r="CG16" i="1"/>
  <c r="BL16" i="1"/>
  <c r="BK16" i="1"/>
  <c r="BP16" i="1"/>
  <c r="CC16" i="1"/>
  <c r="BW16" i="1" s="1"/>
  <c r="CG15" i="1"/>
  <c r="BL15" i="1"/>
  <c r="BK15" i="1"/>
  <c r="BP15" i="1"/>
  <c r="CG14" i="1"/>
  <c r="BL14" i="1"/>
  <c r="BK14" i="1"/>
  <c r="BP14" i="1"/>
  <c r="CG13" i="1"/>
  <c r="BL13" i="1"/>
  <c r="BK13" i="1"/>
  <c r="BP13" i="1"/>
  <c r="CG12" i="1"/>
  <c r="BL12" i="1"/>
  <c r="BP12" i="1"/>
  <c r="CG11" i="1"/>
  <c r="BL11" i="1"/>
  <c r="BK11" i="1"/>
  <c r="BP11" i="1"/>
  <c r="CG10" i="1"/>
  <c r="BL10" i="1"/>
  <c r="BK10" i="1"/>
  <c r="BP10" i="1"/>
  <c r="CG9" i="1"/>
  <c r="BL9" i="1"/>
  <c r="BK9" i="1"/>
  <c r="BP9" i="1"/>
  <c r="CC9" i="1"/>
  <c r="CG8" i="1"/>
  <c r="BL8" i="1"/>
  <c r="BK8" i="1"/>
  <c r="BP8" i="1"/>
  <c r="CG7" i="1"/>
  <c r="BL7" i="1"/>
  <c r="BK7" i="1"/>
  <c r="BP7" i="1"/>
  <c r="BX4" i="1"/>
  <c r="BR4" i="1"/>
  <c r="BQ4" i="1"/>
  <c r="BF4" i="1"/>
  <c r="BE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W4" i="1"/>
  <c r="H4" i="1"/>
  <c r="G4" i="1"/>
  <c r="F4" i="1"/>
  <c r="BI2" i="1"/>
  <c r="H29" i="6"/>
  <c r="H27" i="6" s="1"/>
  <c r="G29" i="6"/>
  <c r="G27" i="6" s="1"/>
  <c r="F29" i="6"/>
  <c r="F27" i="6" s="1"/>
  <c r="E29" i="6"/>
  <c r="E27" i="6" s="1"/>
  <c r="D29" i="6"/>
  <c r="D27" i="6" s="1"/>
  <c r="H28" i="6"/>
  <c r="G28" i="6"/>
  <c r="F28" i="6"/>
  <c r="E28" i="6"/>
  <c r="D28" i="6"/>
  <c r="H21" i="6"/>
  <c r="H19" i="6" s="1"/>
  <c r="G21" i="6"/>
  <c r="G19" i="6" s="1"/>
  <c r="F21" i="6"/>
  <c r="F19" i="6" s="1"/>
  <c r="E21" i="6"/>
  <c r="E19" i="6" s="1"/>
  <c r="D21" i="6"/>
  <c r="D19" i="6" s="1"/>
  <c r="H20" i="6"/>
  <c r="G20" i="6"/>
  <c r="F20" i="6"/>
  <c r="E20" i="6"/>
  <c r="D20" i="6"/>
  <c r="C13" i="6"/>
  <c r="C12" i="6"/>
  <c r="BM22" i="1" l="1"/>
  <c r="BM27" i="1"/>
  <c r="BM29" i="1"/>
  <c r="BM18" i="1"/>
  <c r="BM10" i="1"/>
  <c r="BM16" i="1"/>
  <c r="BM7" i="1"/>
  <c r="BM20" i="1"/>
  <c r="BM8" i="1"/>
  <c r="BM23" i="1"/>
  <c r="BM11" i="1"/>
  <c r="BM15" i="1"/>
  <c r="BM19" i="1"/>
  <c r="BM25" i="1"/>
  <c r="BM17" i="1"/>
  <c r="BM21" i="1"/>
  <c r="BM26" i="1"/>
  <c r="BM24" i="1"/>
  <c r="BM9" i="1"/>
  <c r="BM12" i="1"/>
  <c r="BM13" i="1"/>
  <c r="BM14" i="1"/>
  <c r="O9" i="1"/>
  <c r="O21" i="1"/>
  <c r="O14" i="1"/>
  <c r="O18" i="1"/>
  <c r="O15" i="1"/>
  <c r="O10" i="1"/>
  <c r="O13" i="1"/>
  <c r="O22" i="1"/>
  <c r="O11" i="1"/>
  <c r="O19" i="1"/>
  <c r="O8" i="1"/>
  <c r="O27" i="1"/>
  <c r="O29" i="1"/>
  <c r="O28" i="1"/>
  <c r="O25" i="1"/>
  <c r="O20" i="1"/>
  <c r="O23" i="1"/>
  <c r="O12" i="1"/>
  <c r="O26" i="1"/>
  <c r="O24" i="1"/>
  <c r="O16" i="1"/>
  <c r="O17" i="1"/>
  <c r="BT21" i="11"/>
  <c r="BT24" i="11"/>
  <c r="BT25" i="11"/>
  <c r="BT34" i="11"/>
  <c r="N7" i="1"/>
  <c r="BT27" i="11"/>
  <c r="BT28" i="11"/>
  <c r="BT35" i="11"/>
  <c r="BT19" i="11"/>
  <c r="BT20" i="11"/>
  <c r="O7" i="1"/>
  <c r="BP6" i="1"/>
  <c r="AR6" i="1"/>
  <c r="AT6" i="1"/>
  <c r="AU6" i="1"/>
  <c r="CG6" i="1"/>
  <c r="AS6" i="1"/>
  <c r="AP6" i="1"/>
  <c r="AQ6" i="1"/>
  <c r="AO6" i="1"/>
  <c r="BK6" i="1"/>
  <c r="BL6" i="1"/>
  <c r="P23" i="1"/>
  <c r="P25" i="1"/>
  <c r="P24" i="1"/>
  <c r="P26" i="1"/>
  <c r="P21" i="1"/>
  <c r="P22" i="1"/>
  <c r="BB8" i="1"/>
  <c r="AV27" i="1"/>
  <c r="CH15" i="1"/>
  <c r="AZ12" i="1"/>
  <c r="AX16" i="1"/>
  <c r="AY9" i="1"/>
  <c r="AV13" i="1"/>
  <c r="AZ28" i="1"/>
  <c r="AV14" i="1"/>
  <c r="AW7" i="1"/>
  <c r="AY19" i="1"/>
  <c r="AZ10" i="1"/>
  <c r="P29" i="1"/>
  <c r="P20" i="1"/>
  <c r="P11" i="1"/>
  <c r="Z4" i="1"/>
  <c r="X4" i="1"/>
  <c r="AW29" i="1"/>
  <c r="AW24" i="1"/>
  <c r="CH20" i="1"/>
  <c r="BA18" i="1"/>
  <c r="BB18" i="1"/>
  <c r="AW22" i="1"/>
  <c r="CB26" i="1"/>
  <c r="BG26" i="1" s="1"/>
  <c r="AX29" i="1"/>
  <c r="AV29" i="1"/>
  <c r="CC18" i="1"/>
  <c r="BW18" i="1" s="1"/>
  <c r="CB18" i="1"/>
  <c r="BG18" i="1" s="1"/>
  <c r="CH12" i="1"/>
  <c r="CB23" i="1"/>
  <c r="BU23" i="1" s="1"/>
  <c r="BZ23" i="1" s="1"/>
  <c r="BA20" i="1"/>
  <c r="BB24" i="1"/>
  <c r="CH24" i="1"/>
  <c r="BA24" i="1"/>
  <c r="AY24" i="1"/>
  <c r="BW26" i="1"/>
  <c r="CH29" i="1"/>
  <c r="CC27" i="1"/>
  <c r="BW27" i="1" s="1"/>
  <c r="CB27" i="1"/>
  <c r="BH27" i="1" s="1"/>
  <c r="CC15" i="1"/>
  <c r="BW15" i="1" s="1"/>
  <c r="CB15" i="1"/>
  <c r="AX11" i="1"/>
  <c r="AV11" i="1"/>
  <c r="AY21" i="1"/>
  <c r="AX21" i="1"/>
  <c r="AW21" i="1"/>
  <c r="BA21" i="1"/>
  <c r="BI20" i="1"/>
  <c r="CD17" i="1"/>
  <c r="BB17" i="1"/>
  <c r="BK4" i="1"/>
  <c r="CC22" i="1"/>
  <c r="BI22" i="1" s="1"/>
  <c r="CB22" i="1"/>
  <c r="BV22" i="1" s="1"/>
  <c r="CC25" i="1"/>
  <c r="CB25" i="1"/>
  <c r="CC10" i="1"/>
  <c r="CB10" i="1"/>
  <c r="BV10" i="1" s="1"/>
  <c r="CD18" i="1"/>
  <c r="CH18" i="1"/>
  <c r="AZ20" i="1"/>
  <c r="AX20" i="1"/>
  <c r="AY20" i="1"/>
  <c r="BI16" i="1"/>
  <c r="CD20" i="1"/>
  <c r="CH19" i="1"/>
  <c r="BW9" i="1"/>
  <c r="BI9" i="1"/>
  <c r="CC8" i="1"/>
  <c r="CB8" i="1"/>
  <c r="CC13" i="1"/>
  <c r="CB13" i="1"/>
  <c r="CC14" i="1"/>
  <c r="CB14" i="1"/>
  <c r="AX25" i="1"/>
  <c r="CH25" i="1"/>
  <c r="BB25" i="1"/>
  <c r="AW25" i="1"/>
  <c r="AV25" i="1"/>
  <c r="CD25" i="1"/>
  <c r="BA25" i="1"/>
  <c r="AZ25" i="1"/>
  <c r="AY25" i="1"/>
  <c r="AW11" i="1"/>
  <c r="BL4" i="1"/>
  <c r="CC7" i="1"/>
  <c r="CB7" i="1"/>
  <c r="Y4" i="1"/>
  <c r="CD24" i="1"/>
  <c r="AV24" i="1"/>
  <c r="CC11" i="1"/>
  <c r="CB11" i="1"/>
  <c r="CG4" i="1"/>
  <c r="CB9" i="1"/>
  <c r="L27" i="6"/>
  <c r="L29" i="6"/>
  <c r="BP4" i="1"/>
  <c r="CC12" i="1"/>
  <c r="CB12" i="1"/>
  <c r="BB11" i="1"/>
  <c r="CD11" i="1"/>
  <c r="BA11" i="1"/>
  <c r="AZ11" i="1"/>
  <c r="AY11" i="1"/>
  <c r="CH11" i="1"/>
  <c r="AX26" i="1"/>
  <c r="BB26" i="1"/>
  <c r="BA26" i="1"/>
  <c r="CD26" i="1"/>
  <c r="AZ26" i="1"/>
  <c r="AY26" i="1"/>
  <c r="AW26" i="1"/>
  <c r="AV26" i="1"/>
  <c r="CH26" i="1"/>
  <c r="AX27" i="1"/>
  <c r="CD27" i="1"/>
  <c r="BA27" i="1"/>
  <c r="AY27" i="1"/>
  <c r="L20" i="6"/>
  <c r="AV18" i="1"/>
  <c r="AZ18" i="1"/>
  <c r="AY18" i="1"/>
  <c r="AX18" i="1"/>
  <c r="AW18" i="1"/>
  <c r="CC24" i="1"/>
  <c r="CB24" i="1"/>
  <c r="CD21" i="1"/>
  <c r="AV21" i="1"/>
  <c r="BW23" i="1"/>
  <c r="BI23" i="1"/>
  <c r="L28" i="6"/>
  <c r="CB16" i="1"/>
  <c r="BB20" i="1"/>
  <c r="AZ17" i="1"/>
  <c r="AY17" i="1"/>
  <c r="AX17" i="1"/>
  <c r="AV17" i="1"/>
  <c r="AW17" i="1"/>
  <c r="CH17" i="1"/>
  <c r="CC17" i="1"/>
  <c r="CB17" i="1"/>
  <c r="BA17" i="1"/>
  <c r="BA28" i="1"/>
  <c r="AX23" i="1"/>
  <c r="CC21" i="1"/>
  <c r="CB21" i="1"/>
  <c r="CB20" i="1"/>
  <c r="CH21" i="1"/>
  <c r="AZ21" i="1"/>
  <c r="BB21" i="1"/>
  <c r="AV22" i="1"/>
  <c r="AW23" i="1"/>
  <c r="AZ22" i="1"/>
  <c r="CH22" i="1"/>
  <c r="BA22" i="1"/>
  <c r="AY22" i="1"/>
  <c r="CD22" i="1"/>
  <c r="AX22" i="1"/>
  <c r="BB22" i="1"/>
  <c r="AV23" i="1"/>
  <c r="CH23" i="1"/>
  <c r="BA23" i="1"/>
  <c r="AZ23" i="1"/>
  <c r="CD23" i="1"/>
  <c r="AY23" i="1"/>
  <c r="BB23" i="1"/>
  <c r="AV20" i="1"/>
  <c r="AX24" i="1"/>
  <c r="AW20" i="1"/>
  <c r="CC29" i="1"/>
  <c r="CB29" i="1"/>
  <c r="AZ24" i="1"/>
  <c r="CC28" i="1"/>
  <c r="CB28" i="1"/>
  <c r="BB29" i="1"/>
  <c r="CD29" i="1"/>
  <c r="BA29" i="1"/>
  <c r="AZ29" i="1"/>
  <c r="AY29" i="1"/>
  <c r="L19" i="6"/>
  <c r="L21" i="6"/>
  <c r="BM4" i="1" l="1"/>
  <c r="BM6" i="1"/>
  <c r="U25" i="1"/>
  <c r="S25" i="1"/>
  <c r="Q25" i="1"/>
  <c r="Q27" i="1"/>
  <c r="S27" i="1"/>
  <c r="U27" i="1"/>
  <c r="S22" i="1"/>
  <c r="Q22" i="1"/>
  <c r="U22" i="1"/>
  <c r="Q10" i="1"/>
  <c r="S10" i="1"/>
  <c r="U10" i="1"/>
  <c r="S21" i="1"/>
  <c r="Q21" i="1"/>
  <c r="U21" i="1"/>
  <c r="Q16" i="1"/>
  <c r="S16" i="1"/>
  <c r="U16" i="1"/>
  <c r="Q23" i="1"/>
  <c r="S23" i="1"/>
  <c r="U23" i="1"/>
  <c r="Q24" i="1"/>
  <c r="S24" i="1"/>
  <c r="U24" i="1"/>
  <c r="U28" i="1"/>
  <c r="Q28" i="1"/>
  <c r="S28" i="1"/>
  <c r="Q7" i="1"/>
  <c r="S7" i="1"/>
  <c r="U7" i="1"/>
  <c r="U15" i="1"/>
  <c r="Q15" i="1"/>
  <c r="S15" i="1"/>
  <c r="Q29" i="1"/>
  <c r="S29" i="1"/>
  <c r="U29" i="1"/>
  <c r="S17" i="1"/>
  <c r="Q17" i="1"/>
  <c r="U17" i="1"/>
  <c r="Q26" i="1"/>
  <c r="U26" i="1"/>
  <c r="S26" i="1"/>
  <c r="Q8" i="1"/>
  <c r="S8" i="1"/>
  <c r="U8" i="1"/>
  <c r="S13" i="1"/>
  <c r="U13" i="1"/>
  <c r="Q13" i="1"/>
  <c r="S9" i="1"/>
  <c r="Q9" i="1"/>
  <c r="U9" i="1"/>
  <c r="Q18" i="1"/>
  <c r="S18" i="1"/>
  <c r="U18" i="1"/>
  <c r="U20" i="1"/>
  <c r="Q20" i="1"/>
  <c r="S20" i="1"/>
  <c r="U19" i="1"/>
  <c r="Q19" i="1"/>
  <c r="S19" i="1"/>
  <c r="S14" i="1"/>
  <c r="U14" i="1"/>
  <c r="Q14" i="1"/>
  <c r="U12" i="1"/>
  <c r="Q12" i="1"/>
  <c r="S12" i="1"/>
  <c r="Q11" i="1"/>
  <c r="S11" i="1"/>
  <c r="U11" i="1"/>
  <c r="AY14" i="1"/>
  <c r="BA14" i="1"/>
  <c r="AW19" i="1"/>
  <c r="BB19" i="1"/>
  <c r="BA19" i="1"/>
  <c r="AZ19" i="1"/>
  <c r="CD28" i="1"/>
  <c r="CH28" i="1"/>
  <c r="CH14" i="1"/>
  <c r="AY15" i="1"/>
  <c r="CD9" i="1"/>
  <c r="I6" i="1"/>
  <c r="BA16" i="1"/>
  <c r="CD14" i="1"/>
  <c r="AW14" i="1"/>
  <c r="AV10" i="1"/>
  <c r="AW12" i="1"/>
  <c r="AW10" i="1"/>
  <c r="AY13" i="1"/>
  <c r="AY10" i="1"/>
  <c r="AW13" i="1"/>
  <c r="AX10" i="1"/>
  <c r="AX13" i="1"/>
  <c r="BA10" i="1"/>
  <c r="AZ13" i="1"/>
  <c r="BA13" i="1"/>
  <c r="CH13" i="1"/>
  <c r="CD13" i="1"/>
  <c r="AX12" i="1"/>
  <c r="CD12" i="1"/>
  <c r="BB13" i="1"/>
  <c r="BB12" i="1"/>
  <c r="CD10" i="1"/>
  <c r="AY12" i="1"/>
  <c r="AV12" i="1"/>
  <c r="BA12" i="1"/>
  <c r="AW8" i="1"/>
  <c r="CH8" i="1"/>
  <c r="BB10" i="1"/>
  <c r="AY8" i="1"/>
  <c r="AX14" i="1"/>
  <c r="BA8" i="1"/>
  <c r="AV8" i="1"/>
  <c r="CD8" i="1"/>
  <c r="M6" i="1"/>
  <c r="AZ8" i="1"/>
  <c r="CH10" i="1"/>
  <c r="AV16" i="1"/>
  <c r="AW16" i="1"/>
  <c r="AY16" i="1"/>
  <c r="CD16" i="1"/>
  <c r="AV19" i="1"/>
  <c r="AZ14" i="1"/>
  <c r="AX19" i="1"/>
  <c r="BB14" i="1"/>
  <c r="CD19" i="1"/>
  <c r="P8" i="1"/>
  <c r="AV7" i="1"/>
  <c r="BB27" i="1"/>
  <c r="AW27" i="1"/>
  <c r="BB28" i="1"/>
  <c r="AY7" i="1"/>
  <c r="AZ27" i="1"/>
  <c r="AX7" i="1"/>
  <c r="AV28" i="1"/>
  <c r="AZ7" i="1"/>
  <c r="CH27" i="1"/>
  <c r="AW28" i="1"/>
  <c r="BA7" i="1"/>
  <c r="AX8" i="1"/>
  <c r="P28" i="1"/>
  <c r="AX28" i="1"/>
  <c r="CD7" i="1"/>
  <c r="AY28" i="1"/>
  <c r="CH7" i="1"/>
  <c r="BB7" i="1"/>
  <c r="AV15" i="1"/>
  <c r="BB15" i="1"/>
  <c r="AW15" i="1"/>
  <c r="CD15" i="1"/>
  <c r="AX15" i="1"/>
  <c r="P14" i="1"/>
  <c r="AZ15" i="1"/>
  <c r="P10" i="1"/>
  <c r="BA15" i="1"/>
  <c r="P15" i="1"/>
  <c r="P19" i="1"/>
  <c r="P7" i="1"/>
  <c r="CH9" i="1"/>
  <c r="AV9" i="1"/>
  <c r="AZ9" i="1"/>
  <c r="AW9" i="1"/>
  <c r="BA9" i="1"/>
  <c r="AX9" i="1"/>
  <c r="BB9" i="1"/>
  <c r="AZ16" i="1"/>
  <c r="BB16" i="1"/>
  <c r="CH16" i="1"/>
  <c r="M4" i="1"/>
  <c r="P18" i="1"/>
  <c r="P27" i="1"/>
  <c r="P16" i="1"/>
  <c r="P13" i="1"/>
  <c r="P12" i="1"/>
  <c r="P9" i="1"/>
  <c r="P17" i="1"/>
  <c r="BV18" i="1"/>
  <c r="BH26" i="1"/>
  <c r="BJ26" i="1" s="1"/>
  <c r="BU26" i="1"/>
  <c r="BZ26" i="1" s="1"/>
  <c r="BU27" i="1"/>
  <c r="BZ27" i="1" s="1"/>
  <c r="BV26" i="1"/>
  <c r="BG10" i="1"/>
  <c r="L22" i="6"/>
  <c r="BW22" i="1"/>
  <c r="BI18" i="1"/>
  <c r="BU18" i="1"/>
  <c r="BZ18" i="1" s="1"/>
  <c r="BH18" i="1"/>
  <c r="BC29" i="1"/>
  <c r="BH23" i="1"/>
  <c r="BU10" i="1"/>
  <c r="BG23" i="1"/>
  <c r="BV23" i="1"/>
  <c r="BY23" i="1" s="1"/>
  <c r="BH10" i="1"/>
  <c r="BI27" i="1"/>
  <c r="BV27" i="1"/>
  <c r="BG27" i="1"/>
  <c r="BH25" i="1"/>
  <c r="BV25" i="1"/>
  <c r="BU25" i="1"/>
  <c r="BG25" i="1"/>
  <c r="BW25" i="1"/>
  <c r="BI25" i="1"/>
  <c r="BV15" i="1"/>
  <c r="BH15" i="1"/>
  <c r="BU15" i="1"/>
  <c r="BZ15" i="1" s="1"/>
  <c r="BG15" i="1"/>
  <c r="BC18" i="1"/>
  <c r="BH22" i="1"/>
  <c r="BG22" i="1"/>
  <c r="BC20" i="1"/>
  <c r="CE20" i="1" s="1"/>
  <c r="BI15" i="1"/>
  <c r="BU22" i="1"/>
  <c r="BZ22" i="1" s="1"/>
  <c r="BC26" i="1"/>
  <c r="CE26" i="1" s="1"/>
  <c r="BC23" i="1"/>
  <c r="BW10" i="1"/>
  <c r="BI10" i="1"/>
  <c r="BH8" i="1"/>
  <c r="BG8" i="1"/>
  <c r="BU8" i="1"/>
  <c r="BV8" i="1"/>
  <c r="BU14" i="1"/>
  <c r="BH14" i="1"/>
  <c r="BG14" i="1"/>
  <c r="BV14" i="1"/>
  <c r="BI8" i="1"/>
  <c r="BW8" i="1"/>
  <c r="BV7" i="1"/>
  <c r="BU7" i="1"/>
  <c r="BH7" i="1"/>
  <c r="BG7" i="1"/>
  <c r="BW17" i="1"/>
  <c r="BI17" i="1"/>
  <c r="I4" i="1"/>
  <c r="BC21" i="1"/>
  <c r="BW11" i="1"/>
  <c r="BI11" i="1"/>
  <c r="BW12" i="1"/>
  <c r="BH13" i="1"/>
  <c r="BG13" i="1"/>
  <c r="BV13" i="1"/>
  <c r="BU13" i="1"/>
  <c r="BG11" i="1"/>
  <c r="BH11" i="1"/>
  <c r="BV11" i="1"/>
  <c r="BU11" i="1"/>
  <c r="BC22" i="1"/>
  <c r="BU21" i="1"/>
  <c r="BG21" i="1"/>
  <c r="BH21" i="1"/>
  <c r="BV21" i="1"/>
  <c r="L30" i="6"/>
  <c r="BI28" i="1"/>
  <c r="BW28" i="1"/>
  <c r="BI13" i="1"/>
  <c r="BW13" i="1"/>
  <c r="BH20" i="1"/>
  <c r="BG20" i="1"/>
  <c r="BV20" i="1"/>
  <c r="BU20" i="1"/>
  <c r="BW21" i="1"/>
  <c r="BI21" i="1"/>
  <c r="BC17" i="1"/>
  <c r="BH12" i="1"/>
  <c r="BG12" i="1"/>
  <c r="BV12" i="1"/>
  <c r="BU12" i="1"/>
  <c r="BV9" i="1"/>
  <c r="BU9" i="1"/>
  <c r="BH9" i="1"/>
  <c r="BG9" i="1"/>
  <c r="BW7" i="1"/>
  <c r="BI7" i="1"/>
  <c r="BC25" i="1"/>
  <c r="BC11" i="1"/>
  <c r="BW14" i="1"/>
  <c r="BI14" i="1"/>
  <c r="BV28" i="1"/>
  <c r="BG28" i="1"/>
  <c r="BU28" i="1"/>
  <c r="BH28" i="1"/>
  <c r="BV17" i="1"/>
  <c r="BU17" i="1"/>
  <c r="BH17" i="1"/>
  <c r="BG17" i="1"/>
  <c r="BH29" i="1"/>
  <c r="BG29" i="1"/>
  <c r="BV29" i="1"/>
  <c r="BU29" i="1"/>
  <c r="BV16" i="1"/>
  <c r="BU16" i="1"/>
  <c r="BG16" i="1"/>
  <c r="BH16" i="1"/>
  <c r="BV24" i="1"/>
  <c r="BU24" i="1"/>
  <c r="BG24" i="1"/>
  <c r="BH24" i="1"/>
  <c r="BW29" i="1"/>
  <c r="BI29" i="1"/>
  <c r="BW24" i="1"/>
  <c r="BI24" i="1"/>
  <c r="R4" i="1" l="1"/>
  <c r="CC19" i="1"/>
  <c r="CB19" i="1"/>
  <c r="R6" i="1"/>
  <c r="V6" i="1"/>
  <c r="T6" i="1"/>
  <c r="BD23" i="1"/>
  <c r="CA23" i="1" s="1"/>
  <c r="BC19" i="1"/>
  <c r="CE19" i="1" s="1"/>
  <c r="BC12" i="1"/>
  <c r="CE12" i="1" s="1"/>
  <c r="BC13" i="1"/>
  <c r="CE13" i="1" s="1"/>
  <c r="AX6" i="1"/>
  <c r="AY6" i="1"/>
  <c r="CD6" i="1"/>
  <c r="P6" i="1"/>
  <c r="AV6" i="1"/>
  <c r="AW6" i="1"/>
  <c r="BB6" i="1"/>
  <c r="BC8" i="1"/>
  <c r="CE8" i="1" s="1"/>
  <c r="BA6" i="1"/>
  <c r="BC10" i="1"/>
  <c r="CE10" i="1" s="1"/>
  <c r="CH6" i="1"/>
  <c r="BC16" i="1"/>
  <c r="BD16" i="1" s="1"/>
  <c r="AZ6" i="1"/>
  <c r="N6" i="1"/>
  <c r="O6" i="1"/>
  <c r="BC15" i="1"/>
  <c r="CE15" i="1" s="1"/>
  <c r="BC27" i="1"/>
  <c r="CE27" i="1" s="1"/>
  <c r="BC7" i="1"/>
  <c r="CE7" i="1" s="1"/>
  <c r="BC14" i="1"/>
  <c r="CE14" i="1" s="1"/>
  <c r="AV4" i="1"/>
  <c r="BC28" i="1"/>
  <c r="CE28" i="1" s="1"/>
  <c r="AW4" i="1"/>
  <c r="AX4" i="1"/>
  <c r="CD4" i="1"/>
  <c r="BC9" i="1"/>
  <c r="CE9" i="1" s="1"/>
  <c r="P4" i="1"/>
  <c r="N4" i="1"/>
  <c r="CE29" i="1"/>
  <c r="BJ23" i="1"/>
  <c r="BY27" i="1"/>
  <c r="BY26" i="1"/>
  <c r="BY18" i="1"/>
  <c r="BY15" i="1"/>
  <c r="BJ27" i="1"/>
  <c r="BJ18" i="1"/>
  <c r="BY10" i="1"/>
  <c r="BY22" i="1"/>
  <c r="CE23" i="1"/>
  <c r="BZ10" i="1"/>
  <c r="BJ10" i="1"/>
  <c r="BJ15" i="1"/>
  <c r="BJ14" i="1"/>
  <c r="BJ22" i="1"/>
  <c r="BD26" i="1"/>
  <c r="CE18" i="1"/>
  <c r="BZ25" i="1"/>
  <c r="BY25" i="1"/>
  <c r="BJ24" i="1"/>
  <c r="BJ29" i="1"/>
  <c r="BD20" i="1"/>
  <c r="CJ20" i="1" s="1"/>
  <c r="BJ25" i="1"/>
  <c r="BJ12" i="1"/>
  <c r="CE17" i="1"/>
  <c r="BD17" i="1"/>
  <c r="BY16" i="1"/>
  <c r="BZ16" i="1"/>
  <c r="CE11" i="1"/>
  <c r="BZ29" i="1"/>
  <c r="BY29" i="1"/>
  <c r="CE22" i="1"/>
  <c r="BD22" i="1"/>
  <c r="BD21" i="1"/>
  <c r="CE21" i="1"/>
  <c r="BY7" i="1"/>
  <c r="BZ7" i="1"/>
  <c r="BZ24" i="1"/>
  <c r="BY24" i="1"/>
  <c r="BZ9" i="1"/>
  <c r="BY9" i="1"/>
  <c r="BJ11" i="1"/>
  <c r="BY19" i="1"/>
  <c r="BZ19" i="1"/>
  <c r="BJ16" i="1"/>
  <c r="BZ13" i="1"/>
  <c r="BY13" i="1"/>
  <c r="BD25" i="1"/>
  <c r="CE25" i="1"/>
  <c r="BY21" i="1"/>
  <c r="BZ21" i="1"/>
  <c r="BJ13" i="1"/>
  <c r="BY14" i="1"/>
  <c r="BZ14" i="1"/>
  <c r="BD24" i="1"/>
  <c r="CE24" i="1"/>
  <c r="BZ12" i="1"/>
  <c r="BY12" i="1"/>
  <c r="BZ20" i="1"/>
  <c r="BY20" i="1"/>
  <c r="BJ17" i="1"/>
  <c r="BJ7" i="1"/>
  <c r="BZ8" i="1"/>
  <c r="BY8" i="1"/>
  <c r="BJ21" i="1"/>
  <c r="BJ20" i="1"/>
  <c r="BY11" i="1"/>
  <c r="BZ11" i="1"/>
  <c r="BJ8" i="1"/>
  <c r="BZ28" i="1"/>
  <c r="BY28" i="1"/>
  <c r="BJ28" i="1"/>
  <c r="BZ17" i="1"/>
  <c r="BJ9" i="1"/>
  <c r="BJ19" i="1"/>
  <c r="BG4" i="1" l="1"/>
  <c r="BI4" i="1"/>
  <c r="BW4" i="1"/>
  <c r="CB4" i="1"/>
  <c r="CC4" i="1"/>
  <c r="CB6" i="1"/>
  <c r="CC6" i="1"/>
  <c r="CJ23" i="1"/>
  <c r="BN23" i="1" s="1"/>
  <c r="BD12" i="1"/>
  <c r="BN12" i="1" s="1"/>
  <c r="CE16" i="1"/>
  <c r="U6" i="1"/>
  <c r="Q6" i="1"/>
  <c r="S6" i="1"/>
  <c r="BD28" i="1"/>
  <c r="CA28" i="1" s="1"/>
  <c r="BC6" i="1"/>
  <c r="BD9" i="1"/>
  <c r="CJ9" i="1" s="1"/>
  <c r="BN9" i="1" s="1"/>
  <c r="BD10" i="1"/>
  <c r="CJ10" i="1" s="1"/>
  <c r="BN10" i="1" s="1"/>
  <c r="BD27" i="1"/>
  <c r="CJ27" i="1" s="1"/>
  <c r="BN27" i="1" s="1"/>
  <c r="BC4" i="1"/>
  <c r="BD29" i="1"/>
  <c r="CJ29" i="1" s="1"/>
  <c r="BN29" i="1" s="1"/>
  <c r="BD8" i="1"/>
  <c r="CJ8" i="1" s="1"/>
  <c r="BN8" i="1" s="1"/>
  <c r="BD15" i="1"/>
  <c r="CJ15" i="1" s="1"/>
  <c r="BN15" i="1" s="1"/>
  <c r="BD18" i="1"/>
  <c r="CJ18" i="1" s="1"/>
  <c r="BN18" i="1" s="1"/>
  <c r="BD11" i="1"/>
  <c r="CA11" i="1" s="1"/>
  <c r="BD19" i="1"/>
  <c r="CJ19" i="1" s="1"/>
  <c r="BN19" i="1" s="1"/>
  <c r="BD13" i="1"/>
  <c r="CJ13" i="1" s="1"/>
  <c r="BN13" i="1" s="1"/>
  <c r="BD14" i="1"/>
  <c r="CA14" i="1" s="1"/>
  <c r="S4" i="1"/>
  <c r="Q4" i="1"/>
  <c r="BD7" i="1"/>
  <c r="CA26" i="1"/>
  <c r="BN20" i="1"/>
  <c r="CJ26" i="1"/>
  <c r="BN26" i="1" s="1"/>
  <c r="CA20" i="1"/>
  <c r="CA24" i="1"/>
  <c r="CJ24" i="1"/>
  <c r="BN24" i="1" s="1"/>
  <c r="CJ22" i="1"/>
  <c r="BN22" i="1" s="1"/>
  <c r="CA22" i="1"/>
  <c r="CA21" i="1"/>
  <c r="CJ21" i="1"/>
  <c r="BN21" i="1" s="1"/>
  <c r="CA17" i="1"/>
  <c r="CJ17" i="1"/>
  <c r="BN17" i="1" s="1"/>
  <c r="CA25" i="1"/>
  <c r="CJ25" i="1"/>
  <c r="BN25" i="1" s="1"/>
  <c r="CJ16" i="1"/>
  <c r="BN16" i="1" s="1"/>
  <c r="CA16" i="1"/>
  <c r="BZ4" i="1" l="1"/>
  <c r="BU4" i="1"/>
  <c r="BH4" i="1"/>
  <c r="BY4" i="1"/>
  <c r="BV4" i="1"/>
  <c r="BO9" i="1"/>
  <c r="BS9" i="1" s="1"/>
  <c r="BT9" i="1" s="1"/>
  <c r="BO17" i="1"/>
  <c r="BT17" i="1" s="1"/>
  <c r="BO20" i="1"/>
  <c r="BS20" i="1" s="1"/>
  <c r="BT20" i="1" s="1"/>
  <c r="BO24" i="1"/>
  <c r="BS24" i="1" s="1"/>
  <c r="BT24" i="1" s="1"/>
  <c r="BO27" i="1"/>
  <c r="BS27" i="1" s="1"/>
  <c r="BT27" i="1" s="1"/>
  <c r="BO22" i="1"/>
  <c r="BS22" i="1" s="1"/>
  <c r="BT22" i="1" s="1"/>
  <c r="BO10" i="1"/>
  <c r="BS10" i="1" s="1"/>
  <c r="BT10" i="1" s="1"/>
  <c r="BO23" i="1"/>
  <c r="BS23" i="1" s="1"/>
  <c r="BT23" i="1" s="1"/>
  <c r="BO16" i="1"/>
  <c r="BS16" i="1" s="1"/>
  <c r="BT16" i="1" s="1"/>
  <c r="BO15" i="1"/>
  <c r="BS15" i="1" s="1"/>
  <c r="BT15" i="1" s="1"/>
  <c r="BO21" i="1"/>
  <c r="BS21" i="1" s="1"/>
  <c r="BT21" i="1" s="1"/>
  <c r="BO8" i="1"/>
  <c r="BS8" i="1" s="1"/>
  <c r="BT8" i="1" s="1"/>
  <c r="BO26" i="1"/>
  <c r="BS26" i="1" s="1"/>
  <c r="BT26" i="1" s="1"/>
  <c r="BO29" i="1"/>
  <c r="BS29" i="1" s="1"/>
  <c r="BT29" i="1" s="1"/>
  <c r="BO25" i="1"/>
  <c r="BS25" i="1" s="1"/>
  <c r="BT25" i="1" s="1"/>
  <c r="BO13" i="1"/>
  <c r="BS13" i="1" s="1"/>
  <c r="BT13" i="1" s="1"/>
  <c r="BO18" i="1"/>
  <c r="BS18" i="1" s="1"/>
  <c r="BT18" i="1" s="1"/>
  <c r="BO12" i="1"/>
  <c r="BS12" i="1" s="1"/>
  <c r="BT12" i="1" s="1"/>
  <c r="BO19" i="1"/>
  <c r="BS19" i="1" s="1"/>
  <c r="BT19" i="1" s="1"/>
  <c r="BI6" i="1"/>
  <c r="BH6" i="1"/>
  <c r="BG6" i="1"/>
  <c r="BW6" i="1"/>
  <c r="BU6" i="1"/>
  <c r="BV6" i="1"/>
  <c r="CE6" i="1"/>
  <c r="CA10" i="1"/>
  <c r="CA12" i="1"/>
  <c r="CJ28" i="1"/>
  <c r="BN28" i="1" s="1"/>
  <c r="CA27" i="1"/>
  <c r="CA18" i="1"/>
  <c r="CA9" i="1"/>
  <c r="CA15" i="1"/>
  <c r="CJ7" i="1"/>
  <c r="BD6" i="1"/>
  <c r="CJ14" i="1"/>
  <c r="BN14" i="1" s="1"/>
  <c r="CA29" i="1"/>
  <c r="CA8" i="1"/>
  <c r="CA13" i="1"/>
  <c r="CJ11" i="1"/>
  <c r="BN11" i="1" s="1"/>
  <c r="CA19" i="1"/>
  <c r="BD4" i="1"/>
  <c r="CA7" i="1"/>
  <c r="CA4" i="1" l="1"/>
  <c r="BJ4" i="1"/>
  <c r="BO28" i="1"/>
  <c r="BS28" i="1" s="1"/>
  <c r="BT28" i="1" s="1"/>
  <c r="BO11" i="1"/>
  <c r="BS11" i="1" s="1"/>
  <c r="BT11" i="1" s="1"/>
  <c r="BO14" i="1"/>
  <c r="BS14" i="1" s="1"/>
  <c r="BT14" i="1" s="1"/>
  <c r="BZ6" i="1"/>
  <c r="BJ6" i="1"/>
  <c r="BY6" i="1"/>
  <c r="CJ6" i="1"/>
  <c r="BN7" i="1"/>
  <c r="CJ4" i="1"/>
  <c r="BO7" i="1" l="1"/>
  <c r="CA6" i="1"/>
  <c r="BN6" i="1"/>
  <c r="BN4" i="1"/>
  <c r="BO6" i="1" l="1"/>
  <c r="BS7" i="1"/>
  <c r="BS4" i="1" s="1"/>
  <c r="BO4" i="1"/>
  <c r="BS6" i="1" l="1"/>
  <c r="BT7" i="1"/>
  <c r="BT4" i="1" l="1"/>
  <c r="BT6" i="1"/>
</calcChain>
</file>

<file path=xl/sharedStrings.xml><?xml version="1.0" encoding="utf-8"?>
<sst xmlns="http://schemas.openxmlformats.org/spreadsheetml/2006/main" count="1034" uniqueCount="311">
  <si>
    <t xml:space="preserve">  EMPLOYEE CODE</t>
  </si>
  <si>
    <t>EMPLOYEE NAME</t>
  </si>
  <si>
    <t>HIRE DATE</t>
  </si>
  <si>
    <t>Actual Basic salary</t>
  </si>
  <si>
    <t>Other Income</t>
  </si>
  <si>
    <t>Bonus - STIP</t>
  </si>
  <si>
    <t>Retention Bonus</t>
  </si>
  <si>
    <t>Adjustment</t>
  </si>
  <si>
    <t>Actual Total Income</t>
  </si>
  <si>
    <t>Social Ins. - 8%</t>
  </si>
  <si>
    <t>Medical Ins. - 1.5%</t>
  </si>
  <si>
    <t>Unemployment Ins. - 1 %</t>
  </si>
  <si>
    <t>Monthly PIT</t>
  </si>
  <si>
    <t>Other Deduction</t>
  </si>
  <si>
    <t>Marsh / Other Deduction</t>
  </si>
  <si>
    <t>Total Deductions</t>
  </si>
  <si>
    <t>Net Pay</t>
  </si>
  <si>
    <t>Base Salary</t>
  </si>
  <si>
    <t>OT 2 Hours</t>
  </si>
  <si>
    <t>Total Overtime Amount</t>
  </si>
  <si>
    <t>OT Non-Taxable (Ref)</t>
  </si>
  <si>
    <t>Dependent No.</t>
  </si>
  <si>
    <t>Dependent Amount</t>
  </si>
  <si>
    <t>Medical Ins. - 3%</t>
  </si>
  <si>
    <t>Unempt Ins. - 1%</t>
  </si>
  <si>
    <t>SI-HI-IU Total 10.5%</t>
  </si>
  <si>
    <t>Taxable Income</t>
  </si>
  <si>
    <t>SI-HI-UI Total 21.5%</t>
  </si>
  <si>
    <t>Total Cost to Employer</t>
  </si>
  <si>
    <t>Salary for SI</t>
  </si>
  <si>
    <t>Salary for UI</t>
  </si>
  <si>
    <t>VNM - SEVN - HQ</t>
  </si>
  <si>
    <t>VNM - Hanoi - Vinaconex Bldg.</t>
  </si>
  <si>
    <t>SHI salary contribution cap:</t>
  </si>
  <si>
    <t>UI salary contribution cap:</t>
  </si>
  <si>
    <t>Statutory pay rate:</t>
  </si>
  <si>
    <t>Region-based minimum wages:</t>
  </si>
  <si>
    <t>Contribution rates</t>
  </si>
  <si>
    <t>SI</t>
  </si>
  <si>
    <t>HI</t>
  </si>
  <si>
    <t>UI</t>
  </si>
  <si>
    <t>EE</t>
  </si>
  <si>
    <t>ER</t>
  </si>
  <si>
    <t>Taxable
 income</t>
  </si>
  <si>
    <t>PIT Rate</t>
  </si>
  <si>
    <t>PIT Deduct</t>
  </si>
  <si>
    <t>13th month salary</t>
  </si>
  <si>
    <t>Sales Incentive</t>
  </si>
  <si>
    <t>Goodwill</t>
  </si>
  <si>
    <t>Severance allowance (Non-tax)</t>
  </si>
  <si>
    <t>Tax Accessable Income</t>
  </si>
  <si>
    <t>OT 1.5 Hours</t>
  </si>
  <si>
    <t>OT 3 Hours</t>
  </si>
  <si>
    <t>00247979</t>
  </si>
  <si>
    <t>Total salary for Social Insurance, Health Insurance</t>
  </si>
  <si>
    <t>Total salary for Unemployment Insurance</t>
  </si>
  <si>
    <t>Social Insurance (Salary for SI x 25.5%)</t>
  </si>
  <si>
    <t>Health Insurance fee (Salary for HI x 4.5%)</t>
  </si>
  <si>
    <t>Unemployment Insurance (Salary for UI x 2%)</t>
  </si>
  <si>
    <t>Supplement payment (*)</t>
  </si>
  <si>
    <t>debt from last month</t>
  </si>
  <si>
    <t>Total of SI, HI, UI</t>
  </si>
  <si>
    <t>TOTAL PAID TO GOVERNEMNT</t>
  </si>
  <si>
    <t>SEIT</t>
  </si>
  <si>
    <t>SEVL</t>
  </si>
  <si>
    <t>Work location</t>
  </si>
  <si>
    <t>Sign-on bonus</t>
  </si>
  <si>
    <t>Referral Bonus</t>
  </si>
  <si>
    <t>Other Bonus</t>
  </si>
  <si>
    <t>Notice Pay by ER</t>
  </si>
  <si>
    <t>Reimbursement Payment</t>
  </si>
  <si>
    <t>Marsh Insurance refund (Non-tax)</t>
  </si>
  <si>
    <t>Reimbursement deduction</t>
  </si>
  <si>
    <t>SI, HI</t>
  </si>
  <si>
    <t>Unpaid Leave (Covid-19)</t>
  </si>
  <si>
    <t>Ded. Outstanding A-Leave</t>
  </si>
  <si>
    <t>Recognition Bonus</t>
  </si>
  <si>
    <t>MI 4.5%</t>
  </si>
  <si>
    <t>Trade Union Allowance</t>
  </si>
  <si>
    <t>TU</t>
  </si>
  <si>
    <t>Employee Trade Union</t>
  </si>
  <si>
    <t>VN-Employer Tax</t>
  </si>
  <si>
    <t>Miễn thuế TNCN</t>
  </si>
  <si>
    <t>Phone Amount</t>
  </si>
  <si>
    <t>730k trở xuống thì miễn thuế</t>
  </si>
  <si>
    <t>TN chịu thuế</t>
  </si>
  <si>
    <t>Trả theo ngày thực tế làm việc</t>
  </si>
  <si>
    <t>TU Participation</t>
  </si>
  <si>
    <t>YES</t>
  </si>
  <si>
    <t>Thu nhập tính thuế</t>
  </si>
  <si>
    <t>Thu nhập chịu thuế</t>
  </si>
  <si>
    <t>Thuế TNCN phải nộp</t>
  </si>
  <si>
    <t>Công thức giống với cột TU ee -&gt; bỏ thử</t>
  </si>
  <si>
    <t>Social Ins. - 17.5%</t>
  </si>
  <si>
    <t>Trade Union ER 2%</t>
  </si>
  <si>
    <t>N</t>
  </si>
  <si>
    <t>0014</t>
  </si>
  <si>
    <t>0016</t>
  </si>
  <si>
    <t>0020</t>
  </si>
  <si>
    <t>0023</t>
  </si>
  <si>
    <t>0024</t>
  </si>
  <si>
    <t>0242</t>
  </si>
  <si>
    <t>0272</t>
  </si>
  <si>
    <t>0509</t>
  </si>
  <si>
    <t>0539</t>
  </si>
  <si>
    <t>0639</t>
  </si>
  <si>
    <t>11094</t>
  </si>
  <si>
    <t>11126</t>
  </si>
  <si>
    <t>11141</t>
  </si>
  <si>
    <t>11168</t>
  </si>
  <si>
    <t>11188</t>
  </si>
  <si>
    <t>11358</t>
  </si>
  <si>
    <t>11502</t>
  </si>
  <si>
    <t>4044</t>
  </si>
  <si>
    <t>4045</t>
  </si>
  <si>
    <t>4047</t>
  </si>
  <si>
    <t>4145</t>
  </si>
  <si>
    <t>11626</t>
  </si>
  <si>
    <t>11587</t>
  </si>
  <si>
    <t>9200</t>
  </si>
  <si>
    <t>9240</t>
  </si>
  <si>
    <t>9280</t>
  </si>
  <si>
    <t>9220</t>
  </si>
  <si>
    <t>9250</t>
  </si>
  <si>
    <t>9260</t>
  </si>
  <si>
    <t>9410</t>
  </si>
  <si>
    <t>9100</t>
  </si>
  <si>
    <t>9300</t>
  </si>
  <si>
    <t>9420</t>
  </si>
  <si>
    <t>9430</t>
  </si>
  <si>
    <t>Location</t>
  </si>
  <si>
    <t>La Nga</t>
  </si>
  <si>
    <t>HCM</t>
  </si>
  <si>
    <t>X (9)</t>
  </si>
  <si>
    <t>X</t>
  </si>
  <si>
    <t>P</t>
  </si>
  <si>
    <t>HR &amp; Admin</t>
  </si>
  <si>
    <t>Warehouse</t>
  </si>
  <si>
    <t>Plant - BI</t>
  </si>
  <si>
    <t>QA/QC</t>
  </si>
  <si>
    <t>R&amp;D</t>
  </si>
  <si>
    <t>ETP</t>
  </si>
  <si>
    <t>Finance - Accounting - IT</t>
  </si>
  <si>
    <t>Procurement</t>
  </si>
  <si>
    <t>Số giờ làm việc ngày thường</t>
  </si>
  <si>
    <t>Số giờ làm đêm ngày thường</t>
  </si>
  <si>
    <t>Tăng ca thường</t>
  </si>
  <si>
    <t>Tăng ca đêm</t>
  </si>
  <si>
    <t>Đi làm ngày OFF</t>
  </si>
  <si>
    <t>Đi làm đêm ngày OFF</t>
  </si>
  <si>
    <t>Đi làm ngày lễ</t>
  </si>
  <si>
    <t>Đi làm đêm ngày lễ</t>
  </si>
  <si>
    <t>Thời gian đi công tác</t>
  </si>
  <si>
    <t>Nghỉ phép năm</t>
  </si>
  <si>
    <t>Nghỉ bù</t>
  </si>
  <si>
    <t>Nghỉ lễ</t>
  </si>
  <si>
    <t>Nghỉ chế độ</t>
  </si>
  <si>
    <t>Chờ việc</t>
  </si>
  <si>
    <t>Ngừng việc</t>
  </si>
  <si>
    <t>Làm việc tại nhà</t>
  </si>
  <si>
    <t>Nghỉ ốm</t>
  </si>
  <si>
    <t>Nghỉ con ốm</t>
  </si>
  <si>
    <t>Nghỉ thai sản</t>
  </si>
  <si>
    <t>Nghỉ không lương</t>
  </si>
  <si>
    <t>OW</t>
  </si>
  <si>
    <t>NB</t>
  </si>
  <si>
    <t>Công ty</t>
  </si>
  <si>
    <t>Chủ nhật</t>
  </si>
  <si>
    <t>Thứ hai</t>
  </si>
  <si>
    <t>Thứ ba</t>
  </si>
  <si>
    <t>Thứ tư</t>
  </si>
  <si>
    <t>Thứ năm</t>
  </si>
  <si>
    <t>Thứ sáu</t>
  </si>
  <si>
    <t>Thứ bảy</t>
  </si>
  <si>
    <t>CÔNG TY AB MAURI VIỆT NAM</t>
  </si>
  <si>
    <t>Ấp 4, xã La Ngà, huyện Định Quán, tỉnh Đồng Nai</t>
  </si>
  <si>
    <t>http://abmauri.vn/</t>
  </si>
  <si>
    <t>BẢNG CHẤM CÔNG</t>
  </si>
  <si>
    <t>Tất cả các bộ phận</t>
  </si>
  <si>
    <t>Stt</t>
  </si>
  <si>
    <t>Mã nhân viên</t>
  </si>
  <si>
    <t>Họ và tên</t>
  </si>
  <si>
    <t>Ngày công chuẩn</t>
  </si>
  <si>
    <t>Tổng cộng thời gian</t>
  </si>
  <si>
    <t>X (4)</t>
  </si>
  <si>
    <t>P (4)</t>
  </si>
  <si>
    <t>NB(9)</t>
  </si>
  <si>
    <t>Responsibility</t>
  </si>
  <si>
    <t>Parking</t>
  </si>
  <si>
    <t>Taxi allowance</t>
  </si>
  <si>
    <t>Plant - HR &amp; Admin</t>
  </si>
  <si>
    <t>9260-1</t>
  </si>
  <si>
    <t>Safety</t>
  </si>
  <si>
    <t>9220-1</t>
  </si>
  <si>
    <t>Maintenance</t>
  </si>
  <si>
    <t>9260-2</t>
  </si>
  <si>
    <t>Sales and Marketing</t>
  </si>
  <si>
    <t>Logistic General</t>
  </si>
  <si>
    <t>Meal</t>
  </si>
  <si>
    <t>Gaz</t>
  </si>
  <si>
    <t>Standard whr</t>
  </si>
  <si>
    <t xml:space="preserve">Tính theo </t>
  </si>
  <si>
    <t>Căn cứ đóng BHXH</t>
  </si>
  <si>
    <t>Chịu thuế TNCN</t>
  </si>
  <si>
    <t>Toàn bộ số tiền theo tháng</t>
  </si>
  <si>
    <t>Có</t>
  </si>
  <si>
    <t>Petrol</t>
  </si>
  <si>
    <t>Số ngày làm việc thực tế</t>
  </si>
  <si>
    <t>Không</t>
  </si>
  <si>
    <t>Support allowance</t>
  </si>
  <si>
    <t>Toàn bộ số tiền được gửi</t>
  </si>
  <si>
    <t>Retention allowance</t>
  </si>
  <si>
    <t>Sales incentive</t>
  </si>
  <si>
    <t>OT - PIT</t>
  </si>
  <si>
    <t>Số tiền được gửi theo Timesheet</t>
  </si>
  <si>
    <t>OT - Non PIT</t>
  </si>
  <si>
    <t>Meal allowance</t>
  </si>
  <si>
    <t>Deduction of meal</t>
  </si>
  <si>
    <t>Phone</t>
  </si>
  <si>
    <t>Taxi</t>
  </si>
  <si>
    <t>Rewards</t>
  </si>
  <si>
    <t xml:space="preserve">Số ngày tt </t>
  </si>
  <si>
    <t>Total tháng</t>
  </si>
  <si>
    <t>Night shif payment</t>
  </si>
  <si>
    <t>OT Night shift  wk day</t>
  </si>
  <si>
    <t>OT Night shift off day</t>
  </si>
  <si>
    <t>OT Ngiht shift Holiday</t>
  </si>
  <si>
    <t>OT 1.5 Amount</t>
  </si>
  <si>
    <t>OT 2 Amount</t>
  </si>
  <si>
    <t>OT 3 Amount</t>
  </si>
  <si>
    <t>Night shif amount</t>
  </si>
  <si>
    <t>OT Night shift  wk day amount</t>
  </si>
  <si>
    <t>OT Night shift off day amount</t>
  </si>
  <si>
    <t>OT Ngiht shift Holiday amount</t>
  </si>
  <si>
    <t>X (4), OT(4)</t>
  </si>
  <si>
    <t>Meal allowance deduction for La Nga visit</t>
  </si>
  <si>
    <t>OT Tài xế - giờ</t>
  </si>
  <si>
    <t>OT tài xế tiền</t>
  </si>
  <si>
    <t>OT PIT for check</t>
  </si>
  <si>
    <t>Actual Working Hours incl. Paid leave</t>
  </si>
  <si>
    <t>Actual Working Hours. NOT incl. Paid leave</t>
  </si>
  <si>
    <t>Từ ngày 21/12/2023 đến ngày 20/01/2024</t>
  </si>
  <si>
    <t>OX Tai xe (hour)</t>
  </si>
  <si>
    <t>H (9)</t>
  </si>
  <si>
    <t>H</t>
  </si>
  <si>
    <t>X (8.83), NB(0.17)</t>
  </si>
  <si>
    <t>X (4), OT(4.5)</t>
  </si>
  <si>
    <t>X (4), OT(2.5)</t>
  </si>
  <si>
    <t>NEW HIRE/ RESIGNEE/ LONG LEAVE</t>
  </si>
  <si>
    <t>Giờ công chuẩn tháng</t>
  </si>
  <si>
    <t>Tổng giờ công trong tháng (trả lương, không lương) không gồm OT</t>
  </si>
  <si>
    <t>SO SÁNH TỔNG GIỜ CÔNG K OT VỚI CÔNG CHUẨN</t>
  </si>
  <si>
    <t>Gio cong thuc te trả lương trong tháng gồm ngày nghỉ</t>
  </si>
  <si>
    <t>Giờ công thực tế trả lương không bao gồm các ngày nghỉ</t>
  </si>
  <si>
    <t>B1: VLOOKUP SO SÁNH DS 2 BÊN</t>
  </si>
  <si>
    <t>NHỮNG TRƯỜNG HỢP ÂM LÀ DO NHÂN VIÊN MỚI HOẶC NGHỈ VIỆC</t>
  </si>
  <si>
    <t>NHỮNG TRƯỜNG HỢP DƯƠNG CẦN CHECK LẠI TẠI SAO SỐ GIỜ LÀM VIỆC VƯỢT CÔNG CHUẨN</t>
  </si>
  <si>
    <t>B2: CHECK GIỜ CÔNG BẤT THƯỜNG TRONG CỘT VÀNG</t>
  </si>
  <si>
    <t>La Nga không ăn cơm nhà máy</t>
  </si>
  <si>
    <t xml:space="preserve">X </t>
  </si>
  <si>
    <t xml:space="preserve"> X (9) </t>
  </si>
  <si>
    <t xml:space="preserve"> X </t>
  </si>
  <si>
    <t xml:space="preserve"> H (9) </t>
  </si>
  <si>
    <t xml:space="preserve"> H </t>
  </si>
  <si>
    <t xml:space="preserve"> X (1), P </t>
  </si>
  <si>
    <t xml:space="preserve"> P </t>
  </si>
  <si>
    <t>X (4), P(4)</t>
  </si>
  <si>
    <t>X (4), OT(8)</t>
  </si>
  <si>
    <t>X, OT(4)</t>
  </si>
  <si>
    <t>X(4), P(4)</t>
  </si>
  <si>
    <t>X (9), OT(2)</t>
  </si>
  <si>
    <t>X(4)</t>
  </si>
  <si>
    <t>P(4)</t>
  </si>
  <si>
    <t/>
  </si>
  <si>
    <t>OH(6.83), H (9)</t>
  </si>
  <si>
    <t>X (4.3), P (3.7)</t>
  </si>
  <si>
    <t>X , OT(1.72)</t>
  </si>
  <si>
    <t>OH(3.25), H</t>
  </si>
  <si>
    <t>X , OT(1.93)</t>
  </si>
  <si>
    <t>X (4), OT(4.25)</t>
  </si>
  <si>
    <t>X , OT(2.37)</t>
  </si>
  <si>
    <t>X (4), OT(5)</t>
  </si>
  <si>
    <t>X (9), OT(1.97)</t>
  </si>
  <si>
    <t>X (5.23), NB(2.77)</t>
  </si>
  <si>
    <t>OW(7.17)</t>
  </si>
  <si>
    <t>X (8.27), NB(0.73)</t>
  </si>
  <si>
    <t>X (4), NB(5)</t>
  </si>
  <si>
    <t>BASIC</t>
  </si>
  <si>
    <t>Actual Basic Salary</t>
  </si>
  <si>
    <t>Actual Total 1</t>
  </si>
  <si>
    <t>Actual total 1</t>
  </si>
  <si>
    <t>Actual Responsibility
ATI1R</t>
  </si>
  <si>
    <t>Actual total 2</t>
  </si>
  <si>
    <t>Sever Allowance</t>
  </si>
  <si>
    <t>BJ17+BO17+BP17+BR17+BE17+BF17+BQ17+BK17</t>
  </si>
  <si>
    <t>Deductions1</t>
  </si>
  <si>
    <t>Deductions</t>
  </si>
  <si>
    <t>Actual total Income</t>
  </si>
  <si>
    <t>Overtime</t>
  </si>
  <si>
    <t>Total Overtime</t>
  </si>
  <si>
    <t>BD12-R12-S12-AK12-CD12-AC12-BE12-BF12-BQ12</t>
  </si>
  <si>
    <t>Insurance 2</t>
  </si>
  <si>
    <t>Total Insurance 2</t>
  </si>
  <si>
    <t>BD17+BY17-AC17+BZ17-BQ17</t>
  </si>
  <si>
    <t>Total Cost to employer</t>
  </si>
  <si>
    <t>BD17-R17-S17-AK17-CD17-AC17-BE17-BF17-BQ17</t>
  </si>
  <si>
    <t>ACTPHONE</t>
  </si>
  <si>
    <t>ACTMEAL</t>
  </si>
  <si>
    <t>OTNT</t>
  </si>
  <si>
    <t>MARSH</t>
  </si>
  <si>
    <t>DEPAMT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</si>
</sst>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.00_);[Red]_(* \(#,##0.00\);_(* &quot;-&quot;??_);_(@_)"/>
    <numFmt numFmtId="165" formatCode="0.0%"/>
    <numFmt numFmtId="166" formatCode="_(* #,##0_);[Red]_(* \(#,##0\);_(* &quot;-&quot;??_);_(@_)"/>
    <numFmt numFmtId="167" formatCode="_(* #,##0_);_(* \(#,##0\);_(* &quot;-&quot;??_);_(@_)"/>
    <numFmt numFmtId="168" formatCode="_(* #,##0.0_);[Red]_(* \(#,##0.0\);_(* &quot;-&quot;??_);_(@_)"/>
    <numFmt numFmtId="169" formatCode="_(* #,##0.0_);_(* \(#,##0.0\);_(* &quot;&quot;_);_(@_)"/>
    <numFmt numFmtId="170" formatCode="d/m"/>
    <numFmt numFmtId="171" formatCode="_(* #,##0.000_);_(* \(#,##0.000\);_(* &quot;&quot;_);_(@_)"/>
    <numFmt numFmtId="172" formatCode="_(* #,##0_);_(* \(#,##0\);_(* &quot;&quot;_);_(@_)"/>
    <numFmt numFmtId="173" formatCode="_(* #,##0.000_);_(* \(#,##0.000\);_(* &quot;-&quot;???_);_(@_)"/>
    <numFmt numFmtId="174" formatCode="[$-409]d\-mmm\-yy;@"/>
    <numFmt numFmtId="175" formatCode="_(* #,##0.000_);[Red]_(* \(#,##0.000\);_(* &quot;-&quot;??_);_(@_)"/>
    <numFmt numFmtId="176" formatCode="[$-409]dd\-mmm\-yy;@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name val="Arial"/>
      <family val="2"/>
      <charset val="163"/>
    </font>
    <font>
      <sz val="9"/>
      <color rgb="FF0070C0"/>
      <name val="Calibri"/>
      <family val="2"/>
      <scheme val="minor"/>
    </font>
    <font>
      <sz val="10"/>
      <name val="Arial"/>
      <family val="2"/>
    </font>
    <font>
      <b/>
      <sz val="9"/>
      <color rgb="FF0070C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indexed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8"/>
      <name val="Arial"/>
      <family val="2"/>
    </font>
    <font>
      <sz val="7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NI-Times"/>
    </font>
    <font>
      <sz val="10"/>
      <name val="VNI-Avo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theme="1"/>
      <name val="Tahoma"/>
      <family val="2"/>
    </font>
    <font>
      <b/>
      <sz val="8"/>
      <color theme="0"/>
      <name val="Tahoma"/>
      <family val="2"/>
    </font>
    <font>
      <sz val="12"/>
      <color theme="1"/>
      <name val="Tahoma"/>
      <family val="2"/>
    </font>
    <font>
      <sz val="8"/>
      <color theme="0" tint="-0.34998626667073579"/>
      <name val="Tahoma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Arial"/>
      <family val="2"/>
    </font>
    <font>
      <b/>
      <sz val="11"/>
      <color rgb="FF00B0F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DF5FF"/>
        <bgColor auto="1"/>
      </patternFill>
    </fill>
    <fill>
      <patternFill patternType="solid">
        <fgColor rgb="FFEDF5FF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9" fontId="2" fillId="0" borderId="0" applyNumberFormat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8" borderId="0" applyNumberFormat="0" applyBorder="0" applyAlignment="0" applyProtection="0"/>
    <xf numFmtId="0" fontId="22" fillId="0" borderId="0"/>
    <xf numFmtId="0" fontId="23" fillId="0" borderId="0"/>
    <xf numFmtId="43" fontId="2" fillId="0" borderId="0" applyFont="0" applyFill="0" applyBorder="0" applyAlignment="0" applyProtection="0"/>
    <xf numFmtId="0" fontId="1" fillId="0" borderId="0"/>
  </cellStyleXfs>
  <cellXfs count="161">
    <xf numFmtId="0" fontId="0" fillId="0" borderId="0" xfId="0" applyNumberFormat="1" applyFont="1" applyFill="1" applyBorder="1" applyAlignment="1"/>
    <xf numFmtId="164" fontId="4" fillId="0" borderId="0" xfId="0" applyNumberFormat="1" applyFont="1" applyFill="1" applyBorder="1" applyAlignment="1"/>
    <xf numFmtId="164" fontId="4" fillId="0" borderId="0" xfId="0" applyNumberFormat="1" applyFont="1" applyFill="1" applyBorder="1" applyAlignment="1" applyProtection="1">
      <alignment horizontal="left" vertical="top" wrapText="1"/>
      <protection locked="0"/>
    </xf>
    <xf numFmtId="38" fontId="4" fillId="0" borderId="0" xfId="0" applyNumberFormat="1" applyFont="1" applyFill="1" applyBorder="1" applyAlignment="1" applyProtection="1">
      <alignment horizontal="right" vertical="top" wrapText="1"/>
      <protection locked="0"/>
    </xf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right" vertical="top"/>
      <protection locked="0"/>
    </xf>
    <xf numFmtId="38" fontId="4" fillId="2" borderId="0" xfId="0" applyNumberFormat="1" applyFont="1" applyFill="1" applyBorder="1" applyAlignment="1" applyProtection="1">
      <alignment horizontal="right" vertical="top" wrapText="1"/>
      <protection locked="0"/>
    </xf>
    <xf numFmtId="0" fontId="4" fillId="0" borderId="0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 applyProtection="1">
      <alignment horizontal="center" vertical="center"/>
    </xf>
    <xf numFmtId="166" fontId="4" fillId="0" borderId="0" xfId="0" applyNumberFormat="1" applyFont="1" applyFill="1" applyBorder="1" applyAlignment="1"/>
    <xf numFmtId="49" fontId="7" fillId="0" borderId="0" xfId="0" applyNumberFormat="1" applyFont="1" applyFill="1" applyBorder="1" applyAlignment="1" applyProtection="1">
      <alignment horizontal="left" vertical="center"/>
    </xf>
    <xf numFmtId="49" fontId="7" fillId="0" borderId="0" xfId="0" applyNumberFormat="1" applyFont="1" applyFill="1" applyBorder="1" applyAlignment="1" applyProtection="1">
      <alignment horizontal="center" vertical="center"/>
    </xf>
    <xf numFmtId="3" fontId="7" fillId="0" borderId="0" xfId="0" applyNumberFormat="1" applyFont="1" applyFill="1" applyBorder="1" applyAlignment="1" applyProtection="1">
      <alignment horizontal="center" vertical="center"/>
    </xf>
    <xf numFmtId="165" fontId="6" fillId="0" borderId="0" xfId="2" applyNumberFormat="1" applyFont="1" applyFill="1" applyBorder="1" applyAlignment="1" applyProtection="1">
      <alignment vertical="center"/>
    </xf>
    <xf numFmtId="164" fontId="4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0" applyNumberFormat="1" applyFont="1" applyFill="1" applyBorder="1" applyAlignment="1" applyProtection="1">
      <alignment horizontal="left"/>
      <protection locked="0"/>
    </xf>
    <xf numFmtId="166" fontId="4" fillId="2" borderId="0" xfId="0" applyNumberFormat="1" applyFont="1" applyFill="1" applyBorder="1" applyAlignment="1"/>
    <xf numFmtId="167" fontId="11" fillId="3" borderId="0" xfId="3" applyNumberFormat="1" applyFont="1" applyFill="1" applyBorder="1" applyAlignment="1">
      <alignment horizontal="center" vertical="center" wrapText="1"/>
    </xf>
    <xf numFmtId="43" fontId="11" fillId="3" borderId="0" xfId="3" applyFont="1" applyFill="1" applyBorder="1" applyAlignment="1">
      <alignment horizontal="center" vertical="center"/>
    </xf>
    <xf numFmtId="167" fontId="9" fillId="3" borderId="0" xfId="3" applyNumberFormat="1" applyFont="1" applyFill="1" applyBorder="1"/>
    <xf numFmtId="9" fontId="9" fillId="3" borderId="0" xfId="4" applyFont="1" applyFill="1" applyBorder="1"/>
    <xf numFmtId="167" fontId="4" fillId="0" borderId="1" xfId="5" applyNumberFormat="1" applyFont="1" applyBorder="1" applyAlignment="1">
      <alignment horizontal="center" vertical="top" wrapText="1"/>
    </xf>
    <xf numFmtId="167" fontId="4" fillId="0" borderId="1" xfId="5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167" fontId="12" fillId="0" borderId="1" xfId="5" applyNumberFormat="1" applyFont="1" applyBorder="1" applyAlignment="1">
      <alignment horizontal="center"/>
    </xf>
    <xf numFmtId="167" fontId="12" fillId="0" borderId="1" xfId="5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7" fontId="4" fillId="0" borderId="1" xfId="5" applyNumberFormat="1" applyFont="1" applyBorder="1"/>
    <xf numFmtId="167" fontId="9" fillId="0" borderId="1" xfId="5" applyNumberFormat="1" applyFont="1" applyBorder="1"/>
    <xf numFmtId="167" fontId="13" fillId="0" borderId="1" xfId="5" applyNumberFormat="1" applyFont="1" applyFill="1" applyBorder="1"/>
    <xf numFmtId="167" fontId="4" fillId="0" borderId="1" xfId="5" applyNumberFormat="1" applyFont="1" applyFill="1" applyBorder="1"/>
    <xf numFmtId="43" fontId="4" fillId="0" borderId="1" xfId="5" applyFont="1" applyBorder="1"/>
    <xf numFmtId="167" fontId="5" fillId="0" borderId="1" xfId="5" applyNumberFormat="1" applyFont="1" applyBorder="1"/>
    <xf numFmtId="3" fontId="14" fillId="5" borderId="1" xfId="0" applyNumberFormat="1" applyFont="1" applyFill="1" applyBorder="1" applyAlignment="1">
      <alignment horizontal="right"/>
    </xf>
    <xf numFmtId="164" fontId="16" fillId="0" borderId="0" xfId="0" applyNumberFormat="1" applyFont="1" applyFill="1" applyBorder="1" applyAlignment="1"/>
    <xf numFmtId="166" fontId="15" fillId="0" borderId="0" xfId="0" applyNumberFormat="1" applyFont="1" applyFill="1" applyBorder="1" applyAlignment="1"/>
    <xf numFmtId="164" fontId="15" fillId="0" borderId="0" xfId="0" applyNumberFormat="1" applyFont="1" applyFill="1" applyBorder="1" applyAlignment="1"/>
    <xf numFmtId="9" fontId="4" fillId="0" borderId="0" xfId="0" applyNumberFormat="1" applyFont="1" applyFill="1" applyBorder="1" applyAlignment="1"/>
    <xf numFmtId="3" fontId="4" fillId="0" borderId="0" xfId="0" applyNumberFormat="1" applyFont="1" applyFill="1" applyBorder="1" applyAlignment="1" applyProtection="1">
      <alignment horizontal="right"/>
      <protection locked="0"/>
    </xf>
    <xf numFmtId="3" fontId="4" fillId="2" borderId="0" xfId="0" applyNumberFormat="1" applyFont="1" applyFill="1" applyBorder="1" applyAlignment="1" applyProtection="1">
      <alignment horizontal="right"/>
      <protection locked="0"/>
    </xf>
    <xf numFmtId="0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/>
    <xf numFmtId="0" fontId="5" fillId="7" borderId="0" xfId="0" applyNumberFormat="1" applyFont="1" applyFill="1" applyBorder="1" applyAlignment="1" applyProtection="1">
      <alignment horizontal="center" vertical="center" wrapText="1"/>
      <protection locked="0"/>
    </xf>
    <xf numFmtId="168" fontId="4" fillId="0" borderId="0" xfId="0" applyNumberFormat="1" applyFont="1" applyFill="1" applyBorder="1" applyAlignment="1"/>
    <xf numFmtId="0" fontId="0" fillId="0" borderId="0" xfId="0"/>
    <xf numFmtId="168" fontId="15" fillId="0" borderId="0" xfId="0" applyNumberFormat="1" applyFont="1" applyFill="1" applyBorder="1" applyAlignment="1"/>
    <xf numFmtId="168" fontId="4" fillId="0" borderId="0" xfId="0" applyNumberFormat="1" applyFont="1" applyFill="1" applyBorder="1" applyAlignment="1" applyProtection="1">
      <alignment horizontal="right"/>
      <protection locked="0"/>
    </xf>
    <xf numFmtId="169" fontId="30" fillId="0" borderId="9" xfId="10" applyNumberFormat="1" applyFont="1" applyBorder="1" applyAlignment="1">
      <alignment horizontal="right" vertical="center" wrapText="1"/>
    </xf>
    <xf numFmtId="37" fontId="4" fillId="0" borderId="0" xfId="5" applyNumberFormat="1" applyFont="1" applyFill="1" applyBorder="1" applyAlignment="1" applyProtection="1">
      <alignment horizontal="center"/>
      <protection locked="0"/>
    </xf>
    <xf numFmtId="164" fontId="4" fillId="12" borderId="0" xfId="0" applyNumberFormat="1" applyFont="1" applyFill="1" applyBorder="1" applyAlignment="1"/>
    <xf numFmtId="0" fontId="5" fillId="9" borderId="0" xfId="0" applyNumberFormat="1" applyFont="1" applyFill="1" applyBorder="1" applyAlignment="1" applyProtection="1">
      <alignment horizontal="center" vertical="center" wrapText="1"/>
      <protection locked="0"/>
    </xf>
    <xf numFmtId="168" fontId="5" fillId="9" borderId="0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0" xfId="0" applyNumberFormat="1" applyFont="1" applyFill="1" applyBorder="1" applyAlignment="1"/>
    <xf numFmtId="0" fontId="32" fillId="0" borderId="0" xfId="0" applyNumberFormat="1" applyFont="1" applyFill="1" applyBorder="1" applyAlignment="1">
      <alignment vertical="center"/>
    </xf>
    <xf numFmtId="0" fontId="33" fillId="0" borderId="5" xfId="0" applyNumberFormat="1" applyFont="1" applyFill="1" applyBorder="1" applyAlignment="1">
      <alignment vertical="center"/>
    </xf>
    <xf numFmtId="0" fontId="33" fillId="0" borderId="6" xfId="0" applyNumberFormat="1" applyFont="1" applyFill="1" applyBorder="1" applyAlignment="1">
      <alignment vertical="center"/>
    </xf>
    <xf numFmtId="0" fontId="33" fillId="0" borderId="7" xfId="0" applyNumberFormat="1" applyFont="1" applyFill="1" applyBorder="1" applyAlignment="1">
      <alignment vertical="center"/>
    </xf>
    <xf numFmtId="0" fontId="33" fillId="0" borderId="8" xfId="0" applyNumberFormat="1" applyFont="1" applyFill="1" applyBorder="1" applyAlignment="1">
      <alignment vertical="center"/>
    </xf>
    <xf numFmtId="38" fontId="4" fillId="4" borderId="0" xfId="0" applyNumberFormat="1" applyFont="1" applyFill="1" applyBorder="1" applyAlignment="1" applyProtection="1">
      <alignment horizontal="right" vertical="top" wrapText="1"/>
      <protection locked="0"/>
    </xf>
    <xf numFmtId="170" fontId="24" fillId="10" borderId="0" xfId="0" applyNumberFormat="1" applyFont="1" applyFill="1" applyAlignment="1">
      <alignment horizontal="center" vertical="center"/>
    </xf>
    <xf numFmtId="0" fontId="24" fillId="11" borderId="0" xfId="0" applyFont="1" applyFill="1"/>
    <xf numFmtId="170" fontId="29" fillId="1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171" fontId="24" fillId="0" borderId="0" xfId="0" applyNumberFormat="1" applyFont="1" applyAlignment="1">
      <alignment horizontal="right"/>
    </xf>
    <xf numFmtId="0" fontId="24" fillId="0" borderId="0" xfId="0" applyFont="1" applyAlignment="1">
      <alignment vertical="center"/>
    </xf>
    <xf numFmtId="171" fontId="24" fillId="0" borderId="0" xfId="0" applyNumberFormat="1" applyFont="1" applyAlignment="1">
      <alignment vertical="center"/>
    </xf>
    <xf numFmtId="172" fontId="24" fillId="0" borderId="0" xfId="0" applyNumberFormat="1" applyFont="1" applyAlignment="1">
      <alignment vertical="center"/>
    </xf>
    <xf numFmtId="0" fontId="24" fillId="0" borderId="0" xfId="0" applyFont="1"/>
    <xf numFmtId="164" fontId="4" fillId="0" borderId="0" xfId="0" applyNumberFormat="1" applyFont="1" applyFill="1" applyBorder="1" applyAlignment="1">
      <alignment horizontal="center"/>
    </xf>
    <xf numFmtId="3" fontId="4" fillId="4" borderId="0" xfId="0" applyNumberFormat="1" applyFont="1" applyFill="1" applyBorder="1" applyAlignment="1" applyProtection="1">
      <alignment horizontal="right"/>
      <protection locked="0"/>
    </xf>
    <xf numFmtId="0" fontId="34" fillId="2" borderId="0" xfId="0" applyNumberFormat="1" applyFont="1" applyFill="1" applyBorder="1" applyAlignment="1">
      <alignment horizontal="center" vertical="center" wrapText="1"/>
    </xf>
    <xf numFmtId="0" fontId="15" fillId="2" borderId="0" xfId="0" applyNumberFormat="1" applyFont="1" applyFill="1" applyBorder="1" applyAlignment="1"/>
    <xf numFmtId="169" fontId="30" fillId="0" borderId="0" xfId="10" applyNumberFormat="1" applyFont="1" applyAlignment="1">
      <alignment horizontal="right" vertical="center" wrapText="1"/>
    </xf>
    <xf numFmtId="164" fontId="15" fillId="0" borderId="0" xfId="0" applyNumberFormat="1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14" fontId="25" fillId="0" borderId="0" xfId="0" applyNumberFormat="1" applyFont="1"/>
    <xf numFmtId="0" fontId="27" fillId="0" borderId="0" xfId="0" applyFont="1"/>
    <xf numFmtId="0" fontId="24" fillId="0" borderId="0" xfId="0" applyFont="1" applyAlignment="1">
      <alignment horizontal="center"/>
    </xf>
    <xf numFmtId="0" fontId="28" fillId="0" borderId="0" xfId="0" applyFont="1" applyAlignment="1">
      <alignment vertical="center" wrapText="1"/>
    </xf>
    <xf numFmtId="0" fontId="26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173" fontId="24" fillId="0" borderId="0" xfId="0" applyNumberFormat="1" applyFont="1"/>
    <xf numFmtId="4" fontId="24" fillId="0" borderId="0" xfId="0" applyNumberFormat="1" applyFont="1"/>
    <xf numFmtId="4" fontId="26" fillId="0" borderId="0" xfId="0" applyNumberFormat="1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3" fontId="19" fillId="0" borderId="4" xfId="0" applyNumberFormat="1" applyFont="1" applyBorder="1" applyAlignment="1">
      <alignment horizontal="left"/>
    </xf>
    <xf numFmtId="0" fontId="24" fillId="4" borderId="0" xfId="0" applyFont="1" applyFill="1"/>
    <xf numFmtId="0" fontId="24" fillId="11" borderId="0" xfId="0" applyFont="1" applyFill="1" applyAlignment="1">
      <alignment vertical="top" wrapText="1"/>
    </xf>
    <xf numFmtId="174" fontId="4" fillId="4" borderId="0" xfId="0" applyNumberFormat="1" applyFont="1" applyFill="1" applyBorder="1" applyAlignment="1"/>
    <xf numFmtId="2" fontId="4" fillId="2" borderId="0" xfId="0" applyNumberFormat="1" applyFont="1" applyFill="1" applyBorder="1" applyAlignment="1" applyProtection="1">
      <alignment horizontal="center"/>
      <protection locked="0"/>
    </xf>
    <xf numFmtId="43" fontId="24" fillId="0" borderId="0" xfId="0" applyNumberFormat="1" applyFont="1"/>
    <xf numFmtId="173" fontId="24" fillId="6" borderId="0" xfId="0" applyNumberFormat="1" applyFont="1" applyFill="1"/>
    <xf numFmtId="0" fontId="24" fillId="6" borderId="0" xfId="0" applyFont="1" applyFill="1" applyAlignment="1">
      <alignment wrapText="1"/>
    </xf>
    <xf numFmtId="0" fontId="15" fillId="2" borderId="0" xfId="0" applyNumberFormat="1" applyFont="1" applyFill="1" applyBorder="1" applyAlignment="1">
      <alignment wrapText="1"/>
    </xf>
    <xf numFmtId="164" fontId="20" fillId="8" borderId="0" xfId="6" applyNumberFormat="1" applyFont="1" applyBorder="1" applyAlignment="1" applyProtection="1">
      <alignment horizontal="center" vertical="top"/>
      <protection locked="0"/>
    </xf>
    <xf numFmtId="164" fontId="20" fillId="8" borderId="0" xfId="6" applyNumberFormat="1" applyFont="1" applyBorder="1" applyAlignment="1" applyProtection="1">
      <alignment horizontal="left" vertical="top"/>
      <protection locked="0"/>
    </xf>
    <xf numFmtId="14" fontId="20" fillId="8" borderId="0" xfId="6" applyNumberFormat="1" applyFont="1" applyBorder="1" applyAlignment="1" applyProtection="1">
      <alignment horizontal="center" vertical="top"/>
      <protection locked="0"/>
    </xf>
    <xf numFmtId="3" fontId="20" fillId="8" borderId="0" xfId="6" applyNumberFormat="1" applyFont="1" applyBorder="1" applyAlignment="1" applyProtection="1">
      <alignment horizontal="right" vertical="top"/>
      <protection locked="0"/>
    </xf>
    <xf numFmtId="164" fontId="20" fillId="8" borderId="0" xfId="6" applyNumberFormat="1" applyFont="1" applyBorder="1" applyAlignment="1">
      <alignment vertical="top"/>
    </xf>
    <xf numFmtId="0" fontId="24" fillId="0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left" vertical="center" wrapText="1"/>
    </xf>
    <xf numFmtId="4" fontId="24" fillId="0" borderId="0" xfId="0" applyNumberFormat="1" applyFont="1" applyFill="1" applyAlignment="1">
      <alignment horizontal="right"/>
    </xf>
    <xf numFmtId="0" fontId="24" fillId="0" borderId="0" xfId="0" applyFont="1" applyFill="1" applyAlignment="1">
      <alignment vertical="center"/>
    </xf>
    <xf numFmtId="171" fontId="24" fillId="0" borderId="0" xfId="0" applyNumberFormat="1" applyFont="1" applyFill="1" applyAlignment="1">
      <alignment vertical="center"/>
    </xf>
    <xf numFmtId="172" fontId="24" fillId="0" borderId="0" xfId="0" applyNumberFormat="1" applyFont="1" applyFill="1" applyAlignment="1">
      <alignment vertical="center"/>
    </xf>
    <xf numFmtId="171" fontId="24" fillId="0" borderId="0" xfId="0" applyNumberFormat="1" applyFont="1" applyFill="1" applyAlignment="1">
      <alignment horizontal="right"/>
    </xf>
    <xf numFmtId="173" fontId="24" fillId="0" borderId="0" xfId="0" applyNumberFormat="1" applyFont="1" applyFill="1"/>
    <xf numFmtId="2" fontId="24" fillId="0" borderId="0" xfId="0" applyNumberFormat="1" applyFont="1" applyFill="1"/>
    <xf numFmtId="2" fontId="30" fillId="0" borderId="9" xfId="10" applyNumberFormat="1" applyFont="1" applyBorder="1" applyAlignment="1">
      <alignment horizontal="right" vertical="center" wrapText="1"/>
    </xf>
    <xf numFmtId="2" fontId="30" fillId="0" borderId="0" xfId="10" applyNumberFormat="1" applyFont="1" applyAlignment="1">
      <alignment horizontal="right" vertical="center" wrapText="1"/>
    </xf>
    <xf numFmtId="0" fontId="24" fillId="0" borderId="0" xfId="0" applyFont="1" applyFill="1"/>
    <xf numFmtId="175" fontId="4" fillId="0" borderId="0" xfId="0" applyNumberFormat="1" applyFont="1" applyFill="1" applyBorder="1" applyAlignment="1"/>
    <xf numFmtId="176" fontId="4" fillId="0" borderId="0" xfId="0" applyNumberFormat="1" applyFont="1" applyFill="1" applyBorder="1" applyAlignment="1" applyProtection="1">
      <alignment horizontal="center"/>
      <protection locked="0"/>
    </xf>
    <xf numFmtId="2" fontId="4" fillId="4" borderId="0" xfId="0" applyNumberFormat="1" applyFont="1" applyFill="1" applyBorder="1" applyAlignment="1" applyProtection="1">
      <alignment horizontal="center"/>
      <protection locked="0"/>
    </xf>
    <xf numFmtId="167" fontId="4" fillId="0" borderId="0" xfId="0" applyNumberFormat="1" applyFont="1" applyFill="1" applyBorder="1" applyAlignment="1"/>
    <xf numFmtId="164" fontId="35" fillId="0" borderId="0" xfId="0" applyNumberFormat="1" applyFont="1" applyFill="1" applyBorder="1" applyAlignment="1" applyProtection="1">
      <alignment horizontal="center"/>
      <protection locked="0"/>
    </xf>
    <xf numFmtId="164" fontId="35" fillId="0" borderId="0" xfId="0" applyNumberFormat="1" applyFont="1" applyFill="1" applyBorder="1" applyAlignment="1" applyProtection="1">
      <alignment horizontal="left"/>
      <protection locked="0"/>
    </xf>
    <xf numFmtId="176" fontId="35" fillId="0" borderId="0" xfId="0" applyNumberFormat="1" applyFont="1" applyFill="1" applyBorder="1" applyAlignment="1" applyProtection="1">
      <alignment horizontal="center"/>
      <protection locked="0"/>
    </xf>
    <xf numFmtId="2" fontId="35" fillId="2" borderId="0" xfId="0" applyNumberFormat="1" applyFont="1" applyFill="1" applyBorder="1" applyAlignment="1" applyProtection="1">
      <alignment horizontal="center"/>
      <protection locked="0"/>
    </xf>
    <xf numFmtId="37" fontId="35" fillId="0" borderId="0" xfId="5" applyNumberFormat="1" applyFont="1" applyFill="1" applyBorder="1" applyAlignment="1" applyProtection="1">
      <alignment horizontal="center"/>
      <protection locked="0"/>
    </xf>
    <xf numFmtId="3" fontId="35" fillId="0" borderId="0" xfId="0" applyNumberFormat="1" applyFont="1" applyFill="1" applyBorder="1" applyAlignment="1" applyProtection="1">
      <alignment horizontal="right"/>
      <protection locked="0"/>
    </xf>
    <xf numFmtId="168" fontId="35" fillId="0" borderId="0" xfId="0" applyNumberFormat="1" applyFont="1" applyFill="1" applyBorder="1" applyAlignment="1" applyProtection="1">
      <alignment horizontal="right"/>
      <protection locked="0"/>
    </xf>
    <xf numFmtId="3" fontId="35" fillId="2" borderId="0" xfId="0" applyNumberFormat="1" applyFont="1" applyFill="1" applyBorder="1" applyAlignment="1" applyProtection="1">
      <alignment horizontal="right"/>
      <protection locked="0"/>
    </xf>
    <xf numFmtId="164" fontId="35" fillId="0" borderId="0" xfId="0" applyNumberFormat="1" applyFont="1" applyFill="1" applyBorder="1" applyAlignment="1"/>
    <xf numFmtId="166" fontId="35" fillId="0" borderId="0" xfId="0" applyNumberFormat="1" applyFont="1" applyFill="1" applyBorder="1" applyAlignment="1"/>
    <xf numFmtId="175" fontId="35" fillId="0" borderId="0" xfId="0" applyNumberFormat="1" applyFont="1" applyFill="1" applyBorder="1" applyAlignment="1"/>
    <xf numFmtId="3" fontId="36" fillId="0" borderId="4" xfId="0" applyNumberFormat="1" applyFont="1" applyBorder="1" applyAlignment="1">
      <alignment horizontal="left"/>
    </xf>
    <xf numFmtId="166" fontId="35" fillId="2" borderId="0" xfId="0" applyNumberFormat="1" applyFont="1" applyFill="1" applyBorder="1" applyAlignment="1"/>
    <xf numFmtId="164" fontId="37" fillId="0" borderId="0" xfId="0" applyNumberFormat="1" applyFont="1" applyFill="1" applyBorder="1" applyAlignment="1" applyProtection="1">
      <alignment horizontal="center"/>
      <protection locked="0"/>
    </xf>
    <xf numFmtId="164" fontId="37" fillId="0" borderId="0" xfId="0" applyNumberFormat="1" applyFont="1" applyFill="1" applyBorder="1" applyAlignment="1" applyProtection="1">
      <alignment horizontal="left"/>
      <protection locked="0"/>
    </xf>
    <xf numFmtId="176" fontId="37" fillId="0" borderId="0" xfId="0" applyNumberFormat="1" applyFont="1" applyFill="1" applyBorder="1" applyAlignment="1" applyProtection="1">
      <alignment horizontal="center"/>
      <protection locked="0"/>
    </xf>
    <xf numFmtId="2" fontId="37" fillId="2" borderId="0" xfId="0" applyNumberFormat="1" applyFont="1" applyFill="1" applyBorder="1" applyAlignment="1" applyProtection="1">
      <alignment horizontal="center"/>
      <protection locked="0"/>
    </xf>
    <xf numFmtId="37" fontId="37" fillId="0" borderId="0" xfId="5" applyNumberFormat="1" applyFont="1" applyFill="1" applyBorder="1" applyAlignment="1" applyProtection="1">
      <alignment horizontal="center"/>
      <protection locked="0"/>
    </xf>
    <xf numFmtId="3" fontId="37" fillId="0" borderId="0" xfId="0" applyNumberFormat="1" applyFont="1" applyFill="1" applyBorder="1" applyAlignment="1" applyProtection="1">
      <alignment horizontal="right"/>
      <protection locked="0"/>
    </xf>
    <xf numFmtId="168" fontId="37" fillId="0" borderId="0" xfId="0" applyNumberFormat="1" applyFont="1" applyFill="1" applyBorder="1" applyAlignment="1" applyProtection="1">
      <alignment horizontal="right"/>
      <protection locked="0"/>
    </xf>
    <xf numFmtId="3" fontId="37" fillId="2" borderId="0" xfId="0" applyNumberFormat="1" applyFont="1" applyFill="1" applyBorder="1" applyAlignment="1" applyProtection="1">
      <alignment horizontal="right"/>
      <protection locked="0"/>
    </xf>
    <xf numFmtId="164" fontId="37" fillId="0" borderId="0" xfId="0" applyNumberFormat="1" applyFont="1" applyFill="1" applyBorder="1" applyAlignment="1"/>
    <xf numFmtId="166" fontId="37" fillId="0" borderId="0" xfId="0" applyNumberFormat="1" applyFont="1" applyFill="1" applyBorder="1" applyAlignment="1"/>
    <xf numFmtId="175" fontId="37" fillId="0" borderId="0" xfId="0" applyNumberFormat="1" applyFont="1" applyFill="1" applyBorder="1" applyAlignment="1"/>
    <xf numFmtId="3" fontId="38" fillId="0" borderId="4" xfId="0" applyNumberFormat="1" applyFont="1" applyBorder="1" applyAlignment="1">
      <alignment horizontal="left"/>
    </xf>
    <xf numFmtId="166" fontId="37" fillId="2" borderId="0" xfId="0" applyNumberFormat="1" applyFont="1" applyFill="1" applyBorder="1" applyAlignment="1"/>
    <xf numFmtId="164" fontId="39" fillId="0" borderId="0" xfId="0" applyNumberFormat="1" applyFont="1" applyFill="1" applyBorder="1" applyAlignment="1"/>
    <xf numFmtId="164" fontId="39" fillId="0" borderId="0" xfId="0" applyNumberFormat="1" applyFont="1" applyFill="1" applyBorder="1" applyAlignment="1">
      <alignment wrapText="1"/>
    </xf>
    <xf numFmtId="164" fontId="4" fillId="0" borderId="0" xfId="0" applyNumberFormat="1" applyFont="1" applyFill="1" applyBorder="1" applyAlignment="1">
      <alignment wrapText="1"/>
    </xf>
    <xf numFmtId="167" fontId="4" fillId="0" borderId="2" xfId="5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167" fontId="14" fillId="5" borderId="1" xfId="5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167" fontId="4" fillId="0" borderId="1" xfId="5" applyNumberFormat="1" applyFont="1" applyBorder="1" applyAlignment="1">
      <alignment horizontal="center" vertical="top"/>
    </xf>
    <xf numFmtId="167" fontId="4" fillId="0" borderId="1" xfId="5" applyNumberFormat="1" applyFont="1" applyBorder="1" applyAlignment="1">
      <alignment horizontal="center" vertical="top" wrapText="1"/>
    </xf>
    <xf numFmtId="167" fontId="4" fillId="0" borderId="3" xfId="5" applyNumberFormat="1" applyFont="1" applyBorder="1" applyAlignment="1">
      <alignment horizontal="center" vertical="top" wrapText="1"/>
    </xf>
    <xf numFmtId="0" fontId="24" fillId="11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4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 wrapText="1"/>
    </xf>
  </cellXfs>
  <cellStyles count="11">
    <cellStyle name="Accent6" xfId="6" builtinId="49"/>
    <cellStyle name="Comma" xfId="5" builtinId="3"/>
    <cellStyle name="Comma 2" xfId="9" xr:uid="{721AEF18-66E5-46BC-9C73-621D47D5176F}"/>
    <cellStyle name="Comma 2 4" xfId="3" xr:uid="{00000000-0005-0000-0000-000001000000}"/>
    <cellStyle name="Normal" xfId="0" builtinId="0"/>
    <cellStyle name="Normal 13" xfId="8" xr:uid="{0F105D26-844F-4140-BEF1-5FD4006E425B}"/>
    <cellStyle name="Normal 2" xfId="1" xr:uid="{00000000-0005-0000-0000-000003000000}"/>
    <cellStyle name="Normal 2 3" xfId="7" xr:uid="{1412EA77-4434-4EC0-A563-BF493D788FEB}"/>
    <cellStyle name="Normal 3" xfId="10" xr:uid="{D7F1FB5C-720F-43E6-B322-DAF820000979}"/>
    <cellStyle name="Per cent" xfId="2" builtinId="5"/>
    <cellStyle name="Percent 2" xfId="4" xr:uid="{00000000-0005-0000-0000-000005000000}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EDF3D1"/>
        </patternFill>
      </fill>
    </dxf>
    <dxf>
      <fill>
        <patternFill>
          <bgColor rgb="FFEDF3D1"/>
        </patternFill>
      </fill>
    </dxf>
    <dxf>
      <font>
        <color rgb="FFFF0000"/>
      </font>
      <fill>
        <patternFill>
          <bgColor rgb="FFEDF5FF"/>
        </patternFill>
      </fill>
    </dxf>
    <dxf>
      <numFmt numFmtId="177" formatCode="_(* #,###_);_(* \(#,###\);_(* &quot;&quot;_);_(@_)"/>
    </dxf>
    <dxf>
      <numFmt numFmtId="169" formatCode="_(* #,##0.0_);_(* \(#,##0.0\);_(* &quot;&quot;_);_(@_)"/>
    </dxf>
    <dxf>
      <numFmt numFmtId="178" formatCode="_(* #,##0.00_);_(* \(#,##0.00\);_(* &quot;&quot;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99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urilanga-my.sharepoint.com/personal/thanh_huynh_maurilanga_com/Documents/Desktop/AB%20Mauri_Payroll%20Report_Oct%202023%20official.xlsx" TargetMode="External"/><Relationship Id="rId1" Type="http://schemas.openxmlformats.org/officeDocument/2006/relationships/externalLinkPath" Target="https://maurilanga-my.sharepoint.com/personal/thanh_huynh_abmauri_vn/Documents/ABMV/Payroll/2023/Dec/Payroll/Old%20desktop/AB%20Mauri_Payroll%20Report_Oct%202023%20offici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urilanga-my.sharepoint.com/personal/thanh_huynh_abmauri_vn/Documents/ABMV/Payroll/2024/Feb/AB%20Mauri_Payroll%20February%202024-%20Data%20Clarification.xlsx" TargetMode="External"/><Relationship Id="rId1" Type="http://schemas.openxmlformats.org/officeDocument/2006/relationships/externalLinkPath" Target="https://maurilanga-my.sharepoint.com/personal/thanh_huynh_abmauri_vn/Documents/ABMV/Payroll/2024/Feb/AB%20Mauri_Payroll%20February%202024-%20Data%20Clarif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"/>
      <sheetName val="Salary Report (new)"/>
      <sheetName val="Payroll master  (2)"/>
      <sheetName val="Payroll master "/>
      <sheetName val="Phone"/>
      <sheetName val="Taxi"/>
      <sheetName val="Timesheet"/>
      <sheetName val="Mailmerge payslip"/>
      <sheetName val="Banking voucher Oct.23"/>
      <sheetName val="Tờ khai-PIT"/>
      <sheetName val="Cost Center"/>
    </sheetNames>
    <sheetDataSet>
      <sheetData sheetId="0"/>
      <sheetData sheetId="1"/>
      <sheetData sheetId="2"/>
      <sheetData sheetId="3">
        <row r="12">
          <cell r="B12" t="str">
            <v>0014</v>
          </cell>
          <cell r="C12" t="str">
            <v>NGUYỄN ĐÌNH THƠM</v>
          </cell>
          <cell r="D12" t="str">
            <v>9200</v>
          </cell>
          <cell r="E12">
            <v>14759187</v>
          </cell>
          <cell r="F12">
            <v>24.125</v>
          </cell>
          <cell r="G12">
            <v>24.125</v>
          </cell>
          <cell r="H12">
            <v>0</v>
          </cell>
          <cell r="I12">
            <v>14759187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475000</v>
          </cell>
          <cell r="P12"/>
          <cell r="Q12">
            <v>-300000</v>
          </cell>
          <cell r="R12"/>
          <cell r="S12">
            <v>14934187</v>
          </cell>
          <cell r="T12">
            <v>1180735</v>
          </cell>
          <cell r="U12">
            <v>221388</v>
          </cell>
          <cell r="V12">
            <v>147592</v>
          </cell>
          <cell r="W12">
            <v>1549715</v>
          </cell>
          <cell r="X12">
            <v>2582858</v>
          </cell>
          <cell r="Y12">
            <v>442776</v>
          </cell>
          <cell r="Z12">
            <v>147592</v>
          </cell>
          <cell r="AA12">
            <v>3173226</v>
          </cell>
          <cell r="AB12">
            <v>0</v>
          </cell>
          <cell r="AC12">
            <v>295184</v>
          </cell>
          <cell r="AD12">
            <v>2</v>
          </cell>
        </row>
        <row r="13">
          <cell r="B13" t="str">
            <v>0016</v>
          </cell>
          <cell r="C13" t="str">
            <v>NGUYỄN THỊ NGÀ</v>
          </cell>
          <cell r="D13" t="str">
            <v>9200</v>
          </cell>
          <cell r="E13">
            <v>6583338</v>
          </cell>
          <cell r="F13">
            <v>24</v>
          </cell>
          <cell r="G13">
            <v>23.5</v>
          </cell>
          <cell r="H13">
            <v>0.5</v>
          </cell>
          <cell r="I13">
            <v>6583338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/>
          <cell r="Q13">
            <v>0</v>
          </cell>
          <cell r="R13"/>
          <cell r="S13">
            <v>6583338</v>
          </cell>
          <cell r="T13">
            <v>526667</v>
          </cell>
          <cell r="U13">
            <v>98750</v>
          </cell>
          <cell r="V13">
            <v>65833</v>
          </cell>
          <cell r="W13">
            <v>691250</v>
          </cell>
          <cell r="X13">
            <v>1152084</v>
          </cell>
          <cell r="Y13">
            <v>197500</v>
          </cell>
          <cell r="Z13">
            <v>65833</v>
          </cell>
          <cell r="AA13">
            <v>1415417</v>
          </cell>
          <cell r="AB13">
            <v>0</v>
          </cell>
          <cell r="AC13">
            <v>131667</v>
          </cell>
          <cell r="AD13">
            <v>0</v>
          </cell>
        </row>
        <row r="14">
          <cell r="B14" t="str">
            <v>0020</v>
          </cell>
          <cell r="C14" t="str">
            <v>LÊ THỊ NĂM</v>
          </cell>
          <cell r="D14" t="str">
            <v>9200</v>
          </cell>
          <cell r="E14">
            <v>7008969</v>
          </cell>
          <cell r="F14">
            <v>24</v>
          </cell>
          <cell r="G14">
            <v>24</v>
          </cell>
          <cell r="H14">
            <v>0</v>
          </cell>
          <cell r="I14">
            <v>7008969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/>
          <cell r="Q14">
            <v>0</v>
          </cell>
          <cell r="R14"/>
          <cell r="S14">
            <v>7008969</v>
          </cell>
          <cell r="T14">
            <v>560718</v>
          </cell>
          <cell r="U14">
            <v>105135</v>
          </cell>
          <cell r="V14">
            <v>70090</v>
          </cell>
          <cell r="W14">
            <v>735943</v>
          </cell>
          <cell r="X14">
            <v>1226570</v>
          </cell>
          <cell r="Y14">
            <v>210269</v>
          </cell>
          <cell r="Z14">
            <v>70090</v>
          </cell>
          <cell r="AA14">
            <v>1506929</v>
          </cell>
          <cell r="AB14">
            <v>0</v>
          </cell>
          <cell r="AC14">
            <v>140179</v>
          </cell>
          <cell r="AD14">
            <v>0</v>
          </cell>
        </row>
        <row r="15">
          <cell r="B15" t="str">
            <v>0023</v>
          </cell>
          <cell r="C15" t="str">
            <v>PHẠM QUANG HIỀN</v>
          </cell>
          <cell r="D15" t="str">
            <v>9200</v>
          </cell>
          <cell r="E15">
            <v>11244172</v>
          </cell>
          <cell r="F15">
            <v>24.125</v>
          </cell>
          <cell r="G15">
            <v>24.096250000000001</v>
          </cell>
          <cell r="H15">
            <v>2.8750000000000001E-2</v>
          </cell>
          <cell r="I15">
            <v>11244172</v>
          </cell>
          <cell r="J15">
            <v>2000000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/>
          <cell r="Q15">
            <v>-200000</v>
          </cell>
          <cell r="R15"/>
          <cell r="S15">
            <v>13044172</v>
          </cell>
          <cell r="T15">
            <v>1059534</v>
          </cell>
          <cell r="U15">
            <v>198663</v>
          </cell>
          <cell r="V15">
            <v>132442</v>
          </cell>
          <cell r="W15">
            <v>1390639</v>
          </cell>
          <cell r="X15">
            <v>2317730</v>
          </cell>
          <cell r="Y15">
            <v>397325</v>
          </cell>
          <cell r="Z15">
            <v>132442</v>
          </cell>
          <cell r="AA15">
            <v>2847497</v>
          </cell>
          <cell r="AB15">
            <v>0</v>
          </cell>
          <cell r="AC15">
            <v>264883</v>
          </cell>
          <cell r="AD15">
            <v>0</v>
          </cell>
        </row>
        <row r="16">
          <cell r="B16" t="str">
            <v>0024</v>
          </cell>
          <cell r="C16" t="str">
            <v>PHẠM HUY HOÀNG</v>
          </cell>
          <cell r="D16" t="str">
            <v>9200</v>
          </cell>
          <cell r="E16">
            <v>11827217</v>
          </cell>
          <cell r="F16">
            <v>24.125</v>
          </cell>
          <cell r="G16">
            <v>22.5</v>
          </cell>
          <cell r="H16">
            <v>1.125</v>
          </cell>
          <cell r="I16">
            <v>11582093</v>
          </cell>
          <cell r="J16">
            <v>2000000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/>
          <cell r="Q16">
            <v>-200000</v>
          </cell>
          <cell r="R16"/>
          <cell r="S16">
            <v>13382093</v>
          </cell>
          <cell r="T16">
            <v>1106177</v>
          </cell>
          <cell r="U16">
            <v>207408</v>
          </cell>
          <cell r="V16">
            <v>138272</v>
          </cell>
          <cell r="W16">
            <v>1451857</v>
          </cell>
          <cell r="X16">
            <v>2419763</v>
          </cell>
          <cell r="Y16">
            <v>414817</v>
          </cell>
          <cell r="Z16">
            <v>138272</v>
          </cell>
          <cell r="AA16">
            <v>2972852</v>
          </cell>
          <cell r="AB16">
            <v>0</v>
          </cell>
          <cell r="AC16">
            <v>276544</v>
          </cell>
          <cell r="AD16">
            <v>1</v>
          </cell>
        </row>
        <row r="17">
          <cell r="B17" t="str">
            <v>0035</v>
          </cell>
          <cell r="C17" t="str">
            <v>NGUYỄN TẤN NGÔN</v>
          </cell>
          <cell r="D17" t="str">
            <v>9230</v>
          </cell>
          <cell r="E17">
            <v>12379122</v>
          </cell>
          <cell r="F17"/>
          <cell r="G17"/>
          <cell r="H17"/>
          <cell r="I17"/>
          <cell r="J17">
            <v>0</v>
          </cell>
          <cell r="K17"/>
          <cell r="L17"/>
          <cell r="M17"/>
          <cell r="N17">
            <v>0</v>
          </cell>
          <cell r="O17">
            <v>1173272</v>
          </cell>
          <cell r="P17"/>
          <cell r="Q17">
            <v>-300000</v>
          </cell>
          <cell r="R17">
            <v>3658854</v>
          </cell>
          <cell r="S17">
            <v>4532126</v>
          </cell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>
            <v>2</v>
          </cell>
        </row>
        <row r="18">
          <cell r="B18" t="str">
            <v>0040</v>
          </cell>
          <cell r="C18" t="str">
            <v>TRẦN THỊ LỆ</v>
          </cell>
          <cell r="D18" t="str">
            <v>9240</v>
          </cell>
          <cell r="E18">
            <v>11642215</v>
          </cell>
          <cell r="F18"/>
          <cell r="G18"/>
          <cell r="H18"/>
          <cell r="I18"/>
          <cell r="J18">
            <v>0</v>
          </cell>
          <cell r="K18"/>
          <cell r="L18"/>
          <cell r="M18"/>
          <cell r="N18">
            <v>0</v>
          </cell>
          <cell r="O18">
            <v>1688121</v>
          </cell>
          <cell r="P18"/>
          <cell r="Q18">
            <v>-200000</v>
          </cell>
          <cell r="R18">
            <v>-465689</v>
          </cell>
          <cell r="S18">
            <v>1022432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>
            <v>2</v>
          </cell>
        </row>
        <row r="19">
          <cell r="B19" t="str">
            <v>0071</v>
          </cell>
          <cell r="C19" t="str">
            <v>NGUYỄN THỊ PHƯƠNG CHI</v>
          </cell>
          <cell r="D19" t="str">
            <v>9200</v>
          </cell>
          <cell r="E19">
            <v>83497822.25</v>
          </cell>
          <cell r="F19">
            <v>24.125</v>
          </cell>
          <cell r="G19">
            <v>23.766249999999999</v>
          </cell>
          <cell r="H19">
            <v>0.35875000000000001</v>
          </cell>
          <cell r="I19">
            <v>83497822</v>
          </cell>
          <cell r="J19">
            <v>0</v>
          </cell>
          <cell r="K19">
            <v>0</v>
          </cell>
          <cell r="L19">
            <v>0</v>
          </cell>
          <cell r="M19">
            <v>450693</v>
          </cell>
          <cell r="N19">
            <v>0</v>
          </cell>
          <cell r="O19">
            <v>0</v>
          </cell>
          <cell r="P19"/>
          <cell r="Q19">
            <v>-500000</v>
          </cell>
          <cell r="R19"/>
          <cell r="S19">
            <v>83448515</v>
          </cell>
          <cell r="T19">
            <v>2880000</v>
          </cell>
          <cell r="U19">
            <v>540000</v>
          </cell>
          <cell r="V19">
            <v>832000</v>
          </cell>
          <cell r="W19">
            <v>4252000</v>
          </cell>
          <cell r="X19">
            <v>6300000</v>
          </cell>
          <cell r="Y19">
            <v>1080000</v>
          </cell>
          <cell r="Z19">
            <v>832000</v>
          </cell>
          <cell r="AA19">
            <v>8212000</v>
          </cell>
          <cell r="AB19">
            <v>0</v>
          </cell>
          <cell r="AC19">
            <v>720000</v>
          </cell>
          <cell r="AD19">
            <v>1</v>
          </cell>
        </row>
        <row r="20">
          <cell r="B20" t="str">
            <v>0096</v>
          </cell>
          <cell r="C20" t="str">
            <v>NGUYỄN THỊ XUÂN LAN</v>
          </cell>
          <cell r="D20" t="str">
            <v>9280</v>
          </cell>
          <cell r="E20">
            <v>9809115</v>
          </cell>
          <cell r="F20">
            <v>24</v>
          </cell>
          <cell r="G20">
            <v>21.76</v>
          </cell>
          <cell r="H20">
            <v>2.2400000000000002</v>
          </cell>
          <cell r="I20">
            <v>9809115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/>
          <cell r="Q20">
            <v>-200000</v>
          </cell>
          <cell r="R20"/>
          <cell r="S20">
            <v>9609115</v>
          </cell>
          <cell r="T20">
            <v>784729</v>
          </cell>
          <cell r="U20">
            <v>147137</v>
          </cell>
          <cell r="V20">
            <v>98091</v>
          </cell>
          <cell r="W20">
            <v>1029957</v>
          </cell>
          <cell r="X20">
            <v>1716595</v>
          </cell>
          <cell r="Y20">
            <v>294273</v>
          </cell>
          <cell r="Z20">
            <v>98091</v>
          </cell>
          <cell r="AA20">
            <v>2108959</v>
          </cell>
          <cell r="AB20">
            <v>0</v>
          </cell>
          <cell r="AC20">
            <v>196182</v>
          </cell>
          <cell r="AD20">
            <v>0</v>
          </cell>
        </row>
        <row r="21">
          <cell r="B21" t="str">
            <v>0107</v>
          </cell>
          <cell r="C21" t="str">
            <v>NGUYỄN THỊ KIM NGÂN</v>
          </cell>
          <cell r="D21" t="str">
            <v>9220</v>
          </cell>
          <cell r="E21">
            <v>7738747</v>
          </cell>
          <cell r="F21">
            <v>24</v>
          </cell>
          <cell r="G21">
            <v>22.5</v>
          </cell>
          <cell r="H21">
            <v>1.5</v>
          </cell>
          <cell r="I21">
            <v>7738747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/>
          <cell r="Q21">
            <v>0</v>
          </cell>
          <cell r="R21"/>
          <cell r="S21">
            <v>7738747</v>
          </cell>
          <cell r="T21">
            <v>619100</v>
          </cell>
          <cell r="U21">
            <v>116081</v>
          </cell>
          <cell r="V21">
            <v>77387</v>
          </cell>
          <cell r="W21">
            <v>812568</v>
          </cell>
          <cell r="X21">
            <v>1354281</v>
          </cell>
          <cell r="Y21">
            <v>232162</v>
          </cell>
          <cell r="Z21">
            <v>77387</v>
          </cell>
          <cell r="AA21">
            <v>1663830</v>
          </cell>
          <cell r="AB21">
            <v>0</v>
          </cell>
          <cell r="AC21">
            <v>154775</v>
          </cell>
          <cell r="AD21">
            <v>0</v>
          </cell>
        </row>
        <row r="22">
          <cell r="B22" t="str">
            <v>0108</v>
          </cell>
          <cell r="C22" t="str">
            <v>NGUYỄN THẾ LỘC</v>
          </cell>
          <cell r="D22" t="str">
            <v>9220</v>
          </cell>
          <cell r="E22">
            <v>8537045</v>
          </cell>
          <cell r="F22">
            <v>24</v>
          </cell>
          <cell r="G22">
            <v>14.5</v>
          </cell>
          <cell r="H22">
            <v>1.5</v>
          </cell>
          <cell r="I22">
            <v>5691363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/>
          <cell r="Q22">
            <v>0</v>
          </cell>
          <cell r="R22"/>
          <cell r="S22">
            <v>5691363</v>
          </cell>
          <cell r="T22">
            <v>682964</v>
          </cell>
          <cell r="U22">
            <v>128056</v>
          </cell>
          <cell r="V22">
            <v>85370</v>
          </cell>
          <cell r="W22">
            <v>896390</v>
          </cell>
          <cell r="X22">
            <v>1493983</v>
          </cell>
          <cell r="Y22">
            <v>256111</v>
          </cell>
          <cell r="Z22">
            <v>85370</v>
          </cell>
          <cell r="AA22">
            <v>1835464</v>
          </cell>
          <cell r="AB22">
            <v>0</v>
          </cell>
          <cell r="AC22">
            <v>170741</v>
          </cell>
          <cell r="AD22">
            <v>0</v>
          </cell>
        </row>
        <row r="23">
          <cell r="B23" t="str">
            <v>0112</v>
          </cell>
          <cell r="C23" t="str">
            <v>TRỊNH THỊ THẢO</v>
          </cell>
          <cell r="D23" t="str">
            <v>9220</v>
          </cell>
          <cell r="E23">
            <v>7444178</v>
          </cell>
          <cell r="F23">
            <v>24</v>
          </cell>
          <cell r="G23">
            <v>22.5</v>
          </cell>
          <cell r="H23">
            <v>1.5</v>
          </cell>
          <cell r="I23">
            <v>7444178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/>
          <cell r="Q23">
            <v>0</v>
          </cell>
          <cell r="R23"/>
          <cell r="S23">
            <v>7444178</v>
          </cell>
          <cell r="T23">
            <v>595534</v>
          </cell>
          <cell r="U23">
            <v>111663</v>
          </cell>
          <cell r="V23">
            <v>74442</v>
          </cell>
          <cell r="W23">
            <v>781639</v>
          </cell>
          <cell r="X23">
            <v>1302731</v>
          </cell>
          <cell r="Y23">
            <v>223325</v>
          </cell>
          <cell r="Z23">
            <v>74442</v>
          </cell>
          <cell r="AA23">
            <v>1600498</v>
          </cell>
          <cell r="AB23">
            <v>0</v>
          </cell>
          <cell r="AC23">
            <v>148884</v>
          </cell>
          <cell r="AD23">
            <v>0</v>
          </cell>
        </row>
        <row r="24">
          <cell r="B24" t="str">
            <v>0113</v>
          </cell>
          <cell r="C24" t="str">
            <v>DƯƠNG THỊ NỞ</v>
          </cell>
          <cell r="D24" t="str">
            <v>9220</v>
          </cell>
          <cell r="E24">
            <v>7752773</v>
          </cell>
          <cell r="F24">
            <v>24</v>
          </cell>
          <cell r="G24">
            <v>22</v>
          </cell>
          <cell r="H24">
            <v>1</v>
          </cell>
          <cell r="I24">
            <v>7429741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/>
          <cell r="Q24">
            <v>0</v>
          </cell>
          <cell r="R24"/>
          <cell r="S24">
            <v>7429741</v>
          </cell>
          <cell r="T24">
            <v>620222</v>
          </cell>
          <cell r="U24">
            <v>116292</v>
          </cell>
          <cell r="V24">
            <v>77528</v>
          </cell>
          <cell r="W24">
            <v>814042</v>
          </cell>
          <cell r="X24">
            <v>1356735</v>
          </cell>
          <cell r="Y24">
            <v>232583</v>
          </cell>
          <cell r="Z24">
            <v>77528</v>
          </cell>
          <cell r="AA24">
            <v>1666846</v>
          </cell>
          <cell r="AB24">
            <v>0</v>
          </cell>
          <cell r="AC24">
            <v>155055</v>
          </cell>
          <cell r="AD24">
            <v>1</v>
          </cell>
        </row>
        <row r="25">
          <cell r="B25" t="str">
            <v>0122</v>
          </cell>
          <cell r="C25" t="str">
            <v>VÕ VĂN TUYẾT</v>
          </cell>
          <cell r="D25" t="str">
            <v>9280</v>
          </cell>
          <cell r="E25">
            <v>8944401</v>
          </cell>
          <cell r="F25">
            <v>24</v>
          </cell>
          <cell r="G25">
            <v>23</v>
          </cell>
          <cell r="H25">
            <v>1</v>
          </cell>
          <cell r="I25">
            <v>8944401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/>
          <cell r="Q25">
            <v>0</v>
          </cell>
          <cell r="R25"/>
          <cell r="S25">
            <v>8944401</v>
          </cell>
          <cell r="T25">
            <v>715552</v>
          </cell>
          <cell r="U25">
            <v>134166</v>
          </cell>
          <cell r="V25">
            <v>89444</v>
          </cell>
          <cell r="W25">
            <v>939162</v>
          </cell>
          <cell r="X25">
            <v>1565270</v>
          </cell>
          <cell r="Y25">
            <v>268332</v>
          </cell>
          <cell r="Z25">
            <v>89444</v>
          </cell>
          <cell r="AA25">
            <v>1923046</v>
          </cell>
          <cell r="AB25">
            <v>0</v>
          </cell>
          <cell r="AC25">
            <v>178888</v>
          </cell>
          <cell r="AD25">
            <v>2</v>
          </cell>
        </row>
        <row r="26">
          <cell r="B26" t="str">
            <v>0216</v>
          </cell>
          <cell r="C26" t="str">
            <v>NGUYỄN THỊ SINH</v>
          </cell>
          <cell r="D26" t="str">
            <v>9220</v>
          </cell>
          <cell r="E26">
            <v>8568084</v>
          </cell>
          <cell r="F26">
            <v>24</v>
          </cell>
          <cell r="G26">
            <v>23.5</v>
          </cell>
          <cell r="H26">
            <v>0.5</v>
          </cell>
          <cell r="I26">
            <v>8568084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/>
          <cell r="Q26">
            <v>0</v>
          </cell>
          <cell r="R26"/>
          <cell r="S26">
            <v>8568084</v>
          </cell>
          <cell r="T26">
            <v>685447</v>
          </cell>
          <cell r="U26">
            <v>128521</v>
          </cell>
          <cell r="V26">
            <v>85681</v>
          </cell>
          <cell r="W26">
            <v>899649</v>
          </cell>
          <cell r="X26">
            <v>1499415</v>
          </cell>
          <cell r="Y26">
            <v>257043</v>
          </cell>
          <cell r="Z26">
            <v>85681</v>
          </cell>
          <cell r="AA26">
            <v>1842139</v>
          </cell>
          <cell r="AB26">
            <v>0</v>
          </cell>
          <cell r="AC26">
            <v>171362</v>
          </cell>
          <cell r="AD26">
            <v>1</v>
          </cell>
        </row>
        <row r="27">
          <cell r="B27" t="str">
            <v>0228</v>
          </cell>
          <cell r="C27" t="str">
            <v>NGUYỄN THỊ THÚY</v>
          </cell>
          <cell r="D27" t="str">
            <v>9280</v>
          </cell>
          <cell r="E27">
            <v>6800208</v>
          </cell>
          <cell r="F27">
            <v>24</v>
          </cell>
          <cell r="G27">
            <v>22.5</v>
          </cell>
          <cell r="H27">
            <v>1.5</v>
          </cell>
          <cell r="I27">
            <v>6800208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/>
          <cell r="Q27">
            <v>0</v>
          </cell>
          <cell r="R27"/>
          <cell r="S27">
            <v>6800208</v>
          </cell>
          <cell r="T27">
            <v>544017</v>
          </cell>
          <cell r="U27">
            <v>102003</v>
          </cell>
          <cell r="V27">
            <v>68002</v>
          </cell>
          <cell r="W27">
            <v>714022</v>
          </cell>
          <cell r="X27">
            <v>1190036</v>
          </cell>
          <cell r="Y27">
            <v>204006</v>
          </cell>
          <cell r="Z27">
            <v>68002</v>
          </cell>
          <cell r="AA27">
            <v>1462044</v>
          </cell>
          <cell r="AB27">
            <v>0</v>
          </cell>
          <cell r="AC27">
            <v>136004</v>
          </cell>
          <cell r="AD27">
            <v>0</v>
          </cell>
        </row>
        <row r="28">
          <cell r="B28" t="str">
            <v>0233</v>
          </cell>
          <cell r="C28" t="str">
            <v>NGUYỄN VĂN SINH</v>
          </cell>
          <cell r="D28" t="str">
            <v>9280</v>
          </cell>
          <cell r="E28">
            <v>8314992</v>
          </cell>
          <cell r="F28">
            <v>24</v>
          </cell>
          <cell r="G28">
            <v>22</v>
          </cell>
          <cell r="H28">
            <v>2</v>
          </cell>
          <cell r="I28">
            <v>8314992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/>
          <cell r="Q28">
            <v>0</v>
          </cell>
          <cell r="R28"/>
          <cell r="S28">
            <v>8314992</v>
          </cell>
          <cell r="T28">
            <v>665199</v>
          </cell>
          <cell r="U28">
            <v>124725</v>
          </cell>
          <cell r="V28">
            <v>83150</v>
          </cell>
          <cell r="W28">
            <v>873074</v>
          </cell>
          <cell r="X28">
            <v>1455124</v>
          </cell>
          <cell r="Y28">
            <v>249450</v>
          </cell>
          <cell r="Z28">
            <v>83150</v>
          </cell>
          <cell r="AA28">
            <v>1787724</v>
          </cell>
          <cell r="AB28">
            <v>0</v>
          </cell>
          <cell r="AC28">
            <v>166300</v>
          </cell>
          <cell r="AD28">
            <v>2</v>
          </cell>
        </row>
        <row r="29">
          <cell r="B29" t="str">
            <v>0242</v>
          </cell>
          <cell r="C29" t="str">
            <v>PHẠM LAN THÙY</v>
          </cell>
          <cell r="D29" t="str">
            <v>9240</v>
          </cell>
          <cell r="E29">
            <v>12980780</v>
          </cell>
          <cell r="F29">
            <v>24</v>
          </cell>
          <cell r="G29">
            <v>23</v>
          </cell>
          <cell r="H29">
            <v>1</v>
          </cell>
          <cell r="I29">
            <v>12980780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471905</v>
          </cell>
          <cell r="P29"/>
          <cell r="Q29">
            <v>-200000</v>
          </cell>
          <cell r="R29"/>
          <cell r="S29">
            <v>13252685</v>
          </cell>
          <cell r="T29">
            <v>1038462</v>
          </cell>
          <cell r="U29">
            <v>194712</v>
          </cell>
          <cell r="V29">
            <v>129808</v>
          </cell>
          <cell r="W29">
            <v>1362982</v>
          </cell>
          <cell r="X29">
            <v>2271637</v>
          </cell>
          <cell r="Y29">
            <v>389423</v>
          </cell>
          <cell r="Z29">
            <v>129808</v>
          </cell>
          <cell r="AA29">
            <v>2790868</v>
          </cell>
          <cell r="AB29">
            <v>0</v>
          </cell>
          <cell r="AC29">
            <v>259616</v>
          </cell>
          <cell r="AD29">
            <v>1</v>
          </cell>
        </row>
        <row r="30">
          <cell r="B30" t="str">
            <v>0258</v>
          </cell>
          <cell r="C30" t="str">
            <v>NGUYỄN THỊ NGA</v>
          </cell>
          <cell r="D30" t="str">
            <v>9250</v>
          </cell>
          <cell r="E30">
            <v>12525300</v>
          </cell>
          <cell r="F30">
            <v>24.125</v>
          </cell>
          <cell r="G30">
            <v>23.125</v>
          </cell>
          <cell r="H30">
            <v>1</v>
          </cell>
          <cell r="I30">
            <v>12525300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/>
          <cell r="Q30">
            <v>-200000</v>
          </cell>
          <cell r="R30"/>
          <cell r="S30">
            <v>12325300</v>
          </cell>
          <cell r="T30">
            <v>1002024</v>
          </cell>
          <cell r="U30">
            <v>187880</v>
          </cell>
          <cell r="V30">
            <v>125253</v>
          </cell>
          <cell r="W30">
            <v>1315157</v>
          </cell>
          <cell r="X30">
            <v>2191928</v>
          </cell>
          <cell r="Y30">
            <v>375759</v>
          </cell>
          <cell r="Z30">
            <v>125253</v>
          </cell>
          <cell r="AA30">
            <v>2692940</v>
          </cell>
          <cell r="AB30">
            <v>0</v>
          </cell>
          <cell r="AC30">
            <v>250506</v>
          </cell>
          <cell r="AD30">
            <v>1</v>
          </cell>
        </row>
        <row r="31">
          <cell r="B31" t="str">
            <v>0270</v>
          </cell>
          <cell r="C31" t="str">
            <v>NGUYỄN THỊ PHƯƠNG</v>
          </cell>
          <cell r="D31" t="str">
            <v>9220</v>
          </cell>
          <cell r="E31">
            <v>7126284</v>
          </cell>
          <cell r="F31">
            <v>24</v>
          </cell>
          <cell r="G31">
            <v>22.5</v>
          </cell>
          <cell r="H31">
            <v>1.5</v>
          </cell>
          <cell r="I31">
            <v>7126284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/>
          <cell r="Q31">
            <v>0</v>
          </cell>
          <cell r="R31"/>
          <cell r="S31">
            <v>7126284</v>
          </cell>
          <cell r="T31">
            <v>570103</v>
          </cell>
          <cell r="U31">
            <v>106894</v>
          </cell>
          <cell r="V31">
            <v>71263</v>
          </cell>
          <cell r="W31">
            <v>748260</v>
          </cell>
          <cell r="X31">
            <v>1247100</v>
          </cell>
          <cell r="Y31">
            <v>213789</v>
          </cell>
          <cell r="Z31">
            <v>71263</v>
          </cell>
          <cell r="AA31">
            <v>1532152</v>
          </cell>
          <cell r="AB31">
            <v>0</v>
          </cell>
          <cell r="AC31">
            <v>142526</v>
          </cell>
          <cell r="AD31">
            <v>0</v>
          </cell>
        </row>
        <row r="32">
          <cell r="B32" t="str">
            <v>0272</v>
          </cell>
          <cell r="C32" t="str">
            <v>ĐẶNG ĐÌNH THỌ</v>
          </cell>
          <cell r="D32" t="str">
            <v>9260</v>
          </cell>
          <cell r="E32">
            <v>12720000</v>
          </cell>
          <cell r="F32">
            <v>24</v>
          </cell>
          <cell r="G32">
            <v>23.287500000000001</v>
          </cell>
          <cell r="H32">
            <v>0.71250000000000002</v>
          </cell>
          <cell r="I32">
            <v>12720000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/>
          <cell r="Q32">
            <v>-300000</v>
          </cell>
          <cell r="R32"/>
          <cell r="S32">
            <v>12420000</v>
          </cell>
          <cell r="T32">
            <v>1017600</v>
          </cell>
          <cell r="U32">
            <v>190800</v>
          </cell>
          <cell r="V32">
            <v>127200</v>
          </cell>
          <cell r="W32">
            <v>1335600</v>
          </cell>
          <cell r="X32">
            <v>2226000</v>
          </cell>
          <cell r="Y32">
            <v>381600</v>
          </cell>
          <cell r="Z32">
            <v>127200</v>
          </cell>
          <cell r="AA32">
            <v>2734800</v>
          </cell>
          <cell r="AB32">
            <v>0</v>
          </cell>
          <cell r="AC32">
            <v>254400</v>
          </cell>
          <cell r="AD32">
            <v>2</v>
          </cell>
        </row>
        <row r="33">
          <cell r="B33" t="str">
            <v>0287</v>
          </cell>
          <cell r="C33" t="str">
            <v>LƯU KIM ĐÍNH</v>
          </cell>
          <cell r="D33" t="str">
            <v>9220</v>
          </cell>
          <cell r="E33">
            <v>7104723</v>
          </cell>
          <cell r="F33">
            <v>24</v>
          </cell>
          <cell r="G33">
            <v>20</v>
          </cell>
          <cell r="H33">
            <v>2</v>
          </cell>
          <cell r="I33">
            <v>6512663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/>
          <cell r="Q33">
            <v>0</v>
          </cell>
          <cell r="R33"/>
          <cell r="S33">
            <v>6512663</v>
          </cell>
          <cell r="T33">
            <v>568378</v>
          </cell>
          <cell r="U33">
            <v>106571</v>
          </cell>
          <cell r="V33">
            <v>71047</v>
          </cell>
          <cell r="W33">
            <v>745996</v>
          </cell>
          <cell r="X33">
            <v>1243327</v>
          </cell>
          <cell r="Y33">
            <v>213142</v>
          </cell>
          <cell r="Z33">
            <v>71047</v>
          </cell>
          <cell r="AA33">
            <v>1527516</v>
          </cell>
          <cell r="AB33">
            <v>0</v>
          </cell>
          <cell r="AC33">
            <v>142094</v>
          </cell>
          <cell r="AD33">
            <v>2</v>
          </cell>
        </row>
        <row r="34">
          <cell r="B34" t="str">
            <v>0336</v>
          </cell>
          <cell r="C34" t="str">
            <v>ĐOÀN THỊ DIỄM CHI</v>
          </cell>
          <cell r="D34" t="str">
            <v>9280</v>
          </cell>
          <cell r="E34">
            <v>8106484</v>
          </cell>
          <cell r="F34">
            <v>24</v>
          </cell>
          <cell r="G34">
            <v>24</v>
          </cell>
          <cell r="H34">
            <v>0</v>
          </cell>
          <cell r="I34">
            <v>8106484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/>
          <cell r="Q34">
            <v>-200000</v>
          </cell>
          <cell r="R34"/>
          <cell r="S34">
            <v>7906484</v>
          </cell>
          <cell r="T34">
            <v>648519</v>
          </cell>
          <cell r="U34">
            <v>121597</v>
          </cell>
          <cell r="V34">
            <v>81065</v>
          </cell>
          <cell r="W34">
            <v>851181</v>
          </cell>
          <cell r="X34">
            <v>1418635</v>
          </cell>
          <cell r="Y34">
            <v>243195</v>
          </cell>
          <cell r="Z34">
            <v>81065</v>
          </cell>
          <cell r="AA34">
            <v>1742895</v>
          </cell>
          <cell r="AB34">
            <v>0</v>
          </cell>
          <cell r="AC34">
            <v>162130</v>
          </cell>
          <cell r="AD34">
            <v>1</v>
          </cell>
        </row>
        <row r="35">
          <cell r="B35" t="str">
            <v>0343</v>
          </cell>
          <cell r="C35" t="str">
            <v>NGUYỄN THỊ NHUNG</v>
          </cell>
          <cell r="D35" t="str">
            <v>9240</v>
          </cell>
          <cell r="E35">
            <v>8452102</v>
          </cell>
          <cell r="F35">
            <v>24</v>
          </cell>
          <cell r="G35">
            <v>22.5</v>
          </cell>
          <cell r="H35">
            <v>1.5</v>
          </cell>
          <cell r="I35">
            <v>8452102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365377</v>
          </cell>
          <cell r="P35"/>
          <cell r="Q35">
            <v>-200000</v>
          </cell>
          <cell r="R35"/>
          <cell r="S35">
            <v>8617479</v>
          </cell>
          <cell r="T35">
            <v>676168</v>
          </cell>
          <cell r="U35">
            <v>126782</v>
          </cell>
          <cell r="V35">
            <v>84521</v>
          </cell>
          <cell r="W35">
            <v>887471</v>
          </cell>
          <cell r="X35">
            <v>1479118</v>
          </cell>
          <cell r="Y35">
            <v>253563</v>
          </cell>
          <cell r="Z35">
            <v>84521</v>
          </cell>
          <cell r="AA35">
            <v>1817202</v>
          </cell>
          <cell r="AB35">
            <v>0</v>
          </cell>
          <cell r="AC35">
            <v>169042</v>
          </cell>
          <cell r="AD35">
            <v>0</v>
          </cell>
        </row>
        <row r="36">
          <cell r="B36" t="str">
            <v>0347</v>
          </cell>
          <cell r="C36" t="str">
            <v>LƯU THỊ NGÂN HÀ</v>
          </cell>
          <cell r="D36" t="str">
            <v>9240</v>
          </cell>
          <cell r="E36">
            <v>7842548</v>
          </cell>
          <cell r="F36">
            <v>24</v>
          </cell>
          <cell r="G36">
            <v>23.5</v>
          </cell>
          <cell r="H36">
            <v>0.5</v>
          </cell>
          <cell r="I36">
            <v>7842548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/>
          <cell r="Q36">
            <v>-200000</v>
          </cell>
          <cell r="R36"/>
          <cell r="S36">
            <v>7642548</v>
          </cell>
          <cell r="T36">
            <v>627404</v>
          </cell>
          <cell r="U36">
            <v>117638</v>
          </cell>
          <cell r="V36">
            <v>78425</v>
          </cell>
          <cell r="W36">
            <v>823467</v>
          </cell>
          <cell r="X36">
            <v>1372446</v>
          </cell>
          <cell r="Y36">
            <v>235276</v>
          </cell>
          <cell r="Z36">
            <v>78425</v>
          </cell>
          <cell r="AA36">
            <v>1686147</v>
          </cell>
          <cell r="AB36">
            <v>0</v>
          </cell>
          <cell r="AC36">
            <v>156851</v>
          </cell>
          <cell r="AD36">
            <v>1</v>
          </cell>
        </row>
        <row r="37">
          <cell r="B37" t="str">
            <v>0349</v>
          </cell>
          <cell r="C37" t="str">
            <v>NGUYỄN VĂN BÍT</v>
          </cell>
          <cell r="D37" t="str">
            <v>9230</v>
          </cell>
          <cell r="E37">
            <v>11157054</v>
          </cell>
          <cell r="F37"/>
          <cell r="G37"/>
          <cell r="H37"/>
          <cell r="I37"/>
          <cell r="J37">
            <v>0</v>
          </cell>
          <cell r="K37"/>
          <cell r="L37"/>
          <cell r="M37"/>
          <cell r="N37">
            <v>0</v>
          </cell>
          <cell r="O37">
            <v>1368413</v>
          </cell>
          <cell r="P37"/>
          <cell r="Q37">
            <v>-200000</v>
          </cell>
          <cell r="R37"/>
          <cell r="S37">
            <v>1168413</v>
          </cell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>
            <v>1</v>
          </cell>
        </row>
        <row r="38">
          <cell r="B38" t="str">
            <v>0350</v>
          </cell>
          <cell r="C38" t="str">
            <v>LÊ DANH DŨNG</v>
          </cell>
          <cell r="D38" t="str">
            <v>9220</v>
          </cell>
          <cell r="E38">
            <v>6458073</v>
          </cell>
          <cell r="F38">
            <v>24</v>
          </cell>
          <cell r="G38">
            <v>21.5</v>
          </cell>
          <cell r="H38">
            <v>1.5</v>
          </cell>
          <cell r="I38">
            <v>6188987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/>
          <cell r="Q38">
            <v>0</v>
          </cell>
          <cell r="R38"/>
          <cell r="S38">
            <v>6188987</v>
          </cell>
          <cell r="T38">
            <v>516646</v>
          </cell>
          <cell r="U38">
            <v>96871</v>
          </cell>
          <cell r="V38">
            <v>64581</v>
          </cell>
          <cell r="W38">
            <v>678098</v>
          </cell>
          <cell r="X38">
            <v>1130163</v>
          </cell>
          <cell r="Y38">
            <v>193742</v>
          </cell>
          <cell r="Z38">
            <v>64581</v>
          </cell>
          <cell r="AA38">
            <v>1388486</v>
          </cell>
          <cell r="AB38">
            <v>0</v>
          </cell>
          <cell r="AC38">
            <v>129161</v>
          </cell>
          <cell r="AD38">
            <v>0</v>
          </cell>
        </row>
        <row r="39">
          <cell r="B39" t="str">
            <v>0353</v>
          </cell>
          <cell r="C39" t="str">
            <v>PHẠM XUÂN THỦY</v>
          </cell>
          <cell r="D39" t="str">
            <v>9220</v>
          </cell>
          <cell r="E39">
            <v>10918000</v>
          </cell>
          <cell r="F39">
            <v>24</v>
          </cell>
          <cell r="G39">
            <v>23</v>
          </cell>
          <cell r="H39">
            <v>1</v>
          </cell>
          <cell r="I39">
            <v>10918000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/>
          <cell r="Q39">
            <v>-200000</v>
          </cell>
          <cell r="R39"/>
          <cell r="S39">
            <v>10718000</v>
          </cell>
          <cell r="T39">
            <v>873440</v>
          </cell>
          <cell r="U39">
            <v>163770</v>
          </cell>
          <cell r="V39">
            <v>109180</v>
          </cell>
          <cell r="W39">
            <v>1146390</v>
          </cell>
          <cell r="X39">
            <v>1910650</v>
          </cell>
          <cell r="Y39">
            <v>327540</v>
          </cell>
          <cell r="Z39">
            <v>109180</v>
          </cell>
          <cell r="AA39">
            <v>2347370</v>
          </cell>
          <cell r="AB39">
            <v>0</v>
          </cell>
          <cell r="AC39">
            <v>218360</v>
          </cell>
          <cell r="AD39">
            <v>0</v>
          </cell>
        </row>
        <row r="40">
          <cell r="B40" t="str">
            <v>0355</v>
          </cell>
          <cell r="C40" t="str">
            <v>NGUYỄN THỊ HÀ</v>
          </cell>
          <cell r="D40" t="str">
            <v>9220</v>
          </cell>
          <cell r="E40">
            <v>6290074</v>
          </cell>
          <cell r="F40">
            <v>24</v>
          </cell>
          <cell r="G40">
            <v>18.5</v>
          </cell>
          <cell r="H40">
            <v>3.5</v>
          </cell>
          <cell r="I40">
            <v>5765901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/>
          <cell r="Q40">
            <v>0</v>
          </cell>
          <cell r="R40"/>
          <cell r="S40">
            <v>5765901</v>
          </cell>
          <cell r="T40">
            <v>503206</v>
          </cell>
          <cell r="U40">
            <v>94351</v>
          </cell>
          <cell r="V40">
            <v>62901</v>
          </cell>
          <cell r="W40">
            <v>660458</v>
          </cell>
          <cell r="X40">
            <v>1100763</v>
          </cell>
          <cell r="Y40">
            <v>188702</v>
          </cell>
          <cell r="Z40">
            <v>62901</v>
          </cell>
          <cell r="AA40">
            <v>1352366</v>
          </cell>
          <cell r="AB40">
            <v>0</v>
          </cell>
          <cell r="AC40">
            <v>125801</v>
          </cell>
          <cell r="AD40">
            <v>0</v>
          </cell>
        </row>
        <row r="41">
          <cell r="B41" t="str">
            <v>0356</v>
          </cell>
          <cell r="C41" t="str">
            <v>NGUYỄN THỊ TÂM</v>
          </cell>
          <cell r="D41" t="str">
            <v>9220</v>
          </cell>
          <cell r="E41">
            <v>6478880</v>
          </cell>
          <cell r="F41">
            <v>24</v>
          </cell>
          <cell r="G41">
            <v>22.875</v>
          </cell>
          <cell r="H41">
            <v>1.125</v>
          </cell>
          <cell r="I41">
            <v>6478880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/>
          <cell r="Q41">
            <v>0</v>
          </cell>
          <cell r="R41"/>
          <cell r="S41">
            <v>6478880</v>
          </cell>
          <cell r="T41">
            <v>518310</v>
          </cell>
          <cell r="U41">
            <v>97183</v>
          </cell>
          <cell r="V41">
            <v>64789</v>
          </cell>
          <cell r="W41">
            <v>680282</v>
          </cell>
          <cell r="X41">
            <v>1133804</v>
          </cell>
          <cell r="Y41">
            <v>194366</v>
          </cell>
          <cell r="Z41">
            <v>64789</v>
          </cell>
          <cell r="AA41">
            <v>1392959</v>
          </cell>
          <cell r="AB41">
            <v>0</v>
          </cell>
          <cell r="AC41">
            <v>129578</v>
          </cell>
          <cell r="AD41">
            <v>0</v>
          </cell>
        </row>
        <row r="42">
          <cell r="B42" t="str">
            <v>0359</v>
          </cell>
          <cell r="C42" t="str">
            <v>ĐOÀN THỊ MỸ HẠNH</v>
          </cell>
          <cell r="D42" t="str">
            <v>9220</v>
          </cell>
          <cell r="E42">
            <v>8800657</v>
          </cell>
          <cell r="F42">
            <v>24</v>
          </cell>
          <cell r="G42">
            <v>23</v>
          </cell>
          <cell r="H42">
            <v>1</v>
          </cell>
          <cell r="I42">
            <v>8800657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/>
          <cell r="Q42">
            <v>0</v>
          </cell>
          <cell r="R42"/>
          <cell r="S42">
            <v>8800657</v>
          </cell>
          <cell r="T42">
            <v>704053</v>
          </cell>
          <cell r="U42">
            <v>132010</v>
          </cell>
          <cell r="V42">
            <v>88007</v>
          </cell>
          <cell r="W42">
            <v>924070</v>
          </cell>
          <cell r="X42">
            <v>1540115</v>
          </cell>
          <cell r="Y42">
            <v>264020</v>
          </cell>
          <cell r="Z42">
            <v>88007</v>
          </cell>
          <cell r="AA42">
            <v>1892142</v>
          </cell>
          <cell r="AB42">
            <v>0</v>
          </cell>
          <cell r="AC42">
            <v>176013</v>
          </cell>
          <cell r="AD42">
            <v>0</v>
          </cell>
        </row>
        <row r="43">
          <cell r="B43" t="str">
            <v>0376</v>
          </cell>
          <cell r="C43" t="str">
            <v>MAI VĂN SƠN</v>
          </cell>
          <cell r="D43" t="str">
            <v>9280</v>
          </cell>
          <cell r="E43">
            <v>7586129</v>
          </cell>
          <cell r="F43">
            <v>24</v>
          </cell>
          <cell r="G43">
            <v>23.5</v>
          </cell>
          <cell r="H43">
            <v>0.5</v>
          </cell>
          <cell r="I43">
            <v>7586129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/>
          <cell r="Q43">
            <v>0</v>
          </cell>
          <cell r="R43"/>
          <cell r="S43">
            <v>7586129</v>
          </cell>
          <cell r="T43">
            <v>606890</v>
          </cell>
          <cell r="U43">
            <v>113792</v>
          </cell>
          <cell r="V43">
            <v>75861</v>
          </cell>
          <cell r="W43">
            <v>796543</v>
          </cell>
          <cell r="X43">
            <v>1327573</v>
          </cell>
          <cell r="Y43">
            <v>227584</v>
          </cell>
          <cell r="Z43">
            <v>75861</v>
          </cell>
          <cell r="AA43">
            <v>1631018</v>
          </cell>
          <cell r="AB43">
            <v>0</v>
          </cell>
          <cell r="AC43">
            <v>151723</v>
          </cell>
          <cell r="AD43">
            <v>3</v>
          </cell>
        </row>
        <row r="44">
          <cell r="B44" t="str">
            <v>0391</v>
          </cell>
          <cell r="C44" t="str">
            <v>BÙI THỊ MINH</v>
          </cell>
          <cell r="D44" t="str">
            <v>9250</v>
          </cell>
          <cell r="E44">
            <v>11283101</v>
          </cell>
          <cell r="F44">
            <v>24.125</v>
          </cell>
          <cell r="G44">
            <v>23.85</v>
          </cell>
          <cell r="H44">
            <v>0.27500000000000002</v>
          </cell>
          <cell r="I44">
            <v>11283101</v>
          </cell>
          <cell r="J44">
            <v>4000000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/>
          <cell r="Q44">
            <v>-300000</v>
          </cell>
          <cell r="R44"/>
          <cell r="S44">
            <v>14983101</v>
          </cell>
          <cell r="T44">
            <v>1222648</v>
          </cell>
          <cell r="U44">
            <v>229247</v>
          </cell>
          <cell r="V44">
            <v>152831</v>
          </cell>
          <cell r="W44">
            <v>1604726</v>
          </cell>
          <cell r="X44">
            <v>2674543</v>
          </cell>
          <cell r="Y44">
            <v>458493</v>
          </cell>
          <cell r="Z44">
            <v>152831</v>
          </cell>
          <cell r="AA44">
            <v>3285867</v>
          </cell>
          <cell r="AB44">
            <v>0</v>
          </cell>
          <cell r="AC44">
            <v>305662</v>
          </cell>
          <cell r="AD44">
            <v>2</v>
          </cell>
        </row>
        <row r="45">
          <cell r="B45" t="str">
            <v>0429</v>
          </cell>
          <cell r="C45" t="str">
            <v>NGUYỄN VĂN THỂ</v>
          </cell>
          <cell r="D45" t="str">
            <v>9220</v>
          </cell>
          <cell r="E45">
            <v>6507169</v>
          </cell>
          <cell r="F45">
            <v>24</v>
          </cell>
          <cell r="G45">
            <v>23.5</v>
          </cell>
          <cell r="H45">
            <v>0.5</v>
          </cell>
          <cell r="I45">
            <v>6507169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/>
          <cell r="Q45">
            <v>0</v>
          </cell>
          <cell r="R45"/>
          <cell r="S45">
            <v>6507169</v>
          </cell>
          <cell r="T45">
            <v>520574</v>
          </cell>
          <cell r="U45">
            <v>97608</v>
          </cell>
          <cell r="V45">
            <v>65072</v>
          </cell>
          <cell r="W45">
            <v>683254</v>
          </cell>
          <cell r="X45">
            <v>1138755</v>
          </cell>
          <cell r="Y45">
            <v>195215</v>
          </cell>
          <cell r="Z45">
            <v>65072</v>
          </cell>
          <cell r="AA45">
            <v>1399042</v>
          </cell>
          <cell r="AB45">
            <v>0</v>
          </cell>
          <cell r="AC45">
            <v>130143</v>
          </cell>
          <cell r="AD45">
            <v>1</v>
          </cell>
        </row>
        <row r="46">
          <cell r="B46" t="str">
            <v>0438</v>
          </cell>
          <cell r="C46" t="str">
            <v>LÊ VĂN TY</v>
          </cell>
          <cell r="D46" t="str">
            <v>9220</v>
          </cell>
          <cell r="E46">
            <v>10665421</v>
          </cell>
          <cell r="F46">
            <v>24</v>
          </cell>
          <cell r="G46">
            <v>23.5</v>
          </cell>
          <cell r="H46">
            <v>0.5</v>
          </cell>
          <cell r="I46">
            <v>10665421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/>
          <cell r="Q46">
            <v>-200000</v>
          </cell>
          <cell r="R46"/>
          <cell r="S46">
            <v>10465421</v>
          </cell>
          <cell r="T46">
            <v>853234</v>
          </cell>
          <cell r="U46">
            <v>159981</v>
          </cell>
          <cell r="V46">
            <v>106654</v>
          </cell>
          <cell r="W46">
            <v>1119869</v>
          </cell>
          <cell r="X46">
            <v>1866449</v>
          </cell>
          <cell r="Y46">
            <v>319963</v>
          </cell>
          <cell r="Z46">
            <v>106654</v>
          </cell>
          <cell r="AA46">
            <v>2293066</v>
          </cell>
          <cell r="AB46">
            <v>0</v>
          </cell>
          <cell r="AC46">
            <v>213308</v>
          </cell>
          <cell r="AD46">
            <v>0</v>
          </cell>
        </row>
        <row r="47">
          <cell r="B47" t="str">
            <v>0441</v>
          </cell>
          <cell r="C47" t="str">
            <v>ĐOÀN VĂN QUÂN</v>
          </cell>
          <cell r="D47" t="str">
            <v>9220</v>
          </cell>
          <cell r="E47">
            <v>6700535</v>
          </cell>
          <cell r="F47">
            <v>24</v>
          </cell>
          <cell r="G47">
            <v>22.5</v>
          </cell>
          <cell r="H47">
            <v>1.5</v>
          </cell>
          <cell r="I47">
            <v>6700535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/>
          <cell r="Q47">
            <v>0</v>
          </cell>
          <cell r="R47"/>
          <cell r="S47">
            <v>6700535</v>
          </cell>
          <cell r="T47">
            <v>536043</v>
          </cell>
          <cell r="U47">
            <v>100508</v>
          </cell>
          <cell r="V47">
            <v>67005</v>
          </cell>
          <cell r="W47">
            <v>703556</v>
          </cell>
          <cell r="X47">
            <v>1172594</v>
          </cell>
          <cell r="Y47">
            <v>201016</v>
          </cell>
          <cell r="Z47">
            <v>67005</v>
          </cell>
          <cell r="AA47">
            <v>1440615</v>
          </cell>
          <cell r="AB47">
            <v>0</v>
          </cell>
          <cell r="AC47">
            <v>134011</v>
          </cell>
          <cell r="AD47">
            <v>1</v>
          </cell>
        </row>
        <row r="48">
          <cell r="B48" t="str">
            <v>0442</v>
          </cell>
          <cell r="C48" t="str">
            <v>NGUYỄN VĂN HẢI</v>
          </cell>
          <cell r="D48" t="str">
            <v>9280</v>
          </cell>
          <cell r="E48">
            <v>6609728</v>
          </cell>
          <cell r="F48">
            <v>24</v>
          </cell>
          <cell r="G48">
            <v>22.5</v>
          </cell>
          <cell r="H48">
            <v>1.5</v>
          </cell>
          <cell r="I48">
            <v>6609728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/>
          <cell r="Q48">
            <v>0</v>
          </cell>
          <cell r="R48"/>
          <cell r="S48">
            <v>6609728</v>
          </cell>
          <cell r="T48">
            <v>528778</v>
          </cell>
          <cell r="U48">
            <v>99146</v>
          </cell>
          <cell r="V48">
            <v>66097</v>
          </cell>
          <cell r="W48">
            <v>694021</v>
          </cell>
          <cell r="X48">
            <v>1156702</v>
          </cell>
          <cell r="Y48">
            <v>198292</v>
          </cell>
          <cell r="Z48">
            <v>66097</v>
          </cell>
          <cell r="AA48">
            <v>1421091</v>
          </cell>
          <cell r="AB48">
            <v>0</v>
          </cell>
          <cell r="AC48">
            <v>132195</v>
          </cell>
          <cell r="AD48">
            <v>0</v>
          </cell>
        </row>
        <row r="49">
          <cell r="B49" t="str">
            <v>0445</v>
          </cell>
          <cell r="C49" t="str">
            <v>NGUYỄN THỊ ÁNH</v>
          </cell>
          <cell r="D49" t="str">
            <v>9220</v>
          </cell>
          <cell r="E49">
            <v>6466271</v>
          </cell>
          <cell r="F49">
            <v>24</v>
          </cell>
          <cell r="G49">
            <v>23.5</v>
          </cell>
          <cell r="H49">
            <v>0.5</v>
          </cell>
          <cell r="I49">
            <v>6466271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/>
          <cell r="Q49">
            <v>0</v>
          </cell>
          <cell r="R49"/>
          <cell r="S49">
            <v>6466271</v>
          </cell>
          <cell r="T49">
            <v>517302</v>
          </cell>
          <cell r="U49">
            <v>96994</v>
          </cell>
          <cell r="V49">
            <v>64663</v>
          </cell>
          <cell r="W49">
            <v>678959</v>
          </cell>
          <cell r="X49">
            <v>1131597</v>
          </cell>
          <cell r="Y49">
            <v>193988</v>
          </cell>
          <cell r="Z49">
            <v>64663</v>
          </cell>
          <cell r="AA49">
            <v>1390248</v>
          </cell>
          <cell r="AB49">
            <v>0</v>
          </cell>
          <cell r="AC49">
            <v>129325</v>
          </cell>
          <cell r="AD49">
            <v>1</v>
          </cell>
        </row>
        <row r="50">
          <cell r="B50" t="str">
            <v>0448</v>
          </cell>
          <cell r="C50" t="str">
            <v>NGUYỄN THỊ HỒNG CẨM</v>
          </cell>
          <cell r="D50" t="str">
            <v>9220</v>
          </cell>
          <cell r="E50">
            <v>6048125</v>
          </cell>
          <cell r="F50">
            <v>24</v>
          </cell>
          <cell r="G50">
            <v>23</v>
          </cell>
          <cell r="H50">
            <v>1</v>
          </cell>
          <cell r="I50">
            <v>6048125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/>
          <cell r="Q50">
            <v>0</v>
          </cell>
          <cell r="R50"/>
          <cell r="S50">
            <v>6048125</v>
          </cell>
          <cell r="T50">
            <v>483850</v>
          </cell>
          <cell r="U50">
            <v>90722</v>
          </cell>
          <cell r="V50">
            <v>60481</v>
          </cell>
          <cell r="W50">
            <v>635053</v>
          </cell>
          <cell r="X50">
            <v>1058422</v>
          </cell>
          <cell r="Y50">
            <v>181444</v>
          </cell>
          <cell r="Z50">
            <v>60481</v>
          </cell>
          <cell r="AA50">
            <v>1300347</v>
          </cell>
          <cell r="AB50">
            <v>0</v>
          </cell>
          <cell r="AC50">
            <v>120963</v>
          </cell>
          <cell r="AD50">
            <v>2</v>
          </cell>
        </row>
        <row r="51">
          <cell r="B51" t="str">
            <v>0449</v>
          </cell>
          <cell r="C51" t="str">
            <v>PHẠM THỊ THU</v>
          </cell>
          <cell r="D51" t="str">
            <v>9280</v>
          </cell>
          <cell r="E51">
            <v>6159297</v>
          </cell>
          <cell r="F51">
            <v>24</v>
          </cell>
          <cell r="G51">
            <v>22.65625</v>
          </cell>
          <cell r="H51">
            <v>1.34375</v>
          </cell>
          <cell r="I51">
            <v>6159297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/>
          <cell r="Q51">
            <v>0</v>
          </cell>
          <cell r="R51"/>
          <cell r="S51">
            <v>6159297</v>
          </cell>
          <cell r="T51">
            <v>492744</v>
          </cell>
          <cell r="U51">
            <v>92389</v>
          </cell>
          <cell r="V51">
            <v>61593</v>
          </cell>
          <cell r="W51">
            <v>646726</v>
          </cell>
          <cell r="X51">
            <v>1077877</v>
          </cell>
          <cell r="Y51">
            <v>184779</v>
          </cell>
          <cell r="Z51">
            <v>61593</v>
          </cell>
          <cell r="AA51">
            <v>1324249</v>
          </cell>
          <cell r="AB51">
            <v>0</v>
          </cell>
          <cell r="AC51">
            <v>123186</v>
          </cell>
          <cell r="AD51">
            <v>0</v>
          </cell>
        </row>
        <row r="52">
          <cell r="B52" t="str">
            <v>0452</v>
          </cell>
          <cell r="C52" t="str">
            <v>TRẦN THỊ THỦY</v>
          </cell>
          <cell r="D52" t="str">
            <v>9220</v>
          </cell>
          <cell r="E52">
            <v>6573096</v>
          </cell>
          <cell r="F52">
            <v>24</v>
          </cell>
          <cell r="G52">
            <v>21.5</v>
          </cell>
          <cell r="H52">
            <v>2.5</v>
          </cell>
          <cell r="I52">
            <v>6573096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/>
          <cell r="Q52">
            <v>0</v>
          </cell>
          <cell r="R52"/>
          <cell r="S52">
            <v>6573096</v>
          </cell>
          <cell r="T52">
            <v>525848</v>
          </cell>
          <cell r="U52">
            <v>98596</v>
          </cell>
          <cell r="V52">
            <v>65731</v>
          </cell>
          <cell r="W52">
            <v>690175</v>
          </cell>
          <cell r="X52">
            <v>1150292</v>
          </cell>
          <cell r="Y52">
            <v>197193</v>
          </cell>
          <cell r="Z52">
            <v>65731</v>
          </cell>
          <cell r="AA52">
            <v>1413216</v>
          </cell>
          <cell r="AB52">
            <v>0</v>
          </cell>
          <cell r="AC52">
            <v>131462</v>
          </cell>
          <cell r="AD52">
            <v>0</v>
          </cell>
        </row>
        <row r="53">
          <cell r="B53" t="str">
            <v>0460</v>
          </cell>
          <cell r="C53" t="str">
            <v>LÊ VĂN THẮNG</v>
          </cell>
          <cell r="D53" t="str">
            <v>9280</v>
          </cell>
          <cell r="E53">
            <v>6026274</v>
          </cell>
          <cell r="F53">
            <v>24</v>
          </cell>
          <cell r="G53">
            <v>22.5</v>
          </cell>
          <cell r="H53">
            <v>1.5</v>
          </cell>
          <cell r="I53">
            <v>6026274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/>
          <cell r="Q53">
            <v>0</v>
          </cell>
          <cell r="R53"/>
          <cell r="S53">
            <v>6026274</v>
          </cell>
          <cell r="T53">
            <v>482102</v>
          </cell>
          <cell r="U53">
            <v>90394</v>
          </cell>
          <cell r="V53">
            <v>60263</v>
          </cell>
          <cell r="W53">
            <v>632759</v>
          </cell>
          <cell r="X53">
            <v>1054598</v>
          </cell>
          <cell r="Y53">
            <v>180788</v>
          </cell>
          <cell r="Z53">
            <v>60263</v>
          </cell>
          <cell r="AA53">
            <v>1295649</v>
          </cell>
          <cell r="AB53">
            <v>0</v>
          </cell>
          <cell r="AC53">
            <v>120525</v>
          </cell>
          <cell r="AD53">
            <v>3</v>
          </cell>
        </row>
        <row r="54">
          <cell r="B54" t="str">
            <v>0462</v>
          </cell>
          <cell r="C54" t="str">
            <v>TRỊNH BÁ THÀNH</v>
          </cell>
          <cell r="D54" t="str">
            <v>9280</v>
          </cell>
          <cell r="E54">
            <v>6243573</v>
          </cell>
          <cell r="F54">
            <v>24</v>
          </cell>
          <cell r="G54">
            <v>22.5</v>
          </cell>
          <cell r="H54">
            <v>1.5</v>
          </cell>
          <cell r="I54">
            <v>6243573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/>
          <cell r="Q54">
            <v>0</v>
          </cell>
          <cell r="R54"/>
          <cell r="S54">
            <v>6243573</v>
          </cell>
          <cell r="T54">
            <v>499486</v>
          </cell>
          <cell r="U54">
            <v>93654</v>
          </cell>
          <cell r="V54">
            <v>62436</v>
          </cell>
          <cell r="W54">
            <v>655576</v>
          </cell>
          <cell r="X54">
            <v>1092625</v>
          </cell>
          <cell r="Y54">
            <v>187307</v>
          </cell>
          <cell r="Z54">
            <v>62436</v>
          </cell>
          <cell r="AA54">
            <v>1342368</v>
          </cell>
          <cell r="AB54">
            <v>0</v>
          </cell>
          <cell r="AC54">
            <v>124871</v>
          </cell>
          <cell r="AD54">
            <v>0</v>
          </cell>
        </row>
        <row r="55">
          <cell r="B55" t="str">
            <v>0463</v>
          </cell>
          <cell r="C55" t="str">
            <v>LÊ VIỆT</v>
          </cell>
          <cell r="D55" t="str">
            <v>9280</v>
          </cell>
          <cell r="E55">
            <v>6895719</v>
          </cell>
          <cell r="F55">
            <v>24</v>
          </cell>
          <cell r="G55">
            <v>22</v>
          </cell>
          <cell r="H55">
            <v>2</v>
          </cell>
          <cell r="I55">
            <v>6895719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/>
          <cell r="Q55">
            <v>0</v>
          </cell>
          <cell r="R55"/>
          <cell r="S55">
            <v>6895719</v>
          </cell>
          <cell r="T55">
            <v>551658</v>
          </cell>
          <cell r="U55">
            <v>103436</v>
          </cell>
          <cell r="V55">
            <v>68957</v>
          </cell>
          <cell r="W55">
            <v>724051</v>
          </cell>
          <cell r="X55">
            <v>1206751</v>
          </cell>
          <cell r="Y55">
            <v>206872</v>
          </cell>
          <cell r="Z55">
            <v>68957</v>
          </cell>
          <cell r="AA55">
            <v>1482580</v>
          </cell>
          <cell r="AB55">
            <v>0</v>
          </cell>
          <cell r="AC55">
            <v>137914</v>
          </cell>
          <cell r="AD55">
            <v>3</v>
          </cell>
        </row>
        <row r="56">
          <cell r="B56" t="str">
            <v>0474</v>
          </cell>
          <cell r="C56" t="str">
            <v>ĐOÀN VĂN QUYỀN</v>
          </cell>
          <cell r="D56" t="str">
            <v>9220</v>
          </cell>
          <cell r="E56">
            <v>6376716</v>
          </cell>
          <cell r="F56">
            <v>24</v>
          </cell>
          <cell r="G56">
            <v>21.5</v>
          </cell>
          <cell r="H56">
            <v>2.5</v>
          </cell>
          <cell r="I56">
            <v>6376716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/>
          <cell r="Q56">
            <v>0</v>
          </cell>
          <cell r="R56"/>
          <cell r="S56">
            <v>6376716</v>
          </cell>
          <cell r="T56">
            <v>510137</v>
          </cell>
          <cell r="U56">
            <v>95651</v>
          </cell>
          <cell r="V56">
            <v>63767</v>
          </cell>
          <cell r="W56">
            <v>669555</v>
          </cell>
          <cell r="X56">
            <v>1115925</v>
          </cell>
          <cell r="Y56">
            <v>191301</v>
          </cell>
          <cell r="Z56">
            <v>63767</v>
          </cell>
          <cell r="AA56">
            <v>1370993</v>
          </cell>
          <cell r="AB56">
            <v>0</v>
          </cell>
          <cell r="AC56">
            <v>127534</v>
          </cell>
          <cell r="AD56">
            <v>0</v>
          </cell>
        </row>
        <row r="57">
          <cell r="B57" t="str">
            <v>0481</v>
          </cell>
          <cell r="C57" t="str">
            <v>NGUYỄN BÁ DUY</v>
          </cell>
          <cell r="D57" t="str">
            <v>9220</v>
          </cell>
          <cell r="E57">
            <v>6101467</v>
          </cell>
          <cell r="F57">
            <v>24</v>
          </cell>
          <cell r="G57">
            <v>23.375</v>
          </cell>
          <cell r="H57">
            <v>0.5</v>
          </cell>
          <cell r="I57">
            <v>6069689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/>
          <cell r="Q57">
            <v>0</v>
          </cell>
          <cell r="R57"/>
          <cell r="S57">
            <v>6069689</v>
          </cell>
          <cell r="T57">
            <v>488117</v>
          </cell>
          <cell r="U57">
            <v>91522</v>
          </cell>
          <cell r="V57">
            <v>61015</v>
          </cell>
          <cell r="W57">
            <v>640654</v>
          </cell>
          <cell r="X57">
            <v>1067757</v>
          </cell>
          <cell r="Y57">
            <v>183044</v>
          </cell>
          <cell r="Z57">
            <v>61015</v>
          </cell>
          <cell r="AA57">
            <v>1311816</v>
          </cell>
          <cell r="AB57">
            <v>0</v>
          </cell>
          <cell r="AC57">
            <v>122029</v>
          </cell>
          <cell r="AD57">
            <v>0</v>
          </cell>
        </row>
        <row r="58">
          <cell r="B58" t="str">
            <v>0489</v>
          </cell>
          <cell r="C58" t="str">
            <v>ĐOÀN HUY TOÀN</v>
          </cell>
          <cell r="D58" t="str">
            <v>9230</v>
          </cell>
          <cell r="E58">
            <v>6977233</v>
          </cell>
          <cell r="F58"/>
          <cell r="G58"/>
          <cell r="H58"/>
          <cell r="I58"/>
          <cell r="J58">
            <v>0</v>
          </cell>
          <cell r="K58"/>
          <cell r="L58"/>
          <cell r="M58"/>
          <cell r="N58">
            <v>0</v>
          </cell>
          <cell r="O58">
            <v>2185618</v>
          </cell>
          <cell r="P58"/>
          <cell r="Q58">
            <v>0</v>
          </cell>
          <cell r="R58"/>
          <cell r="S58">
            <v>2185618</v>
          </cell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>
            <v>0</v>
          </cell>
        </row>
        <row r="59">
          <cell r="B59" t="str">
            <v>0504</v>
          </cell>
          <cell r="C59" t="str">
            <v>ĐẶNG THỊ THU TRANG</v>
          </cell>
          <cell r="D59" t="str">
            <v>9250</v>
          </cell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>
            <v>0</v>
          </cell>
          <cell r="R59"/>
          <cell r="S59">
            <v>0</v>
          </cell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</row>
        <row r="60">
          <cell r="B60" t="str">
            <v>0509</v>
          </cell>
          <cell r="C60" t="str">
            <v>TRẦN HUY VŨ</v>
          </cell>
          <cell r="D60" t="str">
            <v>9230</v>
          </cell>
          <cell r="E60">
            <v>8203162</v>
          </cell>
          <cell r="F60">
            <v>24</v>
          </cell>
          <cell r="G60">
            <v>23.5</v>
          </cell>
          <cell r="H60">
            <v>0.5</v>
          </cell>
          <cell r="I60">
            <v>8203162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2987318</v>
          </cell>
          <cell r="P60"/>
          <cell r="Q60">
            <v>-200000</v>
          </cell>
          <cell r="R60"/>
          <cell r="S60">
            <v>10990480</v>
          </cell>
          <cell r="T60">
            <v>656253</v>
          </cell>
          <cell r="U60">
            <v>123047</v>
          </cell>
          <cell r="V60">
            <v>82032</v>
          </cell>
          <cell r="W60">
            <v>861332</v>
          </cell>
          <cell r="X60">
            <v>1435553</v>
          </cell>
          <cell r="Y60">
            <v>246095</v>
          </cell>
          <cell r="Z60">
            <v>82032</v>
          </cell>
          <cell r="AA60">
            <v>1763680</v>
          </cell>
          <cell r="AB60">
            <v>0</v>
          </cell>
          <cell r="AC60">
            <v>164063</v>
          </cell>
          <cell r="AD60">
            <v>2</v>
          </cell>
        </row>
        <row r="61">
          <cell r="B61" t="str">
            <v>0512</v>
          </cell>
          <cell r="C61" t="str">
            <v>VÕ MINH TUẤN</v>
          </cell>
          <cell r="D61" t="str">
            <v>9230</v>
          </cell>
          <cell r="E61">
            <v>7420039</v>
          </cell>
          <cell r="F61"/>
          <cell r="G61"/>
          <cell r="H61"/>
          <cell r="I61"/>
          <cell r="J61">
            <v>0</v>
          </cell>
          <cell r="K61"/>
          <cell r="L61"/>
          <cell r="M61"/>
          <cell r="N61">
            <v>0</v>
          </cell>
          <cell r="O61">
            <v>2373670</v>
          </cell>
          <cell r="P61"/>
          <cell r="Q61">
            <v>0</v>
          </cell>
          <cell r="R61"/>
          <cell r="S61">
            <v>2373670</v>
          </cell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>
            <v>1</v>
          </cell>
        </row>
        <row r="62">
          <cell r="B62" t="str">
            <v>0515</v>
          </cell>
          <cell r="C62" t="str">
            <v>TRẦN NGỌC CẢNH</v>
          </cell>
          <cell r="D62" t="str">
            <v>9230</v>
          </cell>
          <cell r="E62">
            <v>8366675</v>
          </cell>
          <cell r="F62"/>
          <cell r="G62"/>
          <cell r="H62"/>
          <cell r="I62"/>
          <cell r="J62">
            <v>0</v>
          </cell>
          <cell r="K62"/>
          <cell r="L62"/>
          <cell r="M62"/>
          <cell r="N62">
            <v>0</v>
          </cell>
          <cell r="O62">
            <v>1230738</v>
          </cell>
          <cell r="P62"/>
          <cell r="Q62">
            <v>-200000</v>
          </cell>
          <cell r="R62"/>
          <cell r="S62">
            <v>1030738</v>
          </cell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>
            <v>1</v>
          </cell>
        </row>
        <row r="63">
          <cell r="B63" t="str">
            <v>0539</v>
          </cell>
          <cell r="C63" t="str">
            <v>ĐOÀN THỊ THU TRANG</v>
          </cell>
          <cell r="D63" t="str">
            <v>9240</v>
          </cell>
          <cell r="E63">
            <v>8639595</v>
          </cell>
          <cell r="F63">
            <v>24</v>
          </cell>
          <cell r="G63">
            <v>23.5</v>
          </cell>
          <cell r="H63">
            <v>0.5</v>
          </cell>
          <cell r="I63">
            <v>8639595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380682</v>
          </cell>
          <cell r="P63"/>
          <cell r="Q63">
            <v>-200000</v>
          </cell>
          <cell r="R63"/>
          <cell r="S63">
            <v>8820277</v>
          </cell>
          <cell r="T63">
            <v>691168</v>
          </cell>
          <cell r="U63">
            <v>129594</v>
          </cell>
          <cell r="V63">
            <v>86396</v>
          </cell>
          <cell r="W63">
            <v>907158</v>
          </cell>
          <cell r="X63">
            <v>1511929</v>
          </cell>
          <cell r="Y63">
            <v>259188</v>
          </cell>
          <cell r="Z63">
            <v>86396</v>
          </cell>
          <cell r="AA63">
            <v>1857513</v>
          </cell>
          <cell r="AB63">
            <v>0</v>
          </cell>
          <cell r="AC63">
            <v>172792</v>
          </cell>
          <cell r="AD63">
            <v>1</v>
          </cell>
        </row>
        <row r="64">
          <cell r="B64" t="str">
            <v>0548</v>
          </cell>
          <cell r="C64" t="str">
            <v>VŨ THỊ THU TRINH</v>
          </cell>
          <cell r="D64" t="str">
            <v>9250</v>
          </cell>
          <cell r="E64">
            <v>9752000</v>
          </cell>
          <cell r="F64">
            <v>24.125</v>
          </cell>
          <cell r="G64">
            <v>23.06</v>
          </cell>
          <cell r="H64">
            <v>1.0649999999999999</v>
          </cell>
          <cell r="I64">
            <v>9752000</v>
          </cell>
          <cell r="J64">
            <v>2500000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/>
          <cell r="Q64">
            <v>-300000</v>
          </cell>
          <cell r="R64"/>
          <cell r="S64">
            <v>11952000</v>
          </cell>
          <cell r="T64">
            <v>980160</v>
          </cell>
          <cell r="U64">
            <v>183780</v>
          </cell>
          <cell r="V64">
            <v>122520</v>
          </cell>
          <cell r="W64">
            <v>1286460</v>
          </cell>
          <cell r="X64">
            <v>2144100</v>
          </cell>
          <cell r="Y64">
            <v>367560</v>
          </cell>
          <cell r="Z64">
            <v>122520</v>
          </cell>
          <cell r="AA64">
            <v>2634180</v>
          </cell>
          <cell r="AB64">
            <v>0</v>
          </cell>
          <cell r="AC64">
            <v>245040</v>
          </cell>
          <cell r="AD64">
            <v>0</v>
          </cell>
        </row>
        <row r="65">
          <cell r="B65" t="str">
            <v>0603</v>
          </cell>
          <cell r="C65" t="str">
            <v>TRẦN CAO CƯỜNG</v>
          </cell>
          <cell r="D65" t="str">
            <v>9260</v>
          </cell>
          <cell r="E65"/>
          <cell r="F65"/>
          <cell r="G65"/>
          <cell r="H65"/>
          <cell r="I65"/>
          <cell r="J65">
            <v>0</v>
          </cell>
          <cell r="K65"/>
          <cell r="L65"/>
          <cell r="M65"/>
          <cell r="N65">
            <v>0</v>
          </cell>
          <cell r="O65"/>
          <cell r="P65"/>
          <cell r="Q65">
            <v>0</v>
          </cell>
          <cell r="R65">
            <v>1034945</v>
          </cell>
          <cell r="S65">
            <v>1034945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</row>
        <row r="66">
          <cell r="B66" t="str">
            <v>0618</v>
          </cell>
          <cell r="C66" t="str">
            <v>LẠI VĂN THANH</v>
          </cell>
          <cell r="D66" t="str">
            <v>9220</v>
          </cell>
          <cell r="E66">
            <v>6930566</v>
          </cell>
          <cell r="F66">
            <v>24</v>
          </cell>
          <cell r="G66">
            <v>23</v>
          </cell>
          <cell r="H66">
            <v>1</v>
          </cell>
          <cell r="I66">
            <v>6930566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/>
          <cell r="Q66">
            <v>0</v>
          </cell>
          <cell r="R66"/>
          <cell r="S66">
            <v>6930566</v>
          </cell>
          <cell r="T66">
            <v>554445</v>
          </cell>
          <cell r="U66">
            <v>103958</v>
          </cell>
          <cell r="V66">
            <v>69306</v>
          </cell>
          <cell r="W66">
            <v>727709</v>
          </cell>
          <cell r="X66">
            <v>1212849</v>
          </cell>
          <cell r="Y66">
            <v>207917</v>
          </cell>
          <cell r="Z66">
            <v>69306</v>
          </cell>
          <cell r="AA66">
            <v>1490072</v>
          </cell>
          <cell r="AB66">
            <v>0</v>
          </cell>
          <cell r="AC66">
            <v>138611</v>
          </cell>
          <cell r="AD66">
            <v>0</v>
          </cell>
        </row>
        <row r="67">
          <cell r="B67" t="str">
            <v>0639</v>
          </cell>
          <cell r="C67" t="str">
            <v>TRẦN TRUNG DŨNG</v>
          </cell>
          <cell r="D67" t="str">
            <v>9410</v>
          </cell>
          <cell r="E67">
            <v>14959690</v>
          </cell>
          <cell r="F67">
            <v>24.125</v>
          </cell>
          <cell r="G67">
            <v>24.125</v>
          </cell>
          <cell r="H67">
            <v>0</v>
          </cell>
          <cell r="I67">
            <v>14959690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533000</v>
          </cell>
          <cell r="P67"/>
          <cell r="Q67">
            <v>-300000</v>
          </cell>
          <cell r="R67"/>
          <cell r="S67">
            <v>15192690</v>
          </cell>
          <cell r="T67">
            <v>1196775</v>
          </cell>
          <cell r="U67">
            <v>224395</v>
          </cell>
          <cell r="V67">
            <v>149597</v>
          </cell>
          <cell r="W67">
            <v>1570767</v>
          </cell>
          <cell r="X67">
            <v>2617946</v>
          </cell>
          <cell r="Y67">
            <v>448791</v>
          </cell>
          <cell r="Z67">
            <v>149597</v>
          </cell>
          <cell r="AA67">
            <v>3216334</v>
          </cell>
          <cell r="AB67">
            <v>35000</v>
          </cell>
          <cell r="AC67">
            <v>299194</v>
          </cell>
          <cell r="AD67">
            <v>0</v>
          </cell>
        </row>
        <row r="68">
          <cell r="B68" t="str">
            <v>0646</v>
          </cell>
          <cell r="C68" t="str">
            <v>LỤC VĂN ĐỒNG</v>
          </cell>
          <cell r="D68" t="str">
            <v>9200</v>
          </cell>
          <cell r="E68">
            <v>26821477</v>
          </cell>
          <cell r="F68">
            <v>24.125</v>
          </cell>
          <cell r="G68">
            <v>20.75</v>
          </cell>
          <cell r="H68">
            <v>3.375</v>
          </cell>
          <cell r="I68">
            <v>26821477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/>
          <cell r="Q68">
            <v>-400000</v>
          </cell>
          <cell r="R68"/>
          <cell r="S68">
            <v>26421477</v>
          </cell>
          <cell r="T68">
            <v>2145718</v>
          </cell>
          <cell r="U68">
            <v>402322</v>
          </cell>
          <cell r="V68">
            <v>268215</v>
          </cell>
          <cell r="W68">
            <v>2816255</v>
          </cell>
          <cell r="X68">
            <v>4693758</v>
          </cell>
          <cell r="Y68">
            <v>804644</v>
          </cell>
          <cell r="Z68">
            <v>268215</v>
          </cell>
          <cell r="AA68">
            <v>5766617</v>
          </cell>
          <cell r="AB68">
            <v>0</v>
          </cell>
          <cell r="AC68">
            <v>536430</v>
          </cell>
          <cell r="AD68">
            <v>2</v>
          </cell>
        </row>
        <row r="69">
          <cell r="B69" t="str">
            <v>0657</v>
          </cell>
          <cell r="C69" t="str">
            <v>LONG HOÀNG DŨNG</v>
          </cell>
          <cell r="D69" t="str">
            <v>9280</v>
          </cell>
          <cell r="E69">
            <v>22729086</v>
          </cell>
          <cell r="F69">
            <v>24.125</v>
          </cell>
          <cell r="G69">
            <v>22</v>
          </cell>
          <cell r="H69">
            <v>2.125</v>
          </cell>
          <cell r="I69">
            <v>22729086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/>
          <cell r="Q69">
            <v>-400000</v>
          </cell>
          <cell r="R69"/>
          <cell r="S69">
            <v>22329086</v>
          </cell>
          <cell r="T69">
            <v>1818327</v>
          </cell>
          <cell r="U69">
            <v>340936</v>
          </cell>
          <cell r="V69">
            <v>227291</v>
          </cell>
          <cell r="W69">
            <v>2386554</v>
          </cell>
          <cell r="X69">
            <v>3977590</v>
          </cell>
          <cell r="Y69">
            <v>681873</v>
          </cell>
          <cell r="Z69">
            <v>227291</v>
          </cell>
          <cell r="AA69">
            <v>4886754</v>
          </cell>
          <cell r="AB69">
            <v>0</v>
          </cell>
          <cell r="AC69">
            <v>454582</v>
          </cell>
          <cell r="AD69">
            <v>2</v>
          </cell>
        </row>
        <row r="70">
          <cell r="B70" t="str">
            <v>0729</v>
          </cell>
          <cell r="C70" t="str">
            <v>NGUYỄN THỊ CHÚC</v>
          </cell>
          <cell r="D70" t="str">
            <v>9280</v>
          </cell>
          <cell r="E70">
            <v>5131460</v>
          </cell>
          <cell r="F70">
            <v>24</v>
          </cell>
          <cell r="G70">
            <v>23</v>
          </cell>
          <cell r="H70">
            <v>1</v>
          </cell>
          <cell r="I70">
            <v>5131460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/>
          <cell r="Q70">
            <v>0</v>
          </cell>
          <cell r="R70"/>
          <cell r="S70">
            <v>5131460</v>
          </cell>
          <cell r="T70">
            <v>410517</v>
          </cell>
          <cell r="U70">
            <v>76972</v>
          </cell>
          <cell r="V70">
            <v>51315</v>
          </cell>
          <cell r="W70">
            <v>538804</v>
          </cell>
          <cell r="X70">
            <v>898006</v>
          </cell>
          <cell r="Y70">
            <v>153944</v>
          </cell>
          <cell r="Z70">
            <v>51315</v>
          </cell>
          <cell r="AA70">
            <v>1103265</v>
          </cell>
          <cell r="AB70">
            <v>0</v>
          </cell>
          <cell r="AC70">
            <v>102629</v>
          </cell>
          <cell r="AD70">
            <v>0</v>
          </cell>
        </row>
        <row r="71">
          <cell r="B71" t="str">
            <v>0740</v>
          </cell>
          <cell r="C71" t="str">
            <v>NGUYỄN THỊ MỸ PHÚ</v>
          </cell>
          <cell r="D71" t="str">
            <v>9220</v>
          </cell>
          <cell r="E71">
            <v>5131460</v>
          </cell>
          <cell r="F71">
            <v>24</v>
          </cell>
          <cell r="G71">
            <v>23.5</v>
          </cell>
          <cell r="H71">
            <v>0.5</v>
          </cell>
          <cell r="I71">
            <v>5131460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/>
          <cell r="Q71">
            <v>0</v>
          </cell>
          <cell r="R71"/>
          <cell r="S71">
            <v>5131460</v>
          </cell>
          <cell r="T71">
            <v>410517</v>
          </cell>
          <cell r="U71">
            <v>76972</v>
          </cell>
          <cell r="V71">
            <v>51315</v>
          </cell>
          <cell r="W71">
            <v>538804</v>
          </cell>
          <cell r="X71">
            <v>898006</v>
          </cell>
          <cell r="Y71">
            <v>153944</v>
          </cell>
          <cell r="Z71">
            <v>51315</v>
          </cell>
          <cell r="AA71">
            <v>1103265</v>
          </cell>
          <cell r="AB71">
            <v>0</v>
          </cell>
          <cell r="AC71">
            <v>102629</v>
          </cell>
          <cell r="AD71">
            <v>0</v>
          </cell>
        </row>
        <row r="72">
          <cell r="B72" t="str">
            <v>10120</v>
          </cell>
          <cell r="C72" t="str">
            <v>TRẦN THỊ HƯƠNG</v>
          </cell>
          <cell r="D72" t="str">
            <v>9200</v>
          </cell>
          <cell r="E72">
            <v>4936950</v>
          </cell>
          <cell r="F72">
            <v>24</v>
          </cell>
          <cell r="G72">
            <v>24</v>
          </cell>
          <cell r="H72">
            <v>0</v>
          </cell>
          <cell r="I72">
            <v>4936950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/>
          <cell r="Q72">
            <v>0</v>
          </cell>
          <cell r="R72"/>
          <cell r="S72">
            <v>4936950</v>
          </cell>
          <cell r="T72">
            <v>394956</v>
          </cell>
          <cell r="U72">
            <v>74054</v>
          </cell>
          <cell r="V72">
            <v>49370</v>
          </cell>
          <cell r="W72">
            <v>518380</v>
          </cell>
          <cell r="X72">
            <v>863966</v>
          </cell>
          <cell r="Y72">
            <v>148109</v>
          </cell>
          <cell r="Z72">
            <v>49370</v>
          </cell>
          <cell r="AA72">
            <v>1061445</v>
          </cell>
          <cell r="AB72">
            <v>0</v>
          </cell>
          <cell r="AC72">
            <v>98739</v>
          </cell>
          <cell r="AD72">
            <v>0</v>
          </cell>
        </row>
        <row r="73">
          <cell r="B73" t="str">
            <v>10164</v>
          </cell>
          <cell r="C73" t="str">
            <v>KHUẤT HUY THANH HẠ</v>
          </cell>
          <cell r="D73" t="str">
            <v>9220</v>
          </cell>
          <cell r="E73">
            <v>5131460</v>
          </cell>
          <cell r="F73">
            <v>24</v>
          </cell>
          <cell r="G73">
            <v>2</v>
          </cell>
          <cell r="H73">
            <v>0</v>
          </cell>
          <cell r="I73">
            <v>427622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/>
          <cell r="Q73">
            <v>0</v>
          </cell>
          <cell r="R73"/>
          <cell r="S73">
            <v>427622</v>
          </cell>
          <cell r="T73"/>
          <cell r="U73">
            <v>76972</v>
          </cell>
          <cell r="V73"/>
          <cell r="W73">
            <v>76972</v>
          </cell>
          <cell r="X73"/>
          <cell r="Y73">
            <v>153944</v>
          </cell>
          <cell r="Z73"/>
          <cell r="AA73">
            <v>153944</v>
          </cell>
          <cell r="AB73">
            <v>0</v>
          </cell>
          <cell r="AC73"/>
          <cell r="AD73">
            <v>0</v>
          </cell>
        </row>
        <row r="74">
          <cell r="B74" t="str">
            <v>10165</v>
          </cell>
          <cell r="C74" t="str">
            <v>TRẦN THỊ THOI</v>
          </cell>
          <cell r="D74" t="str">
            <v>9220</v>
          </cell>
          <cell r="E74">
            <v>5131460</v>
          </cell>
          <cell r="F74">
            <v>24</v>
          </cell>
          <cell r="G74">
            <v>23.5</v>
          </cell>
          <cell r="H74">
            <v>0.5</v>
          </cell>
          <cell r="I74">
            <v>5131460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/>
          <cell r="Q74">
            <v>0</v>
          </cell>
          <cell r="R74"/>
          <cell r="S74">
            <v>5131460</v>
          </cell>
          <cell r="T74">
            <v>410517</v>
          </cell>
          <cell r="U74">
            <v>76972</v>
          </cell>
          <cell r="V74">
            <v>51315</v>
          </cell>
          <cell r="W74">
            <v>538804</v>
          </cell>
          <cell r="X74">
            <v>898006</v>
          </cell>
          <cell r="Y74">
            <v>153944</v>
          </cell>
          <cell r="Z74">
            <v>51315</v>
          </cell>
          <cell r="AA74">
            <v>1103265</v>
          </cell>
          <cell r="AB74">
            <v>0</v>
          </cell>
          <cell r="AC74">
            <v>102629</v>
          </cell>
          <cell r="AD74">
            <v>0</v>
          </cell>
        </row>
        <row r="75">
          <cell r="B75" t="str">
            <v>11023</v>
          </cell>
          <cell r="C75" t="str">
            <v>PHAN THANH DOÃN</v>
          </cell>
          <cell r="D75" t="str">
            <v>9100</v>
          </cell>
          <cell r="E75">
            <v>151766385</v>
          </cell>
          <cell r="F75">
            <v>24.125</v>
          </cell>
          <cell r="G75">
            <v>24.125</v>
          </cell>
          <cell r="H75">
            <v>0</v>
          </cell>
          <cell r="I75">
            <v>151766385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/>
          <cell r="Q75">
            <v>-800000</v>
          </cell>
          <cell r="R75"/>
          <cell r="S75">
            <v>150966385</v>
          </cell>
          <cell r="T75">
            <v>2880000</v>
          </cell>
          <cell r="U75">
            <v>540000</v>
          </cell>
          <cell r="V75">
            <v>832000</v>
          </cell>
          <cell r="W75">
            <v>4252000</v>
          </cell>
          <cell r="X75">
            <v>6300000</v>
          </cell>
          <cell r="Y75">
            <v>1080000</v>
          </cell>
          <cell r="Z75">
            <v>832000</v>
          </cell>
          <cell r="AA75">
            <v>8212000</v>
          </cell>
          <cell r="AB75">
            <v>35000</v>
          </cell>
          <cell r="AC75">
            <v>720000</v>
          </cell>
          <cell r="AD75">
            <v>4</v>
          </cell>
        </row>
        <row r="76">
          <cell r="B76" t="str">
            <v>11024</v>
          </cell>
          <cell r="C76" t="str">
            <v>NGÔ THỊ LỆ THÚY</v>
          </cell>
          <cell r="D76" t="str">
            <v>9300</v>
          </cell>
          <cell r="E76">
            <v>12283780</v>
          </cell>
          <cell r="F76">
            <v>24.125</v>
          </cell>
          <cell r="G76">
            <v>4.5</v>
          </cell>
          <cell r="H76">
            <v>2.125</v>
          </cell>
          <cell r="I76">
            <v>3373266</v>
          </cell>
          <cell r="J76"/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/>
          <cell r="Q76">
            <v>-200000</v>
          </cell>
          <cell r="R76"/>
          <cell r="S76">
            <v>3173266</v>
          </cell>
          <cell r="T76"/>
          <cell r="U76"/>
          <cell r="V76"/>
          <cell r="W76">
            <v>0</v>
          </cell>
          <cell r="X76"/>
          <cell r="Y76"/>
          <cell r="Z76"/>
          <cell r="AA76">
            <v>0</v>
          </cell>
          <cell r="AB76"/>
          <cell r="AC76"/>
          <cell r="AD76">
            <v>0</v>
          </cell>
        </row>
        <row r="77">
          <cell r="B77" t="str">
            <v>11090</v>
          </cell>
          <cell r="C77" t="str">
            <v>TRẦN THỊ THẮM</v>
          </cell>
          <cell r="D77" t="str">
            <v>9420</v>
          </cell>
          <cell r="E77">
            <v>81000000</v>
          </cell>
          <cell r="F77">
            <v>24.125</v>
          </cell>
          <cell r="G77">
            <v>24.125</v>
          </cell>
          <cell r="H77">
            <v>0</v>
          </cell>
          <cell r="I77">
            <v>81000000</v>
          </cell>
          <cell r="J77">
            <v>0</v>
          </cell>
          <cell r="K77">
            <v>0</v>
          </cell>
          <cell r="L77">
            <v>0</v>
          </cell>
          <cell r="M77">
            <v>458128</v>
          </cell>
          <cell r="N77">
            <v>0</v>
          </cell>
          <cell r="O77">
            <v>0</v>
          </cell>
          <cell r="P77"/>
          <cell r="Q77">
            <v>-500000</v>
          </cell>
          <cell r="R77"/>
          <cell r="S77">
            <v>80958128</v>
          </cell>
          <cell r="T77">
            <v>2880000</v>
          </cell>
          <cell r="U77">
            <v>540000</v>
          </cell>
          <cell r="V77">
            <v>810000</v>
          </cell>
          <cell r="W77">
            <v>4230000</v>
          </cell>
          <cell r="X77">
            <v>6300000</v>
          </cell>
          <cell r="Y77">
            <v>1080000</v>
          </cell>
          <cell r="Z77">
            <v>810000</v>
          </cell>
          <cell r="AA77">
            <v>8190000</v>
          </cell>
          <cell r="AB77">
            <v>35000</v>
          </cell>
          <cell r="AC77">
            <v>720000</v>
          </cell>
          <cell r="AD77">
            <v>4</v>
          </cell>
        </row>
        <row r="78">
          <cell r="B78" t="str">
            <v>11094</v>
          </cell>
          <cell r="C78" t="str">
            <v>NGUYỄN THỤC NGUYÊN</v>
          </cell>
          <cell r="D78" t="str">
            <v>9250</v>
          </cell>
          <cell r="E78">
            <v>17739072</v>
          </cell>
          <cell r="F78">
            <v>24</v>
          </cell>
          <cell r="G78">
            <v>24</v>
          </cell>
          <cell r="H78">
            <v>0</v>
          </cell>
          <cell r="I78">
            <v>17739072</v>
          </cell>
          <cell r="J78">
            <v>0</v>
          </cell>
          <cell r="K78">
            <v>1200000</v>
          </cell>
          <cell r="L78">
            <v>400000</v>
          </cell>
          <cell r="M78">
            <v>500000</v>
          </cell>
          <cell r="N78">
            <v>0</v>
          </cell>
          <cell r="O78">
            <v>0</v>
          </cell>
          <cell r="P78"/>
          <cell r="Q78">
            <v>-500000</v>
          </cell>
          <cell r="R78"/>
          <cell r="S78">
            <v>19339072</v>
          </cell>
          <cell r="T78">
            <v>1419126</v>
          </cell>
          <cell r="U78">
            <v>266086</v>
          </cell>
          <cell r="V78">
            <v>177391</v>
          </cell>
          <cell r="W78">
            <v>1862603</v>
          </cell>
          <cell r="X78">
            <v>3104338</v>
          </cell>
          <cell r="Y78">
            <v>532172</v>
          </cell>
          <cell r="Z78">
            <v>177391</v>
          </cell>
          <cell r="AA78">
            <v>3813901</v>
          </cell>
          <cell r="AB78">
            <v>35000</v>
          </cell>
          <cell r="AC78">
            <v>354781</v>
          </cell>
          <cell r="AD78">
            <v>4</v>
          </cell>
        </row>
        <row r="79">
          <cell r="B79" t="str">
            <v>11126</v>
          </cell>
          <cell r="C79" t="str">
            <v>PHẠM VĂN ĐOÀN</v>
          </cell>
          <cell r="D79" t="str">
            <v>9250</v>
          </cell>
          <cell r="E79">
            <v>15168825</v>
          </cell>
          <cell r="F79">
            <v>24</v>
          </cell>
          <cell r="G79">
            <v>24</v>
          </cell>
          <cell r="H79">
            <v>0</v>
          </cell>
          <cell r="I79">
            <v>15168825</v>
          </cell>
          <cell r="J79">
            <v>0</v>
          </cell>
          <cell r="K79">
            <v>1200000</v>
          </cell>
          <cell r="L79">
            <v>400000</v>
          </cell>
          <cell r="M79">
            <v>500000</v>
          </cell>
          <cell r="N79">
            <v>0</v>
          </cell>
          <cell r="O79">
            <v>0</v>
          </cell>
          <cell r="P79"/>
          <cell r="Q79">
            <v>-500000</v>
          </cell>
          <cell r="R79"/>
          <cell r="S79">
            <v>16768825</v>
          </cell>
          <cell r="T79">
            <v>1213506</v>
          </cell>
          <cell r="U79">
            <v>227532</v>
          </cell>
          <cell r="V79">
            <v>151688</v>
          </cell>
          <cell r="W79">
            <v>1592726</v>
          </cell>
          <cell r="X79">
            <v>2654544</v>
          </cell>
          <cell r="Y79">
            <v>455065</v>
          </cell>
          <cell r="Z79">
            <v>151688</v>
          </cell>
          <cell r="AA79">
            <v>3261297</v>
          </cell>
          <cell r="AB79">
            <v>35000</v>
          </cell>
          <cell r="AC79">
            <v>303377</v>
          </cell>
          <cell r="AD79">
            <v>2</v>
          </cell>
        </row>
        <row r="80">
          <cell r="B80" t="str">
            <v>11128</v>
          </cell>
          <cell r="C80" t="str">
            <v>TRẦN THỊ HUYỀN</v>
          </cell>
          <cell r="D80" t="str">
            <v>9280</v>
          </cell>
          <cell r="E80">
            <v>8094404</v>
          </cell>
          <cell r="F80">
            <v>24</v>
          </cell>
          <cell r="G80">
            <v>23.5</v>
          </cell>
          <cell r="H80">
            <v>0.5</v>
          </cell>
          <cell r="I80">
            <v>8094404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/>
          <cell r="Q80">
            <v>0</v>
          </cell>
          <cell r="R80"/>
          <cell r="S80">
            <v>8094404</v>
          </cell>
          <cell r="T80">
            <v>647552</v>
          </cell>
          <cell r="U80">
            <v>121416</v>
          </cell>
          <cell r="V80">
            <v>80944</v>
          </cell>
          <cell r="W80">
            <v>849912</v>
          </cell>
          <cell r="X80">
            <v>1416521</v>
          </cell>
          <cell r="Y80">
            <v>242832</v>
          </cell>
          <cell r="Z80">
            <v>80944</v>
          </cell>
          <cell r="AA80">
            <v>1740297</v>
          </cell>
          <cell r="AB80">
            <v>0</v>
          </cell>
          <cell r="AC80">
            <v>161888</v>
          </cell>
          <cell r="AD80">
            <v>2</v>
          </cell>
        </row>
        <row r="81">
          <cell r="B81" t="str">
            <v>11141</v>
          </cell>
          <cell r="C81" t="str">
            <v>NGUYỄN ĐỨC QUẢNG</v>
          </cell>
          <cell r="D81" t="str">
            <v>9100</v>
          </cell>
          <cell r="E81">
            <v>10609000</v>
          </cell>
          <cell r="F81">
            <v>24</v>
          </cell>
          <cell r="G81">
            <v>24</v>
          </cell>
          <cell r="H81">
            <v>0</v>
          </cell>
          <cell r="I81">
            <v>10609000</v>
          </cell>
          <cell r="J81">
            <v>1320000</v>
          </cell>
          <cell r="K81">
            <v>1200000</v>
          </cell>
          <cell r="L81">
            <v>400000</v>
          </cell>
          <cell r="M81">
            <v>0</v>
          </cell>
          <cell r="N81">
            <v>3009300</v>
          </cell>
          <cell r="O81">
            <v>0</v>
          </cell>
          <cell r="P81"/>
          <cell r="Q81">
            <v>-500000</v>
          </cell>
          <cell r="R81"/>
          <cell r="S81">
            <v>16038300</v>
          </cell>
          <cell r="T81">
            <v>954320</v>
          </cell>
          <cell r="U81">
            <v>178935</v>
          </cell>
          <cell r="V81">
            <v>119290</v>
          </cell>
          <cell r="W81">
            <v>1252545</v>
          </cell>
          <cell r="X81">
            <v>2087575</v>
          </cell>
          <cell r="Y81">
            <v>357870</v>
          </cell>
          <cell r="Z81">
            <v>119290</v>
          </cell>
          <cell r="AA81">
            <v>2564735</v>
          </cell>
          <cell r="AB81">
            <v>35000</v>
          </cell>
          <cell r="AC81">
            <v>238580</v>
          </cell>
          <cell r="AD81">
            <v>0</v>
          </cell>
        </row>
        <row r="82">
          <cell r="B82" t="str">
            <v>11156</v>
          </cell>
          <cell r="C82" t="str">
            <v>TRẦN THỊ BÍCH LOAN</v>
          </cell>
          <cell r="D82" t="str">
            <v>9220</v>
          </cell>
          <cell r="E82">
            <v>34750000</v>
          </cell>
          <cell r="F82">
            <v>24.125</v>
          </cell>
          <cell r="G82">
            <v>20.75</v>
          </cell>
          <cell r="H82">
            <v>3.375</v>
          </cell>
          <cell r="I82">
            <v>34750000</v>
          </cell>
          <cell r="J82">
            <v>0</v>
          </cell>
          <cell r="K82">
            <v>0</v>
          </cell>
          <cell r="L82">
            <v>0</v>
          </cell>
          <cell r="M82">
            <v>388180</v>
          </cell>
          <cell r="N82">
            <v>0</v>
          </cell>
          <cell r="O82">
            <v>0</v>
          </cell>
          <cell r="P82"/>
          <cell r="Q82">
            <v>-500000</v>
          </cell>
          <cell r="R82"/>
          <cell r="S82">
            <v>34638180</v>
          </cell>
          <cell r="T82">
            <v>2780000</v>
          </cell>
          <cell r="U82">
            <v>521250</v>
          </cell>
          <cell r="V82">
            <v>347500</v>
          </cell>
          <cell r="W82">
            <v>3648750</v>
          </cell>
          <cell r="X82">
            <v>6081250</v>
          </cell>
          <cell r="Y82">
            <v>1042500</v>
          </cell>
          <cell r="Z82">
            <v>347500</v>
          </cell>
          <cell r="AA82">
            <v>7471250</v>
          </cell>
          <cell r="AB82">
            <v>0</v>
          </cell>
          <cell r="AC82">
            <v>695000</v>
          </cell>
          <cell r="AD82">
            <v>3</v>
          </cell>
        </row>
        <row r="83">
          <cell r="B83" t="str">
            <v>11164</v>
          </cell>
          <cell r="C83" t="str">
            <v>ĐẶNG THỊ NGHĨA</v>
          </cell>
          <cell r="D83" t="str">
            <v>9200</v>
          </cell>
          <cell r="E83">
            <v>5485500</v>
          </cell>
          <cell r="F83">
            <v>24.125</v>
          </cell>
          <cell r="G83">
            <v>24.125</v>
          </cell>
          <cell r="H83">
            <v>0</v>
          </cell>
          <cell r="I83">
            <v>5485500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/>
          <cell r="Q83">
            <v>0</v>
          </cell>
          <cell r="R83"/>
          <cell r="S83">
            <v>5485500</v>
          </cell>
          <cell r="T83">
            <v>438840</v>
          </cell>
          <cell r="U83">
            <v>82283</v>
          </cell>
          <cell r="V83">
            <v>54855</v>
          </cell>
          <cell r="W83">
            <v>575978</v>
          </cell>
          <cell r="X83">
            <v>959963</v>
          </cell>
          <cell r="Y83">
            <v>164565</v>
          </cell>
          <cell r="Z83">
            <v>54855</v>
          </cell>
          <cell r="AA83">
            <v>1179383</v>
          </cell>
          <cell r="AB83">
            <v>0</v>
          </cell>
          <cell r="AC83">
            <v>109710</v>
          </cell>
          <cell r="AD83">
            <v>0</v>
          </cell>
        </row>
        <row r="84">
          <cell r="B84" t="str">
            <v>11168</v>
          </cell>
          <cell r="C84" t="str">
            <v>LÊ HỮU NAM</v>
          </cell>
          <cell r="D84" t="str">
            <v>9100</v>
          </cell>
          <cell r="E84">
            <v>10696725</v>
          </cell>
          <cell r="F84">
            <v>24</v>
          </cell>
          <cell r="G84">
            <v>24</v>
          </cell>
          <cell r="H84">
            <v>0</v>
          </cell>
          <cell r="I84">
            <v>10696725</v>
          </cell>
          <cell r="J84">
            <v>1320000</v>
          </cell>
          <cell r="K84">
            <v>1200000</v>
          </cell>
          <cell r="L84">
            <v>400000</v>
          </cell>
          <cell r="M84">
            <v>0</v>
          </cell>
          <cell r="N84">
            <v>1067000</v>
          </cell>
          <cell r="O84">
            <v>0</v>
          </cell>
          <cell r="P84"/>
          <cell r="Q84">
            <v>-500000</v>
          </cell>
          <cell r="R84"/>
          <cell r="S84">
            <v>14183725</v>
          </cell>
          <cell r="T84">
            <v>961338</v>
          </cell>
          <cell r="U84">
            <v>180251</v>
          </cell>
          <cell r="V84">
            <v>120167</v>
          </cell>
          <cell r="W84">
            <v>1261756</v>
          </cell>
          <cell r="X84">
            <v>2102927</v>
          </cell>
          <cell r="Y84">
            <v>360502</v>
          </cell>
          <cell r="Z84">
            <v>120167</v>
          </cell>
          <cell r="AA84">
            <v>2583596</v>
          </cell>
          <cell r="AB84">
            <v>35000</v>
          </cell>
          <cell r="AC84">
            <v>240335</v>
          </cell>
          <cell r="AD84">
            <v>0</v>
          </cell>
        </row>
        <row r="85">
          <cell r="B85" t="str">
            <v>11188</v>
          </cell>
          <cell r="C85" t="str">
            <v>PHẠM TRƯỜNG SINH</v>
          </cell>
          <cell r="D85" t="str">
            <v>9100</v>
          </cell>
          <cell r="E85">
            <v>26651250</v>
          </cell>
          <cell r="F85">
            <v>24</v>
          </cell>
          <cell r="G85">
            <v>24</v>
          </cell>
          <cell r="H85">
            <v>0</v>
          </cell>
          <cell r="I85">
            <v>26651250</v>
          </cell>
          <cell r="J85">
            <v>2750000</v>
          </cell>
          <cell r="K85">
            <v>810000</v>
          </cell>
          <cell r="L85">
            <v>400000</v>
          </cell>
          <cell r="M85">
            <v>460000</v>
          </cell>
          <cell r="N85">
            <v>1961000</v>
          </cell>
          <cell r="O85">
            <v>0</v>
          </cell>
          <cell r="P85"/>
          <cell r="Q85">
            <v>-1000000</v>
          </cell>
          <cell r="R85"/>
          <cell r="S85">
            <v>32032250</v>
          </cell>
          <cell r="T85">
            <v>2352100</v>
          </cell>
          <cell r="U85">
            <v>441019</v>
          </cell>
          <cell r="V85">
            <v>294013</v>
          </cell>
          <cell r="W85">
            <v>3087132</v>
          </cell>
          <cell r="X85">
            <v>5145219</v>
          </cell>
          <cell r="Y85">
            <v>882038</v>
          </cell>
          <cell r="Z85">
            <v>294013</v>
          </cell>
          <cell r="AA85">
            <v>6321270</v>
          </cell>
          <cell r="AB85">
            <v>35000</v>
          </cell>
          <cell r="AC85">
            <v>588025</v>
          </cell>
          <cell r="AD85">
            <v>3</v>
          </cell>
        </row>
        <row r="86">
          <cell r="B86" t="str">
            <v>11194</v>
          </cell>
          <cell r="C86" t="str">
            <v>ĐÀO THỊ KIM DIỆU</v>
          </cell>
          <cell r="D86" t="str">
            <v>9420</v>
          </cell>
          <cell r="E86">
            <v>37000000</v>
          </cell>
          <cell r="F86">
            <v>24.125</v>
          </cell>
          <cell r="G86">
            <v>24.125</v>
          </cell>
          <cell r="H86">
            <v>0</v>
          </cell>
          <cell r="I86">
            <v>37000000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/>
          <cell r="Q86">
            <v>-400000</v>
          </cell>
          <cell r="R86"/>
          <cell r="S86">
            <v>36600000</v>
          </cell>
          <cell r="T86">
            <v>2880000</v>
          </cell>
          <cell r="U86">
            <v>540000</v>
          </cell>
          <cell r="V86">
            <v>370000</v>
          </cell>
          <cell r="W86">
            <v>3790000</v>
          </cell>
          <cell r="X86">
            <v>6300000</v>
          </cell>
          <cell r="Y86">
            <v>1080000</v>
          </cell>
          <cell r="Z86">
            <v>370000</v>
          </cell>
          <cell r="AA86">
            <v>7750000</v>
          </cell>
          <cell r="AB86">
            <v>35000</v>
          </cell>
          <cell r="AC86">
            <v>720000</v>
          </cell>
          <cell r="AD86">
            <v>4</v>
          </cell>
        </row>
        <row r="87">
          <cell r="B87" t="str">
            <v>11318</v>
          </cell>
          <cell r="C87" t="str">
            <v>VŨ THỊ HÒA</v>
          </cell>
          <cell r="D87" t="str">
            <v>9300</v>
          </cell>
          <cell r="E87">
            <v>13165200</v>
          </cell>
          <cell r="F87">
            <v>24.125</v>
          </cell>
          <cell r="G87">
            <v>24.125</v>
          </cell>
          <cell r="H87">
            <v>0</v>
          </cell>
          <cell r="I87">
            <v>13165200</v>
          </cell>
          <cell r="J87">
            <v>3200000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/>
          <cell r="Q87">
            <v>-300000</v>
          </cell>
          <cell r="R87"/>
          <cell r="S87">
            <v>16065200</v>
          </cell>
          <cell r="T87">
            <v>1309216</v>
          </cell>
          <cell r="U87">
            <v>245478</v>
          </cell>
          <cell r="V87">
            <v>163652</v>
          </cell>
          <cell r="W87">
            <v>1718346</v>
          </cell>
          <cell r="X87">
            <v>2863910</v>
          </cell>
          <cell r="Y87">
            <v>490956</v>
          </cell>
          <cell r="Z87">
            <v>163652</v>
          </cell>
          <cell r="AA87">
            <v>3518518</v>
          </cell>
          <cell r="AB87">
            <v>35000</v>
          </cell>
          <cell r="AC87">
            <v>327304</v>
          </cell>
          <cell r="AD87">
            <v>1</v>
          </cell>
        </row>
        <row r="88">
          <cell r="B88" t="str">
            <v>11358</v>
          </cell>
          <cell r="C88" t="str">
            <v>TRƯƠNG HỒNG ĐIỆP</v>
          </cell>
          <cell r="D88" t="str">
            <v>9260</v>
          </cell>
          <cell r="E88">
            <v>12720000</v>
          </cell>
          <cell r="F88">
            <v>24</v>
          </cell>
          <cell r="G88">
            <v>22.706250000000001</v>
          </cell>
          <cell r="H88">
            <v>1.29375</v>
          </cell>
          <cell r="I88">
            <v>12720000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/>
          <cell r="Q88">
            <v>-300000</v>
          </cell>
          <cell r="R88"/>
          <cell r="S88">
            <v>12420000</v>
          </cell>
          <cell r="T88">
            <v>1017600</v>
          </cell>
          <cell r="U88">
            <v>190800</v>
          </cell>
          <cell r="V88">
            <v>127200</v>
          </cell>
          <cell r="W88">
            <v>1335600</v>
          </cell>
          <cell r="X88">
            <v>2226000</v>
          </cell>
          <cell r="Y88">
            <v>381600</v>
          </cell>
          <cell r="Z88">
            <v>127200</v>
          </cell>
          <cell r="AA88">
            <v>2734800</v>
          </cell>
          <cell r="AB88">
            <v>0</v>
          </cell>
          <cell r="AC88">
            <v>254400</v>
          </cell>
          <cell r="AD88">
            <v>1</v>
          </cell>
        </row>
        <row r="89">
          <cell r="B89" t="str">
            <v>11368</v>
          </cell>
          <cell r="C89" t="str">
            <v>NGUYỄN THỊ HỒNG NGA</v>
          </cell>
          <cell r="D89" t="str">
            <v>9280</v>
          </cell>
          <cell r="E89">
            <v>8480000</v>
          </cell>
          <cell r="F89">
            <v>24</v>
          </cell>
          <cell r="G89">
            <v>22.881250000000001</v>
          </cell>
          <cell r="H89">
            <v>1.1187499999999999</v>
          </cell>
          <cell r="I89">
            <v>8480000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/>
          <cell r="Q89">
            <v>-200000</v>
          </cell>
          <cell r="R89"/>
          <cell r="S89">
            <v>8280000</v>
          </cell>
          <cell r="T89">
            <v>678400</v>
          </cell>
          <cell r="U89">
            <v>127200</v>
          </cell>
          <cell r="V89">
            <v>84800</v>
          </cell>
          <cell r="W89">
            <v>890400</v>
          </cell>
          <cell r="X89">
            <v>1484000</v>
          </cell>
          <cell r="Y89">
            <v>254400</v>
          </cell>
          <cell r="Z89">
            <v>84800</v>
          </cell>
          <cell r="AA89">
            <v>1823200</v>
          </cell>
          <cell r="AB89">
            <v>0</v>
          </cell>
          <cell r="AC89">
            <v>169600</v>
          </cell>
          <cell r="AD89">
            <v>2</v>
          </cell>
        </row>
        <row r="90">
          <cell r="B90" t="str">
            <v>11382</v>
          </cell>
          <cell r="C90" t="str">
            <v>TRẦN NGỌC SƠN</v>
          </cell>
          <cell r="D90" t="str">
            <v>9200</v>
          </cell>
          <cell r="E90">
            <v>120204000</v>
          </cell>
          <cell r="F90">
            <v>24.125</v>
          </cell>
          <cell r="G90">
            <v>24.125</v>
          </cell>
          <cell r="H90">
            <v>0</v>
          </cell>
          <cell r="I90">
            <v>120204000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/>
          <cell r="Q90">
            <v>0</v>
          </cell>
          <cell r="R90"/>
          <cell r="S90">
            <v>120204000</v>
          </cell>
          <cell r="T90">
            <v>2880000</v>
          </cell>
          <cell r="U90">
            <v>540000</v>
          </cell>
          <cell r="V90">
            <v>832000</v>
          </cell>
          <cell r="W90">
            <v>4252000</v>
          </cell>
          <cell r="X90">
            <v>6300000</v>
          </cell>
          <cell r="Y90">
            <v>1080000</v>
          </cell>
          <cell r="Z90">
            <v>832000</v>
          </cell>
          <cell r="AA90">
            <v>8212000</v>
          </cell>
          <cell r="AB90">
            <v>35000</v>
          </cell>
          <cell r="AC90">
            <v>720000</v>
          </cell>
          <cell r="AD90">
            <v>0</v>
          </cell>
        </row>
        <row r="91">
          <cell r="B91" t="str">
            <v>11396</v>
          </cell>
          <cell r="C91" t="str">
            <v>HOÀNG THỊ THANH HUYỀN</v>
          </cell>
          <cell r="D91" t="str">
            <v>9300</v>
          </cell>
          <cell r="E91">
            <v>12720000</v>
          </cell>
          <cell r="F91">
            <v>24.125</v>
          </cell>
          <cell r="G91">
            <v>24.125</v>
          </cell>
          <cell r="H91">
            <v>0</v>
          </cell>
          <cell r="I91">
            <v>12720000</v>
          </cell>
          <cell r="J91">
            <v>3200000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/>
          <cell r="Q91">
            <v>-300000</v>
          </cell>
          <cell r="R91"/>
          <cell r="S91">
            <v>15620000</v>
          </cell>
          <cell r="T91">
            <v>1273600</v>
          </cell>
          <cell r="U91">
            <v>238800</v>
          </cell>
          <cell r="V91">
            <v>159200</v>
          </cell>
          <cell r="W91">
            <v>1671600</v>
          </cell>
          <cell r="X91">
            <v>2786000</v>
          </cell>
          <cell r="Y91">
            <v>477600</v>
          </cell>
          <cell r="Z91">
            <v>159200</v>
          </cell>
          <cell r="AA91">
            <v>3422800</v>
          </cell>
          <cell r="AB91">
            <v>35000</v>
          </cell>
          <cell r="AC91">
            <v>318400</v>
          </cell>
          <cell r="AD91">
            <v>1</v>
          </cell>
        </row>
        <row r="92">
          <cell r="B92" t="str">
            <v>11400</v>
          </cell>
          <cell r="C92" t="str">
            <v>LÊ THỊ THANH THẮM</v>
          </cell>
          <cell r="D92" t="str">
            <v>9420</v>
          </cell>
          <cell r="E92">
            <v>21850000</v>
          </cell>
          <cell r="F92">
            <v>24.125</v>
          </cell>
          <cell r="G92">
            <v>23.125</v>
          </cell>
          <cell r="H92">
            <v>1</v>
          </cell>
          <cell r="I92">
            <v>21850000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/>
          <cell r="Q92">
            <v>-300000</v>
          </cell>
          <cell r="R92"/>
          <cell r="S92">
            <v>21550000</v>
          </cell>
          <cell r="T92">
            <v>1748000</v>
          </cell>
          <cell r="U92">
            <v>327750</v>
          </cell>
          <cell r="V92">
            <v>218500</v>
          </cell>
          <cell r="W92">
            <v>2294250</v>
          </cell>
          <cell r="X92">
            <v>3823750</v>
          </cell>
          <cell r="Y92">
            <v>655500</v>
          </cell>
          <cell r="Z92">
            <v>218500</v>
          </cell>
          <cell r="AA92">
            <v>4697750</v>
          </cell>
          <cell r="AB92">
            <v>35000</v>
          </cell>
          <cell r="AC92">
            <v>437000</v>
          </cell>
          <cell r="AD92">
            <v>1</v>
          </cell>
        </row>
        <row r="93">
          <cell r="B93" t="str">
            <v>11414</v>
          </cell>
          <cell r="C93" t="str">
            <v>LÊ THỊ ÁNH TUYẾT</v>
          </cell>
          <cell r="D93" t="str">
            <v>9250</v>
          </cell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>
            <v>0</v>
          </cell>
          <cell r="R93"/>
          <cell r="S93">
            <v>0</v>
          </cell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</row>
        <row r="94">
          <cell r="B94" t="str">
            <v>11443</v>
          </cell>
          <cell r="C94" t="str">
            <v>MAI VĂN CHƯƠNG</v>
          </cell>
          <cell r="D94" t="str">
            <v>9200</v>
          </cell>
          <cell r="E94">
            <v>6100000</v>
          </cell>
          <cell r="F94">
            <v>24</v>
          </cell>
          <cell r="G94">
            <v>24</v>
          </cell>
          <cell r="H94">
            <v>0</v>
          </cell>
          <cell r="I94">
            <v>6100000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/>
          <cell r="Q94">
            <v>0</v>
          </cell>
          <cell r="R94"/>
          <cell r="S94">
            <v>6100000</v>
          </cell>
          <cell r="T94">
            <v>488000</v>
          </cell>
          <cell r="U94">
            <v>91500</v>
          </cell>
          <cell r="V94">
            <v>61000</v>
          </cell>
          <cell r="W94">
            <v>640500</v>
          </cell>
          <cell r="X94">
            <v>1067500</v>
          </cell>
          <cell r="Y94">
            <v>183000</v>
          </cell>
          <cell r="Z94">
            <v>61000</v>
          </cell>
          <cell r="AA94">
            <v>1311500</v>
          </cell>
          <cell r="AB94">
            <v>0</v>
          </cell>
          <cell r="AC94">
            <v>122000</v>
          </cell>
          <cell r="AD94">
            <v>0</v>
          </cell>
        </row>
        <row r="95">
          <cell r="B95" t="str">
            <v>11449</v>
          </cell>
          <cell r="C95" t="str">
            <v>NGUYỄN VĂN NGHIÊN</v>
          </cell>
          <cell r="D95" t="str">
            <v>9410</v>
          </cell>
          <cell r="E95">
            <v>10000000</v>
          </cell>
          <cell r="F95">
            <v>24.125</v>
          </cell>
          <cell r="G95">
            <v>24.125</v>
          </cell>
          <cell r="H95">
            <v>0</v>
          </cell>
          <cell r="I95">
            <v>10000000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1262500</v>
          </cell>
          <cell r="P95"/>
          <cell r="Q95">
            <v>-300000</v>
          </cell>
          <cell r="R95"/>
          <cell r="S95">
            <v>10962500</v>
          </cell>
          <cell r="T95">
            <v>800000</v>
          </cell>
          <cell r="U95">
            <v>150000</v>
          </cell>
          <cell r="V95">
            <v>100000</v>
          </cell>
          <cell r="W95">
            <v>1050000</v>
          </cell>
          <cell r="X95">
            <v>1750000</v>
          </cell>
          <cell r="Y95">
            <v>300000</v>
          </cell>
          <cell r="Z95">
            <v>100000</v>
          </cell>
          <cell r="AA95">
            <v>2150000</v>
          </cell>
          <cell r="AB95">
            <v>35000</v>
          </cell>
          <cell r="AC95">
            <v>200000</v>
          </cell>
          <cell r="AD95">
            <v>3</v>
          </cell>
        </row>
        <row r="96">
          <cell r="B96" t="str">
            <v>11450</v>
          </cell>
          <cell r="C96" t="str">
            <v>ĐẶNG PHƯƠNG ANH</v>
          </cell>
          <cell r="D96" t="str">
            <v>9420</v>
          </cell>
          <cell r="E96">
            <v>242384615</v>
          </cell>
          <cell r="F96">
            <v>24.125</v>
          </cell>
          <cell r="G96">
            <v>24.125</v>
          </cell>
          <cell r="H96">
            <v>0</v>
          </cell>
          <cell r="I96">
            <v>242384615</v>
          </cell>
          <cell r="J96">
            <v>0</v>
          </cell>
          <cell r="K96">
            <v>0</v>
          </cell>
          <cell r="L96">
            <v>0</v>
          </cell>
          <cell r="M96">
            <v>4581281</v>
          </cell>
          <cell r="N96">
            <v>0</v>
          </cell>
          <cell r="O96">
            <v>0</v>
          </cell>
          <cell r="P96"/>
          <cell r="Q96">
            <v>-800000</v>
          </cell>
          <cell r="R96"/>
          <cell r="S96">
            <v>246165896</v>
          </cell>
          <cell r="T96">
            <v>2880000</v>
          </cell>
          <cell r="U96">
            <v>540000</v>
          </cell>
          <cell r="V96">
            <v>832000</v>
          </cell>
          <cell r="W96">
            <v>4252000</v>
          </cell>
          <cell r="X96">
            <v>6300000</v>
          </cell>
          <cell r="Y96">
            <v>1080000</v>
          </cell>
          <cell r="Z96">
            <v>832000</v>
          </cell>
          <cell r="AA96">
            <v>8212000</v>
          </cell>
          <cell r="AB96">
            <v>35000</v>
          </cell>
          <cell r="AC96">
            <v>720000</v>
          </cell>
          <cell r="AD96">
            <v>2</v>
          </cell>
        </row>
        <row r="97">
          <cell r="B97" t="str">
            <v>11457</v>
          </cell>
          <cell r="C97" t="str">
            <v>ĐỖ THÀNH LỘC</v>
          </cell>
          <cell r="D97" t="str">
            <v>9420</v>
          </cell>
          <cell r="E97">
            <v>36000000</v>
          </cell>
          <cell r="F97">
            <v>24.125</v>
          </cell>
          <cell r="G97">
            <v>24.125</v>
          </cell>
          <cell r="H97">
            <v>0</v>
          </cell>
          <cell r="I97">
            <v>36000000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/>
          <cell r="Q97">
            <v>-400000</v>
          </cell>
          <cell r="R97"/>
          <cell r="S97">
            <v>35600000</v>
          </cell>
          <cell r="T97">
            <v>2880000</v>
          </cell>
          <cell r="U97">
            <v>540000</v>
          </cell>
          <cell r="V97">
            <v>360000</v>
          </cell>
          <cell r="W97">
            <v>3780000</v>
          </cell>
          <cell r="X97">
            <v>6300000</v>
          </cell>
          <cell r="Y97">
            <v>1080000</v>
          </cell>
          <cell r="Z97">
            <v>360000</v>
          </cell>
          <cell r="AA97">
            <v>7740000</v>
          </cell>
          <cell r="AB97">
            <v>35000</v>
          </cell>
          <cell r="AC97">
            <v>720000</v>
          </cell>
          <cell r="AD97">
            <v>2</v>
          </cell>
        </row>
        <row r="98">
          <cell r="B98" t="str">
            <v>11458</v>
          </cell>
          <cell r="C98" t="str">
            <v>KIỀU THỊ NGỌC TRẦM</v>
          </cell>
          <cell r="D98" t="str">
            <v>9410</v>
          </cell>
          <cell r="E98">
            <v>28000000</v>
          </cell>
          <cell r="F98">
            <v>24.125</v>
          </cell>
          <cell r="G98">
            <v>23.125</v>
          </cell>
          <cell r="H98">
            <v>1</v>
          </cell>
          <cell r="I98">
            <v>28000000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4352332</v>
          </cell>
          <cell r="P98"/>
          <cell r="Q98">
            <v>-300000</v>
          </cell>
          <cell r="R98"/>
          <cell r="S98">
            <v>32052332</v>
          </cell>
          <cell r="T98">
            <v>2240000</v>
          </cell>
          <cell r="U98">
            <v>420000</v>
          </cell>
          <cell r="V98">
            <v>280000</v>
          </cell>
          <cell r="W98">
            <v>2940000</v>
          </cell>
          <cell r="X98">
            <v>4900000</v>
          </cell>
          <cell r="Y98">
            <v>840000</v>
          </cell>
          <cell r="Z98">
            <v>280000</v>
          </cell>
          <cell r="AA98">
            <v>6020000</v>
          </cell>
          <cell r="AB98">
            <v>35000</v>
          </cell>
          <cell r="AC98">
            <v>560000</v>
          </cell>
          <cell r="AD98">
            <v>1</v>
          </cell>
        </row>
        <row r="99">
          <cell r="B99" t="str">
            <v>11460</v>
          </cell>
          <cell r="C99" t="str">
            <v>PHAY THỪA PHÁT</v>
          </cell>
          <cell r="D99" t="str">
            <v>9260</v>
          </cell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>
            <v>0</v>
          </cell>
          <cell r="R99"/>
          <cell r="S99">
            <v>0</v>
          </cell>
          <cell r="T99">
            <v>-2800000</v>
          </cell>
          <cell r="U99">
            <v>-525000</v>
          </cell>
          <cell r="V99">
            <v>-350000</v>
          </cell>
          <cell r="W99">
            <v>-3675000</v>
          </cell>
          <cell r="X99">
            <v>-6125000</v>
          </cell>
          <cell r="Y99">
            <v>-1050000</v>
          </cell>
          <cell r="Z99">
            <v>-350000</v>
          </cell>
          <cell r="AA99">
            <v>-7525000</v>
          </cell>
          <cell r="AB99">
            <v>0</v>
          </cell>
          <cell r="AC99">
            <v>-700000</v>
          </cell>
          <cell r="AD99"/>
        </row>
        <row r="100">
          <cell r="B100" t="str">
            <v>11485</v>
          </cell>
          <cell r="C100" t="str">
            <v>PHẠM THỊ LOAN</v>
          </cell>
          <cell r="D100" t="str">
            <v>9200</v>
          </cell>
          <cell r="E100">
            <v>8000000</v>
          </cell>
          <cell r="F100">
            <v>24</v>
          </cell>
          <cell r="G100">
            <v>24</v>
          </cell>
          <cell r="H100">
            <v>0</v>
          </cell>
          <cell r="I100">
            <v>8000000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/>
          <cell r="Q100">
            <v>-200000</v>
          </cell>
          <cell r="R100"/>
          <cell r="S100">
            <v>7800000</v>
          </cell>
          <cell r="T100">
            <v>640000</v>
          </cell>
          <cell r="U100">
            <v>120000</v>
          </cell>
          <cell r="V100">
            <v>80000</v>
          </cell>
          <cell r="W100">
            <v>840000</v>
          </cell>
          <cell r="X100">
            <v>1400000</v>
          </cell>
          <cell r="Y100">
            <v>240000</v>
          </cell>
          <cell r="Z100">
            <v>80000</v>
          </cell>
          <cell r="AA100">
            <v>1720000</v>
          </cell>
          <cell r="AB100">
            <v>0</v>
          </cell>
          <cell r="AC100">
            <v>160000</v>
          </cell>
          <cell r="AD100">
            <v>1</v>
          </cell>
        </row>
        <row r="101">
          <cell r="B101" t="str">
            <v>11492</v>
          </cell>
          <cell r="C101" t="str">
            <v>TRẦN QUỐC BÌNH</v>
          </cell>
          <cell r="D101" t="str">
            <v>9420</v>
          </cell>
          <cell r="E101">
            <v>13000000</v>
          </cell>
          <cell r="F101">
            <v>24.125</v>
          </cell>
          <cell r="G101">
            <v>20.875</v>
          </cell>
          <cell r="H101">
            <v>0</v>
          </cell>
          <cell r="I101">
            <v>11248705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/>
          <cell r="Q101">
            <v>-300000</v>
          </cell>
          <cell r="R101">
            <v>1347150</v>
          </cell>
          <cell r="S101">
            <v>12295855</v>
          </cell>
          <cell r="T101">
            <v>1040000</v>
          </cell>
          <cell r="U101">
            <v>195000</v>
          </cell>
          <cell r="V101">
            <v>130000</v>
          </cell>
          <cell r="W101">
            <v>1365000</v>
          </cell>
          <cell r="X101">
            <v>2275000</v>
          </cell>
          <cell r="Y101">
            <v>390000</v>
          </cell>
          <cell r="Z101">
            <v>130000</v>
          </cell>
          <cell r="AA101">
            <v>2795000</v>
          </cell>
          <cell r="AB101">
            <v>35000</v>
          </cell>
          <cell r="AC101">
            <v>260000</v>
          </cell>
          <cell r="AD101">
            <v>1</v>
          </cell>
        </row>
        <row r="102">
          <cell r="B102" t="str">
            <v>11500</v>
          </cell>
          <cell r="C102" t="str">
            <v>NGUYỄN THỊ BÍCH NGỌC</v>
          </cell>
          <cell r="D102" t="str">
            <v>9420</v>
          </cell>
          <cell r="E102">
            <v>17000000</v>
          </cell>
          <cell r="F102">
            <v>24.125</v>
          </cell>
          <cell r="G102">
            <v>23</v>
          </cell>
          <cell r="H102">
            <v>1.125</v>
          </cell>
          <cell r="I102">
            <v>17000000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/>
          <cell r="Q102">
            <v>-300000</v>
          </cell>
          <cell r="R102"/>
          <cell r="S102">
            <v>16700000</v>
          </cell>
          <cell r="T102">
            <v>1360000</v>
          </cell>
          <cell r="U102">
            <v>255000</v>
          </cell>
          <cell r="V102">
            <v>170000</v>
          </cell>
          <cell r="W102">
            <v>1785000</v>
          </cell>
          <cell r="X102">
            <v>2975000</v>
          </cell>
          <cell r="Y102">
            <v>510000</v>
          </cell>
          <cell r="Z102">
            <v>170000</v>
          </cell>
          <cell r="AA102">
            <v>3655000</v>
          </cell>
          <cell r="AB102">
            <v>35000</v>
          </cell>
          <cell r="AC102">
            <v>340000</v>
          </cell>
          <cell r="AD102">
            <v>0</v>
          </cell>
        </row>
        <row r="103">
          <cell r="B103" t="str">
            <v>11502</v>
          </cell>
          <cell r="C103" t="str">
            <v>LÊ NGUYỄN DUY ĐỨC</v>
          </cell>
          <cell r="D103" t="str">
            <v>9100</v>
          </cell>
          <cell r="E103">
            <v>14000000</v>
          </cell>
          <cell r="F103">
            <v>24</v>
          </cell>
          <cell r="G103">
            <v>24</v>
          </cell>
          <cell r="H103">
            <v>0</v>
          </cell>
          <cell r="I103">
            <v>14000000</v>
          </cell>
          <cell r="J103">
            <v>1320000</v>
          </cell>
          <cell r="K103">
            <v>1200000</v>
          </cell>
          <cell r="L103">
            <v>400000</v>
          </cell>
          <cell r="M103">
            <v>0</v>
          </cell>
          <cell r="N103">
            <v>600000</v>
          </cell>
          <cell r="O103">
            <v>0</v>
          </cell>
          <cell r="P103"/>
          <cell r="Q103">
            <v>-500000</v>
          </cell>
          <cell r="R103"/>
          <cell r="S103">
            <v>17020000</v>
          </cell>
          <cell r="T103">
            <v>1225600</v>
          </cell>
          <cell r="U103">
            <v>229800</v>
          </cell>
          <cell r="V103">
            <v>153200</v>
          </cell>
          <cell r="W103">
            <v>1608600</v>
          </cell>
          <cell r="X103">
            <v>2681000</v>
          </cell>
          <cell r="Y103">
            <v>459600</v>
          </cell>
          <cell r="Z103">
            <v>153200</v>
          </cell>
          <cell r="AA103">
            <v>3293800</v>
          </cell>
          <cell r="AB103">
            <v>35000</v>
          </cell>
          <cell r="AC103">
            <v>306400</v>
          </cell>
          <cell r="AD103">
            <v>0</v>
          </cell>
        </row>
        <row r="104">
          <cell r="B104" t="str">
            <v>11503</v>
          </cell>
          <cell r="C104" t="str">
            <v>PHAN THANH TRÍ</v>
          </cell>
          <cell r="D104" t="str">
            <v>9410</v>
          </cell>
          <cell r="E104">
            <v>4000000</v>
          </cell>
          <cell r="F104">
            <v>19.125</v>
          </cell>
          <cell r="G104">
            <v>19.125</v>
          </cell>
          <cell r="H104">
            <v>0</v>
          </cell>
          <cell r="I104">
            <v>4000000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/>
          <cell r="Q104">
            <v>0</v>
          </cell>
          <cell r="R104"/>
          <cell r="S104">
            <v>4000000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B105" t="str">
            <v>11508</v>
          </cell>
          <cell r="C105" t="str">
            <v>Nguyễn Thị Thanh Huyền</v>
          </cell>
          <cell r="D105" t="str">
            <v>9250</v>
          </cell>
          <cell r="E105">
            <v>14000000</v>
          </cell>
          <cell r="F105">
            <v>24.125</v>
          </cell>
          <cell r="G105">
            <v>24.125</v>
          </cell>
          <cell r="H105">
            <v>0</v>
          </cell>
          <cell r="I105">
            <v>14000000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/>
          <cell r="Q105">
            <v>-300000</v>
          </cell>
          <cell r="R105"/>
          <cell r="S105">
            <v>13700000</v>
          </cell>
          <cell r="T105">
            <v>1120000</v>
          </cell>
          <cell r="U105">
            <v>210000</v>
          </cell>
          <cell r="V105">
            <v>140000</v>
          </cell>
          <cell r="W105">
            <v>1470000</v>
          </cell>
          <cell r="X105">
            <v>2450000</v>
          </cell>
          <cell r="Y105">
            <v>420000</v>
          </cell>
          <cell r="Z105">
            <v>140000</v>
          </cell>
          <cell r="AA105">
            <v>3010000</v>
          </cell>
          <cell r="AB105">
            <v>35000</v>
          </cell>
          <cell r="AC105">
            <v>280000</v>
          </cell>
          <cell r="AD105">
            <v>0</v>
          </cell>
        </row>
        <row r="106">
          <cell r="B106" t="str">
            <v>11510</v>
          </cell>
          <cell r="C106" t="str">
            <v>NGÔ THÚY TRINH</v>
          </cell>
          <cell r="D106" t="str">
            <v>9100</v>
          </cell>
          <cell r="E106">
            <v>17000000</v>
          </cell>
          <cell r="F106">
            <v>24.125</v>
          </cell>
          <cell r="G106">
            <v>24.125</v>
          </cell>
          <cell r="H106">
            <v>0</v>
          </cell>
          <cell r="I106">
            <v>17000000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/>
          <cell r="Q106">
            <v>-300000</v>
          </cell>
          <cell r="R106"/>
          <cell r="S106">
            <v>16700000</v>
          </cell>
          <cell r="T106">
            <v>1360000</v>
          </cell>
          <cell r="U106">
            <v>255000</v>
          </cell>
          <cell r="V106">
            <v>170000</v>
          </cell>
          <cell r="W106">
            <v>1785000</v>
          </cell>
          <cell r="X106">
            <v>2975000</v>
          </cell>
          <cell r="Y106">
            <v>510000</v>
          </cell>
          <cell r="Z106">
            <v>170000</v>
          </cell>
          <cell r="AA106">
            <v>3655000</v>
          </cell>
          <cell r="AB106">
            <v>35000</v>
          </cell>
          <cell r="AC106">
            <v>340000</v>
          </cell>
          <cell r="AD106">
            <v>0</v>
          </cell>
        </row>
        <row r="107">
          <cell r="B107" t="str">
            <v>11511</v>
          </cell>
          <cell r="C107" t="str">
            <v>Phạm Thị Dung</v>
          </cell>
          <cell r="D107" t="str">
            <v>9420</v>
          </cell>
          <cell r="E107">
            <v>24000000</v>
          </cell>
          <cell r="F107">
            <v>24.125</v>
          </cell>
          <cell r="G107">
            <v>24.125</v>
          </cell>
          <cell r="H107">
            <v>0</v>
          </cell>
          <cell r="I107">
            <v>24000000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/>
          <cell r="Q107">
            <v>-300000</v>
          </cell>
          <cell r="R107"/>
          <cell r="S107">
            <v>23700000</v>
          </cell>
          <cell r="T107">
            <v>1920000</v>
          </cell>
          <cell r="U107">
            <v>360000</v>
          </cell>
          <cell r="V107">
            <v>240000</v>
          </cell>
          <cell r="W107">
            <v>2520000</v>
          </cell>
          <cell r="X107">
            <v>4200000</v>
          </cell>
          <cell r="Y107">
            <v>720000</v>
          </cell>
          <cell r="Z107">
            <v>240000</v>
          </cell>
          <cell r="AA107">
            <v>5160000</v>
          </cell>
          <cell r="AB107">
            <v>35000</v>
          </cell>
          <cell r="AC107">
            <v>480000</v>
          </cell>
          <cell r="AD107">
            <v>1</v>
          </cell>
        </row>
        <row r="108">
          <cell r="B108" t="str">
            <v>11512</v>
          </cell>
          <cell r="C108" t="str">
            <v>Bá Hồng Giang</v>
          </cell>
          <cell r="D108" t="str">
            <v>9440</v>
          </cell>
          <cell r="E108">
            <v>29000000</v>
          </cell>
          <cell r="F108">
            <v>24.125</v>
          </cell>
          <cell r="G108">
            <v>22.5</v>
          </cell>
          <cell r="H108">
            <v>1.625</v>
          </cell>
          <cell r="I108">
            <v>29000000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/>
          <cell r="Q108">
            <v>-300000</v>
          </cell>
          <cell r="R108"/>
          <cell r="S108">
            <v>28700000</v>
          </cell>
          <cell r="T108">
            <v>2320000</v>
          </cell>
          <cell r="U108">
            <v>435000</v>
          </cell>
          <cell r="V108">
            <v>290000</v>
          </cell>
          <cell r="W108">
            <v>3045000</v>
          </cell>
          <cell r="X108">
            <v>5075000</v>
          </cell>
          <cell r="Y108">
            <v>870000</v>
          </cell>
          <cell r="Z108">
            <v>290000</v>
          </cell>
          <cell r="AA108">
            <v>6235000</v>
          </cell>
          <cell r="AB108">
            <v>35000</v>
          </cell>
          <cell r="AC108">
            <v>580000</v>
          </cell>
          <cell r="AD108">
            <v>0</v>
          </cell>
        </row>
        <row r="109">
          <cell r="B109" t="str">
            <v>11513</v>
          </cell>
          <cell r="C109" t="str">
            <v>TRẦN HỮU ĐẠT</v>
          </cell>
          <cell r="D109" t="str">
            <v>9420</v>
          </cell>
          <cell r="E109">
            <v>356704200</v>
          </cell>
          <cell r="F109">
            <v>24.125</v>
          </cell>
          <cell r="G109">
            <v>24.125</v>
          </cell>
          <cell r="H109">
            <v>0</v>
          </cell>
          <cell r="I109">
            <v>356704200</v>
          </cell>
          <cell r="J109">
            <v>0</v>
          </cell>
          <cell r="K109">
            <v>0</v>
          </cell>
          <cell r="L109">
            <v>9750000</v>
          </cell>
          <cell r="M109">
            <v>0</v>
          </cell>
          <cell r="N109">
            <v>0</v>
          </cell>
          <cell r="O109">
            <v>0</v>
          </cell>
          <cell r="P109"/>
          <cell r="Q109">
            <v>0</v>
          </cell>
          <cell r="R109"/>
          <cell r="S109">
            <v>366454200</v>
          </cell>
          <cell r="T109">
            <v>2880000</v>
          </cell>
          <cell r="U109">
            <v>540000</v>
          </cell>
          <cell r="V109">
            <v>832000</v>
          </cell>
          <cell r="W109">
            <v>4252000</v>
          </cell>
          <cell r="X109">
            <v>6300000</v>
          </cell>
          <cell r="Y109">
            <v>1080000</v>
          </cell>
          <cell r="Z109">
            <v>832000</v>
          </cell>
          <cell r="AA109">
            <v>8212000</v>
          </cell>
          <cell r="AB109">
            <v>35000</v>
          </cell>
          <cell r="AC109">
            <v>720000</v>
          </cell>
          <cell r="AD109">
            <v>2</v>
          </cell>
        </row>
        <row r="110">
          <cell r="B110" t="str">
            <v>11514</v>
          </cell>
          <cell r="C110" t="str">
            <v>NGUYỄN QUỐC HUY</v>
          </cell>
          <cell r="D110" t="str">
            <v>9220</v>
          </cell>
          <cell r="E110"/>
          <cell r="F110"/>
          <cell r="G110"/>
          <cell r="H110"/>
          <cell r="I110"/>
          <cell r="J110">
            <v>0</v>
          </cell>
          <cell r="K110"/>
          <cell r="L110"/>
          <cell r="M110"/>
          <cell r="N110"/>
          <cell r="O110"/>
          <cell r="P110"/>
          <cell r="Q110">
            <v>0</v>
          </cell>
          <cell r="R110"/>
          <cell r="S110">
            <v>0</v>
          </cell>
          <cell r="T110">
            <v>-488000</v>
          </cell>
          <cell r="U110">
            <v>-91500</v>
          </cell>
          <cell r="V110">
            <v>-61000</v>
          </cell>
          <cell r="W110">
            <v>-640500</v>
          </cell>
          <cell r="X110">
            <v>-1067500</v>
          </cell>
          <cell r="Y110">
            <v>-183000</v>
          </cell>
          <cell r="Z110">
            <v>-61000</v>
          </cell>
          <cell r="AA110">
            <v>-1311500</v>
          </cell>
          <cell r="AB110">
            <v>0</v>
          </cell>
          <cell r="AC110">
            <v>-122000</v>
          </cell>
          <cell r="AD110">
            <v>0</v>
          </cell>
        </row>
        <row r="111">
          <cell r="B111" t="str">
            <v>11515</v>
          </cell>
          <cell r="C111" t="str">
            <v>NGUYỄN THỊ HIỀN</v>
          </cell>
          <cell r="D111" t="str">
            <v>9220</v>
          </cell>
          <cell r="E111"/>
          <cell r="F111"/>
          <cell r="G111"/>
          <cell r="H111"/>
          <cell r="I111"/>
          <cell r="J111">
            <v>0</v>
          </cell>
          <cell r="K111"/>
          <cell r="L111"/>
          <cell r="M111"/>
          <cell r="N111"/>
          <cell r="O111"/>
          <cell r="P111"/>
          <cell r="Q111">
            <v>0</v>
          </cell>
          <cell r="R111"/>
          <cell r="S111">
            <v>0</v>
          </cell>
          <cell r="T111">
            <v>-488000</v>
          </cell>
          <cell r="U111">
            <v>-91500</v>
          </cell>
          <cell r="V111">
            <v>-61000</v>
          </cell>
          <cell r="W111">
            <v>-640500</v>
          </cell>
          <cell r="X111">
            <v>-1067500</v>
          </cell>
          <cell r="Y111">
            <v>-183000</v>
          </cell>
          <cell r="Z111">
            <v>-61000</v>
          </cell>
          <cell r="AA111">
            <v>-1311500</v>
          </cell>
          <cell r="AB111">
            <v>0</v>
          </cell>
          <cell r="AC111">
            <v>-122000</v>
          </cell>
          <cell r="AD111">
            <v>0</v>
          </cell>
        </row>
        <row r="112">
          <cell r="B112" t="str">
            <v>11516</v>
          </cell>
          <cell r="C112" t="str">
            <v>ĐINH THỊ OANH</v>
          </cell>
          <cell r="D112" t="str">
            <v>9220</v>
          </cell>
          <cell r="E112"/>
          <cell r="F112"/>
          <cell r="G112"/>
          <cell r="H112"/>
          <cell r="I112"/>
          <cell r="J112">
            <v>0</v>
          </cell>
          <cell r="K112"/>
          <cell r="L112"/>
          <cell r="M112"/>
          <cell r="N112"/>
          <cell r="O112"/>
          <cell r="P112"/>
          <cell r="Q112">
            <v>0</v>
          </cell>
          <cell r="R112"/>
          <cell r="S112">
            <v>0</v>
          </cell>
          <cell r="T112">
            <v>-488000</v>
          </cell>
          <cell r="U112">
            <v>-91500</v>
          </cell>
          <cell r="V112">
            <v>-61000</v>
          </cell>
          <cell r="W112">
            <v>-640500</v>
          </cell>
          <cell r="X112">
            <v>-1067500</v>
          </cell>
          <cell r="Y112">
            <v>-183000</v>
          </cell>
          <cell r="Z112">
            <v>-61000</v>
          </cell>
          <cell r="AA112">
            <v>-1311500</v>
          </cell>
          <cell r="AB112">
            <v>0</v>
          </cell>
          <cell r="AC112">
            <v>-122000</v>
          </cell>
          <cell r="AD112">
            <v>0</v>
          </cell>
        </row>
        <row r="113">
          <cell r="B113" t="str">
            <v>11517</v>
          </cell>
          <cell r="C113" t="str">
            <v>VÕ THỊ YẾN PHUONG</v>
          </cell>
          <cell r="D113" t="str">
            <v>9220</v>
          </cell>
          <cell r="E113"/>
          <cell r="F113"/>
          <cell r="G113"/>
          <cell r="H113"/>
          <cell r="I113"/>
          <cell r="J113">
            <v>0</v>
          </cell>
          <cell r="K113"/>
          <cell r="L113"/>
          <cell r="M113"/>
          <cell r="N113"/>
          <cell r="O113"/>
          <cell r="P113"/>
          <cell r="Q113">
            <v>0</v>
          </cell>
          <cell r="R113"/>
          <cell r="S113">
            <v>0</v>
          </cell>
          <cell r="T113">
            <v>-488000</v>
          </cell>
          <cell r="U113">
            <v>-91500</v>
          </cell>
          <cell r="V113">
            <v>-61000</v>
          </cell>
          <cell r="W113">
            <v>-640500</v>
          </cell>
          <cell r="X113">
            <v>-1067500</v>
          </cell>
          <cell r="Y113">
            <v>-183000</v>
          </cell>
          <cell r="Z113">
            <v>-61000</v>
          </cell>
          <cell r="AA113">
            <v>-1311500</v>
          </cell>
          <cell r="AB113">
            <v>0</v>
          </cell>
          <cell r="AC113">
            <v>-122000</v>
          </cell>
          <cell r="AD113">
            <v>0</v>
          </cell>
        </row>
        <row r="114">
          <cell r="B114" t="str">
            <v>11519</v>
          </cell>
          <cell r="C114" t="str">
            <v>LÊ THỊ DINH</v>
          </cell>
          <cell r="D114" t="str">
            <v>9220</v>
          </cell>
          <cell r="E114"/>
          <cell r="F114"/>
          <cell r="G114"/>
          <cell r="H114"/>
          <cell r="I114"/>
          <cell r="J114">
            <v>0</v>
          </cell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-488000</v>
          </cell>
          <cell r="U114">
            <v>-91500</v>
          </cell>
          <cell r="V114">
            <v>-61000</v>
          </cell>
          <cell r="W114">
            <v>-640500</v>
          </cell>
          <cell r="X114">
            <v>-1067500</v>
          </cell>
          <cell r="Y114">
            <v>-183000</v>
          </cell>
          <cell r="Z114">
            <v>-61000</v>
          </cell>
          <cell r="AA114">
            <v>-1311500</v>
          </cell>
          <cell r="AB114">
            <v>0</v>
          </cell>
          <cell r="AC114">
            <v>-122000</v>
          </cell>
          <cell r="AD114">
            <v>0</v>
          </cell>
        </row>
        <row r="115">
          <cell r="B115" t="str">
            <v>11520</v>
          </cell>
          <cell r="C115" t="str">
            <v>LƯƠNG THỊ BE</v>
          </cell>
          <cell r="D115" t="str">
            <v>9220</v>
          </cell>
          <cell r="E115"/>
          <cell r="F115"/>
          <cell r="G115"/>
          <cell r="H115"/>
          <cell r="I115"/>
          <cell r="J115">
            <v>0</v>
          </cell>
          <cell r="K115"/>
          <cell r="L115"/>
          <cell r="M115"/>
          <cell r="N115"/>
          <cell r="O115"/>
          <cell r="P115"/>
          <cell r="Q115">
            <v>0</v>
          </cell>
          <cell r="R115"/>
          <cell r="S115">
            <v>0</v>
          </cell>
          <cell r="T115">
            <v>-488000</v>
          </cell>
          <cell r="U115">
            <v>-91500</v>
          </cell>
          <cell r="V115">
            <v>-61000</v>
          </cell>
          <cell r="W115">
            <v>-640500</v>
          </cell>
          <cell r="X115">
            <v>-1067500</v>
          </cell>
          <cell r="Y115">
            <v>-183000</v>
          </cell>
          <cell r="Z115">
            <v>-61000</v>
          </cell>
          <cell r="AA115">
            <v>-1311500</v>
          </cell>
          <cell r="AB115">
            <v>0</v>
          </cell>
          <cell r="AC115">
            <v>-122000</v>
          </cell>
          <cell r="AD115">
            <v>0</v>
          </cell>
        </row>
        <row r="116">
          <cell r="B116" t="str">
            <v>11521</v>
          </cell>
          <cell r="C116" t="str">
            <v>NGÔ THỊ TUYẾT THUONG</v>
          </cell>
          <cell r="D116" t="str">
            <v>9220</v>
          </cell>
          <cell r="E116"/>
          <cell r="F116"/>
          <cell r="G116"/>
          <cell r="H116"/>
          <cell r="I116"/>
          <cell r="J116">
            <v>0</v>
          </cell>
          <cell r="K116"/>
          <cell r="L116"/>
          <cell r="M116"/>
          <cell r="N116"/>
          <cell r="O116"/>
          <cell r="P116"/>
          <cell r="Q116">
            <v>0</v>
          </cell>
          <cell r="R116"/>
          <cell r="S116">
            <v>0</v>
          </cell>
          <cell r="T116">
            <v>-488000</v>
          </cell>
          <cell r="U116">
            <v>-91500</v>
          </cell>
          <cell r="V116">
            <v>-61000</v>
          </cell>
          <cell r="W116">
            <v>-640500</v>
          </cell>
          <cell r="X116">
            <v>-1067500</v>
          </cell>
          <cell r="Y116">
            <v>-183000</v>
          </cell>
          <cell r="Z116">
            <v>-61000</v>
          </cell>
          <cell r="AA116">
            <v>-1311500</v>
          </cell>
          <cell r="AB116">
            <v>0</v>
          </cell>
          <cell r="AC116">
            <v>-122000</v>
          </cell>
          <cell r="AD116">
            <v>0</v>
          </cell>
        </row>
        <row r="117">
          <cell r="B117" t="str">
            <v>11522</v>
          </cell>
          <cell r="C117" t="str">
            <v>NGUYỄN THỊ THANH THUY</v>
          </cell>
          <cell r="D117" t="str">
            <v>9220</v>
          </cell>
          <cell r="E117"/>
          <cell r="F117"/>
          <cell r="G117"/>
          <cell r="H117"/>
          <cell r="I117"/>
          <cell r="J117">
            <v>0</v>
          </cell>
          <cell r="K117"/>
          <cell r="L117"/>
          <cell r="M117"/>
          <cell r="N117"/>
          <cell r="O117"/>
          <cell r="P117"/>
          <cell r="Q117">
            <v>0</v>
          </cell>
          <cell r="R117"/>
          <cell r="S117">
            <v>0</v>
          </cell>
          <cell r="T117">
            <v>-488000</v>
          </cell>
          <cell r="U117">
            <v>-91500</v>
          </cell>
          <cell r="V117">
            <v>-61000</v>
          </cell>
          <cell r="W117">
            <v>-640500</v>
          </cell>
          <cell r="X117">
            <v>-1067500</v>
          </cell>
          <cell r="Y117">
            <v>-183000</v>
          </cell>
          <cell r="Z117">
            <v>-61000</v>
          </cell>
          <cell r="AA117">
            <v>-1311500</v>
          </cell>
          <cell r="AB117">
            <v>0</v>
          </cell>
          <cell r="AC117">
            <v>-122000</v>
          </cell>
          <cell r="AD117">
            <v>0</v>
          </cell>
        </row>
        <row r="118">
          <cell r="B118" t="str">
            <v>11523</v>
          </cell>
          <cell r="C118" t="str">
            <v>NGUYỄN THỊ KIỀU</v>
          </cell>
          <cell r="D118" t="str">
            <v>9220</v>
          </cell>
          <cell r="E118"/>
          <cell r="F118"/>
          <cell r="G118"/>
          <cell r="H118"/>
          <cell r="I118"/>
          <cell r="J118">
            <v>0</v>
          </cell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-488000</v>
          </cell>
          <cell r="U118">
            <v>-91500</v>
          </cell>
          <cell r="V118">
            <v>-61000</v>
          </cell>
          <cell r="W118">
            <v>-640500</v>
          </cell>
          <cell r="X118">
            <v>-1067500</v>
          </cell>
          <cell r="Y118">
            <v>-183000</v>
          </cell>
          <cell r="Z118">
            <v>-61000</v>
          </cell>
          <cell r="AA118">
            <v>-1311500</v>
          </cell>
          <cell r="AB118">
            <v>0</v>
          </cell>
          <cell r="AC118">
            <v>-122000</v>
          </cell>
          <cell r="AD118">
            <v>0</v>
          </cell>
        </row>
        <row r="119">
          <cell r="B119" t="str">
            <v>11524</v>
          </cell>
          <cell r="C119" t="str">
            <v>LÊ THỊ THAM</v>
          </cell>
          <cell r="D119" t="str">
            <v>9220</v>
          </cell>
          <cell r="E119"/>
          <cell r="F119"/>
          <cell r="G119"/>
          <cell r="H119"/>
          <cell r="I119"/>
          <cell r="J119">
            <v>0</v>
          </cell>
          <cell r="K119"/>
          <cell r="L119"/>
          <cell r="M119"/>
          <cell r="N119"/>
          <cell r="O119"/>
          <cell r="P119"/>
          <cell r="Q119">
            <v>0</v>
          </cell>
          <cell r="R119"/>
          <cell r="S119">
            <v>0</v>
          </cell>
          <cell r="T119">
            <v>-488000</v>
          </cell>
          <cell r="U119">
            <v>-91500</v>
          </cell>
          <cell r="V119">
            <v>-61000</v>
          </cell>
          <cell r="W119">
            <v>-640500</v>
          </cell>
          <cell r="X119">
            <v>-1067500</v>
          </cell>
          <cell r="Y119">
            <v>-183000</v>
          </cell>
          <cell r="Z119">
            <v>-61000</v>
          </cell>
          <cell r="AA119">
            <v>-1311500</v>
          </cell>
          <cell r="AB119">
            <v>0</v>
          </cell>
          <cell r="AC119">
            <v>-122000</v>
          </cell>
          <cell r="AD119">
            <v>0</v>
          </cell>
        </row>
        <row r="120">
          <cell r="B120" t="str">
            <v>11525</v>
          </cell>
          <cell r="C120" t="str">
            <v>BÙI THỊ NHUNG</v>
          </cell>
          <cell r="D120" t="str">
            <v>9220</v>
          </cell>
          <cell r="E120"/>
          <cell r="F120"/>
          <cell r="G120"/>
          <cell r="H120"/>
          <cell r="I120"/>
          <cell r="J120">
            <v>0</v>
          </cell>
          <cell r="K120"/>
          <cell r="L120"/>
          <cell r="M120"/>
          <cell r="N120"/>
          <cell r="O120"/>
          <cell r="P120"/>
          <cell r="Q120">
            <v>0</v>
          </cell>
          <cell r="R120"/>
          <cell r="S120">
            <v>0</v>
          </cell>
          <cell r="T120">
            <v>-488000</v>
          </cell>
          <cell r="U120">
            <v>-91500</v>
          </cell>
          <cell r="V120">
            <v>-61000</v>
          </cell>
          <cell r="W120">
            <v>-640500</v>
          </cell>
          <cell r="X120">
            <v>-1067500</v>
          </cell>
          <cell r="Y120">
            <v>-183000</v>
          </cell>
          <cell r="Z120">
            <v>-61000</v>
          </cell>
          <cell r="AA120">
            <v>-1311500</v>
          </cell>
          <cell r="AB120">
            <v>0</v>
          </cell>
          <cell r="AC120">
            <v>-122000</v>
          </cell>
          <cell r="AD120">
            <v>0</v>
          </cell>
        </row>
        <row r="121">
          <cell r="B121" t="str">
            <v>11526</v>
          </cell>
          <cell r="C121" t="str">
            <v>TRƯƠNG THỊ LE</v>
          </cell>
          <cell r="D121" t="str">
            <v>9220</v>
          </cell>
          <cell r="E121"/>
          <cell r="F121"/>
          <cell r="G121"/>
          <cell r="H121"/>
          <cell r="I121"/>
          <cell r="J121">
            <v>0</v>
          </cell>
          <cell r="K121"/>
          <cell r="L121"/>
          <cell r="M121"/>
          <cell r="N121"/>
          <cell r="O121"/>
          <cell r="P121"/>
          <cell r="Q121">
            <v>0</v>
          </cell>
          <cell r="R121"/>
          <cell r="S121">
            <v>0</v>
          </cell>
          <cell r="T121">
            <v>-488000</v>
          </cell>
          <cell r="U121">
            <v>-91500</v>
          </cell>
          <cell r="V121">
            <v>-61000</v>
          </cell>
          <cell r="W121">
            <v>-640500</v>
          </cell>
          <cell r="X121">
            <v>-1067500</v>
          </cell>
          <cell r="Y121">
            <v>-183000</v>
          </cell>
          <cell r="Z121">
            <v>-61000</v>
          </cell>
          <cell r="AA121">
            <v>-1311500</v>
          </cell>
          <cell r="AB121">
            <v>0</v>
          </cell>
          <cell r="AC121">
            <v>-122000</v>
          </cell>
          <cell r="AD121">
            <v>0</v>
          </cell>
        </row>
        <row r="122">
          <cell r="B122" t="str">
            <v>11527</v>
          </cell>
          <cell r="C122" t="str">
            <v>BÙI THỊ HANG</v>
          </cell>
          <cell r="D122" t="str">
            <v>9220</v>
          </cell>
          <cell r="E122"/>
          <cell r="F122"/>
          <cell r="G122"/>
          <cell r="H122"/>
          <cell r="I122"/>
          <cell r="J122">
            <v>0</v>
          </cell>
          <cell r="K122"/>
          <cell r="L122"/>
          <cell r="M122"/>
          <cell r="N122"/>
          <cell r="O122"/>
          <cell r="P122"/>
          <cell r="Q122">
            <v>0</v>
          </cell>
          <cell r="R122"/>
          <cell r="S122">
            <v>0</v>
          </cell>
          <cell r="T122">
            <v>-488000</v>
          </cell>
          <cell r="U122">
            <v>-91500</v>
          </cell>
          <cell r="V122">
            <v>-61000</v>
          </cell>
          <cell r="W122">
            <v>-640500</v>
          </cell>
          <cell r="X122">
            <v>-1067500</v>
          </cell>
          <cell r="Y122">
            <v>-183000</v>
          </cell>
          <cell r="Z122">
            <v>-61000</v>
          </cell>
          <cell r="AA122">
            <v>-1311500</v>
          </cell>
          <cell r="AB122">
            <v>0</v>
          </cell>
          <cell r="AC122">
            <v>-122000</v>
          </cell>
          <cell r="AD122">
            <v>0</v>
          </cell>
        </row>
        <row r="123">
          <cell r="B123" t="str">
            <v>11528</v>
          </cell>
          <cell r="C123" t="str">
            <v>VÕ HỒNG TUYET</v>
          </cell>
          <cell r="D123" t="str">
            <v>9220</v>
          </cell>
          <cell r="E123"/>
          <cell r="F123"/>
          <cell r="G123"/>
          <cell r="H123"/>
          <cell r="I123"/>
          <cell r="J123">
            <v>0</v>
          </cell>
          <cell r="K123"/>
          <cell r="L123"/>
          <cell r="M123"/>
          <cell r="N123"/>
          <cell r="O123"/>
          <cell r="P123"/>
          <cell r="Q123">
            <v>0</v>
          </cell>
          <cell r="R123"/>
          <cell r="S123">
            <v>0</v>
          </cell>
          <cell r="T123">
            <v>-488000</v>
          </cell>
          <cell r="U123">
            <v>-91500</v>
          </cell>
          <cell r="V123">
            <v>-61000</v>
          </cell>
          <cell r="W123">
            <v>-640500</v>
          </cell>
          <cell r="X123">
            <v>-1067500</v>
          </cell>
          <cell r="Y123">
            <v>-183000</v>
          </cell>
          <cell r="Z123">
            <v>-61000</v>
          </cell>
          <cell r="AA123">
            <v>-1311500</v>
          </cell>
          <cell r="AB123">
            <v>0</v>
          </cell>
          <cell r="AC123">
            <v>-122000</v>
          </cell>
          <cell r="AD123">
            <v>0</v>
          </cell>
        </row>
        <row r="124">
          <cell r="B124" t="str">
            <v>11529</v>
          </cell>
          <cell r="C124" t="str">
            <v>QUÁCH THÙY TRANG</v>
          </cell>
          <cell r="D124" t="str">
            <v>9220</v>
          </cell>
          <cell r="E124"/>
          <cell r="F124"/>
          <cell r="G124"/>
          <cell r="H124"/>
          <cell r="I124"/>
          <cell r="J124">
            <v>0</v>
          </cell>
          <cell r="K124"/>
          <cell r="L124"/>
          <cell r="M124"/>
          <cell r="N124"/>
          <cell r="O124"/>
          <cell r="P124"/>
          <cell r="Q124">
            <v>0</v>
          </cell>
          <cell r="R124"/>
          <cell r="S124">
            <v>0</v>
          </cell>
          <cell r="T124">
            <v>-488000</v>
          </cell>
          <cell r="U124">
            <v>-91500</v>
          </cell>
          <cell r="V124">
            <v>-61000</v>
          </cell>
          <cell r="W124">
            <v>-640500</v>
          </cell>
          <cell r="X124">
            <v>-1067500</v>
          </cell>
          <cell r="Y124">
            <v>-183000</v>
          </cell>
          <cell r="Z124">
            <v>-61000</v>
          </cell>
          <cell r="AA124">
            <v>-1311500</v>
          </cell>
          <cell r="AB124">
            <v>0</v>
          </cell>
          <cell r="AC124">
            <v>-122000</v>
          </cell>
          <cell r="AD124">
            <v>0</v>
          </cell>
        </row>
        <row r="125">
          <cell r="B125" t="str">
            <v>11530</v>
          </cell>
          <cell r="C125" t="str">
            <v>TRẦN THỊ GAM</v>
          </cell>
          <cell r="D125" t="str">
            <v>9220</v>
          </cell>
          <cell r="E125"/>
          <cell r="F125"/>
          <cell r="G125"/>
          <cell r="H125"/>
          <cell r="I125"/>
          <cell r="J125">
            <v>0</v>
          </cell>
          <cell r="K125"/>
          <cell r="L125"/>
          <cell r="M125"/>
          <cell r="N125"/>
          <cell r="O125"/>
          <cell r="P125"/>
          <cell r="Q125">
            <v>0</v>
          </cell>
          <cell r="R125"/>
          <cell r="S125">
            <v>0</v>
          </cell>
          <cell r="T125">
            <v>-488000</v>
          </cell>
          <cell r="U125">
            <v>-91500</v>
          </cell>
          <cell r="V125">
            <v>-61000</v>
          </cell>
          <cell r="W125">
            <v>-640500</v>
          </cell>
          <cell r="X125">
            <v>-1067500</v>
          </cell>
          <cell r="Y125">
            <v>-183000</v>
          </cell>
          <cell r="Z125">
            <v>-61000</v>
          </cell>
          <cell r="AA125">
            <v>-1311500</v>
          </cell>
          <cell r="AB125">
            <v>0</v>
          </cell>
          <cell r="AC125">
            <v>-122000</v>
          </cell>
          <cell r="AD125">
            <v>0</v>
          </cell>
        </row>
        <row r="126">
          <cell r="B126" t="str">
            <v>11531</v>
          </cell>
          <cell r="C126" t="str">
            <v>DƯƠNG THỊ THANH THUY</v>
          </cell>
          <cell r="D126" t="str">
            <v>9220</v>
          </cell>
          <cell r="E126"/>
          <cell r="F126"/>
          <cell r="G126"/>
          <cell r="H126"/>
          <cell r="I126"/>
          <cell r="J126">
            <v>0</v>
          </cell>
          <cell r="K126"/>
          <cell r="L126"/>
          <cell r="M126"/>
          <cell r="N126"/>
          <cell r="O126"/>
          <cell r="P126"/>
          <cell r="Q126">
            <v>0</v>
          </cell>
          <cell r="R126"/>
          <cell r="S126">
            <v>0</v>
          </cell>
          <cell r="T126">
            <v>-488000</v>
          </cell>
          <cell r="U126">
            <v>-91500</v>
          </cell>
          <cell r="V126">
            <v>-61000</v>
          </cell>
          <cell r="W126">
            <v>-640500</v>
          </cell>
          <cell r="X126">
            <v>-1067500</v>
          </cell>
          <cell r="Y126">
            <v>-183000</v>
          </cell>
          <cell r="Z126">
            <v>-61000</v>
          </cell>
          <cell r="AA126">
            <v>-1311500</v>
          </cell>
          <cell r="AB126">
            <v>0</v>
          </cell>
          <cell r="AC126">
            <v>-122000</v>
          </cell>
          <cell r="AD126">
            <v>0</v>
          </cell>
        </row>
        <row r="127">
          <cell r="B127" t="str">
            <v>11532</v>
          </cell>
          <cell r="C127" t="str">
            <v>TRẦN THỊ KHÁNH VAN</v>
          </cell>
          <cell r="D127" t="str">
            <v>9220</v>
          </cell>
          <cell r="E127"/>
          <cell r="F127"/>
          <cell r="G127"/>
          <cell r="H127"/>
          <cell r="I127"/>
          <cell r="J127">
            <v>0</v>
          </cell>
          <cell r="K127"/>
          <cell r="L127"/>
          <cell r="M127"/>
          <cell r="N127"/>
          <cell r="O127"/>
          <cell r="P127"/>
          <cell r="Q127">
            <v>0</v>
          </cell>
          <cell r="R127"/>
          <cell r="S127">
            <v>0</v>
          </cell>
          <cell r="T127">
            <v>-488000</v>
          </cell>
          <cell r="U127">
            <v>-91500</v>
          </cell>
          <cell r="V127">
            <v>-61000</v>
          </cell>
          <cell r="W127">
            <v>-640500</v>
          </cell>
          <cell r="X127">
            <v>-1067500</v>
          </cell>
          <cell r="Y127">
            <v>-183000</v>
          </cell>
          <cell r="Z127">
            <v>-61000</v>
          </cell>
          <cell r="AA127">
            <v>-1311500</v>
          </cell>
          <cell r="AB127">
            <v>0</v>
          </cell>
          <cell r="AC127">
            <v>-122000</v>
          </cell>
          <cell r="AD127">
            <v>0</v>
          </cell>
        </row>
        <row r="128">
          <cell r="B128" t="str">
            <v>11533</v>
          </cell>
          <cell r="C128" t="str">
            <v>NGUYỄN THỊ LUONG</v>
          </cell>
          <cell r="D128" t="str">
            <v>9220</v>
          </cell>
          <cell r="E128"/>
          <cell r="F128"/>
          <cell r="G128"/>
          <cell r="H128"/>
          <cell r="I128"/>
          <cell r="J128">
            <v>0</v>
          </cell>
          <cell r="K128"/>
          <cell r="L128"/>
          <cell r="M128"/>
          <cell r="N128"/>
          <cell r="O128"/>
          <cell r="P128">
            <v>2623000</v>
          </cell>
          <cell r="Q128">
            <v>0</v>
          </cell>
          <cell r="R128"/>
          <cell r="S128">
            <v>2623000</v>
          </cell>
          <cell r="T128">
            <v>-1464000</v>
          </cell>
          <cell r="U128">
            <v>-274500</v>
          </cell>
          <cell r="V128">
            <v>-183000</v>
          </cell>
          <cell r="W128">
            <v>-1921500</v>
          </cell>
          <cell r="X128">
            <v>-3202500</v>
          </cell>
          <cell r="Y128">
            <v>-549000</v>
          </cell>
          <cell r="Z128">
            <v>-183000</v>
          </cell>
          <cell r="AA128">
            <v>-3934500</v>
          </cell>
          <cell r="AB128">
            <v>0</v>
          </cell>
          <cell r="AC128">
            <v>-122000</v>
          </cell>
          <cell r="AD128">
            <v>0</v>
          </cell>
        </row>
        <row r="129">
          <cell r="B129" t="str">
            <v>11534</v>
          </cell>
          <cell r="C129" t="str">
            <v>PHẠM TIẾN DINH</v>
          </cell>
          <cell r="D129" t="str">
            <v>9220</v>
          </cell>
          <cell r="E129"/>
          <cell r="F129"/>
          <cell r="G129"/>
          <cell r="H129"/>
          <cell r="I129"/>
          <cell r="J129">
            <v>0</v>
          </cell>
          <cell r="K129"/>
          <cell r="L129"/>
          <cell r="M129"/>
          <cell r="N129"/>
          <cell r="O129"/>
          <cell r="P129"/>
          <cell r="Q129">
            <v>0</v>
          </cell>
          <cell r="R129"/>
          <cell r="S129">
            <v>0</v>
          </cell>
          <cell r="T129">
            <v>-488000</v>
          </cell>
          <cell r="U129">
            <v>-91500</v>
          </cell>
          <cell r="V129">
            <v>-61000</v>
          </cell>
          <cell r="W129">
            <v>-640500</v>
          </cell>
          <cell r="X129">
            <v>-1067500</v>
          </cell>
          <cell r="Y129">
            <v>-183000</v>
          </cell>
          <cell r="Z129">
            <v>-61000</v>
          </cell>
          <cell r="AA129">
            <v>-1311500</v>
          </cell>
          <cell r="AB129">
            <v>0</v>
          </cell>
          <cell r="AC129">
            <v>-122000</v>
          </cell>
          <cell r="AD129">
            <v>0</v>
          </cell>
        </row>
        <row r="130">
          <cell r="B130" t="str">
            <v>11535</v>
          </cell>
          <cell r="C130" t="str">
            <v>HOÀNG THỊ HƯƠNG</v>
          </cell>
          <cell r="D130" t="str">
            <v>9220</v>
          </cell>
          <cell r="E130"/>
          <cell r="F130"/>
          <cell r="G130"/>
          <cell r="H130"/>
          <cell r="I130"/>
          <cell r="J130">
            <v>0</v>
          </cell>
          <cell r="K130"/>
          <cell r="L130"/>
          <cell r="M130"/>
          <cell r="N130"/>
          <cell r="O130"/>
          <cell r="P130"/>
          <cell r="Q130">
            <v>0</v>
          </cell>
          <cell r="R130"/>
          <cell r="S130">
            <v>0</v>
          </cell>
          <cell r="T130">
            <v>-488000</v>
          </cell>
          <cell r="U130">
            <v>-91500</v>
          </cell>
          <cell r="V130">
            <v>-61000</v>
          </cell>
          <cell r="W130">
            <v>-640500</v>
          </cell>
          <cell r="X130">
            <v>-1067500</v>
          </cell>
          <cell r="Y130">
            <v>-183000</v>
          </cell>
          <cell r="Z130">
            <v>-61000</v>
          </cell>
          <cell r="AA130">
            <v>-1311500</v>
          </cell>
          <cell r="AB130">
            <v>0</v>
          </cell>
          <cell r="AC130">
            <v>-122000</v>
          </cell>
          <cell r="AD130">
            <v>0</v>
          </cell>
        </row>
        <row r="131">
          <cell r="B131" t="str">
            <v>11559</v>
          </cell>
          <cell r="C131" t="str">
            <v>Võ Nhật Tân</v>
          </cell>
          <cell r="D131" t="str">
            <v>9300</v>
          </cell>
          <cell r="E131">
            <v>14840000</v>
          </cell>
          <cell r="F131">
            <v>24.125</v>
          </cell>
          <cell r="G131">
            <v>24.125</v>
          </cell>
          <cell r="H131">
            <v>0</v>
          </cell>
          <cell r="I131">
            <v>14840000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/>
          <cell r="Q131">
            <v>-300000</v>
          </cell>
          <cell r="R131"/>
          <cell r="S131">
            <v>14540000</v>
          </cell>
          <cell r="T131">
            <v>1187200</v>
          </cell>
          <cell r="U131">
            <v>222600</v>
          </cell>
          <cell r="V131">
            <v>148400</v>
          </cell>
          <cell r="W131">
            <v>1558200</v>
          </cell>
          <cell r="X131">
            <v>2597000</v>
          </cell>
          <cell r="Y131">
            <v>445200</v>
          </cell>
          <cell r="Z131">
            <v>148400</v>
          </cell>
          <cell r="AA131">
            <v>3190600</v>
          </cell>
          <cell r="AB131">
            <v>35000</v>
          </cell>
          <cell r="AC131">
            <v>296800</v>
          </cell>
          <cell r="AD131">
            <v>0</v>
          </cell>
        </row>
        <row r="132">
          <cell r="B132" t="str">
            <v>11585</v>
          </cell>
          <cell r="C132" t="str">
            <v>NGUYỄN NỮ NGUYỆT MINH</v>
          </cell>
          <cell r="D132" t="str">
            <v>9430</v>
          </cell>
          <cell r="E132">
            <v>17000000</v>
          </cell>
          <cell r="F132">
            <v>24.125</v>
          </cell>
          <cell r="G132">
            <v>24.125</v>
          </cell>
          <cell r="H132">
            <v>0</v>
          </cell>
          <cell r="I132">
            <v>17000000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/>
          <cell r="Q132">
            <v>-300000</v>
          </cell>
          <cell r="R132"/>
          <cell r="S132">
            <v>16700000</v>
          </cell>
          <cell r="T132">
            <v>1360000</v>
          </cell>
          <cell r="U132">
            <v>255000</v>
          </cell>
          <cell r="V132">
            <v>170000</v>
          </cell>
          <cell r="W132">
            <v>1785000</v>
          </cell>
          <cell r="X132">
            <v>2975000</v>
          </cell>
          <cell r="Y132">
            <v>510000</v>
          </cell>
          <cell r="Z132">
            <v>170000</v>
          </cell>
          <cell r="AA132">
            <v>3655000</v>
          </cell>
          <cell r="AB132">
            <v>35000</v>
          </cell>
          <cell r="AC132">
            <v>340000</v>
          </cell>
          <cell r="AD132">
            <v>0</v>
          </cell>
        </row>
        <row r="133">
          <cell r="B133" t="str">
            <v>11586</v>
          </cell>
          <cell r="C133" t="str">
            <v>BÙI HUY SƠN</v>
          </cell>
          <cell r="D133" t="str">
            <v>9300</v>
          </cell>
          <cell r="E133">
            <v>8000000</v>
          </cell>
          <cell r="F133">
            <v>24.125</v>
          </cell>
          <cell r="G133">
            <v>24.125</v>
          </cell>
          <cell r="H133">
            <v>0</v>
          </cell>
          <cell r="I133">
            <v>8000000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/>
          <cell r="Q133">
            <v>-200000</v>
          </cell>
          <cell r="R133"/>
          <cell r="S133">
            <v>7800000</v>
          </cell>
          <cell r="T133">
            <v>1920000</v>
          </cell>
          <cell r="U133">
            <v>360000</v>
          </cell>
          <cell r="V133">
            <v>240000</v>
          </cell>
          <cell r="W133">
            <v>2520000</v>
          </cell>
          <cell r="X133">
            <v>4200000</v>
          </cell>
          <cell r="Y133">
            <v>720000</v>
          </cell>
          <cell r="Z133">
            <v>240000</v>
          </cell>
          <cell r="AA133">
            <v>5160000</v>
          </cell>
          <cell r="AB133">
            <v>105000</v>
          </cell>
          <cell r="AC133">
            <v>480000</v>
          </cell>
          <cell r="AD133">
            <v>0</v>
          </cell>
        </row>
        <row r="134">
          <cell r="B134" t="str">
            <v>11588</v>
          </cell>
          <cell r="C134" t="str">
            <v>NGUYỄN LÊ THÀNH NAM</v>
          </cell>
          <cell r="D134" t="str">
            <v>9300</v>
          </cell>
          <cell r="E134">
            <v>8000000</v>
          </cell>
          <cell r="F134">
            <v>24.125</v>
          </cell>
          <cell r="G134">
            <v>24.125</v>
          </cell>
          <cell r="H134">
            <v>0</v>
          </cell>
          <cell r="I134">
            <v>8000000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/>
          <cell r="Q134">
            <v>-200000</v>
          </cell>
          <cell r="R134"/>
          <cell r="S134">
            <v>7800000</v>
          </cell>
          <cell r="T134">
            <v>1280000</v>
          </cell>
          <cell r="U134">
            <v>240000</v>
          </cell>
          <cell r="V134">
            <v>160000</v>
          </cell>
          <cell r="W134">
            <v>1680000</v>
          </cell>
          <cell r="X134">
            <v>2800000</v>
          </cell>
          <cell r="Y134">
            <v>480000</v>
          </cell>
          <cell r="Z134">
            <v>160000</v>
          </cell>
          <cell r="AA134">
            <v>3440000</v>
          </cell>
          <cell r="AB134">
            <v>70000</v>
          </cell>
          <cell r="AC134">
            <v>320000</v>
          </cell>
          <cell r="AD134">
            <v>0</v>
          </cell>
        </row>
        <row r="135">
          <cell r="B135" t="str">
            <v>4044</v>
          </cell>
          <cell r="C135" t="str">
            <v>ĐẶNG QUỐC DŨNG</v>
          </cell>
          <cell r="D135" t="str">
            <v>9100</v>
          </cell>
          <cell r="E135">
            <v>14821447</v>
          </cell>
          <cell r="F135">
            <v>24</v>
          </cell>
          <cell r="G135">
            <v>24</v>
          </cell>
          <cell r="H135">
            <v>0</v>
          </cell>
          <cell r="I135">
            <v>14821447</v>
          </cell>
          <cell r="J135">
            <v>1320000</v>
          </cell>
          <cell r="K135">
            <v>1200000</v>
          </cell>
          <cell r="L135">
            <v>400000</v>
          </cell>
          <cell r="M135">
            <v>0</v>
          </cell>
          <cell r="N135">
            <v>600000</v>
          </cell>
          <cell r="O135">
            <v>0</v>
          </cell>
          <cell r="P135"/>
          <cell r="Q135">
            <v>-500000</v>
          </cell>
          <cell r="R135"/>
          <cell r="S135">
            <v>17841447</v>
          </cell>
          <cell r="T135">
            <v>1291316</v>
          </cell>
          <cell r="U135">
            <v>242122</v>
          </cell>
          <cell r="V135">
            <v>161414</v>
          </cell>
          <cell r="W135">
            <v>1694852</v>
          </cell>
          <cell r="X135">
            <v>2824753</v>
          </cell>
          <cell r="Y135">
            <v>484243</v>
          </cell>
          <cell r="Z135">
            <v>161414</v>
          </cell>
          <cell r="AA135">
            <v>3470410</v>
          </cell>
          <cell r="AB135">
            <v>35000</v>
          </cell>
          <cell r="AC135">
            <v>322829</v>
          </cell>
          <cell r="AD135">
            <v>0</v>
          </cell>
        </row>
        <row r="136">
          <cell r="B136" t="str">
            <v>4045</v>
          </cell>
          <cell r="C136" t="str">
            <v>ĐỖ VĂN HÙNG</v>
          </cell>
          <cell r="D136" t="str">
            <v>9100</v>
          </cell>
          <cell r="E136">
            <v>25491817</v>
          </cell>
          <cell r="F136">
            <v>24</v>
          </cell>
          <cell r="G136">
            <v>24</v>
          </cell>
          <cell r="H136">
            <v>0</v>
          </cell>
          <cell r="I136">
            <v>25491817</v>
          </cell>
          <cell r="J136">
            <v>2750000</v>
          </cell>
          <cell r="K136">
            <v>810000</v>
          </cell>
          <cell r="L136">
            <v>400000</v>
          </cell>
          <cell r="M136">
            <v>460000</v>
          </cell>
          <cell r="N136">
            <v>4385300</v>
          </cell>
          <cell r="O136">
            <v>0</v>
          </cell>
          <cell r="P136"/>
          <cell r="Q136">
            <v>-1000000</v>
          </cell>
          <cell r="R136"/>
          <cell r="S136">
            <v>33297117</v>
          </cell>
          <cell r="T136">
            <v>2259345</v>
          </cell>
          <cell r="U136">
            <v>423627</v>
          </cell>
          <cell r="V136">
            <v>282418</v>
          </cell>
          <cell r="W136">
            <v>2965390</v>
          </cell>
          <cell r="X136">
            <v>4942318</v>
          </cell>
          <cell r="Y136">
            <v>847255</v>
          </cell>
          <cell r="Z136">
            <v>282418</v>
          </cell>
          <cell r="AA136">
            <v>6071991</v>
          </cell>
          <cell r="AB136">
            <v>35000</v>
          </cell>
          <cell r="AC136">
            <v>564836</v>
          </cell>
          <cell r="AD136">
            <v>0</v>
          </cell>
        </row>
        <row r="137">
          <cell r="B137" t="str">
            <v>4047</v>
          </cell>
          <cell r="C137" t="str">
            <v>NGUYỄN THÀNH CÔNG</v>
          </cell>
          <cell r="D137" t="str">
            <v>9100</v>
          </cell>
          <cell r="E137">
            <v>15807872</v>
          </cell>
          <cell r="F137">
            <v>24</v>
          </cell>
          <cell r="G137">
            <v>24</v>
          </cell>
          <cell r="H137">
            <v>0</v>
          </cell>
          <cell r="I137">
            <v>15807872</v>
          </cell>
          <cell r="J137">
            <v>1320000</v>
          </cell>
          <cell r="K137">
            <v>1200000</v>
          </cell>
          <cell r="L137">
            <v>400000</v>
          </cell>
          <cell r="M137">
            <v>0</v>
          </cell>
          <cell r="N137">
            <v>3303800</v>
          </cell>
          <cell r="O137">
            <v>0</v>
          </cell>
          <cell r="P137"/>
          <cell r="Q137">
            <v>-500000</v>
          </cell>
          <cell r="R137"/>
          <cell r="S137">
            <v>21531672</v>
          </cell>
          <cell r="T137">
            <v>1370230</v>
          </cell>
          <cell r="U137">
            <v>256918</v>
          </cell>
          <cell r="V137">
            <v>171279</v>
          </cell>
          <cell r="W137">
            <v>1798427</v>
          </cell>
          <cell r="X137">
            <v>2997378</v>
          </cell>
          <cell r="Y137">
            <v>513836</v>
          </cell>
          <cell r="Z137">
            <v>171279</v>
          </cell>
          <cell r="AA137">
            <v>3682493</v>
          </cell>
          <cell r="AB137">
            <v>35000</v>
          </cell>
          <cell r="AC137">
            <v>342557</v>
          </cell>
          <cell r="AD137">
            <v>2</v>
          </cell>
        </row>
        <row r="138">
          <cell r="B138" t="str">
            <v>4049</v>
          </cell>
          <cell r="C138" t="str">
            <v>LƯU ĐỨC TRUNG</v>
          </cell>
          <cell r="D138" t="str">
            <v>9100</v>
          </cell>
          <cell r="E138">
            <v>23844713</v>
          </cell>
          <cell r="F138">
            <v>24</v>
          </cell>
          <cell r="G138">
            <v>24</v>
          </cell>
          <cell r="H138">
            <v>0</v>
          </cell>
          <cell r="I138">
            <v>23844713</v>
          </cell>
          <cell r="J138">
            <v>2750000</v>
          </cell>
          <cell r="K138">
            <v>810000</v>
          </cell>
          <cell r="L138">
            <v>400000</v>
          </cell>
          <cell r="M138">
            <v>460000</v>
          </cell>
          <cell r="N138">
            <v>5810782</v>
          </cell>
          <cell r="O138">
            <v>0</v>
          </cell>
          <cell r="P138"/>
          <cell r="Q138">
            <v>-1000000</v>
          </cell>
          <cell r="R138"/>
          <cell r="S138">
            <v>33075495</v>
          </cell>
          <cell r="T138">
            <v>2127577</v>
          </cell>
          <cell r="U138">
            <v>398921</v>
          </cell>
          <cell r="V138">
            <v>265947</v>
          </cell>
          <cell r="W138">
            <v>2792445</v>
          </cell>
          <cell r="X138">
            <v>4654075</v>
          </cell>
          <cell r="Y138">
            <v>797841</v>
          </cell>
          <cell r="Z138">
            <v>265947</v>
          </cell>
          <cell r="AA138">
            <v>5717863</v>
          </cell>
          <cell r="AB138">
            <v>35000</v>
          </cell>
          <cell r="AC138">
            <v>531894</v>
          </cell>
          <cell r="AD138">
            <v>2</v>
          </cell>
        </row>
        <row r="139">
          <cell r="B139" t="str">
            <v>4145</v>
          </cell>
          <cell r="C139" t="str">
            <v>PHẠM ĐỨC THỊNH</v>
          </cell>
          <cell r="D139" t="str">
            <v>9100</v>
          </cell>
          <cell r="E139">
            <v>10858842</v>
          </cell>
          <cell r="F139">
            <v>24</v>
          </cell>
          <cell r="G139">
            <v>24</v>
          </cell>
          <cell r="H139">
            <v>0</v>
          </cell>
          <cell r="I139">
            <v>10858842</v>
          </cell>
          <cell r="J139">
            <v>1320000</v>
          </cell>
          <cell r="K139">
            <v>1200000</v>
          </cell>
          <cell r="L139">
            <v>400000</v>
          </cell>
          <cell r="M139">
            <v>0</v>
          </cell>
          <cell r="N139">
            <v>1618500</v>
          </cell>
          <cell r="O139">
            <v>0</v>
          </cell>
          <cell r="P139"/>
          <cell r="Q139">
            <v>-500000</v>
          </cell>
          <cell r="R139"/>
          <cell r="S139">
            <v>14897342</v>
          </cell>
          <cell r="T139">
            <v>974307</v>
          </cell>
          <cell r="U139">
            <v>182683</v>
          </cell>
          <cell r="V139">
            <v>121788</v>
          </cell>
          <cell r="W139">
            <v>1278778</v>
          </cell>
          <cell r="X139">
            <v>2131297</v>
          </cell>
          <cell r="Y139">
            <v>365365</v>
          </cell>
          <cell r="Z139">
            <v>121788</v>
          </cell>
          <cell r="AA139">
            <v>2618450</v>
          </cell>
          <cell r="AB139">
            <v>35000</v>
          </cell>
          <cell r="AC139">
            <v>243577</v>
          </cell>
          <cell r="AD139">
            <v>2</v>
          </cell>
        </row>
        <row r="140">
          <cell r="B140" t="str">
            <v>5037</v>
          </cell>
          <cell r="C140" t="str">
            <v>NGUYỄN GIA BẢO</v>
          </cell>
          <cell r="D140" t="str">
            <v>9100</v>
          </cell>
          <cell r="E140">
            <v>18577442</v>
          </cell>
          <cell r="F140">
            <v>24</v>
          </cell>
          <cell r="G140">
            <v>24</v>
          </cell>
          <cell r="H140">
            <v>0</v>
          </cell>
          <cell r="I140">
            <v>18577442</v>
          </cell>
          <cell r="J140">
            <v>1320000</v>
          </cell>
          <cell r="K140">
            <v>1200000</v>
          </cell>
          <cell r="L140">
            <v>400000</v>
          </cell>
          <cell r="M140">
            <v>0</v>
          </cell>
          <cell r="N140">
            <v>3522682.3529411759</v>
          </cell>
          <cell r="O140">
            <v>0</v>
          </cell>
          <cell r="P140"/>
          <cell r="Q140">
            <v>-500000</v>
          </cell>
          <cell r="R140"/>
          <cell r="S140">
            <v>24520124.352941178</v>
          </cell>
          <cell r="T140">
            <v>1591795</v>
          </cell>
          <cell r="U140">
            <v>298462</v>
          </cell>
          <cell r="V140">
            <v>198974</v>
          </cell>
          <cell r="W140">
            <v>2089231</v>
          </cell>
          <cell r="X140">
            <v>3482052</v>
          </cell>
          <cell r="Y140">
            <v>596923</v>
          </cell>
          <cell r="Z140">
            <v>198974</v>
          </cell>
          <cell r="AA140">
            <v>4277949</v>
          </cell>
          <cell r="AB140">
            <v>35000</v>
          </cell>
          <cell r="AC140">
            <v>397949</v>
          </cell>
          <cell r="AD140">
            <v>0</v>
          </cell>
        </row>
        <row r="141">
          <cell r="B141" t="str">
            <v>5136</v>
          </cell>
          <cell r="C141" t="str">
            <v>PHẠM DUY QUANG</v>
          </cell>
          <cell r="D141" t="str">
            <v>9100</v>
          </cell>
          <cell r="E141">
            <v>8589113</v>
          </cell>
          <cell r="F141">
            <v>24</v>
          </cell>
          <cell r="G141">
            <v>24</v>
          </cell>
          <cell r="H141">
            <v>0</v>
          </cell>
          <cell r="I141">
            <v>8589113</v>
          </cell>
          <cell r="J141">
            <v>1320000</v>
          </cell>
          <cell r="K141">
            <v>1200000</v>
          </cell>
          <cell r="L141">
            <v>400000</v>
          </cell>
          <cell r="M141">
            <v>0</v>
          </cell>
          <cell r="N141">
            <v>40261833.333333336</v>
          </cell>
          <cell r="O141">
            <v>0</v>
          </cell>
          <cell r="P141"/>
          <cell r="Q141">
            <v>-500000</v>
          </cell>
          <cell r="R141"/>
          <cell r="S141">
            <v>51270946.333333336</v>
          </cell>
          <cell r="T141">
            <v>792729</v>
          </cell>
          <cell r="U141">
            <v>148637</v>
          </cell>
          <cell r="V141">
            <v>99091</v>
          </cell>
          <cell r="W141">
            <v>1040457</v>
          </cell>
          <cell r="X141">
            <v>1734095</v>
          </cell>
          <cell r="Y141">
            <v>297273</v>
          </cell>
          <cell r="Z141">
            <v>99091</v>
          </cell>
          <cell r="AA141">
            <v>2130459</v>
          </cell>
          <cell r="AB141">
            <v>35000</v>
          </cell>
          <cell r="AC141">
            <v>198182</v>
          </cell>
          <cell r="AD141">
            <v>1</v>
          </cell>
        </row>
        <row r="142">
          <cell r="B142" t="str">
            <v>7135</v>
          </cell>
          <cell r="C142" t="str">
            <v>LÊ VĂN PHƯƠNG</v>
          </cell>
          <cell r="D142" t="str">
            <v>9100</v>
          </cell>
          <cell r="E142">
            <v>12626375</v>
          </cell>
          <cell r="F142">
            <v>24</v>
          </cell>
          <cell r="G142">
            <v>24</v>
          </cell>
          <cell r="H142">
            <v>0</v>
          </cell>
          <cell r="I142">
            <v>12626375</v>
          </cell>
          <cell r="J142">
            <v>1320000</v>
          </cell>
          <cell r="K142">
            <v>1200000</v>
          </cell>
          <cell r="L142">
            <v>400000</v>
          </cell>
          <cell r="M142">
            <v>0</v>
          </cell>
          <cell r="N142">
            <v>6930303.026634383</v>
          </cell>
          <cell r="O142">
            <v>0</v>
          </cell>
          <cell r="P142"/>
          <cell r="Q142">
            <v>-500000</v>
          </cell>
          <cell r="R142"/>
          <cell r="S142">
            <v>21976678.026634384</v>
          </cell>
          <cell r="T142">
            <v>1115710</v>
          </cell>
          <cell r="U142">
            <v>209196</v>
          </cell>
          <cell r="V142">
            <v>139464</v>
          </cell>
          <cell r="W142">
            <v>1464370</v>
          </cell>
          <cell r="X142">
            <v>2440616</v>
          </cell>
          <cell r="Y142">
            <v>418391</v>
          </cell>
          <cell r="Z142">
            <v>139464</v>
          </cell>
          <cell r="AA142">
            <v>2998471</v>
          </cell>
          <cell r="AB142">
            <v>35000</v>
          </cell>
          <cell r="AC142">
            <v>278928</v>
          </cell>
          <cell r="AD142">
            <v>3</v>
          </cell>
        </row>
        <row r="143">
          <cell r="B143" t="str">
            <v>7143</v>
          </cell>
          <cell r="C143" t="str">
            <v>NGUYỄN HỮU TÍN</v>
          </cell>
          <cell r="D143" t="str">
            <v>9100</v>
          </cell>
          <cell r="E143">
            <v>12822289</v>
          </cell>
          <cell r="F143">
            <v>24</v>
          </cell>
          <cell r="G143">
            <v>24</v>
          </cell>
          <cell r="H143">
            <v>0</v>
          </cell>
          <cell r="I143">
            <v>12822289</v>
          </cell>
          <cell r="J143">
            <v>1320000</v>
          </cell>
          <cell r="K143">
            <v>1200000</v>
          </cell>
          <cell r="L143">
            <v>400000</v>
          </cell>
          <cell r="M143">
            <v>0</v>
          </cell>
          <cell r="N143">
            <v>790000</v>
          </cell>
          <cell r="O143">
            <v>0</v>
          </cell>
          <cell r="P143"/>
          <cell r="Q143">
            <v>-500000</v>
          </cell>
          <cell r="R143"/>
          <cell r="S143">
            <v>16032289</v>
          </cell>
          <cell r="T143">
            <v>1131383</v>
          </cell>
          <cell r="U143">
            <v>212134</v>
          </cell>
          <cell r="V143">
            <v>141423</v>
          </cell>
          <cell r="W143">
            <v>1484940</v>
          </cell>
          <cell r="X143">
            <v>2474901</v>
          </cell>
          <cell r="Y143">
            <v>424269</v>
          </cell>
          <cell r="Z143">
            <v>141423</v>
          </cell>
          <cell r="AA143">
            <v>3040593</v>
          </cell>
          <cell r="AB143">
            <v>35000</v>
          </cell>
          <cell r="AC143">
            <v>282846</v>
          </cell>
          <cell r="AD143">
            <v>1</v>
          </cell>
        </row>
        <row r="144">
          <cell r="B144" t="str">
            <v>8004</v>
          </cell>
          <cell r="C144" t="str">
            <v>TRẦN THỊ NGỌC THÚY</v>
          </cell>
          <cell r="D144" t="str">
            <v>9410</v>
          </cell>
          <cell r="E144">
            <v>9690028</v>
          </cell>
          <cell r="F144">
            <v>24.125</v>
          </cell>
          <cell r="G144">
            <v>23</v>
          </cell>
          <cell r="H144">
            <v>1.125</v>
          </cell>
          <cell r="I144">
            <v>9690028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/>
          <cell r="Q144">
            <v>0</v>
          </cell>
          <cell r="R144"/>
          <cell r="S144">
            <v>9690028</v>
          </cell>
          <cell r="T144">
            <v>775202</v>
          </cell>
          <cell r="U144">
            <v>145350</v>
          </cell>
          <cell r="V144">
            <v>96900</v>
          </cell>
          <cell r="W144">
            <v>1017452</v>
          </cell>
          <cell r="X144">
            <v>1695755</v>
          </cell>
          <cell r="Y144">
            <v>290701</v>
          </cell>
          <cell r="Z144">
            <v>96900</v>
          </cell>
          <cell r="AA144">
            <v>2083356</v>
          </cell>
          <cell r="AB144">
            <v>35000</v>
          </cell>
          <cell r="AC144">
            <v>193801</v>
          </cell>
          <cell r="AD144">
            <v>1</v>
          </cell>
        </row>
        <row r="145">
          <cell r="B145" t="str">
            <v>8023</v>
          </cell>
          <cell r="C145" t="str">
            <v>TỪ LÝ PHƯƠNG THẢO</v>
          </cell>
          <cell r="D145" t="str">
            <v>9420</v>
          </cell>
          <cell r="E145">
            <v>19263702</v>
          </cell>
          <cell r="F145">
            <v>24.125</v>
          </cell>
          <cell r="G145">
            <v>24.125</v>
          </cell>
          <cell r="H145">
            <v>0</v>
          </cell>
          <cell r="I145">
            <v>19263702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/>
          <cell r="Q145">
            <v>-300000</v>
          </cell>
          <cell r="R145"/>
          <cell r="S145">
            <v>18963702</v>
          </cell>
          <cell r="T145">
            <v>1541096</v>
          </cell>
          <cell r="U145">
            <v>288956</v>
          </cell>
          <cell r="V145">
            <v>192637</v>
          </cell>
          <cell r="W145">
            <v>2022689</v>
          </cell>
          <cell r="X145">
            <v>3371148</v>
          </cell>
          <cell r="Y145">
            <v>577911</v>
          </cell>
          <cell r="Z145">
            <v>192637</v>
          </cell>
          <cell r="AA145">
            <v>4141696</v>
          </cell>
          <cell r="AB145">
            <v>35000</v>
          </cell>
          <cell r="AC145">
            <v>385274</v>
          </cell>
          <cell r="AD145">
            <v>1</v>
          </cell>
        </row>
        <row r="146">
          <cell r="B146" t="str">
            <v>8189</v>
          </cell>
          <cell r="C146" t="str">
            <v>NGUYỄN HUY TRƯỢNG</v>
          </cell>
          <cell r="D146" t="str">
            <v>9100</v>
          </cell>
          <cell r="E146">
            <v>24149179</v>
          </cell>
          <cell r="F146">
            <v>24.125</v>
          </cell>
          <cell r="G146">
            <v>24.125</v>
          </cell>
          <cell r="H146">
            <v>0</v>
          </cell>
          <cell r="I146">
            <v>24149179</v>
          </cell>
          <cell r="J146">
            <v>2750000</v>
          </cell>
          <cell r="K146">
            <v>810000</v>
          </cell>
          <cell r="L146">
            <v>400000</v>
          </cell>
          <cell r="M146">
            <v>460000</v>
          </cell>
          <cell r="N146">
            <v>3349800</v>
          </cell>
          <cell r="O146">
            <v>0</v>
          </cell>
          <cell r="P146"/>
          <cell r="Q146">
            <v>-1000000</v>
          </cell>
          <cell r="R146"/>
          <cell r="S146">
            <v>30918979</v>
          </cell>
          <cell r="T146">
            <v>2151934</v>
          </cell>
          <cell r="U146">
            <v>403488</v>
          </cell>
          <cell r="V146">
            <v>268992</v>
          </cell>
          <cell r="W146">
            <v>2824414</v>
          </cell>
          <cell r="X146">
            <v>4707356</v>
          </cell>
          <cell r="Y146">
            <v>806975</v>
          </cell>
          <cell r="Z146">
            <v>268992</v>
          </cell>
          <cell r="AA146">
            <v>5783323</v>
          </cell>
          <cell r="AB146">
            <v>35000</v>
          </cell>
          <cell r="AC146">
            <v>537984</v>
          </cell>
          <cell r="AD146">
            <v>3</v>
          </cell>
        </row>
        <row r="147">
          <cell r="B147" t="str">
            <v>8201</v>
          </cell>
          <cell r="C147" t="str">
            <v>NGUYỄN THỊ THANH HƯƠNG</v>
          </cell>
          <cell r="D147" t="str">
            <v>9300</v>
          </cell>
          <cell r="E147">
            <v>12945868</v>
          </cell>
          <cell r="F147">
            <v>24.125</v>
          </cell>
          <cell r="G147">
            <v>12.0625</v>
          </cell>
          <cell r="H147">
            <v>0</v>
          </cell>
          <cell r="I147">
            <v>6472934</v>
          </cell>
          <cell r="J147">
            <v>3200000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/>
          <cell r="Q147">
            <v>-300000</v>
          </cell>
          <cell r="R147"/>
          <cell r="S147">
            <v>9372934</v>
          </cell>
          <cell r="T147">
            <v>1291669</v>
          </cell>
          <cell r="U147">
            <v>242188</v>
          </cell>
          <cell r="V147">
            <v>161459</v>
          </cell>
          <cell r="W147">
            <v>1695316</v>
          </cell>
          <cell r="X147">
            <v>2825527</v>
          </cell>
          <cell r="Y147">
            <v>484376</v>
          </cell>
          <cell r="Z147">
            <v>161459</v>
          </cell>
          <cell r="AA147">
            <v>3471362</v>
          </cell>
          <cell r="AB147">
            <v>35000</v>
          </cell>
          <cell r="AC147">
            <v>322917</v>
          </cell>
          <cell r="AD147">
            <v>0</v>
          </cell>
        </row>
        <row r="148">
          <cell r="B148" t="str">
            <v>8832</v>
          </cell>
          <cell r="C148" t="str">
            <v>LƯƠNG CHÍ HIẾU</v>
          </cell>
          <cell r="D148" t="str">
            <v>9100</v>
          </cell>
          <cell r="E148">
            <v>14871278</v>
          </cell>
          <cell r="F148">
            <v>24</v>
          </cell>
          <cell r="G148">
            <v>24</v>
          </cell>
          <cell r="H148">
            <v>0</v>
          </cell>
          <cell r="I148">
            <v>14871278</v>
          </cell>
          <cell r="J148">
            <v>1320000</v>
          </cell>
          <cell r="K148">
            <v>1200000</v>
          </cell>
          <cell r="L148">
            <v>400000</v>
          </cell>
          <cell r="M148">
            <v>0</v>
          </cell>
          <cell r="N148">
            <v>1467000</v>
          </cell>
          <cell r="O148">
            <v>0</v>
          </cell>
          <cell r="P148"/>
          <cell r="Q148">
            <v>-500000</v>
          </cell>
          <cell r="R148"/>
          <cell r="S148">
            <v>18758278</v>
          </cell>
          <cell r="T148">
            <v>1295302</v>
          </cell>
          <cell r="U148">
            <v>242869</v>
          </cell>
          <cell r="V148">
            <v>161913</v>
          </cell>
          <cell r="W148">
            <v>1700084</v>
          </cell>
          <cell r="X148">
            <v>2833474</v>
          </cell>
          <cell r="Y148">
            <v>485738</v>
          </cell>
          <cell r="Z148">
            <v>161913</v>
          </cell>
          <cell r="AA148">
            <v>3481125</v>
          </cell>
          <cell r="AB148">
            <v>35000</v>
          </cell>
          <cell r="AC148">
            <v>323826</v>
          </cell>
          <cell r="AD148">
            <v>1</v>
          </cell>
        </row>
        <row r="149">
          <cell r="B149" t="str">
            <v>8836</v>
          </cell>
          <cell r="C149" t="str">
            <v>ĐỔNG THANH PHONG</v>
          </cell>
          <cell r="D149" t="str">
            <v>9100</v>
          </cell>
          <cell r="E149">
            <v>13554099</v>
          </cell>
          <cell r="F149">
            <v>24</v>
          </cell>
          <cell r="G149">
            <v>24</v>
          </cell>
          <cell r="H149">
            <v>0</v>
          </cell>
          <cell r="I149">
            <v>13554099</v>
          </cell>
          <cell r="J149">
            <v>1320000</v>
          </cell>
          <cell r="K149">
            <v>1200000</v>
          </cell>
          <cell r="L149">
            <v>400000</v>
          </cell>
          <cell r="M149">
            <v>0</v>
          </cell>
          <cell r="N149">
            <v>44523745</v>
          </cell>
          <cell r="O149">
            <v>0</v>
          </cell>
          <cell r="P149"/>
          <cell r="Q149">
            <v>-500000</v>
          </cell>
          <cell r="R149"/>
          <cell r="S149">
            <v>60497844</v>
          </cell>
          <cell r="T149">
            <v>1189928</v>
          </cell>
          <cell r="U149">
            <v>223111</v>
          </cell>
          <cell r="V149">
            <v>148741</v>
          </cell>
          <cell r="W149">
            <v>1561780</v>
          </cell>
          <cell r="X149">
            <v>2602967</v>
          </cell>
          <cell r="Y149">
            <v>446223</v>
          </cell>
          <cell r="Z149">
            <v>148741</v>
          </cell>
          <cell r="AA149">
            <v>3197931</v>
          </cell>
          <cell r="AB149">
            <v>35000</v>
          </cell>
          <cell r="AC149">
            <v>297482</v>
          </cell>
          <cell r="AD149">
            <v>1</v>
          </cell>
        </row>
        <row r="150">
          <cell r="B150" t="str">
            <v>8877</v>
          </cell>
          <cell r="C150" t="str">
            <v>ĐỖ NGỌC CẢNH</v>
          </cell>
          <cell r="D150" t="str">
            <v>9100</v>
          </cell>
          <cell r="E150">
            <v>69614771</v>
          </cell>
          <cell r="F150">
            <v>24.125</v>
          </cell>
          <cell r="G150">
            <v>24.125</v>
          </cell>
          <cell r="H150">
            <v>0</v>
          </cell>
          <cell r="I150">
            <v>69614771</v>
          </cell>
          <cell r="J150">
            <v>2750000</v>
          </cell>
          <cell r="K150">
            <v>810000</v>
          </cell>
          <cell r="L150">
            <v>400000</v>
          </cell>
          <cell r="M150">
            <v>458128</v>
          </cell>
          <cell r="N150">
            <v>0</v>
          </cell>
          <cell r="O150">
            <v>0</v>
          </cell>
          <cell r="P150"/>
          <cell r="Q150">
            <v>-1000000</v>
          </cell>
          <cell r="R150"/>
          <cell r="S150">
            <v>73032899</v>
          </cell>
          <cell r="T150">
            <v>2880000</v>
          </cell>
          <cell r="U150">
            <v>540000</v>
          </cell>
          <cell r="V150">
            <v>723648</v>
          </cell>
          <cell r="W150">
            <v>4143648</v>
          </cell>
          <cell r="X150">
            <v>6300000</v>
          </cell>
          <cell r="Y150">
            <v>1080000</v>
          </cell>
          <cell r="Z150">
            <v>723648</v>
          </cell>
          <cell r="AA150">
            <v>8103648</v>
          </cell>
          <cell r="AB150">
            <v>35000</v>
          </cell>
          <cell r="AC150">
            <v>720000</v>
          </cell>
          <cell r="AD150">
            <v>3</v>
          </cell>
        </row>
        <row r="151">
          <cell r="B151" t="str">
            <v>8897</v>
          </cell>
          <cell r="C151" t="str">
            <v>TRẦN XUÂN BÁCH</v>
          </cell>
          <cell r="D151" t="str">
            <v>9100</v>
          </cell>
          <cell r="E151"/>
          <cell r="F151"/>
          <cell r="G151"/>
          <cell r="H151"/>
          <cell r="I151"/>
          <cell r="J151"/>
          <cell r="K151"/>
          <cell r="L151"/>
          <cell r="M151"/>
          <cell r="N151">
            <v>4180300</v>
          </cell>
          <cell r="O151"/>
          <cell r="P151"/>
          <cell r="Q151">
            <v>0</v>
          </cell>
          <cell r="R151"/>
          <cell r="S151">
            <v>4180300</v>
          </cell>
          <cell r="T151">
            <v>-1707899</v>
          </cell>
          <cell r="U151">
            <v>-320231</v>
          </cell>
          <cell r="V151">
            <v>-213487</v>
          </cell>
          <cell r="W151">
            <v>-2241617</v>
          </cell>
          <cell r="X151">
            <v>-3736030</v>
          </cell>
          <cell r="Y151">
            <v>-640462</v>
          </cell>
          <cell r="Z151">
            <v>-213487</v>
          </cell>
          <cell r="AA151">
            <v>-4589979</v>
          </cell>
          <cell r="AB151">
            <v>-35000</v>
          </cell>
          <cell r="AC151">
            <v>-426975</v>
          </cell>
          <cell r="AD151"/>
        </row>
        <row r="152">
          <cell r="B152" t="str">
            <v>11627</v>
          </cell>
          <cell r="C152" t="str">
            <v>VĂN BÁ THÔNG</v>
          </cell>
          <cell r="D152" t="str">
            <v>9300</v>
          </cell>
          <cell r="E152">
            <v>72650000</v>
          </cell>
          <cell r="F152">
            <v>24.125</v>
          </cell>
          <cell r="G152">
            <v>24.125</v>
          </cell>
          <cell r="H152">
            <v>0</v>
          </cell>
          <cell r="I152">
            <v>72650000</v>
          </cell>
          <cell r="J152">
            <v>0</v>
          </cell>
          <cell r="K152">
            <v>0</v>
          </cell>
          <cell r="L152">
            <v>0</v>
          </cell>
          <cell r="M152">
            <v>261084</v>
          </cell>
          <cell r="N152">
            <v>0</v>
          </cell>
          <cell r="O152">
            <v>0</v>
          </cell>
          <cell r="P152"/>
          <cell r="Q152">
            <v>-500000</v>
          </cell>
          <cell r="R152"/>
          <cell r="S152">
            <v>72411084</v>
          </cell>
          <cell r="T152">
            <v>2880000</v>
          </cell>
          <cell r="U152">
            <v>540000</v>
          </cell>
          <cell r="V152">
            <v>726500</v>
          </cell>
          <cell r="W152">
            <v>4146500</v>
          </cell>
          <cell r="X152">
            <v>6300000</v>
          </cell>
          <cell r="Y152">
            <v>1080000</v>
          </cell>
          <cell r="Z152">
            <v>726500</v>
          </cell>
          <cell r="AA152">
            <v>8106500</v>
          </cell>
          <cell r="AB152">
            <v>35000</v>
          </cell>
          <cell r="AC152">
            <v>720000</v>
          </cell>
          <cell r="AD152">
            <v>0</v>
          </cell>
        </row>
        <row r="153">
          <cell r="B153" t="str">
            <v>11626</v>
          </cell>
          <cell r="C153" t="str">
            <v>NGUYỄN THỊ PHƯƠNG THẢO</v>
          </cell>
          <cell r="D153" t="str">
            <v>9100</v>
          </cell>
          <cell r="E153">
            <v>20000000</v>
          </cell>
          <cell r="F153">
            <v>24</v>
          </cell>
          <cell r="G153">
            <v>22</v>
          </cell>
          <cell r="H153">
            <v>0</v>
          </cell>
          <cell r="I153">
            <v>18333333</v>
          </cell>
          <cell r="J153">
            <v>0</v>
          </cell>
          <cell r="K153">
            <v>1100000</v>
          </cell>
          <cell r="L153">
            <v>366667</v>
          </cell>
          <cell r="M153">
            <v>0</v>
          </cell>
          <cell r="N153">
            <v>0</v>
          </cell>
          <cell r="O153">
            <v>0</v>
          </cell>
          <cell r="P153"/>
          <cell r="Q153">
            <v>-500000</v>
          </cell>
          <cell r="R153"/>
          <cell r="S153">
            <v>19300000</v>
          </cell>
          <cell r="T153">
            <v>1600000</v>
          </cell>
          <cell r="U153">
            <v>300000</v>
          </cell>
          <cell r="V153">
            <v>200000</v>
          </cell>
          <cell r="W153">
            <v>2100000</v>
          </cell>
          <cell r="X153">
            <v>3500000</v>
          </cell>
          <cell r="Y153">
            <v>600000</v>
          </cell>
          <cell r="Z153">
            <v>200000</v>
          </cell>
          <cell r="AA153">
            <v>4300000</v>
          </cell>
          <cell r="AB153">
            <v>35000</v>
          </cell>
          <cell r="AC153">
            <v>400000</v>
          </cell>
          <cell r="AD153">
            <v>0</v>
          </cell>
        </row>
        <row r="154">
          <cell r="B154" t="str">
            <v>11643</v>
          </cell>
          <cell r="C154" t="str">
            <v>NGUYỄN THÚY HỒNG</v>
          </cell>
          <cell r="D154" t="str">
            <v>9420</v>
          </cell>
          <cell r="E154">
            <v>55000000</v>
          </cell>
          <cell r="F154">
            <v>24.125</v>
          </cell>
          <cell r="G154">
            <v>24.125</v>
          </cell>
          <cell r="H154">
            <v>0</v>
          </cell>
          <cell r="I154">
            <v>55000000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/>
          <cell r="Q154">
            <v>-400000</v>
          </cell>
          <cell r="R154"/>
          <cell r="S154">
            <v>54600000</v>
          </cell>
          <cell r="T154"/>
          <cell r="U154"/>
          <cell r="V154"/>
          <cell r="W154">
            <v>0</v>
          </cell>
          <cell r="X154"/>
          <cell r="Y154"/>
          <cell r="Z154"/>
          <cell r="AA154">
            <v>0</v>
          </cell>
          <cell r="AB154"/>
          <cell r="AC154"/>
          <cell r="AD154">
            <v>0</v>
          </cell>
        </row>
        <row r="155">
          <cell r="B155" t="str">
            <v>11611</v>
          </cell>
          <cell r="C155" t="str">
            <v>HUỲNH THỊ KIM THOẢ</v>
          </cell>
          <cell r="D155" t="str">
            <v>9300</v>
          </cell>
          <cell r="E155">
            <v>19720000</v>
          </cell>
          <cell r="F155">
            <v>24.125</v>
          </cell>
          <cell r="G155">
            <v>24.125</v>
          </cell>
          <cell r="H155">
            <v>0</v>
          </cell>
          <cell r="I155">
            <v>19720000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/>
          <cell r="Q155">
            <v>-300000</v>
          </cell>
          <cell r="R155"/>
          <cell r="S155">
            <v>19420000</v>
          </cell>
          <cell r="T155">
            <v>1577600</v>
          </cell>
          <cell r="U155">
            <v>295800</v>
          </cell>
          <cell r="V155">
            <v>197200</v>
          </cell>
          <cell r="W155">
            <v>2070600</v>
          </cell>
          <cell r="X155">
            <v>3451000</v>
          </cell>
          <cell r="Y155">
            <v>591600</v>
          </cell>
          <cell r="Z155">
            <v>197200</v>
          </cell>
          <cell r="AA155">
            <v>4239800</v>
          </cell>
          <cell r="AB155">
            <v>35000</v>
          </cell>
          <cell r="AC155">
            <v>394400</v>
          </cell>
          <cell r="AD155">
            <v>0</v>
          </cell>
        </row>
        <row r="156">
          <cell r="B156" t="str">
            <v>11587</v>
          </cell>
          <cell r="C156" t="str">
            <v>NGUYỄN TRỌNG ĐẠI</v>
          </cell>
          <cell r="D156" t="str">
            <v>9100</v>
          </cell>
          <cell r="E156">
            <v>75000000</v>
          </cell>
          <cell r="F156">
            <v>24</v>
          </cell>
          <cell r="G156">
            <v>24</v>
          </cell>
          <cell r="H156">
            <v>0</v>
          </cell>
          <cell r="I156">
            <v>75000000</v>
          </cell>
          <cell r="J156">
            <v>0</v>
          </cell>
          <cell r="K156">
            <v>0</v>
          </cell>
          <cell r="L156">
            <v>0</v>
          </cell>
          <cell r="M156">
            <v>350000</v>
          </cell>
          <cell r="N156">
            <v>0</v>
          </cell>
          <cell r="O156">
            <v>0</v>
          </cell>
          <cell r="P156"/>
          <cell r="Q156">
            <v>-1000000</v>
          </cell>
          <cell r="R156"/>
          <cell r="S156">
            <v>74350000</v>
          </cell>
          <cell r="T156">
            <v>2880000</v>
          </cell>
          <cell r="U156">
            <v>540000</v>
          </cell>
          <cell r="V156">
            <v>750000</v>
          </cell>
          <cell r="W156">
            <v>4170000</v>
          </cell>
          <cell r="X156">
            <v>6300000</v>
          </cell>
          <cell r="Y156">
            <v>1080000</v>
          </cell>
          <cell r="Z156">
            <v>750000</v>
          </cell>
          <cell r="AA156">
            <v>8130000</v>
          </cell>
          <cell r="AB156">
            <v>35000</v>
          </cell>
          <cell r="AC156">
            <v>720000</v>
          </cell>
          <cell r="AD156">
            <v>4</v>
          </cell>
        </row>
        <row r="157">
          <cell r="B157" t="str">
            <v>11644</v>
          </cell>
          <cell r="C157" t="str">
            <v>HUỲNH YẾN THANH</v>
          </cell>
          <cell r="D157">
            <v>9410</v>
          </cell>
          <cell r="E157">
            <v>72000000</v>
          </cell>
          <cell r="F157">
            <v>24.125</v>
          </cell>
          <cell r="G157">
            <v>13.125</v>
          </cell>
          <cell r="H157">
            <v>0</v>
          </cell>
          <cell r="I157">
            <v>39170984</v>
          </cell>
          <cell r="J157">
            <v>0</v>
          </cell>
          <cell r="K157">
            <v>0</v>
          </cell>
          <cell r="L157">
            <v>0</v>
          </cell>
          <cell r="M157">
            <v>272021</v>
          </cell>
          <cell r="N157">
            <v>0</v>
          </cell>
          <cell r="O157">
            <v>0</v>
          </cell>
          <cell r="P157"/>
          <cell r="Q157">
            <v>0</v>
          </cell>
          <cell r="R157"/>
          <cell r="S157">
            <v>39443005</v>
          </cell>
          <cell r="T157">
            <v>2880000</v>
          </cell>
          <cell r="U157">
            <v>540000</v>
          </cell>
          <cell r="V157">
            <v>720000</v>
          </cell>
          <cell r="W157">
            <v>4140000</v>
          </cell>
          <cell r="X157">
            <v>6300000</v>
          </cell>
          <cell r="Y157">
            <v>1080000</v>
          </cell>
          <cell r="Z157">
            <v>720000</v>
          </cell>
          <cell r="AA157">
            <v>8100000</v>
          </cell>
          <cell r="AB157">
            <v>35000</v>
          </cell>
          <cell r="AC157">
            <v>720000</v>
          </cell>
          <cell r="AD157">
            <v>1</v>
          </cell>
        </row>
        <row r="158">
          <cell r="B158" t="str">
            <v>11647</v>
          </cell>
          <cell r="C158" t="str">
            <v>CÔ NHÃ LY</v>
          </cell>
          <cell r="D158">
            <v>9430</v>
          </cell>
          <cell r="E158">
            <v>85000000</v>
          </cell>
          <cell r="F158">
            <v>24.125</v>
          </cell>
          <cell r="G158">
            <v>11</v>
          </cell>
          <cell r="H158">
            <v>0</v>
          </cell>
          <cell r="I158">
            <v>38756477</v>
          </cell>
          <cell r="J158">
            <v>0</v>
          </cell>
          <cell r="K158">
            <v>0</v>
          </cell>
          <cell r="L158">
            <v>0</v>
          </cell>
          <cell r="M158">
            <v>227979</v>
          </cell>
          <cell r="N158">
            <v>0</v>
          </cell>
          <cell r="O158">
            <v>0</v>
          </cell>
          <cell r="P158"/>
          <cell r="Q158">
            <v>0</v>
          </cell>
          <cell r="R158"/>
          <cell r="S158">
            <v>38984456</v>
          </cell>
          <cell r="T158">
            <v>2880000</v>
          </cell>
          <cell r="U158">
            <v>540000</v>
          </cell>
          <cell r="V158">
            <v>832000</v>
          </cell>
          <cell r="W158">
            <v>4252000</v>
          </cell>
          <cell r="X158">
            <v>6300000</v>
          </cell>
          <cell r="Y158">
            <v>1080000</v>
          </cell>
          <cell r="Z158">
            <v>832000</v>
          </cell>
          <cell r="AA158">
            <v>8212000</v>
          </cell>
          <cell r="AB158">
            <v>35000</v>
          </cell>
          <cell r="AC158">
            <v>720000</v>
          </cell>
          <cell r="AD158"/>
        </row>
        <row r="159">
          <cell r="B159" t="str">
            <v>7121</v>
          </cell>
          <cell r="C159" t="str">
            <v>TRƯƠNG QUANG VINH</v>
          </cell>
          <cell r="D159" t="str">
            <v>9100</v>
          </cell>
          <cell r="E159"/>
          <cell r="F159"/>
          <cell r="G159"/>
          <cell r="H159"/>
          <cell r="I159"/>
          <cell r="J159"/>
          <cell r="K159"/>
          <cell r="L159"/>
          <cell r="M159"/>
          <cell r="N159">
            <v>1500000</v>
          </cell>
          <cell r="O159"/>
          <cell r="P159"/>
          <cell r="Q159">
            <v>0</v>
          </cell>
          <cell r="R159"/>
          <cell r="S159">
            <v>1500000</v>
          </cell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</row>
        <row r="160">
          <cell r="B160" t="str">
            <v>7119</v>
          </cell>
          <cell r="C160" t="str">
            <v>TRẦN THÀNH NHÂN</v>
          </cell>
          <cell r="D160" t="str">
            <v>9100</v>
          </cell>
          <cell r="E160"/>
          <cell r="F160"/>
          <cell r="G160"/>
          <cell r="H160"/>
          <cell r="I160"/>
          <cell r="J160"/>
          <cell r="K160"/>
          <cell r="L160"/>
          <cell r="M160"/>
          <cell r="N160">
            <v>800000</v>
          </cell>
          <cell r="O160"/>
          <cell r="P160"/>
          <cell r="Q160">
            <v>0</v>
          </cell>
          <cell r="R160"/>
          <cell r="S160">
            <v>800000</v>
          </cell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 Sign"/>
      <sheetName val="Basic Salary"/>
      <sheetName val="Annual Leaves"/>
      <sheetName val="Employees' data"/>
      <sheetName val="Dependent"/>
      <sheetName val="Termination and others"/>
      <sheetName val="Sales incentives 1.2024"/>
    </sheetNames>
    <sheetDataSet>
      <sheetData sheetId="0"/>
      <sheetData sheetId="1"/>
      <sheetData sheetId="2"/>
      <sheetData sheetId="3"/>
      <sheetData sheetId="4"/>
      <sheetData sheetId="5">
        <row r="12">
          <cell r="B12" t="str">
            <v>11513</v>
          </cell>
          <cell r="F12">
            <v>58000</v>
          </cell>
        </row>
        <row r="13">
          <cell r="B13" t="str">
            <v>0639</v>
          </cell>
          <cell r="F13">
            <v>319000</v>
          </cell>
        </row>
        <row r="14">
          <cell r="B14" t="str">
            <v>11458</v>
          </cell>
          <cell r="F14">
            <v>58000</v>
          </cell>
        </row>
        <row r="15">
          <cell r="B15" t="str">
            <v>11457</v>
          </cell>
          <cell r="F15">
            <v>0</v>
          </cell>
        </row>
        <row r="16">
          <cell r="B16" t="str">
            <v>11644</v>
          </cell>
          <cell r="F16">
            <v>58000</v>
          </cell>
        </row>
        <row r="17">
          <cell r="B17" t="str">
            <v>11449</v>
          </cell>
          <cell r="F17">
            <v>0</v>
          </cell>
        </row>
        <row r="18">
          <cell r="B18" t="str">
            <v>08832</v>
          </cell>
          <cell r="F18">
            <v>0</v>
          </cell>
        </row>
        <row r="19">
          <cell r="B19" t="str">
            <v>8836</v>
          </cell>
          <cell r="F19">
            <v>0</v>
          </cell>
        </row>
        <row r="20">
          <cell r="B20" t="str">
            <v>11588</v>
          </cell>
          <cell r="F20">
            <v>0</v>
          </cell>
        </row>
        <row r="21">
          <cell r="B21" t="str">
            <v>11450</v>
          </cell>
          <cell r="F21">
            <v>0</v>
          </cell>
        </row>
        <row r="22">
          <cell r="B22" t="str">
            <v>11643</v>
          </cell>
          <cell r="F22">
            <v>0</v>
          </cell>
        </row>
        <row r="23">
          <cell r="B23" t="str">
            <v>11090</v>
          </cell>
          <cell r="F23">
            <v>0</v>
          </cell>
        </row>
        <row r="24">
          <cell r="B24" t="str">
            <v>11627</v>
          </cell>
          <cell r="F24">
            <v>0</v>
          </cell>
        </row>
        <row r="25">
          <cell r="B25" t="str">
            <v>11400</v>
          </cell>
          <cell r="F25">
            <v>0</v>
          </cell>
        </row>
        <row r="26">
          <cell r="B26" t="str">
            <v>8023</v>
          </cell>
          <cell r="F26">
            <v>29000</v>
          </cell>
        </row>
        <row r="27">
          <cell r="B27" t="str">
            <v>11194</v>
          </cell>
          <cell r="F27">
            <v>58000</v>
          </cell>
        </row>
        <row r="28">
          <cell r="B28" t="str">
            <v>11647</v>
          </cell>
          <cell r="F28">
            <v>58000</v>
          </cell>
        </row>
        <row r="29">
          <cell r="B29" t="str">
            <v>8201</v>
          </cell>
          <cell r="F29">
            <v>0</v>
          </cell>
        </row>
        <row r="30">
          <cell r="B30" t="str">
            <v>11586</v>
          </cell>
          <cell r="F30">
            <v>29000</v>
          </cell>
        </row>
        <row r="31">
          <cell r="B31" t="str">
            <v>11649</v>
          </cell>
          <cell r="F31">
            <v>29000</v>
          </cell>
        </row>
        <row r="32">
          <cell r="B32" t="str">
            <v>11511</v>
          </cell>
          <cell r="F32">
            <v>29000</v>
          </cell>
        </row>
        <row r="33">
          <cell r="B33" t="str">
            <v>11508</v>
          </cell>
          <cell r="F33">
            <v>174000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3"/>
  <sheetViews>
    <sheetView zoomScale="150" zoomScaleNormal="150" workbookViewId="0">
      <selection activeCell="G61" sqref="G61"/>
    </sheetView>
  </sheetViews>
  <sheetFormatPr baseColWidth="10" defaultColWidth="9.33203125" defaultRowHeight="12"/>
  <cols>
    <col min="1" max="1" width="11" style="4" bestFit="1" customWidth="1"/>
    <col min="2" max="2" width="28.6640625" style="4" customWidth="1"/>
    <col min="3" max="3" width="33.5" style="4" customWidth="1"/>
    <col min="4" max="4" width="17.83203125" style="4" customWidth="1"/>
    <col min="5" max="12" width="13.5" style="4" customWidth="1"/>
    <col min="13" max="16384" width="9.33203125" style="4"/>
  </cols>
  <sheetData>
    <row r="1" spans="1:12" ht="26">
      <c r="A1" s="17" t="s">
        <v>43</v>
      </c>
      <c r="B1" s="17" t="s">
        <v>44</v>
      </c>
      <c r="C1" s="18" t="s">
        <v>45</v>
      </c>
      <c r="E1" s="37">
        <v>0.1</v>
      </c>
    </row>
    <row r="2" spans="1:12">
      <c r="A2" s="19">
        <v>0</v>
      </c>
      <c r="B2" s="20">
        <v>0.05</v>
      </c>
      <c r="C2" s="19">
        <v>0</v>
      </c>
    </row>
    <row r="3" spans="1:12">
      <c r="A3" s="19">
        <v>5000000</v>
      </c>
      <c r="B3" s="20">
        <v>0.1</v>
      </c>
      <c r="C3" s="19">
        <v>250000</v>
      </c>
      <c r="D3" s="119"/>
    </row>
    <row r="4" spans="1:12">
      <c r="A4" s="19">
        <v>10000000</v>
      </c>
      <c r="B4" s="20">
        <v>0.15</v>
      </c>
      <c r="C4" s="19">
        <v>750000</v>
      </c>
      <c r="D4" s="119"/>
    </row>
    <row r="5" spans="1:12">
      <c r="A5" s="19">
        <v>18000000</v>
      </c>
      <c r="B5" s="20">
        <v>0.2</v>
      </c>
      <c r="C5" s="19">
        <v>1650000</v>
      </c>
      <c r="D5" s="119"/>
    </row>
    <row r="6" spans="1:12">
      <c r="A6" s="19">
        <v>32000000</v>
      </c>
      <c r="B6" s="20">
        <v>0.25</v>
      </c>
      <c r="C6" s="19">
        <v>3250000</v>
      </c>
      <c r="D6" s="119"/>
    </row>
    <row r="7" spans="1:12">
      <c r="A7" s="19">
        <v>52000000</v>
      </c>
      <c r="B7" s="20">
        <v>0.3</v>
      </c>
      <c r="C7" s="19">
        <v>5850000</v>
      </c>
      <c r="D7" s="119"/>
    </row>
    <row r="8" spans="1:12">
      <c r="A8" s="19">
        <v>80000000</v>
      </c>
      <c r="B8" s="20">
        <v>0.35</v>
      </c>
      <c r="C8" s="19">
        <v>9850000</v>
      </c>
      <c r="D8" s="119"/>
    </row>
    <row r="10" spans="1:12">
      <c r="A10" s="2"/>
      <c r="B10" s="7" t="s">
        <v>35</v>
      </c>
      <c r="C10" s="3">
        <v>1800000</v>
      </c>
      <c r="D10" s="4" t="s">
        <v>73</v>
      </c>
      <c r="E10" s="10" t="s">
        <v>37</v>
      </c>
      <c r="F10" s="11" t="s">
        <v>38</v>
      </c>
      <c r="G10" s="12" t="s">
        <v>39</v>
      </c>
      <c r="H10" s="12" t="s">
        <v>40</v>
      </c>
      <c r="I10" s="4" t="s">
        <v>79</v>
      </c>
    </row>
    <row r="11" spans="1:12">
      <c r="A11" s="2"/>
      <c r="B11" s="7" t="s">
        <v>36</v>
      </c>
      <c r="C11" s="60">
        <v>4160000</v>
      </c>
      <c r="D11" s="4" t="s">
        <v>40</v>
      </c>
      <c r="E11" s="8" t="s">
        <v>41</v>
      </c>
      <c r="F11" s="13">
        <v>0.08</v>
      </c>
      <c r="G11" s="13">
        <v>1.4999999999999999E-2</v>
      </c>
      <c r="H11" s="13">
        <v>0.01</v>
      </c>
      <c r="I11" s="37"/>
    </row>
    <row r="12" spans="1:12">
      <c r="A12" s="1"/>
      <c r="B12" s="5" t="s">
        <v>33</v>
      </c>
      <c r="C12" s="6">
        <f>C10*20</f>
        <v>36000000</v>
      </c>
      <c r="E12" s="8" t="s">
        <v>42</v>
      </c>
      <c r="F12" s="13">
        <v>0.17499999999999999</v>
      </c>
      <c r="G12" s="13">
        <v>0.03</v>
      </c>
      <c r="H12" s="13">
        <v>0.01</v>
      </c>
      <c r="I12" s="37">
        <v>0.02</v>
      </c>
    </row>
    <row r="13" spans="1:12">
      <c r="A13" s="1"/>
      <c r="B13" s="5" t="s">
        <v>34</v>
      </c>
      <c r="C13" s="6">
        <f>C11*20</f>
        <v>83200000</v>
      </c>
      <c r="E13" s="1"/>
      <c r="F13" s="1"/>
      <c r="G13" s="1"/>
      <c r="H13" s="1"/>
      <c r="I13" s="2"/>
    </row>
    <row r="16" spans="1:12" hidden="1">
      <c r="B16" s="152" t="s">
        <v>63</v>
      </c>
      <c r="C16" s="153" t="s">
        <v>65</v>
      </c>
      <c r="D16" s="154" t="s">
        <v>54</v>
      </c>
      <c r="E16" s="154" t="s">
        <v>55</v>
      </c>
      <c r="F16" s="149" t="s">
        <v>56</v>
      </c>
      <c r="G16" s="154" t="s">
        <v>57</v>
      </c>
      <c r="H16" s="149" t="s">
        <v>58</v>
      </c>
      <c r="I16" s="153" t="s">
        <v>59</v>
      </c>
      <c r="J16" s="153"/>
      <c r="K16" s="149" t="s">
        <v>60</v>
      </c>
      <c r="L16" s="149" t="s">
        <v>61</v>
      </c>
    </row>
    <row r="17" spans="2:12" ht="26" hidden="1">
      <c r="B17" s="152"/>
      <c r="C17" s="153"/>
      <c r="D17" s="154"/>
      <c r="E17" s="154"/>
      <c r="F17" s="155"/>
      <c r="G17" s="154"/>
      <c r="H17" s="155"/>
      <c r="I17" s="21" t="s">
        <v>59</v>
      </c>
      <c r="J17" s="22" t="s">
        <v>39</v>
      </c>
      <c r="K17" s="155"/>
      <c r="L17" s="150"/>
    </row>
    <row r="18" spans="2:12" hidden="1">
      <c r="B18" s="23">
        <v>1</v>
      </c>
      <c r="C18" s="24">
        <v>2</v>
      </c>
      <c r="D18" s="25">
        <v>3</v>
      </c>
      <c r="E18" s="24">
        <v>4</v>
      </c>
      <c r="F18" s="25">
        <v>5</v>
      </c>
      <c r="G18" s="24">
        <v>6</v>
      </c>
      <c r="H18" s="24">
        <v>7</v>
      </c>
      <c r="I18" s="25">
        <v>8</v>
      </c>
      <c r="J18" s="24">
        <v>9</v>
      </c>
      <c r="K18" s="25">
        <v>10</v>
      </c>
      <c r="L18" s="24">
        <v>11</v>
      </c>
    </row>
    <row r="19" spans="2:12" hidden="1">
      <c r="B19" s="26">
        <v>1</v>
      </c>
      <c r="C19" s="27" t="s">
        <v>31</v>
      </c>
      <c r="D19" s="27" t="e">
        <f>SUMIF(#REF!,'SHUI &amp; PIT'!$C19,#REF!)-D21</f>
        <v>#REF!</v>
      </c>
      <c r="E19" s="27" t="e">
        <f>SUMIF(#REF!,'SHUI &amp; PIT'!$C19,#REF!)-E21</f>
        <v>#REF!</v>
      </c>
      <c r="F19" s="28" t="e">
        <f>SUMIF(#REF!,'SHUI &amp; PIT'!$C19,#REF!)+SUMIF(#REF!,'SHUI &amp; PIT'!$C19,#REF!)-F21</f>
        <v>#REF!</v>
      </c>
      <c r="G19" s="28" t="e">
        <f>SUMIF(#REF!,'SHUI &amp; PIT'!$C19,#REF!)+SUMIF(#REF!,'SHUI &amp; PIT'!$C19,#REF!)-G21</f>
        <v>#REF!</v>
      </c>
      <c r="H19" s="28" t="e">
        <f>SUMIF(#REF!,'SHUI &amp; PIT'!$C19,#REF!)+SUMIF(#REF!,'SHUI &amp; PIT'!$C19,#REF!)-H21</f>
        <v>#REF!</v>
      </c>
      <c r="I19" s="29"/>
      <c r="J19" s="30"/>
      <c r="K19" s="31"/>
      <c r="L19" s="32" t="e">
        <f>ROUND(SUM(F19:H19),0)</f>
        <v>#REF!</v>
      </c>
    </row>
    <row r="20" spans="2:12" hidden="1">
      <c r="B20" s="26">
        <v>2</v>
      </c>
      <c r="C20" s="27" t="s">
        <v>32</v>
      </c>
      <c r="D20" s="27" t="e">
        <f>SUMIF(#REF!,'SHUI &amp; PIT'!$C20,#REF!)</f>
        <v>#REF!</v>
      </c>
      <c r="E20" s="27" t="e">
        <f>SUMIF(#REF!,'SHUI &amp; PIT'!$C20,#REF!)</f>
        <v>#REF!</v>
      </c>
      <c r="F20" s="28" t="e">
        <f>SUMIF(#REF!,'SHUI &amp; PIT'!$C20,#REF!)+SUMIF(#REF!,'SHUI &amp; PIT'!$C20,#REF!)</f>
        <v>#REF!</v>
      </c>
      <c r="G20" s="28" t="e">
        <f>SUMIF(#REF!,'SHUI &amp; PIT'!$C20,#REF!)+SUMIF(#REF!,'SHUI &amp; PIT'!$C20,#REF!)</f>
        <v>#REF!</v>
      </c>
      <c r="H20" s="28" t="e">
        <f>SUMIF(#REF!,'SHUI &amp; PIT'!$C20,#REF!)+SUMIF(#REF!,'SHUI &amp; PIT'!$C20,#REF!)</f>
        <v>#REF!</v>
      </c>
      <c r="I20" s="29"/>
      <c r="J20" s="30"/>
      <c r="K20" s="31"/>
      <c r="L20" s="32" t="e">
        <f>ROUND(SUM(F20:H20),0)</f>
        <v>#REF!</v>
      </c>
    </row>
    <row r="21" spans="2:12" hidden="1">
      <c r="B21" s="26">
        <v>3</v>
      </c>
      <c r="C21" s="27" t="s">
        <v>53</v>
      </c>
      <c r="D21" s="27" t="e">
        <f>SUMIF(#REF!,'SHUI &amp; PIT'!$C$21,#REF!)</f>
        <v>#REF!</v>
      </c>
      <c r="E21" s="27" t="e">
        <f>SUMIF(#REF!,'SHUI &amp; PIT'!$C$21,#REF!)</f>
        <v>#REF!</v>
      </c>
      <c r="F21" s="28" t="e">
        <f>SUMIF(#REF!,'SHUI &amp; PIT'!$C21,#REF!)+SUMIF(#REF!,'SHUI &amp; PIT'!$C21,#REF!)</f>
        <v>#REF!</v>
      </c>
      <c r="G21" s="28" t="e">
        <f>SUMIF(#REF!,'SHUI &amp; PIT'!$C21,#REF!)+SUMIF(#REF!,'SHUI &amp; PIT'!$C21,#REF!)</f>
        <v>#REF!</v>
      </c>
      <c r="H21" s="28" t="e">
        <f>SUMIF(#REF!,'SHUI &amp; PIT'!$C21,#REF!)+SUMIF(#REF!,'SHUI &amp; PIT'!$C21,#REF!)</f>
        <v>#REF!</v>
      </c>
      <c r="I21" s="29"/>
      <c r="J21" s="30"/>
      <c r="K21" s="31"/>
      <c r="L21" s="32" t="e">
        <f>ROUND(SUM(F21:H21),0)</f>
        <v>#REF!</v>
      </c>
    </row>
    <row r="22" spans="2:12" hidden="1">
      <c r="B22" s="151" t="s">
        <v>62</v>
      </c>
      <c r="C22" s="151"/>
      <c r="D22" s="151"/>
      <c r="E22" s="151"/>
      <c r="F22" s="151"/>
      <c r="G22" s="151"/>
      <c r="H22" s="151"/>
      <c r="I22" s="151"/>
      <c r="J22" s="151"/>
      <c r="K22" s="151"/>
      <c r="L22" s="33" t="e">
        <f>SUM(L19:L21)</f>
        <v>#REF!</v>
      </c>
    </row>
    <row r="23" spans="2:12" hidden="1"/>
    <row r="24" spans="2:12" hidden="1">
      <c r="B24" s="152" t="s">
        <v>64</v>
      </c>
      <c r="C24" s="153" t="s">
        <v>65</v>
      </c>
      <c r="D24" s="154" t="s">
        <v>54</v>
      </c>
      <c r="E24" s="154" t="s">
        <v>55</v>
      </c>
      <c r="F24" s="149" t="s">
        <v>56</v>
      </c>
      <c r="G24" s="154" t="s">
        <v>57</v>
      </c>
      <c r="H24" s="149" t="s">
        <v>58</v>
      </c>
      <c r="I24" s="153" t="s">
        <v>59</v>
      </c>
      <c r="J24" s="153"/>
      <c r="K24" s="149" t="s">
        <v>60</v>
      </c>
      <c r="L24" s="149" t="s">
        <v>61</v>
      </c>
    </row>
    <row r="25" spans="2:12" ht="26" hidden="1">
      <c r="B25" s="152"/>
      <c r="C25" s="153"/>
      <c r="D25" s="154"/>
      <c r="E25" s="154"/>
      <c r="F25" s="155"/>
      <c r="G25" s="154"/>
      <c r="H25" s="155"/>
      <c r="I25" s="21" t="s">
        <v>59</v>
      </c>
      <c r="J25" s="22" t="s">
        <v>39</v>
      </c>
      <c r="K25" s="155"/>
      <c r="L25" s="150"/>
    </row>
    <row r="26" spans="2:12" hidden="1">
      <c r="B26" s="23">
        <v>1</v>
      </c>
      <c r="C26" s="24">
        <v>2</v>
      </c>
      <c r="D26" s="25">
        <v>3</v>
      </c>
      <c r="E26" s="24">
        <v>4</v>
      </c>
      <c r="F26" s="25">
        <v>5</v>
      </c>
      <c r="G26" s="24">
        <v>6</v>
      </c>
      <c r="H26" s="24">
        <v>7</v>
      </c>
      <c r="I26" s="25">
        <v>8</v>
      </c>
      <c r="J26" s="24">
        <v>9</v>
      </c>
      <c r="K26" s="25">
        <v>10</v>
      </c>
      <c r="L26" s="24">
        <v>11</v>
      </c>
    </row>
    <row r="27" spans="2:12" hidden="1">
      <c r="B27" s="26">
        <v>1</v>
      </c>
      <c r="C27" s="27" t="s">
        <v>31</v>
      </c>
      <c r="D27" s="27" t="e">
        <f>SUMIF(#REF!,'SHUI &amp; PIT'!$C27,#REF!)-D29</f>
        <v>#REF!</v>
      </c>
      <c r="E27" s="27" t="e">
        <f>SUMIF(#REF!,'SHUI &amp; PIT'!$C27,#REF!)-E29</f>
        <v>#REF!</v>
      </c>
      <c r="F27" s="28" t="e">
        <f>SUMIF(#REF!,'SHUI &amp; PIT'!$C27,#REF!)+SUMIF(#REF!,'SHUI &amp; PIT'!$C27,#REF!)-F29</f>
        <v>#REF!</v>
      </c>
      <c r="G27" s="28" t="e">
        <f>SUMIF(#REF!,'SHUI &amp; PIT'!$C27,#REF!)+SUMIF(#REF!,'SHUI &amp; PIT'!$C27,#REF!)-G29</f>
        <v>#REF!</v>
      </c>
      <c r="H27" s="28" t="e">
        <f>SUMIF(#REF!,'SHUI &amp; PIT'!$C27,#REF!)+SUMIF(#REF!,'SHUI &amp; PIT'!$C27,#REF!)-H29</f>
        <v>#REF!</v>
      </c>
      <c r="I27" s="29"/>
      <c r="J27" s="30"/>
      <c r="K27" s="31"/>
      <c r="L27" s="32" t="e">
        <f>ROUND(SUM(F27:H27),0)</f>
        <v>#REF!</v>
      </c>
    </row>
    <row r="28" spans="2:12" hidden="1">
      <c r="B28" s="26">
        <v>2</v>
      </c>
      <c r="C28" s="27" t="s">
        <v>32</v>
      </c>
      <c r="D28" s="27" t="e">
        <f>SUMIF(#REF!,'SHUI &amp; PIT'!$C28,#REF!)</f>
        <v>#REF!</v>
      </c>
      <c r="E28" s="27" t="e">
        <f>SUMIF(#REF!,'SHUI &amp; PIT'!$C28,#REF!)</f>
        <v>#REF!</v>
      </c>
      <c r="F28" s="28" t="e">
        <f>SUMIF(#REF!,'SHUI &amp; PIT'!$C28,#REF!)+SUMIF(#REF!,'SHUI &amp; PIT'!$C28,#REF!)</f>
        <v>#REF!</v>
      </c>
      <c r="G28" s="28" t="e">
        <f>SUMIF(#REF!,'SHUI &amp; PIT'!$C28,#REF!)+SUMIF(#REF!,'SHUI &amp; PIT'!$C28,#REF!)</f>
        <v>#REF!</v>
      </c>
      <c r="H28" s="28" t="e">
        <f>SUMIF(#REF!,'SHUI &amp; PIT'!$C28,#REF!)+SUMIF(#REF!,'SHUI &amp; PIT'!$C28,#REF!)</f>
        <v>#REF!</v>
      </c>
      <c r="I28" s="29"/>
      <c r="J28" s="30"/>
      <c r="K28" s="31"/>
      <c r="L28" s="32" t="e">
        <f>ROUND(SUM(F28:H28),0)</f>
        <v>#REF!</v>
      </c>
    </row>
    <row r="29" spans="2:12" hidden="1">
      <c r="B29" s="26">
        <v>3</v>
      </c>
      <c r="C29" s="27" t="s">
        <v>53</v>
      </c>
      <c r="D29" s="27" t="e">
        <f>SUMIF(#REF!,'SHUI &amp; PIT'!$C$21,#REF!)</f>
        <v>#REF!</v>
      </c>
      <c r="E29" s="27" t="e">
        <f>SUMIF(#REF!,'SHUI &amp; PIT'!$C$21,#REF!)</f>
        <v>#REF!</v>
      </c>
      <c r="F29" s="28" t="e">
        <f>SUMIF(#REF!,'SHUI &amp; PIT'!$C29,#REF!)+SUMIF(#REF!,'SHUI &amp; PIT'!$C29,#REF!)</f>
        <v>#REF!</v>
      </c>
      <c r="G29" s="28" t="e">
        <f>SUMIF(#REF!,'SHUI &amp; PIT'!$C29,#REF!)+SUMIF(#REF!,'SHUI &amp; PIT'!$C29,#REF!)</f>
        <v>#REF!</v>
      </c>
      <c r="H29" s="28" t="e">
        <f>SUMIF(#REF!,'SHUI &amp; PIT'!$C29,#REF!)+SUMIF(#REF!,'SHUI &amp; PIT'!$C29,#REF!)</f>
        <v>#REF!</v>
      </c>
      <c r="I29" s="29"/>
      <c r="J29" s="30"/>
      <c r="K29" s="31"/>
      <c r="L29" s="32" t="e">
        <f>ROUND(SUM(F29:H29),0)</f>
        <v>#REF!</v>
      </c>
    </row>
    <row r="30" spans="2:12" hidden="1">
      <c r="B30" s="151" t="s">
        <v>62</v>
      </c>
      <c r="C30" s="151"/>
      <c r="D30" s="151"/>
      <c r="E30" s="151"/>
      <c r="F30" s="151"/>
      <c r="G30" s="151"/>
      <c r="H30" s="151"/>
      <c r="I30" s="151"/>
      <c r="J30" s="151"/>
      <c r="K30" s="151"/>
      <c r="L30" s="33" t="e">
        <f>SUM(L27:L29)</f>
        <v>#REF!</v>
      </c>
    </row>
    <row r="31" spans="2:12" hidden="1"/>
    <row r="36" spans="2:5" hidden="1"/>
    <row r="37" spans="2:5" hidden="1"/>
    <row r="38" spans="2:5" ht="16" hidden="1" thickBot="1">
      <c r="B38" s="54"/>
      <c r="C38" s="55" t="s">
        <v>201</v>
      </c>
      <c r="D38" s="55" t="s">
        <v>202</v>
      </c>
      <c r="E38" s="55" t="s">
        <v>203</v>
      </c>
    </row>
    <row r="39" spans="2:5" ht="16" hidden="1" thickBot="1">
      <c r="B39" s="55" t="s">
        <v>187</v>
      </c>
      <c r="C39" s="56" t="s">
        <v>204</v>
      </c>
      <c r="D39" s="57" t="s">
        <v>205</v>
      </c>
      <c r="E39" s="57" t="s">
        <v>205</v>
      </c>
    </row>
    <row r="40" spans="2:5" ht="16" hidden="1" thickBot="1">
      <c r="B40" s="55" t="s">
        <v>206</v>
      </c>
      <c r="C40" s="58" t="s">
        <v>207</v>
      </c>
      <c r="D40" s="59" t="s">
        <v>208</v>
      </c>
      <c r="E40" s="59" t="s">
        <v>205</v>
      </c>
    </row>
    <row r="41" spans="2:5" ht="16" hidden="1" thickBot="1">
      <c r="B41" s="55" t="s">
        <v>188</v>
      </c>
      <c r="C41" s="58" t="s">
        <v>207</v>
      </c>
      <c r="D41" s="59" t="s">
        <v>208</v>
      </c>
      <c r="E41" s="59" t="s">
        <v>205</v>
      </c>
    </row>
    <row r="42" spans="2:5" ht="16" hidden="1" thickBot="1">
      <c r="B42" s="55" t="s">
        <v>209</v>
      </c>
      <c r="C42" s="58" t="s">
        <v>210</v>
      </c>
      <c r="D42" s="59" t="s">
        <v>208</v>
      </c>
      <c r="E42" s="59" t="s">
        <v>205</v>
      </c>
    </row>
    <row r="43" spans="2:5" ht="16" hidden="1" thickBot="1">
      <c r="B43" s="55" t="s">
        <v>211</v>
      </c>
      <c r="C43" s="58" t="s">
        <v>210</v>
      </c>
      <c r="D43" s="59" t="s">
        <v>208</v>
      </c>
      <c r="E43" s="59" t="s">
        <v>205</v>
      </c>
    </row>
    <row r="44" spans="2:5" ht="16" hidden="1" thickBot="1">
      <c r="B44" s="55" t="s">
        <v>212</v>
      </c>
      <c r="C44" s="58" t="s">
        <v>210</v>
      </c>
      <c r="D44" s="59" t="s">
        <v>208</v>
      </c>
      <c r="E44" s="59" t="s">
        <v>205</v>
      </c>
    </row>
    <row r="45" spans="2:5" ht="16" hidden="1" thickBot="1">
      <c r="B45" s="55" t="s">
        <v>213</v>
      </c>
      <c r="C45" s="58" t="s">
        <v>214</v>
      </c>
      <c r="D45" s="59" t="s">
        <v>208</v>
      </c>
      <c r="E45" s="59" t="s">
        <v>205</v>
      </c>
    </row>
    <row r="46" spans="2:5" ht="16" hidden="1" thickBot="1">
      <c r="B46" s="55" t="s">
        <v>215</v>
      </c>
      <c r="C46" s="58" t="s">
        <v>214</v>
      </c>
      <c r="D46" s="59" t="s">
        <v>208</v>
      </c>
      <c r="E46" s="59" t="s">
        <v>208</v>
      </c>
    </row>
    <row r="47" spans="2:5" ht="16" hidden="1" thickBot="1">
      <c r="B47" s="55" t="s">
        <v>216</v>
      </c>
      <c r="C47" s="58" t="s">
        <v>207</v>
      </c>
      <c r="D47" s="59" t="s">
        <v>208</v>
      </c>
      <c r="E47" s="59" t="s">
        <v>208</v>
      </c>
    </row>
    <row r="48" spans="2:5" ht="16" hidden="1" thickBot="1">
      <c r="B48" s="55" t="s">
        <v>217</v>
      </c>
      <c r="C48" s="58" t="s">
        <v>214</v>
      </c>
      <c r="D48" s="59" t="s">
        <v>208</v>
      </c>
      <c r="E48" s="59" t="s">
        <v>208</v>
      </c>
    </row>
    <row r="49" spans="2:5" ht="16" hidden="1" thickBot="1">
      <c r="B49" s="55" t="s">
        <v>218</v>
      </c>
      <c r="C49" s="56" t="s">
        <v>204</v>
      </c>
      <c r="D49" s="59" t="s">
        <v>208</v>
      </c>
      <c r="E49" s="59" t="s">
        <v>208</v>
      </c>
    </row>
    <row r="50" spans="2:5" ht="16" hidden="1" thickBot="1">
      <c r="B50" s="55" t="s">
        <v>219</v>
      </c>
      <c r="C50" s="56" t="s">
        <v>204</v>
      </c>
      <c r="D50" s="59" t="s">
        <v>208</v>
      </c>
      <c r="E50" s="59" t="s">
        <v>205</v>
      </c>
    </row>
    <row r="51" spans="2:5" ht="16" hidden="1" thickBot="1">
      <c r="B51" s="55" t="s">
        <v>220</v>
      </c>
      <c r="C51" s="58" t="s">
        <v>210</v>
      </c>
      <c r="D51" s="59" t="s">
        <v>208</v>
      </c>
      <c r="E51" s="59" t="s">
        <v>205</v>
      </c>
    </row>
    <row r="52" spans="2:5" hidden="1"/>
    <row r="53" spans="2:5" hidden="1"/>
  </sheetData>
  <mergeCells count="22">
    <mergeCell ref="K24:K25"/>
    <mergeCell ref="G16:G17"/>
    <mergeCell ref="B30:K30"/>
    <mergeCell ref="H16:H17"/>
    <mergeCell ref="I16:J16"/>
    <mergeCell ref="K16:K17"/>
    <mergeCell ref="L24:L25"/>
    <mergeCell ref="L16:L17"/>
    <mergeCell ref="B22:K22"/>
    <mergeCell ref="B24:B25"/>
    <mergeCell ref="C24:C25"/>
    <mergeCell ref="D24:D25"/>
    <mergeCell ref="E24:E25"/>
    <mergeCell ref="F24:F25"/>
    <mergeCell ref="B16:B17"/>
    <mergeCell ref="C16:C17"/>
    <mergeCell ref="D16:D17"/>
    <mergeCell ref="E16:E17"/>
    <mergeCell ref="F16:F17"/>
    <mergeCell ref="G24:G25"/>
    <mergeCell ref="H24:H25"/>
    <mergeCell ref="I24:J24"/>
  </mergeCells>
  <conditionalFormatting sqref="G10:G12">
    <cfRule type="cellIs" dxfId="19" priority="1" operator="equal">
      <formula>"Deepak Budhiraja"</formula>
    </cfRule>
    <cfRule type="cellIs" dxfId="18" priority="2" operator="equal">
      <formula>"Gautam Shah"</formula>
    </cfRule>
    <cfRule type="cellIs" dxfId="17" priority="3" operator="equal">
      <formula>"Larry Madge"</formula>
    </cfRule>
    <cfRule type="cellIs" dxfId="16" priority="4" operator="equal">
      <formula>"Yu Xuan Mark Tian"</formula>
    </cfRule>
    <cfRule type="cellIs" dxfId="15" priority="5" operator="equal">
      <formula>"Luc St-Amour"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-0.249977111117893"/>
  </sheetPr>
  <dimension ref="A1:CJ34"/>
  <sheetViews>
    <sheetView tabSelected="1" zoomScale="140" zoomScaleNormal="140" workbookViewId="0">
      <pane xSplit="2" ySplit="6" topLeftCell="BC7" activePane="bottomRight" state="frozen"/>
      <selection pane="topRight" activeCell="C1" sqref="C1"/>
      <selection pane="bottomLeft" activeCell="A7" sqref="A7"/>
      <selection pane="bottomRight" activeCell="BK23" sqref="BK23"/>
    </sheetView>
  </sheetViews>
  <sheetFormatPr baseColWidth="10" defaultColWidth="9.33203125" defaultRowHeight="12"/>
  <cols>
    <col min="1" max="1" width="12.33203125" style="71" bestFit="1" customWidth="1"/>
    <col min="2" max="2" width="25.5" style="1" bestFit="1" customWidth="1"/>
    <col min="3" max="4" width="16.6640625" style="1" customWidth="1"/>
    <col min="5" max="5" width="19.83203125" style="71" customWidth="1"/>
    <col min="6" max="6" width="18" style="1" bestFit="1" customWidth="1"/>
    <col min="7" max="13" width="13.33203125" style="1" customWidth="1"/>
    <col min="14" max="14" width="13.33203125" style="45" bestFit="1" customWidth="1"/>
    <col min="15" max="15" width="13.33203125" style="45" customWidth="1"/>
    <col min="16" max="16" width="26.5" style="1" bestFit="1" customWidth="1"/>
    <col min="17" max="30" width="13.33203125" style="1" customWidth="1"/>
    <col min="31" max="32" width="14" style="1" customWidth="1"/>
    <col min="33" max="34" width="13.33203125" style="1" customWidth="1"/>
    <col min="35" max="35" width="14.5" style="1" bestFit="1" customWidth="1"/>
    <col min="36" max="47" width="13.33203125" style="1" customWidth="1"/>
    <col min="48" max="48" width="15.5" style="1" bestFit="1" customWidth="1"/>
    <col min="49" max="54" width="13.33203125" style="1" customWidth="1"/>
    <col min="55" max="55" width="18.6640625" style="1" bestFit="1" customWidth="1"/>
    <col min="56" max="56" width="17.83203125" style="1" bestFit="1" customWidth="1"/>
    <col min="57" max="58" width="14.6640625" style="1" hidden="1" customWidth="1"/>
    <col min="59" max="62" width="13.33203125" style="1" customWidth="1"/>
    <col min="63" max="63" width="14" style="1" customWidth="1"/>
    <col min="64" max="64" width="13.33203125" style="1" customWidth="1"/>
    <col min="65" max="67" width="14" style="1" customWidth="1"/>
    <col min="68" max="69" width="13.33203125" style="1" customWidth="1"/>
    <col min="70" max="71" width="14" style="1" customWidth="1"/>
    <col min="72" max="72" width="18.83203125" style="1" customWidth="1"/>
    <col min="73" max="76" width="13.33203125" style="1" customWidth="1"/>
    <col min="77" max="77" width="14" style="1" customWidth="1"/>
    <col min="78" max="78" width="13.33203125" style="1" customWidth="1"/>
    <col min="79" max="79" width="14.6640625" style="1" customWidth="1"/>
    <col min="80" max="80" width="14" style="1" customWidth="1"/>
    <col min="81" max="81" width="13.83203125" style="1" customWidth="1"/>
    <col min="82" max="82" width="18.1640625" style="1" customWidth="1"/>
    <col min="83" max="83" width="15.5" style="1" customWidth="1"/>
    <col min="84" max="84" width="16.6640625" style="34" customWidth="1"/>
    <col min="85" max="86" width="13.33203125" style="34" customWidth="1"/>
    <col min="87" max="87" width="14.1640625" style="1" customWidth="1"/>
    <col min="88" max="88" width="16.6640625" style="34" customWidth="1"/>
    <col min="89" max="89" width="15.83203125" style="1" bestFit="1" customWidth="1"/>
    <col min="90" max="90" width="14.5" style="1" bestFit="1" customWidth="1"/>
    <col min="91" max="16384" width="9.33203125" style="1"/>
  </cols>
  <sheetData>
    <row r="1" spans="1:88">
      <c r="A1" s="71">
        <v>1</v>
      </c>
      <c r="B1" s="1">
        <v>2</v>
      </c>
      <c r="C1" s="1">
        <v>3</v>
      </c>
      <c r="D1" s="1">
        <v>4</v>
      </c>
      <c r="F1" s="1">
        <v>6</v>
      </c>
      <c r="G1" s="1">
        <v>7</v>
      </c>
      <c r="H1" s="1">
        <v>8</v>
      </c>
      <c r="I1" s="1">
        <v>9</v>
      </c>
      <c r="M1" s="1">
        <v>10</v>
      </c>
      <c r="N1" s="45">
        <v>11</v>
      </c>
      <c r="P1" s="1">
        <v>12</v>
      </c>
      <c r="W1" s="1">
        <v>17</v>
      </c>
      <c r="X1" s="1">
        <v>18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V1" s="1">
        <v>36</v>
      </c>
      <c r="AW1" s="1">
        <v>37</v>
      </c>
      <c r="AX1" s="1">
        <v>38</v>
      </c>
      <c r="BC1" s="1">
        <v>39</v>
      </c>
      <c r="BD1" s="1">
        <v>40</v>
      </c>
      <c r="BE1" s="1">
        <v>41</v>
      </c>
      <c r="BF1" s="1">
        <v>42</v>
      </c>
      <c r="BG1" s="1">
        <v>43</v>
      </c>
      <c r="BH1" s="1">
        <v>44</v>
      </c>
      <c r="BI1" s="1">
        <v>45</v>
      </c>
      <c r="BJ1" s="1">
        <v>46</v>
      </c>
      <c r="BK1" s="1">
        <v>47</v>
      </c>
      <c r="BL1" s="1">
        <v>48</v>
      </c>
      <c r="BM1" s="1">
        <v>49</v>
      </c>
      <c r="BN1" s="1">
        <v>50</v>
      </c>
      <c r="BO1" s="1">
        <v>51</v>
      </c>
      <c r="BP1" s="1">
        <v>52</v>
      </c>
      <c r="BQ1" s="1">
        <v>53</v>
      </c>
      <c r="BR1" s="1">
        <v>54</v>
      </c>
      <c r="BS1" s="1">
        <v>55</v>
      </c>
      <c r="BT1" s="1">
        <v>56</v>
      </c>
      <c r="BU1" s="1">
        <v>57</v>
      </c>
      <c r="BV1" s="1">
        <v>58</v>
      </c>
      <c r="BW1" s="1">
        <v>59</v>
      </c>
      <c r="BX1" s="1">
        <v>60</v>
      </c>
      <c r="BY1" s="1">
        <v>61</v>
      </c>
      <c r="BZ1" s="1">
        <v>62</v>
      </c>
      <c r="CA1" s="1">
        <v>63</v>
      </c>
      <c r="CB1" s="1">
        <v>64</v>
      </c>
      <c r="CC1" s="1">
        <v>65</v>
      </c>
      <c r="CD1" s="1">
        <v>66</v>
      </c>
      <c r="CF1" s="1">
        <v>67</v>
      </c>
      <c r="CG1" s="1">
        <v>68</v>
      </c>
      <c r="CH1" s="1"/>
      <c r="CI1" s="1">
        <v>73</v>
      </c>
      <c r="CJ1" s="1">
        <v>69</v>
      </c>
    </row>
    <row r="2" spans="1:88">
      <c r="Q2" s="1" t="s">
        <v>221</v>
      </c>
      <c r="R2" s="1" t="s">
        <v>222</v>
      </c>
      <c r="V2" s="1" t="s">
        <v>222</v>
      </c>
      <c r="BI2" s="1">
        <f>425700-29800000*1%</f>
        <v>127700</v>
      </c>
    </row>
    <row r="3" spans="1:88">
      <c r="C3" s="93">
        <v>45342</v>
      </c>
      <c r="G3" s="51" t="s">
        <v>85</v>
      </c>
      <c r="H3" s="1" t="s">
        <v>82</v>
      </c>
      <c r="I3" s="1" t="s">
        <v>84</v>
      </c>
      <c r="J3" s="51" t="s">
        <v>85</v>
      </c>
      <c r="K3" s="51" t="s">
        <v>85</v>
      </c>
      <c r="L3" s="51" t="s">
        <v>85</v>
      </c>
      <c r="P3" s="1" t="s">
        <v>86</v>
      </c>
      <c r="Q3" s="51" t="s">
        <v>85</v>
      </c>
      <c r="R3" s="1" t="s">
        <v>82</v>
      </c>
      <c r="S3" s="1" t="s">
        <v>84</v>
      </c>
      <c r="T3" s="51" t="s">
        <v>85</v>
      </c>
      <c r="U3" s="51" t="s">
        <v>85</v>
      </c>
      <c r="V3" s="51" t="s">
        <v>85</v>
      </c>
      <c r="AF3" s="1" t="s">
        <v>92</v>
      </c>
      <c r="BN3" s="1" t="s">
        <v>89</v>
      </c>
      <c r="BO3" s="1" t="s">
        <v>91</v>
      </c>
      <c r="CJ3" s="34" t="s">
        <v>90</v>
      </c>
    </row>
    <row r="4" spans="1:88" s="36" customFormat="1">
      <c r="A4" s="76"/>
      <c r="E4" s="76"/>
      <c r="F4" s="35">
        <f>SUM(F7:F26)</f>
        <v>371740000</v>
      </c>
      <c r="G4" s="35">
        <f>SUM(G7:G26)</f>
        <v>12420000</v>
      </c>
      <c r="H4" s="35">
        <f>SUM(H7:H26)</f>
        <v>9000000</v>
      </c>
      <c r="I4" s="35">
        <f>SUM(I7:I26)</f>
        <v>8893000</v>
      </c>
      <c r="J4" s="35"/>
      <c r="K4" s="35"/>
      <c r="L4" s="35"/>
      <c r="M4" s="35">
        <f>SUM(M7:M26)</f>
        <v>3850</v>
      </c>
      <c r="N4" s="47">
        <f>SUM(N7:N26)</f>
        <v>3726</v>
      </c>
      <c r="O4" s="47"/>
      <c r="P4" s="35">
        <f>SUM(P7:P26)</f>
        <v>364377500</v>
      </c>
      <c r="Q4" s="35">
        <f>SUM(Q7:Q26)</f>
        <v>8981250</v>
      </c>
      <c r="R4" s="35">
        <f>SUM(R7:R26)</f>
        <v>8677083.3333333321</v>
      </c>
      <c r="S4" s="35">
        <f>SUM(S7:S26)</f>
        <v>7001690.7216494819</v>
      </c>
      <c r="T4" s="35"/>
      <c r="U4" s="35"/>
      <c r="V4" s="35"/>
      <c r="W4" s="35">
        <f t="shared" ref="W4:AN4" si="0">SUM(W7:W26)</f>
        <v>0</v>
      </c>
      <c r="X4" s="35">
        <f t="shared" si="0"/>
        <v>7125000</v>
      </c>
      <c r="Y4" s="35">
        <f t="shared" si="0"/>
        <v>0</v>
      </c>
      <c r="Z4" s="35">
        <f t="shared" si="0"/>
        <v>0</v>
      </c>
      <c r="AA4" s="35">
        <f t="shared" si="0"/>
        <v>0</v>
      </c>
      <c r="AB4" s="35">
        <f t="shared" si="0"/>
        <v>0</v>
      </c>
      <c r="AC4" s="35">
        <f t="shared" si="0"/>
        <v>0</v>
      </c>
      <c r="AD4" s="35">
        <f t="shared" si="0"/>
        <v>0</v>
      </c>
      <c r="AE4" s="35">
        <f t="shared" si="0"/>
        <v>0</v>
      </c>
      <c r="AF4" s="35">
        <f t="shared" si="0"/>
        <v>0</v>
      </c>
      <c r="AG4" s="35">
        <f t="shared" si="0"/>
        <v>0</v>
      </c>
      <c r="AH4" s="35">
        <f t="shared" si="0"/>
        <v>9154628</v>
      </c>
      <c r="AI4" s="35">
        <f t="shared" si="0"/>
        <v>0</v>
      </c>
      <c r="AJ4" s="35">
        <f t="shared" si="0"/>
        <v>0</v>
      </c>
      <c r="AK4" s="35">
        <f t="shared" si="0"/>
        <v>0</v>
      </c>
      <c r="AL4" s="35">
        <f t="shared" si="0"/>
        <v>0</v>
      </c>
      <c r="AM4" s="35">
        <f t="shared" si="0"/>
        <v>0</v>
      </c>
      <c r="AN4" s="35">
        <f t="shared" si="0"/>
        <v>0</v>
      </c>
      <c r="AO4" s="36">
        <f t="shared" ref="AO4:AU4" si="1">SUM(AO7:AO139)</f>
        <v>52.239999999999995</v>
      </c>
      <c r="AP4" s="36">
        <f t="shared" si="1"/>
        <v>15.17</v>
      </c>
      <c r="AQ4" s="36">
        <f t="shared" si="1"/>
        <v>10.08</v>
      </c>
      <c r="AR4" s="36">
        <f t="shared" si="1"/>
        <v>0</v>
      </c>
      <c r="AS4" s="36">
        <f t="shared" si="1"/>
        <v>0</v>
      </c>
      <c r="AT4" s="36">
        <f t="shared" si="1"/>
        <v>0</v>
      </c>
      <c r="AU4" s="36">
        <f t="shared" si="1"/>
        <v>0</v>
      </c>
      <c r="AV4" s="35">
        <f>SUM(AV7:AV26)</f>
        <v>1723602.7384020619</v>
      </c>
      <c r="AW4" s="35">
        <f>SUM(AW7:AW26)</f>
        <v>1121649.4845360825</v>
      </c>
      <c r="AX4" s="35">
        <f>SUM(AX7:AX26)</f>
        <v>1989449.3234536082</v>
      </c>
      <c r="AY4" s="35"/>
      <c r="AZ4" s="35"/>
      <c r="BA4" s="35"/>
      <c r="BB4" s="35"/>
      <c r="BC4" s="35">
        <f t="shared" ref="BC4:CD4" si="2">SUM(BC7:BC26)</f>
        <v>5900702</v>
      </c>
      <c r="BD4" s="35">
        <f t="shared" si="2"/>
        <v>434751187.38831609</v>
      </c>
      <c r="BE4" s="35">
        <f t="shared" si="2"/>
        <v>0</v>
      </c>
      <c r="BF4" s="35">
        <f t="shared" si="2"/>
        <v>0</v>
      </c>
      <c r="BG4" s="35">
        <f t="shared" si="2"/>
        <v>27135200</v>
      </c>
      <c r="BH4" s="35">
        <f t="shared" si="2"/>
        <v>5087850</v>
      </c>
      <c r="BI4" s="35">
        <f t="shared" si="2"/>
        <v>3781900</v>
      </c>
      <c r="BJ4" s="35">
        <f t="shared" si="2"/>
        <v>36004950</v>
      </c>
      <c r="BK4" s="35">
        <f t="shared" si="2"/>
        <v>420000</v>
      </c>
      <c r="BL4" s="35">
        <f t="shared" si="2"/>
        <v>23</v>
      </c>
      <c r="BM4" s="35">
        <f t="shared" si="2"/>
        <v>321200000</v>
      </c>
      <c r="BN4" s="35">
        <f t="shared" si="2"/>
        <v>104644547</v>
      </c>
      <c r="BO4" s="35">
        <f t="shared" si="2"/>
        <v>12332847</v>
      </c>
      <c r="BP4" s="35">
        <f t="shared" si="2"/>
        <v>0</v>
      </c>
      <c r="BQ4" s="35">
        <f t="shared" si="2"/>
        <v>0</v>
      </c>
      <c r="BR4" s="35">
        <f t="shared" si="2"/>
        <v>0</v>
      </c>
      <c r="BS4" s="35">
        <f t="shared" si="2"/>
        <v>48757797</v>
      </c>
      <c r="BT4" s="35">
        <f t="shared" si="2"/>
        <v>385993390</v>
      </c>
      <c r="BU4" s="35">
        <f t="shared" si="2"/>
        <v>59358250</v>
      </c>
      <c r="BV4" s="35">
        <f t="shared" si="2"/>
        <v>10175700</v>
      </c>
      <c r="BW4" s="35">
        <f t="shared" si="2"/>
        <v>3781900</v>
      </c>
      <c r="BX4" s="35">
        <f t="shared" si="2"/>
        <v>0</v>
      </c>
      <c r="BY4" s="35">
        <f t="shared" si="2"/>
        <v>73315850</v>
      </c>
      <c r="BZ4" s="35">
        <f t="shared" si="2"/>
        <v>6783800</v>
      </c>
      <c r="CA4" s="35">
        <f t="shared" si="2"/>
        <v>514850837.38831609</v>
      </c>
      <c r="CB4" s="35">
        <f t="shared" si="2"/>
        <v>350590000</v>
      </c>
      <c r="CC4" s="35">
        <f t="shared" si="2"/>
        <v>389590000</v>
      </c>
      <c r="CD4" s="35">
        <f t="shared" si="2"/>
        <v>2461658</v>
      </c>
      <c r="CF4" s="35">
        <f>SUM(CF7:CF105)</f>
        <v>319000</v>
      </c>
      <c r="CG4" s="36">
        <f>SUM(CG7:CG26)</f>
        <v>21.32</v>
      </c>
      <c r="CH4" s="35"/>
      <c r="CJ4" s="35">
        <f>SUM(CJ7:CJ26)</f>
        <v>416610755.33333337</v>
      </c>
    </row>
    <row r="5" spans="1:88" s="43" customFormat="1" ht="39">
      <c r="A5" s="40" t="s">
        <v>0</v>
      </c>
      <c r="B5" s="40" t="s">
        <v>1</v>
      </c>
      <c r="C5" s="41" t="s">
        <v>2</v>
      </c>
      <c r="D5" s="41" t="s">
        <v>248</v>
      </c>
      <c r="E5" s="40" t="s">
        <v>130</v>
      </c>
      <c r="F5" s="40" t="s">
        <v>17</v>
      </c>
      <c r="G5" s="40" t="s">
        <v>199</v>
      </c>
      <c r="H5" s="40" t="s">
        <v>83</v>
      </c>
      <c r="I5" s="40" t="s">
        <v>198</v>
      </c>
      <c r="J5" s="40" t="s">
        <v>187</v>
      </c>
      <c r="K5" s="40" t="s">
        <v>188</v>
      </c>
      <c r="L5" s="40" t="s">
        <v>189</v>
      </c>
      <c r="M5" s="52" t="s">
        <v>200</v>
      </c>
      <c r="N5" s="53" t="s">
        <v>239</v>
      </c>
      <c r="O5" s="53" t="s">
        <v>240</v>
      </c>
      <c r="P5" s="53" t="s">
        <v>3</v>
      </c>
      <c r="Q5" s="52" t="s">
        <v>199</v>
      </c>
      <c r="R5" s="52" t="s">
        <v>83</v>
      </c>
      <c r="S5" s="52" t="s">
        <v>198</v>
      </c>
      <c r="T5" s="52" t="s">
        <v>187</v>
      </c>
      <c r="U5" s="52" t="s">
        <v>188</v>
      </c>
      <c r="V5" s="52" t="s">
        <v>189</v>
      </c>
      <c r="W5" s="40" t="s">
        <v>76</v>
      </c>
      <c r="X5" s="40" t="s">
        <v>4</v>
      </c>
      <c r="Y5" s="40" t="s">
        <v>68</v>
      </c>
      <c r="Z5" s="40" t="s">
        <v>5</v>
      </c>
      <c r="AA5" s="40" t="s">
        <v>66</v>
      </c>
      <c r="AB5" s="40" t="s">
        <v>6</v>
      </c>
      <c r="AC5" s="40" t="s">
        <v>71</v>
      </c>
      <c r="AD5" s="40" t="s">
        <v>7</v>
      </c>
      <c r="AE5" s="40" t="s">
        <v>87</v>
      </c>
      <c r="AF5" s="40" t="s">
        <v>78</v>
      </c>
      <c r="AG5" s="40" t="s">
        <v>48</v>
      </c>
      <c r="AH5" s="40" t="s">
        <v>47</v>
      </c>
      <c r="AI5" s="40" t="s">
        <v>46</v>
      </c>
      <c r="AJ5" s="40" t="s">
        <v>67</v>
      </c>
      <c r="AK5" s="40" t="s">
        <v>49</v>
      </c>
      <c r="AL5" s="40" t="s">
        <v>69</v>
      </c>
      <c r="AM5" s="40" t="s">
        <v>70</v>
      </c>
      <c r="AN5" s="40" t="s">
        <v>81</v>
      </c>
      <c r="AO5" s="52" t="s">
        <v>51</v>
      </c>
      <c r="AP5" s="52" t="s">
        <v>18</v>
      </c>
      <c r="AQ5" s="52" t="s">
        <v>52</v>
      </c>
      <c r="AR5" s="52" t="s">
        <v>223</v>
      </c>
      <c r="AS5" s="52" t="s">
        <v>224</v>
      </c>
      <c r="AT5" s="52" t="s">
        <v>225</v>
      </c>
      <c r="AU5" s="52" t="s">
        <v>226</v>
      </c>
      <c r="AV5" s="52" t="s">
        <v>227</v>
      </c>
      <c r="AW5" s="52" t="s">
        <v>228</v>
      </c>
      <c r="AX5" s="52" t="s">
        <v>229</v>
      </c>
      <c r="AY5" s="52" t="s">
        <v>230</v>
      </c>
      <c r="AZ5" s="52" t="s">
        <v>231</v>
      </c>
      <c r="BA5" s="52" t="s">
        <v>232</v>
      </c>
      <c r="BB5" s="52" t="s">
        <v>233</v>
      </c>
      <c r="BC5" s="40" t="s">
        <v>19</v>
      </c>
      <c r="BD5" s="40" t="s">
        <v>8</v>
      </c>
      <c r="BE5" s="40" t="s">
        <v>74</v>
      </c>
      <c r="BF5" s="40" t="s">
        <v>75</v>
      </c>
      <c r="BG5" s="40" t="s">
        <v>9</v>
      </c>
      <c r="BH5" s="40" t="s">
        <v>10</v>
      </c>
      <c r="BI5" s="40" t="s">
        <v>11</v>
      </c>
      <c r="BJ5" s="40" t="s">
        <v>25</v>
      </c>
      <c r="BK5" s="40" t="s">
        <v>80</v>
      </c>
      <c r="BL5" s="40" t="s">
        <v>21</v>
      </c>
      <c r="BM5" s="40" t="s">
        <v>22</v>
      </c>
      <c r="BN5" s="40" t="s">
        <v>50</v>
      </c>
      <c r="BO5" s="40" t="s">
        <v>12</v>
      </c>
      <c r="BP5" s="40" t="s">
        <v>13</v>
      </c>
      <c r="BQ5" s="40" t="s">
        <v>72</v>
      </c>
      <c r="BR5" s="40" t="s">
        <v>14</v>
      </c>
      <c r="BS5" s="40" t="s">
        <v>15</v>
      </c>
      <c r="BT5" s="44" t="s">
        <v>16</v>
      </c>
      <c r="BU5" s="40" t="s">
        <v>93</v>
      </c>
      <c r="BV5" s="40" t="s">
        <v>23</v>
      </c>
      <c r="BW5" s="40" t="s">
        <v>24</v>
      </c>
      <c r="BX5" s="40" t="s">
        <v>77</v>
      </c>
      <c r="BY5" s="40" t="s">
        <v>27</v>
      </c>
      <c r="BZ5" s="40" t="s">
        <v>94</v>
      </c>
      <c r="CA5" s="40" t="s">
        <v>28</v>
      </c>
      <c r="CB5" s="40" t="s">
        <v>29</v>
      </c>
      <c r="CC5" s="40" t="s">
        <v>30</v>
      </c>
      <c r="CD5" s="40" t="s">
        <v>20</v>
      </c>
      <c r="CE5" s="74" t="s">
        <v>238</v>
      </c>
      <c r="CF5" s="73" t="s">
        <v>235</v>
      </c>
      <c r="CG5" s="73" t="s">
        <v>236</v>
      </c>
      <c r="CH5" s="73" t="s">
        <v>237</v>
      </c>
      <c r="CI5" s="98" t="s">
        <v>258</v>
      </c>
      <c r="CJ5" s="42" t="s">
        <v>26</v>
      </c>
    </row>
    <row r="6" spans="1:88" s="103" customFormat="1" ht="29.25" customHeight="1">
      <c r="A6" s="99"/>
      <c r="B6" s="100"/>
      <c r="C6" s="101"/>
      <c r="D6" s="101"/>
      <c r="E6" s="99"/>
      <c r="F6" s="102">
        <f t="shared" ref="F6:AK6" si="3">SUBTOTAL(9,F7:F55)</f>
        <v>403960000</v>
      </c>
      <c r="G6" s="102">
        <f t="shared" si="3"/>
        <v>12420000</v>
      </c>
      <c r="H6" s="102">
        <f t="shared" si="3"/>
        <v>9700000</v>
      </c>
      <c r="I6" s="102">
        <f t="shared" si="3"/>
        <v>8893000</v>
      </c>
      <c r="J6" s="102">
        <f t="shared" si="3"/>
        <v>19170000</v>
      </c>
      <c r="K6" s="102">
        <f t="shared" si="3"/>
        <v>4400000</v>
      </c>
      <c r="L6" s="102">
        <f t="shared" si="3"/>
        <v>2500000</v>
      </c>
      <c r="M6" s="102">
        <f t="shared" si="3"/>
        <v>4428</v>
      </c>
      <c r="N6" s="102">
        <f t="shared" si="3"/>
        <v>4304</v>
      </c>
      <c r="O6" s="102">
        <f t="shared" si="3"/>
        <v>3192.63</v>
      </c>
      <c r="P6" s="102">
        <f t="shared" si="3"/>
        <v>396597500</v>
      </c>
      <c r="Q6" s="102">
        <f t="shared" si="3"/>
        <v>8981250</v>
      </c>
      <c r="R6" s="102">
        <f t="shared" si="3"/>
        <v>9377083.3333333321</v>
      </c>
      <c r="S6" s="102">
        <f t="shared" si="3"/>
        <v>7001690.7216494819</v>
      </c>
      <c r="T6" s="102">
        <f t="shared" si="3"/>
        <v>17850000</v>
      </c>
      <c r="U6" s="102">
        <f t="shared" si="3"/>
        <v>3183333.333333333</v>
      </c>
      <c r="V6" s="102">
        <f t="shared" si="3"/>
        <v>2500000</v>
      </c>
      <c r="W6" s="102">
        <f t="shared" si="3"/>
        <v>0</v>
      </c>
      <c r="X6" s="102">
        <f t="shared" si="3"/>
        <v>7125000</v>
      </c>
      <c r="Y6" s="102">
        <f t="shared" si="3"/>
        <v>0</v>
      </c>
      <c r="Z6" s="102">
        <f t="shared" si="3"/>
        <v>0</v>
      </c>
      <c r="AA6" s="102">
        <f t="shared" si="3"/>
        <v>0</v>
      </c>
      <c r="AB6" s="102">
        <f t="shared" si="3"/>
        <v>0</v>
      </c>
      <c r="AC6" s="102">
        <f t="shared" si="3"/>
        <v>0</v>
      </c>
      <c r="AD6" s="102">
        <f t="shared" si="3"/>
        <v>0</v>
      </c>
      <c r="AE6" s="102">
        <f t="shared" si="3"/>
        <v>0</v>
      </c>
      <c r="AF6" s="102">
        <f t="shared" si="3"/>
        <v>0</v>
      </c>
      <c r="AG6" s="102">
        <f t="shared" si="3"/>
        <v>0</v>
      </c>
      <c r="AH6" s="102">
        <f t="shared" si="3"/>
        <v>9154628</v>
      </c>
      <c r="AI6" s="102">
        <f t="shared" si="3"/>
        <v>0</v>
      </c>
      <c r="AJ6" s="102">
        <f t="shared" si="3"/>
        <v>0</v>
      </c>
      <c r="AK6" s="102">
        <f t="shared" si="3"/>
        <v>0</v>
      </c>
      <c r="AL6" s="102">
        <f t="shared" ref="AL6:BQ6" si="4">SUBTOTAL(9,AL7:AL55)</f>
        <v>0</v>
      </c>
      <c r="AM6" s="102">
        <f t="shared" si="4"/>
        <v>0</v>
      </c>
      <c r="AN6" s="102">
        <f t="shared" si="4"/>
        <v>0</v>
      </c>
      <c r="AO6" s="102">
        <f t="shared" si="4"/>
        <v>52.239999999999995</v>
      </c>
      <c r="AP6" s="102">
        <f t="shared" si="4"/>
        <v>15.17</v>
      </c>
      <c r="AQ6" s="102">
        <f t="shared" si="4"/>
        <v>10.08</v>
      </c>
      <c r="AR6" s="102">
        <f t="shared" si="4"/>
        <v>0</v>
      </c>
      <c r="AS6" s="102">
        <f t="shared" si="4"/>
        <v>0</v>
      </c>
      <c r="AT6" s="102">
        <f t="shared" si="4"/>
        <v>0</v>
      </c>
      <c r="AU6" s="102">
        <f t="shared" si="4"/>
        <v>0</v>
      </c>
      <c r="AV6" s="102">
        <f t="shared" si="4"/>
        <v>4386710.1643041242</v>
      </c>
      <c r="AW6" s="102">
        <f t="shared" si="4"/>
        <v>2137276.2886597938</v>
      </c>
      <c r="AX6" s="102">
        <f t="shared" si="4"/>
        <v>1989449.3234536082</v>
      </c>
      <c r="AY6" s="102">
        <f t="shared" si="4"/>
        <v>0</v>
      </c>
      <c r="AZ6" s="102">
        <f t="shared" si="4"/>
        <v>0</v>
      </c>
      <c r="BA6" s="102">
        <f t="shared" si="4"/>
        <v>0</v>
      </c>
      <c r="BB6" s="102">
        <f t="shared" si="4"/>
        <v>0</v>
      </c>
      <c r="BC6" s="102">
        <f t="shared" si="4"/>
        <v>9579436</v>
      </c>
      <c r="BD6" s="102">
        <f t="shared" si="4"/>
        <v>471349921.38831609</v>
      </c>
      <c r="BE6" s="102">
        <f t="shared" si="4"/>
        <v>0</v>
      </c>
      <c r="BF6" s="102">
        <f t="shared" si="4"/>
        <v>0</v>
      </c>
      <c r="BG6" s="102">
        <f t="shared" si="4"/>
        <v>29712800</v>
      </c>
      <c r="BH6" s="102">
        <f t="shared" si="4"/>
        <v>5571150</v>
      </c>
      <c r="BI6" s="102">
        <f t="shared" si="4"/>
        <v>4104100</v>
      </c>
      <c r="BJ6" s="102">
        <f t="shared" si="4"/>
        <v>39388050</v>
      </c>
      <c r="BK6" s="102">
        <f t="shared" si="4"/>
        <v>420000</v>
      </c>
      <c r="BL6" s="102">
        <f t="shared" si="4"/>
        <v>28</v>
      </c>
      <c r="BM6" s="102">
        <f t="shared" si="4"/>
        <v>376200000</v>
      </c>
      <c r="BN6" s="102">
        <f t="shared" si="4"/>
        <v>104644547</v>
      </c>
      <c r="BO6" s="102">
        <f t="shared" si="4"/>
        <v>12332847</v>
      </c>
      <c r="BP6" s="102">
        <f t="shared" si="4"/>
        <v>0</v>
      </c>
      <c r="BQ6" s="102">
        <f t="shared" si="4"/>
        <v>0</v>
      </c>
      <c r="BR6" s="102">
        <f t="shared" ref="BR6:CJ6" si="5">SUBTOTAL(9,BR7:BR55)</f>
        <v>0</v>
      </c>
      <c r="BS6" s="102">
        <f t="shared" si="5"/>
        <v>52140897</v>
      </c>
      <c r="BT6" s="102">
        <f t="shared" si="5"/>
        <v>419209024</v>
      </c>
      <c r="BU6" s="102">
        <f t="shared" si="5"/>
        <v>64996750</v>
      </c>
      <c r="BV6" s="102">
        <f t="shared" si="5"/>
        <v>11142300</v>
      </c>
      <c r="BW6" s="102">
        <f t="shared" si="5"/>
        <v>4104100</v>
      </c>
      <c r="BX6" s="102">
        <f t="shared" si="5"/>
        <v>0</v>
      </c>
      <c r="BY6" s="102">
        <f t="shared" si="5"/>
        <v>80243150</v>
      </c>
      <c r="BZ6" s="102">
        <f t="shared" si="5"/>
        <v>7428200</v>
      </c>
      <c r="CA6" s="102">
        <f t="shared" si="5"/>
        <v>559021271.38831615</v>
      </c>
      <c r="CB6" s="102">
        <f t="shared" si="5"/>
        <v>382810000</v>
      </c>
      <c r="CC6" s="102">
        <f t="shared" si="5"/>
        <v>421810000</v>
      </c>
      <c r="CD6" s="102">
        <f t="shared" si="5"/>
        <v>3857174</v>
      </c>
      <c r="CE6" s="102">
        <f t="shared" si="5"/>
        <v>5722262</v>
      </c>
      <c r="CF6" s="102">
        <f t="shared" si="5"/>
        <v>319000</v>
      </c>
      <c r="CG6" s="102">
        <f t="shared" si="5"/>
        <v>21.32</v>
      </c>
      <c r="CH6" s="102">
        <f t="shared" si="5"/>
        <v>1066000</v>
      </c>
      <c r="CI6" s="102">
        <f t="shared" si="5"/>
        <v>0</v>
      </c>
      <c r="CJ6" s="102">
        <f t="shared" si="5"/>
        <v>451113973.33333337</v>
      </c>
    </row>
    <row r="7" spans="1:88" ht="15" customHeight="1">
      <c r="A7" s="14" t="s">
        <v>105</v>
      </c>
      <c r="B7" s="15"/>
      <c r="C7" s="117">
        <v>42461</v>
      </c>
      <c r="D7" s="94">
        <f>DATEDIF(C7,$C$3,"D")</f>
        <v>2881</v>
      </c>
      <c r="E7" s="50" t="s">
        <v>132</v>
      </c>
      <c r="F7" s="38">
        <v>15710000</v>
      </c>
      <c r="G7" s="38">
        <v>0</v>
      </c>
      <c r="H7" s="38">
        <v>300000</v>
      </c>
      <c r="I7" s="38">
        <v>680000</v>
      </c>
      <c r="J7" s="38">
        <v>0</v>
      </c>
      <c r="K7" s="38">
        <v>0</v>
      </c>
      <c r="L7" s="38">
        <v>0</v>
      </c>
      <c r="M7" s="38">
        <f>_xlfn.XLOOKUP(A7,Main!$B$13:$B$1048576,Main!$D$13:$D$1048576,0,0)*8</f>
        <v>194</v>
      </c>
      <c r="N7" s="48">
        <f>_xlfn.XLOOKUP(A7,Main!$B$13:$B$1048576,Main!$BQ$13:$BQ$1048576,0,0)</f>
        <v>194</v>
      </c>
      <c r="O7" s="48">
        <f>_xlfn.XLOOKUP(A7,Main!$B$13:$B$1048576,Main!$BR$13:$BR$1048576,0,0)</f>
        <v>134</v>
      </c>
      <c r="P7" s="39">
        <f>ROUND(F7/M7*N7,0)</f>
        <v>15710000</v>
      </c>
      <c r="Q7" s="38">
        <f>G7/M7*O7</f>
        <v>0</v>
      </c>
      <c r="R7" s="38">
        <f t="shared" ref="R7:R29" si="6">IF(D7&gt;=(M7/8),H7,H7/M7*N7)</f>
        <v>300000</v>
      </c>
      <c r="S7" s="38">
        <f t="shared" ref="S7:S29" si="7">IF(CI7="N",26500*(ROUND(O7/8,0)),(I7/M7*O7)-CF7)</f>
        <v>150690.72164948453</v>
      </c>
      <c r="T7" s="38">
        <f>J7</f>
        <v>0</v>
      </c>
      <c r="U7" s="38">
        <f>K7/M7*O7</f>
        <v>0</v>
      </c>
      <c r="V7" s="38">
        <f t="shared" ref="V7:V29" si="8">IF(D7&gt;=(M7/8),L7,L7/M7*N7)</f>
        <v>0</v>
      </c>
      <c r="W7" s="38"/>
      <c r="X7" s="38"/>
      <c r="Y7" s="38"/>
      <c r="Z7" s="38"/>
      <c r="AA7" s="38"/>
      <c r="AB7" s="38"/>
      <c r="AC7" s="38"/>
      <c r="AD7" s="38"/>
      <c r="AE7" s="38" t="s">
        <v>88</v>
      </c>
      <c r="AF7" s="39"/>
      <c r="AG7" s="38"/>
      <c r="AH7" s="38"/>
      <c r="AI7" s="38"/>
      <c r="AJ7" s="38"/>
      <c r="AK7" s="38"/>
      <c r="AL7" s="38"/>
      <c r="AM7" s="38"/>
      <c r="AN7" s="38"/>
      <c r="AO7" s="38">
        <f>_xlfn.XLOOKUP($A7,Main!$B$13:$B$35,Main!BU$13:BU$35,0,0)</f>
        <v>0</v>
      </c>
      <c r="AP7" s="38">
        <f>_xlfn.XLOOKUP($A7,Main!$B$13:$B$35,Main!BV$13:BV$35,0,0)</f>
        <v>0</v>
      </c>
      <c r="AQ7" s="38">
        <f>_xlfn.XLOOKUP($A7,Main!$B$13:$B$35,Main!BW$13:BW$35,0,0)</f>
        <v>0</v>
      </c>
      <c r="AR7" s="38">
        <f>_xlfn.XLOOKUP($A7,Main!$B$13:$B$35,Main!BX$13:BX$35,0,0)</f>
        <v>0</v>
      </c>
      <c r="AS7" s="38">
        <f>_xlfn.XLOOKUP($A7,Main!$B$13:$B$35,Main!BY$13:BY$35,0,0)</f>
        <v>0</v>
      </c>
      <c r="AT7" s="38">
        <f>_xlfn.XLOOKUP($A7,Main!$B$13:$B$35,Main!BZ$13:BZ$35,0,0)</f>
        <v>0</v>
      </c>
      <c r="AU7" s="38">
        <f>_xlfn.XLOOKUP($A7,Main!$B$13:$B$35,Main!CA$13:CA$35,0,0)</f>
        <v>0</v>
      </c>
      <c r="AV7" s="38">
        <f t="shared" ref="AV7:AV29" si="9">$F7/$M7*AO7*150%</f>
        <v>0</v>
      </c>
      <c r="AW7" s="38">
        <f t="shared" ref="AW7:AW29" si="10">$F7/$M7*AP7*200%</f>
        <v>0</v>
      </c>
      <c r="AX7" s="38">
        <f t="shared" ref="AX7:AX29" si="11">$F7/$M7*AQ7*300%</f>
        <v>0</v>
      </c>
      <c r="AY7" s="38">
        <f t="shared" ref="AY7:AY29" si="12">$F7/$M7*AR7*30%</f>
        <v>0</v>
      </c>
      <c r="AZ7" s="38">
        <f t="shared" ref="AZ7:AZ29" si="13">$F7/$M7*AS7*210%</f>
        <v>0</v>
      </c>
      <c r="BA7" s="38">
        <f t="shared" ref="BA7:BA29" si="14">$F7/$M7*AT7*270%</f>
        <v>0</v>
      </c>
      <c r="BB7" s="38">
        <f t="shared" ref="BB7:BB29" si="15">$F7/$M7*AU7*390%</f>
        <v>0</v>
      </c>
      <c r="BC7" s="39">
        <f>ROUND(SUM(AV7:BB7)+CH7,0)</f>
        <v>558000</v>
      </c>
      <c r="BD7" s="39">
        <f t="shared" ref="BD7:BD29" si="16">SUM(P7:AN7)+BC7</f>
        <v>16718690.721649485</v>
      </c>
      <c r="BE7" s="38"/>
      <c r="BF7" s="38"/>
      <c r="BG7" s="39">
        <f>ROUND($CB7*'SHUI &amp; PIT'!$F$11,0)</f>
        <v>1256800</v>
      </c>
      <c r="BH7" s="39">
        <f>ROUND($CB7*'SHUI &amp; PIT'!$G$11,0)</f>
        <v>235650</v>
      </c>
      <c r="BI7" s="39">
        <f>ROUND($CC7*'SHUI &amp; PIT'!$H$11,0)</f>
        <v>157100</v>
      </c>
      <c r="BJ7" s="39">
        <f>SUM(BG7:BI7)</f>
        <v>1649550</v>
      </c>
      <c r="BK7" s="39">
        <f t="shared" ref="BK7:BK18" si="17">IF(E7="La Nga",0,IF(E7="HCM",35000,IF(AE7="YES",IF($BG7&gt;0,ROUND(MIN($CB7*1%,180000),0),0),0)))</f>
        <v>35000</v>
      </c>
      <c r="BL7" s="38">
        <f>VLOOKUP(A7,'[1]Payroll master '!B$12:AD$160,29,0)</f>
        <v>0</v>
      </c>
      <c r="BM7" s="39">
        <f>11000000+4400000*BL7</f>
        <v>11000000</v>
      </c>
      <c r="BN7" s="39">
        <f t="shared" ref="BN7:BN15" si="18">ROUND(IF((CJ7-BJ7-BM7-BR7)&lt;0,0,(CJ7-BJ7-BM7-BR7)),0)</f>
        <v>3618450</v>
      </c>
      <c r="BO7" s="39">
        <f>ROUND((VLOOKUP(BN7,'SHUI &amp; PIT'!$A$1:$C$8,2,1)*BN7-VLOOKUP(BN7,'SHUI &amp; PIT'!$A$1:$C$8,3,1)),0)</f>
        <v>180923</v>
      </c>
      <c r="BP7" s="38">
        <f>Y7</f>
        <v>0</v>
      </c>
      <c r="BQ7" s="38"/>
      <c r="BR7" s="38"/>
      <c r="BS7" s="39">
        <f t="shared" ref="BS7:BS15" si="19">BJ7+BO7+BP7+BR7+BE7+BF7+BQ7+BK7</f>
        <v>1865473</v>
      </c>
      <c r="BT7" s="39">
        <f t="shared" ref="BT7:BT15" si="20">ROUND(IF((BD7-BS7)&lt;0,0,(BD7-BS7)),0)</f>
        <v>14853218</v>
      </c>
      <c r="BU7" s="39">
        <f>ROUND($CB7*'SHUI &amp; PIT'!$F$12,0)</f>
        <v>2749250</v>
      </c>
      <c r="BV7" s="39">
        <f>ROUND($CB7*'SHUI &amp; PIT'!$G$12,0)</f>
        <v>471300</v>
      </c>
      <c r="BW7" s="39">
        <f>ROUND($CC7*'SHUI &amp; PIT'!$H$12,0)</f>
        <v>157100</v>
      </c>
      <c r="BX7" s="38"/>
      <c r="BY7" s="39">
        <f t="shared" ref="BY7:BY15" si="21">SUM(BU7:BX7)</f>
        <v>3377650</v>
      </c>
      <c r="BZ7" s="39">
        <f>IF(BU7&gt;0,ROUND($CB7*'SHUI &amp; PIT'!$I$12,0),0)</f>
        <v>314200</v>
      </c>
      <c r="CA7" s="39">
        <f t="shared" ref="CA7:CA15" si="22">BD7+BY7-AC7+BZ7-BQ7</f>
        <v>20410540.721649483</v>
      </c>
      <c r="CB7" s="39">
        <f>IF(($F7+$T7)&gt;='SHUI &amp; PIT'!$C$12,'SHUI &amp; PIT'!$C$12,($F7+$T7))</f>
        <v>15710000</v>
      </c>
      <c r="CC7" s="39">
        <f>IF(($F7+$T7)&gt;='SHUI &amp; PIT'!$C$13,'SHUI &amp; PIT'!$C$13,($F7+$T7))</f>
        <v>15710000</v>
      </c>
      <c r="CD7" s="39">
        <f t="shared" ref="CD7:CD29" si="23">ROUND(($F7/M7)*($AO7*0.5+$AP7+$AQ7*2+AR7*0.3+AS7*1.1+AT7*1.7+AU7*2.9),0)</f>
        <v>0</v>
      </c>
      <c r="CE7" s="1">
        <f>BC7-CD7</f>
        <v>558000</v>
      </c>
      <c r="CF7" s="9">
        <f>_xlfn.XLOOKUP(A7,'[2]Termination and others'!B$12:B$33,'[2]Termination and others'!F$12:F$33,0,0)</f>
        <v>319000</v>
      </c>
      <c r="CG7" s="116">
        <f>VLOOKUP(A7,Main!$B$13:$BN$405,65,0)</f>
        <v>11.16</v>
      </c>
      <c r="CH7" s="9">
        <f t="shared" ref="CH7:CH29" si="24">IF(50000&lt;F7/M7,50000,F7/M7)*CG7</f>
        <v>558000</v>
      </c>
      <c r="CI7" s="90"/>
      <c r="CJ7" s="16">
        <f t="shared" ref="CJ7:CJ29" si="25">BD7-R7-S7-AK7-CD7-AC7-BE7-BF7-BQ7</f>
        <v>16268000</v>
      </c>
    </row>
    <row r="8" spans="1:88" ht="15" customHeight="1">
      <c r="A8" s="14" t="s">
        <v>106</v>
      </c>
      <c r="B8" s="15"/>
      <c r="C8" s="117">
        <v>43399</v>
      </c>
      <c r="D8" s="94">
        <f t="shared" ref="D8:D25" si="26">DATEDIF(C8,$C$3,"D")</f>
        <v>1943</v>
      </c>
      <c r="E8" s="50" t="s">
        <v>132</v>
      </c>
      <c r="F8" s="38">
        <v>19510000</v>
      </c>
      <c r="G8" s="38">
        <v>1200000</v>
      </c>
      <c r="H8" s="38">
        <v>500000</v>
      </c>
      <c r="I8" s="38">
        <v>680000</v>
      </c>
      <c r="J8" s="38">
        <v>0</v>
      </c>
      <c r="K8" s="38">
        <v>400000</v>
      </c>
      <c r="L8" s="38">
        <v>500000</v>
      </c>
      <c r="M8" s="38">
        <f>_xlfn.XLOOKUP(A8,Main!$B$13:$B$1048576,Main!$D$13:$D$1048576,0,0)*8</f>
        <v>192</v>
      </c>
      <c r="N8" s="48">
        <f>_xlfn.XLOOKUP(A8,Main!$B$13:$B$1048576,Main!$BQ$13:$BQ$1048576,0,0)</f>
        <v>192</v>
      </c>
      <c r="O8" s="48">
        <f>_xlfn.XLOOKUP(A8,Main!$B$13:$B$1048576,Main!$BR$13:$BR$1048576,0,0)</f>
        <v>152</v>
      </c>
      <c r="P8" s="39">
        <f t="shared" ref="P8:P24" si="27">ROUND(F8/M8*N8,0)</f>
        <v>19510000</v>
      </c>
      <c r="Q8" s="38">
        <f t="shared" ref="Q8:Q25" si="28">G8/M8*O8</f>
        <v>950000</v>
      </c>
      <c r="R8" s="38">
        <f t="shared" si="6"/>
        <v>500000</v>
      </c>
      <c r="S8" s="38">
        <f t="shared" si="7"/>
        <v>538333.33333333326</v>
      </c>
      <c r="T8" s="38">
        <f t="shared" ref="T8:T25" si="29">J8</f>
        <v>0</v>
      </c>
      <c r="U8" s="38">
        <f t="shared" ref="U8:U25" si="30">K8/M8*O8</f>
        <v>316666.66666666669</v>
      </c>
      <c r="V8" s="38">
        <f t="shared" si="8"/>
        <v>500000</v>
      </c>
      <c r="W8" s="38"/>
      <c r="X8" s="38"/>
      <c r="Y8" s="38"/>
      <c r="Z8" s="38"/>
      <c r="AA8" s="38"/>
      <c r="AB8" s="38"/>
      <c r="AC8" s="38"/>
      <c r="AD8" s="38"/>
      <c r="AE8" s="38" t="s">
        <v>88</v>
      </c>
      <c r="AF8" s="39"/>
      <c r="AG8" s="38"/>
      <c r="AH8" s="38"/>
      <c r="AI8" s="38"/>
      <c r="AJ8" s="38"/>
      <c r="AK8" s="38"/>
      <c r="AL8" s="38"/>
      <c r="AM8" s="38"/>
      <c r="AN8" s="38"/>
      <c r="AO8" s="38">
        <f>_xlfn.XLOOKUP($A8,Main!$B$13:$B$35,Main!BU$13:BU$35,0,0)</f>
        <v>0</v>
      </c>
      <c r="AP8" s="38">
        <f>_xlfn.XLOOKUP($A8,Main!$B$13:$B$35,Main!BV$13:BV$35,0,0)</f>
        <v>0</v>
      </c>
      <c r="AQ8" s="38">
        <f>_xlfn.XLOOKUP($A8,Main!$B$13:$B$35,Main!BW$13:BW$35,0,0)</f>
        <v>0</v>
      </c>
      <c r="AR8" s="38">
        <f>_xlfn.XLOOKUP($A8,Main!$B$13:$B$35,Main!BX$13:BX$35,0,0)</f>
        <v>0</v>
      </c>
      <c r="AS8" s="38">
        <f>_xlfn.XLOOKUP($A8,Main!$B$13:$B$35,Main!BY$13:BY$35,0,0)</f>
        <v>0</v>
      </c>
      <c r="AT8" s="38">
        <f>_xlfn.XLOOKUP($A8,Main!$B$13:$B$35,Main!BZ$13:BZ$35,0,0)</f>
        <v>0</v>
      </c>
      <c r="AU8" s="38">
        <f>_xlfn.XLOOKUP($A8,Main!$B$13:$B$35,Main!CA$13:CA$35,0,0)</f>
        <v>0</v>
      </c>
      <c r="AV8" s="38">
        <f t="shared" si="9"/>
        <v>0</v>
      </c>
      <c r="AW8" s="38">
        <f t="shared" si="10"/>
        <v>0</v>
      </c>
      <c r="AX8" s="38">
        <f t="shared" si="11"/>
        <v>0</v>
      </c>
      <c r="AY8" s="38">
        <f t="shared" si="12"/>
        <v>0</v>
      </c>
      <c r="AZ8" s="38">
        <f t="shared" si="13"/>
        <v>0</v>
      </c>
      <c r="BA8" s="38">
        <f t="shared" si="14"/>
        <v>0</v>
      </c>
      <c r="BB8" s="38">
        <f t="shared" si="15"/>
        <v>0</v>
      </c>
      <c r="BC8" s="39">
        <f t="shared" ref="BC8:BC24" si="31">ROUND(SUM(AV8:BB8)+CH8,0)</f>
        <v>0</v>
      </c>
      <c r="BD8" s="39">
        <f t="shared" si="16"/>
        <v>22315000</v>
      </c>
      <c r="BE8" s="38"/>
      <c r="BF8" s="38"/>
      <c r="BG8" s="39">
        <f>ROUND($CB8*'SHUI &amp; PIT'!$F$11,0)</f>
        <v>1560800</v>
      </c>
      <c r="BH8" s="39">
        <f>ROUND($CB8*'SHUI &amp; PIT'!$G$11,0)</f>
        <v>292650</v>
      </c>
      <c r="BI8" s="39">
        <f>ROUND($CC8*'SHUI &amp; PIT'!$H$11,0)</f>
        <v>195100</v>
      </c>
      <c r="BJ8" s="39">
        <f t="shared" ref="BJ8:BJ24" si="32">SUM(BG8:BI8)</f>
        <v>2048550</v>
      </c>
      <c r="BK8" s="39">
        <f t="shared" si="17"/>
        <v>35000</v>
      </c>
      <c r="BL8" s="38">
        <f>VLOOKUP(A8,'[1]Payroll master '!B$12:AD$160,29,0)</f>
        <v>4</v>
      </c>
      <c r="BM8" s="39">
        <f t="shared" ref="BM8:BM25" si="33">11000000+4400000*BL8</f>
        <v>28600000</v>
      </c>
      <c r="BN8" s="39">
        <f t="shared" si="18"/>
        <v>0</v>
      </c>
      <c r="BO8" s="39">
        <f>ROUND((VLOOKUP(BN8,'SHUI &amp; PIT'!$A$1:$C$8,2,1)*BN8-VLOOKUP(BN8,'SHUI &amp; PIT'!$A$1:$C$8,3,1)),0)</f>
        <v>0</v>
      </c>
      <c r="BP8" s="38">
        <f t="shared" ref="BP8:BP24" si="34">Y8</f>
        <v>0</v>
      </c>
      <c r="BQ8" s="38"/>
      <c r="BR8" s="38"/>
      <c r="BS8" s="39">
        <f t="shared" si="19"/>
        <v>2083550</v>
      </c>
      <c r="BT8" s="39">
        <f t="shared" si="20"/>
        <v>20231450</v>
      </c>
      <c r="BU8" s="39">
        <f>ROUND($CB8*'SHUI &amp; PIT'!$F$12,0)</f>
        <v>3414250</v>
      </c>
      <c r="BV8" s="39">
        <f>ROUND($CB8*'SHUI &amp; PIT'!$G$12,0)</f>
        <v>585300</v>
      </c>
      <c r="BW8" s="39">
        <f>ROUND($CC8*'SHUI &amp; PIT'!$H$12,0)</f>
        <v>195100</v>
      </c>
      <c r="BX8" s="38"/>
      <c r="BY8" s="39">
        <f t="shared" si="21"/>
        <v>4194650</v>
      </c>
      <c r="BZ8" s="39">
        <f>IF(BU8&gt;0,ROUND($CB8*'SHUI &amp; PIT'!$I$12,0),0)</f>
        <v>390200</v>
      </c>
      <c r="CA8" s="39">
        <f t="shared" si="22"/>
        <v>26899850</v>
      </c>
      <c r="CB8" s="39">
        <f>IF(($F8+$T8)&gt;='SHUI &amp; PIT'!$C$12,'SHUI &amp; PIT'!$C$12,($F8+$T8))</f>
        <v>19510000</v>
      </c>
      <c r="CC8" s="39">
        <f>IF(($F8+$T8)&gt;='SHUI &amp; PIT'!$C$13,'SHUI &amp; PIT'!$C$13,($F8+$T8))</f>
        <v>19510000</v>
      </c>
      <c r="CD8" s="39">
        <f t="shared" si="23"/>
        <v>0</v>
      </c>
      <c r="CE8" s="1">
        <f t="shared" ref="CE8:CE24" si="35">BC8-CD8</f>
        <v>0</v>
      </c>
      <c r="CF8" s="9">
        <f>_xlfn.XLOOKUP(A8,'[2]Termination and others'!B$12:B$33,'[2]Termination and others'!F$12:F$33,0,0)</f>
        <v>0</v>
      </c>
      <c r="CG8" s="116">
        <f>VLOOKUP(A8,Main!$B$13:$BN$405,65,0)</f>
        <v>0</v>
      </c>
      <c r="CH8" s="9">
        <f t="shared" si="24"/>
        <v>0</v>
      </c>
      <c r="CI8" s="90"/>
      <c r="CJ8" s="16">
        <f t="shared" si="25"/>
        <v>21276666.666666668</v>
      </c>
    </row>
    <row r="9" spans="1:88" ht="15" customHeight="1">
      <c r="A9" s="14" t="s">
        <v>107</v>
      </c>
      <c r="B9" s="15"/>
      <c r="C9" s="117">
        <v>43479</v>
      </c>
      <c r="D9" s="94">
        <f t="shared" si="26"/>
        <v>1863</v>
      </c>
      <c r="E9" s="50" t="s">
        <v>132</v>
      </c>
      <c r="F9" s="38">
        <v>16690000</v>
      </c>
      <c r="G9" s="38">
        <v>1200000</v>
      </c>
      <c r="H9" s="38">
        <v>500000</v>
      </c>
      <c r="I9" s="38">
        <v>680000</v>
      </c>
      <c r="J9" s="38">
        <v>0</v>
      </c>
      <c r="K9" s="38">
        <v>400000</v>
      </c>
      <c r="L9" s="38">
        <v>500000</v>
      </c>
      <c r="M9" s="38">
        <f>_xlfn.XLOOKUP(A9,Main!$B$13:$B$1048576,Main!$D$13:$D$1048576,0,0)*8</f>
        <v>192</v>
      </c>
      <c r="N9" s="48">
        <f>_xlfn.XLOOKUP(A9,Main!$B$13:$B$1048576,Main!$BQ$13:$BQ$1048576,0,0)</f>
        <v>192</v>
      </c>
      <c r="O9" s="48">
        <f>_xlfn.XLOOKUP(A9,Main!$B$13:$B$1048576,Main!$BR$13:$BR$1048576,0,0)</f>
        <v>152</v>
      </c>
      <c r="P9" s="39">
        <f t="shared" si="27"/>
        <v>16690000</v>
      </c>
      <c r="Q9" s="38">
        <f t="shared" si="28"/>
        <v>950000</v>
      </c>
      <c r="R9" s="38">
        <f t="shared" si="6"/>
        <v>500000</v>
      </c>
      <c r="S9" s="38">
        <f t="shared" si="7"/>
        <v>538333.33333333326</v>
      </c>
      <c r="T9" s="38">
        <f t="shared" si="29"/>
        <v>0</v>
      </c>
      <c r="U9" s="38">
        <f t="shared" si="30"/>
        <v>316666.66666666669</v>
      </c>
      <c r="V9" s="38">
        <f t="shared" si="8"/>
        <v>500000</v>
      </c>
      <c r="W9" s="38"/>
      <c r="X9" s="38"/>
      <c r="Y9" s="38"/>
      <c r="Z9" s="38"/>
      <c r="AA9" s="38"/>
      <c r="AB9" s="38"/>
      <c r="AC9" s="38"/>
      <c r="AD9" s="38"/>
      <c r="AE9" s="38" t="s">
        <v>88</v>
      </c>
      <c r="AF9" s="39"/>
      <c r="AG9" s="38"/>
      <c r="AH9" s="38"/>
      <c r="AI9" s="38"/>
      <c r="AJ9" s="38"/>
      <c r="AK9" s="38"/>
      <c r="AL9" s="38"/>
      <c r="AM9" s="38"/>
      <c r="AN9" s="38"/>
      <c r="AO9" s="38">
        <f>_xlfn.XLOOKUP($A9,Main!$B$13:$B$35,Main!BU$13:BU$35,0,0)</f>
        <v>0</v>
      </c>
      <c r="AP9" s="38">
        <f>_xlfn.XLOOKUP($A9,Main!$B$13:$B$35,Main!BV$13:BV$35,0,0)</f>
        <v>0</v>
      </c>
      <c r="AQ9" s="38">
        <f>_xlfn.XLOOKUP($A9,Main!$B$13:$B$35,Main!BW$13:BW$35,0,0)</f>
        <v>0</v>
      </c>
      <c r="AR9" s="38">
        <f>_xlfn.XLOOKUP($A9,Main!$B$13:$B$35,Main!BX$13:BX$35,0,0)</f>
        <v>0</v>
      </c>
      <c r="AS9" s="38">
        <f>_xlfn.XLOOKUP($A9,Main!$B$13:$B$35,Main!BY$13:BY$35,0,0)</f>
        <v>0</v>
      </c>
      <c r="AT9" s="38">
        <f>_xlfn.XLOOKUP($A9,Main!$B$13:$B$35,Main!BZ$13:BZ$35,0,0)</f>
        <v>0</v>
      </c>
      <c r="AU9" s="38">
        <f>_xlfn.XLOOKUP($A9,Main!$B$13:$B$35,Main!CA$13:CA$35,0,0)</f>
        <v>0</v>
      </c>
      <c r="AV9" s="38">
        <f t="shared" si="9"/>
        <v>0</v>
      </c>
      <c r="AW9" s="38">
        <f t="shared" si="10"/>
        <v>0</v>
      </c>
      <c r="AX9" s="38">
        <f t="shared" si="11"/>
        <v>0</v>
      </c>
      <c r="AY9" s="38">
        <f t="shared" si="12"/>
        <v>0</v>
      </c>
      <c r="AZ9" s="38">
        <f t="shared" si="13"/>
        <v>0</v>
      </c>
      <c r="BA9" s="38">
        <f t="shared" si="14"/>
        <v>0</v>
      </c>
      <c r="BB9" s="38">
        <f t="shared" si="15"/>
        <v>0</v>
      </c>
      <c r="BC9" s="39">
        <f t="shared" si="31"/>
        <v>0</v>
      </c>
      <c r="BD9" s="39">
        <f t="shared" si="16"/>
        <v>19495000</v>
      </c>
      <c r="BE9" s="38"/>
      <c r="BF9" s="38"/>
      <c r="BG9" s="39">
        <f>ROUND($CB9*'SHUI &amp; PIT'!$F$11,0)</f>
        <v>1335200</v>
      </c>
      <c r="BH9" s="39">
        <f>ROUND($CB9*'SHUI &amp; PIT'!$G$11,0)</f>
        <v>250350</v>
      </c>
      <c r="BI9" s="39">
        <f>ROUND($CC9*'SHUI &amp; PIT'!$H$11,0)</f>
        <v>166900</v>
      </c>
      <c r="BJ9" s="39">
        <f t="shared" si="32"/>
        <v>1752450</v>
      </c>
      <c r="BK9" s="39">
        <f t="shared" si="17"/>
        <v>35000</v>
      </c>
      <c r="BL9" s="38">
        <f>VLOOKUP(A9,'[1]Payroll master '!B$12:AD$160,29,0)</f>
        <v>2</v>
      </c>
      <c r="BM9" s="39">
        <f t="shared" si="33"/>
        <v>19800000</v>
      </c>
      <c r="BN9" s="39">
        <f t="shared" si="18"/>
        <v>0</v>
      </c>
      <c r="BO9" s="39">
        <f>ROUND((VLOOKUP(BN9,'SHUI &amp; PIT'!$A$1:$C$8,2,1)*BN9-VLOOKUP(BN9,'SHUI &amp; PIT'!$A$1:$C$8,3,1)),0)</f>
        <v>0</v>
      </c>
      <c r="BP9" s="38">
        <f t="shared" si="34"/>
        <v>0</v>
      </c>
      <c r="BQ9" s="38"/>
      <c r="BR9" s="38"/>
      <c r="BS9" s="39">
        <f t="shared" si="19"/>
        <v>1787450</v>
      </c>
      <c r="BT9" s="39">
        <f t="shared" si="20"/>
        <v>17707550</v>
      </c>
      <c r="BU9" s="39">
        <f>ROUND($CB9*'SHUI &amp; PIT'!$F$12,0)</f>
        <v>2920750</v>
      </c>
      <c r="BV9" s="39">
        <f>ROUND($CB9*'SHUI &amp; PIT'!$G$12,0)</f>
        <v>500700</v>
      </c>
      <c r="BW9" s="39">
        <f>ROUND($CC9*'SHUI &amp; PIT'!$H$12,0)</f>
        <v>166900</v>
      </c>
      <c r="BX9" s="38"/>
      <c r="BY9" s="39">
        <f t="shared" si="21"/>
        <v>3588350</v>
      </c>
      <c r="BZ9" s="39">
        <f>IF(BU9&gt;0,ROUND($CB9*'SHUI &amp; PIT'!$I$12,0),0)</f>
        <v>333800</v>
      </c>
      <c r="CA9" s="39">
        <f t="shared" si="22"/>
        <v>23417150</v>
      </c>
      <c r="CB9" s="39">
        <f>IF(($F9+$T9)&gt;='SHUI &amp; PIT'!$C$12,'SHUI &amp; PIT'!$C$12,($F9+$T9))</f>
        <v>16690000</v>
      </c>
      <c r="CC9" s="39">
        <f>IF(($F9+$T9)&gt;='SHUI &amp; PIT'!$C$13,'SHUI &amp; PIT'!$C$13,($F9+$T9))</f>
        <v>16690000</v>
      </c>
      <c r="CD9" s="39">
        <f t="shared" si="23"/>
        <v>0</v>
      </c>
      <c r="CE9" s="1">
        <f t="shared" si="35"/>
        <v>0</v>
      </c>
      <c r="CF9" s="9">
        <f>_xlfn.XLOOKUP(A9,'[2]Termination and others'!B$12:B$33,'[2]Termination and others'!F$12:F$33,0,0)</f>
        <v>0</v>
      </c>
      <c r="CG9" s="116">
        <f>VLOOKUP(A9,Main!$B$13:$BN$405,65,0)</f>
        <v>0</v>
      </c>
      <c r="CH9" s="9">
        <f t="shared" si="24"/>
        <v>0</v>
      </c>
      <c r="CI9" s="90"/>
      <c r="CJ9" s="16">
        <f t="shared" si="25"/>
        <v>18456666.666666668</v>
      </c>
    </row>
    <row r="10" spans="1:88" ht="15" customHeight="1">
      <c r="A10" s="14" t="s">
        <v>108</v>
      </c>
      <c r="B10" s="15"/>
      <c r="C10" s="117">
        <v>43529</v>
      </c>
      <c r="D10" s="94">
        <f t="shared" si="26"/>
        <v>1813</v>
      </c>
      <c r="E10" s="50" t="s">
        <v>132</v>
      </c>
      <c r="F10" s="38">
        <v>12680000</v>
      </c>
      <c r="G10" s="38">
        <v>1200000</v>
      </c>
      <c r="H10" s="38">
        <v>500000</v>
      </c>
      <c r="I10" s="38">
        <v>680000</v>
      </c>
      <c r="J10" s="38">
        <v>1320000</v>
      </c>
      <c r="K10" s="38">
        <v>400000</v>
      </c>
      <c r="L10" s="38">
        <v>0</v>
      </c>
      <c r="M10" s="38">
        <f>_xlfn.XLOOKUP(A10,Main!$B$13:$B$1048576,Main!$D$13:$D$1048576,0,0)*8</f>
        <v>192</v>
      </c>
      <c r="N10" s="48">
        <f>_xlfn.XLOOKUP(A10,Main!$B$13:$B$1048576,Main!$BQ$13:$BQ$1048576,0,0)</f>
        <v>192</v>
      </c>
      <c r="O10" s="48">
        <f>_xlfn.XLOOKUP(A10,Main!$B$13:$B$1048576,Main!$BR$13:$BR$1048576,0,0)</f>
        <v>152</v>
      </c>
      <c r="P10" s="39">
        <f t="shared" si="27"/>
        <v>12680000</v>
      </c>
      <c r="Q10" s="38">
        <f t="shared" si="28"/>
        <v>950000</v>
      </c>
      <c r="R10" s="38">
        <f t="shared" si="6"/>
        <v>500000</v>
      </c>
      <c r="S10" s="38">
        <f t="shared" si="7"/>
        <v>538333.33333333326</v>
      </c>
      <c r="T10" s="38">
        <f t="shared" si="29"/>
        <v>1320000</v>
      </c>
      <c r="U10" s="38">
        <f t="shared" si="30"/>
        <v>316666.66666666669</v>
      </c>
      <c r="V10" s="38">
        <f t="shared" si="8"/>
        <v>0</v>
      </c>
      <c r="W10" s="38"/>
      <c r="X10" s="38"/>
      <c r="Y10" s="38"/>
      <c r="Z10" s="38"/>
      <c r="AA10" s="38"/>
      <c r="AB10" s="38"/>
      <c r="AC10" s="38"/>
      <c r="AD10" s="38"/>
      <c r="AE10" s="38" t="s">
        <v>88</v>
      </c>
      <c r="AF10" s="39"/>
      <c r="AG10" s="38"/>
      <c r="AH10" s="38">
        <v>200000</v>
      </c>
      <c r="AI10" s="38"/>
      <c r="AJ10" s="38"/>
      <c r="AK10" s="38"/>
      <c r="AL10" s="38"/>
      <c r="AM10" s="38"/>
      <c r="AN10" s="38"/>
      <c r="AO10" s="38">
        <f>_xlfn.XLOOKUP($A10,Main!$B$13:$B$35,Main!BU$13:BU$35,0,0)</f>
        <v>0</v>
      </c>
      <c r="AP10" s="38">
        <f>_xlfn.XLOOKUP($A10,Main!$B$13:$B$35,Main!BV$13:BV$35,0,0)</f>
        <v>0</v>
      </c>
      <c r="AQ10" s="38">
        <f>_xlfn.XLOOKUP($A10,Main!$B$13:$B$35,Main!BW$13:BW$35,0,0)</f>
        <v>0</v>
      </c>
      <c r="AR10" s="38">
        <f>_xlfn.XLOOKUP($A10,Main!$B$13:$B$35,Main!BX$13:BX$35,0,0)</f>
        <v>0</v>
      </c>
      <c r="AS10" s="38">
        <f>_xlfn.XLOOKUP($A10,Main!$B$13:$B$35,Main!BY$13:BY$35,0,0)</f>
        <v>0</v>
      </c>
      <c r="AT10" s="38">
        <f>_xlfn.XLOOKUP($A10,Main!$B$13:$B$35,Main!BZ$13:BZ$35,0,0)</f>
        <v>0</v>
      </c>
      <c r="AU10" s="38">
        <f>_xlfn.XLOOKUP($A10,Main!$B$13:$B$35,Main!CA$13:CA$35,0,0)</f>
        <v>0</v>
      </c>
      <c r="AV10" s="38">
        <f t="shared" si="9"/>
        <v>0</v>
      </c>
      <c r="AW10" s="38">
        <f t="shared" si="10"/>
        <v>0</v>
      </c>
      <c r="AX10" s="38">
        <f t="shared" si="11"/>
        <v>0</v>
      </c>
      <c r="AY10" s="38">
        <f t="shared" si="12"/>
        <v>0</v>
      </c>
      <c r="AZ10" s="38">
        <f t="shared" si="13"/>
        <v>0</v>
      </c>
      <c r="BA10" s="38">
        <f t="shared" si="14"/>
        <v>0</v>
      </c>
      <c r="BB10" s="38">
        <f t="shared" si="15"/>
        <v>0</v>
      </c>
      <c r="BC10" s="39">
        <f t="shared" si="31"/>
        <v>0</v>
      </c>
      <c r="BD10" s="39">
        <f t="shared" si="16"/>
        <v>16505000</v>
      </c>
      <c r="BE10" s="38"/>
      <c r="BF10" s="38"/>
      <c r="BG10" s="39">
        <f>ROUND($CB10*'SHUI &amp; PIT'!$F$11,0)</f>
        <v>1120000</v>
      </c>
      <c r="BH10" s="39">
        <f>ROUND($CB10*'SHUI &amp; PIT'!$G$11,0)</f>
        <v>210000</v>
      </c>
      <c r="BI10" s="39">
        <f>ROUND($CC10*'SHUI &amp; PIT'!$H$11,0)</f>
        <v>140000</v>
      </c>
      <c r="BJ10" s="39">
        <f t="shared" si="32"/>
        <v>1470000</v>
      </c>
      <c r="BK10" s="39">
        <f t="shared" si="17"/>
        <v>35000</v>
      </c>
      <c r="BL10" s="38">
        <f>VLOOKUP(A10,'[1]Payroll master '!B$12:AD$160,29,0)</f>
        <v>0</v>
      </c>
      <c r="BM10" s="39">
        <f t="shared" si="33"/>
        <v>11000000</v>
      </c>
      <c r="BN10" s="39">
        <f t="shared" si="18"/>
        <v>2996667</v>
      </c>
      <c r="BO10" s="39">
        <f>ROUND((VLOOKUP(BN10,'SHUI &amp; PIT'!$A$1:$C$8,2,1)*BN10-VLOOKUP(BN10,'SHUI &amp; PIT'!$A$1:$C$8,3,1)),0)</f>
        <v>149833</v>
      </c>
      <c r="BP10" s="38">
        <f t="shared" si="34"/>
        <v>0</v>
      </c>
      <c r="BQ10" s="38"/>
      <c r="BR10" s="38"/>
      <c r="BS10" s="39">
        <f t="shared" si="19"/>
        <v>1654833</v>
      </c>
      <c r="BT10" s="39">
        <f t="shared" si="20"/>
        <v>14850167</v>
      </c>
      <c r="BU10" s="39">
        <f>ROUND($CB10*'SHUI &amp; PIT'!$F$12,0)</f>
        <v>2450000</v>
      </c>
      <c r="BV10" s="39">
        <f>ROUND($CB10*'SHUI &amp; PIT'!$G$12,0)</f>
        <v>420000</v>
      </c>
      <c r="BW10" s="39">
        <f>ROUND($CC10*'SHUI &amp; PIT'!$H$12,0)</f>
        <v>140000</v>
      </c>
      <c r="BX10" s="38"/>
      <c r="BY10" s="39">
        <f t="shared" si="21"/>
        <v>3010000</v>
      </c>
      <c r="BZ10" s="39">
        <f>IF(BU10&gt;0,ROUND($CB10*'SHUI &amp; PIT'!$I$12,0),0)</f>
        <v>280000</v>
      </c>
      <c r="CA10" s="39">
        <f t="shared" si="22"/>
        <v>19795000</v>
      </c>
      <c r="CB10" s="39">
        <f>IF(($F10+$T10)&gt;='SHUI &amp; PIT'!$C$12,'SHUI &amp; PIT'!$C$12,($F10+$T10))</f>
        <v>14000000</v>
      </c>
      <c r="CC10" s="39">
        <f>IF(($F10+$T10)&gt;='SHUI &amp; PIT'!$C$13,'SHUI &amp; PIT'!$C$13,($F10+$T10))</f>
        <v>14000000</v>
      </c>
      <c r="CD10" s="39">
        <f t="shared" si="23"/>
        <v>0</v>
      </c>
      <c r="CE10" s="1">
        <f t="shared" si="35"/>
        <v>0</v>
      </c>
      <c r="CF10" s="9">
        <f>_xlfn.XLOOKUP(A10,'[2]Termination and others'!B$12:B$33,'[2]Termination and others'!F$12:F$33,0,0)</f>
        <v>0</v>
      </c>
      <c r="CG10" s="116">
        <f>VLOOKUP(A10,Main!$B$13:$BN$405,65,0)</f>
        <v>0</v>
      </c>
      <c r="CH10" s="9">
        <f t="shared" si="24"/>
        <v>0</v>
      </c>
      <c r="CI10" s="90"/>
      <c r="CJ10" s="16">
        <f t="shared" si="25"/>
        <v>15466666.666666666</v>
      </c>
    </row>
    <row r="11" spans="1:88" ht="15" customHeight="1">
      <c r="A11" s="14" t="s">
        <v>109</v>
      </c>
      <c r="B11" s="15"/>
      <c r="C11" s="117">
        <v>43558</v>
      </c>
      <c r="D11" s="94">
        <f t="shared" si="26"/>
        <v>1784</v>
      </c>
      <c r="E11" s="50" t="s">
        <v>132</v>
      </c>
      <c r="F11" s="38">
        <v>12780000</v>
      </c>
      <c r="G11" s="38">
        <v>1200000</v>
      </c>
      <c r="H11" s="38">
        <v>500000</v>
      </c>
      <c r="I11" s="38">
        <v>680000</v>
      </c>
      <c r="J11" s="38">
        <v>1320000</v>
      </c>
      <c r="K11" s="38">
        <v>400000</v>
      </c>
      <c r="L11" s="38">
        <v>0</v>
      </c>
      <c r="M11" s="38">
        <f>_xlfn.XLOOKUP(A11,Main!$B$13:$B$1048576,Main!$D$13:$D$1048576,0,0)*8</f>
        <v>192</v>
      </c>
      <c r="N11" s="48">
        <f>_xlfn.XLOOKUP(A11,Main!$B$13:$B$1048576,Main!$BQ$13:$BQ$1048576,0,0)</f>
        <v>192</v>
      </c>
      <c r="O11" s="48">
        <f>_xlfn.XLOOKUP(A11,Main!$B$13:$B$1048576,Main!$BR$13:$BR$1048576,0,0)</f>
        <v>152</v>
      </c>
      <c r="P11" s="39">
        <f t="shared" si="27"/>
        <v>12780000</v>
      </c>
      <c r="Q11" s="38">
        <f t="shared" si="28"/>
        <v>950000</v>
      </c>
      <c r="R11" s="38">
        <f t="shared" si="6"/>
        <v>500000</v>
      </c>
      <c r="S11" s="38">
        <f t="shared" si="7"/>
        <v>538333.33333333326</v>
      </c>
      <c r="T11" s="38">
        <f t="shared" si="29"/>
        <v>1320000</v>
      </c>
      <c r="U11" s="38">
        <f t="shared" si="30"/>
        <v>316666.66666666669</v>
      </c>
      <c r="V11" s="38">
        <f t="shared" si="8"/>
        <v>0</v>
      </c>
      <c r="W11" s="38"/>
      <c r="X11" s="38"/>
      <c r="Y11" s="38"/>
      <c r="Z11" s="38"/>
      <c r="AA11" s="38"/>
      <c r="AB11" s="38"/>
      <c r="AC11" s="38"/>
      <c r="AD11" s="38"/>
      <c r="AE11" s="38" t="s">
        <v>88</v>
      </c>
      <c r="AF11" s="39"/>
      <c r="AG11" s="38"/>
      <c r="AH11" s="38">
        <v>1380000</v>
      </c>
      <c r="AI11" s="38"/>
      <c r="AJ11" s="38"/>
      <c r="AK11" s="38"/>
      <c r="AL11" s="38"/>
      <c r="AM11" s="38"/>
      <c r="AN11" s="38"/>
      <c r="AO11" s="38">
        <f>_xlfn.XLOOKUP($A11,Main!$B$13:$B$35,Main!BU$13:BU$35,0,0)</f>
        <v>0</v>
      </c>
      <c r="AP11" s="38">
        <f>_xlfn.XLOOKUP($A11,Main!$B$13:$B$35,Main!BV$13:BV$35,0,0)</f>
        <v>0</v>
      </c>
      <c r="AQ11" s="38">
        <f>_xlfn.XLOOKUP($A11,Main!$B$13:$B$35,Main!BW$13:BW$35,0,0)</f>
        <v>0</v>
      </c>
      <c r="AR11" s="38">
        <f>_xlfn.XLOOKUP($A11,Main!$B$13:$B$35,Main!BX$13:BX$35,0,0)</f>
        <v>0</v>
      </c>
      <c r="AS11" s="38">
        <f>_xlfn.XLOOKUP($A11,Main!$B$13:$B$35,Main!BY$13:BY$35,0,0)</f>
        <v>0</v>
      </c>
      <c r="AT11" s="38">
        <f>_xlfn.XLOOKUP($A11,Main!$B$13:$B$35,Main!BZ$13:BZ$35,0,0)</f>
        <v>0</v>
      </c>
      <c r="AU11" s="38">
        <f>_xlfn.XLOOKUP($A11,Main!$B$13:$B$35,Main!CA$13:CA$35,0,0)</f>
        <v>0</v>
      </c>
      <c r="AV11" s="38">
        <f t="shared" si="9"/>
        <v>0</v>
      </c>
      <c r="AW11" s="38">
        <f t="shared" si="10"/>
        <v>0</v>
      </c>
      <c r="AX11" s="38">
        <f t="shared" si="11"/>
        <v>0</v>
      </c>
      <c r="AY11" s="38">
        <f t="shared" si="12"/>
        <v>0</v>
      </c>
      <c r="AZ11" s="38">
        <f t="shared" si="13"/>
        <v>0</v>
      </c>
      <c r="BA11" s="38">
        <f t="shared" si="14"/>
        <v>0</v>
      </c>
      <c r="BB11" s="38">
        <f t="shared" si="15"/>
        <v>0</v>
      </c>
      <c r="BC11" s="39">
        <f t="shared" si="31"/>
        <v>0</v>
      </c>
      <c r="BD11" s="39">
        <f t="shared" si="16"/>
        <v>17785000</v>
      </c>
      <c r="BE11" s="38"/>
      <c r="BF11" s="38"/>
      <c r="BG11" s="39">
        <f>ROUND($CB11*'SHUI &amp; PIT'!$F$11,0)</f>
        <v>1128000</v>
      </c>
      <c r="BH11" s="39">
        <f>ROUND($CB11*'SHUI &amp; PIT'!$G$11,0)</f>
        <v>211500</v>
      </c>
      <c r="BI11" s="39">
        <f>ROUND($CC11*'SHUI &amp; PIT'!$H$11,0)</f>
        <v>141000</v>
      </c>
      <c r="BJ11" s="39">
        <f t="shared" si="32"/>
        <v>1480500</v>
      </c>
      <c r="BK11" s="39">
        <f t="shared" si="17"/>
        <v>35000</v>
      </c>
      <c r="BL11" s="38">
        <f>VLOOKUP(A11,'[1]Payroll master '!B$12:AD$160,29,0)</f>
        <v>0</v>
      </c>
      <c r="BM11" s="39">
        <f t="shared" si="33"/>
        <v>11000000</v>
      </c>
      <c r="BN11" s="39">
        <f t="shared" si="18"/>
        <v>4266167</v>
      </c>
      <c r="BO11" s="39">
        <f>ROUND((VLOOKUP(BN11,'SHUI &amp; PIT'!$A$1:$C$8,2,1)*BN11-VLOOKUP(BN11,'SHUI &amp; PIT'!$A$1:$C$8,3,1)),0)</f>
        <v>213308</v>
      </c>
      <c r="BP11" s="38">
        <f t="shared" si="34"/>
        <v>0</v>
      </c>
      <c r="BQ11" s="38"/>
      <c r="BR11" s="38"/>
      <c r="BS11" s="39">
        <f t="shared" si="19"/>
        <v>1728808</v>
      </c>
      <c r="BT11" s="39">
        <f t="shared" si="20"/>
        <v>16056192</v>
      </c>
      <c r="BU11" s="39">
        <f>ROUND($CB11*'SHUI &amp; PIT'!$F$12,0)</f>
        <v>2467500</v>
      </c>
      <c r="BV11" s="39">
        <f>ROUND($CB11*'SHUI &amp; PIT'!$G$12,0)</f>
        <v>423000</v>
      </c>
      <c r="BW11" s="39">
        <f>ROUND($CC11*'SHUI &amp; PIT'!$H$12,0)</f>
        <v>141000</v>
      </c>
      <c r="BX11" s="38"/>
      <c r="BY11" s="39">
        <f t="shared" si="21"/>
        <v>3031500</v>
      </c>
      <c r="BZ11" s="39">
        <f>IF(BU11&gt;0,ROUND($CB11*'SHUI &amp; PIT'!$I$12,0),0)</f>
        <v>282000</v>
      </c>
      <c r="CA11" s="39">
        <f t="shared" si="22"/>
        <v>21098500</v>
      </c>
      <c r="CB11" s="39">
        <f>IF(($F11+$T11)&gt;='SHUI &amp; PIT'!$C$12,'SHUI &amp; PIT'!$C$12,($F11+$T11))</f>
        <v>14100000</v>
      </c>
      <c r="CC11" s="39">
        <f>IF(($F11+$T11)&gt;='SHUI &amp; PIT'!$C$13,'SHUI &amp; PIT'!$C$13,($F11+$T11))</f>
        <v>14100000</v>
      </c>
      <c r="CD11" s="39">
        <f t="shared" si="23"/>
        <v>0</v>
      </c>
      <c r="CE11" s="1">
        <f t="shared" si="35"/>
        <v>0</v>
      </c>
      <c r="CF11" s="9">
        <f>_xlfn.XLOOKUP(A11,'[2]Termination and others'!B$12:B$33,'[2]Termination and others'!F$12:F$33,0,0)</f>
        <v>0</v>
      </c>
      <c r="CG11" s="116">
        <f>VLOOKUP(A11,Main!$B$13:$BN$405,65,0)</f>
        <v>0</v>
      </c>
      <c r="CH11" s="9">
        <f t="shared" si="24"/>
        <v>0</v>
      </c>
      <c r="CI11" s="90"/>
      <c r="CJ11" s="16">
        <f t="shared" si="25"/>
        <v>16746666.666666666</v>
      </c>
    </row>
    <row r="12" spans="1:88" s="128" customFormat="1" ht="15" customHeight="1">
      <c r="A12" s="120" t="s">
        <v>110</v>
      </c>
      <c r="B12" s="121"/>
      <c r="C12" s="122">
        <v>43620</v>
      </c>
      <c r="D12" s="123">
        <f t="shared" si="26"/>
        <v>1722</v>
      </c>
      <c r="E12" s="124" t="s">
        <v>132</v>
      </c>
      <c r="F12" s="125">
        <v>28780000</v>
      </c>
      <c r="G12" s="125">
        <v>810000</v>
      </c>
      <c r="H12" s="125">
        <v>1000000</v>
      </c>
      <c r="I12" s="125">
        <v>680000</v>
      </c>
      <c r="J12" s="125">
        <v>2750000</v>
      </c>
      <c r="K12" s="125">
        <v>400000</v>
      </c>
      <c r="L12" s="125">
        <v>500000</v>
      </c>
      <c r="M12" s="125">
        <f>_xlfn.XLOOKUP(A12,Main!$B$13:$B$1048576,Main!$D$13:$D$1048576,0,0)*8</f>
        <v>192</v>
      </c>
      <c r="N12" s="126">
        <f>_xlfn.XLOOKUP(A12,Main!$B$13:$B$1048576,Main!$BQ$13:$BQ$1048576,0,0)</f>
        <v>192</v>
      </c>
      <c r="O12" s="126">
        <f>_xlfn.XLOOKUP(A12,Main!$B$13:$B$1048576,Main!$BR$13:$BR$1048576,0,0)</f>
        <v>152</v>
      </c>
      <c r="P12" s="127">
        <f t="shared" si="27"/>
        <v>28780000</v>
      </c>
      <c r="Q12" s="125">
        <f t="shared" si="28"/>
        <v>641250</v>
      </c>
      <c r="R12" s="125">
        <f t="shared" si="6"/>
        <v>1000000</v>
      </c>
      <c r="S12" s="125">
        <f t="shared" si="7"/>
        <v>538333.33333333326</v>
      </c>
      <c r="T12" s="125">
        <f t="shared" si="29"/>
        <v>2750000</v>
      </c>
      <c r="U12" s="125">
        <f t="shared" si="30"/>
        <v>316666.66666666669</v>
      </c>
      <c r="V12" s="125">
        <f t="shared" si="8"/>
        <v>500000</v>
      </c>
      <c r="W12" s="125"/>
      <c r="X12" s="125"/>
      <c r="Y12" s="125"/>
      <c r="Z12" s="125"/>
      <c r="AA12" s="125"/>
      <c r="AB12" s="125"/>
      <c r="AC12" s="125"/>
      <c r="AD12" s="125"/>
      <c r="AE12" s="125" t="s">
        <v>88</v>
      </c>
      <c r="AF12" s="127"/>
      <c r="AG12" s="125"/>
      <c r="AH12" s="125">
        <v>5024628</v>
      </c>
      <c r="AI12" s="125"/>
      <c r="AJ12" s="125"/>
      <c r="AK12" s="125"/>
      <c r="AL12" s="125"/>
      <c r="AM12" s="125"/>
      <c r="AN12" s="125"/>
      <c r="AO12" s="125">
        <f>_xlfn.XLOOKUP($A12,Main!$B$13:$B$35,Main!BU$13:BU$35,0,0)</f>
        <v>0</v>
      </c>
      <c r="AP12" s="125">
        <f>_xlfn.XLOOKUP($A12,Main!$B$13:$B$35,Main!BV$13:BV$35,0,0)</f>
        <v>0</v>
      </c>
      <c r="AQ12" s="125">
        <f>_xlfn.XLOOKUP($A12,Main!$B$13:$B$35,Main!BW$13:BW$35,0,0)</f>
        <v>0</v>
      </c>
      <c r="AR12" s="125">
        <f>_xlfn.XLOOKUP($A12,Main!$B$13:$B$35,Main!BX$13:BX$35,0,0)</f>
        <v>0</v>
      </c>
      <c r="AS12" s="125">
        <f>_xlfn.XLOOKUP($A12,Main!$B$13:$B$35,Main!BY$13:BY$35,0,0)</f>
        <v>0</v>
      </c>
      <c r="AT12" s="125">
        <f>_xlfn.XLOOKUP($A12,Main!$B$13:$B$35,Main!BZ$13:BZ$35,0,0)</f>
        <v>0</v>
      </c>
      <c r="AU12" s="125">
        <f>_xlfn.XLOOKUP($A12,Main!$B$13:$B$35,Main!CA$13:CA$35,0,0)</f>
        <v>0</v>
      </c>
      <c r="AV12" s="125">
        <f t="shared" si="9"/>
        <v>0</v>
      </c>
      <c r="AW12" s="125">
        <f t="shared" si="10"/>
        <v>0</v>
      </c>
      <c r="AX12" s="125">
        <f t="shared" si="11"/>
        <v>0</v>
      </c>
      <c r="AY12" s="125">
        <f t="shared" si="12"/>
        <v>0</v>
      </c>
      <c r="AZ12" s="125">
        <f t="shared" si="13"/>
        <v>0</v>
      </c>
      <c r="BA12" s="125">
        <f t="shared" si="14"/>
        <v>0</v>
      </c>
      <c r="BB12" s="125">
        <f t="shared" si="15"/>
        <v>0</v>
      </c>
      <c r="BC12" s="127">
        <f t="shared" si="31"/>
        <v>0</v>
      </c>
      <c r="BD12" s="127">
        <f t="shared" si="16"/>
        <v>39550877.999999993</v>
      </c>
      <c r="BE12" s="125"/>
      <c r="BF12" s="125"/>
      <c r="BG12" s="127">
        <f>ROUND($CB12*'SHUI &amp; PIT'!$F$11,0)</f>
        <v>2522400</v>
      </c>
      <c r="BH12" s="127">
        <f>ROUND($CB12*'SHUI &amp; PIT'!$G$11,0)</f>
        <v>472950</v>
      </c>
      <c r="BI12" s="140">
        <f>ROUND($CC12*'SHUI &amp; PIT'!$H$11,0)</f>
        <v>315300</v>
      </c>
      <c r="BJ12" s="127">
        <f t="shared" si="32"/>
        <v>3310650</v>
      </c>
      <c r="BK12" s="127">
        <f>IF(E12="La Nga",0,IF(E12="HCM",35000,IF(AE12="YES",IF($BG12&gt;0,ROUND(MIN($CB12*1%,180000),0),0),0)))</f>
        <v>35000</v>
      </c>
      <c r="BL12" s="125">
        <f>VLOOKUP(A12,'[1]Payroll master '!B$12:AD$160,29,0)</f>
        <v>3</v>
      </c>
      <c r="BM12" s="127">
        <f t="shared" si="33"/>
        <v>24200000</v>
      </c>
      <c r="BN12" s="127">
        <f t="shared" si="18"/>
        <v>10501895</v>
      </c>
      <c r="BO12" s="127">
        <f>ROUND((VLOOKUP(BN12,'SHUI &amp; PIT'!$A$1:$C$8,2,1)*BN12-VLOOKUP(BN12,'SHUI &amp; PIT'!$A$1:$C$8,3,1)),0)</f>
        <v>825284</v>
      </c>
      <c r="BP12" s="125">
        <f t="shared" si="34"/>
        <v>0</v>
      </c>
      <c r="BQ12" s="125"/>
      <c r="BR12" s="125"/>
      <c r="BS12" s="127">
        <f t="shared" si="19"/>
        <v>4170934</v>
      </c>
      <c r="BT12" s="127">
        <f t="shared" si="20"/>
        <v>35379944</v>
      </c>
      <c r="BU12" s="127">
        <f>ROUND($CB12*'SHUI &amp; PIT'!$F$12,0)</f>
        <v>5517750</v>
      </c>
      <c r="BV12" s="127">
        <f>ROUND($CB12*'SHUI &amp; PIT'!$G$12,0)</f>
        <v>945900</v>
      </c>
      <c r="BW12" s="127">
        <f>ROUND($CC12*'SHUI &amp; PIT'!$H$12,0)</f>
        <v>315300</v>
      </c>
      <c r="BX12" s="125"/>
      <c r="BY12" s="127">
        <f t="shared" si="21"/>
        <v>6778950</v>
      </c>
      <c r="BZ12" s="127">
        <f>IF(BU12&gt;0,ROUND($CB12*'SHUI &amp; PIT'!$I$12,0),0)</f>
        <v>630600</v>
      </c>
      <c r="CA12" s="127">
        <f t="shared" si="22"/>
        <v>46960427.999999993</v>
      </c>
      <c r="CB12" s="127">
        <f>IF(($F12+$T12)&gt;='SHUI &amp; PIT'!$C$12,'SHUI &amp; PIT'!$C$12,($F12+$T12))</f>
        <v>31530000</v>
      </c>
      <c r="CC12" s="127">
        <f>IF(($F12+$T12)&gt;='SHUI &amp; PIT'!$C$13,'SHUI &amp; PIT'!$C$13,($F12+$T12))</f>
        <v>31530000</v>
      </c>
      <c r="CD12" s="127">
        <f t="shared" si="23"/>
        <v>0</v>
      </c>
      <c r="CE12" s="128">
        <f t="shared" si="35"/>
        <v>0</v>
      </c>
      <c r="CF12" s="129">
        <f>_xlfn.XLOOKUP(A12,'[2]Termination and others'!B$12:B$33,'[2]Termination and others'!F$12:F$33,0,0)</f>
        <v>0</v>
      </c>
      <c r="CG12" s="130">
        <f>VLOOKUP(A12,Main!$B$13:$BN$405,65,0)</f>
        <v>0</v>
      </c>
      <c r="CH12" s="129">
        <f t="shared" si="24"/>
        <v>0</v>
      </c>
      <c r="CI12" s="131"/>
      <c r="CJ12" s="132">
        <f>BD12-R12-S12-AK12-CD12-AC12-BE12-BF12-BQ12</f>
        <v>38012544.666666657</v>
      </c>
    </row>
    <row r="13" spans="1:88" ht="15" customHeight="1">
      <c r="A13" s="14" t="s">
        <v>112</v>
      </c>
      <c r="B13" s="15"/>
      <c r="C13" s="117">
        <v>44984</v>
      </c>
      <c r="D13" s="94">
        <f t="shared" si="26"/>
        <v>358</v>
      </c>
      <c r="E13" s="50" t="s">
        <v>132</v>
      </c>
      <c r="F13" s="38">
        <v>15610000</v>
      </c>
      <c r="G13" s="38">
        <v>1200000</v>
      </c>
      <c r="H13" s="38">
        <v>500000</v>
      </c>
      <c r="I13" s="38">
        <v>680000</v>
      </c>
      <c r="J13" s="38">
        <v>1320000</v>
      </c>
      <c r="K13" s="38">
        <v>400000</v>
      </c>
      <c r="L13" s="38">
        <v>0</v>
      </c>
      <c r="M13" s="38">
        <f>_xlfn.XLOOKUP(A13,Main!$B$13:$B$1048576,Main!$D$13:$D$1048576,0,0)*8</f>
        <v>192</v>
      </c>
      <c r="N13" s="48">
        <f>_xlfn.XLOOKUP(A13,Main!$B$13:$B$1048576,Main!$BQ$13:$BQ$1048576,0,0)</f>
        <v>192</v>
      </c>
      <c r="O13" s="48">
        <f>_xlfn.XLOOKUP(A13,Main!$B$13:$B$1048576,Main!$BR$13:$BR$1048576,0,0)</f>
        <v>152</v>
      </c>
      <c r="P13" s="39">
        <f t="shared" si="27"/>
        <v>15610000</v>
      </c>
      <c r="Q13" s="38">
        <f t="shared" si="28"/>
        <v>950000</v>
      </c>
      <c r="R13" s="38">
        <f t="shared" si="6"/>
        <v>500000</v>
      </c>
      <c r="S13" s="38">
        <f t="shared" si="7"/>
        <v>538333.33333333326</v>
      </c>
      <c r="T13" s="38">
        <f t="shared" si="29"/>
        <v>1320000</v>
      </c>
      <c r="U13" s="38">
        <f t="shared" si="30"/>
        <v>316666.66666666669</v>
      </c>
      <c r="V13" s="38">
        <f t="shared" si="8"/>
        <v>0</v>
      </c>
      <c r="W13" s="38"/>
      <c r="X13" s="38"/>
      <c r="Y13" s="38"/>
      <c r="Z13" s="38"/>
      <c r="AA13" s="38"/>
      <c r="AB13" s="38"/>
      <c r="AC13" s="38"/>
      <c r="AD13" s="38"/>
      <c r="AE13" s="38" t="s">
        <v>88</v>
      </c>
      <c r="AF13" s="39"/>
      <c r="AG13" s="38"/>
      <c r="AH13" s="38"/>
      <c r="AI13" s="38"/>
      <c r="AJ13" s="38"/>
      <c r="AK13" s="38"/>
      <c r="AL13" s="38"/>
      <c r="AM13" s="38"/>
      <c r="AN13" s="38"/>
      <c r="AO13" s="38">
        <f>_xlfn.XLOOKUP($A13,Main!$B$13:$B$35,Main!BU$13:BU$35,0,0)</f>
        <v>0</v>
      </c>
      <c r="AP13" s="38">
        <f>_xlfn.XLOOKUP($A13,Main!$B$13:$B$35,Main!BV$13:BV$35,0,0)</f>
        <v>0</v>
      </c>
      <c r="AQ13" s="38">
        <f>_xlfn.XLOOKUP($A13,Main!$B$13:$B$35,Main!BW$13:BW$35,0,0)</f>
        <v>0</v>
      </c>
      <c r="AR13" s="38">
        <f>_xlfn.XLOOKUP($A13,Main!$B$13:$B$35,Main!BX$13:BX$35,0,0)</f>
        <v>0</v>
      </c>
      <c r="AS13" s="38">
        <f>_xlfn.XLOOKUP($A13,Main!$B$13:$B$35,Main!BY$13:BY$35,0,0)</f>
        <v>0</v>
      </c>
      <c r="AT13" s="38">
        <f>_xlfn.XLOOKUP($A13,Main!$B$13:$B$35,Main!BZ$13:BZ$35,0,0)</f>
        <v>0</v>
      </c>
      <c r="AU13" s="38">
        <f>_xlfn.XLOOKUP($A13,Main!$B$13:$B$35,Main!CA$13:CA$35,0,0)</f>
        <v>0</v>
      </c>
      <c r="AV13" s="38">
        <f t="shared" si="9"/>
        <v>0</v>
      </c>
      <c r="AW13" s="38">
        <f t="shared" si="10"/>
        <v>0</v>
      </c>
      <c r="AX13" s="38">
        <f t="shared" si="11"/>
        <v>0</v>
      </c>
      <c r="AY13" s="38">
        <f t="shared" si="12"/>
        <v>0</v>
      </c>
      <c r="AZ13" s="38">
        <f t="shared" si="13"/>
        <v>0</v>
      </c>
      <c r="BA13" s="38">
        <f t="shared" si="14"/>
        <v>0</v>
      </c>
      <c r="BB13" s="38">
        <f t="shared" si="15"/>
        <v>0</v>
      </c>
      <c r="BC13" s="39">
        <f t="shared" si="31"/>
        <v>0</v>
      </c>
      <c r="BD13" s="39">
        <f t="shared" si="16"/>
        <v>19235000</v>
      </c>
      <c r="BE13" s="38"/>
      <c r="BF13" s="38"/>
      <c r="BG13" s="39">
        <f>ROUND($CB13*'SHUI &amp; PIT'!$F$11,0)</f>
        <v>1354400</v>
      </c>
      <c r="BH13" s="39">
        <f>ROUND($CB13*'SHUI &amp; PIT'!$G$11,0)</f>
        <v>253950</v>
      </c>
      <c r="BI13" s="39">
        <f>ROUND($CC13*'SHUI &amp; PIT'!$H$11,0)</f>
        <v>169300</v>
      </c>
      <c r="BJ13" s="39">
        <f t="shared" si="32"/>
        <v>1777650</v>
      </c>
      <c r="BK13" s="39">
        <f t="shared" si="17"/>
        <v>35000</v>
      </c>
      <c r="BL13" s="38">
        <f>VLOOKUP(A13,'[1]Payroll master '!B$12:AD$160,29,0)</f>
        <v>0</v>
      </c>
      <c r="BM13" s="39">
        <f t="shared" si="33"/>
        <v>11000000</v>
      </c>
      <c r="BN13" s="39">
        <f t="shared" si="18"/>
        <v>5419017</v>
      </c>
      <c r="BO13" s="39">
        <f>ROUND((VLOOKUP(BN13,'SHUI &amp; PIT'!$A$1:$C$8,2,1)*BN13-VLOOKUP(BN13,'SHUI &amp; PIT'!$A$1:$C$8,3,1)),0)</f>
        <v>291902</v>
      </c>
      <c r="BP13" s="38">
        <f t="shared" si="34"/>
        <v>0</v>
      </c>
      <c r="BQ13" s="38"/>
      <c r="BR13" s="38"/>
      <c r="BS13" s="39">
        <f t="shared" si="19"/>
        <v>2104552</v>
      </c>
      <c r="BT13" s="39">
        <f t="shared" si="20"/>
        <v>17130448</v>
      </c>
      <c r="BU13" s="39">
        <f>ROUND($CB13*'SHUI &amp; PIT'!$F$12,0)</f>
        <v>2962750</v>
      </c>
      <c r="BV13" s="39">
        <f>ROUND($CB13*'SHUI &amp; PIT'!$G$12,0)</f>
        <v>507900</v>
      </c>
      <c r="BW13" s="39">
        <f>ROUND($CC13*'SHUI &amp; PIT'!$H$12,0)</f>
        <v>169300</v>
      </c>
      <c r="BX13" s="38"/>
      <c r="BY13" s="39">
        <f t="shared" si="21"/>
        <v>3639950</v>
      </c>
      <c r="BZ13" s="39">
        <f>IF(BU13&gt;0,ROUND($CB13*'SHUI &amp; PIT'!$I$12,0),0)</f>
        <v>338600</v>
      </c>
      <c r="CA13" s="39">
        <f t="shared" si="22"/>
        <v>23213550</v>
      </c>
      <c r="CB13" s="39">
        <f>IF(($F13+$T13)&gt;='SHUI &amp; PIT'!$C$12,'SHUI &amp; PIT'!$C$12,($F13+$T13))</f>
        <v>16930000</v>
      </c>
      <c r="CC13" s="39">
        <f>IF(($F13+$T13)&gt;='SHUI &amp; PIT'!$C$13,'SHUI &amp; PIT'!$C$13,($F13+$T13))</f>
        <v>16930000</v>
      </c>
      <c r="CD13" s="39">
        <f t="shared" si="23"/>
        <v>0</v>
      </c>
      <c r="CE13" s="1">
        <f t="shared" si="35"/>
        <v>0</v>
      </c>
      <c r="CF13" s="9">
        <f>_xlfn.XLOOKUP(A13,'[2]Termination and others'!B$12:B$33,'[2]Termination and others'!F$12:F$33,0,0)</f>
        <v>0</v>
      </c>
      <c r="CG13" s="116">
        <f>VLOOKUP(A13,Main!$B$13:$BN$405,65,0)</f>
        <v>0</v>
      </c>
      <c r="CH13" s="9">
        <f t="shared" si="24"/>
        <v>0</v>
      </c>
      <c r="CI13" s="90"/>
      <c r="CJ13" s="16">
        <f t="shared" si="25"/>
        <v>18196666.666666668</v>
      </c>
    </row>
    <row r="14" spans="1:88" ht="15" customHeight="1">
      <c r="A14" s="14" t="s">
        <v>118</v>
      </c>
      <c r="B14" s="15"/>
      <c r="C14" s="117">
        <v>45166</v>
      </c>
      <c r="D14" s="94">
        <f t="shared" si="26"/>
        <v>176</v>
      </c>
      <c r="E14" s="50" t="s">
        <v>132</v>
      </c>
      <c r="F14" s="38">
        <v>75000000</v>
      </c>
      <c r="G14" s="38">
        <v>0</v>
      </c>
      <c r="H14" s="38">
        <v>1000000</v>
      </c>
      <c r="I14" s="38">
        <v>680000</v>
      </c>
      <c r="J14" s="38">
        <v>0</v>
      </c>
      <c r="K14" s="38">
        <v>0</v>
      </c>
      <c r="L14" s="38">
        <v>500000</v>
      </c>
      <c r="M14" s="38">
        <f>_xlfn.XLOOKUP(A14,Main!$B$13:$B$1048576,Main!$D$13:$D$1048576,0,0)*8</f>
        <v>192</v>
      </c>
      <c r="N14" s="48">
        <f>_xlfn.XLOOKUP(A14,Main!$B$13:$B$1048576,Main!$BQ$13:$BQ$1048576,0,0)</f>
        <v>192</v>
      </c>
      <c r="O14" s="48">
        <f>_xlfn.XLOOKUP(A14,Main!$B$13:$B$1048576,Main!$BR$13:$BR$1048576,0,0)</f>
        <v>152</v>
      </c>
      <c r="P14" s="39">
        <f t="shared" si="27"/>
        <v>75000000</v>
      </c>
      <c r="Q14" s="38">
        <f t="shared" si="28"/>
        <v>0</v>
      </c>
      <c r="R14" s="38">
        <f t="shared" si="6"/>
        <v>1000000</v>
      </c>
      <c r="S14" s="38">
        <f t="shared" si="7"/>
        <v>538333.33333333326</v>
      </c>
      <c r="T14" s="38">
        <f t="shared" si="29"/>
        <v>0</v>
      </c>
      <c r="U14" s="38">
        <f t="shared" si="30"/>
        <v>0</v>
      </c>
      <c r="V14" s="38">
        <f t="shared" si="8"/>
        <v>500000</v>
      </c>
      <c r="W14" s="38"/>
      <c r="X14" s="38"/>
      <c r="Y14" s="38"/>
      <c r="Z14" s="38"/>
      <c r="AA14" s="38"/>
      <c r="AB14" s="38"/>
      <c r="AC14" s="38"/>
      <c r="AD14" s="38"/>
      <c r="AE14" s="38" t="s">
        <v>88</v>
      </c>
      <c r="AF14" s="39"/>
      <c r="AG14" s="38"/>
      <c r="AH14" s="38">
        <v>750000</v>
      </c>
      <c r="AI14" s="38"/>
      <c r="AJ14" s="38"/>
      <c r="AK14" s="38"/>
      <c r="AL14" s="38"/>
      <c r="AM14" s="38"/>
      <c r="AN14" s="38"/>
      <c r="AO14" s="38">
        <f>_xlfn.XLOOKUP($A14,Main!$B$13:$B$35,Main!BU$13:BU$35,0,0)</f>
        <v>0</v>
      </c>
      <c r="AP14" s="38">
        <f>_xlfn.XLOOKUP($A14,Main!$B$13:$B$35,Main!BV$13:BV$35,0,0)</f>
        <v>0</v>
      </c>
      <c r="AQ14" s="38">
        <f>_xlfn.XLOOKUP($A14,Main!$B$13:$B$35,Main!BW$13:BW$35,0,0)</f>
        <v>0</v>
      </c>
      <c r="AR14" s="38">
        <f>_xlfn.XLOOKUP($A14,Main!$B$13:$B$35,Main!BX$13:BX$35,0,0)</f>
        <v>0</v>
      </c>
      <c r="AS14" s="38">
        <f>_xlfn.XLOOKUP($A14,Main!$B$13:$B$35,Main!BY$13:BY$35,0,0)</f>
        <v>0</v>
      </c>
      <c r="AT14" s="38">
        <f>_xlfn.XLOOKUP($A14,Main!$B$13:$B$35,Main!BZ$13:BZ$35,0,0)</f>
        <v>0</v>
      </c>
      <c r="AU14" s="38">
        <f>_xlfn.XLOOKUP($A14,Main!$B$13:$B$35,Main!CA$13:CA$35,0,0)</f>
        <v>0</v>
      </c>
      <c r="AV14" s="38">
        <f t="shared" si="9"/>
        <v>0</v>
      </c>
      <c r="AW14" s="38">
        <f t="shared" si="10"/>
        <v>0</v>
      </c>
      <c r="AX14" s="38">
        <f t="shared" si="11"/>
        <v>0</v>
      </c>
      <c r="AY14" s="38">
        <f t="shared" si="12"/>
        <v>0</v>
      </c>
      <c r="AZ14" s="38">
        <f t="shared" si="13"/>
        <v>0</v>
      </c>
      <c r="BA14" s="38">
        <f t="shared" si="14"/>
        <v>0</v>
      </c>
      <c r="BB14" s="38">
        <f t="shared" si="15"/>
        <v>0</v>
      </c>
      <c r="BC14" s="39">
        <f t="shared" si="31"/>
        <v>0</v>
      </c>
      <c r="BD14" s="39">
        <f t="shared" si="16"/>
        <v>77788333.333333328</v>
      </c>
      <c r="BE14" s="38"/>
      <c r="BF14" s="38"/>
      <c r="BG14" s="39">
        <f>ROUND($CB14*'SHUI &amp; PIT'!$F$11,0)</f>
        <v>2880000</v>
      </c>
      <c r="BH14" s="39">
        <f>ROUND($CB14*'SHUI &amp; PIT'!$G$11,0)</f>
        <v>540000</v>
      </c>
      <c r="BI14" s="39">
        <f>ROUND($CC14*'SHUI &amp; PIT'!$H$11,0)</f>
        <v>750000</v>
      </c>
      <c r="BJ14" s="39">
        <f t="shared" si="32"/>
        <v>4170000</v>
      </c>
      <c r="BK14" s="39">
        <f t="shared" si="17"/>
        <v>35000</v>
      </c>
      <c r="BL14" s="38">
        <f>VLOOKUP(A14,'[1]Payroll master '!B$12:AD$160,29,0)</f>
        <v>4</v>
      </c>
      <c r="BM14" s="39">
        <f t="shared" si="33"/>
        <v>28600000</v>
      </c>
      <c r="BN14" s="39">
        <f t="shared" si="18"/>
        <v>43480000</v>
      </c>
      <c r="BO14" s="39">
        <f>ROUND((VLOOKUP(BN14,'SHUI &amp; PIT'!$A$1:$C$8,2,1)*BN14-VLOOKUP(BN14,'SHUI &amp; PIT'!$A$1:$C$8,3,1)),0)</f>
        <v>7620000</v>
      </c>
      <c r="BP14" s="38">
        <f t="shared" si="34"/>
        <v>0</v>
      </c>
      <c r="BQ14" s="38"/>
      <c r="BR14" s="38"/>
      <c r="BS14" s="39">
        <f t="shared" si="19"/>
        <v>11825000</v>
      </c>
      <c r="BT14" s="39">
        <f t="shared" si="20"/>
        <v>65963333</v>
      </c>
      <c r="BU14" s="39">
        <f>ROUND($CB14*'SHUI &amp; PIT'!$F$12,0)</f>
        <v>6300000</v>
      </c>
      <c r="BV14" s="39">
        <f>ROUND($CB14*'SHUI &amp; PIT'!$G$12,0)</f>
        <v>1080000</v>
      </c>
      <c r="BW14" s="39">
        <f>ROUND($CC14*'SHUI &amp; PIT'!$H$12,0)</f>
        <v>750000</v>
      </c>
      <c r="BX14" s="38"/>
      <c r="BY14" s="39">
        <f t="shared" si="21"/>
        <v>8130000</v>
      </c>
      <c r="BZ14" s="39">
        <f>IF(BU14&gt;0,ROUND($CB14*'SHUI &amp; PIT'!$I$12,0),0)</f>
        <v>720000</v>
      </c>
      <c r="CA14" s="39">
        <f t="shared" si="22"/>
        <v>86638333.333333328</v>
      </c>
      <c r="CB14" s="39">
        <f>IF(($F14+$T14)&gt;='SHUI &amp; PIT'!$C$12,'SHUI &amp; PIT'!$C$12,($F14+$T14))</f>
        <v>36000000</v>
      </c>
      <c r="CC14" s="39">
        <f>IF(($F14+$T14)&gt;='SHUI &amp; PIT'!$C$13,'SHUI &amp; PIT'!$C$13,($F14+$T14))</f>
        <v>75000000</v>
      </c>
      <c r="CD14" s="39">
        <f t="shared" si="23"/>
        <v>0</v>
      </c>
      <c r="CE14" s="1">
        <f t="shared" si="35"/>
        <v>0</v>
      </c>
      <c r="CF14" s="9">
        <f>_xlfn.XLOOKUP(A14,'[2]Termination and others'!B$12:B$33,'[2]Termination and others'!F$12:F$33,0,0)</f>
        <v>0</v>
      </c>
      <c r="CG14" s="116">
        <f>VLOOKUP(A14,Main!$B$13:$BN$405,65,0)</f>
        <v>0</v>
      </c>
      <c r="CH14" s="9">
        <f t="shared" si="24"/>
        <v>0</v>
      </c>
      <c r="CI14" s="90"/>
      <c r="CJ14" s="16">
        <f t="shared" si="25"/>
        <v>76250000</v>
      </c>
    </row>
    <row r="15" spans="1:88" ht="15" customHeight="1">
      <c r="A15" s="14" t="s">
        <v>117</v>
      </c>
      <c r="B15" s="15"/>
      <c r="C15" s="117">
        <v>45174</v>
      </c>
      <c r="D15" s="94">
        <f t="shared" si="26"/>
        <v>168</v>
      </c>
      <c r="E15" s="50" t="s">
        <v>132</v>
      </c>
      <c r="F15" s="38">
        <v>20000000</v>
      </c>
      <c r="G15" s="38">
        <v>1200000</v>
      </c>
      <c r="H15" s="38">
        <v>500000</v>
      </c>
      <c r="I15" s="38">
        <v>680000</v>
      </c>
      <c r="J15" s="38">
        <v>0</v>
      </c>
      <c r="K15" s="38">
        <v>400000</v>
      </c>
      <c r="L15" s="38">
        <v>0</v>
      </c>
      <c r="M15" s="38">
        <f>_xlfn.XLOOKUP(A15,Main!$B$13:$B$1048576,Main!$D$13:$D$1048576,0,0)*8</f>
        <v>192</v>
      </c>
      <c r="N15" s="48">
        <f>_xlfn.XLOOKUP(A15,Main!$B$13:$B$1048576,Main!$BQ$13:$BQ$1048576,0,0)</f>
        <v>192</v>
      </c>
      <c r="O15" s="48">
        <f>_xlfn.XLOOKUP(A15,Main!$B$13:$B$1048576,Main!$BR$13:$BR$1048576,0,0)</f>
        <v>116</v>
      </c>
      <c r="P15" s="39">
        <f t="shared" si="27"/>
        <v>20000000</v>
      </c>
      <c r="Q15" s="38">
        <f t="shared" si="28"/>
        <v>725000</v>
      </c>
      <c r="R15" s="38">
        <f t="shared" si="6"/>
        <v>500000</v>
      </c>
      <c r="S15" s="38">
        <f t="shared" si="7"/>
        <v>410833.33333333331</v>
      </c>
      <c r="T15" s="38">
        <f t="shared" si="29"/>
        <v>0</v>
      </c>
      <c r="U15" s="38">
        <f t="shared" si="30"/>
        <v>241666.66666666669</v>
      </c>
      <c r="V15" s="38">
        <f t="shared" si="8"/>
        <v>0</v>
      </c>
      <c r="W15" s="38"/>
      <c r="X15" s="38"/>
      <c r="Y15" s="38"/>
      <c r="Z15" s="38"/>
      <c r="AA15" s="38"/>
      <c r="AB15" s="38"/>
      <c r="AC15" s="38"/>
      <c r="AD15" s="38"/>
      <c r="AE15" s="38" t="s">
        <v>88</v>
      </c>
      <c r="AF15" s="39"/>
      <c r="AG15" s="38"/>
      <c r="AH15" s="38">
        <v>200000</v>
      </c>
      <c r="AI15" s="38"/>
      <c r="AJ15" s="38"/>
      <c r="AK15" s="38"/>
      <c r="AL15" s="38"/>
      <c r="AM15" s="38"/>
      <c r="AN15" s="38"/>
      <c r="AO15" s="38">
        <f>_xlfn.XLOOKUP($A15,Main!$B$13:$B$35,Main!BU$13:BU$35,0,0)</f>
        <v>0</v>
      </c>
      <c r="AP15" s="38">
        <f>_xlfn.XLOOKUP($A15,Main!$B$13:$B$35,Main!BV$13:BV$35,0,0)</f>
        <v>0</v>
      </c>
      <c r="AQ15" s="38">
        <f>_xlfn.XLOOKUP($A15,Main!$B$13:$B$35,Main!BW$13:BW$35,0,0)</f>
        <v>0</v>
      </c>
      <c r="AR15" s="38">
        <f>_xlfn.XLOOKUP($A15,Main!$B$13:$B$35,Main!BX$13:BX$35,0,0)</f>
        <v>0</v>
      </c>
      <c r="AS15" s="38">
        <f>_xlfn.XLOOKUP($A15,Main!$B$13:$B$35,Main!BY$13:BY$35,0,0)</f>
        <v>0</v>
      </c>
      <c r="AT15" s="38">
        <f>_xlfn.XLOOKUP($A15,Main!$B$13:$B$35,Main!BZ$13:BZ$35,0,0)</f>
        <v>0</v>
      </c>
      <c r="AU15" s="38">
        <f>_xlfn.XLOOKUP($A15,Main!$B$13:$B$35,Main!CA$13:CA$35,0,0)</f>
        <v>0</v>
      </c>
      <c r="AV15" s="38">
        <f t="shared" si="9"/>
        <v>0</v>
      </c>
      <c r="AW15" s="38">
        <f t="shared" si="10"/>
        <v>0</v>
      </c>
      <c r="AX15" s="38">
        <f t="shared" si="11"/>
        <v>0</v>
      </c>
      <c r="AY15" s="38">
        <f t="shared" si="12"/>
        <v>0</v>
      </c>
      <c r="AZ15" s="38">
        <f t="shared" si="13"/>
        <v>0</v>
      </c>
      <c r="BA15" s="38">
        <f t="shared" si="14"/>
        <v>0</v>
      </c>
      <c r="BB15" s="38">
        <f t="shared" si="15"/>
        <v>0</v>
      </c>
      <c r="BC15" s="39">
        <f t="shared" si="31"/>
        <v>0</v>
      </c>
      <c r="BD15" s="39">
        <f t="shared" si="16"/>
        <v>22077500</v>
      </c>
      <c r="BE15" s="38"/>
      <c r="BF15" s="38"/>
      <c r="BG15" s="39">
        <f>ROUND($CB15*'SHUI &amp; PIT'!$F$11,0)</f>
        <v>1600000</v>
      </c>
      <c r="BH15" s="39">
        <f>ROUND($CB15*'SHUI &amp; PIT'!$G$11,0)</f>
        <v>300000</v>
      </c>
      <c r="BI15" s="39">
        <f>ROUND($CC15*'SHUI &amp; PIT'!$H$11,0)</f>
        <v>200000</v>
      </c>
      <c r="BJ15" s="39">
        <f t="shared" si="32"/>
        <v>2100000</v>
      </c>
      <c r="BK15" s="39">
        <f t="shared" si="17"/>
        <v>35000</v>
      </c>
      <c r="BL15" s="38">
        <f>VLOOKUP(A15,'[1]Payroll master '!B$12:AD$160,29,0)</f>
        <v>0</v>
      </c>
      <c r="BM15" s="39">
        <f t="shared" si="33"/>
        <v>11000000</v>
      </c>
      <c r="BN15" s="39">
        <f t="shared" si="18"/>
        <v>8066667</v>
      </c>
      <c r="BO15" s="39">
        <f>ROUND((VLOOKUP(BN15,'SHUI &amp; PIT'!$A$1:$C$8,2,1)*BN15-VLOOKUP(BN15,'SHUI &amp; PIT'!$A$1:$C$8,3,1)),0)</f>
        <v>556667</v>
      </c>
      <c r="BP15" s="38">
        <f t="shared" si="34"/>
        <v>0</v>
      </c>
      <c r="BQ15" s="38"/>
      <c r="BR15" s="38"/>
      <c r="BS15" s="39">
        <f t="shared" si="19"/>
        <v>2691667</v>
      </c>
      <c r="BT15" s="39">
        <f t="shared" si="20"/>
        <v>19385833</v>
      </c>
      <c r="BU15" s="39">
        <f>ROUND($CB15*'SHUI &amp; PIT'!$F$12,0)</f>
        <v>3500000</v>
      </c>
      <c r="BV15" s="39">
        <f>ROUND($CB15*'SHUI &amp; PIT'!$G$12,0)</f>
        <v>600000</v>
      </c>
      <c r="BW15" s="39">
        <f>ROUND($CC15*'SHUI &amp; PIT'!$H$12,0)</f>
        <v>200000</v>
      </c>
      <c r="BX15" s="38"/>
      <c r="BY15" s="39">
        <f t="shared" si="21"/>
        <v>4300000</v>
      </c>
      <c r="BZ15" s="39">
        <f>IF(BU15&gt;0,ROUND($CB15*'SHUI &amp; PIT'!$I$12,0),0)</f>
        <v>400000</v>
      </c>
      <c r="CA15" s="39">
        <f t="shared" si="22"/>
        <v>26777500</v>
      </c>
      <c r="CB15" s="39">
        <f>IF(($F15+$T15)&gt;='SHUI &amp; PIT'!$C$12,'SHUI &amp; PIT'!$C$12,($F15+$T15))</f>
        <v>20000000</v>
      </c>
      <c r="CC15" s="39">
        <f>IF(($F15+$T15)&gt;='SHUI &amp; PIT'!$C$13,'SHUI &amp; PIT'!$C$13,($F15+$T15))</f>
        <v>20000000</v>
      </c>
      <c r="CD15" s="39">
        <f t="shared" si="23"/>
        <v>0</v>
      </c>
      <c r="CE15" s="1">
        <f t="shared" si="35"/>
        <v>0</v>
      </c>
      <c r="CF15" s="9">
        <f>_xlfn.XLOOKUP(A15,'[2]Termination and others'!B$12:B$33,'[2]Termination and others'!F$12:F$33,0,0)</f>
        <v>0</v>
      </c>
      <c r="CG15" s="116">
        <f>VLOOKUP(A15,Main!$B$13:$BN$405,65,0)</f>
        <v>0</v>
      </c>
      <c r="CH15" s="9">
        <f t="shared" si="24"/>
        <v>0</v>
      </c>
      <c r="CI15" s="90"/>
      <c r="CJ15" s="16">
        <f t="shared" si="25"/>
        <v>21166666.666666668</v>
      </c>
    </row>
    <row r="16" spans="1:88" ht="15" customHeight="1">
      <c r="A16" s="14" t="s">
        <v>113</v>
      </c>
      <c r="B16" s="15"/>
      <c r="C16" s="117">
        <v>37438</v>
      </c>
      <c r="D16" s="94">
        <f t="shared" si="26"/>
        <v>7904</v>
      </c>
      <c r="E16" s="50" t="s">
        <v>132</v>
      </c>
      <c r="F16" s="38">
        <v>16530000</v>
      </c>
      <c r="G16" s="38">
        <v>1200000</v>
      </c>
      <c r="H16" s="38">
        <v>500000</v>
      </c>
      <c r="I16" s="38">
        <v>680000</v>
      </c>
      <c r="J16" s="38">
        <v>1320000</v>
      </c>
      <c r="K16" s="38">
        <v>400000</v>
      </c>
      <c r="L16" s="38">
        <v>0</v>
      </c>
      <c r="M16" s="38">
        <f>_xlfn.XLOOKUP(A16,Main!$B$13:$B$1048576,Main!$D$13:$D$1048576,0,0)*8</f>
        <v>192</v>
      </c>
      <c r="N16" s="48">
        <f>_xlfn.XLOOKUP(A16,Main!$B$13:$B$1048576,Main!$BQ$13:$BQ$1048576,0,0)</f>
        <v>192</v>
      </c>
      <c r="O16" s="48">
        <f>_xlfn.XLOOKUP(A16,Main!$B$13:$B$1048576,Main!$BR$13:$BR$1048576,0,0)</f>
        <v>152</v>
      </c>
      <c r="P16" s="39">
        <f t="shared" si="27"/>
        <v>16530000</v>
      </c>
      <c r="Q16" s="38">
        <f t="shared" si="28"/>
        <v>950000</v>
      </c>
      <c r="R16" s="38">
        <f t="shared" si="6"/>
        <v>500000</v>
      </c>
      <c r="S16" s="38">
        <f t="shared" si="7"/>
        <v>538333.33333333326</v>
      </c>
      <c r="T16" s="38">
        <f t="shared" si="29"/>
        <v>1320000</v>
      </c>
      <c r="U16" s="38">
        <f t="shared" si="30"/>
        <v>316666.66666666669</v>
      </c>
      <c r="V16" s="38">
        <f t="shared" si="8"/>
        <v>0</v>
      </c>
      <c r="W16" s="38"/>
      <c r="X16" s="38"/>
      <c r="Y16" s="38"/>
      <c r="Z16" s="38"/>
      <c r="AA16" s="38"/>
      <c r="AB16" s="38"/>
      <c r="AC16" s="38"/>
      <c r="AD16" s="38"/>
      <c r="AE16" s="38" t="s">
        <v>88</v>
      </c>
      <c r="AF16" s="39"/>
      <c r="AG16" s="38"/>
      <c r="AH16" s="38">
        <v>400000</v>
      </c>
      <c r="AI16" s="38"/>
      <c r="AJ16" s="38"/>
      <c r="AK16" s="38"/>
      <c r="AL16" s="38"/>
      <c r="AM16" s="38"/>
      <c r="AN16" s="38"/>
      <c r="AO16" s="38">
        <f>_xlfn.XLOOKUP($A16,Main!$B$13:$B$35,Main!BU$13:BU$35,0,0)</f>
        <v>0</v>
      </c>
      <c r="AP16" s="38">
        <f>_xlfn.XLOOKUP($A16,Main!$B$13:$B$35,Main!BV$13:BV$35,0,0)</f>
        <v>0</v>
      </c>
      <c r="AQ16" s="38">
        <f>_xlfn.XLOOKUP($A16,Main!$B$13:$B$35,Main!BW$13:BW$35,0,0)</f>
        <v>0</v>
      </c>
      <c r="AR16" s="38">
        <f>_xlfn.XLOOKUP($A16,Main!$B$13:$B$35,Main!BX$13:BX$35,0,0)</f>
        <v>0</v>
      </c>
      <c r="AS16" s="38">
        <f>_xlfn.XLOOKUP($A16,Main!$B$13:$B$35,Main!BY$13:BY$35,0,0)</f>
        <v>0</v>
      </c>
      <c r="AT16" s="38">
        <f>_xlfn.XLOOKUP($A16,Main!$B$13:$B$35,Main!BZ$13:BZ$35,0,0)</f>
        <v>0</v>
      </c>
      <c r="AU16" s="38">
        <f>_xlfn.XLOOKUP($A16,Main!$B$13:$B$35,Main!CA$13:CA$35,0,0)</f>
        <v>0</v>
      </c>
      <c r="AV16" s="38">
        <f t="shared" si="9"/>
        <v>0</v>
      </c>
      <c r="AW16" s="38">
        <f t="shared" si="10"/>
        <v>0</v>
      </c>
      <c r="AX16" s="38">
        <f t="shared" si="11"/>
        <v>0</v>
      </c>
      <c r="AY16" s="38">
        <f t="shared" si="12"/>
        <v>0</v>
      </c>
      <c r="AZ16" s="38">
        <f t="shared" si="13"/>
        <v>0</v>
      </c>
      <c r="BA16" s="38">
        <f t="shared" si="14"/>
        <v>0</v>
      </c>
      <c r="BB16" s="38">
        <f t="shared" si="15"/>
        <v>0</v>
      </c>
      <c r="BC16" s="39">
        <f t="shared" si="31"/>
        <v>0</v>
      </c>
      <c r="BD16" s="39">
        <f t="shared" si="16"/>
        <v>20555000</v>
      </c>
      <c r="BE16" s="38"/>
      <c r="BF16" s="38"/>
      <c r="BG16" s="39">
        <f>ROUND($CB16*'SHUI &amp; PIT'!$F$11,0)</f>
        <v>1428000</v>
      </c>
      <c r="BH16" s="39">
        <f>ROUND($CB16*'SHUI &amp; PIT'!$G$11,0)</f>
        <v>267750</v>
      </c>
      <c r="BI16" s="39">
        <f>ROUND($CC16*'SHUI &amp; PIT'!$H$11,0)</f>
        <v>178500</v>
      </c>
      <c r="BJ16" s="39">
        <f t="shared" si="32"/>
        <v>1874250</v>
      </c>
      <c r="BK16" s="39">
        <f t="shared" si="17"/>
        <v>35000</v>
      </c>
      <c r="BL16" s="38">
        <f>VLOOKUP(A16,'[1]Payroll master '!B$12:AD$160,29,0)</f>
        <v>0</v>
      </c>
      <c r="BM16" s="39">
        <f t="shared" si="33"/>
        <v>11000000</v>
      </c>
      <c r="BN16" s="39">
        <f t="shared" ref="BN16:BN24" si="36">ROUND(IF((CJ16-BJ16-BM16-BR16)&lt;0,0,(CJ16-BJ16-BM16-BR16)),0)</f>
        <v>6642417</v>
      </c>
      <c r="BO16" s="39">
        <f>ROUND((VLOOKUP(BN16,'SHUI &amp; PIT'!$A$1:$C$8,2,1)*BN16-VLOOKUP(BN16,'SHUI &amp; PIT'!$A$1:$C$8,3,1)),0)</f>
        <v>414242</v>
      </c>
      <c r="BP16" s="38">
        <f t="shared" si="34"/>
        <v>0</v>
      </c>
      <c r="BQ16" s="38"/>
      <c r="BR16" s="38"/>
      <c r="BS16" s="39">
        <f t="shared" ref="BS16:BS24" si="37">BJ16+BO16+BP16+BR16+BE16+BF16+BQ16+BK16</f>
        <v>2323492</v>
      </c>
      <c r="BT16" s="39">
        <f t="shared" ref="BT16:BT24" si="38">ROUND(IF((BD16-BS16)&lt;0,0,(BD16-BS16)),0)</f>
        <v>18231508</v>
      </c>
      <c r="BU16" s="39">
        <f>ROUND($CB16*'SHUI &amp; PIT'!$F$12,0)</f>
        <v>3123750</v>
      </c>
      <c r="BV16" s="39">
        <f>ROUND($CB16*'SHUI &amp; PIT'!$G$12,0)</f>
        <v>535500</v>
      </c>
      <c r="BW16" s="39">
        <f>ROUND($CC16*'SHUI &amp; PIT'!$H$12,0)</f>
        <v>178500</v>
      </c>
      <c r="BX16" s="38"/>
      <c r="BY16" s="39">
        <f t="shared" ref="BY16:BY24" si="39">SUM(BU16:BX16)</f>
        <v>3837750</v>
      </c>
      <c r="BZ16" s="39">
        <f>IF(BU16&gt;0,ROUND($CB16*'SHUI &amp; PIT'!$I$12,0),0)</f>
        <v>357000</v>
      </c>
      <c r="CA16" s="39">
        <f t="shared" ref="CA16:CA24" si="40">BD16+BY16-AC16+BZ16-BQ16</f>
        <v>24749750</v>
      </c>
      <c r="CB16" s="39">
        <f>IF(($F16+$T16)&gt;='SHUI &amp; PIT'!$C$12,'SHUI &amp; PIT'!$C$12,($F16+$T16))</f>
        <v>17850000</v>
      </c>
      <c r="CC16" s="39">
        <f>IF(($F16+$T16)&gt;='SHUI &amp; PIT'!$C$13,'SHUI &amp; PIT'!$C$13,($F16+$T16))</f>
        <v>17850000</v>
      </c>
      <c r="CD16" s="39">
        <f t="shared" si="23"/>
        <v>0</v>
      </c>
      <c r="CE16" s="1">
        <f t="shared" si="35"/>
        <v>0</v>
      </c>
      <c r="CF16" s="9">
        <f>_xlfn.XLOOKUP(A16,'[2]Termination and others'!B$12:B$33,'[2]Termination and others'!F$12:F$33,0,0)</f>
        <v>0</v>
      </c>
      <c r="CG16" s="116">
        <f>VLOOKUP(A16,Main!$B$13:$BN$405,65,0)</f>
        <v>0</v>
      </c>
      <c r="CH16" s="9">
        <f t="shared" si="24"/>
        <v>0</v>
      </c>
      <c r="CI16" s="90"/>
      <c r="CJ16" s="16">
        <f t="shared" si="25"/>
        <v>19516666.666666668</v>
      </c>
    </row>
    <row r="17" spans="1:88" s="141" customFormat="1" ht="15" customHeight="1">
      <c r="A17" s="133" t="s">
        <v>114</v>
      </c>
      <c r="B17" s="134"/>
      <c r="C17" s="135">
        <v>37867</v>
      </c>
      <c r="D17" s="136">
        <f t="shared" si="26"/>
        <v>7475</v>
      </c>
      <c r="E17" s="137" t="s">
        <v>132</v>
      </c>
      <c r="F17" s="138">
        <v>28550000</v>
      </c>
      <c r="G17" s="138">
        <v>810000</v>
      </c>
      <c r="H17" s="138">
        <v>1000000</v>
      </c>
      <c r="I17" s="138">
        <v>680000</v>
      </c>
      <c r="J17" s="138">
        <v>2750000</v>
      </c>
      <c r="K17" s="138">
        <v>400000</v>
      </c>
      <c r="L17" s="138">
        <v>500000</v>
      </c>
      <c r="M17" s="138">
        <f>_xlfn.XLOOKUP(A17,Main!$B$13:$B$1048576,Main!$D$13:$D$1048576,0,0)*8</f>
        <v>192</v>
      </c>
      <c r="N17" s="139">
        <f>_xlfn.XLOOKUP(A17,Main!$B$13:$B$1048576,Main!$BQ$13:$BQ$1048576,0,0)</f>
        <v>192</v>
      </c>
      <c r="O17" s="139">
        <f>_xlfn.XLOOKUP(A17,Main!$B$13:$B$1048576,Main!$BR$13:$BR$1048576,0,0)</f>
        <v>128</v>
      </c>
      <c r="P17" s="140">
        <f t="shared" si="27"/>
        <v>28550000</v>
      </c>
      <c r="Q17" s="138">
        <f t="shared" si="28"/>
        <v>540000</v>
      </c>
      <c r="R17" s="138">
        <f t="shared" si="6"/>
        <v>1000000</v>
      </c>
      <c r="S17" s="138">
        <f t="shared" si="7"/>
        <v>453333.33333333331</v>
      </c>
      <c r="T17" s="138">
        <f t="shared" si="29"/>
        <v>2750000</v>
      </c>
      <c r="U17" s="138">
        <f t="shared" si="30"/>
        <v>266666.66666666669</v>
      </c>
      <c r="V17" s="138">
        <f t="shared" si="8"/>
        <v>500000</v>
      </c>
      <c r="W17" s="138"/>
      <c r="X17" s="138"/>
      <c r="Y17" s="138"/>
      <c r="Z17" s="138"/>
      <c r="AA17" s="138"/>
      <c r="AB17" s="138"/>
      <c r="AC17" s="138"/>
      <c r="AD17" s="138"/>
      <c r="AE17" s="138" t="s">
        <v>88</v>
      </c>
      <c r="AF17" s="140"/>
      <c r="AG17" s="138"/>
      <c r="AH17" s="138"/>
      <c r="AI17" s="138"/>
      <c r="AJ17" s="138"/>
      <c r="AK17" s="138"/>
      <c r="AL17" s="138"/>
      <c r="AM17" s="138"/>
      <c r="AN17" s="138"/>
      <c r="AO17" s="138">
        <f>_xlfn.XLOOKUP($A17,Main!$B$13:$B$35,Main!BU$13:BU$35,0,0)</f>
        <v>0</v>
      </c>
      <c r="AP17" s="138">
        <f>_xlfn.XLOOKUP($A17,Main!$B$13:$B$35,Main!BV$13:BV$35,0,0)</f>
        <v>0</v>
      </c>
      <c r="AQ17" s="138">
        <f>_xlfn.XLOOKUP($A17,Main!$B$13:$B$35,Main!BW$13:BW$35,0,0)</f>
        <v>0</v>
      </c>
      <c r="AR17" s="138">
        <f>_xlfn.XLOOKUP($A17,Main!$B$13:$B$35,Main!BX$13:BX$35,0,0)</f>
        <v>0</v>
      </c>
      <c r="AS17" s="138">
        <f>_xlfn.XLOOKUP($A17,Main!$B$13:$B$35,Main!BY$13:BY$35,0,0)</f>
        <v>0</v>
      </c>
      <c r="AT17" s="138">
        <f>_xlfn.XLOOKUP($A17,Main!$B$13:$B$35,Main!BZ$13:BZ$35,0,0)</f>
        <v>0</v>
      </c>
      <c r="AU17" s="138">
        <f>_xlfn.XLOOKUP($A17,Main!$B$13:$B$35,Main!CA$13:CA$35,0,0)</f>
        <v>0</v>
      </c>
      <c r="AV17" s="138">
        <f t="shared" si="9"/>
        <v>0</v>
      </c>
      <c r="AW17" s="138">
        <f t="shared" si="10"/>
        <v>0</v>
      </c>
      <c r="AX17" s="138">
        <f t="shared" si="11"/>
        <v>0</v>
      </c>
      <c r="AY17" s="138">
        <f t="shared" si="12"/>
        <v>0</v>
      </c>
      <c r="AZ17" s="138">
        <f t="shared" si="13"/>
        <v>0</v>
      </c>
      <c r="BA17" s="138">
        <f t="shared" si="14"/>
        <v>0</v>
      </c>
      <c r="BB17" s="138">
        <f t="shared" si="15"/>
        <v>0</v>
      </c>
      <c r="BC17" s="140">
        <f t="shared" si="31"/>
        <v>0</v>
      </c>
      <c r="BD17" s="140">
        <f t="shared" si="16"/>
        <v>34060000</v>
      </c>
      <c r="BE17" s="138"/>
      <c r="BF17" s="138"/>
      <c r="BG17" s="140">
        <f>ROUND($CB17*'SHUI &amp; PIT'!$F$11,0)</f>
        <v>2504000</v>
      </c>
      <c r="BH17" s="140">
        <f>ROUND($CB17*'SHUI &amp; PIT'!$G$11,0)</f>
        <v>469500</v>
      </c>
      <c r="BI17" s="140">
        <f>ROUND($CC17*'SHUI &amp; PIT'!$H$11,0)</f>
        <v>313000</v>
      </c>
      <c r="BJ17" s="140">
        <f t="shared" si="32"/>
        <v>3286500</v>
      </c>
      <c r="BK17" s="140">
        <f t="shared" si="17"/>
        <v>35000</v>
      </c>
      <c r="BL17" s="138">
        <f>VLOOKUP(A17,'[1]Payroll master '!B$12:AD$160,29,0)</f>
        <v>0</v>
      </c>
      <c r="BM17" s="140">
        <f t="shared" si="33"/>
        <v>11000000</v>
      </c>
      <c r="BN17" s="140">
        <f t="shared" si="36"/>
        <v>18320167</v>
      </c>
      <c r="BO17" s="140">
        <f>ROUND((VLOOKUP(BN17,'SHUI &amp; PIT'!$A$1:$C$8,2,1)*BN17-VLOOKUP(BN17,'SHUI &amp; PIT'!$A$1:$C$8,3,1)),0)</f>
        <v>2014033</v>
      </c>
      <c r="BP17" s="138">
        <f t="shared" si="34"/>
        <v>0</v>
      </c>
      <c r="BQ17" s="138"/>
      <c r="BR17" s="138"/>
      <c r="BS17" s="140">
        <f>BJ17+BO17+BP17+BR17+BE17+BF17+BQ17+BK17</f>
        <v>5335533</v>
      </c>
      <c r="BT17" s="140">
        <f t="shared" si="38"/>
        <v>28724467</v>
      </c>
      <c r="BU17" s="140">
        <f>ROUND($CB17*'SHUI &amp; PIT'!$F$12,0)</f>
        <v>5477500</v>
      </c>
      <c r="BV17" s="140">
        <f>ROUND($CB17*'SHUI &amp; PIT'!$G$12,0)</f>
        <v>939000</v>
      </c>
      <c r="BW17" s="140">
        <f>ROUND($CC17*'SHUI &amp; PIT'!$H$12,0)</f>
        <v>313000</v>
      </c>
      <c r="BX17" s="138"/>
      <c r="BY17" s="140">
        <f>SUM(BU17:BX17)</f>
        <v>6729500</v>
      </c>
      <c r="BZ17" s="140">
        <f>IF(BU17&gt;0,ROUND($CB17*'SHUI &amp; PIT'!$I$12,0),0)</f>
        <v>626000</v>
      </c>
      <c r="CA17" s="140">
        <f t="shared" si="40"/>
        <v>41415500</v>
      </c>
      <c r="CB17" s="140">
        <f>IF(($F17+$T17)&gt;='SHUI &amp; PIT'!$C$12,'SHUI &amp; PIT'!$C$12,($F17+$T17))</f>
        <v>31300000</v>
      </c>
      <c r="CC17" s="140">
        <f>IF(($F17+$T17)&gt;='SHUI &amp; PIT'!$C$13,'SHUI &amp; PIT'!$C$13,($F17+$T17))</f>
        <v>31300000</v>
      </c>
      <c r="CD17" s="140">
        <f t="shared" si="23"/>
        <v>0</v>
      </c>
      <c r="CE17" s="141">
        <f t="shared" si="35"/>
        <v>0</v>
      </c>
      <c r="CF17" s="142">
        <f>_xlfn.XLOOKUP(A17,'[2]Termination and others'!B$12:B$33,'[2]Termination and others'!F$12:F$33,0,0)</f>
        <v>0</v>
      </c>
      <c r="CG17" s="143">
        <f>VLOOKUP(A17,Main!$B$13:$BN$405,65,0)</f>
        <v>0</v>
      </c>
      <c r="CH17" s="142">
        <f t="shared" si="24"/>
        <v>0</v>
      </c>
      <c r="CI17" s="144"/>
      <c r="CJ17" s="145">
        <f t="shared" si="25"/>
        <v>32606666.666666668</v>
      </c>
    </row>
    <row r="18" spans="1:88" ht="15" customHeight="1">
      <c r="A18" s="14" t="s">
        <v>115</v>
      </c>
      <c r="B18" s="15"/>
      <c r="C18" s="117">
        <v>39204</v>
      </c>
      <c r="D18" s="94">
        <f t="shared" si="26"/>
        <v>6138</v>
      </c>
      <c r="E18" s="50" t="s">
        <v>132</v>
      </c>
      <c r="F18" s="38">
        <v>17630000</v>
      </c>
      <c r="G18" s="38">
        <v>1200000</v>
      </c>
      <c r="H18" s="38">
        <v>500000</v>
      </c>
      <c r="I18" s="38">
        <v>680000</v>
      </c>
      <c r="J18" s="38">
        <v>1320000</v>
      </c>
      <c r="K18" s="38">
        <v>400000</v>
      </c>
      <c r="L18" s="38">
        <v>0</v>
      </c>
      <c r="M18" s="38">
        <f>_xlfn.XLOOKUP(A18,Main!$B$13:$B$1048576,Main!$D$13:$D$1048576,0,0)*8</f>
        <v>192</v>
      </c>
      <c r="N18" s="48">
        <f>_xlfn.XLOOKUP(A18,Main!$B$13:$B$1048576,Main!$BQ$13:$BQ$1048576,0,0)</f>
        <v>192</v>
      </c>
      <c r="O18" s="48">
        <f>_xlfn.XLOOKUP(A18,Main!$B$13:$B$1048576,Main!$BR$13:$BR$1048576,0,0)</f>
        <v>152</v>
      </c>
      <c r="P18" s="39">
        <f t="shared" si="27"/>
        <v>17630000</v>
      </c>
      <c r="Q18" s="38">
        <f t="shared" si="28"/>
        <v>950000</v>
      </c>
      <c r="R18" s="38">
        <f t="shared" si="6"/>
        <v>500000</v>
      </c>
      <c r="S18" s="38">
        <f t="shared" si="7"/>
        <v>538333.33333333326</v>
      </c>
      <c r="T18" s="38">
        <f t="shared" si="29"/>
        <v>1320000</v>
      </c>
      <c r="U18" s="38">
        <f t="shared" si="30"/>
        <v>316666.66666666669</v>
      </c>
      <c r="V18" s="38">
        <f t="shared" si="8"/>
        <v>0</v>
      </c>
      <c r="W18" s="38"/>
      <c r="X18" s="38"/>
      <c r="Y18" s="38"/>
      <c r="Z18" s="38"/>
      <c r="AA18" s="38"/>
      <c r="AB18" s="38"/>
      <c r="AC18" s="38"/>
      <c r="AD18" s="38"/>
      <c r="AE18" s="38" t="s">
        <v>88</v>
      </c>
      <c r="AF18" s="39"/>
      <c r="AG18" s="38"/>
      <c r="AH18" s="38">
        <v>600000</v>
      </c>
      <c r="AI18" s="38"/>
      <c r="AJ18" s="38"/>
      <c r="AK18" s="38"/>
      <c r="AL18" s="38"/>
      <c r="AM18" s="38"/>
      <c r="AN18" s="38"/>
      <c r="AO18" s="38">
        <f>_xlfn.XLOOKUP($A18,Main!$B$13:$B$35,Main!BU$13:BU$35,0,0)</f>
        <v>0</v>
      </c>
      <c r="AP18" s="38">
        <f>_xlfn.XLOOKUP($A18,Main!$B$13:$B$35,Main!BV$13:BV$35,0,0)</f>
        <v>0</v>
      </c>
      <c r="AQ18" s="38">
        <f>_xlfn.XLOOKUP($A18,Main!$B$13:$B$35,Main!BW$13:BW$35,0,0)</f>
        <v>0</v>
      </c>
      <c r="AR18" s="38">
        <f>_xlfn.XLOOKUP($A18,Main!$B$13:$B$35,Main!BX$13:BX$35,0,0)</f>
        <v>0</v>
      </c>
      <c r="AS18" s="38">
        <f>_xlfn.XLOOKUP($A18,Main!$B$13:$B$35,Main!BY$13:BY$35,0,0)</f>
        <v>0</v>
      </c>
      <c r="AT18" s="38">
        <f>_xlfn.XLOOKUP($A18,Main!$B$13:$B$35,Main!BZ$13:BZ$35,0,0)</f>
        <v>0</v>
      </c>
      <c r="AU18" s="38">
        <f>_xlfn.XLOOKUP($A18,Main!$B$13:$B$35,Main!CA$13:CA$35,0,0)</f>
        <v>0</v>
      </c>
      <c r="AV18" s="38">
        <f t="shared" si="9"/>
        <v>0</v>
      </c>
      <c r="AW18" s="38">
        <f t="shared" si="10"/>
        <v>0</v>
      </c>
      <c r="AX18" s="38">
        <f t="shared" si="11"/>
        <v>0</v>
      </c>
      <c r="AY18" s="38">
        <f t="shared" si="12"/>
        <v>0</v>
      </c>
      <c r="AZ18" s="38">
        <f t="shared" si="13"/>
        <v>0</v>
      </c>
      <c r="BA18" s="38">
        <f t="shared" si="14"/>
        <v>0</v>
      </c>
      <c r="BB18" s="38">
        <f t="shared" si="15"/>
        <v>0</v>
      </c>
      <c r="BC18" s="39">
        <f t="shared" si="31"/>
        <v>0</v>
      </c>
      <c r="BD18" s="39">
        <f t="shared" si="16"/>
        <v>21855000</v>
      </c>
      <c r="BE18" s="38"/>
      <c r="BF18" s="38"/>
      <c r="BG18" s="39">
        <f>ROUND($CB18*'SHUI &amp; PIT'!$F$11,0)</f>
        <v>1516000</v>
      </c>
      <c r="BH18" s="39">
        <f>ROUND($CB18*'SHUI &amp; PIT'!$G$11,0)</f>
        <v>284250</v>
      </c>
      <c r="BI18" s="39">
        <f>ROUND($CC18*'SHUI &amp; PIT'!$H$11,0)</f>
        <v>189500</v>
      </c>
      <c r="BJ18" s="39">
        <f t="shared" si="32"/>
        <v>1989750</v>
      </c>
      <c r="BK18" s="39">
        <f t="shared" si="17"/>
        <v>35000</v>
      </c>
      <c r="BL18" s="38">
        <f>VLOOKUP(A18,'[1]Payroll master '!B$12:AD$160,29,0)</f>
        <v>2</v>
      </c>
      <c r="BM18" s="39">
        <f t="shared" si="33"/>
        <v>19800000</v>
      </c>
      <c r="BN18" s="39">
        <f t="shared" si="36"/>
        <v>0</v>
      </c>
      <c r="BO18" s="39">
        <f>ROUND((VLOOKUP(BN18,'SHUI &amp; PIT'!$A$1:$C$8,2,1)*BN18-VLOOKUP(BN18,'SHUI &amp; PIT'!$A$1:$C$8,3,1)),0)</f>
        <v>0</v>
      </c>
      <c r="BP18" s="38">
        <f t="shared" si="34"/>
        <v>0</v>
      </c>
      <c r="BQ18" s="38"/>
      <c r="BR18" s="38"/>
      <c r="BS18" s="39">
        <f t="shared" si="37"/>
        <v>2024750</v>
      </c>
      <c r="BT18" s="39">
        <f t="shared" si="38"/>
        <v>19830250</v>
      </c>
      <c r="BU18" s="39">
        <f>ROUND($CB18*'SHUI &amp; PIT'!$F$12,0)</f>
        <v>3316250</v>
      </c>
      <c r="BV18" s="39">
        <f>ROUND($CB18*'SHUI &amp; PIT'!$G$12,0)</f>
        <v>568500</v>
      </c>
      <c r="BW18" s="39">
        <f>ROUND($CC18*'SHUI &amp; PIT'!$H$12,0)</f>
        <v>189500</v>
      </c>
      <c r="BX18" s="38"/>
      <c r="BY18" s="39">
        <f t="shared" si="39"/>
        <v>4074250</v>
      </c>
      <c r="BZ18" s="39">
        <f>IF(BU18&gt;0,ROUND($CB18*'SHUI &amp; PIT'!$I$12,0),0)</f>
        <v>379000</v>
      </c>
      <c r="CA18" s="39">
        <f t="shared" si="40"/>
        <v>26308250</v>
      </c>
      <c r="CB18" s="39">
        <f>IF(($F18+$T18)&gt;='SHUI &amp; PIT'!$C$12,'SHUI &amp; PIT'!$C$12,($F18+$T18))</f>
        <v>18950000</v>
      </c>
      <c r="CC18" s="39">
        <f>IF(($F18+$T18)&gt;='SHUI &amp; PIT'!$C$13,'SHUI &amp; PIT'!$C$13,($F18+$T18))</f>
        <v>18950000</v>
      </c>
      <c r="CD18" s="39">
        <f t="shared" si="23"/>
        <v>0</v>
      </c>
      <c r="CE18" s="1">
        <f t="shared" si="35"/>
        <v>0</v>
      </c>
      <c r="CF18" s="9">
        <f>_xlfn.XLOOKUP(A18,'[2]Termination and others'!B$12:B$33,'[2]Termination and others'!F$12:F$33,0,0)</f>
        <v>0</v>
      </c>
      <c r="CG18" s="116">
        <f>VLOOKUP(A18,Main!$B$13:$BN$405,65,0)</f>
        <v>0</v>
      </c>
      <c r="CH18" s="9">
        <f t="shared" si="24"/>
        <v>0</v>
      </c>
      <c r="CI18" s="90"/>
      <c r="CJ18" s="16">
        <f t="shared" si="25"/>
        <v>20816666.666666668</v>
      </c>
    </row>
    <row r="19" spans="1:88" ht="15" customHeight="1">
      <c r="A19" s="14" t="s">
        <v>116</v>
      </c>
      <c r="B19" s="15"/>
      <c r="C19" s="117">
        <v>41855</v>
      </c>
      <c r="D19" s="118">
        <v>0</v>
      </c>
      <c r="E19" s="50" t="s">
        <v>132</v>
      </c>
      <c r="F19" s="38">
        <v>11400000</v>
      </c>
      <c r="G19" s="38">
        <v>1200000</v>
      </c>
      <c r="H19" s="38">
        <v>500000</v>
      </c>
      <c r="I19" s="38">
        <v>680000</v>
      </c>
      <c r="J19" s="38">
        <v>1320000</v>
      </c>
      <c r="K19" s="38">
        <v>400000</v>
      </c>
      <c r="L19" s="38">
        <v>0</v>
      </c>
      <c r="M19" s="38">
        <f>_xlfn.XLOOKUP(A19,Main!$B$13:$B$1048576,Main!$D$13:$D$1048576,0,0)*8</f>
        <v>192</v>
      </c>
      <c r="N19" s="48">
        <f>_xlfn.XLOOKUP(A19,Main!$B$13:$B$1048576,Main!$BQ$13:$BQ$1048576,0,0)</f>
        <v>68</v>
      </c>
      <c r="O19" s="48">
        <f>_xlfn.XLOOKUP(A19,Main!$B$13:$B$1048576,Main!$BR$13:$BR$1048576,0,0)</f>
        <v>68</v>
      </c>
      <c r="P19" s="39">
        <f t="shared" si="27"/>
        <v>4037500</v>
      </c>
      <c r="Q19" s="38">
        <f t="shared" si="28"/>
        <v>425000</v>
      </c>
      <c r="R19" s="38">
        <f t="shared" si="6"/>
        <v>177083.33333333331</v>
      </c>
      <c r="S19" s="38">
        <f t="shared" si="7"/>
        <v>240833.33333333331</v>
      </c>
      <c r="T19" s="72">
        <v>0</v>
      </c>
      <c r="U19" s="38">
        <f t="shared" si="30"/>
        <v>141666.66666666669</v>
      </c>
      <c r="V19" s="38">
        <f t="shared" si="8"/>
        <v>0</v>
      </c>
      <c r="W19" s="38"/>
      <c r="X19" s="38">
        <f>F19/(M19/8)*15</f>
        <v>7125000</v>
      </c>
      <c r="Y19" s="38"/>
      <c r="Z19" s="38"/>
      <c r="AA19" s="38"/>
      <c r="AB19" s="38"/>
      <c r="AC19" s="38"/>
      <c r="AD19" s="38"/>
      <c r="AE19" s="38" t="s">
        <v>88</v>
      </c>
      <c r="AF19" s="39"/>
      <c r="AG19" s="38"/>
      <c r="AH19" s="38">
        <v>600000</v>
      </c>
      <c r="AI19" s="38"/>
      <c r="AJ19" s="38"/>
      <c r="AK19" s="38"/>
      <c r="AL19" s="38"/>
      <c r="AM19" s="38"/>
      <c r="AN19" s="38"/>
      <c r="AO19" s="38">
        <f>_xlfn.XLOOKUP($A19,Main!$B$13:$B$35,Main!BU$13:BU$35,0,0)</f>
        <v>0</v>
      </c>
      <c r="AP19" s="38">
        <f>_xlfn.XLOOKUP($A19,Main!$B$13:$B$35,Main!BV$13:BV$35,0,0)</f>
        <v>0</v>
      </c>
      <c r="AQ19" s="38">
        <f>_xlfn.XLOOKUP($A19,Main!$B$13:$B$35,Main!BW$13:BW$35,0,0)</f>
        <v>0</v>
      </c>
      <c r="AR19" s="38">
        <f>_xlfn.XLOOKUP($A19,Main!$B$13:$B$35,Main!BX$13:BX$35,0,0)</f>
        <v>0</v>
      </c>
      <c r="AS19" s="38">
        <f>_xlfn.XLOOKUP($A19,Main!$B$13:$B$35,Main!BY$13:BY$35,0,0)</f>
        <v>0</v>
      </c>
      <c r="AT19" s="38">
        <f>_xlfn.XLOOKUP($A19,Main!$B$13:$B$35,Main!BZ$13:BZ$35,0,0)</f>
        <v>0</v>
      </c>
      <c r="AU19" s="38">
        <f>_xlfn.XLOOKUP($A19,Main!$B$13:$B$35,Main!CA$13:CA$35,0,0)</f>
        <v>0</v>
      </c>
      <c r="AV19" s="38">
        <f t="shared" si="9"/>
        <v>0</v>
      </c>
      <c r="AW19" s="38">
        <f t="shared" si="10"/>
        <v>0</v>
      </c>
      <c r="AX19" s="38">
        <f t="shared" si="11"/>
        <v>0</v>
      </c>
      <c r="AY19" s="38">
        <f t="shared" si="12"/>
        <v>0</v>
      </c>
      <c r="AZ19" s="38">
        <f t="shared" si="13"/>
        <v>0</v>
      </c>
      <c r="BA19" s="38">
        <f t="shared" si="14"/>
        <v>0</v>
      </c>
      <c r="BB19" s="38">
        <f t="shared" si="15"/>
        <v>0</v>
      </c>
      <c r="BC19" s="39">
        <f t="shared" si="31"/>
        <v>0</v>
      </c>
      <c r="BD19" s="39">
        <f t="shared" si="16"/>
        <v>12747083.333333332</v>
      </c>
      <c r="BE19" s="38"/>
      <c r="BF19" s="38"/>
      <c r="BG19" s="72"/>
      <c r="BH19" s="72"/>
      <c r="BI19" s="72"/>
      <c r="BJ19" s="39">
        <f t="shared" si="32"/>
        <v>0</v>
      </c>
      <c r="BK19" s="72"/>
      <c r="BL19" s="38">
        <f>VLOOKUP(A19,'[1]Payroll master '!B$12:AD$160,29,0)</f>
        <v>2</v>
      </c>
      <c r="BM19" s="39">
        <f t="shared" si="33"/>
        <v>19800000</v>
      </c>
      <c r="BN19" s="39">
        <f t="shared" si="36"/>
        <v>0</v>
      </c>
      <c r="BO19" s="39">
        <f>ROUND((VLOOKUP(BN19,'SHUI &amp; PIT'!$A$1:$C$8,2,1)*BN19-VLOOKUP(BN19,'SHUI &amp; PIT'!$A$1:$C$8,3,1)),0)</f>
        <v>0</v>
      </c>
      <c r="BP19" s="38">
        <f t="shared" si="34"/>
        <v>0</v>
      </c>
      <c r="BQ19" s="38"/>
      <c r="BR19" s="38"/>
      <c r="BS19" s="39">
        <f t="shared" si="37"/>
        <v>0</v>
      </c>
      <c r="BT19" s="39">
        <f t="shared" si="38"/>
        <v>12747083</v>
      </c>
      <c r="BU19" s="72"/>
      <c r="BV19" s="72"/>
      <c r="BW19" s="72"/>
      <c r="BX19" s="38"/>
      <c r="BY19" s="39">
        <f t="shared" si="39"/>
        <v>0</v>
      </c>
      <c r="BZ19" s="39">
        <f>IF(BU19&gt;0,ROUND($CB19*'SHUI &amp; PIT'!$I$12,0),0)</f>
        <v>0</v>
      </c>
      <c r="CA19" s="39">
        <f t="shared" si="40"/>
        <v>12747083.333333332</v>
      </c>
      <c r="CB19" s="39">
        <f>IF(($F19+$T19)&gt;='SHUI &amp; PIT'!$C$12,'SHUI &amp; PIT'!$C$12,($F19+$T19))</f>
        <v>11400000</v>
      </c>
      <c r="CC19" s="39">
        <f>IF(($F19+$T19)&gt;='SHUI &amp; PIT'!$C$13,'SHUI &amp; PIT'!$C$13,($F19+$T19))</f>
        <v>11400000</v>
      </c>
      <c r="CD19" s="39">
        <f t="shared" si="23"/>
        <v>0</v>
      </c>
      <c r="CE19" s="1">
        <f t="shared" si="35"/>
        <v>0</v>
      </c>
      <c r="CF19" s="9">
        <f>_xlfn.XLOOKUP(A19,'[2]Termination and others'!B$12:B$33,'[2]Termination and others'!F$12:F$33,0,0)</f>
        <v>0</v>
      </c>
      <c r="CG19" s="116">
        <f>VLOOKUP(A19,Main!$B$13:$BN$405,65,0)</f>
        <v>0</v>
      </c>
      <c r="CH19" s="9">
        <f t="shared" si="24"/>
        <v>0</v>
      </c>
      <c r="CI19" s="90"/>
      <c r="CJ19" s="16">
        <f t="shared" si="25"/>
        <v>12329166.666666664</v>
      </c>
    </row>
    <row r="20" spans="1:88" ht="15" customHeight="1">
      <c r="A20" s="14" t="s">
        <v>96</v>
      </c>
      <c r="B20" s="15"/>
      <c r="C20" s="117">
        <v>35690</v>
      </c>
      <c r="D20" s="94">
        <f t="shared" si="26"/>
        <v>9652</v>
      </c>
      <c r="E20" s="50" t="s">
        <v>131</v>
      </c>
      <c r="F20" s="38">
        <v>15460000</v>
      </c>
      <c r="G20" s="38">
        <v>0</v>
      </c>
      <c r="H20" s="38">
        <v>300000</v>
      </c>
      <c r="I20" s="38">
        <v>0</v>
      </c>
      <c r="J20" s="38">
        <v>0</v>
      </c>
      <c r="K20" s="38">
        <v>0</v>
      </c>
      <c r="L20" s="38">
        <v>0</v>
      </c>
      <c r="M20" s="38">
        <f>_xlfn.XLOOKUP(A20,Main!$B$13:$B$1048576,Main!$D$13:$D$1048576,0,0)*8</f>
        <v>194</v>
      </c>
      <c r="N20" s="48">
        <f>_xlfn.XLOOKUP(A20,Main!$B$13:$B$1048576,Main!$BQ$13:$BQ$1048576,0,0)</f>
        <v>194</v>
      </c>
      <c r="O20" s="48">
        <f>_xlfn.XLOOKUP(A20,Main!$B$13:$B$1048576,Main!$BR$13:$BR$1048576,0,0)</f>
        <v>126</v>
      </c>
      <c r="P20" s="39">
        <f t="shared" si="27"/>
        <v>15460000</v>
      </c>
      <c r="Q20" s="38">
        <f t="shared" si="28"/>
        <v>0</v>
      </c>
      <c r="R20" s="38">
        <f t="shared" si="6"/>
        <v>300000</v>
      </c>
      <c r="S20" s="38">
        <f t="shared" si="7"/>
        <v>0</v>
      </c>
      <c r="T20" s="38">
        <f t="shared" si="29"/>
        <v>0</v>
      </c>
      <c r="U20" s="38">
        <f t="shared" si="30"/>
        <v>0</v>
      </c>
      <c r="V20" s="38">
        <f t="shared" si="8"/>
        <v>0</v>
      </c>
      <c r="W20" s="38"/>
      <c r="X20" s="38"/>
      <c r="Y20" s="38"/>
      <c r="Z20" s="38"/>
      <c r="AA20" s="38"/>
      <c r="AB20" s="38"/>
      <c r="AC20" s="38"/>
      <c r="AD20" s="38"/>
      <c r="AE20" s="38" t="s">
        <v>88</v>
      </c>
      <c r="AF20" s="39">
        <v>0</v>
      </c>
      <c r="AG20" s="38">
        <v>0</v>
      </c>
      <c r="AH20" s="38"/>
      <c r="AI20" s="38"/>
      <c r="AJ20" s="38">
        <v>0</v>
      </c>
      <c r="AK20" s="38">
        <v>0</v>
      </c>
      <c r="AL20" s="38">
        <v>0</v>
      </c>
      <c r="AM20" s="38">
        <v>0</v>
      </c>
      <c r="AN20" s="38">
        <v>0</v>
      </c>
      <c r="AO20" s="38">
        <f>_xlfn.XLOOKUP($A20,Main!$B$13:$B$35,Main!BU$13:BU$35,0,0)</f>
        <v>0</v>
      </c>
      <c r="AP20" s="38">
        <f>_xlfn.XLOOKUP($A20,Main!$B$13:$B$35,Main!BV$13:BV$35,0,0)</f>
        <v>0</v>
      </c>
      <c r="AQ20" s="38">
        <f>_xlfn.XLOOKUP($A20,Main!$B$13:$B$35,Main!BW$13:BW$35,0,0)</f>
        <v>0</v>
      </c>
      <c r="AR20" s="38">
        <f>_xlfn.XLOOKUP($A20,Main!$B$13:$B$35,Main!BX$13:BX$35,0,0)</f>
        <v>0</v>
      </c>
      <c r="AS20" s="38">
        <f>_xlfn.XLOOKUP($A20,Main!$B$13:$B$35,Main!BY$13:BY$35,0,0)</f>
        <v>0</v>
      </c>
      <c r="AT20" s="38">
        <f>_xlfn.XLOOKUP($A20,Main!$B$13:$B$35,Main!BZ$13:BZ$35,0,0)</f>
        <v>0</v>
      </c>
      <c r="AU20" s="38">
        <f>_xlfn.XLOOKUP($A20,Main!$B$13:$B$35,Main!CA$13:CA$35,0,0)</f>
        <v>0</v>
      </c>
      <c r="AV20" s="38">
        <f t="shared" si="9"/>
        <v>0</v>
      </c>
      <c r="AW20" s="38">
        <f t="shared" si="10"/>
        <v>0</v>
      </c>
      <c r="AX20" s="38">
        <f t="shared" si="11"/>
        <v>0</v>
      </c>
      <c r="AY20" s="38">
        <f t="shared" si="12"/>
        <v>0</v>
      </c>
      <c r="AZ20" s="38">
        <f t="shared" si="13"/>
        <v>0</v>
      </c>
      <c r="BA20" s="38">
        <f t="shared" si="14"/>
        <v>0</v>
      </c>
      <c r="BB20" s="38">
        <f t="shared" si="15"/>
        <v>0</v>
      </c>
      <c r="BC20" s="39">
        <f t="shared" si="31"/>
        <v>508000</v>
      </c>
      <c r="BD20" s="39">
        <f t="shared" si="16"/>
        <v>16268000</v>
      </c>
      <c r="BE20" s="38"/>
      <c r="BF20" s="38"/>
      <c r="BG20" s="39">
        <f>ROUND($CB20*'SHUI &amp; PIT'!$F$11,0)</f>
        <v>1236800</v>
      </c>
      <c r="BH20" s="39">
        <f>ROUND($CB20*'SHUI &amp; PIT'!$G$11,0)</f>
        <v>231900</v>
      </c>
      <c r="BI20" s="39">
        <f>ROUND($CC20*'SHUI &amp; PIT'!$H$11,0)</f>
        <v>154600</v>
      </c>
      <c r="BJ20" s="39">
        <f t="shared" si="32"/>
        <v>1623300</v>
      </c>
      <c r="BK20" s="39">
        <f t="shared" ref="BK20:BK29" si="41">IF(E20="La Nga",0,IF(E20="HCM",35000,IF(AE20="YES",IF($BG20&gt;0,ROUND(MIN($CB20*1%,180000),0),0),0)))</f>
        <v>0</v>
      </c>
      <c r="BL20" s="38">
        <f>VLOOKUP(A20,'[1]Payroll master '!B$12:AD$160,29,0)</f>
        <v>2</v>
      </c>
      <c r="BM20" s="39">
        <f t="shared" si="33"/>
        <v>19800000</v>
      </c>
      <c r="BN20" s="39">
        <f t="shared" si="36"/>
        <v>0</v>
      </c>
      <c r="BO20" s="39">
        <f>ROUND((VLOOKUP(BN20,'SHUI &amp; PIT'!$A$1:$C$8,2,1)*BN20-VLOOKUP(BN20,'SHUI &amp; PIT'!$A$1:$C$8,3,1)),0)</f>
        <v>0</v>
      </c>
      <c r="BP20" s="38">
        <f t="shared" si="34"/>
        <v>0</v>
      </c>
      <c r="BQ20" s="38"/>
      <c r="BR20" s="38"/>
      <c r="BS20" s="39">
        <f t="shared" si="37"/>
        <v>1623300</v>
      </c>
      <c r="BT20" s="39">
        <f t="shared" si="38"/>
        <v>14644700</v>
      </c>
      <c r="BU20" s="39">
        <f>ROUND($CB20*'SHUI &amp; PIT'!$F$12,0)</f>
        <v>2705500</v>
      </c>
      <c r="BV20" s="39">
        <f>ROUND($CB20*'SHUI &amp; PIT'!$G$12,0)</f>
        <v>463800</v>
      </c>
      <c r="BW20" s="39">
        <f>ROUND($CC20*'SHUI &amp; PIT'!$H$12,0)</f>
        <v>154600</v>
      </c>
      <c r="BX20" s="38">
        <v>0</v>
      </c>
      <c r="BY20" s="39">
        <f t="shared" si="39"/>
        <v>3323900</v>
      </c>
      <c r="BZ20" s="39">
        <f>IF(BU20&gt;0,ROUND($CB20*'SHUI &amp; PIT'!$I$12,0),0)</f>
        <v>309200</v>
      </c>
      <c r="CA20" s="39">
        <f t="shared" si="40"/>
        <v>19901100</v>
      </c>
      <c r="CB20" s="39">
        <f>IF(($F20+$T20)&gt;='SHUI &amp; PIT'!$C$12,'SHUI &amp; PIT'!$C$12,($F20+$T20))</f>
        <v>15460000</v>
      </c>
      <c r="CC20" s="39">
        <f>IF(($F20+$T20)&gt;='SHUI &amp; PIT'!$C$13,'SHUI &amp; PIT'!$C$13,($F20+$T20))</f>
        <v>15460000</v>
      </c>
      <c r="CD20" s="39">
        <f t="shared" si="23"/>
        <v>0</v>
      </c>
      <c r="CE20" s="1">
        <f t="shared" si="35"/>
        <v>508000</v>
      </c>
      <c r="CF20" s="9">
        <f>_xlfn.XLOOKUP(A20,'[2]Termination and others'!B$12:B$33,'[2]Termination and others'!F$12:F$33,0,0)</f>
        <v>0</v>
      </c>
      <c r="CG20" s="116">
        <f>VLOOKUP(A20,Main!$B$13:$BN$405,65,0)</f>
        <v>10.16</v>
      </c>
      <c r="CH20" s="9">
        <f t="shared" si="24"/>
        <v>508000</v>
      </c>
      <c r="CI20" s="90"/>
      <c r="CJ20" s="16">
        <f t="shared" si="25"/>
        <v>15968000</v>
      </c>
    </row>
    <row r="21" spans="1:88" ht="15" customHeight="1">
      <c r="A21" s="14" t="s">
        <v>97</v>
      </c>
      <c r="B21" s="15"/>
      <c r="C21" s="117">
        <v>36342</v>
      </c>
      <c r="D21" s="94">
        <f t="shared" si="26"/>
        <v>9000</v>
      </c>
      <c r="E21" s="50" t="s">
        <v>131</v>
      </c>
      <c r="F21" s="38">
        <v>6810000</v>
      </c>
      <c r="G21" s="38">
        <v>0</v>
      </c>
      <c r="H21" s="38">
        <v>0</v>
      </c>
      <c r="I21" s="72">
        <v>26500</v>
      </c>
      <c r="J21" s="38">
        <v>0</v>
      </c>
      <c r="K21" s="38">
        <v>0</v>
      </c>
      <c r="L21" s="38">
        <v>0</v>
      </c>
      <c r="M21" s="38">
        <f>_xlfn.XLOOKUP(A21,Main!$B$13:$B$1048576,Main!$D$13:$D$1048576,0,0)*8</f>
        <v>192</v>
      </c>
      <c r="N21" s="48">
        <f>_xlfn.XLOOKUP(A21,Main!$B$13:$B$1048576,Main!$BQ$13:$BQ$1048576,0,0)</f>
        <v>192</v>
      </c>
      <c r="O21" s="48">
        <f>_xlfn.XLOOKUP(A21,Main!$B$13:$B$1048576,Main!$BR$13:$BR$1048576,0,0)</f>
        <v>144</v>
      </c>
      <c r="P21" s="39">
        <f t="shared" si="27"/>
        <v>6810000</v>
      </c>
      <c r="Q21" s="38">
        <f t="shared" si="28"/>
        <v>0</v>
      </c>
      <c r="R21" s="38">
        <f t="shared" si="6"/>
        <v>0</v>
      </c>
      <c r="S21" s="38">
        <f t="shared" si="7"/>
        <v>477000</v>
      </c>
      <c r="T21" s="38">
        <f t="shared" si="29"/>
        <v>0</v>
      </c>
      <c r="U21" s="38">
        <f t="shared" si="30"/>
        <v>0</v>
      </c>
      <c r="V21" s="38">
        <f t="shared" si="8"/>
        <v>0</v>
      </c>
      <c r="W21" s="38"/>
      <c r="X21" s="38"/>
      <c r="Y21" s="38"/>
      <c r="Z21" s="38"/>
      <c r="AA21" s="38"/>
      <c r="AB21" s="38"/>
      <c r="AC21" s="38"/>
      <c r="AD21" s="38"/>
      <c r="AE21" s="38" t="s">
        <v>88</v>
      </c>
      <c r="AF21" s="39">
        <v>0</v>
      </c>
      <c r="AG21" s="38">
        <v>0</v>
      </c>
      <c r="AH21" s="38"/>
      <c r="AI21" s="38"/>
      <c r="AJ21" s="38">
        <v>0</v>
      </c>
      <c r="AK21" s="38">
        <v>0</v>
      </c>
      <c r="AL21" s="38">
        <v>0</v>
      </c>
      <c r="AM21" s="38">
        <v>0</v>
      </c>
      <c r="AN21" s="38">
        <v>0</v>
      </c>
      <c r="AO21" s="38">
        <f>_xlfn.XLOOKUP($A21,Main!$B$13:$B$35,Main!BU$13:BU$35,0,0)</f>
        <v>0</v>
      </c>
      <c r="AP21" s="38">
        <f>_xlfn.XLOOKUP($A21,Main!$B$13:$B$35,Main!BV$13:BV$35,0,0)</f>
        <v>0</v>
      </c>
      <c r="AQ21" s="38">
        <f>_xlfn.XLOOKUP($A21,Main!$B$13:$B$35,Main!BW$13:BW$35,0,0)</f>
        <v>0</v>
      </c>
      <c r="AR21" s="38">
        <f>_xlfn.XLOOKUP($A21,Main!$B$13:$B$35,Main!BX$13:BX$35,0,0)</f>
        <v>0</v>
      </c>
      <c r="AS21" s="38">
        <f>_xlfn.XLOOKUP($A21,Main!$B$13:$B$35,Main!BY$13:BY$35,0,0)</f>
        <v>0</v>
      </c>
      <c r="AT21" s="38">
        <f>_xlfn.XLOOKUP($A21,Main!$B$13:$B$35,Main!BZ$13:BZ$35,0,0)</f>
        <v>0</v>
      </c>
      <c r="AU21" s="38">
        <f>_xlfn.XLOOKUP($A21,Main!$B$13:$B$35,Main!CA$13:CA$35,0,0)</f>
        <v>0</v>
      </c>
      <c r="AV21" s="38">
        <f t="shared" si="9"/>
        <v>0</v>
      </c>
      <c r="AW21" s="38">
        <f t="shared" si="10"/>
        <v>0</v>
      </c>
      <c r="AX21" s="38">
        <f t="shared" si="11"/>
        <v>0</v>
      </c>
      <c r="AY21" s="38">
        <f t="shared" si="12"/>
        <v>0</v>
      </c>
      <c r="AZ21" s="38">
        <f t="shared" si="13"/>
        <v>0</v>
      </c>
      <c r="BA21" s="38">
        <f t="shared" si="14"/>
        <v>0</v>
      </c>
      <c r="BB21" s="38">
        <f t="shared" si="15"/>
        <v>0</v>
      </c>
      <c r="BC21" s="39">
        <f t="shared" si="31"/>
        <v>0</v>
      </c>
      <c r="BD21" s="39">
        <f t="shared" si="16"/>
        <v>7287000</v>
      </c>
      <c r="BE21" s="38"/>
      <c r="BF21" s="38"/>
      <c r="BG21" s="39">
        <f>ROUND($CB21*'SHUI &amp; PIT'!$F$11,0)</f>
        <v>544800</v>
      </c>
      <c r="BH21" s="39">
        <f>ROUND($CB21*'SHUI &amp; PIT'!$G$11,0)</f>
        <v>102150</v>
      </c>
      <c r="BI21" s="39">
        <f>ROUND($CC21*'SHUI &amp; PIT'!$H$11,0)</f>
        <v>68100</v>
      </c>
      <c r="BJ21" s="39">
        <f t="shared" si="32"/>
        <v>715050</v>
      </c>
      <c r="BK21" s="39">
        <f t="shared" si="41"/>
        <v>0</v>
      </c>
      <c r="BL21" s="38">
        <f>VLOOKUP(A21,'[1]Payroll master '!B$12:AD$160,29,0)</f>
        <v>0</v>
      </c>
      <c r="BM21" s="39">
        <f t="shared" si="33"/>
        <v>11000000</v>
      </c>
      <c r="BN21" s="39">
        <f t="shared" si="36"/>
        <v>0</v>
      </c>
      <c r="BO21" s="39">
        <f>ROUND((VLOOKUP(BN21,'SHUI &amp; PIT'!$A$1:$C$8,2,1)*BN21-VLOOKUP(BN21,'SHUI &amp; PIT'!$A$1:$C$8,3,1)),0)</f>
        <v>0</v>
      </c>
      <c r="BP21" s="38">
        <f t="shared" si="34"/>
        <v>0</v>
      </c>
      <c r="BQ21" s="38"/>
      <c r="BR21" s="38"/>
      <c r="BS21" s="39">
        <f t="shared" si="37"/>
        <v>715050</v>
      </c>
      <c r="BT21" s="39">
        <f t="shared" si="38"/>
        <v>6571950</v>
      </c>
      <c r="BU21" s="39">
        <f>ROUND($CB21*'SHUI &amp; PIT'!$F$12,0)</f>
        <v>1191750</v>
      </c>
      <c r="BV21" s="39">
        <f>ROUND($CB21*'SHUI &amp; PIT'!$G$12,0)</f>
        <v>204300</v>
      </c>
      <c r="BW21" s="39">
        <f>ROUND($CC21*'SHUI &amp; PIT'!$H$12,0)</f>
        <v>68100</v>
      </c>
      <c r="BX21" s="38">
        <v>0</v>
      </c>
      <c r="BY21" s="39">
        <f t="shared" si="39"/>
        <v>1464150</v>
      </c>
      <c r="BZ21" s="39">
        <f>IF(BU21&gt;0,ROUND($CB21*'SHUI &amp; PIT'!$I$12,0),0)</f>
        <v>136200</v>
      </c>
      <c r="CA21" s="39">
        <f t="shared" si="40"/>
        <v>8887350</v>
      </c>
      <c r="CB21" s="39">
        <f>IF(($F21+$T21)&gt;='SHUI &amp; PIT'!$C$12,'SHUI &amp; PIT'!$C$12,($F21+$T21))</f>
        <v>6810000</v>
      </c>
      <c r="CC21" s="39">
        <f>IF(($F21+$T21)&gt;='SHUI &amp; PIT'!$C$13,'SHUI &amp; PIT'!$C$13,($F21+$T21))</f>
        <v>6810000</v>
      </c>
      <c r="CD21" s="39">
        <f t="shared" si="23"/>
        <v>0</v>
      </c>
      <c r="CE21" s="1">
        <f t="shared" si="35"/>
        <v>0</v>
      </c>
      <c r="CF21" s="9">
        <f>_xlfn.XLOOKUP(A21,'[2]Termination and others'!B$12:B$33,'[2]Termination and others'!F$12:F$33,0,0)</f>
        <v>0</v>
      </c>
      <c r="CG21" s="116">
        <f>VLOOKUP(A21,Main!$B$13:$BN$405,65,0)</f>
        <v>0</v>
      </c>
      <c r="CH21" s="9">
        <f t="shared" si="24"/>
        <v>0</v>
      </c>
      <c r="CI21" s="90" t="s">
        <v>95</v>
      </c>
      <c r="CJ21" s="16">
        <f t="shared" si="25"/>
        <v>6810000</v>
      </c>
    </row>
    <row r="22" spans="1:88" ht="15" customHeight="1">
      <c r="A22" s="14" t="s">
        <v>98</v>
      </c>
      <c r="B22" s="15"/>
      <c r="C22" s="117">
        <v>36122</v>
      </c>
      <c r="D22" s="94">
        <f t="shared" si="26"/>
        <v>9220</v>
      </c>
      <c r="E22" s="50" t="s">
        <v>131</v>
      </c>
      <c r="F22" s="38">
        <v>7250000</v>
      </c>
      <c r="G22" s="38">
        <v>0</v>
      </c>
      <c r="H22" s="38">
        <v>0</v>
      </c>
      <c r="I22" s="72">
        <v>26500</v>
      </c>
      <c r="J22" s="38">
        <v>0</v>
      </c>
      <c r="K22" s="38">
        <v>0</v>
      </c>
      <c r="L22" s="38">
        <v>0</v>
      </c>
      <c r="M22" s="38">
        <f>_xlfn.XLOOKUP(A22,Main!$B$13:$B$1048576,Main!$D$13:$D$1048576,0,0)*8</f>
        <v>192</v>
      </c>
      <c r="N22" s="48">
        <f>_xlfn.XLOOKUP(A22,Main!$B$13:$B$1048576,Main!$BQ$13:$BQ$1048576,0,0)</f>
        <v>192</v>
      </c>
      <c r="O22" s="48">
        <f>_xlfn.XLOOKUP(A22,Main!$B$13:$B$1048576,Main!$BR$13:$BR$1048576,0,0)</f>
        <v>128</v>
      </c>
      <c r="P22" s="39">
        <f t="shared" si="27"/>
        <v>7250000</v>
      </c>
      <c r="Q22" s="38">
        <f t="shared" si="28"/>
        <v>0</v>
      </c>
      <c r="R22" s="38">
        <f t="shared" si="6"/>
        <v>0</v>
      </c>
      <c r="S22" s="38">
        <f t="shared" si="7"/>
        <v>424000</v>
      </c>
      <c r="T22" s="38">
        <f t="shared" si="29"/>
        <v>0</v>
      </c>
      <c r="U22" s="38">
        <f t="shared" si="30"/>
        <v>0</v>
      </c>
      <c r="V22" s="38">
        <f t="shared" si="8"/>
        <v>0</v>
      </c>
      <c r="W22" s="38"/>
      <c r="X22" s="38"/>
      <c r="Y22" s="38"/>
      <c r="Z22" s="38"/>
      <c r="AA22" s="38"/>
      <c r="AB22" s="38"/>
      <c r="AC22" s="38"/>
      <c r="AD22" s="38"/>
      <c r="AE22" s="38" t="s">
        <v>88</v>
      </c>
      <c r="AF22" s="39">
        <v>0</v>
      </c>
      <c r="AG22" s="38">
        <v>0</v>
      </c>
      <c r="AH22" s="38"/>
      <c r="AI22" s="38"/>
      <c r="AJ22" s="38">
        <v>0</v>
      </c>
      <c r="AK22" s="38">
        <v>0</v>
      </c>
      <c r="AL22" s="38">
        <v>0</v>
      </c>
      <c r="AM22" s="38">
        <v>0</v>
      </c>
      <c r="AN22" s="38">
        <v>0</v>
      </c>
      <c r="AO22" s="38">
        <f>_xlfn.XLOOKUP($A22,Main!$B$13:$B$35,Main!BU$13:BU$35,0,0)</f>
        <v>0</v>
      </c>
      <c r="AP22" s="38">
        <f>_xlfn.XLOOKUP($A22,Main!$B$13:$B$35,Main!BV$13:BV$35,0,0)</f>
        <v>0</v>
      </c>
      <c r="AQ22" s="38">
        <f>_xlfn.XLOOKUP($A22,Main!$B$13:$B$35,Main!BW$13:BW$35,0,0)</f>
        <v>0</v>
      </c>
      <c r="AR22" s="38">
        <f>_xlfn.XLOOKUP($A22,Main!$B$13:$B$35,Main!BX$13:BX$35,0,0)</f>
        <v>0</v>
      </c>
      <c r="AS22" s="38">
        <f>_xlfn.XLOOKUP($A22,Main!$B$13:$B$35,Main!BY$13:BY$35,0,0)</f>
        <v>0</v>
      </c>
      <c r="AT22" s="38">
        <f>_xlfn.XLOOKUP($A22,Main!$B$13:$B$35,Main!BZ$13:BZ$35,0,0)</f>
        <v>0</v>
      </c>
      <c r="AU22" s="38">
        <f>_xlfn.XLOOKUP($A22,Main!$B$13:$B$35,Main!CA$13:CA$35,0,0)</f>
        <v>0</v>
      </c>
      <c r="AV22" s="38">
        <f t="shared" si="9"/>
        <v>0</v>
      </c>
      <c r="AW22" s="38">
        <f t="shared" si="10"/>
        <v>0</v>
      </c>
      <c r="AX22" s="38">
        <f t="shared" si="11"/>
        <v>0</v>
      </c>
      <c r="AY22" s="38">
        <f t="shared" si="12"/>
        <v>0</v>
      </c>
      <c r="AZ22" s="38">
        <f t="shared" si="13"/>
        <v>0</v>
      </c>
      <c r="BA22" s="38">
        <f t="shared" si="14"/>
        <v>0</v>
      </c>
      <c r="BB22" s="38">
        <f t="shared" si="15"/>
        <v>0</v>
      </c>
      <c r="BC22" s="39">
        <f t="shared" si="31"/>
        <v>0</v>
      </c>
      <c r="BD22" s="39">
        <f t="shared" si="16"/>
        <v>7674000</v>
      </c>
      <c r="BE22" s="38"/>
      <c r="BF22" s="38"/>
      <c r="BG22" s="39">
        <f>ROUND($CB22*'SHUI &amp; PIT'!$F$11,0)</f>
        <v>580000</v>
      </c>
      <c r="BH22" s="39">
        <f>ROUND($CB22*'SHUI &amp; PIT'!$G$11,0)</f>
        <v>108750</v>
      </c>
      <c r="BI22" s="39">
        <f>ROUND($CC22*'SHUI &amp; PIT'!$H$11,0)</f>
        <v>72500</v>
      </c>
      <c r="BJ22" s="39">
        <f t="shared" si="32"/>
        <v>761250</v>
      </c>
      <c r="BK22" s="39">
        <f t="shared" si="41"/>
        <v>0</v>
      </c>
      <c r="BL22" s="38">
        <f>VLOOKUP(A22,'[1]Payroll master '!B$12:AD$160,29,0)</f>
        <v>0</v>
      </c>
      <c r="BM22" s="39">
        <f t="shared" si="33"/>
        <v>11000000</v>
      </c>
      <c r="BN22" s="39">
        <f t="shared" si="36"/>
        <v>0</v>
      </c>
      <c r="BO22" s="39">
        <f>ROUND((VLOOKUP(BN22,'SHUI &amp; PIT'!$A$1:$C$8,2,1)*BN22-VLOOKUP(BN22,'SHUI &amp; PIT'!$A$1:$C$8,3,1)),0)</f>
        <v>0</v>
      </c>
      <c r="BP22" s="38">
        <f t="shared" si="34"/>
        <v>0</v>
      </c>
      <c r="BQ22" s="38"/>
      <c r="BR22" s="38"/>
      <c r="BS22" s="39">
        <f t="shared" si="37"/>
        <v>761250</v>
      </c>
      <c r="BT22" s="39">
        <f t="shared" si="38"/>
        <v>6912750</v>
      </c>
      <c r="BU22" s="39">
        <f>ROUND($CB22*'SHUI &amp; PIT'!$F$12,0)</f>
        <v>1268750</v>
      </c>
      <c r="BV22" s="39">
        <f>ROUND($CB22*'SHUI &amp; PIT'!$G$12,0)</f>
        <v>217500</v>
      </c>
      <c r="BW22" s="39">
        <f>ROUND($CC22*'SHUI &amp; PIT'!$H$12,0)</f>
        <v>72500</v>
      </c>
      <c r="BX22" s="38">
        <v>0</v>
      </c>
      <c r="BY22" s="39">
        <f t="shared" si="39"/>
        <v>1558750</v>
      </c>
      <c r="BZ22" s="39">
        <f>IF(BU22&gt;0,ROUND($CB22*'SHUI &amp; PIT'!$I$12,0),0)</f>
        <v>145000</v>
      </c>
      <c r="CA22" s="39">
        <f t="shared" si="40"/>
        <v>9377750</v>
      </c>
      <c r="CB22" s="39">
        <f>IF(($F22+$T22)&gt;='SHUI &amp; PIT'!$C$12,'SHUI &amp; PIT'!$C$12,($F22+$T22))</f>
        <v>7250000</v>
      </c>
      <c r="CC22" s="39">
        <f>IF(($F22+$T22)&gt;='SHUI &amp; PIT'!$C$13,'SHUI &amp; PIT'!$C$13,($F22+$T22))</f>
        <v>7250000</v>
      </c>
      <c r="CD22" s="39">
        <f t="shared" si="23"/>
        <v>0</v>
      </c>
      <c r="CE22" s="1">
        <f t="shared" si="35"/>
        <v>0</v>
      </c>
      <c r="CF22" s="9">
        <f>_xlfn.XLOOKUP(A22,'[2]Termination and others'!B$12:B$33,'[2]Termination and others'!F$12:F$33,0,0)</f>
        <v>0</v>
      </c>
      <c r="CG22" s="116">
        <f>VLOOKUP(A22,Main!$B$13:$BN$405,65,0)</f>
        <v>0</v>
      </c>
      <c r="CH22" s="9">
        <f t="shared" si="24"/>
        <v>0</v>
      </c>
      <c r="CI22" s="90" t="s">
        <v>95</v>
      </c>
      <c r="CJ22" s="16">
        <f t="shared" si="25"/>
        <v>7250000</v>
      </c>
    </row>
    <row r="23" spans="1:88" ht="15" customHeight="1">
      <c r="A23" s="14" t="s">
        <v>99</v>
      </c>
      <c r="B23" s="15"/>
      <c r="C23" s="117">
        <v>36122</v>
      </c>
      <c r="D23" s="94">
        <f t="shared" si="26"/>
        <v>9220</v>
      </c>
      <c r="E23" s="50" t="s">
        <v>131</v>
      </c>
      <c r="F23" s="38">
        <v>11780000</v>
      </c>
      <c r="G23" s="38">
        <v>0</v>
      </c>
      <c r="H23" s="38">
        <v>200000</v>
      </c>
      <c r="I23" s="38">
        <v>0</v>
      </c>
      <c r="J23" s="38">
        <v>2000000</v>
      </c>
      <c r="K23" s="38">
        <v>0</v>
      </c>
      <c r="L23" s="38">
        <v>0</v>
      </c>
      <c r="M23" s="38">
        <f>_xlfn.XLOOKUP(A23,Main!$B$13:$B$1048576,Main!$D$13:$D$1048576,0,0)*8</f>
        <v>194</v>
      </c>
      <c r="N23" s="48">
        <f>_xlfn.XLOOKUP(A23,Main!$B$13:$B$1048576,Main!$BQ$13:$BQ$1048576,0,0)</f>
        <v>194</v>
      </c>
      <c r="O23" s="48">
        <f>_xlfn.XLOOKUP(A23,Main!$B$13:$B$1048576,Main!$BR$13:$BR$1048576,0,0)</f>
        <v>150</v>
      </c>
      <c r="P23" s="39">
        <f t="shared" si="27"/>
        <v>11780000</v>
      </c>
      <c r="Q23" s="38">
        <f t="shared" si="28"/>
        <v>0</v>
      </c>
      <c r="R23" s="38">
        <f t="shared" si="6"/>
        <v>200000</v>
      </c>
      <c r="S23" s="38">
        <f t="shared" si="7"/>
        <v>0</v>
      </c>
      <c r="T23" s="38">
        <f t="shared" si="29"/>
        <v>2000000</v>
      </c>
      <c r="U23" s="38">
        <f t="shared" si="30"/>
        <v>0</v>
      </c>
      <c r="V23" s="38">
        <f t="shared" si="8"/>
        <v>0</v>
      </c>
      <c r="W23" s="38"/>
      <c r="X23" s="38"/>
      <c r="Y23" s="38"/>
      <c r="Z23" s="38"/>
      <c r="AA23" s="38"/>
      <c r="AB23" s="38"/>
      <c r="AC23" s="38"/>
      <c r="AD23" s="38"/>
      <c r="AE23" s="38" t="s">
        <v>88</v>
      </c>
      <c r="AF23" s="39">
        <v>0</v>
      </c>
      <c r="AG23" s="38">
        <v>0</v>
      </c>
      <c r="AH23" s="38"/>
      <c r="AI23" s="38"/>
      <c r="AJ23" s="38">
        <v>0</v>
      </c>
      <c r="AK23" s="38">
        <v>0</v>
      </c>
      <c r="AL23" s="38">
        <v>0</v>
      </c>
      <c r="AM23" s="38">
        <v>0</v>
      </c>
      <c r="AN23" s="38">
        <v>0</v>
      </c>
      <c r="AO23" s="38">
        <f>_xlfn.XLOOKUP($A23,Main!$B$13:$B$35,Main!BU$13:BU$35,0,0)</f>
        <v>0</v>
      </c>
      <c r="AP23" s="38">
        <f>_xlfn.XLOOKUP($A23,Main!$B$13:$B$35,Main!BV$13:BV$35,0,0)</f>
        <v>0</v>
      </c>
      <c r="AQ23" s="38">
        <f>_xlfn.XLOOKUP($A23,Main!$B$13:$B$35,Main!BW$13:BW$35,0,0)</f>
        <v>0</v>
      </c>
      <c r="AR23" s="38">
        <f>_xlfn.XLOOKUP($A23,Main!$B$13:$B$35,Main!BX$13:BX$35,0,0)</f>
        <v>0</v>
      </c>
      <c r="AS23" s="38">
        <f>_xlfn.XLOOKUP($A23,Main!$B$13:$B$35,Main!BY$13:BY$35,0,0)</f>
        <v>0</v>
      </c>
      <c r="AT23" s="38">
        <f>_xlfn.XLOOKUP($A23,Main!$B$13:$B$35,Main!BZ$13:BZ$35,0,0)</f>
        <v>0</v>
      </c>
      <c r="AU23" s="38">
        <f>_xlfn.XLOOKUP($A23,Main!$B$13:$B$35,Main!CA$13:CA$35,0,0)</f>
        <v>0</v>
      </c>
      <c r="AV23" s="38">
        <f t="shared" si="9"/>
        <v>0</v>
      </c>
      <c r="AW23" s="38">
        <f t="shared" si="10"/>
        <v>0</v>
      </c>
      <c r="AX23" s="38">
        <f t="shared" si="11"/>
        <v>0</v>
      </c>
      <c r="AY23" s="38">
        <f t="shared" si="12"/>
        <v>0</v>
      </c>
      <c r="AZ23" s="38">
        <f t="shared" si="13"/>
        <v>0</v>
      </c>
      <c r="BA23" s="38">
        <f t="shared" si="14"/>
        <v>0</v>
      </c>
      <c r="BB23" s="38">
        <f t="shared" si="15"/>
        <v>0</v>
      </c>
      <c r="BC23" s="39">
        <f t="shared" si="31"/>
        <v>0</v>
      </c>
      <c r="BD23" s="39">
        <f t="shared" si="16"/>
        <v>13980000</v>
      </c>
      <c r="BE23" s="38"/>
      <c r="BF23" s="38"/>
      <c r="BG23" s="39">
        <f>ROUND($CB23*'SHUI &amp; PIT'!$F$11,0)</f>
        <v>1102400</v>
      </c>
      <c r="BH23" s="39">
        <f>ROUND($CB23*'SHUI &amp; PIT'!$G$11,0)</f>
        <v>206700</v>
      </c>
      <c r="BI23" s="39">
        <f>ROUND($CC23*'SHUI &amp; PIT'!$H$11,0)</f>
        <v>137800</v>
      </c>
      <c r="BJ23" s="39">
        <f t="shared" si="32"/>
        <v>1446900</v>
      </c>
      <c r="BK23" s="39">
        <f t="shared" si="41"/>
        <v>0</v>
      </c>
      <c r="BL23" s="38">
        <f>VLOOKUP(A23,'[1]Payroll master '!B$12:AD$160,29,0)</f>
        <v>0</v>
      </c>
      <c r="BM23" s="39">
        <f t="shared" si="33"/>
        <v>11000000</v>
      </c>
      <c r="BN23" s="39">
        <f t="shared" si="36"/>
        <v>1333100</v>
      </c>
      <c r="BO23" s="39">
        <f>ROUND((VLOOKUP(BN23,'SHUI &amp; PIT'!$A$1:$C$8,2,1)*BN23-VLOOKUP(BN23,'SHUI &amp; PIT'!$A$1:$C$8,3,1)),0)</f>
        <v>66655</v>
      </c>
      <c r="BP23" s="38">
        <f t="shared" si="34"/>
        <v>0</v>
      </c>
      <c r="BQ23" s="38"/>
      <c r="BR23" s="38"/>
      <c r="BS23" s="39">
        <f t="shared" si="37"/>
        <v>1513555</v>
      </c>
      <c r="BT23" s="39">
        <f t="shared" si="38"/>
        <v>12466445</v>
      </c>
      <c r="BU23" s="39">
        <f>ROUND($CB23*'SHUI &amp; PIT'!$F$12,0)</f>
        <v>2411500</v>
      </c>
      <c r="BV23" s="39">
        <f>ROUND($CB23*'SHUI &amp; PIT'!$G$12,0)</f>
        <v>413400</v>
      </c>
      <c r="BW23" s="39">
        <f>ROUND($CC23*'SHUI &amp; PIT'!$H$12,0)</f>
        <v>137800</v>
      </c>
      <c r="BX23" s="38">
        <v>0</v>
      </c>
      <c r="BY23" s="39">
        <f t="shared" si="39"/>
        <v>2962700</v>
      </c>
      <c r="BZ23" s="39">
        <f>IF(BU23&gt;0,ROUND($CB23*'SHUI &amp; PIT'!$I$12,0),0)</f>
        <v>275600</v>
      </c>
      <c r="CA23" s="39">
        <f t="shared" si="40"/>
        <v>17218300</v>
      </c>
      <c r="CB23" s="39">
        <f>IF(($F23+$T23)&gt;='SHUI &amp; PIT'!$C$12,'SHUI &amp; PIT'!$C$12,($F23+$T23))</f>
        <v>13780000</v>
      </c>
      <c r="CC23" s="39">
        <f>IF(($F23+$T23)&gt;='SHUI &amp; PIT'!$C$13,'SHUI &amp; PIT'!$C$13,($F23+$T23))</f>
        <v>13780000</v>
      </c>
      <c r="CD23" s="39">
        <f t="shared" si="23"/>
        <v>0</v>
      </c>
      <c r="CE23" s="1">
        <f t="shared" si="35"/>
        <v>0</v>
      </c>
      <c r="CF23" s="9">
        <f>_xlfn.XLOOKUP(A23,'[2]Termination and others'!B$12:B$33,'[2]Termination and others'!F$12:F$33,0,0)</f>
        <v>0</v>
      </c>
      <c r="CG23" s="116">
        <f>VLOOKUP(A23,Main!$B$13:$BN$405,65,0)</f>
        <v>0</v>
      </c>
      <c r="CH23" s="9">
        <f t="shared" si="24"/>
        <v>0</v>
      </c>
      <c r="CI23" s="90"/>
      <c r="CJ23" s="16">
        <f t="shared" si="25"/>
        <v>13780000</v>
      </c>
    </row>
    <row r="24" spans="1:88" ht="15" customHeight="1">
      <c r="A24" s="14" t="s">
        <v>100</v>
      </c>
      <c r="B24" s="15"/>
      <c r="C24" s="117">
        <v>35200</v>
      </c>
      <c r="D24" s="94">
        <f t="shared" si="26"/>
        <v>10142</v>
      </c>
      <c r="E24" s="50" t="s">
        <v>131</v>
      </c>
      <c r="F24" s="38">
        <v>12230000</v>
      </c>
      <c r="G24" s="38">
        <v>0</v>
      </c>
      <c r="H24" s="38">
        <v>200000</v>
      </c>
      <c r="I24" s="38">
        <v>0</v>
      </c>
      <c r="J24" s="38">
        <f>2000000+900000</f>
        <v>2900000</v>
      </c>
      <c r="K24" s="38">
        <v>0</v>
      </c>
      <c r="L24" s="38">
        <v>0</v>
      </c>
      <c r="M24" s="38">
        <f>_xlfn.XLOOKUP(A24,Main!$B$13:$B$1048576,Main!$D$13:$D$1048576,0,0)*8</f>
        <v>194</v>
      </c>
      <c r="N24" s="48">
        <f>_xlfn.XLOOKUP(A24,Main!$B$13:$B$1048576,Main!$BQ$13:$BQ$1048576,0,0)</f>
        <v>194</v>
      </c>
      <c r="O24" s="48">
        <f>_xlfn.XLOOKUP(A24,Main!$B$13:$B$1048576,Main!$BR$13:$BR$1048576,0,0)</f>
        <v>115</v>
      </c>
      <c r="P24" s="39">
        <f t="shared" si="27"/>
        <v>12230000</v>
      </c>
      <c r="Q24" s="38">
        <f t="shared" si="28"/>
        <v>0</v>
      </c>
      <c r="R24" s="38">
        <f t="shared" si="6"/>
        <v>200000</v>
      </c>
      <c r="S24" s="38">
        <f t="shared" si="7"/>
        <v>0</v>
      </c>
      <c r="T24" s="38">
        <f t="shared" si="29"/>
        <v>2900000</v>
      </c>
      <c r="U24" s="38">
        <f t="shared" si="30"/>
        <v>0</v>
      </c>
      <c r="V24" s="38">
        <f t="shared" si="8"/>
        <v>0</v>
      </c>
      <c r="W24" s="38"/>
      <c r="X24" s="38"/>
      <c r="Y24" s="38"/>
      <c r="Z24" s="38"/>
      <c r="AA24" s="38"/>
      <c r="AB24" s="38"/>
      <c r="AC24" s="38"/>
      <c r="AD24" s="38"/>
      <c r="AE24" s="38" t="s">
        <v>88</v>
      </c>
      <c r="AF24" s="39">
        <v>0</v>
      </c>
      <c r="AG24" s="38"/>
      <c r="AH24" s="38"/>
      <c r="AI24" s="38"/>
      <c r="AJ24" s="38"/>
      <c r="AK24" s="38"/>
      <c r="AL24" s="38"/>
      <c r="AM24" s="38"/>
      <c r="AN24" s="38"/>
      <c r="AO24" s="38">
        <f>_xlfn.XLOOKUP($A24,Main!$B$13:$B$35,Main!BU$13:BU$35,0,0)</f>
        <v>0</v>
      </c>
      <c r="AP24" s="38">
        <f>_xlfn.XLOOKUP($A24,Main!$B$13:$B$35,Main!BV$13:BV$35,0,0)</f>
        <v>0</v>
      </c>
      <c r="AQ24" s="38">
        <f>_xlfn.XLOOKUP($A24,Main!$B$13:$B$35,Main!BW$13:BW$35,0,0)</f>
        <v>6.83</v>
      </c>
      <c r="AR24" s="38">
        <f>_xlfn.XLOOKUP($A24,Main!$B$13:$B$35,Main!BX$13:BX$35,0,0)</f>
        <v>0</v>
      </c>
      <c r="AS24" s="38">
        <f>_xlfn.XLOOKUP($A24,Main!$B$13:$B$35,Main!BY$13:BY$35,0,0)</f>
        <v>0</v>
      </c>
      <c r="AT24" s="38">
        <f>_xlfn.XLOOKUP($A24,Main!$B$13:$B$35,Main!BZ$13:BZ$35,0,0)</f>
        <v>0</v>
      </c>
      <c r="AU24" s="38">
        <f>_xlfn.XLOOKUP($A24,Main!$B$13:$B$35,Main!CA$13:CA$35,0,0)</f>
        <v>0</v>
      </c>
      <c r="AV24" s="38">
        <f t="shared" si="9"/>
        <v>0</v>
      </c>
      <c r="AW24" s="38">
        <f t="shared" si="10"/>
        <v>0</v>
      </c>
      <c r="AX24" s="38">
        <f t="shared" si="11"/>
        <v>1291714.9484536082</v>
      </c>
      <c r="AY24" s="38">
        <f t="shared" si="12"/>
        <v>0</v>
      </c>
      <c r="AZ24" s="38">
        <f t="shared" si="13"/>
        <v>0</v>
      </c>
      <c r="BA24" s="38">
        <f t="shared" si="14"/>
        <v>0</v>
      </c>
      <c r="BB24" s="38">
        <f t="shared" si="15"/>
        <v>0</v>
      </c>
      <c r="BC24" s="39">
        <f>ROUND(SUM(AV24:BB24)+CH24,0)</f>
        <v>1291715</v>
      </c>
      <c r="BD24" s="39">
        <f t="shared" si="16"/>
        <v>16621715</v>
      </c>
      <c r="BE24" s="38"/>
      <c r="BF24" s="38"/>
      <c r="BG24" s="39">
        <f>ROUND($CB24*'SHUI &amp; PIT'!$F$11,0)</f>
        <v>1210400</v>
      </c>
      <c r="BH24" s="39">
        <f>ROUND($CB24*'SHUI &amp; PIT'!$G$11,0)</f>
        <v>226950</v>
      </c>
      <c r="BI24" s="39">
        <f>ROUND($CC24*'SHUI &amp; PIT'!$H$11,0)</f>
        <v>151300</v>
      </c>
      <c r="BJ24" s="39">
        <f t="shared" si="32"/>
        <v>1588650</v>
      </c>
      <c r="BK24" s="39">
        <f t="shared" si="41"/>
        <v>0</v>
      </c>
      <c r="BL24" s="38">
        <f>VLOOKUP(A24,'[1]Payroll master '!B$12:AD$160,29,0)</f>
        <v>1</v>
      </c>
      <c r="BM24" s="39">
        <f t="shared" si="33"/>
        <v>15400000</v>
      </c>
      <c r="BN24" s="39">
        <f t="shared" si="36"/>
        <v>0</v>
      </c>
      <c r="BO24" s="39">
        <f>ROUND((VLOOKUP(BN24,'SHUI &amp; PIT'!$A$1:$C$8,2,1)*BN24-VLOOKUP(BN24,'SHUI &amp; PIT'!$A$1:$C$8,3,1)),0)</f>
        <v>0</v>
      </c>
      <c r="BP24" s="38">
        <f t="shared" si="34"/>
        <v>0</v>
      </c>
      <c r="BQ24" s="38"/>
      <c r="BR24" s="38"/>
      <c r="BS24" s="39">
        <f t="shared" si="37"/>
        <v>1588650</v>
      </c>
      <c r="BT24" s="39">
        <f t="shared" si="38"/>
        <v>15033065</v>
      </c>
      <c r="BU24" s="39">
        <f>ROUND($CB24*'SHUI &amp; PIT'!$F$12,0)</f>
        <v>2647750</v>
      </c>
      <c r="BV24" s="39">
        <f>ROUND($CB24*'SHUI &amp; PIT'!$G$12,0)</f>
        <v>453900</v>
      </c>
      <c r="BW24" s="39">
        <f>ROUND($CC24*'SHUI &amp; PIT'!$H$12,0)</f>
        <v>151300</v>
      </c>
      <c r="BX24" s="38"/>
      <c r="BY24" s="39">
        <f t="shared" si="39"/>
        <v>3252950</v>
      </c>
      <c r="BZ24" s="39">
        <f>IF(BU24&gt;0,ROUND($CB24*'SHUI &amp; PIT'!$I$12,0),0)</f>
        <v>302600</v>
      </c>
      <c r="CA24" s="39">
        <f t="shared" si="40"/>
        <v>20177265</v>
      </c>
      <c r="CB24" s="39">
        <f>IF(($F24+$T24)&gt;='SHUI &amp; PIT'!$C$12,'SHUI &amp; PIT'!$C$12,($F24+$T24))</f>
        <v>15130000</v>
      </c>
      <c r="CC24" s="39">
        <f>IF(($F24+$T24)&gt;='SHUI &amp; PIT'!$C$13,'SHUI &amp; PIT'!$C$13,($F24+$T24))</f>
        <v>15130000</v>
      </c>
      <c r="CD24" s="39">
        <f t="shared" si="23"/>
        <v>861143</v>
      </c>
      <c r="CE24" s="1">
        <f t="shared" si="35"/>
        <v>430572</v>
      </c>
      <c r="CF24" s="9">
        <f>_xlfn.XLOOKUP(A24,'[2]Termination and others'!B$12:B$33,'[2]Termination and others'!F$12:F$33,0,0)</f>
        <v>0</v>
      </c>
      <c r="CG24" s="116">
        <f>VLOOKUP(A24,Main!$B$13:$BN$405,65,0)</f>
        <v>0</v>
      </c>
      <c r="CH24" s="9">
        <f t="shared" si="24"/>
        <v>0</v>
      </c>
      <c r="CI24" s="90"/>
      <c r="CJ24" s="16">
        <f t="shared" si="25"/>
        <v>15560572</v>
      </c>
    </row>
    <row r="25" spans="1:88" ht="15" customHeight="1">
      <c r="A25" s="14" t="s">
        <v>101</v>
      </c>
      <c r="B25" s="15"/>
      <c r="C25" s="117">
        <v>38020</v>
      </c>
      <c r="D25" s="94">
        <f t="shared" si="26"/>
        <v>7322</v>
      </c>
      <c r="E25" s="50" t="s">
        <v>131</v>
      </c>
      <c r="F25" s="38">
        <v>13600000</v>
      </c>
      <c r="G25" s="38">
        <v>0</v>
      </c>
      <c r="H25" s="38">
        <v>200000</v>
      </c>
      <c r="I25" s="38">
        <v>0</v>
      </c>
      <c r="J25" s="38">
        <v>0</v>
      </c>
      <c r="K25" s="38">
        <v>0</v>
      </c>
      <c r="L25" s="38">
        <v>0</v>
      </c>
      <c r="M25" s="38">
        <f>_xlfn.XLOOKUP(A25,Main!$B$13:$B$1048576,Main!$D$13:$D$1048576,0,0)*8</f>
        <v>194</v>
      </c>
      <c r="N25" s="48">
        <f>_xlfn.XLOOKUP(A25,Main!$B$13:$B$1048576,Main!$BQ$13:$BQ$1048576,0,0)</f>
        <v>194</v>
      </c>
      <c r="O25" s="48">
        <f>_xlfn.XLOOKUP(A25,Main!$B$13:$B$1048576,Main!$BR$13:$BR$1048576,0,0)</f>
        <v>146</v>
      </c>
      <c r="P25" s="39">
        <f t="shared" ref="P25:P29" si="42">ROUND(F25/M25*N25,0)</f>
        <v>13600000</v>
      </c>
      <c r="Q25" s="38">
        <f t="shared" si="28"/>
        <v>0</v>
      </c>
      <c r="R25" s="38">
        <f t="shared" si="6"/>
        <v>200000</v>
      </c>
      <c r="S25" s="38">
        <f t="shared" si="7"/>
        <v>0</v>
      </c>
      <c r="T25" s="38">
        <f t="shared" si="29"/>
        <v>0</v>
      </c>
      <c r="U25" s="38">
        <f t="shared" si="30"/>
        <v>0</v>
      </c>
      <c r="V25" s="38">
        <f t="shared" si="8"/>
        <v>0</v>
      </c>
      <c r="W25" s="38"/>
      <c r="X25" s="38"/>
      <c r="Y25" s="38"/>
      <c r="Z25" s="38"/>
      <c r="AA25" s="38"/>
      <c r="AB25" s="38"/>
      <c r="AC25" s="38"/>
      <c r="AD25" s="38"/>
      <c r="AE25" s="38" t="s">
        <v>88</v>
      </c>
      <c r="AF25" s="39"/>
      <c r="AG25" s="38"/>
      <c r="AH25" s="38"/>
      <c r="AI25" s="38"/>
      <c r="AJ25" s="38"/>
      <c r="AK25" s="38"/>
      <c r="AL25" s="38"/>
      <c r="AM25" s="38"/>
      <c r="AN25" s="38"/>
      <c r="AO25" s="38">
        <f>_xlfn.XLOOKUP($A25,Main!$B$13:$B$35,Main!BU$13:BU$35,0,0)</f>
        <v>8</v>
      </c>
      <c r="AP25" s="38">
        <f>_xlfn.XLOOKUP($A25,Main!$B$13:$B$35,Main!BV$13:BV$35,0,0)</f>
        <v>8</v>
      </c>
      <c r="AQ25" s="38">
        <f>_xlfn.XLOOKUP($A25,Main!$B$13:$B$35,Main!BW$13:BW$35,0,0)</f>
        <v>0</v>
      </c>
      <c r="AR25" s="38">
        <f>_xlfn.XLOOKUP($A25,Main!$B$13:$B$35,Main!BX$13:BX$35,0,0)</f>
        <v>0</v>
      </c>
      <c r="AS25" s="38">
        <f>_xlfn.XLOOKUP($A25,Main!$B$13:$B$35,Main!BY$13:BY$35,0,0)</f>
        <v>0</v>
      </c>
      <c r="AT25" s="38">
        <f>_xlfn.XLOOKUP($A25,Main!$B$13:$B$35,Main!BZ$13:BZ$35,0,0)</f>
        <v>0</v>
      </c>
      <c r="AU25" s="38">
        <f>_xlfn.XLOOKUP($A25,Main!$B$13:$B$35,Main!CA$13:CA$35,0,0)</f>
        <v>0</v>
      </c>
      <c r="AV25" s="38">
        <f t="shared" si="9"/>
        <v>841237.11340206186</v>
      </c>
      <c r="AW25" s="38">
        <f t="shared" si="10"/>
        <v>1121649.4845360825</v>
      </c>
      <c r="AX25" s="38">
        <f t="shared" si="11"/>
        <v>0</v>
      </c>
      <c r="AY25" s="38">
        <f t="shared" si="12"/>
        <v>0</v>
      </c>
      <c r="AZ25" s="38">
        <f t="shared" si="13"/>
        <v>0</v>
      </c>
      <c r="BA25" s="38">
        <f t="shared" si="14"/>
        <v>0</v>
      </c>
      <c r="BB25" s="38">
        <f t="shared" si="15"/>
        <v>0</v>
      </c>
      <c r="BC25" s="39">
        <f t="shared" ref="BC25:BC29" si="43">ROUND(SUM(AV25:BB25)+CH25,0)</f>
        <v>1962887</v>
      </c>
      <c r="BD25" s="39">
        <f t="shared" si="16"/>
        <v>15762887</v>
      </c>
      <c r="BE25" s="38"/>
      <c r="BF25" s="38"/>
      <c r="BG25" s="39">
        <f>ROUND($CB25*'SHUI &amp; PIT'!$F$11,0)</f>
        <v>1088000</v>
      </c>
      <c r="BH25" s="39">
        <f>ROUND($CB25*'SHUI &amp; PIT'!$G$11,0)</f>
        <v>204000</v>
      </c>
      <c r="BI25" s="39">
        <f>ROUND($CC25*'SHUI &amp; PIT'!$H$11,0)</f>
        <v>136000</v>
      </c>
      <c r="BJ25" s="39">
        <f t="shared" ref="BJ25:BJ29" si="44">SUM(BG25:BI25)</f>
        <v>1428000</v>
      </c>
      <c r="BK25" s="39">
        <f t="shared" si="41"/>
        <v>0</v>
      </c>
      <c r="BL25" s="38">
        <f>VLOOKUP(A25,'[1]Payroll master '!B$12:AD$160,29,0)</f>
        <v>1</v>
      </c>
      <c r="BM25" s="39">
        <f t="shared" si="33"/>
        <v>15400000</v>
      </c>
      <c r="BN25" s="39">
        <f t="shared" ref="BN25:BN27" si="45">ROUND(IF((CJ25-BJ25-BM25-BR25)&lt;0,0,(CJ25-BJ25-BM25-BR25)),0)</f>
        <v>0</v>
      </c>
      <c r="BO25" s="39">
        <f>ROUND((VLOOKUP(BN25,'SHUI &amp; PIT'!$A$1:$C$8,2,1)*BN25-VLOOKUP(BN25,'SHUI &amp; PIT'!$A$1:$C$8,3,1)),0)</f>
        <v>0</v>
      </c>
      <c r="BP25" s="38">
        <f t="shared" ref="BP25:BP29" si="46">Y25</f>
        <v>0</v>
      </c>
      <c r="BQ25" s="38"/>
      <c r="BR25" s="38"/>
      <c r="BS25" s="39">
        <f t="shared" ref="BS25:BS27" si="47">BJ25+BO25+BP25+BR25+BE25+BF25+BQ25+BK25</f>
        <v>1428000</v>
      </c>
      <c r="BT25" s="39">
        <f t="shared" ref="BT25:BT27" si="48">ROUND(IF((BD25-BS25)&lt;0,0,(BD25-BS25)),0)</f>
        <v>14334887</v>
      </c>
      <c r="BU25" s="39">
        <f>ROUND($CB25*'SHUI &amp; PIT'!$F$12,0)</f>
        <v>2380000</v>
      </c>
      <c r="BV25" s="39">
        <f>ROUND($CB25*'SHUI &amp; PIT'!$G$12,0)</f>
        <v>408000</v>
      </c>
      <c r="BW25" s="39">
        <f>ROUND($CC25*'SHUI &amp; PIT'!$H$12,0)</f>
        <v>136000</v>
      </c>
      <c r="BX25" s="38"/>
      <c r="BY25" s="39">
        <f t="shared" ref="BY25:BY27" si="49">SUM(BU25:BX25)</f>
        <v>2924000</v>
      </c>
      <c r="BZ25" s="39">
        <f>IF(BU25&gt;0,ROUND($CB25*'SHUI &amp; PIT'!$I$12,0),0)</f>
        <v>272000</v>
      </c>
      <c r="CA25" s="39">
        <f t="shared" ref="CA25:CA27" si="50">BD25+BY25-AC25+BZ25-BQ25</f>
        <v>18958887</v>
      </c>
      <c r="CB25" s="39">
        <f>IF(($F25+$T25)&gt;='SHUI &amp; PIT'!$C$12,'SHUI &amp; PIT'!$C$12,($F25+$T25))</f>
        <v>13600000</v>
      </c>
      <c r="CC25" s="39">
        <f>IF(($F25+$T25)&gt;='SHUI &amp; PIT'!$C$13,'SHUI &amp; PIT'!$C$13,($F25+$T25))</f>
        <v>13600000</v>
      </c>
      <c r="CD25" s="39">
        <f t="shared" si="23"/>
        <v>841237</v>
      </c>
      <c r="CE25" s="1">
        <f t="shared" ref="CE25:CE29" si="51">BC25-CD25</f>
        <v>1121650</v>
      </c>
      <c r="CF25" s="9">
        <f>_xlfn.XLOOKUP(A25,'[2]Termination and others'!B$12:B$33,'[2]Termination and others'!F$12:F$33,0,0)</f>
        <v>0</v>
      </c>
      <c r="CG25" s="116">
        <f>VLOOKUP(A25,Main!$B$13:$BN$405,65,0)</f>
        <v>0</v>
      </c>
      <c r="CH25" s="9">
        <f t="shared" si="24"/>
        <v>0</v>
      </c>
      <c r="CI25" s="90"/>
      <c r="CJ25" s="16">
        <f t="shared" si="25"/>
        <v>14721650</v>
      </c>
    </row>
    <row r="26" spans="1:88" ht="15" customHeight="1">
      <c r="A26" s="14" t="s">
        <v>102</v>
      </c>
      <c r="B26" s="15"/>
      <c r="C26" s="117">
        <v>38355</v>
      </c>
      <c r="D26" s="94">
        <f t="shared" ref="D26:D29" si="52">DATEDIF(C26,$C$3,"D")</f>
        <v>6987</v>
      </c>
      <c r="E26" s="50" t="s">
        <v>131</v>
      </c>
      <c r="F26" s="38">
        <v>13740000</v>
      </c>
      <c r="G26" s="38">
        <v>0</v>
      </c>
      <c r="H26" s="38">
        <v>300000</v>
      </c>
      <c r="I26" s="38">
        <v>0</v>
      </c>
      <c r="J26" s="38">
        <v>850000</v>
      </c>
      <c r="K26" s="38">
        <v>0</v>
      </c>
      <c r="L26" s="38">
        <v>0</v>
      </c>
      <c r="M26" s="38">
        <f>_xlfn.XLOOKUP(A26,Main!$B$13:$B$1048576,Main!$D$13:$D$1048576,0,0)*8</f>
        <v>192</v>
      </c>
      <c r="N26" s="48">
        <f>_xlfn.XLOOKUP(A26,Main!$B$13:$B$1048576,Main!$BQ$13:$BQ$1048576,0,0)</f>
        <v>192</v>
      </c>
      <c r="O26" s="48">
        <f>_xlfn.XLOOKUP(A26,Main!$B$13:$B$1048576,Main!$BR$13:$BR$1048576,0,0)</f>
        <v>136.30000000000001</v>
      </c>
      <c r="P26" s="39">
        <f t="shared" si="42"/>
        <v>13740000</v>
      </c>
      <c r="Q26" s="38">
        <f t="shared" ref="Q26:Q29" si="53">G26/M26*O26</f>
        <v>0</v>
      </c>
      <c r="R26" s="38">
        <f t="shared" si="6"/>
        <v>300000</v>
      </c>
      <c r="S26" s="38">
        <f t="shared" si="7"/>
        <v>0</v>
      </c>
      <c r="T26" s="38">
        <f t="shared" ref="T26:T29" si="54">J26</f>
        <v>850000</v>
      </c>
      <c r="U26" s="38">
        <f t="shared" ref="U26:U29" si="55">K26/M26*O26</f>
        <v>0</v>
      </c>
      <c r="V26" s="38">
        <f t="shared" si="8"/>
        <v>0</v>
      </c>
      <c r="W26" s="38"/>
      <c r="X26" s="38"/>
      <c r="Y26" s="38"/>
      <c r="Z26" s="38"/>
      <c r="AA26" s="38"/>
      <c r="AB26" s="38"/>
      <c r="AC26" s="38"/>
      <c r="AD26" s="38"/>
      <c r="AE26" s="38" t="s">
        <v>88</v>
      </c>
      <c r="AF26" s="39"/>
      <c r="AG26" s="38"/>
      <c r="AH26" s="38"/>
      <c r="AI26" s="38"/>
      <c r="AJ26" s="38"/>
      <c r="AK26" s="38"/>
      <c r="AL26" s="38"/>
      <c r="AM26" s="38"/>
      <c r="AN26" s="38"/>
      <c r="AO26" s="38">
        <f>_xlfn.XLOOKUP($A26,Main!$B$13:$B$35,Main!BU$13:BU$35,0,0)</f>
        <v>8.2200000000000006</v>
      </c>
      <c r="AP26" s="38">
        <f>_xlfn.XLOOKUP($A26,Main!$B$13:$B$35,Main!BV$13:BV$35,0,0)</f>
        <v>0</v>
      </c>
      <c r="AQ26" s="38">
        <f>_xlfn.XLOOKUP($A26,Main!$B$13:$B$35,Main!BW$13:BW$35,0,0)</f>
        <v>3.25</v>
      </c>
      <c r="AR26" s="38">
        <f>_xlfn.XLOOKUP($A26,Main!$B$13:$B$35,Main!BX$13:BX$35,0,0)</f>
        <v>0</v>
      </c>
      <c r="AS26" s="38">
        <f>_xlfn.XLOOKUP($A26,Main!$B$13:$B$35,Main!BY$13:BY$35,0,0)</f>
        <v>0</v>
      </c>
      <c r="AT26" s="38">
        <f>_xlfn.XLOOKUP($A26,Main!$B$13:$B$35,Main!BZ$13:BZ$35,0,0)</f>
        <v>0</v>
      </c>
      <c r="AU26" s="38">
        <f>_xlfn.XLOOKUP($A26,Main!$B$13:$B$35,Main!CA$13:CA$35,0,0)</f>
        <v>0</v>
      </c>
      <c r="AV26" s="38">
        <f t="shared" si="9"/>
        <v>882365.625</v>
      </c>
      <c r="AW26" s="38">
        <f t="shared" si="10"/>
        <v>0</v>
      </c>
      <c r="AX26" s="38">
        <f t="shared" si="11"/>
        <v>697734.375</v>
      </c>
      <c r="AY26" s="38">
        <f t="shared" si="12"/>
        <v>0</v>
      </c>
      <c r="AZ26" s="38">
        <f t="shared" si="13"/>
        <v>0</v>
      </c>
      <c r="BA26" s="38">
        <f t="shared" si="14"/>
        <v>0</v>
      </c>
      <c r="BB26" s="38">
        <f t="shared" si="15"/>
        <v>0</v>
      </c>
      <c r="BC26" s="39">
        <f t="shared" si="43"/>
        <v>1580100</v>
      </c>
      <c r="BD26" s="39">
        <f t="shared" si="16"/>
        <v>16470100</v>
      </c>
      <c r="BE26" s="38"/>
      <c r="BF26" s="38"/>
      <c r="BG26" s="39">
        <f>ROUND($CB26*'SHUI &amp; PIT'!$F$11,0)</f>
        <v>1167200</v>
      </c>
      <c r="BH26" s="39">
        <f>ROUND($CB26*'SHUI &amp; PIT'!$G$11,0)</f>
        <v>218850</v>
      </c>
      <c r="BI26" s="39">
        <f>ROUND($CC26*'SHUI &amp; PIT'!$H$11,0)</f>
        <v>145900</v>
      </c>
      <c r="BJ26" s="39">
        <f t="shared" si="44"/>
        <v>1531950</v>
      </c>
      <c r="BK26" s="39">
        <f t="shared" si="41"/>
        <v>0</v>
      </c>
      <c r="BL26" s="38">
        <f>VLOOKUP(A26,'[1]Payroll master '!B$12:AD$160,29,0)</f>
        <v>2</v>
      </c>
      <c r="BM26" s="39">
        <f t="shared" ref="BM26:BM29" si="56">11000000+4400000*BL26</f>
        <v>19800000</v>
      </c>
      <c r="BN26" s="39">
        <f t="shared" si="45"/>
        <v>0</v>
      </c>
      <c r="BO26" s="39">
        <f>ROUND((VLOOKUP(BN26,'SHUI &amp; PIT'!$A$1:$C$8,2,1)*BN26-VLOOKUP(BN26,'SHUI &amp; PIT'!$A$1:$C$8,3,1)),0)</f>
        <v>0</v>
      </c>
      <c r="BP26" s="38">
        <f t="shared" si="46"/>
        <v>0</v>
      </c>
      <c r="BQ26" s="38"/>
      <c r="BR26" s="38"/>
      <c r="BS26" s="39">
        <f t="shared" si="47"/>
        <v>1531950</v>
      </c>
      <c r="BT26" s="39">
        <f t="shared" si="48"/>
        <v>14938150</v>
      </c>
      <c r="BU26" s="39">
        <f>ROUND($CB26*'SHUI &amp; PIT'!$F$12,0)</f>
        <v>2553250</v>
      </c>
      <c r="BV26" s="39">
        <f>ROUND($CB26*'SHUI &amp; PIT'!$G$12,0)</f>
        <v>437700</v>
      </c>
      <c r="BW26" s="39">
        <f>ROUND($CC26*'SHUI &amp; PIT'!$H$12,0)</f>
        <v>145900</v>
      </c>
      <c r="BX26" s="38"/>
      <c r="BY26" s="39">
        <f t="shared" si="49"/>
        <v>3136850</v>
      </c>
      <c r="BZ26" s="39">
        <f>IF(BU26&gt;0,ROUND($CB26*'SHUI &amp; PIT'!$I$12,0),0)</f>
        <v>291800</v>
      </c>
      <c r="CA26" s="39">
        <f t="shared" si="50"/>
        <v>19898750</v>
      </c>
      <c r="CB26" s="39">
        <f>IF(($F26+$T26)&gt;='SHUI &amp; PIT'!$C$12,'SHUI &amp; PIT'!$C$12,($F26+$T26))</f>
        <v>14590000</v>
      </c>
      <c r="CC26" s="39">
        <f>IF(($F26+$T26)&gt;='SHUI &amp; PIT'!$C$13,'SHUI &amp; PIT'!$C$13,($F26+$T26))</f>
        <v>14590000</v>
      </c>
      <c r="CD26" s="39">
        <f t="shared" si="23"/>
        <v>759278</v>
      </c>
      <c r="CE26" s="1">
        <f t="shared" si="51"/>
        <v>820822</v>
      </c>
      <c r="CF26" s="9">
        <f>_xlfn.XLOOKUP(A26,'[2]Termination and others'!B$12:B$33,'[2]Termination and others'!F$12:F$33,0,0)</f>
        <v>0</v>
      </c>
      <c r="CG26" s="116">
        <f>VLOOKUP(A26,Main!$B$13:$BN$405,65,0)</f>
        <v>0</v>
      </c>
      <c r="CH26" s="9">
        <f t="shared" si="24"/>
        <v>0</v>
      </c>
      <c r="CI26" s="90"/>
      <c r="CJ26" s="16">
        <f t="shared" si="25"/>
        <v>15410822</v>
      </c>
    </row>
    <row r="27" spans="1:88" ht="15" customHeight="1">
      <c r="A27" s="14" t="s">
        <v>103</v>
      </c>
      <c r="B27" s="15"/>
      <c r="C27" s="117">
        <v>39790</v>
      </c>
      <c r="D27" s="94">
        <f t="shared" si="52"/>
        <v>5552</v>
      </c>
      <c r="E27" s="50" t="s">
        <v>131</v>
      </c>
      <c r="F27" s="38">
        <v>8980000</v>
      </c>
      <c r="G27" s="38">
        <v>0</v>
      </c>
      <c r="H27" s="38">
        <v>200000</v>
      </c>
      <c r="I27" s="38">
        <v>0</v>
      </c>
      <c r="J27" s="38">
        <v>0</v>
      </c>
      <c r="K27" s="38">
        <v>0</v>
      </c>
      <c r="L27" s="38">
        <v>0</v>
      </c>
      <c r="M27" s="38">
        <f>_xlfn.XLOOKUP(A27,Main!$B$13:$B$1048576,Main!$D$13:$D$1048576,0,0)*8</f>
        <v>192</v>
      </c>
      <c r="N27" s="48">
        <f>_xlfn.XLOOKUP(A27,Main!$B$13:$B$1048576,Main!$BQ$13:$BQ$1048576,0,0)</f>
        <v>192</v>
      </c>
      <c r="O27" s="48">
        <f>_xlfn.XLOOKUP(A27,Main!$B$13:$B$1048576,Main!$BR$13:$BR$1048576,0,0)</f>
        <v>148</v>
      </c>
      <c r="P27" s="39">
        <f t="shared" si="42"/>
        <v>8980000</v>
      </c>
      <c r="Q27" s="38">
        <f t="shared" si="53"/>
        <v>0</v>
      </c>
      <c r="R27" s="38">
        <f t="shared" si="6"/>
        <v>200000</v>
      </c>
      <c r="S27" s="38">
        <f t="shared" si="7"/>
        <v>0</v>
      </c>
      <c r="T27" s="38">
        <f t="shared" si="54"/>
        <v>0</v>
      </c>
      <c r="U27" s="38">
        <f t="shared" si="55"/>
        <v>0</v>
      </c>
      <c r="V27" s="38">
        <f t="shared" si="8"/>
        <v>0</v>
      </c>
      <c r="W27" s="38"/>
      <c r="X27" s="38"/>
      <c r="Y27" s="38"/>
      <c r="Z27" s="38"/>
      <c r="AA27" s="38"/>
      <c r="AB27" s="38"/>
      <c r="AC27" s="38"/>
      <c r="AD27" s="38"/>
      <c r="AE27" s="38" t="s">
        <v>88</v>
      </c>
      <c r="AF27" s="39"/>
      <c r="AG27" s="38"/>
      <c r="AH27" s="38"/>
      <c r="AI27" s="38"/>
      <c r="AJ27" s="38"/>
      <c r="AK27" s="38"/>
      <c r="AL27" s="38"/>
      <c r="AM27" s="38"/>
      <c r="AN27" s="38"/>
      <c r="AO27" s="38">
        <f>_xlfn.XLOOKUP($A27,Main!$B$13:$B$35,Main!BU$13:BU$35,0,0)</f>
        <v>18.05</v>
      </c>
      <c r="AP27" s="38">
        <f>_xlfn.XLOOKUP($A27,Main!$B$13:$B$35,Main!BV$13:BV$35,0,0)</f>
        <v>0</v>
      </c>
      <c r="AQ27" s="38">
        <f>_xlfn.XLOOKUP($A27,Main!$B$13:$B$35,Main!BW$13:BW$35,0,0)</f>
        <v>0</v>
      </c>
      <c r="AR27" s="38">
        <f>_xlfn.XLOOKUP($A27,Main!$B$13:$B$35,Main!BX$13:BX$35,0,0)</f>
        <v>0</v>
      </c>
      <c r="AS27" s="38">
        <f>_xlfn.XLOOKUP($A27,Main!$B$13:$B$35,Main!BY$13:BY$35,0,0)</f>
        <v>0</v>
      </c>
      <c r="AT27" s="38">
        <f>_xlfn.XLOOKUP($A27,Main!$B$13:$B$35,Main!BZ$13:BZ$35,0,0)</f>
        <v>0</v>
      </c>
      <c r="AU27" s="38">
        <f>_xlfn.XLOOKUP($A27,Main!$B$13:$B$35,Main!CA$13:CA$35,0,0)</f>
        <v>0</v>
      </c>
      <c r="AV27" s="38">
        <f t="shared" si="9"/>
        <v>1266320.3125</v>
      </c>
      <c r="AW27" s="38">
        <f t="shared" si="10"/>
        <v>0</v>
      </c>
      <c r="AX27" s="38">
        <f t="shared" si="11"/>
        <v>0</v>
      </c>
      <c r="AY27" s="38">
        <f t="shared" si="12"/>
        <v>0</v>
      </c>
      <c r="AZ27" s="38">
        <f t="shared" si="13"/>
        <v>0</v>
      </c>
      <c r="BA27" s="38">
        <f t="shared" si="14"/>
        <v>0</v>
      </c>
      <c r="BB27" s="38">
        <f t="shared" si="15"/>
        <v>0</v>
      </c>
      <c r="BC27" s="39">
        <f t="shared" si="43"/>
        <v>1266320</v>
      </c>
      <c r="BD27" s="39">
        <f t="shared" si="16"/>
        <v>10446320</v>
      </c>
      <c r="BE27" s="38"/>
      <c r="BF27" s="38"/>
      <c r="BG27" s="39">
        <f>ROUND($CB27*'SHUI &amp; PIT'!$F$11,0)</f>
        <v>718400</v>
      </c>
      <c r="BH27" s="39">
        <f>ROUND($CB27*'SHUI &amp; PIT'!$G$11,0)</f>
        <v>134700</v>
      </c>
      <c r="BI27" s="39">
        <f>ROUND($CC27*'SHUI &amp; PIT'!$H$11,0)</f>
        <v>89800</v>
      </c>
      <c r="BJ27" s="39">
        <f t="shared" si="44"/>
        <v>942900</v>
      </c>
      <c r="BK27" s="39">
        <f t="shared" si="41"/>
        <v>0</v>
      </c>
      <c r="BL27" s="38">
        <f>VLOOKUP(A27,'[1]Payroll master '!B$12:AD$160,29,0)</f>
        <v>2</v>
      </c>
      <c r="BM27" s="39">
        <f t="shared" si="56"/>
        <v>19800000</v>
      </c>
      <c r="BN27" s="39">
        <f t="shared" si="45"/>
        <v>0</v>
      </c>
      <c r="BO27" s="39">
        <f>ROUND((VLOOKUP(BN27,'SHUI &amp; PIT'!$A$1:$C$8,2,1)*BN27-VLOOKUP(BN27,'SHUI &amp; PIT'!$A$1:$C$8,3,1)),0)</f>
        <v>0</v>
      </c>
      <c r="BP27" s="38">
        <f t="shared" si="46"/>
        <v>0</v>
      </c>
      <c r="BQ27" s="38"/>
      <c r="BR27" s="38"/>
      <c r="BS27" s="39">
        <f t="shared" si="47"/>
        <v>942900</v>
      </c>
      <c r="BT27" s="39">
        <f t="shared" si="48"/>
        <v>9503420</v>
      </c>
      <c r="BU27" s="39">
        <f>ROUND($CB27*'SHUI &amp; PIT'!$F$12,0)</f>
        <v>1571500</v>
      </c>
      <c r="BV27" s="39">
        <f>ROUND($CB27*'SHUI &amp; PIT'!$G$12,0)</f>
        <v>269400</v>
      </c>
      <c r="BW27" s="39">
        <f>ROUND($CC27*'SHUI &amp; PIT'!$H$12,0)</f>
        <v>89800</v>
      </c>
      <c r="BX27" s="38"/>
      <c r="BY27" s="39">
        <f t="shared" si="49"/>
        <v>1930700</v>
      </c>
      <c r="BZ27" s="39">
        <f>IF(BU27&gt;0,ROUND($CB27*'SHUI &amp; PIT'!$I$12,0),0)</f>
        <v>179600</v>
      </c>
      <c r="CA27" s="39">
        <f t="shared" si="50"/>
        <v>12556620</v>
      </c>
      <c r="CB27" s="39">
        <f>IF(($F27+$T27)&gt;='SHUI &amp; PIT'!$C$12,'SHUI &amp; PIT'!$C$12,($F27+$T27))</f>
        <v>8980000</v>
      </c>
      <c r="CC27" s="39">
        <f>IF(($F27+$T27)&gt;='SHUI &amp; PIT'!$C$13,'SHUI &amp; PIT'!$C$13,($F27+$T27))</f>
        <v>8980000</v>
      </c>
      <c r="CD27" s="39">
        <f t="shared" si="23"/>
        <v>422107</v>
      </c>
      <c r="CE27" s="1">
        <f t="shared" si="51"/>
        <v>844213</v>
      </c>
      <c r="CF27" s="9">
        <f>_xlfn.XLOOKUP(A27,'[2]Termination and others'!B$12:B$33,'[2]Termination and others'!F$12:F$33,0,0)</f>
        <v>0</v>
      </c>
      <c r="CG27" s="116">
        <f>VLOOKUP(A27,Main!$B$13:$BN$405,65,0)</f>
        <v>0</v>
      </c>
      <c r="CH27" s="9">
        <f t="shared" si="24"/>
        <v>0</v>
      </c>
      <c r="CI27" s="90"/>
      <c r="CJ27" s="16">
        <f t="shared" si="25"/>
        <v>9824213</v>
      </c>
    </row>
    <row r="28" spans="1:88" ht="15" customHeight="1">
      <c r="A28" s="14" t="s">
        <v>104</v>
      </c>
      <c r="B28" s="15"/>
      <c r="C28" s="117">
        <v>40600</v>
      </c>
      <c r="D28" s="94">
        <f t="shared" si="52"/>
        <v>4742</v>
      </c>
      <c r="E28" s="50" t="s">
        <v>131</v>
      </c>
      <c r="F28" s="38">
        <v>9500000</v>
      </c>
      <c r="G28" s="38">
        <v>0</v>
      </c>
      <c r="H28" s="38">
        <v>200000</v>
      </c>
      <c r="I28" s="38">
        <v>0</v>
      </c>
      <c r="J28" s="38">
        <v>0</v>
      </c>
      <c r="K28" s="38">
        <v>0</v>
      </c>
      <c r="L28" s="38">
        <v>0</v>
      </c>
      <c r="M28" s="38">
        <f>_xlfn.XLOOKUP(A28,Main!$B$13:$B$1048576,Main!$D$13:$D$1048576,0,0)*8</f>
        <v>192</v>
      </c>
      <c r="N28" s="48">
        <f>_xlfn.XLOOKUP(A28,Main!$B$13:$B$1048576,Main!$BQ$13:$BQ$1048576,0,0)</f>
        <v>192</v>
      </c>
      <c r="O28" s="48">
        <f>_xlfn.XLOOKUP(A28,Main!$B$13:$B$1048576,Main!$BR$13:$BR$1048576,0,0)</f>
        <v>152</v>
      </c>
      <c r="P28" s="39">
        <f t="shared" si="42"/>
        <v>9500000</v>
      </c>
      <c r="Q28" s="38">
        <f t="shared" si="53"/>
        <v>0</v>
      </c>
      <c r="R28" s="38">
        <f t="shared" si="6"/>
        <v>200000</v>
      </c>
      <c r="S28" s="38">
        <f t="shared" si="7"/>
        <v>0</v>
      </c>
      <c r="T28" s="38">
        <f t="shared" si="54"/>
        <v>0</v>
      </c>
      <c r="U28" s="38">
        <f t="shared" si="55"/>
        <v>0</v>
      </c>
      <c r="V28" s="38">
        <f t="shared" si="8"/>
        <v>0</v>
      </c>
      <c r="W28" s="38"/>
      <c r="X28" s="38"/>
      <c r="Y28" s="38"/>
      <c r="Z28" s="38"/>
      <c r="AA28" s="38"/>
      <c r="AB28" s="38"/>
      <c r="AC28" s="38"/>
      <c r="AD28" s="38"/>
      <c r="AE28" s="38" t="s">
        <v>88</v>
      </c>
      <c r="AF28" s="39"/>
      <c r="AG28" s="38"/>
      <c r="AH28" s="38"/>
      <c r="AI28" s="38"/>
      <c r="AJ28" s="38"/>
      <c r="AK28" s="38"/>
      <c r="AL28" s="38"/>
      <c r="AM28" s="38"/>
      <c r="AN28" s="38"/>
      <c r="AO28" s="38">
        <f>_xlfn.XLOOKUP($A28,Main!$B$13:$B$35,Main!BU$13:BU$35,0,0)</f>
        <v>16</v>
      </c>
      <c r="AP28" s="38">
        <f>_xlfn.XLOOKUP($A28,Main!$B$13:$B$35,Main!BV$13:BV$35,0,0)</f>
        <v>0</v>
      </c>
      <c r="AQ28" s="38">
        <f>_xlfn.XLOOKUP($A28,Main!$B$13:$B$35,Main!BW$13:BW$35,0,0)</f>
        <v>0</v>
      </c>
      <c r="AR28" s="38">
        <f>_xlfn.XLOOKUP($A28,Main!$B$13:$B$35,Main!BX$13:BX$35,0,0)</f>
        <v>0</v>
      </c>
      <c r="AS28" s="38">
        <f>_xlfn.XLOOKUP($A28,Main!$B$13:$B$35,Main!BY$13:BY$35,0,0)</f>
        <v>0</v>
      </c>
      <c r="AT28" s="38">
        <f>_xlfn.XLOOKUP($A28,Main!$B$13:$B$35,Main!BZ$13:BZ$35,0,0)</f>
        <v>0</v>
      </c>
      <c r="AU28" s="38">
        <f>_xlfn.XLOOKUP($A28,Main!$B$13:$B$35,Main!CA$13:CA$35,0,0)</f>
        <v>0</v>
      </c>
      <c r="AV28" s="38">
        <f t="shared" si="9"/>
        <v>1187500</v>
      </c>
      <c r="AW28" s="38">
        <f t="shared" si="10"/>
        <v>0</v>
      </c>
      <c r="AX28" s="38">
        <f t="shared" si="11"/>
        <v>0</v>
      </c>
      <c r="AY28" s="38">
        <f t="shared" si="12"/>
        <v>0</v>
      </c>
      <c r="AZ28" s="38">
        <f t="shared" si="13"/>
        <v>0</v>
      </c>
      <c r="BA28" s="38">
        <f t="shared" si="14"/>
        <v>0</v>
      </c>
      <c r="BB28" s="38">
        <f t="shared" si="15"/>
        <v>0</v>
      </c>
      <c r="BC28" s="39">
        <f t="shared" si="43"/>
        <v>1187500</v>
      </c>
      <c r="BD28" s="39">
        <f t="shared" si="16"/>
        <v>10887500</v>
      </c>
      <c r="BE28" s="38"/>
      <c r="BF28" s="38"/>
      <c r="BG28" s="39">
        <f>ROUND($CB28*'SHUI &amp; PIT'!$F$11,0)</f>
        <v>760000</v>
      </c>
      <c r="BH28" s="39">
        <f>ROUND($CB28*'SHUI &amp; PIT'!$G$11,0)</f>
        <v>142500</v>
      </c>
      <c r="BI28" s="39">
        <f>ROUND($CC28*'SHUI &amp; PIT'!$H$11,0)</f>
        <v>95000</v>
      </c>
      <c r="BJ28" s="39">
        <f t="shared" si="44"/>
        <v>997500</v>
      </c>
      <c r="BK28" s="39">
        <f t="shared" si="41"/>
        <v>0</v>
      </c>
      <c r="BL28" s="38">
        <v>2</v>
      </c>
      <c r="BM28" s="39">
        <f t="shared" si="56"/>
        <v>19800000</v>
      </c>
      <c r="BN28" s="39">
        <f t="shared" ref="BN28:BN29" si="57">ROUND(IF((CJ28-BJ28-BM28-BR28)&lt;0,0,(CJ28-BJ28-BM28-BR28)),0)</f>
        <v>0</v>
      </c>
      <c r="BO28" s="39">
        <f>ROUND((VLOOKUP(BN28,'SHUI &amp; PIT'!$A$1:$C$8,2,1)*BN28-VLOOKUP(BN28,'SHUI &amp; PIT'!$A$1:$C$8,3,1)),0)</f>
        <v>0</v>
      </c>
      <c r="BP28" s="38">
        <f t="shared" si="46"/>
        <v>0</v>
      </c>
      <c r="BQ28" s="38"/>
      <c r="BR28" s="38"/>
      <c r="BS28" s="39">
        <f t="shared" ref="BS28:BS29" si="58">BJ28+BO28+BP28+BR28+BE28+BF28+BQ28+BK28</f>
        <v>997500</v>
      </c>
      <c r="BT28" s="39">
        <f t="shared" ref="BT28:BT29" si="59">ROUND(IF((BD28-BS28)&lt;0,0,(BD28-BS28)),0)</f>
        <v>9890000</v>
      </c>
      <c r="BU28" s="39">
        <f>ROUND($CB28*'SHUI &amp; PIT'!$F$12,0)</f>
        <v>1662500</v>
      </c>
      <c r="BV28" s="39">
        <f>ROUND($CB28*'SHUI &amp; PIT'!$G$12,0)</f>
        <v>285000</v>
      </c>
      <c r="BW28" s="39">
        <f>ROUND($CC28*'SHUI &amp; PIT'!$H$12,0)</f>
        <v>95000</v>
      </c>
      <c r="BX28" s="38"/>
      <c r="BY28" s="39">
        <f t="shared" ref="BY28:BY29" si="60">SUM(BU28:BX28)</f>
        <v>2042500</v>
      </c>
      <c r="BZ28" s="39">
        <f>IF(BU28&gt;0,ROUND($CB28*'SHUI &amp; PIT'!$I$12,0),0)</f>
        <v>190000</v>
      </c>
      <c r="CA28" s="39">
        <f t="shared" ref="CA28:CA29" si="61">BD28+BY28-AC28+BZ28-BQ28</f>
        <v>13120000</v>
      </c>
      <c r="CB28" s="39">
        <f>IF(($F28+$T28)&gt;='SHUI &amp; PIT'!$C$12,'SHUI &amp; PIT'!$C$12,($F28+$T28))</f>
        <v>9500000</v>
      </c>
      <c r="CC28" s="39">
        <f>IF(($F28+$T28)&gt;='SHUI &amp; PIT'!$C$13,'SHUI &amp; PIT'!$C$13,($F28+$T28))</f>
        <v>9500000</v>
      </c>
      <c r="CD28" s="39">
        <f t="shared" si="23"/>
        <v>395833</v>
      </c>
      <c r="CE28" s="1">
        <f t="shared" si="51"/>
        <v>791667</v>
      </c>
      <c r="CF28" s="9">
        <f>_xlfn.XLOOKUP(A28,'[2]Termination and others'!B$12:B$33,'[2]Termination and others'!F$12:F$33,0,0)</f>
        <v>0</v>
      </c>
      <c r="CG28" s="116">
        <f>VLOOKUP(A28,Main!$B$13:$BN$405,65,0)</f>
        <v>0</v>
      </c>
      <c r="CH28" s="9">
        <f t="shared" si="24"/>
        <v>0</v>
      </c>
      <c r="CI28" s="90"/>
      <c r="CJ28" s="16">
        <f t="shared" si="25"/>
        <v>10291667</v>
      </c>
    </row>
    <row r="29" spans="1:88" ht="15" customHeight="1">
      <c r="A29" s="14" t="s">
        <v>111</v>
      </c>
      <c r="B29" s="15"/>
      <c r="C29" s="117">
        <v>43960</v>
      </c>
      <c r="D29" s="94">
        <f t="shared" si="52"/>
        <v>1382</v>
      </c>
      <c r="E29" s="50" t="s">
        <v>131</v>
      </c>
      <c r="F29" s="38">
        <v>13740000</v>
      </c>
      <c r="G29" s="38">
        <v>0</v>
      </c>
      <c r="H29" s="38">
        <v>300000</v>
      </c>
      <c r="I29" s="38">
        <v>0</v>
      </c>
      <c r="J29" s="38">
        <v>0</v>
      </c>
      <c r="K29" s="38">
        <v>0</v>
      </c>
      <c r="L29" s="38">
        <v>0</v>
      </c>
      <c r="M29" s="38">
        <f>_xlfn.XLOOKUP(A29,Main!$B$13:$B$1048576,Main!$D$13:$D$1048576,0,0)*8</f>
        <v>194</v>
      </c>
      <c r="N29" s="48">
        <f>_xlfn.XLOOKUP(A29,Main!$B$13:$B$1048576,Main!$BQ$13:$BQ$1048576,0,0)</f>
        <v>194</v>
      </c>
      <c r="O29" s="48">
        <f>_xlfn.XLOOKUP(A29,Main!$B$13:$B$1048576,Main!$BR$13:$BR$1048576,0,0)</f>
        <v>133.33000000000001</v>
      </c>
      <c r="P29" s="39">
        <f t="shared" si="42"/>
        <v>13740000</v>
      </c>
      <c r="Q29" s="38">
        <f t="shared" si="53"/>
        <v>0</v>
      </c>
      <c r="R29" s="38">
        <f t="shared" si="6"/>
        <v>300000</v>
      </c>
      <c r="S29" s="38">
        <f t="shared" si="7"/>
        <v>0</v>
      </c>
      <c r="T29" s="38">
        <f t="shared" si="54"/>
        <v>0</v>
      </c>
      <c r="U29" s="38">
        <f t="shared" si="55"/>
        <v>0</v>
      </c>
      <c r="V29" s="38">
        <f t="shared" si="8"/>
        <v>0</v>
      </c>
      <c r="W29" s="38"/>
      <c r="X29" s="38"/>
      <c r="Y29" s="38"/>
      <c r="Z29" s="38"/>
      <c r="AA29" s="38"/>
      <c r="AB29" s="38"/>
      <c r="AC29" s="38"/>
      <c r="AD29" s="38"/>
      <c r="AE29" s="38" t="s">
        <v>88</v>
      </c>
      <c r="AF29" s="39"/>
      <c r="AG29" s="38"/>
      <c r="AH29" s="38"/>
      <c r="AI29" s="38"/>
      <c r="AJ29" s="38"/>
      <c r="AK29" s="38"/>
      <c r="AL29" s="38"/>
      <c r="AM29" s="38"/>
      <c r="AN29" s="38"/>
      <c r="AO29" s="38">
        <f>_xlfn.XLOOKUP($A29,Main!$B$13:$B$35,Main!BU$13:BU$35,0,0)</f>
        <v>1.97</v>
      </c>
      <c r="AP29" s="38">
        <f>_xlfn.XLOOKUP($A29,Main!$B$13:$B$35,Main!BV$13:BV$35,0,0)</f>
        <v>7.17</v>
      </c>
      <c r="AQ29" s="38">
        <f>_xlfn.XLOOKUP($A29,Main!$B$13:$B$35,Main!BW$13:BW$35,0,0)</f>
        <v>0</v>
      </c>
      <c r="AR29" s="38">
        <f>_xlfn.XLOOKUP($A29,Main!$B$13:$B$35,Main!BX$13:BX$35,0,0)</f>
        <v>0</v>
      </c>
      <c r="AS29" s="38">
        <f>_xlfn.XLOOKUP($A29,Main!$B$13:$B$35,Main!BY$13:BY$35,0,0)</f>
        <v>0</v>
      </c>
      <c r="AT29" s="38">
        <f>_xlfn.XLOOKUP($A29,Main!$B$13:$B$35,Main!BZ$13:BZ$35,0,0)</f>
        <v>0</v>
      </c>
      <c r="AU29" s="38">
        <f>_xlfn.XLOOKUP($A29,Main!$B$13:$B$35,Main!CA$13:CA$35,0,0)</f>
        <v>0</v>
      </c>
      <c r="AV29" s="38">
        <f t="shared" si="9"/>
        <v>209287.11340206186</v>
      </c>
      <c r="AW29" s="38">
        <f t="shared" si="10"/>
        <v>1015626.8041237114</v>
      </c>
      <c r="AX29" s="38">
        <f t="shared" si="11"/>
        <v>0</v>
      </c>
      <c r="AY29" s="38">
        <f t="shared" si="12"/>
        <v>0</v>
      </c>
      <c r="AZ29" s="38">
        <f t="shared" si="13"/>
        <v>0</v>
      </c>
      <c r="BA29" s="38">
        <f t="shared" si="14"/>
        <v>0</v>
      </c>
      <c r="BB29" s="38">
        <f t="shared" si="15"/>
        <v>0</v>
      </c>
      <c r="BC29" s="39">
        <f t="shared" si="43"/>
        <v>1224914</v>
      </c>
      <c r="BD29" s="39">
        <f t="shared" si="16"/>
        <v>15264914</v>
      </c>
      <c r="BE29" s="38"/>
      <c r="BF29" s="38"/>
      <c r="BG29" s="39">
        <f>ROUND($CB29*'SHUI &amp; PIT'!$F$11,0)</f>
        <v>1099200</v>
      </c>
      <c r="BH29" s="39">
        <f>ROUND($CB29*'SHUI &amp; PIT'!$G$11,0)</f>
        <v>206100</v>
      </c>
      <c r="BI29" s="39">
        <f>ROUND($CC29*'SHUI &amp; PIT'!$H$11,0)</f>
        <v>137400</v>
      </c>
      <c r="BJ29" s="39">
        <f t="shared" si="44"/>
        <v>1442700</v>
      </c>
      <c r="BK29" s="39">
        <f t="shared" si="41"/>
        <v>0</v>
      </c>
      <c r="BL29" s="38">
        <f>VLOOKUP(A29,'[1]Payroll master '!B$12:AD$160,29,0)</f>
        <v>1</v>
      </c>
      <c r="BM29" s="39">
        <f t="shared" si="56"/>
        <v>15400000</v>
      </c>
      <c r="BN29" s="39">
        <f t="shared" si="57"/>
        <v>0</v>
      </c>
      <c r="BO29" s="39">
        <f>ROUND((VLOOKUP(BN29,'SHUI &amp; PIT'!$A$1:$C$8,2,1)*BN29-VLOOKUP(BN29,'SHUI &amp; PIT'!$A$1:$C$8,3,1)),0)</f>
        <v>0</v>
      </c>
      <c r="BP29" s="38">
        <f t="shared" si="46"/>
        <v>0</v>
      </c>
      <c r="BQ29" s="38"/>
      <c r="BR29" s="38"/>
      <c r="BS29" s="39">
        <f t="shared" si="58"/>
        <v>1442700</v>
      </c>
      <c r="BT29" s="39">
        <f t="shared" si="59"/>
        <v>13822214</v>
      </c>
      <c r="BU29" s="39">
        <f>ROUND($CB29*'SHUI &amp; PIT'!$F$12,0)</f>
        <v>2404500</v>
      </c>
      <c r="BV29" s="39">
        <f>ROUND($CB29*'SHUI &amp; PIT'!$G$12,0)</f>
        <v>412200</v>
      </c>
      <c r="BW29" s="39">
        <f>ROUND($CC29*'SHUI &amp; PIT'!$H$12,0)</f>
        <v>137400</v>
      </c>
      <c r="BX29" s="38"/>
      <c r="BY29" s="39">
        <f t="shared" si="60"/>
        <v>2954100</v>
      </c>
      <c r="BZ29" s="39">
        <f>IF(BU29&gt;0,ROUND($CB29*'SHUI &amp; PIT'!$I$12,0),0)</f>
        <v>274800</v>
      </c>
      <c r="CA29" s="39">
        <f t="shared" si="61"/>
        <v>18493814</v>
      </c>
      <c r="CB29" s="39">
        <f>IF(($F29+$T29)&gt;='SHUI &amp; PIT'!$C$12,'SHUI &amp; PIT'!$C$12,($F29+$T29))</f>
        <v>13740000</v>
      </c>
      <c r="CC29" s="39">
        <f>IF(($F29+$T29)&gt;='SHUI &amp; PIT'!$C$13,'SHUI &amp; PIT'!$C$13,($F29+$T29))</f>
        <v>13740000</v>
      </c>
      <c r="CD29" s="39">
        <f t="shared" si="23"/>
        <v>577576</v>
      </c>
      <c r="CE29" s="1">
        <f t="shared" si="51"/>
        <v>647338</v>
      </c>
      <c r="CF29" s="9">
        <f>_xlfn.XLOOKUP(A29,'[2]Termination and others'!B$12:B$33,'[2]Termination and others'!F$12:F$33,0,0)</f>
        <v>0</v>
      </c>
      <c r="CG29" s="116">
        <f>VLOOKUP(A29,Main!$B$13:$BN$405,65,0)</f>
        <v>0</v>
      </c>
      <c r="CH29" s="9">
        <f t="shared" si="24"/>
        <v>0</v>
      </c>
      <c r="CI29" s="90"/>
      <c r="CJ29" s="16">
        <f t="shared" si="25"/>
        <v>14387338</v>
      </c>
    </row>
    <row r="31" spans="1:88" ht="48">
      <c r="G31" s="146" t="s">
        <v>287</v>
      </c>
      <c r="H31" s="146" t="s">
        <v>287</v>
      </c>
      <c r="I31" s="146" t="s">
        <v>287</v>
      </c>
      <c r="J31" s="146" t="s">
        <v>287</v>
      </c>
      <c r="K31" s="146" t="s">
        <v>287</v>
      </c>
      <c r="L31" s="146" t="s">
        <v>287</v>
      </c>
      <c r="P31" s="146" t="s">
        <v>288</v>
      </c>
      <c r="R31" s="147" t="s">
        <v>306</v>
      </c>
      <c r="S31" s="147" t="s">
        <v>307</v>
      </c>
      <c r="T31" s="147" t="s">
        <v>291</v>
      </c>
      <c r="AV31" s="1" t="s">
        <v>298</v>
      </c>
      <c r="AW31" s="1" t="s">
        <v>298</v>
      </c>
      <c r="AX31" s="1" t="s">
        <v>298</v>
      </c>
      <c r="AY31" s="1" t="s">
        <v>298</v>
      </c>
      <c r="AZ31" s="1" t="s">
        <v>298</v>
      </c>
      <c r="BA31" s="1" t="s">
        <v>298</v>
      </c>
      <c r="BB31" s="1" t="s">
        <v>298</v>
      </c>
      <c r="BC31" s="1" t="s">
        <v>299</v>
      </c>
      <c r="BD31" s="1" t="s">
        <v>297</v>
      </c>
      <c r="BG31" s="1" t="s">
        <v>295</v>
      </c>
      <c r="BH31" s="1" t="s">
        <v>295</v>
      </c>
      <c r="BI31" s="1" t="s">
        <v>295</v>
      </c>
      <c r="BJ31" s="1" t="s">
        <v>296</v>
      </c>
      <c r="BK31" s="1" t="s">
        <v>296</v>
      </c>
      <c r="BM31" s="1" t="s">
        <v>310</v>
      </c>
      <c r="BN31" s="1" t="s">
        <v>50</v>
      </c>
      <c r="BO31" s="1" t="s">
        <v>296</v>
      </c>
      <c r="BP31" s="1" t="s">
        <v>296</v>
      </c>
      <c r="BQ31" s="1" t="s">
        <v>296</v>
      </c>
      <c r="BR31" s="1" t="s">
        <v>296</v>
      </c>
      <c r="BS31" s="1" t="s">
        <v>15</v>
      </c>
      <c r="BT31" s="1" t="s">
        <v>16</v>
      </c>
      <c r="BU31" s="1" t="s">
        <v>301</v>
      </c>
      <c r="BV31" s="1" t="s">
        <v>301</v>
      </c>
      <c r="BW31" s="1" t="s">
        <v>301</v>
      </c>
      <c r="BY31" s="1" t="s">
        <v>302</v>
      </c>
      <c r="CA31" s="1" t="s">
        <v>304</v>
      </c>
      <c r="CD31" s="1" t="s">
        <v>308</v>
      </c>
      <c r="CJ31" s="34" t="s">
        <v>26</v>
      </c>
    </row>
    <row r="32" spans="1:88">
      <c r="CJ32" s="34" t="s">
        <v>305</v>
      </c>
    </row>
    <row r="33" spans="17:79" ht="15">
      <c r="Q33" s="146" t="s">
        <v>289</v>
      </c>
      <c r="R33" s="146" t="s">
        <v>289</v>
      </c>
      <c r="S33" s="146" t="s">
        <v>289</v>
      </c>
      <c r="T33" s="146" t="s">
        <v>289</v>
      </c>
      <c r="U33" s="146" t="s">
        <v>290</v>
      </c>
      <c r="V33" s="146" t="s">
        <v>290</v>
      </c>
      <c r="W33" s="1" t="s">
        <v>292</v>
      </c>
      <c r="X33" s="1" t="s">
        <v>292</v>
      </c>
      <c r="Y33" s="1" t="s">
        <v>292</v>
      </c>
      <c r="Z33" s="1" t="s">
        <v>292</v>
      </c>
      <c r="AC33" s="148" t="s">
        <v>309</v>
      </c>
      <c r="AD33" s="1" t="s">
        <v>292</v>
      </c>
      <c r="AH33" s="1" t="s">
        <v>292</v>
      </c>
      <c r="AI33" s="1" t="s">
        <v>292</v>
      </c>
      <c r="AK33" s="1" t="s">
        <v>293</v>
      </c>
      <c r="AM33" s="1" t="s">
        <v>292</v>
      </c>
      <c r="BS33" s="1" t="s">
        <v>294</v>
      </c>
      <c r="BW33" s="1" t="s">
        <v>300</v>
      </c>
      <c r="CA33" s="1" t="s">
        <v>303</v>
      </c>
    </row>
    <row r="34" spans="17:79">
      <c r="AC34" s="1" t="s">
        <v>292</v>
      </c>
      <c r="AK34" s="1" t="s">
        <v>292</v>
      </c>
    </row>
  </sheetData>
  <autoFilter ref="A6:CL29" xr:uid="{00000000-0001-0000-0100-000000000000}"/>
  <sortState xmlns:xlrd2="http://schemas.microsoft.com/office/spreadsheetml/2017/richdata2" ref="A29:CJ29">
    <sortCondition ref="E29"/>
  </sortState>
  <phoneticPr fontId="18" type="noConversion"/>
  <conditionalFormatting sqref="A4:A29">
    <cfRule type="duplicateValues" dxfId="14" priority="2186"/>
    <cfRule type="duplicateValues" dxfId="13" priority="2187"/>
    <cfRule type="duplicateValues" dxfId="12" priority="2188"/>
  </conditionalFormatting>
  <conditionalFormatting sqref="A4:A1048576">
    <cfRule type="duplicateValues" dxfId="11" priority="34"/>
    <cfRule type="duplicateValues" dxfId="10" priority="1471"/>
    <cfRule type="duplicateValues" dxfId="9" priority="1472"/>
  </conditionalFormatting>
  <conditionalFormatting sqref="BL7:BL29">
    <cfRule type="cellIs" dxfId="8" priority="25" operator="greaterThan">
      <formula>0</formula>
    </cfRule>
  </conditionalFormatting>
  <conditionalFormatting sqref="BM7:BM29">
    <cfRule type="cellIs" dxfId="7" priority="24" operator="greaterThan">
      <formula>11000000</formula>
    </cfRule>
  </conditionalFormatting>
  <pageMargins left="0" right="0" top="0" bottom="0" header="0" footer="0"/>
  <pageSetup paperSize="8" firstPageNumber="0" fitToWidth="0" fitToHeight="0" pageOrder="overThenDown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98CC-FE20-4856-8501-BF7E85D0841B}">
  <sheetPr>
    <pageSetUpPr autoPageBreaks="0"/>
  </sheetPr>
  <dimension ref="A1:CC35"/>
  <sheetViews>
    <sheetView showRuler="0" zoomScaleNormal="100" workbookViewId="0">
      <pane xSplit="4" ySplit="12" topLeftCell="BQ13" activePane="bottomRight" state="frozen"/>
      <selection pane="topRight" activeCell="D1" sqref="D1"/>
      <selection pane="bottomLeft" activeCell="A10" sqref="A10"/>
      <selection pane="bottomRight" activeCell="B13" sqref="B13"/>
    </sheetView>
  </sheetViews>
  <sheetFormatPr baseColWidth="10" defaultColWidth="9.1640625" defaultRowHeight="13"/>
  <cols>
    <col min="1" max="1" width="4.83203125" style="70" customWidth="1"/>
    <col min="2" max="2" width="16.6640625" style="70" customWidth="1"/>
    <col min="3" max="3" width="32.5" style="70" customWidth="1"/>
    <col min="4" max="4" width="13" style="86" customWidth="1"/>
    <col min="5" max="5" width="9.1640625" style="70" customWidth="1"/>
    <col min="6" max="6" width="15.33203125" style="70" customWidth="1"/>
    <col min="7" max="33" width="9.1640625" style="70" customWidth="1"/>
    <col min="34" max="43" width="9.1640625" style="46" customWidth="1"/>
    <col min="44" max="67" width="9.1640625" style="70"/>
    <col min="68" max="68" width="15" style="70" customWidth="1"/>
    <col min="69" max="69" width="9.6640625" style="70" customWidth="1"/>
    <col min="70" max="70" width="10.83203125" style="70" customWidth="1"/>
    <col min="71" max="16384" width="9.1640625" style="70"/>
  </cols>
  <sheetData>
    <row r="1" spans="1:81" hidden="1">
      <c r="AS1" s="77">
        <v>2</v>
      </c>
      <c r="AT1" s="77">
        <v>2</v>
      </c>
      <c r="AU1" s="77">
        <v>2</v>
      </c>
      <c r="AV1" s="77">
        <v>2</v>
      </c>
      <c r="AW1" s="77">
        <v>2</v>
      </c>
      <c r="AX1" s="77">
        <v>2</v>
      </c>
      <c r="AY1" s="77">
        <v>2</v>
      </c>
      <c r="AZ1" s="77">
        <v>2</v>
      </c>
      <c r="BA1" s="77">
        <v>2</v>
      </c>
      <c r="BB1" s="77">
        <v>2</v>
      </c>
      <c r="BC1" s="77">
        <v>2</v>
      </c>
      <c r="BD1" s="77">
        <v>2</v>
      </c>
      <c r="BE1" s="77">
        <v>2</v>
      </c>
      <c r="BF1" s="77">
        <v>2</v>
      </c>
      <c r="BG1" s="77">
        <v>2</v>
      </c>
      <c r="BH1" s="77">
        <v>0</v>
      </c>
      <c r="BI1" s="77">
        <v>2</v>
      </c>
      <c r="BJ1" s="77">
        <v>2</v>
      </c>
      <c r="BK1" s="77">
        <v>2</v>
      </c>
      <c r="BL1" s="77">
        <v>2</v>
      </c>
    </row>
    <row r="2" spans="1:81" ht="10.5" customHeight="1">
      <c r="A2" s="78" t="s">
        <v>166</v>
      </c>
      <c r="B2" s="78"/>
      <c r="C2" s="78"/>
      <c r="D2" s="87"/>
      <c r="E2" s="79">
        <v>45281</v>
      </c>
      <c r="F2" s="77">
        <v>31</v>
      </c>
      <c r="G2" s="77" t="s">
        <v>167</v>
      </c>
      <c r="H2" s="80">
        <v>45311</v>
      </c>
      <c r="I2" s="80" t="s">
        <v>168</v>
      </c>
      <c r="J2" s="80" t="s">
        <v>169</v>
      </c>
      <c r="K2" s="80" t="s">
        <v>170</v>
      </c>
      <c r="L2" s="80" t="s">
        <v>171</v>
      </c>
      <c r="M2" s="80" t="s">
        <v>172</v>
      </c>
      <c r="N2" s="80" t="s">
        <v>173</v>
      </c>
      <c r="O2" s="80" t="s">
        <v>167</v>
      </c>
      <c r="P2" s="78"/>
      <c r="R2" s="78"/>
      <c r="S2" s="157"/>
      <c r="T2" s="157"/>
      <c r="U2" s="157"/>
      <c r="V2" s="157"/>
      <c r="W2" s="157"/>
      <c r="X2" s="157"/>
      <c r="Y2" s="157"/>
      <c r="Z2" s="157"/>
      <c r="AH2" s="70"/>
    </row>
    <row r="3" spans="1:81" ht="10.5" customHeight="1">
      <c r="A3" s="70" t="s">
        <v>174</v>
      </c>
      <c r="Q3" s="77"/>
      <c r="S3" s="157"/>
      <c r="T3" s="157"/>
      <c r="U3" s="157"/>
      <c r="V3" s="157"/>
      <c r="W3" s="157"/>
      <c r="X3" s="157"/>
      <c r="Y3" s="157"/>
      <c r="Z3" s="157"/>
      <c r="AH3" s="70"/>
      <c r="BS3" s="70" t="s">
        <v>254</v>
      </c>
    </row>
    <row r="4" spans="1:81" ht="10.5" customHeight="1">
      <c r="A4" s="70" t="s">
        <v>175</v>
      </c>
      <c r="Q4" s="77"/>
      <c r="S4" s="157"/>
      <c r="T4" s="157"/>
      <c r="U4" s="157"/>
      <c r="V4" s="157"/>
      <c r="W4" s="157"/>
      <c r="X4" s="157"/>
      <c r="Y4" s="157"/>
      <c r="Z4" s="157"/>
      <c r="AH4" s="70"/>
      <c r="BS4" s="70" t="s">
        <v>257</v>
      </c>
    </row>
    <row r="5" spans="1:81" ht="10.5" customHeight="1">
      <c r="A5" s="70" t="s">
        <v>176</v>
      </c>
      <c r="S5" s="157"/>
      <c r="T5" s="157"/>
      <c r="U5" s="157"/>
      <c r="V5" s="157"/>
      <c r="W5" s="157"/>
      <c r="X5" s="157"/>
      <c r="Y5" s="157"/>
      <c r="Z5" s="157"/>
      <c r="AH5" s="70"/>
      <c r="BS5" s="70" t="s">
        <v>255</v>
      </c>
    </row>
    <row r="6" spans="1:81" ht="10.5" customHeight="1">
      <c r="AH6" s="70"/>
      <c r="BS6" s="70" t="s">
        <v>256</v>
      </c>
    </row>
    <row r="7" spans="1:81" ht="15" customHeight="1">
      <c r="A7" s="158" t="s">
        <v>177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</row>
    <row r="8" spans="1:81" ht="10.5" customHeight="1">
      <c r="A8" s="157" t="s">
        <v>241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81" ht="10.5" customHeight="1">
      <c r="A9" s="157" t="s">
        <v>178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81" ht="10.5" customHeight="1">
      <c r="A10" s="81"/>
      <c r="B10" s="81"/>
      <c r="C10" s="81"/>
      <c r="D10" s="88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78"/>
      <c r="T10" s="78"/>
      <c r="U10" s="78"/>
      <c r="V10" s="78"/>
      <c r="W10" s="78"/>
      <c r="X10" s="78"/>
      <c r="Y10" s="78"/>
      <c r="Z10" s="83"/>
      <c r="AA10" s="84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BU10" s="70">
        <f t="shared" ref="BU10:CA10" si="0">SUBTOTAL(9,BU$13:BU$35)</f>
        <v>52.239999999999995</v>
      </c>
      <c r="BV10" s="70">
        <f t="shared" si="0"/>
        <v>15.17</v>
      </c>
      <c r="BW10" s="70">
        <f t="shared" si="0"/>
        <v>10.08</v>
      </c>
      <c r="BX10" s="70">
        <f t="shared" si="0"/>
        <v>0</v>
      </c>
      <c r="BY10" s="70">
        <f t="shared" si="0"/>
        <v>0</v>
      </c>
      <c r="BZ10" s="70">
        <f t="shared" si="0"/>
        <v>0</v>
      </c>
      <c r="CA10" s="70">
        <f t="shared" si="0"/>
        <v>0</v>
      </c>
    </row>
    <row r="11" spans="1:81" s="62" customFormat="1" ht="11.25" customHeight="1">
      <c r="A11" s="159" t="s">
        <v>179</v>
      </c>
      <c r="B11" s="159" t="s">
        <v>180</v>
      </c>
      <c r="C11" s="159" t="s">
        <v>181</v>
      </c>
      <c r="D11" s="160" t="s">
        <v>182</v>
      </c>
      <c r="E11" s="61" t="str">
        <f t="shared" ref="E11:AI11" si="1" xml:space="preserve"> IF($E$2+COLUMN()-5&gt;$H$2, "", DAY($E$2+COLUMN()-5) &amp; IF(DAY($E$2+COLUMN()-5)=1, "/" &amp; MONTH($E$2+COLUMN()-5), ""))</f>
        <v>21</v>
      </c>
      <c r="F11" s="61" t="str">
        <f t="shared" si="1"/>
        <v>22</v>
      </c>
      <c r="G11" s="61" t="str">
        <f t="shared" si="1"/>
        <v>23</v>
      </c>
      <c r="H11" s="61" t="str">
        <f t="shared" si="1"/>
        <v>24</v>
      </c>
      <c r="I11" s="61" t="str">
        <f t="shared" si="1"/>
        <v>25</v>
      </c>
      <c r="J11" s="61" t="str">
        <f t="shared" si="1"/>
        <v>26</v>
      </c>
      <c r="K11" s="61" t="str">
        <f t="shared" si="1"/>
        <v>27</v>
      </c>
      <c r="L11" s="61" t="str">
        <f t="shared" si="1"/>
        <v>28</v>
      </c>
      <c r="M11" s="61" t="str">
        <f t="shared" si="1"/>
        <v>29</v>
      </c>
      <c r="N11" s="61" t="str">
        <f t="shared" si="1"/>
        <v>30</v>
      </c>
      <c r="O11" s="61" t="str">
        <f t="shared" si="1"/>
        <v>31</v>
      </c>
      <c r="P11" s="61" t="str">
        <f t="shared" si="1"/>
        <v>1/1</v>
      </c>
      <c r="Q11" s="61" t="str">
        <f t="shared" si="1"/>
        <v>2</v>
      </c>
      <c r="R11" s="61" t="str">
        <f t="shared" si="1"/>
        <v>3</v>
      </c>
      <c r="S11" s="61" t="str">
        <f t="shared" si="1"/>
        <v>4</v>
      </c>
      <c r="T11" s="61" t="str">
        <f t="shared" si="1"/>
        <v>5</v>
      </c>
      <c r="U11" s="61" t="str">
        <f t="shared" si="1"/>
        <v>6</v>
      </c>
      <c r="V11" s="61" t="str">
        <f t="shared" si="1"/>
        <v>7</v>
      </c>
      <c r="W11" s="61" t="str">
        <f t="shared" si="1"/>
        <v>8</v>
      </c>
      <c r="X11" s="61" t="str">
        <f t="shared" si="1"/>
        <v>9</v>
      </c>
      <c r="Y11" s="61" t="str">
        <f t="shared" si="1"/>
        <v>10</v>
      </c>
      <c r="Z11" s="61" t="str">
        <f t="shared" si="1"/>
        <v>11</v>
      </c>
      <c r="AA11" s="61" t="str">
        <f t="shared" si="1"/>
        <v>12</v>
      </c>
      <c r="AB11" s="61" t="str">
        <f t="shared" si="1"/>
        <v>13</v>
      </c>
      <c r="AC11" s="61" t="str">
        <f t="shared" si="1"/>
        <v>14</v>
      </c>
      <c r="AD11" s="61" t="str">
        <f t="shared" si="1"/>
        <v>15</v>
      </c>
      <c r="AE11" s="61" t="str">
        <f t="shared" si="1"/>
        <v>16</v>
      </c>
      <c r="AF11" s="61" t="str">
        <f t="shared" si="1"/>
        <v>17</v>
      </c>
      <c r="AG11" s="61" t="str">
        <f t="shared" si="1"/>
        <v>18</v>
      </c>
      <c r="AH11" s="61" t="str">
        <f t="shared" si="1"/>
        <v>19</v>
      </c>
      <c r="AI11" s="61" t="str">
        <f t="shared" si="1"/>
        <v>20</v>
      </c>
      <c r="AJ11" s="61" t="str">
        <f t="shared" ref="AJ11:AR11" si="2" xml:space="preserve"> IF($E$2+COLUMN()-5&gt;$H$2, "", DAY($E$2+COLUMN()-5) &amp; IF(DAY($E$2+COLUMN()-5)=1, "/" &amp; MONTH($E$2+COLUMN()-5), ""))</f>
        <v/>
      </c>
      <c r="AK11" s="61" t="str">
        <f t="shared" si="2"/>
        <v/>
      </c>
      <c r="AL11" s="61" t="str">
        <f t="shared" si="2"/>
        <v/>
      </c>
      <c r="AM11" s="61" t="str">
        <f t="shared" si="2"/>
        <v/>
      </c>
      <c r="AN11" s="61" t="str">
        <f t="shared" si="2"/>
        <v/>
      </c>
      <c r="AO11" s="61" t="str">
        <f t="shared" si="2"/>
        <v/>
      </c>
      <c r="AP11" s="61" t="str">
        <f t="shared" si="2"/>
        <v/>
      </c>
      <c r="AQ11" s="61" t="str">
        <f t="shared" si="2"/>
        <v/>
      </c>
      <c r="AR11" s="61" t="str">
        <f t="shared" si="2"/>
        <v/>
      </c>
      <c r="AS11" s="156" t="s">
        <v>144</v>
      </c>
      <c r="AT11" s="156" t="s">
        <v>145</v>
      </c>
      <c r="AU11" s="156" t="s">
        <v>146</v>
      </c>
      <c r="AV11" s="156" t="s">
        <v>147</v>
      </c>
      <c r="AW11" s="156" t="s">
        <v>148</v>
      </c>
      <c r="AX11" s="156" t="s">
        <v>149</v>
      </c>
      <c r="AY11" s="156" t="s">
        <v>150</v>
      </c>
      <c r="AZ11" s="156" t="s">
        <v>151</v>
      </c>
      <c r="BA11" s="156" t="s">
        <v>152</v>
      </c>
      <c r="BB11" s="156" t="s">
        <v>153</v>
      </c>
      <c r="BC11" s="156" t="s">
        <v>154</v>
      </c>
      <c r="BD11" s="156" t="s">
        <v>155</v>
      </c>
      <c r="BE11" s="156" t="s">
        <v>156</v>
      </c>
      <c r="BF11" s="156" t="s">
        <v>157</v>
      </c>
      <c r="BG11" s="156" t="s">
        <v>158</v>
      </c>
      <c r="BH11" s="156" t="s">
        <v>159</v>
      </c>
      <c r="BI11" s="156" t="s">
        <v>160</v>
      </c>
      <c r="BJ11" s="156" t="s">
        <v>161</v>
      </c>
      <c r="BK11" s="156" t="s">
        <v>162</v>
      </c>
      <c r="BL11" s="156" t="s">
        <v>163</v>
      </c>
      <c r="BM11" s="156" t="s">
        <v>183</v>
      </c>
    </row>
    <row r="12" spans="1:81" s="62" customFormat="1" ht="55.5" customHeight="1">
      <c r="A12" s="159"/>
      <c r="B12" s="159"/>
      <c r="C12" s="159"/>
      <c r="D12" s="160"/>
      <c r="E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năm</v>
      </c>
      <c r="F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sáu</v>
      </c>
      <c r="G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bảy</v>
      </c>
      <c r="H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Chủ nhật</v>
      </c>
      <c r="I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hai</v>
      </c>
      <c r="J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ba</v>
      </c>
      <c r="K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tư</v>
      </c>
      <c r="L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năm</v>
      </c>
      <c r="M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sáu</v>
      </c>
      <c r="N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bảy</v>
      </c>
      <c r="O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Chủ nhật</v>
      </c>
      <c r="P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hai</v>
      </c>
      <c r="Q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ba</v>
      </c>
      <c r="R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tư</v>
      </c>
      <c r="S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năm</v>
      </c>
      <c r="T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sáu</v>
      </c>
      <c r="U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bảy</v>
      </c>
      <c r="V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Chủ nhật</v>
      </c>
      <c r="W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hai</v>
      </c>
      <c r="X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ba</v>
      </c>
      <c r="Y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tư</v>
      </c>
      <c r="Z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năm</v>
      </c>
      <c r="AA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sáu</v>
      </c>
      <c r="AB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bảy</v>
      </c>
      <c r="AC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Chủ nhật</v>
      </c>
      <c r="AD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hai</v>
      </c>
      <c r="AE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ba</v>
      </c>
      <c r="AF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tư</v>
      </c>
      <c r="AG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năm</v>
      </c>
      <c r="AH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sáu</v>
      </c>
      <c r="AI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>Thứ bảy</v>
      </c>
      <c r="AJ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K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L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M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N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O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P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Q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R12" s="63" t="str">
        <f>IF($E$2+COLUMN()-5&gt;$H$2, "", IF(WEEKDAY($E$2+COLUMN()-5)=1, O2, IF(WEEKDAY($E$2+COLUMN()-5)=2, I2, IF(WEEKDAY($E$2+COLUMN()-5)=3, J2, IF(WEEKDAY($E$2+COLUMN()-5)=4, K2, IF(WEEKDAY($E$2+COLUMN()-5)=5, L2, IF(WEEKDAY($E$2+COLUMN()-5)=6, M2, N2)))))))</f>
        <v/>
      </c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91" t="s">
        <v>242</v>
      </c>
      <c r="BO12" s="92" t="s">
        <v>249</v>
      </c>
      <c r="BP12" s="92" t="s">
        <v>250</v>
      </c>
      <c r="BQ12" s="92" t="s">
        <v>252</v>
      </c>
      <c r="BR12" s="92" t="s">
        <v>253</v>
      </c>
      <c r="BS12" s="97" t="s">
        <v>251</v>
      </c>
      <c r="BU12" s="62" t="s">
        <v>51</v>
      </c>
      <c r="BV12" s="62" t="s">
        <v>18</v>
      </c>
      <c r="BW12" s="62" t="s">
        <v>52</v>
      </c>
      <c r="BX12" s="62" t="s">
        <v>223</v>
      </c>
      <c r="BY12" s="62" t="s">
        <v>224</v>
      </c>
      <c r="BZ12" s="62" t="s">
        <v>225</v>
      </c>
      <c r="CA12" s="62" t="s">
        <v>226</v>
      </c>
    </row>
    <row r="13" spans="1:81" ht="10.5" customHeight="1">
      <c r="A13" s="64">
        <v>28</v>
      </c>
      <c r="B13" s="65" t="s">
        <v>105</v>
      </c>
      <c r="C13" s="65"/>
      <c r="D13" s="89">
        <v>24.25</v>
      </c>
      <c r="E13" s="67"/>
      <c r="F13" s="67" t="s">
        <v>133</v>
      </c>
      <c r="G13" s="68" t="s">
        <v>260</v>
      </c>
      <c r="H13" s="68" t="s">
        <v>260</v>
      </c>
      <c r="I13" s="69" t="s">
        <v>260</v>
      </c>
      <c r="J13" s="69" t="s">
        <v>261</v>
      </c>
      <c r="K13" s="69"/>
      <c r="L13" s="69"/>
      <c r="M13" s="69" t="s">
        <v>260</v>
      </c>
      <c r="N13" s="69" t="s">
        <v>260</v>
      </c>
      <c r="O13" s="69" t="s">
        <v>260</v>
      </c>
      <c r="P13" s="69" t="s">
        <v>260</v>
      </c>
      <c r="Q13" s="69" t="s">
        <v>261</v>
      </c>
      <c r="R13" s="69"/>
      <c r="S13" s="69"/>
      <c r="T13" s="69" t="s">
        <v>260</v>
      </c>
      <c r="U13" s="69" t="s">
        <v>260</v>
      </c>
      <c r="V13" s="69" t="s">
        <v>264</v>
      </c>
      <c r="W13" s="69" t="s">
        <v>262</v>
      </c>
      <c r="X13" s="69" t="s">
        <v>263</v>
      </c>
      <c r="Y13" s="69" t="s">
        <v>262</v>
      </c>
      <c r="Z13" s="69" t="s">
        <v>262</v>
      </c>
      <c r="AA13" s="69" t="s">
        <v>262</v>
      </c>
      <c r="AB13" s="69"/>
      <c r="AC13" s="69"/>
      <c r="AD13" s="69" t="s">
        <v>260</v>
      </c>
      <c r="AE13" s="69" t="s">
        <v>265</v>
      </c>
      <c r="AF13" s="69"/>
      <c r="AG13" s="69"/>
      <c r="AH13" s="69" t="s">
        <v>260</v>
      </c>
      <c r="AI13" s="69" t="s">
        <v>260</v>
      </c>
      <c r="AJ13" s="69"/>
      <c r="AK13" s="69"/>
      <c r="AL13" s="69"/>
      <c r="AM13" s="69"/>
      <c r="AN13" s="69"/>
      <c r="AO13" s="69"/>
      <c r="AP13" s="69"/>
      <c r="AQ13" s="69"/>
      <c r="AR13" s="69"/>
      <c r="AS13" s="66">
        <v>134</v>
      </c>
      <c r="AT13" s="66"/>
      <c r="AU13" s="66"/>
      <c r="AV13" s="66"/>
      <c r="AW13" s="66"/>
      <c r="AX13" s="66"/>
      <c r="AY13" s="66"/>
      <c r="AZ13" s="66"/>
      <c r="BA13" s="66"/>
      <c r="BB13" s="66">
        <v>16</v>
      </c>
      <c r="BC13" s="66"/>
      <c r="BD13" s="66">
        <v>44</v>
      </c>
      <c r="BE13" s="66"/>
      <c r="BF13" s="66"/>
      <c r="BG13" s="66"/>
      <c r="BH13" s="66"/>
      <c r="BI13" s="66"/>
      <c r="BJ13" s="66"/>
      <c r="BK13" s="66"/>
      <c r="BL13" s="66"/>
      <c r="BM13" s="66">
        <v>194</v>
      </c>
      <c r="BN13" s="85">
        <v>11.16</v>
      </c>
      <c r="BO13" s="70">
        <f t="shared" ref="BO13:BO17" si="3">D13*8</f>
        <v>194</v>
      </c>
      <c r="BP13" s="85">
        <f t="shared" ref="BP13:BP17" si="4">AS13+AT13+BA13+BB13+BC13+BD13+BE13+BF13+BG13+BH13+BI13+BJ13+BK13+BL13</f>
        <v>194</v>
      </c>
      <c r="BQ13" s="49">
        <f t="shared" ref="BQ13:BQ17" si="5">AS13+AT13+BA13+BB13+BC13+BD13+BE13+BH13</f>
        <v>194</v>
      </c>
      <c r="BR13" s="75">
        <f t="shared" ref="BR13" si="6">AS13+AT13+BA13+BH13</f>
        <v>134</v>
      </c>
      <c r="BS13" s="96">
        <f t="shared" ref="BS13:BS17" si="7">BP13-BO13</f>
        <v>0</v>
      </c>
      <c r="BT13" s="95">
        <f t="shared" ref="BT13" si="8">BO13-BQ13</f>
        <v>0</v>
      </c>
      <c r="BU13" s="95">
        <f t="shared" ref="BU13:BU17" si="9">AU13</f>
        <v>0</v>
      </c>
      <c r="BV13" s="95">
        <f t="shared" ref="BV13:BV17" si="10">AW13</f>
        <v>0</v>
      </c>
      <c r="BW13" s="95">
        <f t="shared" ref="BW13:BW17" si="11">AY13</f>
        <v>0</v>
      </c>
      <c r="BX13" s="95">
        <f t="shared" ref="BX13:BX17" si="12">AT13</f>
        <v>0</v>
      </c>
      <c r="BY13" s="95">
        <f t="shared" ref="BY13:BY17" si="13">AV13</f>
        <v>0</v>
      </c>
      <c r="BZ13" s="95">
        <f t="shared" ref="BZ13:BZ17" si="14">AX13</f>
        <v>0</v>
      </c>
      <c r="CA13" s="95">
        <f t="shared" ref="CA13:CA17" si="15">AZ13</f>
        <v>0</v>
      </c>
      <c r="CB13" s="85"/>
      <c r="CC13" s="85"/>
    </row>
    <row r="14" spans="1:81" ht="10.5" customHeight="1">
      <c r="A14" s="64">
        <v>34</v>
      </c>
      <c r="B14" s="65" t="s">
        <v>96</v>
      </c>
      <c r="C14" s="65"/>
      <c r="D14" s="89">
        <v>24.25</v>
      </c>
      <c r="E14" s="67"/>
      <c r="F14" s="67" t="s">
        <v>133</v>
      </c>
      <c r="G14" s="68" t="s">
        <v>260</v>
      </c>
      <c r="H14" s="68" t="s">
        <v>260</v>
      </c>
      <c r="I14" s="69" t="s">
        <v>260</v>
      </c>
      <c r="J14" s="69" t="s">
        <v>261</v>
      </c>
      <c r="K14" s="69"/>
      <c r="L14" s="69"/>
      <c r="M14" s="69" t="s">
        <v>260</v>
      </c>
      <c r="N14" s="69" t="s">
        <v>260</v>
      </c>
      <c r="O14" s="69" t="s">
        <v>260</v>
      </c>
      <c r="P14" s="69" t="s">
        <v>260</v>
      </c>
      <c r="Q14" s="69" t="s">
        <v>261</v>
      </c>
      <c r="R14" s="69"/>
      <c r="S14" s="69"/>
      <c r="T14" s="69" t="s">
        <v>260</v>
      </c>
      <c r="U14" s="69" t="s">
        <v>260</v>
      </c>
      <c r="V14" s="69" t="s">
        <v>264</v>
      </c>
      <c r="W14" s="69" t="s">
        <v>262</v>
      </c>
      <c r="X14" s="69" t="s">
        <v>263</v>
      </c>
      <c r="Y14" s="69" t="s">
        <v>262</v>
      </c>
      <c r="Z14" s="69" t="s">
        <v>262</v>
      </c>
      <c r="AA14" s="69" t="s">
        <v>262</v>
      </c>
      <c r="AB14" s="69"/>
      <c r="AC14" s="69"/>
      <c r="AD14" s="69" t="s">
        <v>264</v>
      </c>
      <c r="AE14" s="69" t="s">
        <v>265</v>
      </c>
      <c r="AF14" s="69"/>
      <c r="AG14" s="69"/>
      <c r="AH14" s="69" t="s">
        <v>260</v>
      </c>
      <c r="AI14" s="69" t="s">
        <v>260</v>
      </c>
      <c r="AJ14" s="69"/>
      <c r="AK14" s="69"/>
      <c r="AL14" s="69"/>
      <c r="AM14" s="69"/>
      <c r="AN14" s="69"/>
      <c r="AO14" s="69"/>
      <c r="AP14" s="69"/>
      <c r="AQ14" s="69"/>
      <c r="AR14" s="69"/>
      <c r="AS14" s="66">
        <v>126</v>
      </c>
      <c r="AT14" s="66"/>
      <c r="AU14" s="66"/>
      <c r="AV14" s="66"/>
      <c r="AW14" s="66"/>
      <c r="AX14" s="66"/>
      <c r="AY14" s="66"/>
      <c r="AZ14" s="66"/>
      <c r="BA14" s="66"/>
      <c r="BB14" s="66">
        <v>24</v>
      </c>
      <c r="BC14" s="66"/>
      <c r="BD14" s="66">
        <v>44</v>
      </c>
      <c r="BE14" s="66"/>
      <c r="BF14" s="66"/>
      <c r="BG14" s="66"/>
      <c r="BH14" s="66"/>
      <c r="BI14" s="66"/>
      <c r="BJ14" s="66"/>
      <c r="BK14" s="66"/>
      <c r="BL14" s="66"/>
      <c r="BM14" s="66">
        <v>194</v>
      </c>
      <c r="BN14" s="85">
        <v>10.16</v>
      </c>
      <c r="BO14" s="70">
        <f t="shared" si="3"/>
        <v>194</v>
      </c>
      <c r="BP14" s="85">
        <f t="shared" si="4"/>
        <v>194</v>
      </c>
      <c r="BQ14" s="49">
        <f t="shared" si="5"/>
        <v>194</v>
      </c>
      <c r="BR14" s="75">
        <f t="shared" ref="BR14:BR17" si="16">AS14+AT14+BA14+BH14</f>
        <v>126</v>
      </c>
      <c r="BS14" s="96">
        <f t="shared" si="7"/>
        <v>0</v>
      </c>
      <c r="BT14" s="95">
        <f t="shared" ref="BT14:BT17" si="17">BO14-BQ14</f>
        <v>0</v>
      </c>
      <c r="BU14" s="95">
        <f t="shared" si="9"/>
        <v>0</v>
      </c>
      <c r="BV14" s="95">
        <f t="shared" si="10"/>
        <v>0</v>
      </c>
      <c r="BW14" s="95">
        <f t="shared" si="11"/>
        <v>0</v>
      </c>
      <c r="BX14" s="95">
        <f t="shared" si="12"/>
        <v>0</v>
      </c>
      <c r="BY14" s="95">
        <f t="shared" si="13"/>
        <v>0</v>
      </c>
      <c r="BZ14" s="95">
        <f t="shared" si="14"/>
        <v>0</v>
      </c>
      <c r="CA14" s="95">
        <f t="shared" si="15"/>
        <v>0</v>
      </c>
      <c r="CB14" s="85"/>
      <c r="CC14" s="85"/>
    </row>
    <row r="15" spans="1:81" s="115" customFormat="1" ht="10.5" customHeight="1">
      <c r="A15" s="104">
        <v>35</v>
      </c>
      <c r="B15" s="105" t="s">
        <v>99</v>
      </c>
      <c r="C15" s="105"/>
      <c r="D15" s="106">
        <v>24.25</v>
      </c>
      <c r="E15" s="107"/>
      <c r="F15" s="107" t="s">
        <v>133</v>
      </c>
      <c r="G15" s="108" t="s">
        <v>260</v>
      </c>
      <c r="H15" s="108" t="s">
        <v>260</v>
      </c>
      <c r="I15" s="109" t="s">
        <v>260</v>
      </c>
      <c r="J15" s="109" t="s">
        <v>261</v>
      </c>
      <c r="K15" s="109"/>
      <c r="L15" s="109"/>
      <c r="M15" s="109" t="s">
        <v>260</v>
      </c>
      <c r="N15" s="109" t="s">
        <v>260</v>
      </c>
      <c r="O15" s="109" t="s">
        <v>260</v>
      </c>
      <c r="P15" s="109" t="s">
        <v>260</v>
      </c>
      <c r="Q15" s="109" t="s">
        <v>261</v>
      </c>
      <c r="R15" s="109"/>
      <c r="S15" s="109"/>
      <c r="T15" s="109" t="s">
        <v>260</v>
      </c>
      <c r="U15" s="109" t="s">
        <v>260</v>
      </c>
      <c r="V15" s="109" t="s">
        <v>260</v>
      </c>
      <c r="W15" s="109" t="s">
        <v>262</v>
      </c>
      <c r="X15" s="109" t="s">
        <v>263</v>
      </c>
      <c r="Y15" s="109" t="s">
        <v>262</v>
      </c>
      <c r="Z15" s="109" t="s">
        <v>262</v>
      </c>
      <c r="AA15" s="109" t="s">
        <v>262</v>
      </c>
      <c r="AB15" s="109"/>
      <c r="AC15" s="109"/>
      <c r="AD15" s="109" t="s">
        <v>260</v>
      </c>
      <c r="AE15" s="109" t="s">
        <v>261</v>
      </c>
      <c r="AF15" s="109"/>
      <c r="AG15" s="109"/>
      <c r="AH15" s="109" t="s">
        <v>260</v>
      </c>
      <c r="AI15" s="109" t="s">
        <v>260</v>
      </c>
      <c r="AJ15" s="109"/>
      <c r="AK15" s="109"/>
      <c r="AL15" s="109"/>
      <c r="AM15" s="109"/>
      <c r="AN15" s="109"/>
      <c r="AO15" s="109"/>
      <c r="AP15" s="109"/>
      <c r="AQ15" s="109"/>
      <c r="AR15" s="109"/>
      <c r="AS15" s="110">
        <v>150</v>
      </c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>
        <v>44</v>
      </c>
      <c r="BE15" s="110"/>
      <c r="BF15" s="110"/>
      <c r="BG15" s="110"/>
      <c r="BH15" s="110"/>
      <c r="BI15" s="110"/>
      <c r="BJ15" s="110"/>
      <c r="BK15" s="110"/>
      <c r="BL15" s="110"/>
      <c r="BM15" s="110">
        <v>194</v>
      </c>
      <c r="BN15" s="111"/>
      <c r="BO15" s="112">
        <f t="shared" si="3"/>
        <v>194</v>
      </c>
      <c r="BP15" s="112">
        <f>AS15+AT15+BA15+BB15+BC15+BD15+BE15+BF15+BG15+BH15+BI15+BJ15+BK15+BL15</f>
        <v>194</v>
      </c>
      <c r="BQ15" s="113">
        <f t="shared" si="5"/>
        <v>194</v>
      </c>
      <c r="BR15" s="114">
        <f>AS15+AT15+BA15+BH15</f>
        <v>150</v>
      </c>
      <c r="BS15" s="96">
        <f>BP15-BO15</f>
        <v>0</v>
      </c>
      <c r="BT15" s="112">
        <f t="shared" si="17"/>
        <v>0</v>
      </c>
      <c r="BU15" s="95">
        <f t="shared" si="9"/>
        <v>0</v>
      </c>
      <c r="BV15" s="95">
        <f t="shared" si="10"/>
        <v>0</v>
      </c>
      <c r="BW15" s="95">
        <f t="shared" si="11"/>
        <v>0</v>
      </c>
      <c r="BX15" s="95">
        <f t="shared" si="12"/>
        <v>0</v>
      </c>
      <c r="BY15" s="95">
        <f t="shared" si="13"/>
        <v>0</v>
      </c>
      <c r="BZ15" s="95">
        <f t="shared" si="14"/>
        <v>0</v>
      </c>
      <c r="CA15" s="95">
        <f t="shared" si="15"/>
        <v>0</v>
      </c>
      <c r="CB15" s="85"/>
      <c r="CC15" s="85"/>
    </row>
    <row r="16" spans="1:81" ht="10.5" customHeight="1">
      <c r="A16" s="64">
        <v>39</v>
      </c>
      <c r="B16" s="65" t="s">
        <v>104</v>
      </c>
      <c r="C16" s="65"/>
      <c r="D16" s="89">
        <v>24</v>
      </c>
      <c r="E16" s="67"/>
      <c r="F16" s="67" t="s">
        <v>259</v>
      </c>
      <c r="G16" s="68" t="s">
        <v>259</v>
      </c>
      <c r="H16" s="68" t="s">
        <v>259</v>
      </c>
      <c r="I16" s="69" t="s">
        <v>259</v>
      </c>
      <c r="J16" s="69" t="s">
        <v>259</v>
      </c>
      <c r="K16" s="69" t="s">
        <v>267</v>
      </c>
      <c r="L16" s="69"/>
      <c r="M16" s="69" t="s">
        <v>259</v>
      </c>
      <c r="N16" s="69" t="s">
        <v>259</v>
      </c>
      <c r="O16" s="69" t="s">
        <v>259</v>
      </c>
      <c r="P16" s="69" t="s">
        <v>259</v>
      </c>
      <c r="Q16" s="69" t="s">
        <v>268</v>
      </c>
      <c r="R16" s="69" t="s">
        <v>234</v>
      </c>
      <c r="S16" s="69"/>
      <c r="T16" s="69" t="s">
        <v>259</v>
      </c>
      <c r="U16" s="69" t="s">
        <v>259</v>
      </c>
      <c r="V16" s="69" t="s">
        <v>259</v>
      </c>
      <c r="W16" s="69" t="s">
        <v>244</v>
      </c>
      <c r="X16" s="69" t="s">
        <v>244</v>
      </c>
      <c r="Y16" s="69" t="s">
        <v>244</v>
      </c>
      <c r="Z16" s="69" t="s">
        <v>244</v>
      </c>
      <c r="AA16" s="69" t="s">
        <v>244</v>
      </c>
      <c r="AB16" s="69"/>
      <c r="AC16" s="69"/>
      <c r="AD16" s="69" t="s">
        <v>134</v>
      </c>
      <c r="AE16" s="69" t="s">
        <v>134</v>
      </c>
      <c r="AF16" s="69" t="s">
        <v>134</v>
      </c>
      <c r="AG16" s="69"/>
      <c r="AH16" s="69" t="s">
        <v>134</v>
      </c>
      <c r="AI16" s="69" t="s">
        <v>134</v>
      </c>
      <c r="AJ16" s="69"/>
      <c r="AK16" s="69"/>
      <c r="AL16" s="69"/>
      <c r="AM16" s="69"/>
      <c r="AN16" s="69"/>
      <c r="AO16" s="69"/>
      <c r="AP16" s="69"/>
      <c r="AQ16" s="69"/>
      <c r="AR16" s="69"/>
      <c r="AS16" s="66">
        <v>152</v>
      </c>
      <c r="AT16" s="66"/>
      <c r="AU16" s="66">
        <v>16</v>
      </c>
      <c r="AV16" s="66"/>
      <c r="AW16" s="66"/>
      <c r="AX16" s="66"/>
      <c r="AY16" s="66"/>
      <c r="AZ16" s="66"/>
      <c r="BA16" s="66"/>
      <c r="BB16" s="66"/>
      <c r="BC16" s="66"/>
      <c r="BD16" s="66">
        <v>40</v>
      </c>
      <c r="BE16" s="66"/>
      <c r="BF16" s="66"/>
      <c r="BG16" s="66"/>
      <c r="BH16" s="66"/>
      <c r="BI16" s="66"/>
      <c r="BJ16" s="66"/>
      <c r="BK16" s="66"/>
      <c r="BL16" s="66"/>
      <c r="BM16" s="66">
        <v>208</v>
      </c>
      <c r="BN16" s="85"/>
      <c r="BO16" s="70">
        <f t="shared" si="3"/>
        <v>192</v>
      </c>
      <c r="BP16" s="85">
        <f t="shared" si="4"/>
        <v>192</v>
      </c>
      <c r="BQ16" s="49">
        <f t="shared" si="5"/>
        <v>192</v>
      </c>
      <c r="BR16" s="75">
        <f t="shared" si="16"/>
        <v>152</v>
      </c>
      <c r="BS16" s="96">
        <f t="shared" si="7"/>
        <v>0</v>
      </c>
      <c r="BT16" s="95">
        <f t="shared" si="17"/>
        <v>0</v>
      </c>
      <c r="BU16" s="95">
        <f t="shared" si="9"/>
        <v>16</v>
      </c>
      <c r="BV16" s="95">
        <f t="shared" si="10"/>
        <v>0</v>
      </c>
      <c r="BW16" s="95">
        <f t="shared" si="11"/>
        <v>0</v>
      </c>
      <c r="BX16" s="95">
        <f t="shared" si="12"/>
        <v>0</v>
      </c>
      <c r="BY16" s="95">
        <f t="shared" si="13"/>
        <v>0</v>
      </c>
      <c r="BZ16" s="95">
        <f t="shared" si="14"/>
        <v>0</v>
      </c>
      <c r="CA16" s="95">
        <f t="shared" si="15"/>
        <v>0</v>
      </c>
      <c r="CB16" s="85"/>
      <c r="CC16" s="85"/>
    </row>
    <row r="17" spans="1:81" ht="10.5" customHeight="1">
      <c r="A17" s="64">
        <v>40</v>
      </c>
      <c r="B17" s="65" t="s">
        <v>101</v>
      </c>
      <c r="C17" s="65"/>
      <c r="D17" s="89">
        <v>24.25</v>
      </c>
      <c r="E17" s="67"/>
      <c r="F17" s="67" t="s">
        <v>133</v>
      </c>
      <c r="G17" s="68" t="s">
        <v>133</v>
      </c>
      <c r="H17" s="68" t="s">
        <v>133</v>
      </c>
      <c r="I17" s="69" t="s">
        <v>133</v>
      </c>
      <c r="J17" s="69" t="s">
        <v>269</v>
      </c>
      <c r="K17" s="69"/>
      <c r="L17" s="69"/>
      <c r="M17" s="69" t="s">
        <v>133</v>
      </c>
      <c r="N17" s="69" t="s">
        <v>133</v>
      </c>
      <c r="O17" s="69" t="s">
        <v>133</v>
      </c>
      <c r="P17" s="69" t="s">
        <v>133</v>
      </c>
      <c r="Q17" s="69" t="s">
        <v>268</v>
      </c>
      <c r="R17" s="69"/>
      <c r="S17" s="69"/>
      <c r="T17" s="69" t="s">
        <v>133</v>
      </c>
      <c r="U17" s="69" t="s">
        <v>133</v>
      </c>
      <c r="V17" s="69" t="s">
        <v>133</v>
      </c>
      <c r="W17" s="69" t="s">
        <v>243</v>
      </c>
      <c r="X17" s="69" t="s">
        <v>244</v>
      </c>
      <c r="Y17" s="69" t="s">
        <v>243</v>
      </c>
      <c r="Z17" s="69" t="s">
        <v>243</v>
      </c>
      <c r="AA17" s="69" t="s">
        <v>243</v>
      </c>
      <c r="AB17" s="69"/>
      <c r="AC17" s="69"/>
      <c r="AD17" s="69" t="s">
        <v>133</v>
      </c>
      <c r="AE17" s="69" t="s">
        <v>134</v>
      </c>
      <c r="AF17" s="69" t="s">
        <v>164</v>
      </c>
      <c r="AG17" s="69"/>
      <c r="AH17" s="69" t="s">
        <v>270</v>
      </c>
      <c r="AI17" s="69" t="s">
        <v>270</v>
      </c>
      <c r="AJ17" s="69"/>
      <c r="AK17" s="69"/>
      <c r="AL17" s="69"/>
      <c r="AM17" s="69"/>
      <c r="AN17" s="69"/>
      <c r="AO17" s="69"/>
      <c r="AP17" s="69"/>
      <c r="AQ17" s="69"/>
      <c r="AR17" s="69"/>
      <c r="AS17" s="66">
        <v>146</v>
      </c>
      <c r="AT17" s="66"/>
      <c r="AU17" s="66">
        <v>8</v>
      </c>
      <c r="AV17" s="66"/>
      <c r="AW17" s="66">
        <v>8</v>
      </c>
      <c r="AX17" s="66"/>
      <c r="AY17" s="66"/>
      <c r="AZ17" s="66"/>
      <c r="BA17" s="66"/>
      <c r="BB17" s="66">
        <v>4</v>
      </c>
      <c r="BC17" s="66"/>
      <c r="BD17" s="66">
        <v>44</v>
      </c>
      <c r="BE17" s="66"/>
      <c r="BF17" s="66"/>
      <c r="BG17" s="66"/>
      <c r="BH17" s="66"/>
      <c r="BI17" s="66"/>
      <c r="BJ17" s="66"/>
      <c r="BK17" s="66"/>
      <c r="BL17" s="66"/>
      <c r="BM17" s="66">
        <v>210</v>
      </c>
      <c r="BN17" s="85"/>
      <c r="BO17" s="70">
        <f t="shared" si="3"/>
        <v>194</v>
      </c>
      <c r="BP17" s="85">
        <f t="shared" si="4"/>
        <v>194</v>
      </c>
      <c r="BQ17" s="49">
        <f t="shared" si="5"/>
        <v>194</v>
      </c>
      <c r="BR17" s="75">
        <f t="shared" si="16"/>
        <v>146</v>
      </c>
      <c r="BS17" s="96">
        <f t="shared" si="7"/>
        <v>0</v>
      </c>
      <c r="BT17" s="95">
        <f t="shared" si="17"/>
        <v>0</v>
      </c>
      <c r="BU17" s="95">
        <f t="shared" si="9"/>
        <v>8</v>
      </c>
      <c r="BV17" s="95">
        <f t="shared" si="10"/>
        <v>8</v>
      </c>
      <c r="BW17" s="95">
        <f t="shared" si="11"/>
        <v>0</v>
      </c>
      <c r="BX17" s="95">
        <f t="shared" si="12"/>
        <v>0</v>
      </c>
      <c r="BY17" s="95">
        <f t="shared" si="13"/>
        <v>0</v>
      </c>
      <c r="BZ17" s="95">
        <f t="shared" si="14"/>
        <v>0</v>
      </c>
      <c r="CA17" s="95">
        <f t="shared" si="15"/>
        <v>0</v>
      </c>
      <c r="CB17" s="85"/>
      <c r="CC17" s="85"/>
    </row>
    <row r="18" spans="1:81" ht="10.5" customHeight="1">
      <c r="A18" s="64">
        <v>68</v>
      </c>
      <c r="B18" s="65" t="s">
        <v>97</v>
      </c>
      <c r="C18" s="65"/>
      <c r="D18" s="89">
        <v>24</v>
      </c>
      <c r="E18" s="67"/>
      <c r="F18" s="67" t="s">
        <v>259</v>
      </c>
      <c r="G18" s="68" t="s">
        <v>259</v>
      </c>
      <c r="H18" s="68" t="s">
        <v>259</v>
      </c>
      <c r="I18" s="69" t="s">
        <v>259</v>
      </c>
      <c r="J18" s="69" t="s">
        <v>259</v>
      </c>
      <c r="K18" s="69" t="s">
        <v>271</v>
      </c>
      <c r="L18" s="69"/>
      <c r="M18" s="69" t="s">
        <v>259</v>
      </c>
      <c r="N18" s="69" t="s">
        <v>266</v>
      </c>
      <c r="O18" s="69" t="s">
        <v>259</v>
      </c>
      <c r="P18" s="69" t="s">
        <v>259</v>
      </c>
      <c r="Q18" s="69" t="s">
        <v>259</v>
      </c>
      <c r="R18" s="69" t="s">
        <v>271</v>
      </c>
      <c r="S18" s="69"/>
      <c r="T18" s="69" t="s">
        <v>259</v>
      </c>
      <c r="U18" s="69" t="s">
        <v>259</v>
      </c>
      <c r="V18" s="69" t="s">
        <v>259</v>
      </c>
      <c r="W18" s="69" t="s">
        <v>244</v>
      </c>
      <c r="X18" s="69" t="s">
        <v>244</v>
      </c>
      <c r="Y18" s="69" t="s">
        <v>244</v>
      </c>
      <c r="Z18" s="69" t="s">
        <v>244</v>
      </c>
      <c r="AA18" s="69" t="s">
        <v>244</v>
      </c>
      <c r="AB18" s="69"/>
      <c r="AC18" s="69" t="s">
        <v>271</v>
      </c>
      <c r="AD18" s="69" t="s">
        <v>266</v>
      </c>
      <c r="AE18" s="69" t="s">
        <v>134</v>
      </c>
      <c r="AF18" s="69" t="s">
        <v>271</v>
      </c>
      <c r="AG18" s="69"/>
      <c r="AH18" s="69" t="s">
        <v>134</v>
      </c>
      <c r="AI18" s="69" t="s">
        <v>134</v>
      </c>
      <c r="AJ18" s="69"/>
      <c r="AK18" s="69"/>
      <c r="AL18" s="69"/>
      <c r="AM18" s="69"/>
      <c r="AN18" s="69"/>
      <c r="AO18" s="69"/>
      <c r="AP18" s="69"/>
      <c r="AQ18" s="69"/>
      <c r="AR18" s="69"/>
      <c r="AS18" s="66">
        <v>144</v>
      </c>
      <c r="AT18" s="66"/>
      <c r="AU18" s="66"/>
      <c r="AV18" s="66"/>
      <c r="AW18" s="66"/>
      <c r="AX18" s="66"/>
      <c r="AY18" s="66"/>
      <c r="AZ18" s="66"/>
      <c r="BA18" s="66"/>
      <c r="BB18" s="66">
        <v>8</v>
      </c>
      <c r="BC18" s="66"/>
      <c r="BD18" s="66">
        <v>40</v>
      </c>
      <c r="BE18" s="66"/>
      <c r="BF18" s="66"/>
      <c r="BG18" s="66"/>
      <c r="BH18" s="66"/>
      <c r="BI18" s="66"/>
      <c r="BJ18" s="66"/>
      <c r="BK18" s="66"/>
      <c r="BL18" s="66"/>
      <c r="BM18" s="66">
        <v>192</v>
      </c>
      <c r="BN18" s="85"/>
      <c r="BO18" s="70">
        <f t="shared" ref="BO18:BO35" si="18">D18*8</f>
        <v>192</v>
      </c>
      <c r="BP18" s="85">
        <f t="shared" ref="BP18:BP35" si="19">AS18+AT18+BA18+BB18+BC18+BD18+BE18+BF18+BG18+BH18+BI18+BJ18+BK18+BL18</f>
        <v>192</v>
      </c>
      <c r="BQ18" s="49">
        <f t="shared" ref="BQ18:BQ35" si="20">AS18+AT18+BA18+BB18+BC18+BD18+BE18+BH18</f>
        <v>192</v>
      </c>
      <c r="BR18" s="75">
        <f t="shared" ref="BR18:BR35" si="21">AS18+AT18+BA18+BH18</f>
        <v>144</v>
      </c>
      <c r="BS18" s="96">
        <f t="shared" ref="BS18:BS35" si="22">BP18-BO18</f>
        <v>0</v>
      </c>
      <c r="BT18" s="95">
        <f t="shared" ref="BT18:BT35" si="23">BO18-BQ18</f>
        <v>0</v>
      </c>
      <c r="BU18" s="95">
        <f t="shared" ref="BU18:BU35" si="24">AU18</f>
        <v>0</v>
      </c>
      <c r="BV18" s="95">
        <f t="shared" ref="BV18:BV35" si="25">AW18</f>
        <v>0</v>
      </c>
      <c r="BW18" s="95">
        <f t="shared" ref="BW18:BW35" si="26">AY18</f>
        <v>0</v>
      </c>
      <c r="BX18" s="95">
        <f t="shared" ref="BX18:BX35" si="27">AT18</f>
        <v>0</v>
      </c>
      <c r="BY18" s="95">
        <f t="shared" ref="BY18:BY35" si="28">AV18</f>
        <v>0</v>
      </c>
      <c r="BZ18" s="95">
        <f t="shared" ref="BZ18:BZ35" si="29">AX18</f>
        <v>0</v>
      </c>
      <c r="CA18" s="95">
        <f t="shared" ref="CA18:CA35" si="30">AZ18</f>
        <v>0</v>
      </c>
      <c r="CB18" s="85"/>
      <c r="CC18" s="85"/>
    </row>
    <row r="19" spans="1:81" ht="10.5" customHeight="1">
      <c r="A19" s="64">
        <v>69</v>
      </c>
      <c r="B19" s="65" t="s">
        <v>98</v>
      </c>
      <c r="C19" s="65"/>
      <c r="D19" s="89">
        <v>24</v>
      </c>
      <c r="E19" s="67"/>
      <c r="F19" s="67" t="s">
        <v>259</v>
      </c>
      <c r="G19" s="68" t="s">
        <v>259</v>
      </c>
      <c r="H19" s="68" t="s">
        <v>259</v>
      </c>
      <c r="I19" s="69" t="s">
        <v>259</v>
      </c>
      <c r="J19" s="69" t="s">
        <v>259</v>
      </c>
      <c r="K19" s="69" t="s">
        <v>271</v>
      </c>
      <c r="L19" s="69"/>
      <c r="M19" s="69" t="s">
        <v>259</v>
      </c>
      <c r="N19" s="69" t="s">
        <v>259</v>
      </c>
      <c r="O19" s="69" t="s">
        <v>266</v>
      </c>
      <c r="P19" s="69" t="s">
        <v>266</v>
      </c>
      <c r="Q19" s="69" t="s">
        <v>266</v>
      </c>
      <c r="R19" s="69" t="s">
        <v>271</v>
      </c>
      <c r="S19" s="69"/>
      <c r="T19" s="69" t="s">
        <v>266</v>
      </c>
      <c r="U19" s="69" t="s">
        <v>266</v>
      </c>
      <c r="V19" s="69" t="s">
        <v>259</v>
      </c>
      <c r="W19" s="69" t="s">
        <v>244</v>
      </c>
      <c r="X19" s="69" t="s">
        <v>244</v>
      </c>
      <c r="Y19" s="69" t="s">
        <v>244</v>
      </c>
      <c r="Z19" s="69" t="s">
        <v>244</v>
      </c>
      <c r="AA19" s="69" t="s">
        <v>244</v>
      </c>
      <c r="AB19" s="69"/>
      <c r="AC19" s="69" t="s">
        <v>271</v>
      </c>
      <c r="AD19" s="69" t="s">
        <v>134</v>
      </c>
      <c r="AE19" s="69" t="s">
        <v>134</v>
      </c>
      <c r="AF19" s="69" t="s">
        <v>271</v>
      </c>
      <c r="AG19" s="69"/>
      <c r="AH19" s="69" t="s">
        <v>266</v>
      </c>
      <c r="AI19" s="69" t="s">
        <v>134</v>
      </c>
      <c r="AJ19" s="69"/>
      <c r="AK19" s="69"/>
      <c r="AL19" s="69"/>
      <c r="AM19" s="69"/>
      <c r="AN19" s="69"/>
      <c r="AO19" s="69"/>
      <c r="AP19" s="69"/>
      <c r="AQ19" s="69"/>
      <c r="AR19" s="69"/>
      <c r="AS19" s="66">
        <v>128</v>
      </c>
      <c r="AT19" s="66"/>
      <c r="AU19" s="66"/>
      <c r="AV19" s="66"/>
      <c r="AW19" s="66"/>
      <c r="AX19" s="66"/>
      <c r="AY19" s="66"/>
      <c r="AZ19" s="66"/>
      <c r="BA19" s="66"/>
      <c r="BB19" s="66">
        <v>24</v>
      </c>
      <c r="BC19" s="66"/>
      <c r="BD19" s="66">
        <v>40</v>
      </c>
      <c r="BE19" s="66"/>
      <c r="BF19" s="66"/>
      <c r="BG19" s="66"/>
      <c r="BH19" s="66"/>
      <c r="BI19" s="66"/>
      <c r="BJ19" s="66"/>
      <c r="BK19" s="66"/>
      <c r="BL19" s="66"/>
      <c r="BM19" s="66">
        <v>192</v>
      </c>
      <c r="BN19" s="85"/>
      <c r="BO19" s="70">
        <f t="shared" si="18"/>
        <v>192</v>
      </c>
      <c r="BP19" s="85">
        <f t="shared" si="19"/>
        <v>192</v>
      </c>
      <c r="BQ19" s="49">
        <f t="shared" si="20"/>
        <v>192</v>
      </c>
      <c r="BR19" s="75">
        <f t="shared" si="21"/>
        <v>128</v>
      </c>
      <c r="BS19" s="96">
        <f t="shared" si="22"/>
        <v>0</v>
      </c>
      <c r="BT19" s="95">
        <f t="shared" si="23"/>
        <v>0</v>
      </c>
      <c r="BU19" s="95">
        <f t="shared" si="24"/>
        <v>0</v>
      </c>
      <c r="BV19" s="95">
        <f t="shared" si="25"/>
        <v>0</v>
      </c>
      <c r="BW19" s="95">
        <f t="shared" si="26"/>
        <v>0</v>
      </c>
      <c r="BX19" s="95">
        <f t="shared" si="27"/>
        <v>0</v>
      </c>
      <c r="BY19" s="95">
        <f t="shared" si="28"/>
        <v>0</v>
      </c>
      <c r="BZ19" s="95">
        <f t="shared" si="29"/>
        <v>0</v>
      </c>
      <c r="CA19" s="95">
        <f t="shared" si="30"/>
        <v>0</v>
      </c>
      <c r="CB19" s="85"/>
      <c r="CC19" s="85"/>
    </row>
    <row r="20" spans="1:81" ht="10.5" customHeight="1">
      <c r="A20" s="64">
        <v>87</v>
      </c>
      <c r="B20" s="65" t="s">
        <v>100</v>
      </c>
      <c r="C20" s="65"/>
      <c r="D20" s="89">
        <v>24.25</v>
      </c>
      <c r="E20" s="67" t="s">
        <v>273</v>
      </c>
      <c r="F20" s="67" t="s">
        <v>133</v>
      </c>
      <c r="G20" s="68" t="s">
        <v>133</v>
      </c>
      <c r="H20" s="68" t="s">
        <v>133</v>
      </c>
      <c r="I20" s="69" t="s">
        <v>133</v>
      </c>
      <c r="J20" s="69" t="s">
        <v>259</v>
      </c>
      <c r="K20" s="69" t="s">
        <v>273</v>
      </c>
      <c r="L20" s="69" t="s">
        <v>273</v>
      </c>
      <c r="M20" s="69" t="s">
        <v>133</v>
      </c>
      <c r="N20" s="69" t="s">
        <v>133</v>
      </c>
      <c r="O20" s="69" t="s">
        <v>133</v>
      </c>
      <c r="P20" s="69" t="s">
        <v>133</v>
      </c>
      <c r="Q20" s="69" t="s">
        <v>134</v>
      </c>
      <c r="R20" s="69" t="s">
        <v>273</v>
      </c>
      <c r="S20" s="69" t="s">
        <v>273</v>
      </c>
      <c r="T20" s="69" t="s">
        <v>186</v>
      </c>
      <c r="U20" s="69" t="s">
        <v>186</v>
      </c>
      <c r="V20" s="69" t="s">
        <v>133</v>
      </c>
      <c r="W20" s="69" t="s">
        <v>274</v>
      </c>
      <c r="X20" s="69" t="s">
        <v>244</v>
      </c>
      <c r="Y20" s="69" t="s">
        <v>243</v>
      </c>
      <c r="Z20" s="69" t="s">
        <v>243</v>
      </c>
      <c r="AA20" s="69" t="s">
        <v>243</v>
      </c>
      <c r="AB20" s="69" t="s">
        <v>273</v>
      </c>
      <c r="AC20" s="69" t="s">
        <v>273</v>
      </c>
      <c r="AD20" s="69" t="s">
        <v>186</v>
      </c>
      <c r="AE20" s="69" t="s">
        <v>165</v>
      </c>
      <c r="AF20" s="69" t="s">
        <v>273</v>
      </c>
      <c r="AG20" s="69" t="s">
        <v>273</v>
      </c>
      <c r="AH20" s="69" t="s">
        <v>133</v>
      </c>
      <c r="AI20" s="69" t="s">
        <v>133</v>
      </c>
      <c r="AJ20" s="69"/>
      <c r="AK20" s="69"/>
      <c r="AL20" s="69"/>
      <c r="AM20" s="69"/>
      <c r="AN20" s="69"/>
      <c r="AO20" s="69"/>
      <c r="AP20" s="69"/>
      <c r="AQ20" s="69"/>
      <c r="AR20" s="69"/>
      <c r="AS20" s="66">
        <v>115</v>
      </c>
      <c r="AT20" s="66"/>
      <c r="AU20" s="66"/>
      <c r="AV20" s="66"/>
      <c r="AW20" s="66"/>
      <c r="AX20" s="66"/>
      <c r="AY20" s="66">
        <v>6.83</v>
      </c>
      <c r="AZ20" s="66"/>
      <c r="BA20" s="66"/>
      <c r="BB20" s="66"/>
      <c r="BC20" s="66">
        <v>35</v>
      </c>
      <c r="BD20" s="66">
        <v>44</v>
      </c>
      <c r="BE20" s="66"/>
      <c r="BF20" s="66"/>
      <c r="BG20" s="66"/>
      <c r="BH20" s="66"/>
      <c r="BI20" s="66"/>
      <c r="BJ20" s="66"/>
      <c r="BK20" s="66"/>
      <c r="BL20" s="66"/>
      <c r="BM20" s="66">
        <v>200.83</v>
      </c>
      <c r="BN20" s="85"/>
      <c r="BO20" s="70">
        <f t="shared" si="18"/>
        <v>194</v>
      </c>
      <c r="BP20" s="85">
        <f t="shared" si="19"/>
        <v>194</v>
      </c>
      <c r="BQ20" s="49">
        <f t="shared" si="20"/>
        <v>194</v>
      </c>
      <c r="BR20" s="75">
        <f t="shared" si="21"/>
        <v>115</v>
      </c>
      <c r="BS20" s="96">
        <f t="shared" si="22"/>
        <v>0</v>
      </c>
      <c r="BT20" s="95">
        <f t="shared" si="23"/>
        <v>0</v>
      </c>
      <c r="BU20" s="95">
        <f t="shared" si="24"/>
        <v>0</v>
      </c>
      <c r="BV20" s="95">
        <f t="shared" si="25"/>
        <v>0</v>
      </c>
      <c r="BW20" s="95">
        <f t="shared" si="26"/>
        <v>6.83</v>
      </c>
      <c r="BX20" s="95">
        <f t="shared" si="27"/>
        <v>0</v>
      </c>
      <c r="BY20" s="95">
        <f t="shared" si="28"/>
        <v>0</v>
      </c>
      <c r="BZ20" s="95">
        <f t="shared" si="29"/>
        <v>0</v>
      </c>
      <c r="CA20" s="95">
        <f t="shared" si="30"/>
        <v>0</v>
      </c>
      <c r="CB20" s="85"/>
      <c r="CC20" s="85"/>
    </row>
    <row r="21" spans="1:81" ht="10.5" customHeight="1">
      <c r="A21" s="64">
        <v>88</v>
      </c>
      <c r="B21" s="65" t="s">
        <v>102</v>
      </c>
      <c r="C21" s="65"/>
      <c r="D21" s="89">
        <v>24</v>
      </c>
      <c r="E21" s="67" t="s">
        <v>273</v>
      </c>
      <c r="F21" s="67" t="s">
        <v>134</v>
      </c>
      <c r="G21" s="68" t="s">
        <v>134</v>
      </c>
      <c r="H21" s="68" t="s">
        <v>134</v>
      </c>
      <c r="I21" s="69" t="s">
        <v>134</v>
      </c>
      <c r="J21" s="69" t="s">
        <v>275</v>
      </c>
      <c r="K21" s="69" t="s">
        <v>184</v>
      </c>
      <c r="L21" s="69" t="s">
        <v>273</v>
      </c>
      <c r="M21" s="69" t="s">
        <v>134</v>
      </c>
      <c r="N21" s="69" t="s">
        <v>134</v>
      </c>
      <c r="O21" s="69" t="s">
        <v>134</v>
      </c>
      <c r="P21" s="69" t="s">
        <v>134</v>
      </c>
      <c r="Q21" s="69" t="s">
        <v>276</v>
      </c>
      <c r="R21" s="69" t="s">
        <v>234</v>
      </c>
      <c r="S21" s="69" t="s">
        <v>273</v>
      </c>
      <c r="T21" s="69" t="s">
        <v>134</v>
      </c>
      <c r="U21" s="69" t="s">
        <v>134</v>
      </c>
      <c r="V21" s="69" t="s">
        <v>135</v>
      </c>
      <c r="W21" s="69" t="s">
        <v>244</v>
      </c>
      <c r="X21" s="69" t="s">
        <v>277</v>
      </c>
      <c r="Y21" s="69" t="s">
        <v>244</v>
      </c>
      <c r="Z21" s="69" t="s">
        <v>244</v>
      </c>
      <c r="AA21" s="69" t="s">
        <v>244</v>
      </c>
      <c r="AB21" s="69"/>
      <c r="AC21" s="69" t="s">
        <v>185</v>
      </c>
      <c r="AD21" s="69" t="s">
        <v>134</v>
      </c>
      <c r="AE21" s="69" t="s">
        <v>134</v>
      </c>
      <c r="AF21" s="69" t="s">
        <v>247</v>
      </c>
      <c r="AG21" s="69" t="s">
        <v>273</v>
      </c>
      <c r="AH21" s="69" t="s">
        <v>134</v>
      </c>
      <c r="AI21" s="69" t="s">
        <v>134</v>
      </c>
      <c r="AJ21" s="69"/>
      <c r="AK21" s="69"/>
      <c r="AL21" s="69"/>
      <c r="AM21" s="69"/>
      <c r="AN21" s="69"/>
      <c r="AO21" s="69"/>
      <c r="AP21" s="69"/>
      <c r="AQ21" s="69"/>
      <c r="AR21" s="69"/>
      <c r="AS21" s="66">
        <v>136.30000000000001</v>
      </c>
      <c r="AT21" s="66"/>
      <c r="AU21" s="66">
        <v>8.2200000000000006</v>
      </c>
      <c r="AV21" s="66"/>
      <c r="AW21" s="66"/>
      <c r="AX21" s="66"/>
      <c r="AY21" s="66">
        <v>3.25</v>
      </c>
      <c r="AZ21" s="66"/>
      <c r="BA21" s="66"/>
      <c r="BB21" s="66">
        <v>15.7</v>
      </c>
      <c r="BC21" s="66"/>
      <c r="BD21" s="66">
        <v>40</v>
      </c>
      <c r="BE21" s="66"/>
      <c r="BF21" s="66"/>
      <c r="BG21" s="66"/>
      <c r="BH21" s="66"/>
      <c r="BI21" s="66"/>
      <c r="BJ21" s="66"/>
      <c r="BK21" s="66"/>
      <c r="BL21" s="66"/>
      <c r="BM21" s="66">
        <v>203.47</v>
      </c>
      <c r="BN21" s="85"/>
      <c r="BO21" s="70">
        <f t="shared" si="18"/>
        <v>192</v>
      </c>
      <c r="BP21" s="85">
        <f t="shared" si="19"/>
        <v>192</v>
      </c>
      <c r="BQ21" s="49">
        <f t="shared" si="20"/>
        <v>192</v>
      </c>
      <c r="BR21" s="75">
        <f t="shared" si="21"/>
        <v>136.30000000000001</v>
      </c>
      <c r="BS21" s="96">
        <f t="shared" si="22"/>
        <v>0</v>
      </c>
      <c r="BT21" s="95">
        <f t="shared" si="23"/>
        <v>0</v>
      </c>
      <c r="BU21" s="95">
        <f t="shared" si="24"/>
        <v>8.2200000000000006</v>
      </c>
      <c r="BV21" s="95">
        <f t="shared" si="25"/>
        <v>0</v>
      </c>
      <c r="BW21" s="95">
        <f t="shared" si="26"/>
        <v>3.25</v>
      </c>
      <c r="BX21" s="95">
        <f t="shared" si="27"/>
        <v>0</v>
      </c>
      <c r="BY21" s="95">
        <f t="shared" si="28"/>
        <v>0</v>
      </c>
      <c r="BZ21" s="95">
        <f t="shared" si="29"/>
        <v>0</v>
      </c>
      <c r="CA21" s="95">
        <f t="shared" si="30"/>
        <v>0</v>
      </c>
      <c r="CB21" s="85"/>
      <c r="CC21" s="85"/>
    </row>
    <row r="22" spans="1:81" ht="10.5" customHeight="1">
      <c r="A22" s="64">
        <v>89</v>
      </c>
      <c r="B22" s="65" t="s">
        <v>103</v>
      </c>
      <c r="C22" s="65"/>
      <c r="D22" s="89">
        <v>24</v>
      </c>
      <c r="E22" s="67" t="s">
        <v>273</v>
      </c>
      <c r="F22" s="67" t="s">
        <v>134</v>
      </c>
      <c r="G22" s="68" t="s">
        <v>134</v>
      </c>
      <c r="H22" s="68" t="s">
        <v>134</v>
      </c>
      <c r="I22" s="69" t="s">
        <v>134</v>
      </c>
      <c r="J22" s="69" t="s">
        <v>134</v>
      </c>
      <c r="K22" s="69" t="s">
        <v>246</v>
      </c>
      <c r="L22" s="69" t="s">
        <v>273</v>
      </c>
      <c r="M22" s="69" t="s">
        <v>278</v>
      </c>
      <c r="N22" s="69" t="s">
        <v>134</v>
      </c>
      <c r="O22" s="69" t="s">
        <v>134</v>
      </c>
      <c r="P22" s="69" t="s">
        <v>134</v>
      </c>
      <c r="Q22" s="69" t="s">
        <v>134</v>
      </c>
      <c r="R22" s="69" t="s">
        <v>279</v>
      </c>
      <c r="S22" s="69" t="s">
        <v>273</v>
      </c>
      <c r="T22" s="69" t="s">
        <v>134</v>
      </c>
      <c r="U22" s="69" t="s">
        <v>134</v>
      </c>
      <c r="V22" s="69" t="s">
        <v>280</v>
      </c>
      <c r="W22" s="69" t="s">
        <v>244</v>
      </c>
      <c r="X22" s="69" t="s">
        <v>244</v>
      </c>
      <c r="Y22" s="69" t="s">
        <v>244</v>
      </c>
      <c r="Z22" s="69" t="s">
        <v>244</v>
      </c>
      <c r="AA22" s="69" t="s">
        <v>244</v>
      </c>
      <c r="AB22" s="69"/>
      <c r="AC22" s="69" t="s">
        <v>185</v>
      </c>
      <c r="AD22" s="69" t="s">
        <v>134</v>
      </c>
      <c r="AE22" s="69" t="s">
        <v>134</v>
      </c>
      <c r="AF22" s="69" t="s">
        <v>281</v>
      </c>
      <c r="AG22" s="69" t="s">
        <v>273</v>
      </c>
      <c r="AH22" s="69" t="s">
        <v>134</v>
      </c>
      <c r="AI22" s="69" t="s">
        <v>134</v>
      </c>
      <c r="AJ22" s="69"/>
      <c r="AK22" s="69"/>
      <c r="AL22" s="69"/>
      <c r="AM22" s="69"/>
      <c r="AN22" s="69"/>
      <c r="AO22" s="69"/>
      <c r="AP22" s="69"/>
      <c r="AQ22" s="69"/>
      <c r="AR22" s="69"/>
      <c r="AS22" s="66">
        <v>148</v>
      </c>
      <c r="AT22" s="66"/>
      <c r="AU22" s="66">
        <v>18.05</v>
      </c>
      <c r="AV22" s="66"/>
      <c r="AW22" s="66"/>
      <c r="AX22" s="66"/>
      <c r="AY22" s="66"/>
      <c r="AZ22" s="66"/>
      <c r="BA22" s="66"/>
      <c r="BB22" s="66">
        <v>4</v>
      </c>
      <c r="BC22" s="66"/>
      <c r="BD22" s="66">
        <v>40</v>
      </c>
      <c r="BE22" s="66"/>
      <c r="BF22" s="66"/>
      <c r="BG22" s="66"/>
      <c r="BH22" s="66"/>
      <c r="BI22" s="66"/>
      <c r="BJ22" s="66"/>
      <c r="BK22" s="66"/>
      <c r="BL22" s="66"/>
      <c r="BM22" s="66">
        <v>210.05</v>
      </c>
      <c r="BN22" s="85"/>
      <c r="BO22" s="70">
        <f t="shared" si="18"/>
        <v>192</v>
      </c>
      <c r="BP22" s="85">
        <f t="shared" si="19"/>
        <v>192</v>
      </c>
      <c r="BQ22" s="49">
        <f t="shared" si="20"/>
        <v>192</v>
      </c>
      <c r="BR22" s="75">
        <f t="shared" si="21"/>
        <v>148</v>
      </c>
      <c r="BS22" s="96">
        <f t="shared" si="22"/>
        <v>0</v>
      </c>
      <c r="BT22" s="95">
        <f t="shared" si="23"/>
        <v>0</v>
      </c>
      <c r="BU22" s="95">
        <f t="shared" si="24"/>
        <v>18.05</v>
      </c>
      <c r="BV22" s="95">
        <f t="shared" si="25"/>
        <v>0</v>
      </c>
      <c r="BW22" s="95">
        <f t="shared" si="26"/>
        <v>0</v>
      </c>
      <c r="BX22" s="95">
        <f t="shared" si="27"/>
        <v>0</v>
      </c>
      <c r="BY22" s="95">
        <f t="shared" si="28"/>
        <v>0</v>
      </c>
      <c r="BZ22" s="95">
        <f t="shared" si="29"/>
        <v>0</v>
      </c>
      <c r="CA22" s="95">
        <f t="shared" si="30"/>
        <v>0</v>
      </c>
      <c r="CB22" s="85"/>
      <c r="CC22" s="85"/>
    </row>
    <row r="23" spans="1:81" ht="10.5" customHeight="1">
      <c r="A23" s="64">
        <v>91</v>
      </c>
      <c r="B23" s="65" t="s">
        <v>111</v>
      </c>
      <c r="C23" s="65"/>
      <c r="D23" s="89">
        <v>24.25</v>
      </c>
      <c r="E23" s="67" t="s">
        <v>273</v>
      </c>
      <c r="F23" s="67" t="s">
        <v>133</v>
      </c>
      <c r="G23" s="68" t="s">
        <v>133</v>
      </c>
      <c r="H23" s="68" t="s">
        <v>282</v>
      </c>
      <c r="I23" s="69" t="s">
        <v>133</v>
      </c>
      <c r="J23" s="69" t="s">
        <v>283</v>
      </c>
      <c r="K23" s="69" t="s">
        <v>273</v>
      </c>
      <c r="L23" s="69" t="s">
        <v>273</v>
      </c>
      <c r="M23" s="69" t="s">
        <v>133</v>
      </c>
      <c r="N23" s="69" t="s">
        <v>133</v>
      </c>
      <c r="O23" s="69" t="s">
        <v>133</v>
      </c>
      <c r="P23" s="69" t="s">
        <v>133</v>
      </c>
      <c r="Q23" s="69" t="s">
        <v>134</v>
      </c>
      <c r="R23" s="69" t="s">
        <v>284</v>
      </c>
      <c r="S23" s="69" t="s">
        <v>273</v>
      </c>
      <c r="T23" s="69" t="s">
        <v>133</v>
      </c>
      <c r="U23" s="69" t="s">
        <v>245</v>
      </c>
      <c r="V23" s="69" t="s">
        <v>285</v>
      </c>
      <c r="W23" s="69" t="s">
        <v>243</v>
      </c>
      <c r="X23" s="69" t="s">
        <v>244</v>
      </c>
      <c r="Y23" s="69" t="s">
        <v>243</v>
      </c>
      <c r="Z23" s="69" t="s">
        <v>243</v>
      </c>
      <c r="AA23" s="69" t="s">
        <v>243</v>
      </c>
      <c r="AB23" s="69" t="s">
        <v>273</v>
      </c>
      <c r="AC23" s="69" t="s">
        <v>273</v>
      </c>
      <c r="AD23" s="69" t="s">
        <v>286</v>
      </c>
      <c r="AE23" s="69" t="s">
        <v>165</v>
      </c>
      <c r="AF23" s="69" t="s">
        <v>273</v>
      </c>
      <c r="AG23" s="69" t="s">
        <v>273</v>
      </c>
      <c r="AH23" s="69" t="s">
        <v>133</v>
      </c>
      <c r="AI23" s="69" t="s">
        <v>133</v>
      </c>
      <c r="AJ23" s="69"/>
      <c r="AK23" s="69"/>
      <c r="AL23" s="69"/>
      <c r="AM23" s="69"/>
      <c r="AN23" s="69"/>
      <c r="AO23" s="69"/>
      <c r="AP23" s="69"/>
      <c r="AQ23" s="69"/>
      <c r="AR23" s="69"/>
      <c r="AS23" s="66">
        <v>133.33000000000001</v>
      </c>
      <c r="AT23" s="66"/>
      <c r="AU23" s="66">
        <v>1.97</v>
      </c>
      <c r="AV23" s="66"/>
      <c r="AW23" s="66">
        <v>7.17</v>
      </c>
      <c r="AX23" s="66"/>
      <c r="AY23" s="66"/>
      <c r="AZ23" s="66"/>
      <c r="BA23" s="66"/>
      <c r="BB23" s="66"/>
      <c r="BC23" s="66">
        <v>16.670000000000002</v>
      </c>
      <c r="BD23" s="66">
        <v>44</v>
      </c>
      <c r="BE23" s="66"/>
      <c r="BF23" s="66"/>
      <c r="BG23" s="66"/>
      <c r="BH23" s="66"/>
      <c r="BI23" s="66"/>
      <c r="BJ23" s="66"/>
      <c r="BK23" s="66"/>
      <c r="BL23" s="66"/>
      <c r="BM23" s="66">
        <v>203.14</v>
      </c>
      <c r="BN23" s="85"/>
      <c r="BO23" s="70">
        <f t="shared" si="18"/>
        <v>194</v>
      </c>
      <c r="BP23" s="85">
        <f t="shared" si="19"/>
        <v>194</v>
      </c>
      <c r="BQ23" s="49">
        <f t="shared" si="20"/>
        <v>194</v>
      </c>
      <c r="BR23" s="75">
        <f t="shared" si="21"/>
        <v>133.33000000000001</v>
      </c>
      <c r="BS23" s="96">
        <f t="shared" si="22"/>
        <v>0</v>
      </c>
      <c r="BT23" s="95">
        <f t="shared" si="23"/>
        <v>0</v>
      </c>
      <c r="BU23" s="95">
        <f t="shared" si="24"/>
        <v>1.97</v>
      </c>
      <c r="BV23" s="95">
        <f t="shared" si="25"/>
        <v>7.17</v>
      </c>
      <c r="BW23" s="95">
        <f t="shared" si="26"/>
        <v>0</v>
      </c>
      <c r="BX23" s="95">
        <f t="shared" si="27"/>
        <v>0</v>
      </c>
      <c r="BY23" s="95">
        <f t="shared" si="28"/>
        <v>0</v>
      </c>
      <c r="BZ23" s="95">
        <f t="shared" si="29"/>
        <v>0</v>
      </c>
      <c r="CA23" s="95">
        <f t="shared" si="30"/>
        <v>0</v>
      </c>
      <c r="CB23" s="85"/>
      <c r="CC23" s="85"/>
    </row>
    <row r="24" spans="1:81" ht="10.5" customHeight="1">
      <c r="A24" s="64">
        <v>94</v>
      </c>
      <c r="B24" s="65" t="s">
        <v>106</v>
      </c>
      <c r="C24" s="65"/>
      <c r="D24" s="89">
        <v>24</v>
      </c>
      <c r="E24" s="67"/>
      <c r="F24" s="67" t="s">
        <v>259</v>
      </c>
      <c r="G24" s="68" t="s">
        <v>259</v>
      </c>
      <c r="H24" s="68" t="s">
        <v>259</v>
      </c>
      <c r="I24" s="69" t="s">
        <v>259</v>
      </c>
      <c r="J24" s="69" t="s">
        <v>259</v>
      </c>
      <c r="K24" s="69" t="s">
        <v>271</v>
      </c>
      <c r="L24" s="69"/>
      <c r="M24" s="69" t="s">
        <v>259</v>
      </c>
      <c r="N24" s="69" t="s">
        <v>259</v>
      </c>
      <c r="O24" s="69" t="s">
        <v>259</v>
      </c>
      <c r="P24" s="69" t="s">
        <v>259</v>
      </c>
      <c r="Q24" s="69" t="s">
        <v>259</v>
      </c>
      <c r="R24" s="69" t="s">
        <v>271</v>
      </c>
      <c r="S24" s="69"/>
      <c r="T24" s="69" t="s">
        <v>259</v>
      </c>
      <c r="U24" s="69" t="s">
        <v>259</v>
      </c>
      <c r="V24" s="69" t="s">
        <v>259</v>
      </c>
      <c r="W24" s="69" t="s">
        <v>244</v>
      </c>
      <c r="X24" s="69" t="s">
        <v>244</v>
      </c>
      <c r="Y24" s="69" t="s">
        <v>244</v>
      </c>
      <c r="Z24" s="69" t="s">
        <v>244</v>
      </c>
      <c r="AA24" s="69" t="s">
        <v>244</v>
      </c>
      <c r="AB24" s="69"/>
      <c r="AC24" s="69" t="s">
        <v>271</v>
      </c>
      <c r="AD24" s="69" t="s">
        <v>134</v>
      </c>
      <c r="AE24" s="69" t="s">
        <v>134</v>
      </c>
      <c r="AF24" s="69" t="s">
        <v>271</v>
      </c>
      <c r="AG24" s="69"/>
      <c r="AH24" s="69" t="s">
        <v>259</v>
      </c>
      <c r="AI24" s="69" t="s">
        <v>259</v>
      </c>
      <c r="AJ24" s="69"/>
      <c r="AK24" s="69"/>
      <c r="AL24" s="69"/>
      <c r="AM24" s="69"/>
      <c r="AN24" s="69"/>
      <c r="AO24" s="69"/>
      <c r="AP24" s="69"/>
      <c r="AQ24" s="69"/>
      <c r="AR24" s="69"/>
      <c r="AS24" s="66">
        <v>152</v>
      </c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>
        <v>40</v>
      </c>
      <c r="BE24" s="66"/>
      <c r="BF24" s="66"/>
      <c r="BG24" s="66"/>
      <c r="BH24" s="66"/>
      <c r="BI24" s="66"/>
      <c r="BJ24" s="66"/>
      <c r="BK24" s="66"/>
      <c r="BL24" s="66"/>
      <c r="BM24" s="66">
        <v>192</v>
      </c>
      <c r="BN24" s="85"/>
      <c r="BO24" s="70">
        <f t="shared" si="18"/>
        <v>192</v>
      </c>
      <c r="BP24" s="85">
        <f t="shared" si="19"/>
        <v>192</v>
      </c>
      <c r="BQ24" s="49">
        <f t="shared" si="20"/>
        <v>192</v>
      </c>
      <c r="BR24" s="75">
        <f t="shared" si="21"/>
        <v>152</v>
      </c>
      <c r="BS24" s="96">
        <f t="shared" si="22"/>
        <v>0</v>
      </c>
      <c r="BT24" s="95">
        <f t="shared" si="23"/>
        <v>0</v>
      </c>
      <c r="BU24" s="95">
        <f t="shared" si="24"/>
        <v>0</v>
      </c>
      <c r="BV24" s="95">
        <f t="shared" si="25"/>
        <v>0</v>
      </c>
      <c r="BW24" s="95">
        <f t="shared" si="26"/>
        <v>0</v>
      </c>
      <c r="BX24" s="95">
        <f t="shared" si="27"/>
        <v>0</v>
      </c>
      <c r="BY24" s="95">
        <f t="shared" si="28"/>
        <v>0</v>
      </c>
      <c r="BZ24" s="95">
        <f t="shared" si="29"/>
        <v>0</v>
      </c>
      <c r="CA24" s="95">
        <f t="shared" si="30"/>
        <v>0</v>
      </c>
      <c r="CB24" s="85"/>
      <c r="CC24" s="85"/>
    </row>
    <row r="25" spans="1:81" ht="10.5" customHeight="1">
      <c r="A25" s="64">
        <v>95</v>
      </c>
      <c r="B25" s="65" t="s">
        <v>107</v>
      </c>
      <c r="C25" s="65"/>
      <c r="D25" s="89">
        <v>24</v>
      </c>
      <c r="E25" s="67"/>
      <c r="F25" s="67" t="s">
        <v>259</v>
      </c>
      <c r="G25" s="68" t="s">
        <v>259</v>
      </c>
      <c r="H25" s="68" t="s">
        <v>259</v>
      </c>
      <c r="I25" s="69" t="s">
        <v>259</v>
      </c>
      <c r="J25" s="69" t="s">
        <v>259</v>
      </c>
      <c r="K25" s="69" t="s">
        <v>271</v>
      </c>
      <c r="L25" s="69"/>
      <c r="M25" s="69" t="s">
        <v>259</v>
      </c>
      <c r="N25" s="69" t="s">
        <v>259</v>
      </c>
      <c r="O25" s="69" t="s">
        <v>259</v>
      </c>
      <c r="P25" s="69" t="s">
        <v>259</v>
      </c>
      <c r="Q25" s="69" t="s">
        <v>259</v>
      </c>
      <c r="R25" s="69" t="s">
        <v>271</v>
      </c>
      <c r="S25" s="69"/>
      <c r="T25" s="69" t="s">
        <v>259</v>
      </c>
      <c r="U25" s="69" t="s">
        <v>259</v>
      </c>
      <c r="V25" s="69" t="s">
        <v>259</v>
      </c>
      <c r="W25" s="69" t="s">
        <v>244</v>
      </c>
      <c r="X25" s="69" t="s">
        <v>244</v>
      </c>
      <c r="Y25" s="69" t="s">
        <v>244</v>
      </c>
      <c r="Z25" s="69" t="s">
        <v>244</v>
      </c>
      <c r="AA25" s="69" t="s">
        <v>244</v>
      </c>
      <c r="AB25" s="69"/>
      <c r="AC25" s="69" t="s">
        <v>271</v>
      </c>
      <c r="AD25" s="69" t="s">
        <v>134</v>
      </c>
      <c r="AE25" s="69" t="s">
        <v>134</v>
      </c>
      <c r="AF25" s="69" t="s">
        <v>271</v>
      </c>
      <c r="AG25" s="69"/>
      <c r="AH25" s="69" t="s">
        <v>259</v>
      </c>
      <c r="AI25" s="69" t="s">
        <v>259</v>
      </c>
      <c r="AJ25" s="69"/>
      <c r="AK25" s="69"/>
      <c r="AL25" s="69"/>
      <c r="AM25" s="69"/>
      <c r="AN25" s="69"/>
      <c r="AO25" s="69"/>
      <c r="AP25" s="69"/>
      <c r="AQ25" s="69"/>
      <c r="AR25" s="69"/>
      <c r="AS25" s="66">
        <v>152</v>
      </c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>
        <v>40</v>
      </c>
      <c r="BE25" s="66"/>
      <c r="BF25" s="66"/>
      <c r="BG25" s="66"/>
      <c r="BH25" s="66"/>
      <c r="BI25" s="66"/>
      <c r="BJ25" s="66"/>
      <c r="BK25" s="66"/>
      <c r="BL25" s="66"/>
      <c r="BM25" s="66">
        <v>192</v>
      </c>
      <c r="BN25" s="85"/>
      <c r="BO25" s="70">
        <f t="shared" si="18"/>
        <v>192</v>
      </c>
      <c r="BP25" s="85">
        <f t="shared" si="19"/>
        <v>192</v>
      </c>
      <c r="BQ25" s="49">
        <f t="shared" si="20"/>
        <v>192</v>
      </c>
      <c r="BR25" s="75">
        <f t="shared" si="21"/>
        <v>152</v>
      </c>
      <c r="BS25" s="96">
        <f t="shared" si="22"/>
        <v>0</v>
      </c>
      <c r="BT25" s="95">
        <f t="shared" si="23"/>
        <v>0</v>
      </c>
      <c r="BU25" s="95">
        <f t="shared" si="24"/>
        <v>0</v>
      </c>
      <c r="BV25" s="95">
        <f t="shared" si="25"/>
        <v>0</v>
      </c>
      <c r="BW25" s="95">
        <f t="shared" si="26"/>
        <v>0</v>
      </c>
      <c r="BX25" s="95">
        <f t="shared" si="27"/>
        <v>0</v>
      </c>
      <c r="BY25" s="95">
        <f t="shared" si="28"/>
        <v>0</v>
      </c>
      <c r="BZ25" s="95">
        <f t="shared" si="29"/>
        <v>0</v>
      </c>
      <c r="CA25" s="95">
        <f t="shared" si="30"/>
        <v>0</v>
      </c>
      <c r="CB25" s="85"/>
      <c r="CC25" s="85"/>
    </row>
    <row r="26" spans="1:81" ht="10.5" customHeight="1">
      <c r="A26" s="64">
        <v>96</v>
      </c>
      <c r="B26" s="65" t="s">
        <v>108</v>
      </c>
      <c r="C26" s="65"/>
      <c r="D26" s="89">
        <v>24</v>
      </c>
      <c r="E26" s="67"/>
      <c r="F26" s="67" t="s">
        <v>259</v>
      </c>
      <c r="G26" s="68" t="s">
        <v>259</v>
      </c>
      <c r="H26" s="68" t="s">
        <v>259</v>
      </c>
      <c r="I26" s="69" t="s">
        <v>259</v>
      </c>
      <c r="J26" s="69" t="s">
        <v>259</v>
      </c>
      <c r="K26" s="69" t="s">
        <v>271</v>
      </c>
      <c r="L26" s="69"/>
      <c r="M26" s="69" t="s">
        <v>259</v>
      </c>
      <c r="N26" s="69" t="s">
        <v>259</v>
      </c>
      <c r="O26" s="69" t="s">
        <v>259</v>
      </c>
      <c r="P26" s="69" t="s">
        <v>259</v>
      </c>
      <c r="Q26" s="69" t="s">
        <v>259</v>
      </c>
      <c r="R26" s="69" t="s">
        <v>271</v>
      </c>
      <c r="S26" s="69"/>
      <c r="T26" s="69" t="s">
        <v>259</v>
      </c>
      <c r="U26" s="69" t="s">
        <v>259</v>
      </c>
      <c r="V26" s="69" t="s">
        <v>259</v>
      </c>
      <c r="W26" s="69" t="s">
        <v>244</v>
      </c>
      <c r="X26" s="69" t="s">
        <v>244</v>
      </c>
      <c r="Y26" s="69" t="s">
        <v>244</v>
      </c>
      <c r="Z26" s="69" t="s">
        <v>244</v>
      </c>
      <c r="AA26" s="69" t="s">
        <v>244</v>
      </c>
      <c r="AB26" s="69"/>
      <c r="AC26" s="69" t="s">
        <v>271</v>
      </c>
      <c r="AD26" s="69" t="s">
        <v>134</v>
      </c>
      <c r="AE26" s="69" t="s">
        <v>134</v>
      </c>
      <c r="AF26" s="69" t="s">
        <v>271</v>
      </c>
      <c r="AG26" s="69"/>
      <c r="AH26" s="69" t="s">
        <v>259</v>
      </c>
      <c r="AI26" s="69" t="s">
        <v>259</v>
      </c>
      <c r="AJ26" s="69"/>
      <c r="AK26" s="69"/>
      <c r="AL26" s="69"/>
      <c r="AM26" s="69"/>
      <c r="AN26" s="69"/>
      <c r="AO26" s="69"/>
      <c r="AP26" s="69"/>
      <c r="AQ26" s="69"/>
      <c r="AR26" s="69"/>
      <c r="AS26" s="66">
        <v>152</v>
      </c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>
        <v>40</v>
      </c>
      <c r="BE26" s="66"/>
      <c r="BF26" s="66"/>
      <c r="BG26" s="66"/>
      <c r="BH26" s="66"/>
      <c r="BI26" s="66"/>
      <c r="BJ26" s="66"/>
      <c r="BK26" s="66"/>
      <c r="BL26" s="66"/>
      <c r="BM26" s="66">
        <v>192</v>
      </c>
      <c r="BN26" s="85"/>
      <c r="BO26" s="70">
        <f t="shared" si="18"/>
        <v>192</v>
      </c>
      <c r="BP26" s="85">
        <f t="shared" si="19"/>
        <v>192</v>
      </c>
      <c r="BQ26" s="49">
        <f t="shared" si="20"/>
        <v>192</v>
      </c>
      <c r="BR26" s="75">
        <f t="shared" si="21"/>
        <v>152</v>
      </c>
      <c r="BS26" s="96">
        <f t="shared" si="22"/>
        <v>0</v>
      </c>
      <c r="BT26" s="95">
        <f t="shared" si="23"/>
        <v>0</v>
      </c>
      <c r="BU26" s="95">
        <f t="shared" si="24"/>
        <v>0</v>
      </c>
      <c r="BV26" s="95">
        <f t="shared" si="25"/>
        <v>0</v>
      </c>
      <c r="BW26" s="95">
        <f t="shared" si="26"/>
        <v>0</v>
      </c>
      <c r="BX26" s="95">
        <f t="shared" si="27"/>
        <v>0</v>
      </c>
      <c r="BY26" s="95">
        <f t="shared" si="28"/>
        <v>0</v>
      </c>
      <c r="BZ26" s="95">
        <f t="shared" si="29"/>
        <v>0</v>
      </c>
      <c r="CA26" s="95">
        <f t="shared" si="30"/>
        <v>0</v>
      </c>
      <c r="CB26" s="85"/>
      <c r="CC26" s="85"/>
    </row>
    <row r="27" spans="1:81" ht="10.5" customHeight="1">
      <c r="A27" s="64">
        <v>97</v>
      </c>
      <c r="B27" s="65" t="s">
        <v>109</v>
      </c>
      <c r="C27" s="65"/>
      <c r="D27" s="89">
        <v>24</v>
      </c>
      <c r="E27" s="67"/>
      <c r="F27" s="67" t="s">
        <v>259</v>
      </c>
      <c r="G27" s="68" t="s">
        <v>259</v>
      </c>
      <c r="H27" s="68" t="s">
        <v>259</v>
      </c>
      <c r="I27" s="69" t="s">
        <v>259</v>
      </c>
      <c r="J27" s="69" t="s">
        <v>259</v>
      </c>
      <c r="K27" s="69" t="s">
        <v>271</v>
      </c>
      <c r="L27" s="69"/>
      <c r="M27" s="69" t="s">
        <v>259</v>
      </c>
      <c r="N27" s="69" t="s">
        <v>259</v>
      </c>
      <c r="O27" s="69" t="s">
        <v>259</v>
      </c>
      <c r="P27" s="69" t="s">
        <v>259</v>
      </c>
      <c r="Q27" s="69" t="s">
        <v>259</v>
      </c>
      <c r="R27" s="69" t="s">
        <v>271</v>
      </c>
      <c r="S27" s="69"/>
      <c r="T27" s="69" t="s">
        <v>259</v>
      </c>
      <c r="U27" s="69" t="s">
        <v>259</v>
      </c>
      <c r="V27" s="69" t="s">
        <v>259</v>
      </c>
      <c r="W27" s="69" t="s">
        <v>244</v>
      </c>
      <c r="X27" s="69" t="s">
        <v>244</v>
      </c>
      <c r="Y27" s="69" t="s">
        <v>244</v>
      </c>
      <c r="Z27" s="69" t="s">
        <v>244</v>
      </c>
      <c r="AA27" s="69" t="s">
        <v>244</v>
      </c>
      <c r="AB27" s="69"/>
      <c r="AC27" s="69" t="s">
        <v>271</v>
      </c>
      <c r="AD27" s="69" t="s">
        <v>134</v>
      </c>
      <c r="AE27" s="69" t="s">
        <v>134</v>
      </c>
      <c r="AF27" s="69" t="s">
        <v>271</v>
      </c>
      <c r="AG27" s="69"/>
      <c r="AH27" s="69" t="s">
        <v>259</v>
      </c>
      <c r="AI27" s="69" t="s">
        <v>259</v>
      </c>
      <c r="AJ27" s="69"/>
      <c r="AK27" s="69"/>
      <c r="AL27" s="69"/>
      <c r="AM27" s="69"/>
      <c r="AN27" s="69"/>
      <c r="AO27" s="69"/>
      <c r="AP27" s="69"/>
      <c r="AQ27" s="69"/>
      <c r="AR27" s="69"/>
      <c r="AS27" s="66">
        <v>152</v>
      </c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>
        <v>40</v>
      </c>
      <c r="BE27" s="66"/>
      <c r="BF27" s="66"/>
      <c r="BG27" s="66"/>
      <c r="BH27" s="66"/>
      <c r="BI27" s="66"/>
      <c r="BJ27" s="66"/>
      <c r="BK27" s="66"/>
      <c r="BL27" s="66"/>
      <c r="BM27" s="66">
        <v>192</v>
      </c>
      <c r="BN27" s="85"/>
      <c r="BO27" s="70">
        <f t="shared" si="18"/>
        <v>192</v>
      </c>
      <c r="BP27" s="85">
        <f t="shared" si="19"/>
        <v>192</v>
      </c>
      <c r="BQ27" s="49">
        <f t="shared" si="20"/>
        <v>192</v>
      </c>
      <c r="BR27" s="75">
        <f t="shared" si="21"/>
        <v>152</v>
      </c>
      <c r="BS27" s="96">
        <f t="shared" si="22"/>
        <v>0</v>
      </c>
      <c r="BT27" s="95">
        <f t="shared" si="23"/>
        <v>0</v>
      </c>
      <c r="BU27" s="95">
        <f t="shared" si="24"/>
        <v>0</v>
      </c>
      <c r="BV27" s="95">
        <f t="shared" si="25"/>
        <v>0</v>
      </c>
      <c r="BW27" s="95">
        <f t="shared" si="26"/>
        <v>0</v>
      </c>
      <c r="BX27" s="95">
        <f t="shared" si="27"/>
        <v>0</v>
      </c>
      <c r="BY27" s="95">
        <f t="shared" si="28"/>
        <v>0</v>
      </c>
      <c r="BZ27" s="95">
        <f t="shared" si="29"/>
        <v>0</v>
      </c>
      <c r="CA27" s="95">
        <f t="shared" si="30"/>
        <v>0</v>
      </c>
      <c r="CB27" s="85"/>
      <c r="CC27" s="85"/>
    </row>
    <row r="28" spans="1:81" ht="10.5" customHeight="1">
      <c r="A28" s="64">
        <v>98</v>
      </c>
      <c r="B28" s="65" t="s">
        <v>110</v>
      </c>
      <c r="C28" s="65"/>
      <c r="D28" s="89">
        <v>24</v>
      </c>
      <c r="E28" s="67"/>
      <c r="F28" s="67" t="s">
        <v>259</v>
      </c>
      <c r="G28" s="68" t="s">
        <v>259</v>
      </c>
      <c r="H28" s="68" t="s">
        <v>259</v>
      </c>
      <c r="I28" s="69" t="s">
        <v>259</v>
      </c>
      <c r="J28" s="69" t="s">
        <v>259</v>
      </c>
      <c r="K28" s="69" t="s">
        <v>271</v>
      </c>
      <c r="L28" s="69"/>
      <c r="M28" s="69" t="s">
        <v>259</v>
      </c>
      <c r="N28" s="69" t="s">
        <v>259</v>
      </c>
      <c r="O28" s="69" t="s">
        <v>259</v>
      </c>
      <c r="P28" s="69" t="s">
        <v>259</v>
      </c>
      <c r="Q28" s="69" t="s">
        <v>259</v>
      </c>
      <c r="R28" s="69" t="s">
        <v>271</v>
      </c>
      <c r="S28" s="69"/>
      <c r="T28" s="69" t="s">
        <v>259</v>
      </c>
      <c r="U28" s="69" t="s">
        <v>259</v>
      </c>
      <c r="V28" s="69" t="s">
        <v>259</v>
      </c>
      <c r="W28" s="69" t="s">
        <v>244</v>
      </c>
      <c r="X28" s="69" t="s">
        <v>244</v>
      </c>
      <c r="Y28" s="69" t="s">
        <v>244</v>
      </c>
      <c r="Z28" s="69" t="s">
        <v>244</v>
      </c>
      <c r="AA28" s="69" t="s">
        <v>244</v>
      </c>
      <c r="AB28" s="69"/>
      <c r="AC28" s="69" t="s">
        <v>271</v>
      </c>
      <c r="AD28" s="69" t="s">
        <v>134</v>
      </c>
      <c r="AE28" s="69" t="s">
        <v>134</v>
      </c>
      <c r="AF28" s="69" t="s">
        <v>271</v>
      </c>
      <c r="AG28" s="69"/>
      <c r="AH28" s="69" t="s">
        <v>259</v>
      </c>
      <c r="AI28" s="69" t="s">
        <v>259</v>
      </c>
      <c r="AJ28" s="69"/>
      <c r="AK28" s="69"/>
      <c r="AL28" s="69"/>
      <c r="AM28" s="69"/>
      <c r="AN28" s="69"/>
      <c r="AO28" s="69"/>
      <c r="AP28" s="69"/>
      <c r="AQ28" s="69"/>
      <c r="AR28" s="69"/>
      <c r="AS28" s="66">
        <v>152</v>
      </c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>
        <v>40</v>
      </c>
      <c r="BE28" s="66"/>
      <c r="BF28" s="66"/>
      <c r="BG28" s="66"/>
      <c r="BH28" s="66"/>
      <c r="BI28" s="66"/>
      <c r="BJ28" s="66"/>
      <c r="BK28" s="66"/>
      <c r="BL28" s="66"/>
      <c r="BM28" s="66">
        <v>192</v>
      </c>
      <c r="BN28" s="85"/>
      <c r="BO28" s="70">
        <f t="shared" si="18"/>
        <v>192</v>
      </c>
      <c r="BP28" s="85">
        <f t="shared" si="19"/>
        <v>192</v>
      </c>
      <c r="BQ28" s="49">
        <f t="shared" si="20"/>
        <v>192</v>
      </c>
      <c r="BR28" s="75">
        <f t="shared" si="21"/>
        <v>152</v>
      </c>
      <c r="BS28" s="96">
        <f t="shared" si="22"/>
        <v>0</v>
      </c>
      <c r="BT28" s="95">
        <f t="shared" si="23"/>
        <v>0</v>
      </c>
      <c r="BU28" s="95">
        <f t="shared" si="24"/>
        <v>0</v>
      </c>
      <c r="BV28" s="95">
        <f t="shared" si="25"/>
        <v>0</v>
      </c>
      <c r="BW28" s="95">
        <f t="shared" si="26"/>
        <v>0</v>
      </c>
      <c r="BX28" s="95">
        <f t="shared" si="27"/>
        <v>0</v>
      </c>
      <c r="BY28" s="95">
        <f t="shared" si="28"/>
        <v>0</v>
      </c>
      <c r="BZ28" s="95">
        <f t="shared" si="29"/>
        <v>0</v>
      </c>
      <c r="CA28" s="95">
        <f t="shared" si="30"/>
        <v>0</v>
      </c>
      <c r="CB28" s="85"/>
      <c r="CC28" s="85"/>
    </row>
    <row r="29" spans="1:81" ht="10.5" customHeight="1">
      <c r="A29" s="64">
        <v>99</v>
      </c>
      <c r="B29" s="65" t="s">
        <v>112</v>
      </c>
      <c r="C29" s="65"/>
      <c r="D29" s="89">
        <v>24</v>
      </c>
      <c r="E29" s="67"/>
      <c r="F29" s="67" t="s">
        <v>259</v>
      </c>
      <c r="G29" s="68" t="s">
        <v>259</v>
      </c>
      <c r="H29" s="68" t="s">
        <v>259</v>
      </c>
      <c r="I29" s="69" t="s">
        <v>259</v>
      </c>
      <c r="J29" s="69" t="s">
        <v>259</v>
      </c>
      <c r="K29" s="69" t="s">
        <v>271</v>
      </c>
      <c r="L29" s="69"/>
      <c r="M29" s="69" t="s">
        <v>259</v>
      </c>
      <c r="N29" s="69" t="s">
        <v>259</v>
      </c>
      <c r="O29" s="69" t="s">
        <v>259</v>
      </c>
      <c r="P29" s="69" t="s">
        <v>259</v>
      </c>
      <c r="Q29" s="69" t="s">
        <v>259</v>
      </c>
      <c r="R29" s="69" t="s">
        <v>271</v>
      </c>
      <c r="S29" s="69"/>
      <c r="T29" s="69" t="s">
        <v>259</v>
      </c>
      <c r="U29" s="69" t="s">
        <v>259</v>
      </c>
      <c r="V29" s="69" t="s">
        <v>259</v>
      </c>
      <c r="W29" s="69" t="s">
        <v>244</v>
      </c>
      <c r="X29" s="69" t="s">
        <v>244</v>
      </c>
      <c r="Y29" s="69" t="s">
        <v>244</v>
      </c>
      <c r="Z29" s="69" t="s">
        <v>244</v>
      </c>
      <c r="AA29" s="69" t="s">
        <v>244</v>
      </c>
      <c r="AB29" s="69"/>
      <c r="AC29" s="69" t="s">
        <v>271</v>
      </c>
      <c r="AD29" s="69" t="s">
        <v>134</v>
      </c>
      <c r="AE29" s="69" t="s">
        <v>134</v>
      </c>
      <c r="AF29" s="69" t="s">
        <v>271</v>
      </c>
      <c r="AG29" s="69"/>
      <c r="AH29" s="69" t="s">
        <v>259</v>
      </c>
      <c r="AI29" s="69" t="s">
        <v>259</v>
      </c>
      <c r="AJ29" s="69"/>
      <c r="AK29" s="69"/>
      <c r="AL29" s="69"/>
      <c r="AM29" s="69"/>
      <c r="AN29" s="69"/>
      <c r="AO29" s="69"/>
      <c r="AP29" s="69"/>
      <c r="AQ29" s="69"/>
      <c r="AR29" s="69"/>
      <c r="AS29" s="66">
        <v>152</v>
      </c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>
        <v>40</v>
      </c>
      <c r="BE29" s="66"/>
      <c r="BF29" s="66"/>
      <c r="BG29" s="66"/>
      <c r="BH29" s="66"/>
      <c r="BI29" s="66"/>
      <c r="BJ29" s="66"/>
      <c r="BK29" s="66"/>
      <c r="BL29" s="66"/>
      <c r="BM29" s="66">
        <v>192</v>
      </c>
      <c r="BN29" s="85"/>
      <c r="BO29" s="70">
        <f t="shared" si="18"/>
        <v>192</v>
      </c>
      <c r="BP29" s="85">
        <f t="shared" si="19"/>
        <v>192</v>
      </c>
      <c r="BQ29" s="49">
        <f t="shared" si="20"/>
        <v>192</v>
      </c>
      <c r="BR29" s="75">
        <f t="shared" si="21"/>
        <v>152</v>
      </c>
      <c r="BS29" s="96">
        <f t="shared" si="22"/>
        <v>0</v>
      </c>
      <c r="BT29" s="95">
        <f t="shared" si="23"/>
        <v>0</v>
      </c>
      <c r="BU29" s="95">
        <f t="shared" si="24"/>
        <v>0</v>
      </c>
      <c r="BV29" s="95">
        <f t="shared" si="25"/>
        <v>0</v>
      </c>
      <c r="BW29" s="95">
        <f t="shared" si="26"/>
        <v>0</v>
      </c>
      <c r="BX29" s="95">
        <f t="shared" si="27"/>
        <v>0</v>
      </c>
      <c r="BY29" s="95">
        <f t="shared" si="28"/>
        <v>0</v>
      </c>
      <c r="BZ29" s="95">
        <f t="shared" si="29"/>
        <v>0</v>
      </c>
      <c r="CA29" s="95">
        <f t="shared" si="30"/>
        <v>0</v>
      </c>
      <c r="CB29" s="85"/>
      <c r="CC29" s="85"/>
    </row>
    <row r="30" spans="1:81" ht="10.5" customHeight="1">
      <c r="A30" s="64">
        <v>101</v>
      </c>
      <c r="B30" s="65" t="s">
        <v>118</v>
      </c>
      <c r="C30" s="65"/>
      <c r="D30" s="89">
        <v>24</v>
      </c>
      <c r="E30" s="67"/>
      <c r="F30" s="67" t="s">
        <v>259</v>
      </c>
      <c r="G30" s="68" t="s">
        <v>259</v>
      </c>
      <c r="H30" s="68" t="s">
        <v>259</v>
      </c>
      <c r="I30" s="69" t="s">
        <v>259</v>
      </c>
      <c r="J30" s="69" t="s">
        <v>259</v>
      </c>
      <c r="K30" s="69" t="s">
        <v>271</v>
      </c>
      <c r="L30" s="69"/>
      <c r="M30" s="69" t="s">
        <v>259</v>
      </c>
      <c r="N30" s="69" t="s">
        <v>259</v>
      </c>
      <c r="O30" s="69" t="s">
        <v>259</v>
      </c>
      <c r="P30" s="69" t="s">
        <v>259</v>
      </c>
      <c r="Q30" s="69" t="s">
        <v>259</v>
      </c>
      <c r="R30" s="69" t="s">
        <v>271</v>
      </c>
      <c r="S30" s="69"/>
      <c r="T30" s="69" t="s">
        <v>259</v>
      </c>
      <c r="U30" s="69" t="s">
        <v>259</v>
      </c>
      <c r="V30" s="69" t="s">
        <v>259</v>
      </c>
      <c r="W30" s="69" t="s">
        <v>244</v>
      </c>
      <c r="X30" s="69" t="s">
        <v>244</v>
      </c>
      <c r="Y30" s="69" t="s">
        <v>244</v>
      </c>
      <c r="Z30" s="69" t="s">
        <v>244</v>
      </c>
      <c r="AA30" s="69" t="s">
        <v>244</v>
      </c>
      <c r="AB30" s="69"/>
      <c r="AC30" s="69" t="s">
        <v>271</v>
      </c>
      <c r="AD30" s="69" t="s">
        <v>134</v>
      </c>
      <c r="AE30" s="69" t="s">
        <v>134</v>
      </c>
      <c r="AF30" s="69" t="s">
        <v>271</v>
      </c>
      <c r="AG30" s="69"/>
      <c r="AH30" s="69" t="s">
        <v>259</v>
      </c>
      <c r="AI30" s="69" t="s">
        <v>259</v>
      </c>
      <c r="AJ30" s="69"/>
      <c r="AK30" s="69"/>
      <c r="AL30" s="69"/>
      <c r="AM30" s="69"/>
      <c r="AN30" s="69"/>
      <c r="AO30" s="69"/>
      <c r="AP30" s="69"/>
      <c r="AQ30" s="69"/>
      <c r="AR30" s="69"/>
      <c r="AS30" s="66">
        <v>152</v>
      </c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>
        <v>40</v>
      </c>
      <c r="BE30" s="66"/>
      <c r="BF30" s="66"/>
      <c r="BG30" s="66"/>
      <c r="BH30" s="66"/>
      <c r="BI30" s="66"/>
      <c r="BJ30" s="66"/>
      <c r="BK30" s="66"/>
      <c r="BL30" s="66"/>
      <c r="BM30" s="66">
        <v>192</v>
      </c>
      <c r="BN30" s="85"/>
      <c r="BO30" s="70">
        <f t="shared" si="18"/>
        <v>192</v>
      </c>
      <c r="BP30" s="85">
        <f t="shared" si="19"/>
        <v>192</v>
      </c>
      <c r="BQ30" s="49">
        <f t="shared" si="20"/>
        <v>192</v>
      </c>
      <c r="BR30" s="75">
        <f t="shared" si="21"/>
        <v>152</v>
      </c>
      <c r="BS30" s="96">
        <f t="shared" si="22"/>
        <v>0</v>
      </c>
      <c r="BT30" s="95">
        <f t="shared" si="23"/>
        <v>0</v>
      </c>
      <c r="BU30" s="95">
        <f t="shared" si="24"/>
        <v>0</v>
      </c>
      <c r="BV30" s="95">
        <f t="shared" si="25"/>
        <v>0</v>
      </c>
      <c r="BW30" s="95">
        <f t="shared" si="26"/>
        <v>0</v>
      </c>
      <c r="BX30" s="95">
        <f t="shared" si="27"/>
        <v>0</v>
      </c>
      <c r="BY30" s="95">
        <f t="shared" si="28"/>
        <v>0</v>
      </c>
      <c r="BZ30" s="95">
        <f t="shared" si="29"/>
        <v>0</v>
      </c>
      <c r="CA30" s="95">
        <f t="shared" si="30"/>
        <v>0</v>
      </c>
      <c r="CB30" s="85"/>
      <c r="CC30" s="85"/>
    </row>
    <row r="31" spans="1:81" ht="10.5" customHeight="1">
      <c r="A31" s="64">
        <v>102</v>
      </c>
      <c r="B31" s="65" t="s">
        <v>117</v>
      </c>
      <c r="C31" s="65"/>
      <c r="D31" s="89">
        <v>24</v>
      </c>
      <c r="E31" s="67"/>
      <c r="F31" s="67" t="s">
        <v>259</v>
      </c>
      <c r="G31" s="68" t="s">
        <v>259</v>
      </c>
      <c r="H31" s="68" t="s">
        <v>259</v>
      </c>
      <c r="I31" s="69" t="s">
        <v>259</v>
      </c>
      <c r="J31" s="69" t="s">
        <v>259</v>
      </c>
      <c r="K31" s="69" t="s">
        <v>271</v>
      </c>
      <c r="L31" s="69"/>
      <c r="M31" s="69" t="s">
        <v>259</v>
      </c>
      <c r="N31" s="69" t="s">
        <v>259</v>
      </c>
      <c r="O31" s="69" t="s">
        <v>259</v>
      </c>
      <c r="P31" s="69" t="s">
        <v>259</v>
      </c>
      <c r="Q31" s="69" t="s">
        <v>135</v>
      </c>
      <c r="R31" s="69" t="s">
        <v>272</v>
      </c>
      <c r="S31" s="69"/>
      <c r="T31" s="69" t="s">
        <v>135</v>
      </c>
      <c r="U31" s="69" t="s">
        <v>135</v>
      </c>
      <c r="V31" s="69" t="s">
        <v>135</v>
      </c>
      <c r="W31" s="69" t="s">
        <v>244</v>
      </c>
      <c r="X31" s="69" t="s">
        <v>244</v>
      </c>
      <c r="Y31" s="69" t="s">
        <v>244</v>
      </c>
      <c r="Z31" s="69" t="s">
        <v>244</v>
      </c>
      <c r="AA31" s="69" t="s">
        <v>244</v>
      </c>
      <c r="AB31" s="69"/>
      <c r="AC31" s="69" t="s">
        <v>271</v>
      </c>
      <c r="AD31" s="69" t="s">
        <v>134</v>
      </c>
      <c r="AE31" s="69" t="s">
        <v>134</v>
      </c>
      <c r="AF31" s="69" t="s">
        <v>271</v>
      </c>
      <c r="AG31" s="69"/>
      <c r="AH31" s="69" t="s">
        <v>259</v>
      </c>
      <c r="AI31" s="69" t="s">
        <v>259</v>
      </c>
      <c r="AJ31" s="69"/>
      <c r="AK31" s="69"/>
      <c r="AL31" s="69"/>
      <c r="AM31" s="69"/>
      <c r="AN31" s="69"/>
      <c r="AO31" s="69"/>
      <c r="AP31" s="69"/>
      <c r="AQ31" s="69"/>
      <c r="AR31" s="69"/>
      <c r="AS31" s="66">
        <v>116</v>
      </c>
      <c r="AT31" s="66"/>
      <c r="AU31" s="66"/>
      <c r="AV31" s="66"/>
      <c r="AW31" s="66"/>
      <c r="AX31" s="66"/>
      <c r="AY31" s="66"/>
      <c r="AZ31" s="66"/>
      <c r="BA31" s="66"/>
      <c r="BB31" s="66">
        <v>36</v>
      </c>
      <c r="BC31" s="66"/>
      <c r="BD31" s="66">
        <v>40</v>
      </c>
      <c r="BE31" s="66"/>
      <c r="BF31" s="66"/>
      <c r="BG31" s="66"/>
      <c r="BH31" s="66"/>
      <c r="BI31" s="66"/>
      <c r="BJ31" s="66"/>
      <c r="BK31" s="66"/>
      <c r="BL31" s="66"/>
      <c r="BM31" s="66">
        <v>192</v>
      </c>
      <c r="BN31" s="85"/>
      <c r="BO31" s="70">
        <f t="shared" si="18"/>
        <v>192</v>
      </c>
      <c r="BP31" s="85">
        <f t="shared" si="19"/>
        <v>192</v>
      </c>
      <c r="BQ31" s="49">
        <f t="shared" si="20"/>
        <v>192</v>
      </c>
      <c r="BR31" s="75">
        <f t="shared" si="21"/>
        <v>116</v>
      </c>
      <c r="BS31" s="96">
        <f t="shared" si="22"/>
        <v>0</v>
      </c>
      <c r="BT31" s="95">
        <f t="shared" si="23"/>
        <v>0</v>
      </c>
      <c r="BU31" s="95">
        <f t="shared" si="24"/>
        <v>0</v>
      </c>
      <c r="BV31" s="95">
        <f t="shared" si="25"/>
        <v>0</v>
      </c>
      <c r="BW31" s="95">
        <f t="shared" si="26"/>
        <v>0</v>
      </c>
      <c r="BX31" s="95">
        <f t="shared" si="27"/>
        <v>0</v>
      </c>
      <c r="BY31" s="95">
        <f t="shared" si="28"/>
        <v>0</v>
      </c>
      <c r="BZ31" s="95">
        <f t="shared" si="29"/>
        <v>0</v>
      </c>
      <c r="CA31" s="95">
        <f t="shared" si="30"/>
        <v>0</v>
      </c>
      <c r="CB31" s="85"/>
      <c r="CC31" s="85"/>
    </row>
    <row r="32" spans="1:81" ht="10.5" customHeight="1">
      <c r="A32" s="64">
        <v>106</v>
      </c>
      <c r="B32" s="65" t="s">
        <v>113</v>
      </c>
      <c r="C32" s="65"/>
      <c r="D32" s="89">
        <v>24</v>
      </c>
      <c r="E32" s="67"/>
      <c r="F32" s="67" t="s">
        <v>259</v>
      </c>
      <c r="G32" s="68" t="s">
        <v>259</v>
      </c>
      <c r="H32" s="68" t="s">
        <v>259</v>
      </c>
      <c r="I32" s="69" t="s">
        <v>259</v>
      </c>
      <c r="J32" s="69" t="s">
        <v>259</v>
      </c>
      <c r="K32" s="69" t="s">
        <v>271</v>
      </c>
      <c r="L32" s="69"/>
      <c r="M32" s="69" t="s">
        <v>259</v>
      </c>
      <c r="N32" s="69" t="s">
        <v>259</v>
      </c>
      <c r="O32" s="69" t="s">
        <v>259</v>
      </c>
      <c r="P32" s="69" t="s">
        <v>259</v>
      </c>
      <c r="Q32" s="69" t="s">
        <v>259</v>
      </c>
      <c r="R32" s="69" t="s">
        <v>271</v>
      </c>
      <c r="S32" s="69"/>
      <c r="T32" s="69" t="s">
        <v>259</v>
      </c>
      <c r="U32" s="69" t="s">
        <v>259</v>
      </c>
      <c r="V32" s="69" t="s">
        <v>259</v>
      </c>
      <c r="W32" s="69" t="s">
        <v>244</v>
      </c>
      <c r="X32" s="69" t="s">
        <v>244</v>
      </c>
      <c r="Y32" s="69" t="s">
        <v>244</v>
      </c>
      <c r="Z32" s="69" t="s">
        <v>244</v>
      </c>
      <c r="AA32" s="69" t="s">
        <v>244</v>
      </c>
      <c r="AB32" s="69"/>
      <c r="AC32" s="69" t="s">
        <v>271</v>
      </c>
      <c r="AD32" s="69" t="s">
        <v>134</v>
      </c>
      <c r="AE32" s="69" t="s">
        <v>134</v>
      </c>
      <c r="AF32" s="69" t="s">
        <v>271</v>
      </c>
      <c r="AG32" s="69"/>
      <c r="AH32" s="69" t="s">
        <v>259</v>
      </c>
      <c r="AI32" s="69" t="s">
        <v>259</v>
      </c>
      <c r="AJ32" s="69"/>
      <c r="AK32" s="69"/>
      <c r="AL32" s="69"/>
      <c r="AM32" s="69"/>
      <c r="AN32" s="69"/>
      <c r="AO32" s="69"/>
      <c r="AP32" s="69"/>
      <c r="AQ32" s="69"/>
      <c r="AR32" s="69"/>
      <c r="AS32" s="66">
        <v>152</v>
      </c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>
        <v>40</v>
      </c>
      <c r="BE32" s="66"/>
      <c r="BF32" s="66"/>
      <c r="BG32" s="66"/>
      <c r="BH32" s="66"/>
      <c r="BI32" s="66"/>
      <c r="BJ32" s="66"/>
      <c r="BK32" s="66"/>
      <c r="BL32" s="66"/>
      <c r="BM32" s="66">
        <v>192</v>
      </c>
      <c r="BN32" s="85"/>
      <c r="BO32" s="70">
        <f t="shared" si="18"/>
        <v>192</v>
      </c>
      <c r="BP32" s="85">
        <f t="shared" si="19"/>
        <v>192</v>
      </c>
      <c r="BQ32" s="49">
        <f t="shared" si="20"/>
        <v>192</v>
      </c>
      <c r="BR32" s="75">
        <f t="shared" si="21"/>
        <v>152</v>
      </c>
      <c r="BS32" s="96">
        <f t="shared" si="22"/>
        <v>0</v>
      </c>
      <c r="BT32" s="95">
        <f t="shared" si="23"/>
        <v>0</v>
      </c>
      <c r="BU32" s="95">
        <f t="shared" si="24"/>
        <v>0</v>
      </c>
      <c r="BV32" s="95">
        <f t="shared" si="25"/>
        <v>0</v>
      </c>
      <c r="BW32" s="95">
        <f t="shared" si="26"/>
        <v>0</v>
      </c>
      <c r="BX32" s="95">
        <f t="shared" si="27"/>
        <v>0</v>
      </c>
      <c r="BY32" s="95">
        <f t="shared" si="28"/>
        <v>0</v>
      </c>
      <c r="BZ32" s="95">
        <f t="shared" si="29"/>
        <v>0</v>
      </c>
      <c r="CA32" s="95">
        <f t="shared" si="30"/>
        <v>0</v>
      </c>
      <c r="CB32" s="85"/>
      <c r="CC32" s="85"/>
    </row>
    <row r="33" spans="1:81" ht="10.5" customHeight="1">
      <c r="A33" s="64">
        <v>107</v>
      </c>
      <c r="B33" s="65" t="s">
        <v>114</v>
      </c>
      <c r="C33" s="65"/>
      <c r="D33" s="89">
        <v>24</v>
      </c>
      <c r="E33" s="67"/>
      <c r="F33" s="67" t="s">
        <v>259</v>
      </c>
      <c r="G33" s="68" t="s">
        <v>259</v>
      </c>
      <c r="H33" s="68" t="s">
        <v>259</v>
      </c>
      <c r="I33" s="69" t="s">
        <v>259</v>
      </c>
      <c r="J33" s="69" t="s">
        <v>259</v>
      </c>
      <c r="K33" s="69" t="s">
        <v>271</v>
      </c>
      <c r="L33" s="69"/>
      <c r="M33" s="69" t="s">
        <v>259</v>
      </c>
      <c r="N33" s="69" t="s">
        <v>259</v>
      </c>
      <c r="O33" s="69" t="s">
        <v>259</v>
      </c>
      <c r="P33" s="69" t="s">
        <v>259</v>
      </c>
      <c r="Q33" s="69" t="s">
        <v>259</v>
      </c>
      <c r="R33" s="69" t="s">
        <v>271</v>
      </c>
      <c r="S33" s="69"/>
      <c r="T33" s="69" t="s">
        <v>259</v>
      </c>
      <c r="U33" s="69" t="s">
        <v>259</v>
      </c>
      <c r="V33" s="69" t="s">
        <v>135</v>
      </c>
      <c r="W33" s="69" t="s">
        <v>244</v>
      </c>
      <c r="X33" s="69" t="s">
        <v>244</v>
      </c>
      <c r="Y33" s="69" t="s">
        <v>244</v>
      </c>
      <c r="Z33" s="69" t="s">
        <v>244</v>
      </c>
      <c r="AA33" s="69" t="s">
        <v>244</v>
      </c>
      <c r="AB33" s="69"/>
      <c r="AC33" s="69" t="s">
        <v>271</v>
      </c>
      <c r="AD33" s="69" t="s">
        <v>135</v>
      </c>
      <c r="AE33" s="69" t="s">
        <v>135</v>
      </c>
      <c r="AF33" s="69" t="s">
        <v>271</v>
      </c>
      <c r="AG33" s="69"/>
      <c r="AH33" s="69" t="s">
        <v>259</v>
      </c>
      <c r="AI33" s="69" t="s">
        <v>259</v>
      </c>
      <c r="AJ33" s="69"/>
      <c r="AK33" s="69"/>
      <c r="AL33" s="69"/>
      <c r="AM33" s="69"/>
      <c r="AN33" s="69"/>
      <c r="AO33" s="69"/>
      <c r="AP33" s="69"/>
      <c r="AQ33" s="69"/>
      <c r="AR33" s="69"/>
      <c r="AS33" s="66">
        <v>128</v>
      </c>
      <c r="AT33" s="66"/>
      <c r="AU33" s="66"/>
      <c r="AV33" s="66"/>
      <c r="AW33" s="66"/>
      <c r="AX33" s="66"/>
      <c r="AY33" s="66"/>
      <c r="AZ33" s="66"/>
      <c r="BA33" s="66"/>
      <c r="BB33" s="66">
        <v>24</v>
      </c>
      <c r="BC33" s="66"/>
      <c r="BD33" s="66">
        <v>40</v>
      </c>
      <c r="BE33" s="66"/>
      <c r="BF33" s="66"/>
      <c r="BG33" s="66"/>
      <c r="BH33" s="66"/>
      <c r="BI33" s="66"/>
      <c r="BJ33" s="66"/>
      <c r="BK33" s="66"/>
      <c r="BL33" s="66"/>
      <c r="BM33" s="66">
        <v>192</v>
      </c>
      <c r="BN33" s="85"/>
      <c r="BO33" s="70">
        <f t="shared" si="18"/>
        <v>192</v>
      </c>
      <c r="BP33" s="85">
        <f t="shared" si="19"/>
        <v>192</v>
      </c>
      <c r="BQ33" s="49">
        <f t="shared" si="20"/>
        <v>192</v>
      </c>
      <c r="BR33" s="75">
        <f t="shared" si="21"/>
        <v>128</v>
      </c>
      <c r="BS33" s="96">
        <f t="shared" si="22"/>
        <v>0</v>
      </c>
      <c r="BT33" s="95">
        <f t="shared" si="23"/>
        <v>0</v>
      </c>
      <c r="BU33" s="95">
        <f t="shared" si="24"/>
        <v>0</v>
      </c>
      <c r="BV33" s="95">
        <f t="shared" si="25"/>
        <v>0</v>
      </c>
      <c r="BW33" s="95">
        <f t="shared" si="26"/>
        <v>0</v>
      </c>
      <c r="BX33" s="95">
        <f t="shared" si="27"/>
        <v>0</v>
      </c>
      <c r="BY33" s="95">
        <f t="shared" si="28"/>
        <v>0</v>
      </c>
      <c r="BZ33" s="95">
        <f t="shared" si="29"/>
        <v>0</v>
      </c>
      <c r="CA33" s="95">
        <f t="shared" si="30"/>
        <v>0</v>
      </c>
      <c r="CB33" s="85"/>
      <c r="CC33" s="85"/>
    </row>
    <row r="34" spans="1:81" ht="10.5" customHeight="1">
      <c r="A34" s="64">
        <v>108</v>
      </c>
      <c r="B34" s="65" t="s">
        <v>115</v>
      </c>
      <c r="C34" s="65"/>
      <c r="D34" s="89">
        <v>24</v>
      </c>
      <c r="E34" s="67"/>
      <c r="F34" s="67" t="s">
        <v>259</v>
      </c>
      <c r="G34" s="68" t="s">
        <v>259</v>
      </c>
      <c r="H34" s="68" t="s">
        <v>259</v>
      </c>
      <c r="I34" s="69" t="s">
        <v>259</v>
      </c>
      <c r="J34" s="69" t="s">
        <v>259</v>
      </c>
      <c r="K34" s="69" t="s">
        <v>271</v>
      </c>
      <c r="L34" s="69"/>
      <c r="M34" s="69" t="s">
        <v>259</v>
      </c>
      <c r="N34" s="69" t="s">
        <v>259</v>
      </c>
      <c r="O34" s="69" t="s">
        <v>259</v>
      </c>
      <c r="P34" s="69" t="s">
        <v>259</v>
      </c>
      <c r="Q34" s="69" t="s">
        <v>259</v>
      </c>
      <c r="R34" s="69" t="s">
        <v>271</v>
      </c>
      <c r="S34" s="69"/>
      <c r="T34" s="69" t="s">
        <v>259</v>
      </c>
      <c r="U34" s="69" t="s">
        <v>259</v>
      </c>
      <c r="V34" s="69" t="s">
        <v>259</v>
      </c>
      <c r="W34" s="69" t="s">
        <v>244</v>
      </c>
      <c r="X34" s="69" t="s">
        <v>244</v>
      </c>
      <c r="Y34" s="69" t="s">
        <v>244</v>
      </c>
      <c r="Z34" s="69" t="s">
        <v>244</v>
      </c>
      <c r="AA34" s="69" t="s">
        <v>244</v>
      </c>
      <c r="AB34" s="69"/>
      <c r="AC34" s="69" t="s">
        <v>271</v>
      </c>
      <c r="AD34" s="69" t="s">
        <v>134</v>
      </c>
      <c r="AE34" s="69" t="s">
        <v>134</v>
      </c>
      <c r="AF34" s="69" t="s">
        <v>271</v>
      </c>
      <c r="AG34" s="69"/>
      <c r="AH34" s="69" t="s">
        <v>259</v>
      </c>
      <c r="AI34" s="69" t="s">
        <v>259</v>
      </c>
      <c r="AJ34" s="69"/>
      <c r="AK34" s="69"/>
      <c r="AL34" s="69"/>
      <c r="AM34" s="69"/>
      <c r="AN34" s="69"/>
      <c r="AO34" s="69"/>
      <c r="AP34" s="69"/>
      <c r="AQ34" s="69"/>
      <c r="AR34" s="69"/>
      <c r="AS34" s="66">
        <v>152</v>
      </c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>
        <v>40</v>
      </c>
      <c r="BE34" s="66"/>
      <c r="BF34" s="66"/>
      <c r="BG34" s="66"/>
      <c r="BH34" s="66"/>
      <c r="BI34" s="66"/>
      <c r="BJ34" s="66"/>
      <c r="BK34" s="66"/>
      <c r="BL34" s="66"/>
      <c r="BM34" s="66">
        <v>192</v>
      </c>
      <c r="BN34" s="85"/>
      <c r="BO34" s="70">
        <f t="shared" si="18"/>
        <v>192</v>
      </c>
      <c r="BP34" s="85">
        <f t="shared" si="19"/>
        <v>192</v>
      </c>
      <c r="BQ34" s="49">
        <f t="shared" si="20"/>
        <v>192</v>
      </c>
      <c r="BR34" s="75">
        <f t="shared" si="21"/>
        <v>152</v>
      </c>
      <c r="BS34" s="96">
        <f t="shared" si="22"/>
        <v>0</v>
      </c>
      <c r="BT34" s="95">
        <f t="shared" si="23"/>
        <v>0</v>
      </c>
      <c r="BU34" s="95">
        <f t="shared" si="24"/>
        <v>0</v>
      </c>
      <c r="BV34" s="95">
        <f t="shared" si="25"/>
        <v>0</v>
      </c>
      <c r="BW34" s="95">
        <f t="shared" si="26"/>
        <v>0</v>
      </c>
      <c r="BX34" s="95">
        <f t="shared" si="27"/>
        <v>0</v>
      </c>
      <c r="BY34" s="95">
        <f t="shared" si="28"/>
        <v>0</v>
      </c>
      <c r="BZ34" s="95">
        <f t="shared" si="29"/>
        <v>0</v>
      </c>
      <c r="CA34" s="95">
        <f t="shared" si="30"/>
        <v>0</v>
      </c>
      <c r="CB34" s="85"/>
      <c r="CC34" s="85"/>
    </row>
    <row r="35" spans="1:81" ht="10.5" customHeight="1">
      <c r="A35" s="64">
        <v>110</v>
      </c>
      <c r="B35" s="65" t="s">
        <v>116</v>
      </c>
      <c r="C35" s="65"/>
      <c r="D35" s="89">
        <v>24</v>
      </c>
      <c r="E35" s="67"/>
      <c r="F35" s="67" t="s">
        <v>259</v>
      </c>
      <c r="G35" s="68" t="s">
        <v>259</v>
      </c>
      <c r="H35" s="68" t="s">
        <v>259</v>
      </c>
      <c r="I35" s="69" t="s">
        <v>259</v>
      </c>
      <c r="J35" s="69" t="s">
        <v>259</v>
      </c>
      <c r="K35" s="69" t="s">
        <v>271</v>
      </c>
      <c r="L35" s="69"/>
      <c r="M35" s="69" t="s">
        <v>259</v>
      </c>
      <c r="N35" s="69" t="s">
        <v>259</v>
      </c>
      <c r="O35" s="69" t="s">
        <v>259</v>
      </c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6">
        <v>68</v>
      </c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>
        <v>68</v>
      </c>
      <c r="BN35" s="85"/>
      <c r="BO35" s="70">
        <f t="shared" si="18"/>
        <v>192</v>
      </c>
      <c r="BP35" s="85">
        <f t="shared" si="19"/>
        <v>68</v>
      </c>
      <c r="BQ35" s="49">
        <f t="shared" si="20"/>
        <v>68</v>
      </c>
      <c r="BR35" s="75">
        <f t="shared" si="21"/>
        <v>68</v>
      </c>
      <c r="BS35" s="96">
        <f t="shared" si="22"/>
        <v>-124</v>
      </c>
      <c r="BT35" s="95">
        <f t="shared" si="23"/>
        <v>124</v>
      </c>
      <c r="BU35" s="95">
        <f t="shared" si="24"/>
        <v>0</v>
      </c>
      <c r="BV35" s="95">
        <f t="shared" si="25"/>
        <v>0</v>
      </c>
      <c r="BW35" s="95">
        <f t="shared" si="26"/>
        <v>0</v>
      </c>
      <c r="BX35" s="95">
        <f t="shared" si="27"/>
        <v>0</v>
      </c>
      <c r="BY35" s="95">
        <f t="shared" si="28"/>
        <v>0</v>
      </c>
      <c r="BZ35" s="95">
        <f t="shared" si="29"/>
        <v>0</v>
      </c>
      <c r="CA35" s="95">
        <f t="shared" si="30"/>
        <v>0</v>
      </c>
      <c r="CB35" s="85"/>
      <c r="CC35" s="85"/>
    </row>
  </sheetData>
  <autoFilter ref="A12:CC35" xr:uid="{854098CC-FE20-4856-8501-BF7E85D0841B}"/>
  <mergeCells count="32">
    <mergeCell ref="AS11:AS12"/>
    <mergeCell ref="S2:Z2"/>
    <mergeCell ref="S3:Z3"/>
    <mergeCell ref="S4:Z4"/>
    <mergeCell ref="S5:Z5"/>
    <mergeCell ref="A7:AD7"/>
    <mergeCell ref="A8:AD8"/>
    <mergeCell ref="A9:AD9"/>
    <mergeCell ref="A11:A12"/>
    <mergeCell ref="B11:B12"/>
    <mergeCell ref="C11:C12"/>
    <mergeCell ref="D11:D12"/>
    <mergeCell ref="BE11:BE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BD11:BD12"/>
    <mergeCell ref="BL11:BL12"/>
    <mergeCell ref="BM11:BM12"/>
    <mergeCell ref="BF11:BF12"/>
    <mergeCell ref="BG11:BG12"/>
    <mergeCell ref="BH11:BH12"/>
    <mergeCell ref="BI11:BI12"/>
    <mergeCell ref="BJ11:BJ12"/>
    <mergeCell ref="BK11:BK12"/>
  </mergeCells>
  <conditionalFormatting sqref="D13:D35 AS13:BM35">
    <cfRule type="expression" dxfId="6" priority="5">
      <formula>D$1=2</formula>
    </cfRule>
    <cfRule type="expression" dxfId="5" priority="6">
      <formula>D$1=1</formula>
    </cfRule>
    <cfRule type="expression" dxfId="4" priority="7">
      <formula>D$1=0</formula>
    </cfRule>
  </conditionalFormatting>
  <conditionalFormatting sqref="E12:AR35">
    <cfRule type="cellIs" dxfId="3" priority="1" operator="equal">
      <formula>$O$2</formula>
    </cfRule>
  </conditionalFormatting>
  <conditionalFormatting sqref="E13:AR35 E11:AI11">
    <cfRule type="beginsWith" dxfId="2" priority="2" operator="beginsWith" text="1/">
      <formula>LEFT(E11,2)="1/"</formula>
    </cfRule>
  </conditionalFormatting>
  <conditionalFormatting sqref="AJ11:AR12">
    <cfRule type="beginsWith" dxfId="1" priority="12" operator="beginsWith" text="1/">
      <formula>LEFT(AJ11,2)="1/"</formula>
    </cfRule>
  </conditionalFormatting>
  <conditionalFormatting sqref="BS13:BS41">
    <cfRule type="cellIs" dxfId="0" priority="3" operator="greaterThan">
      <formula>0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4A74-ABB6-441B-B02A-948119E8701E}">
  <dimension ref="A1:B14"/>
  <sheetViews>
    <sheetView workbookViewId="0">
      <selection activeCell="F9" sqref="F9"/>
    </sheetView>
  </sheetViews>
  <sheetFormatPr baseColWidth="10" defaultColWidth="8.83203125" defaultRowHeight="13"/>
  <sheetData>
    <row r="1" spans="1:2">
      <c r="A1" t="s">
        <v>119</v>
      </c>
      <c r="B1" t="s">
        <v>190</v>
      </c>
    </row>
    <row r="2" spans="1:2">
      <c r="A2" t="s">
        <v>191</v>
      </c>
      <c r="B2" t="s">
        <v>192</v>
      </c>
    </row>
    <row r="3" spans="1:2">
      <c r="A3" t="s">
        <v>193</v>
      </c>
      <c r="B3" t="s">
        <v>138</v>
      </c>
    </row>
    <row r="4" spans="1:2">
      <c r="A4" t="s">
        <v>121</v>
      </c>
      <c r="B4" t="s">
        <v>137</v>
      </c>
    </row>
    <row r="5" spans="1:2">
      <c r="A5" t="s">
        <v>122</v>
      </c>
      <c r="B5" t="s">
        <v>138</v>
      </c>
    </row>
    <row r="6" spans="1:2">
      <c r="A6" t="s">
        <v>120</v>
      </c>
      <c r="B6" t="s">
        <v>139</v>
      </c>
    </row>
    <row r="7" spans="1:2">
      <c r="A7" t="s">
        <v>123</v>
      </c>
      <c r="B7" t="s">
        <v>140</v>
      </c>
    </row>
    <row r="8" spans="1:2">
      <c r="A8" t="s">
        <v>124</v>
      </c>
      <c r="B8" t="s">
        <v>194</v>
      </c>
    </row>
    <row r="9" spans="1:2">
      <c r="A9" t="s">
        <v>195</v>
      </c>
      <c r="B9" t="s">
        <v>141</v>
      </c>
    </row>
    <row r="10" spans="1:2">
      <c r="A10" t="s">
        <v>125</v>
      </c>
      <c r="B10" t="s">
        <v>136</v>
      </c>
    </row>
    <row r="11" spans="1:2">
      <c r="A11" t="s">
        <v>126</v>
      </c>
      <c r="B11" t="s">
        <v>196</v>
      </c>
    </row>
    <row r="12" spans="1:2">
      <c r="A12" t="s">
        <v>128</v>
      </c>
      <c r="B12" t="s">
        <v>142</v>
      </c>
    </row>
    <row r="13" spans="1:2">
      <c r="A13" t="s">
        <v>127</v>
      </c>
      <c r="B13" t="s">
        <v>197</v>
      </c>
    </row>
    <row r="14" spans="1:2">
      <c r="A14" t="s">
        <v>129</v>
      </c>
      <c r="B1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SHUI &amp; PIT</vt:lpstr>
      <vt:lpstr>SEVL</vt:lpstr>
      <vt:lpstr>Main</vt:lpstr>
      <vt:lpstr>CC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Chie KOK</dc:creator>
  <cp:lastModifiedBy>Ash Sohani</cp:lastModifiedBy>
  <dcterms:created xsi:type="dcterms:W3CDTF">2019-05-29T04:35:07Z</dcterms:created>
  <dcterms:modified xsi:type="dcterms:W3CDTF">2024-11-01T22:59:56Z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7c75fe-f914-45f8-9747-40a3f5d4287a_Enabled">
    <vt:lpwstr>true</vt:lpwstr>
  </property>
  <property fmtid="{D5CDD505-2E9C-101B-9397-08002B2CF9AE}" pid="3" name="MSIP_Label_fe7c75fe-f914-45f8-9747-40a3f5d4287a_SetDate">
    <vt:lpwstr>2021-04-15T04:10:30Z</vt:lpwstr>
  </property>
  <property fmtid="{D5CDD505-2E9C-101B-9397-08002B2CF9AE}" pid="4" name="MSIP_Label_fe7c75fe-f914-45f8-9747-40a3f5d4287a_Method">
    <vt:lpwstr>Standard</vt:lpwstr>
  </property>
  <property fmtid="{D5CDD505-2E9C-101B-9397-08002B2CF9AE}" pid="5" name="MSIP_Label_fe7c75fe-f914-45f8-9747-40a3f5d4287a_Name">
    <vt:lpwstr>Without Visual Marking</vt:lpwstr>
  </property>
  <property fmtid="{D5CDD505-2E9C-101B-9397-08002B2CF9AE}" pid="6" name="MSIP_Label_fe7c75fe-f914-45f8-9747-40a3f5d4287a_SiteId">
    <vt:lpwstr>6e51e1ad-c54b-4b39-b598-0ffe9ae68fef</vt:lpwstr>
  </property>
  <property fmtid="{D5CDD505-2E9C-101B-9397-08002B2CF9AE}" pid="7" name="MSIP_Label_fe7c75fe-f914-45f8-9747-40a3f5d4287a_ActionId">
    <vt:lpwstr>4f4dfafc-8eef-4a6c-9b92-3104e53bd06d</vt:lpwstr>
  </property>
  <property fmtid="{D5CDD505-2E9C-101B-9397-08002B2CF9AE}" pid="8" name="MSIP_Label_fe7c75fe-f914-45f8-9747-40a3f5d4287a_ContentBits">
    <vt:lpwstr>0</vt:lpwstr>
  </property>
  <property fmtid="{D5CDD505-2E9C-101B-9397-08002B2CF9AE}" pid="9" name="MSIP_Label_b3be3305-77b5-42fa-b307-2473f342abe6_Enabled">
    <vt:lpwstr>true</vt:lpwstr>
  </property>
  <property fmtid="{D5CDD505-2E9C-101B-9397-08002B2CF9AE}" pid="10" name="MSIP_Label_b3be3305-77b5-42fa-b307-2473f342abe6_SetDate">
    <vt:lpwstr>2024-03-21T02:40:22Z</vt:lpwstr>
  </property>
  <property fmtid="{D5CDD505-2E9C-101B-9397-08002B2CF9AE}" pid="11" name="MSIP_Label_b3be3305-77b5-42fa-b307-2473f342abe6_Method">
    <vt:lpwstr>Standard</vt:lpwstr>
  </property>
  <property fmtid="{D5CDD505-2E9C-101B-9397-08002B2CF9AE}" pid="12" name="MSIP_Label_b3be3305-77b5-42fa-b307-2473f342abe6_Name">
    <vt:lpwstr>Standard</vt:lpwstr>
  </property>
  <property fmtid="{D5CDD505-2E9C-101B-9397-08002B2CF9AE}" pid="13" name="MSIP_Label_b3be3305-77b5-42fa-b307-2473f342abe6_SiteId">
    <vt:lpwstr>1f475499-34f5-46af-a0e6-7963f0dbb9a9</vt:lpwstr>
  </property>
  <property fmtid="{D5CDD505-2E9C-101B-9397-08002B2CF9AE}" pid="14" name="MSIP_Label_b3be3305-77b5-42fa-b307-2473f342abe6_ActionId">
    <vt:lpwstr>08336035-047d-4f49-8189-c3f0d34b85aa</vt:lpwstr>
  </property>
  <property fmtid="{D5CDD505-2E9C-101B-9397-08002B2CF9AE}" pid="15" name="MSIP_Label_b3be3305-77b5-42fa-b307-2473f342abe6_ContentBits">
    <vt:lpwstr>0</vt:lpwstr>
  </property>
</Properties>
</file>