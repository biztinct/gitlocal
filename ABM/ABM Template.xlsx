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dity/Documents/GitHub/gitlocal/ABM/"/>
    </mc:Choice>
  </mc:AlternateContent>
  <xr:revisionPtr revIDLastSave="0" documentId="13_ncr:1_{06E399D1-3032-E94C-B1EC-B65ABBFB3859}" xr6:coauthVersionLast="47" xr6:coauthVersionMax="47" xr10:uidLastSave="{00000000-0000-0000-0000-000000000000}"/>
  <bookViews>
    <workbookView xWindow="0" yWindow="500" windowWidth="38400" windowHeight="21100" tabRatio="562" xr2:uid="{00000000-000D-0000-FFFF-FFFF00000000}"/>
  </bookViews>
  <sheets>
    <sheet name="SEV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6" i="1" l="1"/>
  <c r="BD16" i="1"/>
  <c r="BC16" i="1"/>
  <c r="BK15" i="1"/>
  <c r="BD15" i="1"/>
  <c r="BC15" i="1"/>
  <c r="W15" i="1"/>
  <c r="U15" i="1"/>
  <c r="S15" i="1"/>
  <c r="BK14" i="1"/>
  <c r="BD14" i="1"/>
  <c r="BC14" i="1"/>
  <c r="W14" i="1"/>
  <c r="U14" i="1"/>
  <c r="S14" i="1"/>
  <c r="BK13" i="1"/>
  <c r="BD13" i="1"/>
  <c r="BC13" i="1"/>
  <c r="W13" i="1"/>
  <c r="U13" i="1"/>
  <c r="S13" i="1"/>
  <c r="BT12" i="1"/>
  <c r="BS12" i="1"/>
  <c r="BR12" i="1"/>
  <c r="BU12" i="1" s="1"/>
  <c r="BK12" i="1"/>
  <c r="BI12" i="1"/>
  <c r="BG12" i="1"/>
  <c r="BF12" i="1"/>
  <c r="BE12" i="1"/>
  <c r="BH12" i="1" s="1"/>
  <c r="BD12" i="1"/>
  <c r="BC12" i="1"/>
  <c r="BV12" i="1" s="1"/>
  <c r="AX12" i="1"/>
  <c r="AW12" i="1"/>
  <c r="AV12" i="1"/>
  <c r="AU12" i="1"/>
  <c r="AT12" i="1"/>
  <c r="AS12" i="1"/>
  <c r="W12" i="1"/>
  <c r="V12" i="1"/>
  <c r="U12" i="1"/>
  <c r="T12" i="1"/>
  <c r="S12" i="1"/>
  <c r="BK11" i="1"/>
  <c r="BI11" i="1"/>
  <c r="BD11" i="1"/>
  <c r="BC11" i="1"/>
  <c r="T11" i="1"/>
  <c r="BK10" i="1"/>
  <c r="BI10" i="1"/>
  <c r="BD10" i="1"/>
  <c r="BC10" i="1"/>
  <c r="W10" i="1"/>
  <c r="U10" i="1"/>
  <c r="T10" i="1"/>
  <c r="S10" i="1"/>
  <c r="BK9" i="1"/>
  <c r="BI9" i="1"/>
  <c r="BD9" i="1"/>
  <c r="BC9" i="1"/>
  <c r="W9" i="1"/>
  <c r="U9" i="1"/>
  <c r="T9" i="1"/>
  <c r="S9" i="1"/>
  <c r="BV8" i="1"/>
  <c r="BT8" i="1"/>
  <c r="BK8" i="1"/>
  <c r="BI8" i="1"/>
  <c r="BD8" i="1"/>
  <c r="BG8" i="1" s="1"/>
  <c r="BC8" i="1"/>
  <c r="T8" i="1"/>
  <c r="BK7" i="1"/>
  <c r="BI7" i="1"/>
  <c r="BD7" i="1"/>
  <c r="BC7" i="1"/>
  <c r="AX7" i="1"/>
  <c r="AW7" i="1"/>
  <c r="AV7" i="1"/>
  <c r="AU7" i="1"/>
  <c r="AT7" i="1"/>
  <c r="AS7" i="1"/>
  <c r="W7" i="1"/>
  <c r="V7" i="1"/>
  <c r="U7" i="1"/>
  <c r="T7" i="1"/>
  <c r="S7" i="1"/>
  <c r="BK6" i="1"/>
  <c r="BD6" i="1"/>
  <c r="BC6" i="1"/>
  <c r="W6" i="1"/>
  <c r="U6" i="1"/>
  <c r="S6" i="1"/>
  <c r="BK5" i="1"/>
  <c r="BD5" i="1"/>
  <c r="BC5" i="1"/>
  <c r="W5" i="1"/>
  <c r="U5" i="1"/>
  <c r="S5" i="1"/>
  <c r="BG13" i="1" l="1"/>
  <c r="BT13" i="1"/>
  <c r="BV13" i="1"/>
  <c r="BS13" i="1"/>
  <c r="BR13" i="1"/>
  <c r="BU13" i="1" s="1"/>
  <c r="BS8" i="1"/>
  <c r="BR8" i="1"/>
  <c r="BU8" i="1" s="1"/>
  <c r="BT16" i="1"/>
  <c r="BG16" i="1"/>
  <c r="BR16" i="1"/>
  <c r="BS16" i="1"/>
  <c r="BE16" i="1"/>
  <c r="BF16" i="1"/>
  <c r="BV16" i="1"/>
  <c r="AR16" i="1"/>
  <c r="AT16" i="1"/>
  <c r="AU16" i="1"/>
  <c r="AV16" i="1"/>
  <c r="AX16" i="1"/>
  <c r="AS16" i="1"/>
  <c r="AW16" i="1"/>
  <c r="BA16" i="1"/>
  <c r="V16" i="1"/>
  <c r="W16" i="1"/>
  <c r="AZ16" i="1"/>
  <c r="Q16" i="1"/>
  <c r="R16" i="1"/>
  <c r="S16" i="1"/>
  <c r="T16" i="1"/>
  <c r="U16" i="1"/>
  <c r="BG15" i="1"/>
  <c r="BT15" i="1"/>
  <c r="BV15" i="1"/>
  <c r="BE15" i="1"/>
  <c r="BF15" i="1"/>
  <c r="BS15" i="1"/>
  <c r="BR15" i="1"/>
  <c r="BU15" i="1" s="1"/>
  <c r="AS15" i="1"/>
  <c r="AU15" i="1"/>
  <c r="AV15" i="1"/>
  <c r="AX15" i="1"/>
  <c r="AR15" i="1"/>
  <c r="AT15" i="1"/>
  <c r="AW15" i="1"/>
  <c r="Q15" i="1"/>
  <c r="AZ15" i="1"/>
  <c r="V15" i="1"/>
  <c r="T15" i="1"/>
  <c r="BA15" i="1"/>
  <c r="R15" i="1"/>
  <c r="BG14" i="1"/>
  <c r="BT14" i="1"/>
  <c r="BF14" i="1"/>
  <c r="BV14" i="1"/>
  <c r="BS14" i="1"/>
  <c r="BR14" i="1"/>
  <c r="BE14" i="1"/>
  <c r="AT14" i="1"/>
  <c r="AR14" i="1"/>
  <c r="AS14" i="1"/>
  <c r="AX14" i="1"/>
  <c r="AW14" i="1"/>
  <c r="AV14" i="1"/>
  <c r="AU14" i="1"/>
  <c r="Q14" i="1"/>
  <c r="R14" i="1"/>
  <c r="T14" i="1"/>
  <c r="V14" i="1"/>
  <c r="BA14" i="1"/>
  <c r="AZ14" i="1"/>
  <c r="BE13" i="1"/>
  <c r="BF13" i="1"/>
  <c r="AR13" i="1"/>
  <c r="AS13" i="1"/>
  <c r="AT13" i="1"/>
  <c r="AX13" i="1"/>
  <c r="AW13" i="1"/>
  <c r="AV13" i="1"/>
  <c r="AU13" i="1"/>
  <c r="AZ13" i="1"/>
  <c r="V13" i="1"/>
  <c r="BA13" i="1"/>
  <c r="T13" i="1"/>
  <c r="R13" i="1"/>
  <c r="Q13" i="1"/>
  <c r="AR12" i="1"/>
  <c r="AY12" i="1" s="1"/>
  <c r="BA12" i="1"/>
  <c r="AZ12" i="1"/>
  <c r="R12" i="1"/>
  <c r="Q12" i="1"/>
  <c r="BT11" i="1"/>
  <c r="BG11" i="1"/>
  <c r="BE11" i="1"/>
  <c r="BV11" i="1"/>
  <c r="BS11" i="1"/>
  <c r="BR11" i="1"/>
  <c r="BF11" i="1"/>
  <c r="AU11" i="1"/>
  <c r="AX11" i="1"/>
  <c r="AW11" i="1"/>
  <c r="AV11" i="1"/>
  <c r="AT11" i="1"/>
  <c r="AS11" i="1"/>
  <c r="AR11" i="1"/>
  <c r="AY11" i="1" s="1"/>
  <c r="AZ11" i="1"/>
  <c r="BA11" i="1"/>
  <c r="W11" i="1"/>
  <c r="V11" i="1"/>
  <c r="U11" i="1"/>
  <c r="S11" i="1"/>
  <c r="R11" i="1"/>
  <c r="Q11" i="1"/>
  <c r="BG10" i="1"/>
  <c r="BT10" i="1"/>
  <c r="BS10" i="1"/>
  <c r="BR10" i="1"/>
  <c r="BU10" i="1" s="1"/>
  <c r="BE10" i="1"/>
  <c r="BF10" i="1"/>
  <c r="BV10" i="1"/>
  <c r="AS10" i="1"/>
  <c r="AX10" i="1"/>
  <c r="AW10" i="1"/>
  <c r="AV10" i="1"/>
  <c r="AU10" i="1"/>
  <c r="AT10" i="1"/>
  <c r="AR10" i="1"/>
  <c r="AY10" i="1" s="1"/>
  <c r="R10" i="1"/>
  <c r="V10" i="1"/>
  <c r="BA10" i="1"/>
  <c r="AZ10" i="1"/>
  <c r="Q10" i="1"/>
  <c r="BT9" i="1"/>
  <c r="BG9" i="1"/>
  <c r="BE9" i="1"/>
  <c r="BF9" i="1"/>
  <c r="BR9" i="1"/>
  <c r="BS9" i="1"/>
  <c r="BV9" i="1"/>
  <c r="AX9" i="1"/>
  <c r="AW9" i="1"/>
  <c r="AS9" i="1"/>
  <c r="AU9" i="1"/>
  <c r="AR9" i="1"/>
  <c r="AT9" i="1"/>
  <c r="AV9" i="1"/>
  <c r="BA9" i="1"/>
  <c r="AZ9" i="1"/>
  <c r="R9" i="1"/>
  <c r="V9" i="1"/>
  <c r="Q9" i="1"/>
  <c r="BE8" i="1"/>
  <c r="BF8" i="1"/>
  <c r="AU8" i="1"/>
  <c r="AX8" i="1"/>
  <c r="AZ8" i="1"/>
  <c r="BA8" i="1"/>
  <c r="AV8" i="1"/>
  <c r="AS8" i="1"/>
  <c r="AR8" i="1"/>
  <c r="W8" i="1"/>
  <c r="V8" i="1"/>
  <c r="AW8" i="1"/>
  <c r="S8" i="1"/>
  <c r="R8" i="1"/>
  <c r="Q8" i="1"/>
  <c r="AT8" i="1"/>
  <c r="U8" i="1"/>
  <c r="BG7" i="1"/>
  <c r="BT7" i="1"/>
  <c r="BS7" i="1"/>
  <c r="BR7" i="1"/>
  <c r="BU7" i="1" s="1"/>
  <c r="BF7" i="1"/>
  <c r="BE7" i="1"/>
  <c r="BV7" i="1"/>
  <c r="AZ7" i="1"/>
  <c r="BA7" i="1"/>
  <c r="AR7" i="1"/>
  <c r="AY7" i="1" s="1"/>
  <c r="Q7" i="1"/>
  <c r="R7" i="1"/>
  <c r="BG6" i="1"/>
  <c r="BT6" i="1"/>
  <c r="BS6" i="1"/>
  <c r="BR6" i="1"/>
  <c r="BU6" i="1" s="1"/>
  <c r="BV6" i="1"/>
  <c r="BF6" i="1"/>
  <c r="BE6" i="1"/>
  <c r="AU6" i="1"/>
  <c r="AR6" i="1"/>
  <c r="AS6" i="1"/>
  <c r="AT6" i="1"/>
  <c r="AX6" i="1"/>
  <c r="AW6" i="1"/>
  <c r="AV6" i="1"/>
  <c r="T6" i="1"/>
  <c r="AZ6" i="1"/>
  <c r="BA6" i="1"/>
  <c r="Q6" i="1"/>
  <c r="R6" i="1"/>
  <c r="V6" i="1"/>
  <c r="BG5" i="1"/>
  <c r="BT5" i="1"/>
  <c r="BF5" i="1"/>
  <c r="BE5" i="1"/>
  <c r="BV5" i="1"/>
  <c r="BS5" i="1"/>
  <c r="BR5" i="1"/>
  <c r="AW5" i="1"/>
  <c r="AX5" i="1"/>
  <c r="AV5" i="1"/>
  <c r="AU5" i="1"/>
  <c r="AT5" i="1"/>
  <c r="AS5" i="1"/>
  <c r="AR5" i="1"/>
  <c r="T5" i="1"/>
  <c r="V5" i="1"/>
  <c r="AZ5" i="1"/>
  <c r="BA5" i="1"/>
  <c r="Q5" i="1"/>
  <c r="R5" i="1"/>
  <c r="AY13" i="1" l="1"/>
  <c r="BB13" i="1" s="1"/>
  <c r="BL13" i="1" s="1"/>
  <c r="BM13" i="1" s="1"/>
  <c r="BU16" i="1"/>
  <c r="BU14" i="1"/>
  <c r="BU11" i="1"/>
  <c r="AY9" i="1"/>
  <c r="BB9" i="1" s="1"/>
  <c r="BL9" i="1" s="1"/>
  <c r="BM9" i="1" s="1"/>
  <c r="BH7" i="1"/>
  <c r="BU5" i="1"/>
  <c r="BB11" i="1"/>
  <c r="BL11" i="1" s="1"/>
  <c r="AY15" i="1"/>
  <c r="BB15" i="1" s="1"/>
  <c r="BL15" i="1" s="1"/>
  <c r="AY6" i="1"/>
  <c r="BB6" i="1" s="1"/>
  <c r="BL6" i="1" s="1"/>
  <c r="BM6" i="1" s="1"/>
  <c r="AY16" i="1"/>
  <c r="BB16" i="1" s="1"/>
  <c r="BL16" i="1" s="1"/>
  <c r="BM16" i="1" s="1"/>
  <c r="AY14" i="1"/>
  <c r="BB14" i="1" s="1"/>
  <c r="BL14" i="1" s="1"/>
  <c r="BM14" i="1" s="1"/>
  <c r="BB10" i="1"/>
  <c r="BL10" i="1" s="1"/>
  <c r="AY5" i="1"/>
  <c r="BB5" i="1" s="1"/>
  <c r="BL5" i="1" s="1"/>
  <c r="BI16" i="1"/>
  <c r="BH16" i="1"/>
  <c r="BI15" i="1"/>
  <c r="BH15" i="1"/>
  <c r="BH14" i="1"/>
  <c r="BI14" i="1"/>
  <c r="BH13" i="1"/>
  <c r="BI13" i="1"/>
  <c r="BH6" i="1"/>
  <c r="BI6" i="1"/>
  <c r="BH5" i="1"/>
  <c r="BI5" i="1"/>
  <c r="BB12" i="1"/>
  <c r="BH11" i="1"/>
  <c r="BH10" i="1"/>
  <c r="AY8" i="1"/>
  <c r="BB8" i="1" s="1"/>
  <c r="BH9" i="1"/>
  <c r="BU9" i="1"/>
  <c r="BH8" i="1"/>
  <c r="BB7" i="1"/>
  <c r="BM5" i="1" l="1"/>
  <c r="BL12" i="1"/>
  <c r="BM12" i="1" s="1"/>
  <c r="BP12" i="1" s="1"/>
  <c r="BQ12" i="1" s="1"/>
  <c r="BW12" i="1" s="1"/>
  <c r="BL8" i="1"/>
  <c r="BM8" i="1" s="1"/>
  <c r="BP8" i="1" s="1"/>
  <c r="BQ8" i="1" s="1"/>
  <c r="BW8" i="1" s="1"/>
  <c r="BL7" i="1"/>
  <c r="BM7" i="1" s="1"/>
  <c r="BP7" i="1" s="1"/>
  <c r="BQ7" i="1" s="1"/>
  <c r="BW7" i="1" s="1"/>
  <c r="BP13" i="1"/>
  <c r="BQ13" i="1" s="1"/>
  <c r="BW13" i="1" s="1"/>
  <c r="BM11" i="1"/>
  <c r="BP11" i="1" s="1"/>
  <c r="BQ11" i="1" s="1"/>
  <c r="BW11" i="1" s="1"/>
  <c r="BM10" i="1"/>
  <c r="BP10" i="1" s="1"/>
  <c r="BQ10" i="1" s="1"/>
  <c r="BW10" i="1" s="1"/>
  <c r="BP6" i="1"/>
  <c r="BQ6" i="1" s="1"/>
  <c r="BW6" i="1" s="1"/>
  <c r="BP9" i="1"/>
  <c r="BQ9" i="1" s="1"/>
  <c r="BW9" i="1" s="1"/>
  <c r="BM15" i="1"/>
  <c r="BP15" i="1" s="1"/>
  <c r="BQ15" i="1" s="1"/>
  <c r="BW15" i="1" s="1"/>
  <c r="BP14" i="1"/>
  <c r="BQ14" i="1" s="1"/>
  <c r="BW14" i="1" s="1"/>
  <c r="BP5" i="1"/>
  <c r="BQ5" i="1" s="1"/>
  <c r="BW5" i="1" s="1"/>
  <c r="BP16" i="1"/>
  <c r="BQ16" i="1" s="1"/>
  <c r="BW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Kieu Thi Ngoc Tram</author>
    <author>tc={39AC4FC3-4952-4066-8A25-EB59F6039E05}</author>
  </authors>
  <commentList>
    <comment ref="BL5" authorId="0" shapeId="0" xr:uid="{56EA0CF0-CD8C-BA49-A619-F0851194FA33}">
      <text>
        <r>
          <rPr>
            <b/>
            <sz val="9"/>
            <color rgb="FF000000"/>
            <rFont val="Tahoma"/>
            <family val="2"/>
          </rPr>
          <t>Kieu Thi Ngoc Tram: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E8" authorId="1" shapeId="0" xr:uid="{A5038207-BC8D-4E43-9EE7-527BDFF1145E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TS</t>
        </r>
      </text>
    </comment>
  </commentList>
</comments>
</file>

<file path=xl/sharedStrings.xml><?xml version="1.0" encoding="utf-8"?>
<sst xmlns="http://schemas.openxmlformats.org/spreadsheetml/2006/main" count="162" uniqueCount="115">
  <si>
    <t>Actual Basic salary</t>
  </si>
  <si>
    <t>Other Income</t>
  </si>
  <si>
    <t>Bonus - STIP</t>
  </si>
  <si>
    <t>Adjustment</t>
  </si>
  <si>
    <t>Actual Total Income</t>
  </si>
  <si>
    <t>Social Ins. - 8%</t>
  </si>
  <si>
    <t>Medical Ins. - 1.5%</t>
  </si>
  <si>
    <t>Unemployment Ins. - 1 %</t>
  </si>
  <si>
    <t>Monthly PIT</t>
  </si>
  <si>
    <t>Other Deduction</t>
  </si>
  <si>
    <t>Net Pay</t>
  </si>
  <si>
    <t>Base Salary</t>
  </si>
  <si>
    <t>OT 2 Hours</t>
  </si>
  <si>
    <t>Total Overtime Amount</t>
  </si>
  <si>
    <t>Dependent Amount</t>
  </si>
  <si>
    <t>Medical Ins. - 3%</t>
  </si>
  <si>
    <t>Unempt Ins. - 1%</t>
  </si>
  <si>
    <t>SI-HI-IU Total 10.5%</t>
  </si>
  <si>
    <t>Taxable Income</t>
  </si>
  <si>
    <t>SI-HI-UI Total 21.5%</t>
  </si>
  <si>
    <t>Total Cost to Employer</t>
  </si>
  <si>
    <t>Salary for SI</t>
  </si>
  <si>
    <t>Salary for UI</t>
  </si>
  <si>
    <t>Sales Incentive</t>
  </si>
  <si>
    <t>OT 1.5 Hours</t>
  </si>
  <si>
    <t>OT 3 Hours</t>
  </si>
  <si>
    <t>Other Bonus</t>
  </si>
  <si>
    <t>Reimbursement Payment</t>
  </si>
  <si>
    <t>Marsh Insurance refund (Non-tax)</t>
  </si>
  <si>
    <t>Recognition Bonus</t>
  </si>
  <si>
    <t>Employee Trade Union</t>
  </si>
  <si>
    <t>TU Participation</t>
  </si>
  <si>
    <t>YES</t>
  </si>
  <si>
    <t>Social Ins. - 17.5%</t>
  </si>
  <si>
    <t>Trade Union ER 2%</t>
  </si>
  <si>
    <t>0509</t>
  </si>
  <si>
    <t>11094</t>
  </si>
  <si>
    <t>11358</t>
  </si>
  <si>
    <t>4047</t>
  </si>
  <si>
    <t>9200</t>
  </si>
  <si>
    <t>9240</t>
  </si>
  <si>
    <t>9260</t>
  </si>
  <si>
    <t>9100</t>
  </si>
  <si>
    <t>9420</t>
  </si>
  <si>
    <t>Location</t>
  </si>
  <si>
    <t>La Nga</t>
  </si>
  <si>
    <t>HCM</t>
  </si>
  <si>
    <t>Taxi allowance</t>
  </si>
  <si>
    <t>OT Ngiht shift Holiday</t>
  </si>
  <si>
    <t>OT 1.5 Amount</t>
  </si>
  <si>
    <t>OT 2 Amount</t>
  </si>
  <si>
    <t>OT 3 Amount</t>
  </si>
  <si>
    <t>Night shif amount</t>
  </si>
  <si>
    <t>OT Night shift  wk day amount</t>
  </si>
  <si>
    <t>OT Night shift off day amount</t>
  </si>
  <si>
    <t>OT Ngiht shift Holiday amount</t>
  </si>
  <si>
    <t>LONG LEAVE</t>
  </si>
  <si>
    <t>Gas Allowance</t>
  </si>
  <si>
    <t>Phone Allowance</t>
  </si>
  <si>
    <t>Meal Allowance</t>
  </si>
  <si>
    <t>Responsibility Alowance</t>
  </si>
  <si>
    <t>Parking Allowance</t>
  </si>
  <si>
    <t>Actual Phone Amount</t>
  </si>
  <si>
    <t>Actual Meal</t>
  </si>
  <si>
    <t>Actual Responsibility</t>
  </si>
  <si>
    <t>Actual Parking</t>
  </si>
  <si>
    <t>Actual Taxi allowance</t>
  </si>
  <si>
    <t>Employee Code</t>
  </si>
  <si>
    <t>Employee Name</t>
  </si>
  <si>
    <t>Date of Joining</t>
  </si>
  <si>
    <t>Employee Status</t>
  </si>
  <si>
    <t>Last Working Day</t>
  </si>
  <si>
    <t>Standard Working Hour</t>
  </si>
  <si>
    <t>Actual Working Hours including Paid leave</t>
  </si>
  <si>
    <t>Actual Working Hours excluding paid leave</t>
  </si>
  <si>
    <t>Actual Gas Allowance</t>
  </si>
  <si>
    <t>Paid Leave Unused</t>
  </si>
  <si>
    <t>SHUI Participation</t>
  </si>
  <si>
    <t>Thirteenth Month Salary</t>
  </si>
  <si>
    <t>Severance Allowance</t>
  </si>
  <si>
    <t>OT Night shift  week day</t>
  </si>
  <si>
    <t>OT Night shift weekend day</t>
  </si>
  <si>
    <t>OT Taxable</t>
  </si>
  <si>
    <t>Number of Dependents</t>
  </si>
  <si>
    <t>Night shift hour</t>
  </si>
  <si>
    <t>OT Non-Taxable</t>
  </si>
  <si>
    <t>Taxable Income after deduction</t>
  </si>
  <si>
    <t>Total Deduction</t>
  </si>
  <si>
    <t>Cost center for Payroll</t>
  </si>
  <si>
    <t>NGUYỄN THỤC NGUYÊN</t>
  </si>
  <si>
    <t>NGUYỄN THÀNH CÔNG</t>
  </si>
  <si>
    <t>TRẦN HUY VŨ</t>
  </si>
  <si>
    <t>11156</t>
  </si>
  <si>
    <t>TRẦN THỊ BÍCH LOAN</t>
  </si>
  <si>
    <t>TRƯƠNG HỒNG ĐIỆP</t>
  </si>
  <si>
    <t>11485</t>
  </si>
  <si>
    <t>PHẠM THỊ LOAN</t>
  </si>
  <si>
    <t>11665</t>
  </si>
  <si>
    <t>PHẠM NGUYỄN HỒNG PHÚC</t>
  </si>
  <si>
    <t>RESIGNEE</t>
  </si>
  <si>
    <t>11660</t>
  </si>
  <si>
    <t>Huỳnh Thị Thu Hảo</t>
  </si>
  <si>
    <t>NO</t>
  </si>
  <si>
    <t>11666</t>
  </si>
  <si>
    <t>TRỊNH HỮU THẮNG</t>
  </si>
  <si>
    <t>11670</t>
  </si>
  <si>
    <t>TRẦN MẠNH HẢI</t>
  </si>
  <si>
    <t>11671</t>
  </si>
  <si>
    <t>NGUYỄN THỊ PHƯƠNG THẢO</t>
  </si>
  <si>
    <t>11672</t>
  </si>
  <si>
    <t>TRAN TUAN</t>
  </si>
  <si>
    <t>NEW HIIRE</t>
  </si>
  <si>
    <t>200</t>
  </si>
  <si>
    <t>203</t>
  </si>
  <si>
    <t>Basic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</si>
</sst>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0_);[Red]_(* \(#,##0.00\);_(* &quot;-&quot;??_);_(@_)"/>
    <numFmt numFmtId="166" formatCode="_(* #,##0_);[Red]_(* \(#,##0\);_(* &quot;-&quot;??_);_(@_)"/>
    <numFmt numFmtId="167" formatCode="_(* #,##0_);_(* \(#,##0\);_(* &quot;-&quot;??_);_(@_)"/>
    <numFmt numFmtId="168" formatCode="_(* #,##0.0_);[Red]_(* \(#,##0.0\);_(* &quot;-&quot;??_);_(@_)"/>
    <numFmt numFmtId="169" formatCode="[$-409]dd\-mmm\-yy;@"/>
    <numFmt numFmtId="170" formatCode="[$-409]d\-mmm\-yyyy;@"/>
    <numFmt numFmtId="171" formatCode="#,##0.0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b/>
      <sz val="9"/>
      <color rgb="FF0070C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Arial"/>
      <family val="2"/>
    </font>
    <font>
      <sz val="10"/>
      <name val="VNI-Times"/>
    </font>
    <font>
      <sz val="10"/>
      <name val="VNI-Avo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9">
    <xf numFmtId="0" fontId="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</cellStyleXfs>
  <cellXfs count="58">
    <xf numFmtId="0" fontId="0" fillId="0" borderId="0" xfId="0" applyNumberFormat="1" applyFont="1" applyFill="1" applyBorder="1" applyAlignment="1"/>
    <xf numFmtId="167" fontId="6" fillId="2" borderId="0" xfId="2" applyNumberFormat="1" applyFont="1" applyFill="1" applyBorder="1" applyAlignment="1">
      <alignment horizontal="center" vertical="center" wrapText="1"/>
    </xf>
    <xf numFmtId="43" fontId="6" fillId="2" borderId="0" xfId="2" applyFont="1" applyFill="1" applyBorder="1" applyAlignment="1">
      <alignment horizontal="center" vertical="center"/>
    </xf>
    <xf numFmtId="164" fontId="13" fillId="0" borderId="0" xfId="0" applyNumberFormat="1" applyFont="1" applyFill="1" applyBorder="1" applyAlignment="1">
      <alignment horizontal="center"/>
    </xf>
    <xf numFmtId="164" fontId="13" fillId="0" borderId="0" xfId="0" applyNumberFormat="1" applyFont="1" applyFill="1" applyBorder="1" applyAlignment="1"/>
    <xf numFmtId="168" fontId="13" fillId="0" borderId="0" xfId="0" applyNumberFormat="1" applyFont="1" applyFill="1" applyBorder="1" applyAlignment="1"/>
    <xf numFmtId="164" fontId="14" fillId="0" borderId="0" xfId="0" applyNumberFormat="1" applyFont="1" applyFill="1" applyBorder="1" applyAlignment="1"/>
    <xf numFmtId="164" fontId="14" fillId="0" borderId="0" xfId="0" applyNumberFormat="1" applyFont="1" applyFill="1" applyBorder="1" applyAlignment="1">
      <alignment wrapText="1"/>
    </xf>
    <xf numFmtId="0" fontId="13" fillId="3" borderId="0" xfId="0" applyNumberFormat="1" applyFont="1" applyFill="1" applyBorder="1" applyAlignment="1" applyProtection="1">
      <alignment horizontal="center" vertical="center" wrapText="1"/>
      <protection locked="0"/>
    </xf>
    <xf numFmtId="14" fontId="13" fillId="3" borderId="0" xfId="0" applyNumberFormat="1" applyFont="1" applyFill="1" applyBorder="1" applyAlignment="1" applyProtection="1">
      <alignment horizontal="center" vertical="center" wrapText="1"/>
      <protection locked="0"/>
    </xf>
    <xf numFmtId="168" fontId="13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13" fillId="3" borderId="0" xfId="1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164" fontId="13" fillId="0" borderId="0" xfId="1" applyNumberFormat="1" applyFont="1" applyFill="1" applyBorder="1" applyAlignment="1" applyProtection="1">
      <alignment horizontal="center"/>
      <protection locked="0"/>
    </xf>
    <xf numFmtId="164" fontId="13" fillId="0" borderId="0" xfId="1" applyNumberFormat="1" applyFont="1" applyFill="1" applyBorder="1" applyAlignment="1" applyProtection="1">
      <alignment horizontal="left"/>
      <protection locked="0"/>
    </xf>
    <xf numFmtId="169" fontId="13" fillId="0" borderId="0" xfId="1" applyNumberFormat="1" applyFont="1" applyFill="1" applyBorder="1" applyAlignment="1" applyProtection="1">
      <alignment horizontal="center"/>
      <protection locked="0"/>
    </xf>
    <xf numFmtId="2" fontId="13" fillId="0" borderId="0" xfId="1" applyNumberFormat="1" applyFont="1" applyFill="1" applyBorder="1" applyAlignment="1" applyProtection="1">
      <alignment horizontal="center"/>
      <protection locked="0"/>
    </xf>
    <xf numFmtId="170" fontId="13" fillId="0" borderId="0" xfId="7" applyNumberFormat="1" applyFont="1" applyFill="1" applyBorder="1" applyAlignment="1" applyProtection="1">
      <alignment horizontal="center"/>
      <protection locked="0"/>
    </xf>
    <xf numFmtId="37" fontId="13" fillId="0" borderId="0" xfId="7" applyNumberFormat="1" applyFont="1" applyFill="1" applyBorder="1" applyAlignment="1" applyProtection="1">
      <alignment horizontal="left"/>
      <protection locked="0"/>
    </xf>
    <xf numFmtId="3" fontId="13" fillId="0" borderId="0" xfId="1" applyNumberFormat="1" applyFont="1" applyFill="1" applyBorder="1" applyAlignment="1" applyProtection="1">
      <alignment horizontal="right"/>
      <protection locked="0"/>
    </xf>
    <xf numFmtId="171" fontId="13" fillId="0" borderId="0" xfId="1" applyNumberFormat="1" applyFont="1" applyFill="1" applyBorder="1" applyAlignment="1" applyProtection="1">
      <alignment horizontal="right"/>
      <protection locked="0"/>
    </xf>
    <xf numFmtId="168" fontId="13" fillId="0" borderId="0" xfId="1" applyNumberFormat="1" applyFont="1" applyFill="1" applyBorder="1" applyAlignment="1" applyProtection="1">
      <alignment horizontal="right"/>
      <protection locked="0"/>
    </xf>
    <xf numFmtId="3" fontId="13" fillId="0" borderId="0" xfId="1" applyNumberFormat="1" applyFont="1" applyFill="1" applyBorder="1" applyAlignment="1" applyProtection="1">
      <alignment horizontal="center"/>
      <protection locked="0"/>
    </xf>
    <xf numFmtId="167" fontId="17" fillId="0" borderId="1" xfId="4" quotePrefix="1" applyNumberFormat="1" applyFont="1" applyFill="1" applyBorder="1" applyAlignment="1">
      <alignment horizontal="center" vertical="center"/>
    </xf>
    <xf numFmtId="166" fontId="13" fillId="0" borderId="0" xfId="1" applyNumberFormat="1" applyFont="1" applyFill="1" applyBorder="1" applyAlignment="1"/>
    <xf numFmtId="164" fontId="13" fillId="0" borderId="0" xfId="1" applyNumberFormat="1" applyFont="1" applyFill="1" applyBorder="1" applyAlignment="1"/>
    <xf numFmtId="3" fontId="13" fillId="0" borderId="0" xfId="0" applyNumberFormat="1" applyFont="1" applyFill="1" applyAlignment="1" applyProtection="1">
      <alignment horizontal="right"/>
      <protection locked="0"/>
    </xf>
    <xf numFmtId="3" fontId="13" fillId="0" borderId="0" xfId="1" quotePrefix="1" applyNumberFormat="1" applyFont="1" applyFill="1" applyBorder="1" applyAlignment="1" applyProtection="1">
      <alignment horizontal="right"/>
      <protection locked="0"/>
    </xf>
    <xf numFmtId="167" fontId="13" fillId="0" borderId="0" xfId="2" applyNumberFormat="1" applyFont="1" applyFill="1" applyBorder="1"/>
    <xf numFmtId="9" fontId="13" fillId="0" borderId="0" xfId="3" applyFont="1" applyFill="1" applyBorder="1"/>
    <xf numFmtId="164" fontId="13" fillId="0" borderId="0" xfId="0" applyNumberFormat="1" applyFont="1" applyFill="1" applyAlignment="1">
      <alignment horizontal="center"/>
    </xf>
    <xf numFmtId="164" fontId="13" fillId="0" borderId="0" xfId="0" applyNumberFormat="1" applyFont="1" applyFill="1"/>
    <xf numFmtId="169" fontId="13" fillId="0" borderId="0" xfId="0" applyNumberFormat="1" applyFont="1" applyFill="1" applyAlignment="1" applyProtection="1">
      <alignment horizontal="center"/>
      <protection locked="0"/>
    </xf>
    <xf numFmtId="171" fontId="13" fillId="0" borderId="0" xfId="0" applyNumberFormat="1" applyFont="1" applyFill="1" applyAlignment="1" applyProtection="1">
      <alignment horizontal="right"/>
      <protection locked="0"/>
    </xf>
    <xf numFmtId="168" fontId="13" fillId="0" borderId="0" xfId="0" applyNumberFormat="1" applyFont="1" applyFill="1" applyAlignment="1" applyProtection="1">
      <alignment horizontal="right"/>
      <protection locked="0"/>
    </xf>
    <xf numFmtId="164" fontId="13" fillId="0" borderId="0" xfId="1" applyNumberFormat="1" applyFont="1" applyFill="1" applyBorder="1" applyAlignment="1">
      <alignment horizontal="center"/>
    </xf>
    <xf numFmtId="170" fontId="13" fillId="0" borderId="0" xfId="1" applyNumberFormat="1" applyFont="1" applyFill="1" applyBorder="1" applyAlignment="1"/>
    <xf numFmtId="164" fontId="13" fillId="0" borderId="0" xfId="1" applyNumberFormat="1" applyFont="1" applyFill="1" applyBorder="1" applyAlignment="1">
      <alignment horizontal="left"/>
    </xf>
    <xf numFmtId="0" fontId="12" fillId="0" borderId="0" xfId="1" applyFont="1" applyFill="1"/>
    <xf numFmtId="164" fontId="13" fillId="4" borderId="0" xfId="1" applyNumberFormat="1" applyFont="1" applyFill="1" applyBorder="1" applyAlignment="1" applyProtection="1">
      <alignment horizontal="center"/>
      <protection locked="0"/>
    </xf>
    <xf numFmtId="164" fontId="13" fillId="4" borderId="0" xfId="1" applyNumberFormat="1" applyFont="1" applyFill="1" applyBorder="1" applyAlignment="1" applyProtection="1">
      <alignment horizontal="left"/>
      <protection locked="0"/>
    </xf>
    <xf numFmtId="169" fontId="13" fillId="4" borderId="0" xfId="1" applyNumberFormat="1" applyFont="1" applyFill="1" applyBorder="1" applyAlignment="1" applyProtection="1">
      <alignment horizontal="center"/>
      <protection locked="0"/>
    </xf>
    <xf numFmtId="2" fontId="13" fillId="4" borderId="0" xfId="1" applyNumberFormat="1" applyFont="1" applyFill="1" applyBorder="1" applyAlignment="1" applyProtection="1">
      <alignment horizontal="center"/>
      <protection locked="0"/>
    </xf>
    <xf numFmtId="170" fontId="13" fillId="4" borderId="0" xfId="7" applyNumberFormat="1" applyFont="1" applyFill="1" applyBorder="1" applyAlignment="1" applyProtection="1">
      <alignment horizontal="center"/>
      <protection locked="0"/>
    </xf>
    <xf numFmtId="37" fontId="13" fillId="4" borderId="0" xfId="7" applyNumberFormat="1" applyFont="1" applyFill="1" applyBorder="1" applyAlignment="1" applyProtection="1">
      <alignment horizontal="left"/>
      <protection locked="0"/>
    </xf>
    <xf numFmtId="3" fontId="13" fillId="4" borderId="0" xfId="1" applyNumberFormat="1" applyFont="1" applyFill="1" applyBorder="1" applyAlignment="1" applyProtection="1">
      <alignment horizontal="right"/>
      <protection locked="0"/>
    </xf>
    <xf numFmtId="171" fontId="13" fillId="4" borderId="0" xfId="1" applyNumberFormat="1" applyFont="1" applyFill="1" applyBorder="1" applyAlignment="1" applyProtection="1">
      <alignment horizontal="right"/>
      <protection locked="0"/>
    </xf>
    <xf numFmtId="168" fontId="13" fillId="4" borderId="0" xfId="1" applyNumberFormat="1" applyFont="1" applyFill="1" applyBorder="1" applyAlignment="1" applyProtection="1">
      <alignment horizontal="right"/>
      <protection locked="0"/>
    </xf>
    <xf numFmtId="3" fontId="13" fillId="4" borderId="0" xfId="1" applyNumberFormat="1" applyFont="1" applyFill="1" applyBorder="1" applyAlignment="1" applyProtection="1">
      <alignment horizontal="center"/>
      <protection locked="0"/>
    </xf>
    <xf numFmtId="167" fontId="17" fillId="4" borderId="1" xfId="4" quotePrefix="1" applyNumberFormat="1" applyFont="1" applyFill="1" applyBorder="1" applyAlignment="1">
      <alignment horizontal="center" vertical="center"/>
    </xf>
    <xf numFmtId="166" fontId="13" fillId="4" borderId="0" xfId="1" applyNumberFormat="1" applyFont="1" applyFill="1" applyBorder="1" applyAlignment="1"/>
    <xf numFmtId="164" fontId="13" fillId="4" borderId="0" xfId="1" applyNumberFormat="1" applyFont="1" applyFill="1" applyBorder="1" applyAlignment="1"/>
    <xf numFmtId="3" fontId="13" fillId="4" borderId="0" xfId="0" applyNumberFormat="1" applyFont="1" applyFill="1" applyAlignment="1" applyProtection="1">
      <alignment horizontal="right"/>
      <protection locked="0"/>
    </xf>
    <xf numFmtId="3" fontId="13" fillId="4" borderId="0" xfId="1" quotePrefix="1" applyNumberFormat="1" applyFont="1" applyFill="1" applyBorder="1" applyAlignment="1" applyProtection="1">
      <alignment horizontal="right"/>
      <protection locked="0"/>
    </xf>
    <xf numFmtId="0" fontId="14" fillId="5" borderId="0" xfId="0" applyFont="1" applyFill="1" applyAlignment="1">
      <alignment horizontal="center"/>
    </xf>
  </cellXfs>
  <cellStyles count="9">
    <cellStyle name="Comma" xfId="4" builtinId="3"/>
    <cellStyle name="Comma 2" xfId="7" xr:uid="{721AEF18-66E5-46BC-9C73-621D47D5176F}"/>
    <cellStyle name="Comma 2 4" xfId="2" xr:uid="{00000000-0005-0000-0000-000001000000}"/>
    <cellStyle name="Normal" xfId="0" builtinId="0"/>
    <cellStyle name="Normal 13" xfId="6" xr:uid="{0F105D26-844F-4140-BEF1-5FD4006E425B}"/>
    <cellStyle name="Normal 2" xfId="1" xr:uid="{00000000-0005-0000-0000-000003000000}"/>
    <cellStyle name="Normal 2 3" xfId="5" xr:uid="{1412EA77-4434-4EC0-A563-BF493D788FEB}"/>
    <cellStyle name="Normal 3" xfId="8" xr:uid="{D7F1FB5C-720F-43E6-B322-DAF820000979}"/>
    <cellStyle name="Percent 2" xfId="3" xr:uid="{00000000-0005-0000-0000-00000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99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-0.249977111117893"/>
  </sheetPr>
  <dimension ref="A2:CA16"/>
  <sheetViews>
    <sheetView tabSelected="1" zoomScale="140" zoomScaleNormal="140" workbookViewId="0">
      <pane xSplit="2" ySplit="1" topLeftCell="P2" activePane="bottomRight" state="frozen"/>
      <selection pane="topRight" activeCell="C1" sqref="C1"/>
      <selection pane="bottomLeft" activeCell="A7" sqref="A7"/>
      <selection pane="bottomRight" activeCell="P23" sqref="P23"/>
    </sheetView>
  </sheetViews>
  <sheetFormatPr baseColWidth="10" defaultColWidth="9.33203125" defaultRowHeight="12"/>
  <cols>
    <col min="1" max="1" width="12.33203125" style="3" bestFit="1" customWidth="1"/>
    <col min="2" max="2" width="25.5" style="4" bestFit="1" customWidth="1"/>
    <col min="3" max="5" width="16.6640625" style="4" customWidth="1"/>
    <col min="6" max="6" width="19.83203125" style="3" customWidth="1"/>
    <col min="7" max="7" width="18" style="4" bestFit="1" customWidth="1"/>
    <col min="8" max="14" width="13.33203125" style="4" customWidth="1"/>
    <col min="15" max="15" width="13.33203125" style="5" bestFit="1" customWidth="1"/>
    <col min="16" max="16" width="13.33203125" style="5" customWidth="1"/>
    <col min="17" max="17" width="26.5" style="4" bestFit="1" customWidth="1"/>
    <col min="18" max="31" width="13.33203125" style="4" customWidth="1"/>
    <col min="32" max="32" width="14" style="4" customWidth="1"/>
    <col min="33" max="33" width="13.33203125" style="4" customWidth="1"/>
    <col min="34" max="34" width="14.5" style="4" bestFit="1" customWidth="1"/>
    <col min="35" max="43" width="13.33203125" style="4" customWidth="1"/>
    <col min="44" max="44" width="15.5" style="4" bestFit="1" customWidth="1"/>
    <col min="45" max="50" width="13.33203125" style="4" customWidth="1"/>
    <col min="51" max="51" width="18.6640625" style="4" bestFit="1" customWidth="1"/>
    <col min="52" max="53" width="18.6640625" style="4" customWidth="1"/>
    <col min="54" max="54" width="17.83203125" style="4" bestFit="1" customWidth="1"/>
    <col min="55" max="56" width="14.6640625" style="4" hidden="1" customWidth="1"/>
    <col min="57" max="60" width="13.33203125" style="4" customWidth="1"/>
    <col min="61" max="61" width="14" style="4" customWidth="1"/>
    <col min="62" max="62" width="13.33203125" style="4" customWidth="1"/>
    <col min="63" max="63" width="14" style="4" customWidth="1"/>
    <col min="64" max="64" width="16.6640625" style="4" customWidth="1"/>
    <col min="65" max="66" width="14" style="4" customWidth="1"/>
    <col min="67" max="67" width="13.33203125" style="4" customWidth="1"/>
    <col min="68" max="68" width="14" style="4" customWidth="1"/>
    <col min="69" max="69" width="18.83203125" style="4" customWidth="1"/>
    <col min="70" max="72" width="13.33203125" style="4" customWidth="1"/>
    <col min="73" max="73" width="14" style="4" customWidth="1"/>
    <col min="74" max="74" width="13.33203125" style="4" customWidth="1"/>
    <col min="75" max="75" width="14.6640625" style="4" customWidth="1"/>
    <col min="76" max="76" width="14" style="4" customWidth="1"/>
    <col min="77" max="77" width="13.83203125" style="4" customWidth="1"/>
    <col min="78" max="78" width="18.1640625" style="4" customWidth="1"/>
    <col min="79" max="79" width="15.5" style="4" customWidth="1"/>
    <col min="80" max="80" width="15.83203125" style="4" bestFit="1" customWidth="1"/>
    <col min="81" max="81" width="14.5" style="4" bestFit="1" customWidth="1"/>
    <col min="82" max="16384" width="9.33203125" style="4"/>
  </cols>
  <sheetData>
    <row r="2" spans="1:79" ht="15">
      <c r="H2" s="6"/>
      <c r="I2" s="6"/>
      <c r="J2" s="6"/>
      <c r="K2" s="6"/>
      <c r="L2" s="6"/>
      <c r="M2" s="6"/>
      <c r="Q2" s="6"/>
      <c r="S2" s="7"/>
      <c r="T2" s="7"/>
      <c r="U2" s="7"/>
    </row>
    <row r="3" spans="1:79" ht="15">
      <c r="A3" s="57" t="s">
        <v>114</v>
      </c>
      <c r="B3" s="57"/>
      <c r="C3" s="57"/>
      <c r="D3" s="57"/>
      <c r="E3" s="57"/>
      <c r="F3" s="57"/>
    </row>
    <row r="4" spans="1:79" ht="39">
      <c r="A4" s="8" t="s">
        <v>67</v>
      </c>
      <c r="B4" s="8" t="s">
        <v>68</v>
      </c>
      <c r="C4" s="9" t="s">
        <v>69</v>
      </c>
      <c r="D4" s="9" t="s">
        <v>70</v>
      </c>
      <c r="E4" s="9" t="s">
        <v>71</v>
      </c>
      <c r="F4" s="8" t="s">
        <v>44</v>
      </c>
      <c r="G4" s="11" t="s">
        <v>11</v>
      </c>
      <c r="H4" s="11" t="s">
        <v>57</v>
      </c>
      <c r="I4" s="11" t="s">
        <v>58</v>
      </c>
      <c r="J4" s="11" t="s">
        <v>59</v>
      </c>
      <c r="K4" s="11" t="s">
        <v>60</v>
      </c>
      <c r="L4" s="11" t="s">
        <v>61</v>
      </c>
      <c r="M4" s="11" t="s">
        <v>47</v>
      </c>
      <c r="N4" s="8" t="s">
        <v>72</v>
      </c>
      <c r="O4" s="10" t="s">
        <v>73</v>
      </c>
      <c r="P4" s="10" t="s">
        <v>74</v>
      </c>
      <c r="Q4" s="10" t="s">
        <v>0</v>
      </c>
      <c r="R4" s="10" t="s">
        <v>75</v>
      </c>
      <c r="S4" s="10" t="s">
        <v>62</v>
      </c>
      <c r="T4" s="10" t="s">
        <v>63</v>
      </c>
      <c r="U4" s="10" t="s">
        <v>64</v>
      </c>
      <c r="V4" s="10" t="s">
        <v>65</v>
      </c>
      <c r="W4" s="10" t="s">
        <v>66</v>
      </c>
      <c r="X4" s="11" t="s">
        <v>29</v>
      </c>
      <c r="Y4" s="11" t="s">
        <v>1</v>
      </c>
      <c r="Z4" s="11" t="s">
        <v>76</v>
      </c>
      <c r="AA4" s="11" t="s">
        <v>26</v>
      </c>
      <c r="AB4" s="11" t="s">
        <v>2</v>
      </c>
      <c r="AC4" s="11" t="s">
        <v>28</v>
      </c>
      <c r="AD4" s="11" t="s">
        <v>3</v>
      </c>
      <c r="AE4" s="11" t="s">
        <v>77</v>
      </c>
      <c r="AF4" s="11" t="s">
        <v>31</v>
      </c>
      <c r="AG4" s="11" t="s">
        <v>23</v>
      </c>
      <c r="AH4" s="11" t="s">
        <v>78</v>
      </c>
      <c r="AI4" s="11" t="s">
        <v>79</v>
      </c>
      <c r="AJ4" s="11" t="s">
        <v>27</v>
      </c>
      <c r="AK4" s="12" t="s">
        <v>24</v>
      </c>
      <c r="AL4" s="12" t="s">
        <v>12</v>
      </c>
      <c r="AM4" s="12" t="s">
        <v>25</v>
      </c>
      <c r="AN4" s="8" t="s">
        <v>84</v>
      </c>
      <c r="AO4" s="8" t="s">
        <v>80</v>
      </c>
      <c r="AP4" s="8" t="s">
        <v>81</v>
      </c>
      <c r="AQ4" s="8" t="s">
        <v>48</v>
      </c>
      <c r="AR4" s="12" t="s">
        <v>49</v>
      </c>
      <c r="AS4" s="12" t="s">
        <v>50</v>
      </c>
      <c r="AT4" s="12" t="s">
        <v>51</v>
      </c>
      <c r="AU4" s="12" t="s">
        <v>52</v>
      </c>
      <c r="AV4" s="12" t="s">
        <v>53</v>
      </c>
      <c r="AW4" s="12" t="s">
        <v>54</v>
      </c>
      <c r="AX4" s="12" t="s">
        <v>55</v>
      </c>
      <c r="AY4" s="12" t="s">
        <v>13</v>
      </c>
      <c r="AZ4" s="12" t="s">
        <v>85</v>
      </c>
      <c r="BA4" s="12" t="s">
        <v>82</v>
      </c>
      <c r="BB4" s="12" t="s">
        <v>4</v>
      </c>
      <c r="BC4" s="14" t="s">
        <v>21</v>
      </c>
      <c r="BD4" s="14" t="s">
        <v>22</v>
      </c>
      <c r="BE4" s="12" t="s">
        <v>5</v>
      </c>
      <c r="BF4" s="12" t="s">
        <v>6</v>
      </c>
      <c r="BG4" s="12" t="s">
        <v>7</v>
      </c>
      <c r="BH4" s="12" t="s">
        <v>17</v>
      </c>
      <c r="BI4" s="12" t="s">
        <v>30</v>
      </c>
      <c r="BJ4" s="8" t="s">
        <v>83</v>
      </c>
      <c r="BK4" s="12" t="s">
        <v>14</v>
      </c>
      <c r="BL4" s="13" t="s">
        <v>18</v>
      </c>
      <c r="BM4" s="14" t="s">
        <v>86</v>
      </c>
      <c r="BN4" s="12" t="s">
        <v>8</v>
      </c>
      <c r="BO4" s="11" t="s">
        <v>9</v>
      </c>
      <c r="BP4" s="14" t="s">
        <v>87</v>
      </c>
      <c r="BQ4" s="12" t="s">
        <v>10</v>
      </c>
      <c r="BR4" s="12" t="s">
        <v>33</v>
      </c>
      <c r="BS4" s="12" t="s">
        <v>15</v>
      </c>
      <c r="BT4" s="12" t="s">
        <v>16</v>
      </c>
      <c r="BU4" s="12" t="s">
        <v>19</v>
      </c>
      <c r="BV4" s="12" t="s">
        <v>34</v>
      </c>
      <c r="BW4" s="12" t="s">
        <v>20</v>
      </c>
      <c r="BX4" s="15" t="s">
        <v>88</v>
      </c>
      <c r="BY4" s="1"/>
      <c r="BZ4" s="1"/>
      <c r="CA4" s="2"/>
    </row>
    <row r="5" spans="1:79">
      <c r="A5" s="42" t="s">
        <v>36</v>
      </c>
      <c r="B5" s="43" t="s">
        <v>89</v>
      </c>
      <c r="C5" s="44">
        <v>43399</v>
      </c>
      <c r="D5" s="45"/>
      <c r="E5" s="46"/>
      <c r="F5" s="47" t="s">
        <v>46</v>
      </c>
      <c r="G5" s="48">
        <v>19510000</v>
      </c>
      <c r="H5" s="48">
        <v>1200000</v>
      </c>
      <c r="I5" s="48">
        <v>500000</v>
      </c>
      <c r="J5" s="48">
        <v>680000</v>
      </c>
      <c r="K5" s="48">
        <v>4890000</v>
      </c>
      <c r="L5" s="48">
        <v>400000</v>
      </c>
      <c r="M5" s="48">
        <v>500000</v>
      </c>
      <c r="N5" s="49" t="s">
        <v>112</v>
      </c>
      <c r="O5" s="50">
        <v>200</v>
      </c>
      <c r="P5" s="50">
        <v>192</v>
      </c>
      <c r="Q5" s="48">
        <f>ROUND(G5/N5*O5,0)</f>
        <v>19510000</v>
      </c>
      <c r="R5" s="48">
        <f t="shared" ref="R5:R16" si="0">H5/N5*P5</f>
        <v>1152000</v>
      </c>
      <c r="S5" s="48">
        <f>IF(ISBLANK(E5),I5,I5/N5*O5)</f>
        <v>500000</v>
      </c>
      <c r="T5" s="48">
        <f>IF(F5="La Nga",0,(J5/N5*P5))</f>
        <v>652800</v>
      </c>
      <c r="U5" s="48">
        <f t="shared" ref="U5:U16" si="1">IF(ISBLANK(E5),K5,IF(AE5="YES",K5/N5*P5,0))</f>
        <v>4890000</v>
      </c>
      <c r="V5" s="48">
        <f t="shared" ref="V5:V16" si="2">L5/N5*P5</f>
        <v>384000</v>
      </c>
      <c r="W5" s="48">
        <f t="shared" ref="W5:W16" si="3">IF(ISBLANK(E5),M5,M5/N5*O5)</f>
        <v>500000</v>
      </c>
      <c r="X5" s="48"/>
      <c r="Y5" s="48"/>
      <c r="Z5" s="48"/>
      <c r="AA5" s="48"/>
      <c r="AB5" s="48"/>
      <c r="AC5" s="48"/>
      <c r="AD5" s="48"/>
      <c r="AE5" s="51" t="s">
        <v>32</v>
      </c>
      <c r="AF5" s="48" t="s">
        <v>32</v>
      </c>
      <c r="AG5" s="48"/>
      <c r="AH5" s="48"/>
      <c r="AI5" s="48"/>
      <c r="AJ5" s="48"/>
      <c r="AK5" s="49"/>
      <c r="AL5" s="49"/>
      <c r="AM5" s="49"/>
      <c r="AN5" s="49"/>
      <c r="AO5" s="49"/>
      <c r="AP5" s="49"/>
      <c r="AQ5" s="49"/>
      <c r="AR5" s="48">
        <f t="shared" ref="AR5:AR16" si="4">IF(O5=0,0,($G5/$N5*AK5*150%))</f>
        <v>0</v>
      </c>
      <c r="AS5" s="48">
        <f t="shared" ref="AS5:AS16" si="5">IF(O5=0,0,($G5/$N5*AL5*200%))</f>
        <v>0</v>
      </c>
      <c r="AT5" s="48">
        <f t="shared" ref="AT5:AT16" si="6">IF(O5=0,0,($G5/$N5*AM5*300%))</f>
        <v>0</v>
      </c>
      <c r="AU5" s="48">
        <f t="shared" ref="AU5:AU16" si="7">IF(O5=0,0,($G5/$N5*AN5*30%))</f>
        <v>0</v>
      </c>
      <c r="AV5" s="48">
        <f t="shared" ref="AV5:AV16" si="8">IF(O5=0,0,($G5/$N5*AO5*210%))</f>
        <v>0</v>
      </c>
      <c r="AW5" s="48">
        <f t="shared" ref="AW5:AW16" si="9">IF(O5=0,0,($G5/$N5*AP5*270%))</f>
        <v>0</v>
      </c>
      <c r="AX5" s="48">
        <f t="shared" ref="AX5:AX16" si="10">IF(O5=0,0,($G5/$N5*AQ5*390%))</f>
        <v>0</v>
      </c>
      <c r="AY5" s="48">
        <f>IF(O5=0,0,(ROUND(SUM(AR5:AX5),0)))</f>
        <v>0</v>
      </c>
      <c r="AZ5" s="52">
        <f>ROUND(G5/N5*(AK5*0.5+AL5+AM5*2+AN5*0.3+AO5*1.1+AP5*1.7+AQ5*2.9),0)</f>
        <v>0</v>
      </c>
      <c r="BA5" s="52">
        <f>ROUND(G5/N5*SUM(AK5:AM5)+G5/N5*SUM(AO5:AQ5),0)</f>
        <v>0</v>
      </c>
      <c r="BB5" s="48">
        <f t="shared" ref="BB5:BB16" si="11">SUM(Q5:AJ5)+AY5</f>
        <v>27588800</v>
      </c>
      <c r="BC5" s="48">
        <f>IF(G5+K5&gt;46800000,46800000,G5+K5)</f>
        <v>24400000</v>
      </c>
      <c r="BD5" s="48">
        <f>IF(G5+K5&gt;88200000,88200000,G5+K5)</f>
        <v>24400000</v>
      </c>
      <c r="BE5" s="48">
        <f>IF($AE5="YES",$BC5*8%,0)</f>
        <v>1952000</v>
      </c>
      <c r="BF5" s="48">
        <f>IF($AE5="YES",$BC5*1.5%,0)</f>
        <v>366000</v>
      </c>
      <c r="BG5" s="48">
        <f>IF($AE5="YES",$BD5*1%,0)</f>
        <v>244000</v>
      </c>
      <c r="BH5" s="48">
        <f t="shared" ref="BH5:BH16" si="12">SUM(BE5:BG5)</f>
        <v>2562000</v>
      </c>
      <c r="BI5" s="48">
        <f t="shared" ref="BI5:BI16" si="13">IF(F5="La Nga",0,IF(F5="HCM",IF(AE5="YES",IF($BE5&gt;0,45000),0)))</f>
        <v>45000</v>
      </c>
      <c r="BJ5" s="49">
        <v>4</v>
      </c>
      <c r="BK5" s="48">
        <f t="shared" ref="BK5:BK16" si="14">11000000+4400000*BJ5</f>
        <v>28600000</v>
      </c>
      <c r="BL5" s="53">
        <f>BB5-S5-T5-AC5-AI5-AZ5</f>
        <v>26436000</v>
      </c>
      <c r="BM5" s="54">
        <f>IF(BL5-BH5-BK5&lt;=0,0,BL5-BH5-BK5)</f>
        <v>0</v>
      </c>
      <c r="BN5" s="55"/>
      <c r="BO5" s="48"/>
      <c r="BP5" s="48">
        <f>BH5+BI5+BN5</f>
        <v>2607000</v>
      </c>
      <c r="BQ5" s="48">
        <f>BB5-BP5+BO5</f>
        <v>24981800</v>
      </c>
      <c r="BR5" s="48">
        <f>IF($AE5="YES",$BC5*17.5%,0)</f>
        <v>4270000</v>
      </c>
      <c r="BS5" s="48">
        <f>IF($AE5="YES",$BC5*3%,0)</f>
        <v>732000</v>
      </c>
      <c r="BT5" s="48">
        <f>IF($AE5="YES",$BD5*1%,0)</f>
        <v>244000</v>
      </c>
      <c r="BU5" s="48">
        <f t="shared" ref="BU5:BU16" si="15">SUM(BR5:BT5)</f>
        <v>5246000</v>
      </c>
      <c r="BV5" s="48">
        <f>BC5*2%</f>
        <v>488000</v>
      </c>
      <c r="BW5" s="48">
        <f t="shared" ref="BW5:BW16" si="16">BQ5+BU5+BV5</f>
        <v>30715800</v>
      </c>
      <c r="BX5" s="56" t="s">
        <v>42</v>
      </c>
      <c r="BY5" s="31"/>
      <c r="BZ5" s="32"/>
      <c r="CA5" s="31"/>
    </row>
    <row r="6" spans="1:79">
      <c r="A6" s="16" t="s">
        <v>38</v>
      </c>
      <c r="B6" s="17" t="s">
        <v>90</v>
      </c>
      <c r="C6" s="18">
        <v>39204</v>
      </c>
      <c r="D6" s="19"/>
      <c r="E6" s="20"/>
      <c r="F6" s="21" t="s">
        <v>46</v>
      </c>
      <c r="G6" s="22">
        <v>17630000</v>
      </c>
      <c r="H6" s="22">
        <v>1200000</v>
      </c>
      <c r="I6" s="22">
        <v>500000</v>
      </c>
      <c r="J6" s="22">
        <v>680000</v>
      </c>
      <c r="K6" s="22">
        <v>1320000</v>
      </c>
      <c r="L6" s="22">
        <v>400000</v>
      </c>
      <c r="M6" s="22">
        <v>0</v>
      </c>
      <c r="N6" s="23" t="s">
        <v>112</v>
      </c>
      <c r="O6" s="24">
        <v>200</v>
      </c>
      <c r="P6" s="24">
        <v>200</v>
      </c>
      <c r="Q6" s="22">
        <f t="shared" ref="Q6:Q16" si="17">ROUND(G6/N6*O6,0)</f>
        <v>17630000</v>
      </c>
      <c r="R6" s="22">
        <f t="shared" si="0"/>
        <v>1200000</v>
      </c>
      <c r="S6" s="22">
        <f t="shared" ref="S6:S16" si="18">IF(ISBLANK(E6),I6,I6/N6*O6)</f>
        <v>500000</v>
      </c>
      <c r="T6" s="22">
        <f t="shared" ref="T6:T16" si="19">IF(F6="La Nga",0,(J6/N6*P6))</f>
        <v>680000</v>
      </c>
      <c r="U6" s="22">
        <f t="shared" si="1"/>
        <v>1320000</v>
      </c>
      <c r="V6" s="22">
        <f t="shared" si="2"/>
        <v>400000</v>
      </c>
      <c r="W6" s="22">
        <f t="shared" si="3"/>
        <v>0</v>
      </c>
      <c r="X6" s="22"/>
      <c r="Y6" s="22"/>
      <c r="Z6" s="22"/>
      <c r="AA6" s="22"/>
      <c r="AB6" s="22"/>
      <c r="AC6" s="22"/>
      <c r="AD6" s="22"/>
      <c r="AE6" s="25" t="s">
        <v>32</v>
      </c>
      <c r="AF6" s="22" t="s">
        <v>32</v>
      </c>
      <c r="AG6" s="22"/>
      <c r="AH6" s="22"/>
      <c r="AI6" s="22"/>
      <c r="AJ6" s="22"/>
      <c r="AK6" s="23"/>
      <c r="AL6" s="23"/>
      <c r="AM6" s="23"/>
      <c r="AN6" s="23"/>
      <c r="AO6" s="23"/>
      <c r="AP6" s="23"/>
      <c r="AQ6" s="23"/>
      <c r="AR6" s="22">
        <f t="shared" si="4"/>
        <v>0</v>
      </c>
      <c r="AS6" s="22">
        <f t="shared" si="5"/>
        <v>0</v>
      </c>
      <c r="AT6" s="22">
        <f t="shared" si="6"/>
        <v>0</v>
      </c>
      <c r="AU6" s="22">
        <f t="shared" si="7"/>
        <v>0</v>
      </c>
      <c r="AV6" s="22">
        <f t="shared" si="8"/>
        <v>0</v>
      </c>
      <c r="AW6" s="22">
        <f t="shared" si="9"/>
        <v>0</v>
      </c>
      <c r="AX6" s="22">
        <f t="shared" si="10"/>
        <v>0</v>
      </c>
      <c r="AY6" s="22">
        <f t="shared" ref="AY6:AY16" si="20">IF(O6=0,0,(ROUND(SUM(AR6:AX6),0)))</f>
        <v>0</v>
      </c>
      <c r="AZ6" s="26">
        <f t="shared" ref="AZ6:AZ16" si="21">ROUND(G6/N6*(AK6*0.5+AL6+AM6*2+AN6*0.3+AO6*1.1+AP6*1.7+AQ6*2.9),0)</f>
        <v>0</v>
      </c>
      <c r="BA6" s="26">
        <f t="shared" ref="BA6:BA16" si="22">ROUND(G6/N6*SUM(AK6:AM6)+G6/N6*SUM(AO6:AQ6),0)</f>
        <v>0</v>
      </c>
      <c r="BB6" s="22">
        <f t="shared" si="11"/>
        <v>21730000</v>
      </c>
      <c r="BC6" s="22">
        <f t="shared" ref="BC6:BC16" si="23">IF(G6+K6&gt;46800000,46800000,G6+K6)</f>
        <v>18950000</v>
      </c>
      <c r="BD6" s="22">
        <f t="shared" ref="BD6:BD16" si="24">IF(G6+K6&gt;88200000,88200000,G6+K6)</f>
        <v>18950000</v>
      </c>
      <c r="BE6" s="22">
        <f t="shared" ref="BE6:BE16" si="25">IF($AE6="YES",$BC6*8%,0)</f>
        <v>1516000</v>
      </c>
      <c r="BF6" s="22">
        <f t="shared" ref="BF6:BF16" si="26">IF($AE6="YES",$BC6*1.5%,0)</f>
        <v>284250</v>
      </c>
      <c r="BG6" s="22">
        <f t="shared" ref="BG6:BG16" si="27">IF($AE6="YES",$BD6*1%,0)</f>
        <v>189500</v>
      </c>
      <c r="BH6" s="22">
        <f t="shared" si="12"/>
        <v>1989750</v>
      </c>
      <c r="BI6" s="22">
        <f>IF(F6="La Nga",0,IF(F6="HCM",IF(AE6="YES",IF($BE6&gt;0,45000),0)))</f>
        <v>45000</v>
      </c>
      <c r="BJ6" s="23">
        <v>2</v>
      </c>
      <c r="BK6" s="22">
        <f t="shared" si="14"/>
        <v>19800000</v>
      </c>
      <c r="BL6" s="27">
        <f t="shared" ref="BL6:BL16" si="28">BB6-S6-T6-AC6-AI6-AZ6</f>
        <v>20550000</v>
      </c>
      <c r="BM6" s="28">
        <f t="shared" ref="BM6:BM16" si="29">IF(BL6-BH6-BK6&lt;=0,0,BL6-BH6-BK6)</f>
        <v>0</v>
      </c>
      <c r="BN6" s="29"/>
      <c r="BO6" s="22"/>
      <c r="BP6" s="22">
        <f t="shared" ref="BP6:BP16" si="30">BH6+BI6+BN6</f>
        <v>2034750</v>
      </c>
      <c r="BQ6" s="22">
        <f t="shared" ref="BQ6:BQ16" si="31">BB6-BP6+BO6</f>
        <v>19695250</v>
      </c>
      <c r="BR6" s="22">
        <f t="shared" ref="BR6:BR16" si="32">IF($AE6="YES",$BC6*17.5%,0)</f>
        <v>3316250</v>
      </c>
      <c r="BS6" s="22">
        <f t="shared" ref="BS6:BS16" si="33">IF($AE6="YES",$BC6*3%,0)</f>
        <v>568500</v>
      </c>
      <c r="BT6" s="22">
        <f t="shared" ref="BT6:BT16" si="34">IF($AE6="YES",$BD6*1%,0)</f>
        <v>189500</v>
      </c>
      <c r="BU6" s="22">
        <f t="shared" si="15"/>
        <v>4074250</v>
      </c>
      <c r="BV6" s="22">
        <f t="shared" ref="BV6:BV16" si="35">BC6*2%</f>
        <v>379000</v>
      </c>
      <c r="BW6" s="22">
        <f t="shared" si="16"/>
        <v>24148500</v>
      </c>
      <c r="BX6" s="30" t="s">
        <v>42</v>
      </c>
      <c r="BY6" s="31"/>
      <c r="BZ6" s="32"/>
      <c r="CA6" s="31"/>
    </row>
    <row r="7" spans="1:79">
      <c r="A7" s="16" t="s">
        <v>35</v>
      </c>
      <c r="B7" s="17" t="s">
        <v>91</v>
      </c>
      <c r="C7" s="18">
        <v>39790</v>
      </c>
      <c r="D7" s="19"/>
      <c r="E7" s="20"/>
      <c r="F7" s="21" t="s">
        <v>45</v>
      </c>
      <c r="G7" s="22">
        <v>10033520</v>
      </c>
      <c r="H7" s="22">
        <v>0</v>
      </c>
      <c r="I7" s="22">
        <v>200000</v>
      </c>
      <c r="J7" s="22">
        <v>0</v>
      </c>
      <c r="K7" s="22">
        <v>0</v>
      </c>
      <c r="L7" s="22">
        <v>0</v>
      </c>
      <c r="M7" s="22">
        <v>0</v>
      </c>
      <c r="N7" s="23" t="s">
        <v>112</v>
      </c>
      <c r="O7" s="24">
        <v>200</v>
      </c>
      <c r="P7" s="24">
        <v>200</v>
      </c>
      <c r="Q7" s="22">
        <f t="shared" si="17"/>
        <v>10033520</v>
      </c>
      <c r="R7" s="22">
        <f t="shared" si="0"/>
        <v>0</v>
      </c>
      <c r="S7" s="22">
        <f t="shared" si="18"/>
        <v>200000</v>
      </c>
      <c r="T7" s="22">
        <f t="shared" si="19"/>
        <v>0</v>
      </c>
      <c r="U7" s="22">
        <f t="shared" si="1"/>
        <v>0</v>
      </c>
      <c r="V7" s="22">
        <f t="shared" si="2"/>
        <v>0</v>
      </c>
      <c r="W7" s="22">
        <f t="shared" si="3"/>
        <v>0</v>
      </c>
      <c r="X7" s="22"/>
      <c r="Y7" s="22"/>
      <c r="Z7" s="22"/>
      <c r="AA7" s="22"/>
      <c r="AB7" s="22"/>
      <c r="AC7" s="22"/>
      <c r="AD7" s="22"/>
      <c r="AE7" s="25" t="s">
        <v>32</v>
      </c>
      <c r="AF7" s="22" t="s">
        <v>32</v>
      </c>
      <c r="AG7" s="22"/>
      <c r="AH7" s="22"/>
      <c r="AI7" s="22"/>
      <c r="AJ7" s="22"/>
      <c r="AK7" s="23"/>
      <c r="AL7" s="23"/>
      <c r="AM7" s="23"/>
      <c r="AN7" s="23"/>
      <c r="AO7" s="23"/>
      <c r="AP7" s="23"/>
      <c r="AQ7" s="23"/>
      <c r="AR7" s="22">
        <f t="shared" si="4"/>
        <v>0</v>
      </c>
      <c r="AS7" s="22">
        <f t="shared" si="5"/>
        <v>0</v>
      </c>
      <c r="AT7" s="22">
        <f t="shared" si="6"/>
        <v>0</v>
      </c>
      <c r="AU7" s="22">
        <f t="shared" si="7"/>
        <v>0</v>
      </c>
      <c r="AV7" s="22">
        <f t="shared" si="8"/>
        <v>0</v>
      </c>
      <c r="AW7" s="22">
        <f t="shared" si="9"/>
        <v>0</v>
      </c>
      <c r="AX7" s="22">
        <f t="shared" si="10"/>
        <v>0</v>
      </c>
      <c r="AY7" s="22">
        <f t="shared" si="20"/>
        <v>0</v>
      </c>
      <c r="AZ7" s="26">
        <f t="shared" si="21"/>
        <v>0</v>
      </c>
      <c r="BA7" s="26">
        <f t="shared" si="22"/>
        <v>0</v>
      </c>
      <c r="BB7" s="22">
        <f t="shared" si="11"/>
        <v>10233520</v>
      </c>
      <c r="BC7" s="22">
        <f t="shared" si="23"/>
        <v>10033520</v>
      </c>
      <c r="BD7" s="22">
        <f t="shared" si="24"/>
        <v>10033520</v>
      </c>
      <c r="BE7" s="22">
        <f t="shared" si="25"/>
        <v>802681.6</v>
      </c>
      <c r="BF7" s="22">
        <f t="shared" si="26"/>
        <v>150502.79999999999</v>
      </c>
      <c r="BG7" s="22">
        <f t="shared" si="27"/>
        <v>100335.2</v>
      </c>
      <c r="BH7" s="22">
        <f t="shared" si="12"/>
        <v>1053519.5999999999</v>
      </c>
      <c r="BI7" s="22">
        <f t="shared" si="13"/>
        <v>0</v>
      </c>
      <c r="BJ7" s="23">
        <v>2</v>
      </c>
      <c r="BK7" s="22">
        <f t="shared" si="14"/>
        <v>19800000</v>
      </c>
      <c r="BL7" s="27">
        <f t="shared" si="28"/>
        <v>10033520</v>
      </c>
      <c r="BM7" s="28">
        <f t="shared" si="29"/>
        <v>0</v>
      </c>
      <c r="BN7" s="29"/>
      <c r="BO7" s="22"/>
      <c r="BP7" s="22">
        <f t="shared" si="30"/>
        <v>1053519.5999999999</v>
      </c>
      <c r="BQ7" s="22">
        <f t="shared" si="31"/>
        <v>9180000.4000000004</v>
      </c>
      <c r="BR7" s="22">
        <f t="shared" si="32"/>
        <v>1755866</v>
      </c>
      <c r="BS7" s="22">
        <f t="shared" si="33"/>
        <v>301005.59999999998</v>
      </c>
      <c r="BT7" s="22">
        <f t="shared" si="34"/>
        <v>100335.2</v>
      </c>
      <c r="BU7" s="22">
        <f t="shared" si="15"/>
        <v>2157206.8000000003</v>
      </c>
      <c r="BV7" s="22">
        <f t="shared" si="35"/>
        <v>200670.4</v>
      </c>
      <c r="BW7" s="22">
        <f t="shared" si="16"/>
        <v>11537877.600000001</v>
      </c>
      <c r="BX7" s="30" t="s">
        <v>41</v>
      </c>
      <c r="BY7" s="31"/>
      <c r="BZ7" s="32"/>
      <c r="CA7" s="31"/>
    </row>
    <row r="8" spans="1:79">
      <c r="A8" s="16" t="s">
        <v>92</v>
      </c>
      <c r="B8" s="17" t="s">
        <v>93</v>
      </c>
      <c r="C8" s="18">
        <v>43535</v>
      </c>
      <c r="D8" s="19" t="s">
        <v>56</v>
      </c>
      <c r="E8" s="20">
        <v>45420</v>
      </c>
      <c r="F8" s="21" t="s">
        <v>45</v>
      </c>
      <c r="G8" s="22">
        <v>36000000</v>
      </c>
      <c r="H8" s="22">
        <v>0</v>
      </c>
      <c r="I8" s="22">
        <v>500000</v>
      </c>
      <c r="J8" s="22">
        <v>0</v>
      </c>
      <c r="K8" s="22">
        <v>0</v>
      </c>
      <c r="L8" s="22">
        <v>0</v>
      </c>
      <c r="M8" s="22">
        <v>500000</v>
      </c>
      <c r="N8" s="23" t="s">
        <v>113</v>
      </c>
      <c r="O8" s="24">
        <v>70</v>
      </c>
      <c r="P8" s="24">
        <v>47</v>
      </c>
      <c r="Q8" s="22">
        <f t="shared" si="17"/>
        <v>12413793</v>
      </c>
      <c r="R8" s="22">
        <f t="shared" si="0"/>
        <v>0</v>
      </c>
      <c r="S8" s="22">
        <f t="shared" si="18"/>
        <v>172413.79310344826</v>
      </c>
      <c r="T8" s="22">
        <f t="shared" si="19"/>
        <v>0</v>
      </c>
      <c r="U8" s="22">
        <f t="shared" si="1"/>
        <v>0</v>
      </c>
      <c r="V8" s="22">
        <f t="shared" si="2"/>
        <v>0</v>
      </c>
      <c r="W8" s="22">
        <f t="shared" si="3"/>
        <v>172413.79310344826</v>
      </c>
      <c r="X8" s="22"/>
      <c r="Y8" s="22"/>
      <c r="Z8" s="22"/>
      <c r="AA8" s="22"/>
      <c r="AB8" s="22"/>
      <c r="AC8" s="22"/>
      <c r="AD8" s="22"/>
      <c r="AE8" s="25" t="s">
        <v>32</v>
      </c>
      <c r="AF8" s="22" t="s">
        <v>32</v>
      </c>
      <c r="AG8" s="22"/>
      <c r="AH8" s="22"/>
      <c r="AI8" s="22"/>
      <c r="AJ8" s="22"/>
      <c r="AK8" s="23"/>
      <c r="AL8" s="23"/>
      <c r="AM8" s="23"/>
      <c r="AN8" s="23"/>
      <c r="AO8" s="23"/>
      <c r="AP8" s="23"/>
      <c r="AQ8" s="23"/>
      <c r="AR8" s="22">
        <f t="shared" si="4"/>
        <v>0</v>
      </c>
      <c r="AS8" s="22">
        <f t="shared" si="5"/>
        <v>0</v>
      </c>
      <c r="AT8" s="22">
        <f t="shared" si="6"/>
        <v>0</v>
      </c>
      <c r="AU8" s="22">
        <f t="shared" si="7"/>
        <v>0</v>
      </c>
      <c r="AV8" s="22">
        <f t="shared" si="8"/>
        <v>0</v>
      </c>
      <c r="AW8" s="22">
        <f t="shared" si="9"/>
        <v>0</v>
      </c>
      <c r="AX8" s="22">
        <f t="shared" si="10"/>
        <v>0</v>
      </c>
      <c r="AY8" s="22">
        <f t="shared" si="20"/>
        <v>0</v>
      </c>
      <c r="AZ8" s="26">
        <f t="shared" si="21"/>
        <v>0</v>
      </c>
      <c r="BA8" s="26">
        <f t="shared" si="22"/>
        <v>0</v>
      </c>
      <c r="BB8" s="22">
        <f t="shared" si="11"/>
        <v>12758620.586206898</v>
      </c>
      <c r="BC8" s="22">
        <f t="shared" si="23"/>
        <v>36000000</v>
      </c>
      <c r="BD8" s="22">
        <f t="shared" si="24"/>
        <v>36000000</v>
      </c>
      <c r="BE8" s="22">
        <f t="shared" si="25"/>
        <v>2880000</v>
      </c>
      <c r="BF8" s="22">
        <f t="shared" si="26"/>
        <v>540000</v>
      </c>
      <c r="BG8" s="22">
        <f t="shared" si="27"/>
        <v>360000</v>
      </c>
      <c r="BH8" s="22">
        <f t="shared" si="12"/>
        <v>3780000</v>
      </c>
      <c r="BI8" s="22">
        <f t="shared" si="13"/>
        <v>0</v>
      </c>
      <c r="BJ8" s="23">
        <v>3</v>
      </c>
      <c r="BK8" s="22">
        <f t="shared" si="14"/>
        <v>24200000</v>
      </c>
      <c r="BL8" s="27">
        <f t="shared" si="28"/>
        <v>12586206.793103449</v>
      </c>
      <c r="BM8" s="28">
        <f t="shared" si="29"/>
        <v>0</v>
      </c>
      <c r="BN8" s="29"/>
      <c r="BO8" s="22"/>
      <c r="BP8" s="22">
        <f t="shared" si="30"/>
        <v>3780000</v>
      </c>
      <c r="BQ8" s="22">
        <f t="shared" si="31"/>
        <v>8978620.5862068981</v>
      </c>
      <c r="BR8" s="22">
        <f t="shared" si="32"/>
        <v>6300000</v>
      </c>
      <c r="BS8" s="22">
        <f t="shared" si="33"/>
        <v>1080000</v>
      </c>
      <c r="BT8" s="22">
        <f t="shared" si="34"/>
        <v>360000</v>
      </c>
      <c r="BU8" s="22">
        <f t="shared" si="15"/>
        <v>7740000</v>
      </c>
      <c r="BV8" s="22">
        <f t="shared" si="35"/>
        <v>720000</v>
      </c>
      <c r="BW8" s="22">
        <f t="shared" si="16"/>
        <v>17438620.586206898</v>
      </c>
      <c r="BX8" s="30" t="s">
        <v>39</v>
      </c>
      <c r="BY8" s="31"/>
      <c r="BZ8" s="32"/>
      <c r="CA8" s="31"/>
    </row>
    <row r="9" spans="1:79">
      <c r="A9" s="16" t="s">
        <v>37</v>
      </c>
      <c r="B9" s="17" t="s">
        <v>94</v>
      </c>
      <c r="C9" s="18">
        <v>43960</v>
      </c>
      <c r="D9" s="19"/>
      <c r="E9" s="20"/>
      <c r="F9" s="21" t="s">
        <v>45</v>
      </c>
      <c r="G9" s="22">
        <v>13740000</v>
      </c>
      <c r="H9" s="22">
        <v>0</v>
      </c>
      <c r="I9" s="22">
        <v>300000</v>
      </c>
      <c r="J9" s="22">
        <v>0</v>
      </c>
      <c r="K9" s="22">
        <v>0</v>
      </c>
      <c r="L9" s="22">
        <v>0</v>
      </c>
      <c r="M9" s="22">
        <v>0</v>
      </c>
      <c r="N9" s="23">
        <v>200</v>
      </c>
      <c r="O9" s="24">
        <v>200</v>
      </c>
      <c r="P9" s="24">
        <v>166</v>
      </c>
      <c r="Q9" s="22">
        <f t="shared" si="17"/>
        <v>13740000</v>
      </c>
      <c r="R9" s="22">
        <f t="shared" si="0"/>
        <v>0</v>
      </c>
      <c r="S9" s="22">
        <f t="shared" si="18"/>
        <v>300000</v>
      </c>
      <c r="T9" s="22">
        <f t="shared" si="19"/>
        <v>0</v>
      </c>
      <c r="U9" s="22">
        <f t="shared" si="1"/>
        <v>0</v>
      </c>
      <c r="V9" s="22">
        <f t="shared" si="2"/>
        <v>0</v>
      </c>
      <c r="W9" s="22">
        <f t="shared" si="3"/>
        <v>0</v>
      </c>
      <c r="X9" s="22"/>
      <c r="Y9" s="22"/>
      <c r="Z9" s="22"/>
      <c r="AA9" s="22"/>
      <c r="AB9" s="22"/>
      <c r="AC9" s="22"/>
      <c r="AD9" s="22"/>
      <c r="AE9" s="25" t="s">
        <v>32</v>
      </c>
      <c r="AF9" s="22" t="s">
        <v>32</v>
      </c>
      <c r="AG9" s="22"/>
      <c r="AH9" s="22"/>
      <c r="AI9" s="22"/>
      <c r="AJ9" s="22"/>
      <c r="AK9" s="23"/>
      <c r="AL9" s="23"/>
      <c r="AM9" s="23"/>
      <c r="AN9" s="23"/>
      <c r="AO9" s="23"/>
      <c r="AP9" s="23"/>
      <c r="AQ9" s="23"/>
      <c r="AR9" s="22">
        <f t="shared" si="4"/>
        <v>0</v>
      </c>
      <c r="AS9" s="22">
        <f t="shared" si="5"/>
        <v>0</v>
      </c>
      <c r="AT9" s="22">
        <f t="shared" si="6"/>
        <v>0</v>
      </c>
      <c r="AU9" s="22">
        <f t="shared" si="7"/>
        <v>0</v>
      </c>
      <c r="AV9" s="22">
        <f t="shared" si="8"/>
        <v>0</v>
      </c>
      <c r="AW9" s="22">
        <f t="shared" si="9"/>
        <v>0</v>
      </c>
      <c r="AX9" s="22">
        <f t="shared" si="10"/>
        <v>0</v>
      </c>
      <c r="AY9" s="22">
        <f t="shared" si="20"/>
        <v>0</v>
      </c>
      <c r="AZ9" s="26">
        <f t="shared" si="21"/>
        <v>0</v>
      </c>
      <c r="BA9" s="26">
        <f t="shared" si="22"/>
        <v>0</v>
      </c>
      <c r="BB9" s="22">
        <f t="shared" si="11"/>
        <v>14040000</v>
      </c>
      <c r="BC9" s="22">
        <f t="shared" si="23"/>
        <v>13740000</v>
      </c>
      <c r="BD9" s="22">
        <f t="shared" si="24"/>
        <v>13740000</v>
      </c>
      <c r="BE9" s="22">
        <f t="shared" si="25"/>
        <v>1099200</v>
      </c>
      <c r="BF9" s="22">
        <f t="shared" si="26"/>
        <v>206100</v>
      </c>
      <c r="BG9" s="22">
        <f t="shared" si="27"/>
        <v>137400</v>
      </c>
      <c r="BH9" s="22">
        <f t="shared" si="12"/>
        <v>1442700</v>
      </c>
      <c r="BI9" s="22">
        <f t="shared" si="13"/>
        <v>0</v>
      </c>
      <c r="BJ9" s="23">
        <v>1</v>
      </c>
      <c r="BK9" s="22">
        <f t="shared" si="14"/>
        <v>15400000</v>
      </c>
      <c r="BL9" s="27">
        <f t="shared" si="28"/>
        <v>13740000</v>
      </c>
      <c r="BM9" s="28">
        <f t="shared" si="29"/>
        <v>0</v>
      </c>
      <c r="BN9" s="29"/>
      <c r="BO9" s="22"/>
      <c r="BP9" s="22">
        <f t="shared" si="30"/>
        <v>1442700</v>
      </c>
      <c r="BQ9" s="22">
        <f t="shared" si="31"/>
        <v>12597300</v>
      </c>
      <c r="BR9" s="22">
        <f t="shared" si="32"/>
        <v>2404500</v>
      </c>
      <c r="BS9" s="22">
        <f t="shared" si="33"/>
        <v>412200</v>
      </c>
      <c r="BT9" s="22">
        <f t="shared" si="34"/>
        <v>137400</v>
      </c>
      <c r="BU9" s="22">
        <f t="shared" si="15"/>
        <v>2954100</v>
      </c>
      <c r="BV9" s="22">
        <f t="shared" si="35"/>
        <v>274800</v>
      </c>
      <c r="BW9" s="22">
        <f t="shared" si="16"/>
        <v>15826200</v>
      </c>
      <c r="BX9" s="30" t="s">
        <v>41</v>
      </c>
      <c r="BY9" s="31"/>
      <c r="BZ9" s="32"/>
      <c r="CA9" s="31"/>
    </row>
    <row r="10" spans="1:79">
      <c r="A10" s="16" t="s">
        <v>95</v>
      </c>
      <c r="B10" s="17" t="s">
        <v>96</v>
      </c>
      <c r="C10" s="18">
        <v>44747</v>
      </c>
      <c r="D10" s="19"/>
      <c r="E10" s="20"/>
      <c r="F10" s="21" t="s">
        <v>45</v>
      </c>
      <c r="G10" s="22">
        <v>8400000</v>
      </c>
      <c r="H10" s="22">
        <v>0</v>
      </c>
      <c r="I10" s="22">
        <v>200000</v>
      </c>
      <c r="J10" s="22">
        <v>0</v>
      </c>
      <c r="K10" s="22">
        <v>0</v>
      </c>
      <c r="L10" s="22">
        <v>0</v>
      </c>
      <c r="M10" s="22">
        <v>0</v>
      </c>
      <c r="N10" s="23" t="s">
        <v>112</v>
      </c>
      <c r="O10" s="24">
        <v>192</v>
      </c>
      <c r="P10" s="24">
        <v>170</v>
      </c>
      <c r="Q10" s="22">
        <f t="shared" si="17"/>
        <v>8064000</v>
      </c>
      <c r="R10" s="22">
        <f t="shared" si="0"/>
        <v>0</v>
      </c>
      <c r="S10" s="22">
        <f t="shared" si="18"/>
        <v>200000</v>
      </c>
      <c r="T10" s="22">
        <f t="shared" si="19"/>
        <v>0</v>
      </c>
      <c r="U10" s="22">
        <f t="shared" si="1"/>
        <v>0</v>
      </c>
      <c r="V10" s="22">
        <f t="shared" si="2"/>
        <v>0</v>
      </c>
      <c r="W10" s="22">
        <f t="shared" si="3"/>
        <v>0</v>
      </c>
      <c r="X10" s="22"/>
      <c r="Y10" s="22"/>
      <c r="Z10" s="22"/>
      <c r="AA10" s="22"/>
      <c r="AB10" s="22"/>
      <c r="AC10" s="22"/>
      <c r="AD10" s="22"/>
      <c r="AE10" s="25" t="s">
        <v>32</v>
      </c>
      <c r="AF10" s="22" t="s">
        <v>32</v>
      </c>
      <c r="AG10" s="22"/>
      <c r="AH10" s="22"/>
      <c r="AI10" s="22"/>
      <c r="AJ10" s="22"/>
      <c r="AK10" s="23"/>
      <c r="AL10" s="23"/>
      <c r="AM10" s="23"/>
      <c r="AN10" s="23"/>
      <c r="AO10" s="23"/>
      <c r="AP10" s="23"/>
      <c r="AQ10" s="23"/>
      <c r="AR10" s="22">
        <f t="shared" si="4"/>
        <v>0</v>
      </c>
      <c r="AS10" s="22">
        <f t="shared" si="5"/>
        <v>0</v>
      </c>
      <c r="AT10" s="22">
        <f t="shared" si="6"/>
        <v>0</v>
      </c>
      <c r="AU10" s="22">
        <f t="shared" si="7"/>
        <v>0</v>
      </c>
      <c r="AV10" s="22">
        <f t="shared" si="8"/>
        <v>0</v>
      </c>
      <c r="AW10" s="22">
        <f t="shared" si="9"/>
        <v>0</v>
      </c>
      <c r="AX10" s="22">
        <f t="shared" si="10"/>
        <v>0</v>
      </c>
      <c r="AY10" s="22">
        <f t="shared" si="20"/>
        <v>0</v>
      </c>
      <c r="AZ10" s="26">
        <f t="shared" si="21"/>
        <v>0</v>
      </c>
      <c r="BA10" s="26">
        <f t="shared" si="22"/>
        <v>0</v>
      </c>
      <c r="BB10" s="22">
        <f t="shared" si="11"/>
        <v>8264000</v>
      </c>
      <c r="BC10" s="22">
        <f t="shared" si="23"/>
        <v>8400000</v>
      </c>
      <c r="BD10" s="22">
        <f t="shared" si="24"/>
        <v>8400000</v>
      </c>
      <c r="BE10" s="22">
        <f t="shared" si="25"/>
        <v>672000</v>
      </c>
      <c r="BF10" s="22">
        <f t="shared" si="26"/>
        <v>126000</v>
      </c>
      <c r="BG10" s="22">
        <f t="shared" si="27"/>
        <v>84000</v>
      </c>
      <c r="BH10" s="22">
        <f t="shared" si="12"/>
        <v>882000</v>
      </c>
      <c r="BI10" s="22">
        <f t="shared" si="13"/>
        <v>0</v>
      </c>
      <c r="BJ10" s="23">
        <v>1</v>
      </c>
      <c r="BK10" s="22">
        <f t="shared" si="14"/>
        <v>15400000</v>
      </c>
      <c r="BL10" s="27">
        <f t="shared" si="28"/>
        <v>8064000</v>
      </c>
      <c r="BM10" s="28">
        <f t="shared" si="29"/>
        <v>0</v>
      </c>
      <c r="BN10" s="29"/>
      <c r="BO10" s="22"/>
      <c r="BP10" s="22">
        <f t="shared" si="30"/>
        <v>882000</v>
      </c>
      <c r="BQ10" s="22">
        <f t="shared" si="31"/>
        <v>7382000</v>
      </c>
      <c r="BR10" s="22">
        <f t="shared" si="32"/>
        <v>1470000</v>
      </c>
      <c r="BS10" s="22">
        <f t="shared" si="33"/>
        <v>252000</v>
      </c>
      <c r="BT10" s="22">
        <f t="shared" si="34"/>
        <v>84000</v>
      </c>
      <c r="BU10" s="22">
        <f t="shared" si="15"/>
        <v>1806000</v>
      </c>
      <c r="BV10" s="22">
        <f t="shared" si="35"/>
        <v>168000</v>
      </c>
      <c r="BW10" s="22">
        <f t="shared" si="16"/>
        <v>9356000</v>
      </c>
      <c r="BX10" s="30" t="s">
        <v>41</v>
      </c>
      <c r="BY10" s="31"/>
      <c r="BZ10" s="32"/>
      <c r="CA10" s="31"/>
    </row>
    <row r="11" spans="1:79">
      <c r="A11" s="33" t="s">
        <v>97</v>
      </c>
      <c r="B11" s="34" t="s">
        <v>98</v>
      </c>
      <c r="C11" s="35">
        <v>45393</v>
      </c>
      <c r="D11" s="19" t="s">
        <v>99</v>
      </c>
      <c r="E11" s="20">
        <v>45616</v>
      </c>
      <c r="F11" s="21" t="s">
        <v>45</v>
      </c>
      <c r="G11" s="34">
        <v>18000000</v>
      </c>
      <c r="H11" s="22">
        <v>0</v>
      </c>
      <c r="I11" s="22">
        <v>300000</v>
      </c>
      <c r="J11" s="22">
        <v>0</v>
      </c>
      <c r="K11" s="22">
        <v>0</v>
      </c>
      <c r="L11" s="22">
        <v>0</v>
      </c>
      <c r="M11" s="22">
        <v>0</v>
      </c>
      <c r="N11" s="36" t="s">
        <v>112</v>
      </c>
      <c r="O11" s="37">
        <v>200</v>
      </c>
      <c r="P11" s="37">
        <v>196</v>
      </c>
      <c r="Q11" s="22">
        <f t="shared" si="17"/>
        <v>18000000</v>
      </c>
      <c r="R11" s="22">
        <f t="shared" si="0"/>
        <v>0</v>
      </c>
      <c r="S11" s="22">
        <f t="shared" si="18"/>
        <v>300000</v>
      </c>
      <c r="T11" s="22">
        <f t="shared" si="19"/>
        <v>0</v>
      </c>
      <c r="U11" s="22">
        <f t="shared" si="1"/>
        <v>0</v>
      </c>
      <c r="V11" s="22">
        <f t="shared" si="2"/>
        <v>0</v>
      </c>
      <c r="W11" s="22">
        <f t="shared" si="3"/>
        <v>0</v>
      </c>
      <c r="X11" s="22"/>
      <c r="Y11" s="22"/>
      <c r="Z11" s="22">
        <v>6750000</v>
      </c>
      <c r="AA11" s="22"/>
      <c r="AB11" s="22"/>
      <c r="AC11" s="22"/>
      <c r="AD11" s="22"/>
      <c r="AE11" s="25" t="s">
        <v>32</v>
      </c>
      <c r="AF11" s="22" t="s">
        <v>32</v>
      </c>
      <c r="AG11" s="22"/>
      <c r="AH11" s="22"/>
      <c r="AI11" s="22"/>
      <c r="AJ11" s="22"/>
      <c r="AK11" s="23"/>
      <c r="AL11" s="23"/>
      <c r="AM11" s="23"/>
      <c r="AN11" s="23"/>
      <c r="AO11" s="23"/>
      <c r="AP11" s="23"/>
      <c r="AQ11" s="23"/>
      <c r="AR11" s="22">
        <f t="shared" si="4"/>
        <v>0</v>
      </c>
      <c r="AS11" s="22">
        <f t="shared" si="5"/>
        <v>0</v>
      </c>
      <c r="AT11" s="22">
        <f t="shared" si="6"/>
        <v>0</v>
      </c>
      <c r="AU11" s="22">
        <f t="shared" si="7"/>
        <v>0</v>
      </c>
      <c r="AV11" s="22">
        <f t="shared" si="8"/>
        <v>0</v>
      </c>
      <c r="AW11" s="22">
        <f t="shared" si="9"/>
        <v>0</v>
      </c>
      <c r="AX11" s="22">
        <f t="shared" si="10"/>
        <v>0</v>
      </c>
      <c r="AY11" s="22">
        <f t="shared" si="20"/>
        <v>0</v>
      </c>
      <c r="AZ11" s="26">
        <f t="shared" si="21"/>
        <v>0</v>
      </c>
      <c r="BA11" s="26">
        <f t="shared" si="22"/>
        <v>0</v>
      </c>
      <c r="BB11" s="22">
        <f t="shared" si="11"/>
        <v>25050000</v>
      </c>
      <c r="BC11" s="22">
        <f t="shared" si="23"/>
        <v>18000000</v>
      </c>
      <c r="BD11" s="22">
        <f t="shared" si="24"/>
        <v>18000000</v>
      </c>
      <c r="BE11" s="22">
        <f t="shared" si="25"/>
        <v>1440000</v>
      </c>
      <c r="BF11" s="22">
        <f t="shared" si="26"/>
        <v>270000</v>
      </c>
      <c r="BG11" s="22">
        <f t="shared" si="27"/>
        <v>180000</v>
      </c>
      <c r="BH11" s="22">
        <f t="shared" si="12"/>
        <v>1890000</v>
      </c>
      <c r="BI11" s="22">
        <f t="shared" si="13"/>
        <v>0</v>
      </c>
      <c r="BJ11" s="23">
        <v>0</v>
      </c>
      <c r="BK11" s="22">
        <f t="shared" si="14"/>
        <v>11000000</v>
      </c>
      <c r="BL11" s="27">
        <f t="shared" si="28"/>
        <v>24750000</v>
      </c>
      <c r="BM11" s="28">
        <f t="shared" si="29"/>
        <v>11860000</v>
      </c>
      <c r="BN11" s="29"/>
      <c r="BO11" s="22"/>
      <c r="BP11" s="22">
        <f>BH11+BI11+BN11</f>
        <v>1890000</v>
      </c>
      <c r="BQ11" s="22">
        <f t="shared" si="31"/>
        <v>23160000</v>
      </c>
      <c r="BR11" s="22">
        <f t="shared" si="32"/>
        <v>3150000</v>
      </c>
      <c r="BS11" s="22">
        <f t="shared" si="33"/>
        <v>540000</v>
      </c>
      <c r="BT11" s="22">
        <f t="shared" si="34"/>
        <v>180000</v>
      </c>
      <c r="BU11" s="22">
        <f t="shared" si="15"/>
        <v>3870000</v>
      </c>
      <c r="BV11" s="22">
        <f t="shared" si="35"/>
        <v>360000</v>
      </c>
      <c r="BW11" s="22">
        <f>BQ11+BU11+BV11</f>
        <v>27390000</v>
      </c>
      <c r="BX11" s="30" t="s">
        <v>39</v>
      </c>
      <c r="BY11" s="31"/>
      <c r="BZ11" s="32"/>
      <c r="CA11" s="31"/>
    </row>
    <row r="12" spans="1:79">
      <c r="A12" s="38" t="s">
        <v>100</v>
      </c>
      <c r="B12" s="28" t="s">
        <v>101</v>
      </c>
      <c r="C12" s="18">
        <v>45257</v>
      </c>
      <c r="D12" s="19" t="s">
        <v>99</v>
      </c>
      <c r="E12" s="20">
        <v>45596</v>
      </c>
      <c r="F12" s="21" t="s">
        <v>46</v>
      </c>
      <c r="G12" s="22">
        <v>55000000</v>
      </c>
      <c r="H12" s="28"/>
      <c r="I12" s="28">
        <v>500000</v>
      </c>
      <c r="J12" s="28">
        <v>680000</v>
      </c>
      <c r="K12" s="28"/>
      <c r="L12" s="28"/>
      <c r="M12" s="28">
        <v>500000</v>
      </c>
      <c r="N12" s="23">
        <v>203</v>
      </c>
      <c r="O12" s="24">
        <v>80</v>
      </c>
      <c r="P12" s="24">
        <v>35</v>
      </c>
      <c r="Q12" s="22">
        <f t="shared" si="17"/>
        <v>21674877</v>
      </c>
      <c r="R12" s="22">
        <f t="shared" si="0"/>
        <v>0</v>
      </c>
      <c r="S12" s="22">
        <f t="shared" si="18"/>
        <v>197044.33497536945</v>
      </c>
      <c r="T12" s="22">
        <f t="shared" si="19"/>
        <v>117241.37931034483</v>
      </c>
      <c r="U12" s="22">
        <f t="shared" si="1"/>
        <v>0</v>
      </c>
      <c r="V12" s="22">
        <f t="shared" si="2"/>
        <v>0</v>
      </c>
      <c r="W12" s="22">
        <f t="shared" si="3"/>
        <v>197044.33497536945</v>
      </c>
      <c r="X12" s="22"/>
      <c r="Y12" s="22"/>
      <c r="Z12" s="28"/>
      <c r="AA12" s="22"/>
      <c r="AB12" s="22"/>
      <c r="AC12" s="28"/>
      <c r="AD12" s="28"/>
      <c r="AE12" s="25" t="s">
        <v>102</v>
      </c>
      <c r="AF12" s="22" t="s">
        <v>102</v>
      </c>
      <c r="AG12" s="22"/>
      <c r="AH12" s="22"/>
      <c r="AI12" s="28"/>
      <c r="AJ12" s="28"/>
      <c r="AK12" s="23"/>
      <c r="AL12" s="23"/>
      <c r="AM12" s="23"/>
      <c r="AN12" s="23"/>
      <c r="AO12" s="23"/>
      <c r="AP12" s="23"/>
      <c r="AQ12" s="23"/>
      <c r="AR12" s="22">
        <f t="shared" si="4"/>
        <v>0</v>
      </c>
      <c r="AS12" s="22">
        <f t="shared" si="5"/>
        <v>0</v>
      </c>
      <c r="AT12" s="22">
        <f t="shared" si="6"/>
        <v>0</v>
      </c>
      <c r="AU12" s="22">
        <f t="shared" si="7"/>
        <v>0</v>
      </c>
      <c r="AV12" s="22">
        <f t="shared" si="8"/>
        <v>0</v>
      </c>
      <c r="AW12" s="22">
        <f t="shared" si="9"/>
        <v>0</v>
      </c>
      <c r="AX12" s="22">
        <f t="shared" si="10"/>
        <v>0</v>
      </c>
      <c r="AY12" s="22">
        <f t="shared" si="20"/>
        <v>0</v>
      </c>
      <c r="AZ12" s="26">
        <f t="shared" si="21"/>
        <v>0</v>
      </c>
      <c r="BA12" s="26">
        <f t="shared" si="22"/>
        <v>0</v>
      </c>
      <c r="BB12" s="22">
        <f t="shared" si="11"/>
        <v>22186207.049261082</v>
      </c>
      <c r="BC12" s="22">
        <f t="shared" si="23"/>
        <v>46800000</v>
      </c>
      <c r="BD12" s="22">
        <f t="shared" si="24"/>
        <v>55000000</v>
      </c>
      <c r="BE12" s="22">
        <f t="shared" si="25"/>
        <v>0</v>
      </c>
      <c r="BF12" s="22">
        <f t="shared" si="26"/>
        <v>0</v>
      </c>
      <c r="BG12" s="22">
        <f t="shared" si="27"/>
        <v>0</v>
      </c>
      <c r="BH12" s="22">
        <f t="shared" si="12"/>
        <v>0</v>
      </c>
      <c r="BI12" s="22">
        <f t="shared" si="13"/>
        <v>0</v>
      </c>
      <c r="BJ12" s="23">
        <v>1</v>
      </c>
      <c r="BK12" s="22">
        <f t="shared" si="14"/>
        <v>15400000</v>
      </c>
      <c r="BL12" s="27">
        <f t="shared" si="28"/>
        <v>21871921.334975369</v>
      </c>
      <c r="BM12" s="28">
        <f t="shared" si="29"/>
        <v>6471921.3349753693</v>
      </c>
      <c r="BN12" s="29"/>
      <c r="BO12" s="22"/>
      <c r="BP12" s="22">
        <f t="shared" si="30"/>
        <v>0</v>
      </c>
      <c r="BQ12" s="22">
        <f t="shared" si="31"/>
        <v>22186207.049261082</v>
      </c>
      <c r="BR12" s="22">
        <f t="shared" si="32"/>
        <v>0</v>
      </c>
      <c r="BS12" s="22">
        <f t="shared" si="33"/>
        <v>0</v>
      </c>
      <c r="BT12" s="22">
        <f t="shared" si="34"/>
        <v>0</v>
      </c>
      <c r="BU12" s="22">
        <f t="shared" si="15"/>
        <v>0</v>
      </c>
      <c r="BV12" s="22">
        <f t="shared" si="35"/>
        <v>936000</v>
      </c>
      <c r="BW12" s="22">
        <f t="shared" si="16"/>
        <v>23122207.049261082</v>
      </c>
      <c r="BX12" s="30" t="s">
        <v>40</v>
      </c>
    </row>
    <row r="13" spans="1:79">
      <c r="A13" s="38" t="s">
        <v>103</v>
      </c>
      <c r="B13" s="28" t="s">
        <v>104</v>
      </c>
      <c r="C13" s="18">
        <v>45414</v>
      </c>
      <c r="D13" s="19"/>
      <c r="E13" s="39"/>
      <c r="F13" s="40" t="s">
        <v>46</v>
      </c>
      <c r="G13" s="28">
        <v>100000000</v>
      </c>
      <c r="H13" s="28">
        <v>0</v>
      </c>
      <c r="I13" s="28">
        <v>500000</v>
      </c>
      <c r="J13" s="28">
        <v>680000</v>
      </c>
      <c r="K13" s="28">
        <v>0</v>
      </c>
      <c r="L13" s="28">
        <v>0</v>
      </c>
      <c r="M13" s="28">
        <v>500000</v>
      </c>
      <c r="N13" s="23" t="s">
        <v>113</v>
      </c>
      <c r="O13" s="24">
        <v>200.75</v>
      </c>
      <c r="P13" s="24">
        <v>174.75</v>
      </c>
      <c r="Q13" s="22">
        <f t="shared" si="17"/>
        <v>98891626</v>
      </c>
      <c r="R13" s="22">
        <f t="shared" si="0"/>
        <v>0</v>
      </c>
      <c r="S13" s="22">
        <f t="shared" si="18"/>
        <v>500000</v>
      </c>
      <c r="T13" s="22">
        <f t="shared" si="19"/>
        <v>585369.45812807884</v>
      </c>
      <c r="U13" s="22">
        <f t="shared" si="1"/>
        <v>0</v>
      </c>
      <c r="V13" s="22">
        <f t="shared" si="2"/>
        <v>0</v>
      </c>
      <c r="W13" s="22">
        <f t="shared" si="3"/>
        <v>500000</v>
      </c>
      <c r="X13" s="22"/>
      <c r="Y13" s="22"/>
      <c r="Z13" s="28"/>
      <c r="AA13" s="22"/>
      <c r="AB13" s="28"/>
      <c r="AC13" s="28"/>
      <c r="AD13" s="28"/>
      <c r="AE13" s="25" t="s">
        <v>32</v>
      </c>
      <c r="AF13" s="22" t="s">
        <v>32</v>
      </c>
      <c r="AG13" s="22"/>
      <c r="AH13" s="28"/>
      <c r="AI13" s="28"/>
      <c r="AJ13" s="28"/>
      <c r="AK13" s="23"/>
      <c r="AL13" s="23"/>
      <c r="AM13" s="23"/>
      <c r="AN13" s="23"/>
      <c r="AO13" s="23"/>
      <c r="AP13" s="23"/>
      <c r="AQ13" s="23"/>
      <c r="AR13" s="22">
        <f t="shared" si="4"/>
        <v>0</v>
      </c>
      <c r="AS13" s="22">
        <f t="shared" si="5"/>
        <v>0</v>
      </c>
      <c r="AT13" s="22">
        <f t="shared" si="6"/>
        <v>0</v>
      </c>
      <c r="AU13" s="22">
        <f t="shared" si="7"/>
        <v>0</v>
      </c>
      <c r="AV13" s="22">
        <f t="shared" si="8"/>
        <v>0</v>
      </c>
      <c r="AW13" s="22">
        <f t="shared" si="9"/>
        <v>0</v>
      </c>
      <c r="AX13" s="22">
        <f t="shared" si="10"/>
        <v>0</v>
      </c>
      <c r="AY13" s="22">
        <f t="shared" si="20"/>
        <v>0</v>
      </c>
      <c r="AZ13" s="26">
        <f t="shared" si="21"/>
        <v>0</v>
      </c>
      <c r="BA13" s="26">
        <f t="shared" si="22"/>
        <v>0</v>
      </c>
      <c r="BB13" s="22">
        <f t="shared" si="11"/>
        <v>100476995.45812808</v>
      </c>
      <c r="BC13" s="22">
        <f t="shared" si="23"/>
        <v>46800000</v>
      </c>
      <c r="BD13" s="22">
        <f t="shared" si="24"/>
        <v>88200000</v>
      </c>
      <c r="BE13" s="22">
        <f t="shared" si="25"/>
        <v>3744000</v>
      </c>
      <c r="BF13" s="22">
        <f t="shared" si="26"/>
        <v>702000</v>
      </c>
      <c r="BG13" s="22">
        <f t="shared" si="27"/>
        <v>882000</v>
      </c>
      <c r="BH13" s="22">
        <f t="shared" si="12"/>
        <v>5328000</v>
      </c>
      <c r="BI13" s="22">
        <f>IF(F13="La Nga",0,IF(F13="HCM",IF(AE13="YES",IF($BE13&gt;0,45000),0)))</f>
        <v>45000</v>
      </c>
      <c r="BJ13" s="23">
        <v>1</v>
      </c>
      <c r="BK13" s="22">
        <f t="shared" si="14"/>
        <v>15400000</v>
      </c>
      <c r="BL13" s="27">
        <f t="shared" si="28"/>
        <v>99391626</v>
      </c>
      <c r="BM13" s="28">
        <f t="shared" si="29"/>
        <v>78663626</v>
      </c>
      <c r="BN13" s="29"/>
      <c r="BO13" s="28"/>
      <c r="BP13" s="22">
        <f t="shared" si="30"/>
        <v>5373000</v>
      </c>
      <c r="BQ13" s="22">
        <f t="shared" si="31"/>
        <v>95103995.45812808</v>
      </c>
      <c r="BR13" s="22">
        <f t="shared" si="32"/>
        <v>8189999.9999999991</v>
      </c>
      <c r="BS13" s="22">
        <f t="shared" si="33"/>
        <v>1404000</v>
      </c>
      <c r="BT13" s="22">
        <f t="shared" si="34"/>
        <v>882000</v>
      </c>
      <c r="BU13" s="22">
        <f t="shared" si="15"/>
        <v>10476000</v>
      </c>
      <c r="BV13" s="22">
        <f t="shared" si="35"/>
        <v>936000</v>
      </c>
      <c r="BW13" s="22">
        <f t="shared" si="16"/>
        <v>106515995.45812808</v>
      </c>
      <c r="BX13" s="30" t="s">
        <v>43</v>
      </c>
    </row>
    <row r="14" spans="1:79">
      <c r="A14" s="38" t="s">
        <v>105</v>
      </c>
      <c r="B14" s="28" t="s">
        <v>106</v>
      </c>
      <c r="C14" s="18">
        <v>45491</v>
      </c>
      <c r="D14" s="19"/>
      <c r="E14" s="39"/>
      <c r="F14" s="40" t="s">
        <v>46</v>
      </c>
      <c r="G14" s="28">
        <v>22000000</v>
      </c>
      <c r="H14" s="28">
        <v>1200000</v>
      </c>
      <c r="I14" s="28">
        <v>500000</v>
      </c>
      <c r="J14" s="28">
        <v>680000</v>
      </c>
      <c r="K14" s="28"/>
      <c r="L14" s="28">
        <v>400000</v>
      </c>
      <c r="M14" s="28"/>
      <c r="N14" s="23" t="s">
        <v>112</v>
      </c>
      <c r="O14" s="24">
        <v>200</v>
      </c>
      <c r="P14" s="24">
        <v>200</v>
      </c>
      <c r="Q14" s="22">
        <f t="shared" si="17"/>
        <v>22000000</v>
      </c>
      <c r="R14" s="22">
        <f t="shared" si="0"/>
        <v>1200000</v>
      </c>
      <c r="S14" s="22">
        <f t="shared" si="18"/>
        <v>500000</v>
      </c>
      <c r="T14" s="22">
        <f t="shared" si="19"/>
        <v>680000</v>
      </c>
      <c r="U14" s="22">
        <f t="shared" si="1"/>
        <v>0</v>
      </c>
      <c r="V14" s="22">
        <f t="shared" si="2"/>
        <v>400000</v>
      </c>
      <c r="W14" s="22">
        <f t="shared" si="3"/>
        <v>0</v>
      </c>
      <c r="X14" s="22"/>
      <c r="Y14" s="22"/>
      <c r="Z14" s="28"/>
      <c r="AA14" s="22"/>
      <c r="AB14" s="28"/>
      <c r="AC14" s="28"/>
      <c r="AD14" s="28"/>
      <c r="AE14" s="25" t="s">
        <v>32</v>
      </c>
      <c r="AF14" s="22" t="s">
        <v>32</v>
      </c>
      <c r="AG14" s="22"/>
      <c r="AH14" s="28"/>
      <c r="AI14" s="28"/>
      <c r="AJ14" s="28"/>
      <c r="AK14" s="23"/>
      <c r="AL14" s="23"/>
      <c r="AM14" s="23"/>
      <c r="AN14" s="23"/>
      <c r="AO14" s="23"/>
      <c r="AP14" s="23"/>
      <c r="AQ14" s="23"/>
      <c r="AR14" s="22">
        <f t="shared" si="4"/>
        <v>0</v>
      </c>
      <c r="AS14" s="22">
        <f t="shared" si="5"/>
        <v>0</v>
      </c>
      <c r="AT14" s="22">
        <f t="shared" si="6"/>
        <v>0</v>
      </c>
      <c r="AU14" s="22">
        <f t="shared" si="7"/>
        <v>0</v>
      </c>
      <c r="AV14" s="22">
        <f t="shared" si="8"/>
        <v>0</v>
      </c>
      <c r="AW14" s="22">
        <f t="shared" si="9"/>
        <v>0</v>
      </c>
      <c r="AX14" s="22">
        <f t="shared" si="10"/>
        <v>0</v>
      </c>
      <c r="AY14" s="22">
        <f t="shared" si="20"/>
        <v>0</v>
      </c>
      <c r="AZ14" s="26">
        <f t="shared" si="21"/>
        <v>0</v>
      </c>
      <c r="BA14" s="26">
        <f t="shared" si="22"/>
        <v>0</v>
      </c>
      <c r="BB14" s="22">
        <f t="shared" si="11"/>
        <v>24780000</v>
      </c>
      <c r="BC14" s="22">
        <f t="shared" si="23"/>
        <v>22000000</v>
      </c>
      <c r="BD14" s="22">
        <f t="shared" si="24"/>
        <v>22000000</v>
      </c>
      <c r="BE14" s="22">
        <f t="shared" si="25"/>
        <v>1760000</v>
      </c>
      <c r="BF14" s="22">
        <f t="shared" si="26"/>
        <v>330000</v>
      </c>
      <c r="BG14" s="22">
        <f t="shared" si="27"/>
        <v>220000</v>
      </c>
      <c r="BH14" s="22">
        <f t="shared" si="12"/>
        <v>2310000</v>
      </c>
      <c r="BI14" s="22">
        <f t="shared" si="13"/>
        <v>45000</v>
      </c>
      <c r="BJ14" s="23">
        <v>4</v>
      </c>
      <c r="BK14" s="22">
        <f t="shared" si="14"/>
        <v>28600000</v>
      </c>
      <c r="BL14" s="27">
        <f t="shared" si="28"/>
        <v>23600000</v>
      </c>
      <c r="BM14" s="28">
        <f t="shared" si="29"/>
        <v>0</v>
      </c>
      <c r="BN14" s="29"/>
      <c r="BO14" s="28"/>
      <c r="BP14" s="22">
        <f t="shared" si="30"/>
        <v>2355000</v>
      </c>
      <c r="BQ14" s="22">
        <f t="shared" si="31"/>
        <v>22425000</v>
      </c>
      <c r="BR14" s="22">
        <f t="shared" si="32"/>
        <v>3849999.9999999995</v>
      </c>
      <c r="BS14" s="22">
        <f t="shared" si="33"/>
        <v>660000</v>
      </c>
      <c r="BT14" s="22">
        <f t="shared" si="34"/>
        <v>220000</v>
      </c>
      <c r="BU14" s="22">
        <f t="shared" si="15"/>
        <v>4730000</v>
      </c>
      <c r="BV14" s="22">
        <f t="shared" si="35"/>
        <v>440000</v>
      </c>
      <c r="BW14" s="22">
        <f t="shared" si="16"/>
        <v>27595000</v>
      </c>
      <c r="BX14" s="30" t="s">
        <v>42</v>
      </c>
    </row>
    <row r="15" spans="1:79">
      <c r="A15" s="38" t="s">
        <v>107</v>
      </c>
      <c r="B15" s="28" t="s">
        <v>108</v>
      </c>
      <c r="C15" s="18">
        <v>45489</v>
      </c>
      <c r="D15" s="19"/>
      <c r="E15" s="39"/>
      <c r="F15" s="40" t="s">
        <v>46</v>
      </c>
      <c r="G15" s="28">
        <v>20000000</v>
      </c>
      <c r="H15" s="28">
        <v>1200000</v>
      </c>
      <c r="I15" s="28">
        <v>500000</v>
      </c>
      <c r="J15" s="28">
        <v>680000</v>
      </c>
      <c r="K15" s="28"/>
      <c r="L15" s="28">
        <v>400000</v>
      </c>
      <c r="M15" s="28"/>
      <c r="N15" s="23" t="s">
        <v>112</v>
      </c>
      <c r="O15" s="24">
        <v>192</v>
      </c>
      <c r="P15" s="24">
        <v>176</v>
      </c>
      <c r="Q15" s="22">
        <f t="shared" si="17"/>
        <v>19200000</v>
      </c>
      <c r="R15" s="22">
        <f t="shared" si="0"/>
        <v>1056000</v>
      </c>
      <c r="S15" s="22">
        <f t="shared" si="18"/>
        <v>500000</v>
      </c>
      <c r="T15" s="22">
        <f t="shared" si="19"/>
        <v>598400</v>
      </c>
      <c r="U15" s="22">
        <f t="shared" si="1"/>
        <v>0</v>
      </c>
      <c r="V15" s="22">
        <f t="shared" si="2"/>
        <v>352000</v>
      </c>
      <c r="W15" s="22">
        <f t="shared" si="3"/>
        <v>0</v>
      </c>
      <c r="X15" s="22"/>
      <c r="Y15" s="22"/>
      <c r="Z15" s="28"/>
      <c r="AA15" s="22"/>
      <c r="AB15" s="28"/>
      <c r="AC15" s="28"/>
      <c r="AD15" s="28"/>
      <c r="AE15" s="25" t="s">
        <v>32</v>
      </c>
      <c r="AF15" s="22" t="s">
        <v>32</v>
      </c>
      <c r="AG15" s="22"/>
      <c r="AH15" s="28"/>
      <c r="AI15" s="28"/>
      <c r="AJ15" s="28"/>
      <c r="AK15" s="23"/>
      <c r="AL15" s="23"/>
      <c r="AM15" s="23"/>
      <c r="AN15" s="23"/>
      <c r="AO15" s="23"/>
      <c r="AP15" s="23"/>
      <c r="AQ15" s="23"/>
      <c r="AR15" s="22">
        <f t="shared" si="4"/>
        <v>0</v>
      </c>
      <c r="AS15" s="22">
        <f t="shared" si="5"/>
        <v>0</v>
      </c>
      <c r="AT15" s="22">
        <f t="shared" si="6"/>
        <v>0</v>
      </c>
      <c r="AU15" s="22">
        <f t="shared" si="7"/>
        <v>0</v>
      </c>
      <c r="AV15" s="22">
        <f t="shared" si="8"/>
        <v>0</v>
      </c>
      <c r="AW15" s="22">
        <f t="shared" si="9"/>
        <v>0</v>
      </c>
      <c r="AX15" s="22">
        <f t="shared" si="10"/>
        <v>0</v>
      </c>
      <c r="AY15" s="22">
        <f t="shared" si="20"/>
        <v>0</v>
      </c>
      <c r="AZ15" s="26">
        <f t="shared" si="21"/>
        <v>0</v>
      </c>
      <c r="BA15" s="26">
        <f t="shared" si="22"/>
        <v>0</v>
      </c>
      <c r="BB15" s="22">
        <f t="shared" si="11"/>
        <v>21706400</v>
      </c>
      <c r="BC15" s="22">
        <f t="shared" si="23"/>
        <v>20000000</v>
      </c>
      <c r="BD15" s="22">
        <f t="shared" si="24"/>
        <v>20000000</v>
      </c>
      <c r="BE15" s="22">
        <f t="shared" si="25"/>
        <v>1600000</v>
      </c>
      <c r="BF15" s="22">
        <f t="shared" si="26"/>
        <v>300000</v>
      </c>
      <c r="BG15" s="22">
        <f t="shared" si="27"/>
        <v>200000</v>
      </c>
      <c r="BH15" s="22">
        <f t="shared" si="12"/>
        <v>2100000</v>
      </c>
      <c r="BI15" s="22">
        <f t="shared" si="13"/>
        <v>45000</v>
      </c>
      <c r="BJ15" s="23">
        <v>2</v>
      </c>
      <c r="BK15" s="22">
        <f t="shared" si="14"/>
        <v>19800000</v>
      </c>
      <c r="BL15" s="27">
        <f t="shared" si="28"/>
        <v>20608000</v>
      </c>
      <c r="BM15" s="28">
        <f t="shared" si="29"/>
        <v>0</v>
      </c>
      <c r="BN15" s="29"/>
      <c r="BO15" s="28"/>
      <c r="BP15" s="22">
        <f t="shared" si="30"/>
        <v>2145000</v>
      </c>
      <c r="BQ15" s="22">
        <f t="shared" si="31"/>
        <v>19561400</v>
      </c>
      <c r="BR15" s="22">
        <f t="shared" si="32"/>
        <v>3500000</v>
      </c>
      <c r="BS15" s="22">
        <f t="shared" si="33"/>
        <v>600000</v>
      </c>
      <c r="BT15" s="22">
        <f t="shared" si="34"/>
        <v>200000</v>
      </c>
      <c r="BU15" s="22">
        <f t="shared" si="15"/>
        <v>4300000</v>
      </c>
      <c r="BV15" s="22">
        <f t="shared" si="35"/>
        <v>400000</v>
      </c>
      <c r="BW15" s="22">
        <f t="shared" si="16"/>
        <v>24261400</v>
      </c>
      <c r="BX15" s="30" t="s">
        <v>42</v>
      </c>
    </row>
    <row r="16" spans="1:79" ht="13">
      <c r="A16" s="41" t="s">
        <v>109</v>
      </c>
      <c r="B16" s="41" t="s">
        <v>110</v>
      </c>
      <c r="C16" s="18">
        <v>45607</v>
      </c>
      <c r="D16" s="19" t="s">
        <v>111</v>
      </c>
      <c r="E16" s="39">
        <v>45607</v>
      </c>
      <c r="F16" s="40" t="s">
        <v>46</v>
      </c>
      <c r="G16" s="28">
        <v>82000000</v>
      </c>
      <c r="H16" s="28">
        <v>810000</v>
      </c>
      <c r="I16" s="28">
        <v>1000000</v>
      </c>
      <c r="J16" s="28">
        <v>680000</v>
      </c>
      <c r="K16" s="28"/>
      <c r="L16" s="28">
        <v>400000</v>
      </c>
      <c r="M16" s="28">
        <v>500000</v>
      </c>
      <c r="N16" s="23">
        <v>203</v>
      </c>
      <c r="O16" s="24">
        <v>71</v>
      </c>
      <c r="P16" s="24">
        <v>71</v>
      </c>
      <c r="Q16" s="22">
        <f t="shared" si="17"/>
        <v>28679803</v>
      </c>
      <c r="R16" s="22">
        <f t="shared" si="0"/>
        <v>283300.49261083745</v>
      </c>
      <c r="S16" s="22">
        <f t="shared" si="18"/>
        <v>349753.69458128081</v>
      </c>
      <c r="T16" s="22">
        <f t="shared" si="19"/>
        <v>237832.51231527093</v>
      </c>
      <c r="U16" s="22">
        <f t="shared" si="1"/>
        <v>0</v>
      </c>
      <c r="V16" s="22">
        <f t="shared" si="2"/>
        <v>139901.47783251232</v>
      </c>
      <c r="W16" s="22">
        <f t="shared" si="3"/>
        <v>174876.84729064041</v>
      </c>
      <c r="X16" s="28"/>
      <c r="Y16" s="28"/>
      <c r="Z16" s="28"/>
      <c r="AA16" s="28"/>
      <c r="AB16" s="28"/>
      <c r="AC16" s="28"/>
      <c r="AD16" s="28"/>
      <c r="AE16" s="25" t="s">
        <v>32</v>
      </c>
      <c r="AF16" s="22" t="s">
        <v>32</v>
      </c>
      <c r="AG16" s="22"/>
      <c r="AH16" s="28"/>
      <c r="AI16" s="28"/>
      <c r="AJ16" s="28"/>
      <c r="AK16" s="23"/>
      <c r="AL16" s="23"/>
      <c r="AM16" s="23"/>
      <c r="AN16" s="23"/>
      <c r="AO16" s="23"/>
      <c r="AP16" s="23"/>
      <c r="AQ16" s="23"/>
      <c r="AR16" s="22">
        <f t="shared" si="4"/>
        <v>0</v>
      </c>
      <c r="AS16" s="22">
        <f t="shared" si="5"/>
        <v>0</v>
      </c>
      <c r="AT16" s="22">
        <f t="shared" si="6"/>
        <v>0</v>
      </c>
      <c r="AU16" s="22">
        <f t="shared" si="7"/>
        <v>0</v>
      </c>
      <c r="AV16" s="22">
        <f t="shared" si="8"/>
        <v>0</v>
      </c>
      <c r="AW16" s="22">
        <f t="shared" si="9"/>
        <v>0</v>
      </c>
      <c r="AX16" s="22">
        <f t="shared" si="10"/>
        <v>0</v>
      </c>
      <c r="AY16" s="22">
        <f t="shared" si="20"/>
        <v>0</v>
      </c>
      <c r="AZ16" s="26">
        <f t="shared" si="21"/>
        <v>0</v>
      </c>
      <c r="BA16" s="26">
        <f t="shared" si="22"/>
        <v>0</v>
      </c>
      <c r="BB16" s="22">
        <f t="shared" si="11"/>
        <v>29865468.024630539</v>
      </c>
      <c r="BC16" s="22">
        <f t="shared" si="23"/>
        <v>46800000</v>
      </c>
      <c r="BD16" s="22">
        <f t="shared" si="24"/>
        <v>82000000</v>
      </c>
      <c r="BE16" s="22">
        <f t="shared" si="25"/>
        <v>3744000</v>
      </c>
      <c r="BF16" s="22">
        <f t="shared" si="26"/>
        <v>702000</v>
      </c>
      <c r="BG16" s="22">
        <f t="shared" si="27"/>
        <v>820000</v>
      </c>
      <c r="BH16" s="22">
        <f t="shared" si="12"/>
        <v>5266000</v>
      </c>
      <c r="BI16" s="22">
        <f t="shared" si="13"/>
        <v>45000</v>
      </c>
      <c r="BJ16" s="23">
        <v>0</v>
      </c>
      <c r="BK16" s="22">
        <f t="shared" si="14"/>
        <v>11000000</v>
      </c>
      <c r="BL16" s="27">
        <f t="shared" si="28"/>
        <v>29277881.817733988</v>
      </c>
      <c r="BM16" s="28">
        <f t="shared" si="29"/>
        <v>13011881.817733988</v>
      </c>
      <c r="BN16" s="29"/>
      <c r="BO16" s="28"/>
      <c r="BP16" s="22">
        <f t="shared" si="30"/>
        <v>5311000</v>
      </c>
      <c r="BQ16" s="22">
        <f t="shared" si="31"/>
        <v>24554468.024630539</v>
      </c>
      <c r="BR16" s="22">
        <f t="shared" si="32"/>
        <v>8189999.9999999991</v>
      </c>
      <c r="BS16" s="22">
        <f t="shared" si="33"/>
        <v>1404000</v>
      </c>
      <c r="BT16" s="22">
        <f t="shared" si="34"/>
        <v>820000</v>
      </c>
      <c r="BU16" s="22">
        <f t="shared" si="15"/>
        <v>10414000</v>
      </c>
      <c r="BV16" s="22">
        <f t="shared" si="35"/>
        <v>936000</v>
      </c>
      <c r="BW16" s="22">
        <f t="shared" si="16"/>
        <v>35904468.024630539</v>
      </c>
      <c r="BX16" s="30" t="s">
        <v>42</v>
      </c>
    </row>
  </sheetData>
  <mergeCells count="1">
    <mergeCell ref="A3:F3"/>
  </mergeCells>
  <phoneticPr fontId="8" type="noConversion"/>
  <pageMargins left="0" right="0" top="0" bottom="0" header="0" footer="0"/>
  <pageSetup paperSize="8" firstPageNumber="0" fitToWidth="0" fitToHeight="0" pageOrder="overThenDown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Chie KOK</dc:creator>
  <cp:lastModifiedBy>Ash Sohani</cp:lastModifiedBy>
  <dcterms:created xsi:type="dcterms:W3CDTF">2019-05-29T04:35:07Z</dcterms:created>
  <dcterms:modified xsi:type="dcterms:W3CDTF">2026-08-17T06:27:56Z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7c75fe-f914-45f8-9747-40a3f5d4287a_Enabled">
    <vt:lpwstr>true</vt:lpwstr>
  </property>
  <property fmtid="{D5CDD505-2E9C-101B-9397-08002B2CF9AE}" pid="3" name="MSIP_Label_fe7c75fe-f914-45f8-9747-40a3f5d4287a_SetDate">
    <vt:lpwstr>2021-04-15T04:10:30Z</vt:lpwstr>
  </property>
  <property fmtid="{D5CDD505-2E9C-101B-9397-08002B2CF9AE}" pid="4" name="MSIP_Label_fe7c75fe-f914-45f8-9747-40a3f5d4287a_Method">
    <vt:lpwstr>Standard</vt:lpwstr>
  </property>
  <property fmtid="{D5CDD505-2E9C-101B-9397-08002B2CF9AE}" pid="5" name="MSIP_Label_fe7c75fe-f914-45f8-9747-40a3f5d4287a_Name">
    <vt:lpwstr>Without Visual Marking</vt:lpwstr>
  </property>
  <property fmtid="{D5CDD505-2E9C-101B-9397-08002B2CF9AE}" pid="6" name="MSIP_Label_fe7c75fe-f914-45f8-9747-40a3f5d4287a_SiteId">
    <vt:lpwstr>6e51e1ad-c54b-4b39-b598-0ffe9ae68fef</vt:lpwstr>
  </property>
  <property fmtid="{D5CDD505-2E9C-101B-9397-08002B2CF9AE}" pid="7" name="MSIP_Label_fe7c75fe-f914-45f8-9747-40a3f5d4287a_ActionId">
    <vt:lpwstr>4f4dfafc-8eef-4a6c-9b92-3104e53bd06d</vt:lpwstr>
  </property>
  <property fmtid="{D5CDD505-2E9C-101B-9397-08002B2CF9AE}" pid="8" name="MSIP_Label_fe7c75fe-f914-45f8-9747-40a3f5d4287a_ContentBits">
    <vt:lpwstr>0</vt:lpwstr>
  </property>
  <property fmtid="{D5CDD505-2E9C-101B-9397-08002B2CF9AE}" pid="9" name="MSIP_Label_b3be3305-77b5-42fa-b307-2473f342abe6_Enabled">
    <vt:lpwstr>true</vt:lpwstr>
  </property>
  <property fmtid="{D5CDD505-2E9C-101B-9397-08002B2CF9AE}" pid="10" name="MSIP_Label_b3be3305-77b5-42fa-b307-2473f342abe6_SetDate">
    <vt:lpwstr>2024-03-21T02:40:22Z</vt:lpwstr>
  </property>
  <property fmtid="{D5CDD505-2E9C-101B-9397-08002B2CF9AE}" pid="11" name="MSIP_Label_b3be3305-77b5-42fa-b307-2473f342abe6_Method">
    <vt:lpwstr>Standard</vt:lpwstr>
  </property>
  <property fmtid="{D5CDD505-2E9C-101B-9397-08002B2CF9AE}" pid="12" name="MSIP_Label_b3be3305-77b5-42fa-b307-2473f342abe6_Name">
    <vt:lpwstr>Standard</vt:lpwstr>
  </property>
  <property fmtid="{D5CDD505-2E9C-101B-9397-08002B2CF9AE}" pid="13" name="MSIP_Label_b3be3305-77b5-42fa-b307-2473f342abe6_SiteId">
    <vt:lpwstr>1f475499-34f5-46af-a0e6-7963f0dbb9a9</vt:lpwstr>
  </property>
  <property fmtid="{D5CDD505-2E9C-101B-9397-08002B2CF9AE}" pid="14" name="MSIP_Label_b3be3305-77b5-42fa-b307-2473f342abe6_ActionId">
    <vt:lpwstr>08336035-047d-4f49-8189-c3f0d34b85aa</vt:lpwstr>
  </property>
  <property fmtid="{D5CDD505-2E9C-101B-9397-08002B2CF9AE}" pid="15" name="MSIP_Label_b3be3305-77b5-42fa-b307-2473f342abe6_ContentBits">
    <vt:lpwstr>0</vt:lpwstr>
  </property>
</Properties>
</file>