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230bb201d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7c4df82441ad4872"/>
    <x:sheet xmlns:r="http://schemas.openxmlformats.org/officeDocument/2006/relationships" name="Tax Map" sheetId="2" r:id="Rab663c38dcc54305"/>
  </x:sheets>
  <x:definedNames>
    <x:definedName name="PayrollHeader">'Payroll'!A12:AL12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C4" authorId="0">
      <x:text>
        <x:r>
          <x:t>Source: SGP PayrollInput.xlsx, Payroll Input - August26, August 2026.
Source: Zoho Payroll Singapore Configuration and Data Setup Pack, Compensation, Earning Codes, Deduction Codes and Statutory Config.
SDL: https://www.cpf.gov.sg/employer/employer-obligations/skills-development-levy
CPF eligibility and monthly review: https://www.cpf.gov.sg/employer/employer-obligations/who-should-receive-cpf-contributions
CPF rates and ceilings: https://www.cpf.gov.sg/employer/employer-obligations/how-much-cpf-contributions-to-pay
Only SDL is automated in this template. CPF, SHG fund eligibility, opt-outs and contribution amounts must be reviewed separately.
Bonus, leave encashment, tax clearance, benefits, approval matrix, statutory filing and bank export are outside this monthly template.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0"/>
    <x:numFmt numFmtId="202" formatCode="@"/>
    <x:numFmt numFmtId="203" formatCode="dd/mm/yyyy"/>
    <x:numFmt numFmtId="204" formatCode="#,##0.00;[Red](#,##0.00);0.00"/>
  </x:numFmts>
  <x:fonts count="6">
    <x:font>
      <x:sz val="11"/>
      <x:name val="Carlito"/>
    </x:font>
    <x:font>
      <x:sz val="10"/>
      <x:color rgb="FF26324A"/>
      <x:name val="Arial"/>
    </x:font>
    <x:font>
      <x:b/>
      <x:sz val="14"/>
      <x:color rgb="FF35286F"/>
      <x:name val="Arial"/>
    </x:font>
    <x:font>
      <x:sz val="10"/>
      <x:color rgb="FF0000FF"/>
      <x:name val="Arial"/>
    </x:font>
    <x:font>
      <x:b/>
      <x:sz val="10"/>
      <x:color rgb="FF35286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E9F9"/>
      </x:patternFill>
    </x:fill>
    <x:fill>
      <x:patternFill patternType="solid">
        <x:fgColor rgb="FF35286F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b82ef7c1724373" /><Relationship Type="http://schemas.openxmlformats.org/officeDocument/2006/relationships/theme" Target="/xl/theme/theme1.xml" Id="Rd7a25daf579d4e0e" /><Relationship Type="http://schemas.openxmlformats.org/officeDocument/2006/relationships/sharedStrings" Target="/xl/sharedStrings.xml" Id="R2654346c4cac4965" /><Relationship Type="http://schemas.openxmlformats.org/officeDocument/2006/relationships/worksheet" Target="/xl/worksheets/sheet1.xml" Id="R7c4df82441ad4872" /><Relationship Type="http://schemas.openxmlformats.org/officeDocument/2006/relationships/worksheet" Target="/xl/worksheets/sheet2.xml" Id="Rab663c38dcc5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d2295c7c8d64a7c" /><Relationship Type="http://schemas.openxmlformats.org/officeDocument/2006/relationships/vmlDrawing" Target="/xl/drawings/vmldrawing.vml" Id="R96e9f091152143a1" /></Relationships>
</file>

<file path=xl/worksheets/sheet1.xml><?xml version="1.0" encoding="utf-8"?>
<x:worksheet xmlns:x="http://schemas.openxmlformats.org/spreadsheetml/2006/main">
  <x:sheetPr>
    <x:tabColor rgb="FF5747B5"/>
  </x:sheetPr>
  <x:sheetViews>
    <x:sheetView showGridLines="0" workbookViewId="0">
      <x:pane xSplit="3" ySplit="12" topLeftCell="D13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9" hidden="0" customWidth="1"/>
    <x:col min="4" max="4" width="2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9" hidden="0" customWidth="1"/>
    <x:col min="31" max="31" width="20" hidden="0" customWidth="1"/>
    <x:col min="32" max="32" width="20" hidden="0" customWidth="1"/>
    <x:col min="33" max="33" width="29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</x:row>
    <x:row r="2" ht="24" customHeight="1">
      <x:c r="A2" s="3" t="str">
        <x:v>Rize Singapore payroll configuration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</x:row>
    <x:row r="4" ht="24" customHeight="1">
      <x:c r="A4" s="2" t="str">
        <x:v>SDL rate</x:v>
      </x:c>
      <x:c r="B4" s="2"/>
      <x:c r="C4" s="5" t="n">
        <x:v>0.0025</x:v>
      </x:c>
      <x:c r="D4" s="2"/>
      <x:c r="E4" s="2" t="str">
        <x:v>SDL minimum SGD</x:v>
      </x:c>
      <x:c r="F4" s="2"/>
      <x:c r="G4" s="7" t="n">
        <x:v>2</x:v>
      </x:c>
      <x:c r="H4" s="2"/>
      <x:c r="I4" s="2" t="str">
        <x:v>SDL maximum SGD</x:v>
      </x:c>
      <x:c r="J4" s="2"/>
      <x:c r="K4" s="7" t="n">
        <x:v>11.25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</x:row>
    <x:row r="6" ht="24" customHeight="1">
      <x:c r="A6" s="2" t="str">
        <x:v>SGD. August 2026 source baseline. Fictional employees are included for import testing.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</x:row>
    <x:row r="7" ht="24" customHeight="1">
      <x:c r="A7" s="2" t="str">
        <x:v>Proration follows the client: ROUND((basic salary - employee CPF - self-help) / working days * active days, 0).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</x:row>
    <x:row r="8" ht="24" customHeight="1">
      <x:c r="A8" s="2" t="str">
        <x:v>Medical allowance and other income are added after proration. CPF and self-help amounts require monthly review.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</x:row>
    <x:row r="9" ht="24" customHeight="1">
      <x:c r="A9" s="2" t="str">
        <x:v>SDL uses actual cash wages. Sum employee SDL, then round the employer remittance down to whole dollars.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</x:row>
    <x:row r="10" ht="24" customHeight="1">
      <x:c r="A10" s="2" t="str">
        <x:v>Import Payroll, header row 12, Employee ID as primary key. Tax Map is read automatically.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</x:row>
    <x:row r="11" ht="36" customHeight="1">
      <x:c r="A11" s="10" t="str">
        <x:v>Employee details</x:v>
      </x:c>
      <x:c r="B11" s="10"/>
      <x:c r="C11" s="10"/>
      <x:c r="D11" s="10"/>
      <x:c r="E11" s="10"/>
      <x:c r="F11" s="10"/>
      <x:c r="G11" s="10"/>
      <x:c r="H11" s="10" t="str">
        <x:v>Payroll inputs</x:v>
      </x:c>
      <x:c r="I11" s="10"/>
      <x:c r="J11" s="10"/>
      <x:c r="K11" s="10"/>
      <x:c r="L11" s="10"/>
      <x:c r="M11" s="10" t="str">
        <x:v>Employer contributions</x:v>
      </x:c>
      <x:c r="N11" s="10" t="str">
        <x:v>Full-month reference</x:v>
      </x:c>
      <x:c r="O11" s="10"/>
      <x:c r="P11" s="10"/>
      <x:c r="Q11" s="10"/>
      <x:c r="R11" s="10" t="str">
        <x:v>Payroll inputs</x:v>
      </x:c>
      <x:c r="S11" s="10"/>
      <x:c r="T11" s="10"/>
      <x:c r="U11" s="10"/>
      <x:c r="V11" s="10"/>
      <x:c r="W11" s="10" t="str">
        <x:v>Calculation steps</x:v>
      </x:c>
      <x:c r="X11" s="10"/>
      <x:c r="Y11" s="10" t="str">
        <x:v>Earnings</x:v>
      </x:c>
      <x:c r="Z11" s="10"/>
      <x:c r="AA11" s="10" t="str">
        <x:v>Totals</x:v>
      </x:c>
      <x:c r="AB11" s="10" t="str">
        <x:v>Bank details</x:v>
      </x:c>
      <x:c r="AC11" s="10"/>
      <x:c r="AD11" s="10"/>
      <x:c r="AE11" s="10"/>
      <x:c r="AF11" s="10" t="str">
        <x:v>Employee details</x:v>
      </x:c>
      <x:c r="AG11" s="10"/>
      <x:c r="AH11" s="10" t="str">
        <x:v>Earnings</x:v>
      </x:c>
      <x:c r="AI11" s="10" t="str">
        <x:v>Deductions</x:v>
      </x:c>
      <x:c r="AJ11" s="10" t="str">
        <x:v>Totals</x:v>
      </x:c>
      <x:c r="AK11" s="10"/>
      <x:c r="AL11" s="10" t="str">
        <x:v>Deductions</x:v>
      </x:c>
    </x:row>
    <x:row r="12" ht="65" customHeight="1">
      <x:c r="A12" s="14" t="str">
        <x:v>Employee ID</x:v>
      </x:c>
      <x:c r="B12" s="14" t="str">
        <x:v>Country</x:v>
      </x:c>
      <x:c r="C12" s="14" t="str">
        <x:v>Name</x:v>
      </x:c>
      <x:c r="D12" s="14" t="str">
        <x:v>Designation</x:v>
      </x:c>
      <x:c r="E12" s="14" t="str">
        <x:v>Date of birth</x:v>
      </x:c>
      <x:c r="F12" s="14" t="str">
        <x:v>Join date</x:v>
      </x:c>
      <x:c r="G12" s="14" t="str">
        <x:v>Local currency</x:v>
      </x:c>
      <x:c r="H12" s="14" t="str">
        <x:v>Monthly basic salary SGD</x:v>
      </x:c>
      <x:c r="I12" s="14" t="str">
        <x:v>Employee CPF SGD</x:v>
      </x:c>
      <x:c r="J12" s="14" t="str">
        <x:v>Self-help fund</x:v>
      </x:c>
      <x:c r="K12" s="14" t="str">
        <x:v>Employee self-help contribution SGD</x:v>
      </x:c>
      <x:c r="L12" s="14" t="str">
        <x:v>Employer CPF SGD</x:v>
      </x:c>
      <x:c r="M12" s="14" t="str">
        <x:v>SDL employer contribution SGD</x:v>
      </x:c>
      <x:c r="N12" s="14" t="str">
        <x:v>Net salary per month SGD</x:v>
      </x:c>
      <x:c r="O12" s="14" t="str">
        <x:v>CTC monthly SGD</x:v>
      </x:c>
      <x:c r="P12" s="14" t="str">
        <x:v>Gross CTC annual SGD</x:v>
      </x:c>
      <x:c r="Q12" s="14" t="str">
        <x:v>Net CTC annual SGD</x:v>
      </x:c>
      <x:c r="R12" s="14" t="str">
        <x:v>Payroll start date</x:v>
      </x:c>
      <x:c r="S12" s="14" t="str">
        <x:v>Payroll end date</x:v>
      </x:c>
      <x:c r="T12" s="14" t="str">
        <x:v>Standard working days</x:v>
      </x:c>
      <x:c r="U12" s="14" t="str">
        <x:v>LOP days</x:v>
      </x:c>
      <x:c r="V12" s="14" t="str">
        <x:v>Arrear days</x:v>
      </x:c>
      <x:c r="W12" s="14" t="str">
        <x:v>Active working days</x:v>
      </x:c>
      <x:c r="X12" s="14" t="str">
        <x:v>Salary payable SGD</x:v>
      </x:c>
      <x:c r="Y12" s="14" t="str">
        <x:v>Medical allowance SGD</x:v>
      </x:c>
      <x:c r="Z12" s="14" t="str">
        <x:v>Other income SGD</x:v>
      </x:c>
      <x:c r="AA12" s="14" t="str">
        <x:v>Net take-home pay SGD</x:v>
      </x:c>
      <x:c r="AB12" s="14" t="str">
        <x:v>Bank name</x:v>
      </x:c>
      <x:c r="AC12" s="14" t="str">
        <x:v>Bank account number</x:v>
      </x:c>
      <x:c r="AD12" s="14" t="str">
        <x:v>Account holder name</x:v>
      </x:c>
      <x:c r="AE12" s="14" t="str">
        <x:v>SWIFT code</x:v>
      </x:c>
      <x:c r="AF12" s="14" t="str">
        <x:v>Work pass or CPF status</x:v>
      </x:c>
      <x:c r="AG12" s="14" t="str">
        <x:v>Remarks</x:v>
      </x:c>
      <x:c r="AH12" s="14" t="str">
        <x:v>Prorated gross salary SGD</x:v>
      </x:c>
      <x:c r="AI12" s="14" t="str">
        <x:v>Deductions applied to pay SGD</x:v>
      </x:c>
      <x:c r="AJ12" s="14" t="str">
        <x:v>Cash earnings SGD</x:v>
      </x:c>
      <x:c r="AK12" s="14" t="str">
        <x:v>Employer cost SGD</x:v>
      </x:c>
      <x:c r="AL12" s="14" t="str">
        <x:v>Income tax withheld SGD</x:v>
      </x:c>
    </x:row>
    <x:row r="13" ht="24" customHeight="1">
      <x:c r="A13" s="16" t="str">
        <x:v>000001</x:v>
      </x:c>
      <x:c r="B13" s="16" t="str">
        <x:v>Singapore</x:v>
      </x:c>
      <x:c r="C13" s="16" t="str">
        <x:v>Example employee 1</x:v>
      </x:c>
      <x:c r="D13" s="16" t="str">
        <x:v>Example role</x:v>
      </x:c>
      <x:c r="E13" s="18"/>
      <x:c r="F13" s="18"/>
      <x:c r="G13" s="16" t="str">
        <x:v>SGD</x:v>
      </x:c>
      <x:c r="H13" s="20" t="n">
        <x:v>25000</x:v>
      </x:c>
      <x:c r="I13" s="20" t="n">
        <x:v>0</x:v>
      </x:c>
      <x:c r="J13" s="16" t="str">
        <x:v>None</x:v>
      </x:c>
      <x:c r="K13" s="20" t="n">
        <x:v>0</x:v>
      </x:c>
      <x:c r="L13" s="20" t="n">
        <x:v>0</x:v>
      </x:c>
      <x:c r="M13" s="19" t="n">
        <x:f>IF(T13&gt;0,MIN(MAX(AJ13*$C$4,$G$4),$K$4),"Working days required")</x:f>
        <x:v>11.25</x:v>
      </x:c>
      <x:c r="N13" s="19" t="n">
        <x:f>H13-I13-K13</x:f>
        <x:v>25000</x:v>
      </x:c>
      <x:c r="O13" s="19" t="n">
        <x:f>IF(T13&gt;0,SUM(H13,L13,M13),"Working days required")</x:f>
        <x:v>25011.25</x:v>
      </x:c>
      <x:c r="P13" s="19" t="n">
        <x:f>IF(T13&gt;0,O13*12,"Working days required")</x:f>
        <x:v>300135</x:v>
      </x:c>
      <x:c r="Q13" s="19" t="n">
        <x:f>N13*12</x:f>
        <x:v>300000</x:v>
      </x:c>
      <x:c r="R13" s="18" t="n">
        <x:v>46235</x:v>
      </x:c>
      <x:c r="S13" s="18" t="n">
        <x:v>46265</x:v>
      </x:c>
      <x:c r="T13" s="21" t="n">
        <x:v>20</x:v>
      </x:c>
      <x:c r="U13" s="21" t="n">
        <x:v>0</x:v>
      </x:c>
      <x:c r="V13" s="21" t="n">
        <x:v>0</x:v>
      </x:c>
      <x:c r="W13" s="6" t="n">
        <x:f>T13-U13+V13</x:f>
        <x:v>20</x:v>
      </x:c>
      <x:c r="X13" s="19" t="n">
        <x:f>IF(T13&gt;0,ROUND(N13/T13*W13,0)+Y13,"Working days required")</x:f>
        <x:v>25000</x:v>
      </x:c>
      <x:c r="Y13" s="20" t="n">
        <x:v>0</x:v>
      </x:c>
      <x:c r="Z13" s="20" t="n">
        <x:v>0</x:v>
      </x:c>
      <x:c r="AA13" s="19" t="n">
        <x:f>IF(T13&gt;0,X13+Z13,"Working days required")</x:f>
        <x:v>25000</x:v>
      </x:c>
      <x:c r="AB13" s="16" t="str"/>
      <x:c r="AC13" s="16" t="str">
        <x:v>0000123456</x:v>
      </x:c>
      <x:c r="AD13" s="16" t="str">
        <x:v>Example account holder</x:v>
      </x:c>
      <x:c r="AE13" s="16" t="str">
        <x:v>EXAMPLE</x:v>
      </x:c>
      <x:c r="AF13" s="16" t="str">
        <x:v>LTVP</x:v>
      </x:c>
      <x:c r="AG13" s="16" t="str">
        <x:v>Full month, CPF-exempt, no self-help</x:v>
      </x:c>
      <x:c r="AH13" s="19" t="n">
        <x:f>IF(T13&gt;0,ROUND(H13/T13*W13,0),"Working days required")</x:f>
        <x:v>25000</x:v>
      </x:c>
      <x:c r="AI13" s="19" t="n">
        <x:f>IF(T13&gt;0,AH13-ROUND(N13/T13*W13,0),"Working days required")</x:f>
        <x:v>0</x:v>
      </x:c>
      <x:c r="AJ13" s="19" t="n">
        <x:f>IF(T13&gt;0,AH13+Y13+Z13,"Working days required")</x:f>
        <x:v>25000</x:v>
      </x:c>
      <x:c r="AK13" s="19" t="n">
        <x:f>IF(T13&gt;0,SUM(AJ13,L13,M13),"Working days required")</x:f>
        <x:v>25011.25</x:v>
      </x:c>
      <x:c r="AL13" s="19" t="n">
        <x:f>0</x:f>
        <x:v>0</x:v>
      </x:c>
    </x:row>
    <x:row r="14" ht="24" customHeight="1">
      <x:c r="A14" s="16" t="str">
        <x:v>EXAMPLE2</x:v>
      </x:c>
      <x:c r="B14" s="16" t="str">
        <x:v>Singapore</x:v>
      </x:c>
      <x:c r="C14" s="16" t="str">
        <x:v>Example employee 2</x:v>
      </x:c>
      <x:c r="D14" s="16" t="str">
        <x:v>Example role</x:v>
      </x:c>
      <x:c r="E14" s="18"/>
      <x:c r="F14" s="18"/>
      <x:c r="G14" s="16" t="str">
        <x:v>SGD</x:v>
      </x:c>
      <x:c r="H14" s="20" t="n">
        <x:v>21000</x:v>
      </x:c>
      <x:c r="I14" s="20" t="n">
        <x:v>0</x:v>
      </x:c>
      <x:c r="J14" s="16" t="str">
        <x:v>SINDA</x:v>
      </x:c>
      <x:c r="K14" s="20" t="n">
        <x:v>30</x:v>
      </x:c>
      <x:c r="L14" s="20" t="n">
        <x:v>0</x:v>
      </x:c>
      <x:c r="M14" s="19" t="n">
        <x:f>IF(T14&gt;0,MIN(MAX(AJ14*$C$4,$G$4),$K$4),"Working days required")</x:f>
        <x:v>11.25</x:v>
      </x:c>
      <x:c r="N14" s="19" t="n">
        <x:f>H14-I14-K14</x:f>
        <x:v>20970</x:v>
      </x:c>
      <x:c r="O14" s="19" t="n">
        <x:f>IF(T14&gt;0,SUM(H14,L14,M14),"Working days required")</x:f>
        <x:v>21011.25</x:v>
      </x:c>
      <x:c r="P14" s="19" t="n">
        <x:f>IF(T14&gt;0,O14*12,"Working days required")</x:f>
        <x:v>252135</x:v>
      </x:c>
      <x:c r="Q14" s="19" t="n">
        <x:f>N14*12</x:f>
        <x:v>251640</x:v>
      </x:c>
      <x:c r="R14" s="18" t="n">
        <x:v>46235</x:v>
      </x:c>
      <x:c r="S14" s="18" t="n">
        <x:v>46265</x:v>
      </x:c>
      <x:c r="T14" s="21" t="n">
        <x:v>20</x:v>
      </x:c>
      <x:c r="U14" s="21" t="n">
        <x:v>0</x:v>
      </x:c>
      <x:c r="V14" s="21" t="n">
        <x:v>0</x:v>
      </x:c>
      <x:c r="W14" s="6" t="n">
        <x:f>T14-U14+V14</x:f>
        <x:v>20</x:v>
      </x:c>
      <x:c r="X14" s="19" t="n">
        <x:f>IF(T14&gt;0,ROUND(N14/T14*W14,0)+Y14,"Working days required")</x:f>
        <x:v>20970</x:v>
      </x:c>
      <x:c r="Y14" s="20" t="n">
        <x:v>0</x:v>
      </x:c>
      <x:c r="Z14" s="20" t="n">
        <x:v>0</x:v>
      </x:c>
      <x:c r="AA14" s="19" t="n">
        <x:f>IF(T14&gt;0,X14+Z14,"Working days required")</x:f>
        <x:v>20970</x:v>
      </x:c>
      <x:c r="AB14" s="16" t="str"/>
      <x:c r="AC14" s="16" t="str">
        <x:v>0000123456</x:v>
      </x:c>
      <x:c r="AD14" s="16" t="str">
        <x:v>Example account holder</x:v>
      </x:c>
      <x:c r="AE14" s="16" t="str">
        <x:v>EXAMPLE</x:v>
      </x:c>
      <x:c r="AF14" s="16" t="str">
        <x:v>EP</x:v>
      </x:c>
      <x:c r="AG14" s="16" t="str">
        <x:v>Full month, CPF-exempt, reviewed SINDA</x:v>
      </x:c>
      <x:c r="AH14" s="19" t="n">
        <x:f>IF(T14&gt;0,ROUND(H14/T14*W14,0),"Working days required")</x:f>
        <x:v>21000</x:v>
      </x:c>
      <x:c r="AI14" s="19" t="n">
        <x:f>IF(T14&gt;0,AH14-ROUND(N14/T14*W14,0),"Working days required")</x:f>
        <x:v>30</x:v>
      </x:c>
      <x:c r="AJ14" s="19" t="n">
        <x:f>IF(T14&gt;0,AH14+Y14+Z14,"Working days required")</x:f>
        <x:v>21000</x:v>
      </x:c>
      <x:c r="AK14" s="19" t="n">
        <x:f>IF(T14&gt;0,SUM(AJ14,L14,M14),"Working days required")</x:f>
        <x:v>21011.25</x:v>
      </x:c>
      <x:c r="AL14" s="19" t="n">
        <x:f>0</x:f>
        <x:v>0</x:v>
      </x:c>
    </x:row>
    <x:row r="15" ht="24" customHeight="1">
      <x:c r="A15" s="16" t="str">
        <x:v>EXAMPLE3</x:v>
      </x:c>
      <x:c r="B15" s="16" t="str">
        <x:v>Singapore</x:v>
      </x:c>
      <x:c r="C15" s="16" t="str">
        <x:v>Example employee 3</x:v>
      </x:c>
      <x:c r="D15" s="16" t="str">
        <x:v>Example role</x:v>
      </x:c>
      <x:c r="E15" s="18"/>
      <x:c r="F15" s="18"/>
      <x:c r="G15" s="16" t="str">
        <x:v>SGD</x:v>
      </x:c>
      <x:c r="H15" s="20" t="n">
        <x:v>3000</x:v>
      </x:c>
      <x:c r="I15" s="20" t="n">
        <x:v>600</x:v>
      </x:c>
      <x:c r="J15" s="16" t="str">
        <x:v>CDAC</x:v>
      </x:c>
      <x:c r="K15" s="20" t="n">
        <x:v>1</x:v>
      </x:c>
      <x:c r="L15" s="20" t="n">
        <x:v>510</x:v>
      </x:c>
      <x:c r="M15" s="19" t="n">
        <x:f>IF(T15&gt;0,MIN(MAX(AJ15*$C$4,$G$4),$K$4),"Working days required")</x:f>
        <x:v>7.0625</x:v>
      </x:c>
      <x:c r="N15" s="19" t="n">
        <x:f>H15-I15-K15</x:f>
        <x:v>2399</x:v>
      </x:c>
      <x:c r="O15" s="19" t="n">
        <x:f>IF(T15&gt;0,SUM(H15,L15,M15),"Working days required")</x:f>
        <x:v>3517.0625</x:v>
      </x:c>
      <x:c r="P15" s="19" t="n">
        <x:f>IF(T15&gt;0,O15*12,"Working days required")</x:f>
        <x:v>42204.75</x:v>
      </x:c>
      <x:c r="Q15" s="19" t="n">
        <x:f>N15*12</x:f>
        <x:v>28788</x:v>
      </x:c>
      <x:c r="R15" s="18" t="n">
        <x:v>46235</x:v>
      </x:c>
      <x:c r="S15" s="18" t="n">
        <x:v>46265</x:v>
      </x:c>
      <x:c r="T15" s="21" t="n">
        <x:v>20</x:v>
      </x:c>
      <x:c r="U15" s="21" t="n">
        <x:v>2</x:v>
      </x:c>
      <x:c r="V15" s="21" t="n">
        <x:v>0</x:v>
      </x:c>
      <x:c r="W15" s="6" t="n">
        <x:f>T15-U15+V15</x:f>
        <x:v>18</x:v>
      </x:c>
      <x:c r="X15" s="19" t="n">
        <x:f>IF(T15&gt;0,ROUND(N15/T15*W15,0)+Y15,"Working days required")</x:f>
        <x:v>2259</x:v>
      </x:c>
      <x:c r="Y15" s="20" t="n">
        <x:v>100</x:v>
      </x:c>
      <x:c r="Z15" s="20" t="n">
        <x:v>25</x:v>
      </x:c>
      <x:c r="AA15" s="19" t="n">
        <x:f>IF(T15&gt;0,X15+Z15,"Working days required")</x:f>
        <x:v>2284</x:v>
      </x:c>
      <x:c r="AB15" s="16" t="str"/>
      <x:c r="AC15" s="16" t="str">
        <x:v>0000123456</x:v>
      </x:c>
      <x:c r="AD15" s="16" t="str">
        <x:v>Example account holder</x:v>
      </x:c>
      <x:c r="AE15" s="16" t="str">
        <x:v>EXAMPLE</x:v>
      </x:c>
      <x:c r="AF15" s="16" t="str">
        <x:v>Citizen</x:v>
      </x:c>
      <x:c r="AG15" s="16" t="str">
        <x:v>Partial month with reviewed deductions</x:v>
      </x:c>
      <x:c r="AH15" s="19" t="n">
        <x:f>IF(T15&gt;0,ROUND(H15/T15*W15,0),"Working days required")</x:f>
        <x:v>2700</x:v>
      </x:c>
      <x:c r="AI15" s="19" t="n">
        <x:f>IF(T15&gt;0,AH15-ROUND(N15/T15*W15,0),"Working days required")</x:f>
        <x:v>541</x:v>
      </x:c>
      <x:c r="AJ15" s="19" t="n">
        <x:f>IF(T15&gt;0,AH15+Y15+Z15,"Working days required")</x:f>
        <x:v>2825</x:v>
      </x:c>
      <x:c r="AK15" s="19" t="n">
        <x:f>IF(T15&gt;0,SUM(AJ15,L15,M15),"Working days required")</x:f>
        <x:v>3342.0625</x:v>
      </x:c>
      <x:c r="AL15" s="19" t="n">
        <x:f>0</x:f>
        <x:v>0</x:v>
      </x:c>
    </x:row>
    <x:row r="16" ht="24" customHeight="1">
      <x:c r="A16" s="16" t="str">
        <x:v>EXAMPLE4</x:v>
      </x:c>
      <x:c r="B16" s="16" t="str">
        <x:v>Singapore</x:v>
      </x:c>
      <x:c r="C16" s="16" t="str">
        <x:v>Example employee 4</x:v>
      </x:c>
      <x:c r="D16" s="16" t="str">
        <x:v>Example role</x:v>
      </x:c>
      <x:c r="E16" s="18"/>
      <x:c r="F16" s="18"/>
      <x:c r="G16" s="16" t="str">
        <x:v>SGD</x:v>
      </x:c>
      <x:c r="H16" s="20" t="n">
        <x:v>4000</x:v>
      </x:c>
      <x:c r="I16" s="20" t="n">
        <x:v>0</x:v>
      </x:c>
      <x:c r="J16" s="16" t="str">
        <x:v>None</x:v>
      </x:c>
      <x:c r="K16" s="20" t="n">
        <x:v>0</x:v>
      </x:c>
      <x:c r="L16" s="20" t="n">
        <x:v>0</x:v>
      </x:c>
      <x:c r="M16" s="19" t="n">
        <x:f>IF(T16&gt;0,MIN(MAX(AJ16*$C$4,$G$4),$K$4),"Working days required")</x:f>
        <x:v>11.25</x:v>
      </x:c>
      <x:c r="N16" s="19" t="n">
        <x:f>H16-I16-K16</x:f>
        <x:v>4000</x:v>
      </x:c>
      <x:c r="O16" s="19" t="n">
        <x:f>IF(T16&gt;0,SUM(H16,L16,M16),"Working days required")</x:f>
        <x:v>4011.25</x:v>
      </x:c>
      <x:c r="P16" s="19" t="n">
        <x:f>IF(T16&gt;0,O16*12,"Working days required")</x:f>
        <x:v>48135</x:v>
      </x:c>
      <x:c r="Q16" s="19" t="n">
        <x:f>N16*12</x:f>
        <x:v>48000</x:v>
      </x:c>
      <x:c r="R16" s="18" t="n">
        <x:v>46235</x:v>
      </x:c>
      <x:c r="S16" s="18" t="n">
        <x:v>46265</x:v>
      </x:c>
      <x:c r="T16" s="21" t="n">
        <x:v>20</x:v>
      </x:c>
      <x:c r="U16" s="21" t="n">
        <x:v>0</x:v>
      </x:c>
      <x:c r="V16" s="21" t="n">
        <x:v>1.5</x:v>
      </x:c>
      <x:c r="W16" s="6" t="n">
        <x:f>T16-U16+V16</x:f>
        <x:v>21.5</x:v>
      </x:c>
      <x:c r="X16" s="19" t="n">
        <x:f>IF(T16&gt;0,ROUND(N16/T16*W16,0)+Y16,"Working days required")</x:f>
        <x:v>4300</x:v>
      </x:c>
      <x:c r="Y16" s="20" t="n">
        <x:v>0</x:v>
      </x:c>
      <x:c r="Z16" s="20" t="n">
        <x:v>250</x:v>
      </x:c>
      <x:c r="AA16" s="19" t="n">
        <x:f>IF(T16&gt;0,X16+Z16,"Working days required")</x:f>
        <x:v>4550</x:v>
      </x:c>
      <x:c r="AB16" s="16" t="str"/>
      <x:c r="AC16" s="16" t="str">
        <x:v>0000123456</x:v>
      </x:c>
      <x:c r="AD16" s="16" t="str">
        <x:v>Example account holder</x:v>
      </x:c>
      <x:c r="AE16" s="16" t="str">
        <x:v>EXAMPLE</x:v>
      </x:c>
      <x:c r="AF16" s="16" t="str">
        <x:v>EP</x:v>
      </x:c>
      <x:c r="AG16" s="16" t="str">
        <x:v>Arrear days and other income</x:v>
      </x:c>
      <x:c r="AH16" s="19" t="n">
        <x:f>IF(T16&gt;0,ROUND(H16/T16*W16,0),"Working days required")</x:f>
        <x:v>4300</x:v>
      </x:c>
      <x:c r="AI16" s="19" t="n">
        <x:f>IF(T16&gt;0,AH16-ROUND(N16/T16*W16,0),"Working days required")</x:f>
        <x:v>0</x:v>
      </x:c>
      <x:c r="AJ16" s="19" t="n">
        <x:f>IF(T16&gt;0,AH16+Y16+Z16,"Working days required")</x:f>
        <x:v>4550</x:v>
      </x:c>
      <x:c r="AK16" s="19" t="n">
        <x:f>IF(T16&gt;0,SUM(AJ16,L16,M16),"Working days required")</x:f>
        <x:v>4561.25</x:v>
      </x:c>
      <x:c r="AL16" s="19" t="n">
        <x:f>0</x:f>
        <x:v>0</x:v>
      </x:c>
    </x:row>
    <x:row r="17" ht="24" customHeight="1">
      <x:c r="A17" s="16" t="str">
        <x:v>EXAMPLE5</x:v>
      </x:c>
      <x:c r="B17" s="16" t="str">
        <x:v>Singapore</x:v>
      </x:c>
      <x:c r="C17" s="16" t="str">
        <x:v>Example employee 5</x:v>
      </x:c>
      <x:c r="D17" s="16" t="str">
        <x:v>Example role</x:v>
      </x:c>
      <x:c r="E17" s="18"/>
      <x:c r="F17" s="18"/>
      <x:c r="G17" s="16" t="str">
        <x:v>SGD</x:v>
      </x:c>
      <x:c r="H17" s="20" t="n">
        <x:v>609.5</x:v>
      </x:c>
      <x:c r="I17" s="20" t="n">
        <x:v>0</x:v>
      </x:c>
      <x:c r="J17" s="16" t="str">
        <x:v>None</x:v>
      </x:c>
      <x:c r="K17" s="20" t="n">
        <x:v>0</x:v>
      </x:c>
      <x:c r="L17" s="20" t="n">
        <x:v>0</x:v>
      </x:c>
      <x:c r="M17" s="19" t="n">
        <x:f>IF(T17&gt;0,MIN(MAX(AJ17*$C$4,$G$4),$K$4),"Working days required")</x:f>
        <x:v>2</x:v>
      </x:c>
      <x:c r="N17" s="19" t="n">
        <x:f>H17-I17-K17</x:f>
        <x:v>609.5</x:v>
      </x:c>
      <x:c r="O17" s="19" t="n">
        <x:f>IF(T17&gt;0,SUM(H17,L17,M17),"Working days required")</x:f>
        <x:v>611.5</x:v>
      </x:c>
      <x:c r="P17" s="19" t="n">
        <x:f>IF(T17&gt;0,O17*12,"Working days required")</x:f>
        <x:v>7338</x:v>
      </x:c>
      <x:c r="Q17" s="19" t="n">
        <x:f>N17*12</x:f>
        <x:v>7314</x:v>
      </x:c>
      <x:c r="R17" s="18" t="n">
        <x:v>46235</x:v>
      </x:c>
      <x:c r="S17" s="18" t="n">
        <x:v>46265</x:v>
      </x:c>
      <x:c r="T17" s="21" t="n">
        <x:v>20</x:v>
      </x:c>
      <x:c r="U17" s="21" t="n">
        <x:v>0</x:v>
      </x:c>
      <x:c r="V17" s="21" t="n">
        <x:v>0</x:v>
      </x:c>
      <x:c r="W17" s="6" t="n">
        <x:f>T17-U17+V17</x:f>
        <x:v>20</x:v>
      </x:c>
      <x:c r="X17" s="19" t="n">
        <x:f>IF(T17&gt;0,ROUND(N17/T17*W17,0)+Y17,"Working days required")</x:f>
        <x:v>610</x:v>
      </x:c>
      <x:c r="Y17" s="20" t="n">
        <x:v>0</x:v>
      </x:c>
      <x:c r="Z17" s="20" t="n">
        <x:v>0</x:v>
      </x:c>
      <x:c r="AA17" s="19" t="n">
        <x:f>IF(T17&gt;0,X17+Z17,"Working days required")</x:f>
        <x:v>610</x:v>
      </x:c>
      <x:c r="AB17" s="16" t="str"/>
      <x:c r="AC17" s="16" t="str">
        <x:v>0000123456</x:v>
      </x:c>
      <x:c r="AD17" s="16" t="str">
        <x:v>Example account holder</x:v>
      </x:c>
      <x:c r="AE17" s="16" t="str">
        <x:v>EXAMPLE</x:v>
      </x:c>
      <x:c r="AF17" s="16" t="str">
        <x:v>EP</x:v>
      </x:c>
      <x:c r="AG17" s="16" t="str">
        <x:v>SDL minimum</x:v>
      </x:c>
      <x:c r="AH17" s="19" t="n">
        <x:f>IF(T17&gt;0,ROUND(H17/T17*W17,0),"Working days required")</x:f>
        <x:v>610</x:v>
      </x:c>
      <x:c r="AI17" s="19" t="n">
        <x:f>IF(T17&gt;0,AH17-ROUND(N17/T17*W17,0),"Working days required")</x:f>
        <x:v>0</x:v>
      </x:c>
      <x:c r="AJ17" s="19" t="n">
        <x:f>IF(T17&gt;0,AH17+Y17+Z17,"Working days required")</x:f>
        <x:v>610</x:v>
      </x:c>
      <x:c r="AK17" s="19" t="n">
        <x:f>IF(T17&gt;0,SUM(AJ17,L17,M17),"Working days required")</x:f>
        <x:v>612</x:v>
      </x:c>
      <x:c r="AL17" s="19" t="n">
        <x:f>0</x:f>
        <x:v>0</x:v>
      </x:c>
    </x:row>
    <x:row r="18" ht="24" customHeight="1">
      <x:c r="A18" s="16" t="str">
        <x:v>EXAMPLE6</x:v>
      </x:c>
      <x:c r="B18" s="16" t="str">
        <x:v>Singapore</x:v>
      </x:c>
      <x:c r="C18" s="16" t="str">
        <x:v>Example employee 6</x:v>
      </x:c>
      <x:c r="D18" s="16" t="str">
        <x:v>Example role</x:v>
      </x:c>
      <x:c r="E18" s="18"/>
      <x:c r="F18" s="18"/>
      <x:c r="G18" s="16" t="str">
        <x:v>SGD</x:v>
      </x:c>
      <x:c r="H18" s="20" t="n">
        <x:v>2000</x:v>
      </x:c>
      <x:c r="I18" s="20" t="n">
        <x:v>0</x:v>
      </x:c>
      <x:c r="J18" s="16" t="str">
        <x:v>None</x:v>
      </x:c>
      <x:c r="K18" s="20" t="n">
        <x:v>0</x:v>
      </x:c>
      <x:c r="L18" s="20" t="n">
        <x:v>0</x:v>
      </x:c>
      <x:c r="M18" s="19" t="n">
        <x:f>IF(T18&gt;0,MIN(MAX(AJ18*$C$4,$G$4),$K$4),"Working days required")</x:f>
        <x:v>5</x:v>
      </x:c>
      <x:c r="N18" s="19" t="n">
        <x:f>H18-I18-K18</x:f>
        <x:v>2000</x:v>
      </x:c>
      <x:c r="O18" s="19" t="n">
        <x:f>IF(T18&gt;0,SUM(H18,L18,M18),"Working days required")</x:f>
        <x:v>2005</x:v>
      </x:c>
      <x:c r="P18" s="19" t="n">
        <x:f>IF(T18&gt;0,O18*12,"Working days required")</x:f>
        <x:v>24060</x:v>
      </x:c>
      <x:c r="Q18" s="19" t="n">
        <x:f>N18*12</x:f>
        <x:v>24000</x:v>
      </x:c>
      <x:c r="R18" s="18" t="n">
        <x:v>46235</x:v>
      </x:c>
      <x:c r="S18" s="18" t="n">
        <x:v>46265</x:v>
      </x:c>
      <x:c r="T18" s="21" t="n">
        <x:v>20</x:v>
      </x:c>
      <x:c r="U18" s="21" t="n">
        <x:v>0</x:v>
      </x:c>
      <x:c r="V18" s="21" t="n">
        <x:v>0</x:v>
      </x:c>
      <x:c r="W18" s="6" t="n">
        <x:f>T18-U18+V18</x:f>
        <x:v>20</x:v>
      </x:c>
      <x:c r="X18" s="19" t="n">
        <x:f>IF(T18&gt;0,ROUND(N18/T18*W18,0)+Y18,"Working days required")</x:f>
        <x:v>2000</x:v>
      </x:c>
      <x:c r="Y18" s="20" t="n">
        <x:v>0</x:v>
      </x:c>
      <x:c r="Z18" s="20" t="n">
        <x:v>0</x:v>
      </x:c>
      <x:c r="AA18" s="19" t="n">
        <x:f>IF(T18&gt;0,X18+Z18,"Working days required")</x:f>
        <x:v>2000</x:v>
      </x:c>
      <x:c r="AB18" s="16" t="str"/>
      <x:c r="AC18" s="16" t="str">
        <x:v>0000123456</x:v>
      </x:c>
      <x:c r="AD18" s="16" t="str">
        <x:v>Example account holder</x:v>
      </x:c>
      <x:c r="AE18" s="16" t="str">
        <x:v>EXAMPLE</x:v>
      </x:c>
      <x:c r="AF18" s="16" t="str">
        <x:v>EP</x:v>
      </x:c>
      <x:c r="AG18" s="16" t="str">
        <x:v>SDL standard rate</x:v>
      </x:c>
      <x:c r="AH18" s="19" t="n">
        <x:f>IF(T18&gt;0,ROUND(H18/T18*W18,0),"Working days required")</x:f>
        <x:v>2000</x:v>
      </x:c>
      <x:c r="AI18" s="19" t="n">
        <x:f>IF(T18&gt;0,AH18-ROUND(N18/T18*W18,0),"Working days required")</x:f>
        <x:v>0</x:v>
      </x:c>
      <x:c r="AJ18" s="19" t="n">
        <x:f>IF(T18&gt;0,AH18+Y18+Z18,"Working days required")</x:f>
        <x:v>2000</x:v>
      </x:c>
      <x:c r="AK18" s="19" t="n">
        <x:f>IF(T18&gt;0,SUM(AJ18,L18,M18),"Working days required")</x:f>
        <x:v>2005</x:v>
      </x:c>
      <x:c r="AL18" s="19" t="n">
        <x:f>0</x:f>
        <x:v>0</x:v>
      </x:c>
    </x:row>
    <x:row r="19" ht="24" customHeight="1">
      <x:c r="A19" s="16" t="str">
        <x:v>EXAMPLE7</x:v>
      </x:c>
      <x:c r="B19" s="16" t="str">
        <x:v>Singapore</x:v>
      </x:c>
      <x:c r="C19" s="16" t="str">
        <x:v>Example employee 7</x:v>
      </x:c>
      <x:c r="D19" s="16" t="str">
        <x:v>Example role</x:v>
      </x:c>
      <x:c r="E19" s="18"/>
      <x:c r="F19" s="18"/>
      <x:c r="G19" s="16" t="str">
        <x:v>SGD</x:v>
      </x:c>
      <x:c r="H19" s="20" t="n">
        <x:v>4500</x:v>
      </x:c>
      <x:c r="I19" s="20" t="n">
        <x:v>0</x:v>
      </x:c>
      <x:c r="J19" s="16" t="str">
        <x:v>None</x:v>
      </x:c>
      <x:c r="K19" s="20" t="n">
        <x:v>0</x:v>
      </x:c>
      <x:c r="L19" s="20" t="n">
        <x:v>0</x:v>
      </x:c>
      <x:c r="M19" s="19" t="n">
        <x:f>IF(T19&gt;0,MIN(MAX(AJ19*$C$4,$G$4),$K$4),"Working days required")</x:f>
        <x:v>11.25</x:v>
      </x:c>
      <x:c r="N19" s="19" t="n">
        <x:f>H19-I19-K19</x:f>
        <x:v>4500</x:v>
      </x:c>
      <x:c r="O19" s="19" t="n">
        <x:f>IF(T19&gt;0,SUM(H19,L19,M19),"Working days required")</x:f>
        <x:v>4511.25</x:v>
      </x:c>
      <x:c r="P19" s="19" t="n">
        <x:f>IF(T19&gt;0,O19*12,"Working days required")</x:f>
        <x:v>54135</x:v>
      </x:c>
      <x:c r="Q19" s="19" t="n">
        <x:f>N19*12</x:f>
        <x:v>54000</x:v>
      </x:c>
      <x:c r="R19" s="18" t="n">
        <x:v>46235</x:v>
      </x:c>
      <x:c r="S19" s="18" t="n">
        <x:v>46265</x:v>
      </x:c>
      <x:c r="T19" s="21" t="n">
        <x:v>20</x:v>
      </x:c>
      <x:c r="U19" s="21" t="n">
        <x:v>0</x:v>
      </x:c>
      <x:c r="V19" s="21" t="n">
        <x:v>0</x:v>
      </x:c>
      <x:c r="W19" s="6" t="n">
        <x:f>T19-U19+V19</x:f>
        <x:v>20</x:v>
      </x:c>
      <x:c r="X19" s="19" t="n">
        <x:f>IF(T19&gt;0,ROUND(N19/T19*W19,0)+Y19,"Working days required")</x:f>
        <x:v>4500</x:v>
      </x:c>
      <x:c r="Y19" s="20" t="n">
        <x:v>0</x:v>
      </x:c>
      <x:c r="Z19" s="20" t="n">
        <x:v>0</x:v>
      </x:c>
      <x:c r="AA19" s="19" t="n">
        <x:f>IF(T19&gt;0,X19+Z19,"Working days required")</x:f>
        <x:v>4500</x:v>
      </x:c>
      <x:c r="AB19" s="16" t="str"/>
      <x:c r="AC19" s="16" t="str">
        <x:v>0000123456</x:v>
      </x:c>
      <x:c r="AD19" s="16" t="str">
        <x:v>Example account holder</x:v>
      </x:c>
      <x:c r="AE19" s="16" t="str">
        <x:v>EXAMPLE</x:v>
      </x:c>
      <x:c r="AF19" s="16" t="str">
        <x:v>EP</x:v>
      </x:c>
      <x:c r="AG19" s="16" t="str">
        <x:v>SDL maximum threshold</x:v>
      </x:c>
      <x:c r="AH19" s="19" t="n">
        <x:f>IF(T19&gt;0,ROUND(H19/T19*W19,0),"Working days required")</x:f>
        <x:v>4500</x:v>
      </x:c>
      <x:c r="AI19" s="19" t="n">
        <x:f>IF(T19&gt;0,AH19-ROUND(N19/T19*W19,0),"Working days required")</x:f>
        <x:v>0</x:v>
      </x:c>
      <x:c r="AJ19" s="19" t="n">
        <x:f>IF(T19&gt;0,AH19+Y19+Z19,"Working days required")</x:f>
        <x:v>4500</x:v>
      </x:c>
      <x:c r="AK19" s="19" t="n">
        <x:f>IF(T19&gt;0,SUM(AJ19,L19,M19),"Working days required")</x:f>
        <x:v>4511.25</x:v>
      </x:c>
      <x:c r="AL19" s="19" t="n">
        <x:f>0</x:f>
        <x:v>0</x:v>
      </x:c>
    </x:row>
    <x:row r="20" ht="24" customHeight="1">
      <x:c r="A20" s="16" t="str">
        <x:v>EXAMPLE8</x:v>
      </x:c>
      <x:c r="B20" s="16" t="str">
        <x:v>Singapore</x:v>
      </x:c>
      <x:c r="C20" s="16" t="str">
        <x:v>Example employee 8</x:v>
      </x:c>
      <x:c r="D20" s="16" t="str">
        <x:v>Example role</x:v>
      </x:c>
      <x:c r="E20" s="18"/>
      <x:c r="F20" s="18"/>
      <x:c r="G20" s="16" t="str">
        <x:v>SGD</x:v>
      </x:c>
      <x:c r="H20" s="20" t="n">
        <x:v>4502.03</x:v>
      </x:c>
      <x:c r="I20" s="20" t="n">
        <x:v>0</x:v>
      </x:c>
      <x:c r="J20" s="16" t="str">
        <x:v>None</x:v>
      </x:c>
      <x:c r="K20" s="20" t="n">
        <x:v>0</x:v>
      </x:c>
      <x:c r="L20" s="20" t="n">
        <x:v>0</x:v>
      </x:c>
      <x:c r="M20" s="19" t="n">
        <x:f>IF(T20&gt;0,MIN(MAX(AJ20*$C$4,$G$4),$K$4),"Working days required")</x:f>
        <x:v>11.25</x:v>
      </x:c>
      <x:c r="N20" s="19" t="n">
        <x:f>H20-I20-K20</x:f>
        <x:v>4502.03</x:v>
      </x:c>
      <x:c r="O20" s="19" t="n">
        <x:f>IF(T20&gt;0,SUM(H20,L20,M20),"Working days required")</x:f>
        <x:v>4513.28</x:v>
      </x:c>
      <x:c r="P20" s="19" t="n">
        <x:f>IF(T20&gt;0,O20*12,"Working days required")</x:f>
        <x:v>54159.36</x:v>
      </x:c>
      <x:c r="Q20" s="19" t="n">
        <x:f>N20*12</x:f>
        <x:v>54024.36</x:v>
      </x:c>
      <x:c r="R20" s="18" t="n">
        <x:v>46235</x:v>
      </x:c>
      <x:c r="S20" s="18" t="n">
        <x:v>46265</x:v>
      </x:c>
      <x:c r="T20" s="21" t="n">
        <x:v>20</x:v>
      </x:c>
      <x:c r="U20" s="21" t="n">
        <x:v>0</x:v>
      </x:c>
      <x:c r="V20" s="21" t="n">
        <x:v>0</x:v>
      </x:c>
      <x:c r="W20" s="6" t="n">
        <x:f>T20-U20+V20</x:f>
        <x:v>20</x:v>
      </x:c>
      <x:c r="X20" s="19" t="n">
        <x:f>IF(T20&gt;0,ROUND(N20/T20*W20,0)+Y20,"Working days required")</x:f>
        <x:v>4502</x:v>
      </x:c>
      <x:c r="Y20" s="20" t="n">
        <x:v>0</x:v>
      </x:c>
      <x:c r="Z20" s="20" t="n">
        <x:v>0</x:v>
      </x:c>
      <x:c r="AA20" s="19" t="n">
        <x:f>IF(T20&gt;0,X20+Z20,"Working days required")</x:f>
        <x:v>4502</x:v>
      </x:c>
      <x:c r="AB20" s="16" t="str"/>
      <x:c r="AC20" s="16" t="str">
        <x:v>0000123456</x:v>
      </x:c>
      <x:c r="AD20" s="16" t="str">
        <x:v>Example account holder</x:v>
      </x:c>
      <x:c r="AE20" s="16" t="str">
        <x:v>EXAMPLE</x:v>
      </x:c>
      <x:c r="AF20" s="16" t="str">
        <x:v>EP</x:v>
      </x:c>
      <x:c r="AG20" s="16" t="str">
        <x:v>SDL maximum above threshold</x:v>
      </x:c>
      <x:c r="AH20" s="19" t="n">
        <x:f>IF(T20&gt;0,ROUND(H20/T20*W20,0),"Working days required")</x:f>
        <x:v>4502</x:v>
      </x:c>
      <x:c r="AI20" s="19" t="n">
        <x:f>IF(T20&gt;0,AH20-ROUND(N20/T20*W20,0),"Working days required")</x:f>
        <x:v>0</x:v>
      </x:c>
      <x:c r="AJ20" s="19" t="n">
        <x:f>IF(T20&gt;0,AH20+Y20+Z20,"Working days required")</x:f>
        <x:v>4502</x:v>
      </x:c>
      <x:c r="AK20" s="19" t="n">
        <x:f>IF(T20&gt;0,SUM(AJ20,L20,M20),"Working days required")</x:f>
        <x:v>4513.25</x:v>
      </x:c>
      <x:c r="AL20" s="19" t="n">
        <x:f>0</x:f>
        <x:v>0</x:v>
      </x:c>
    </x:row>
  </x:sheetData>
  <x:mergeCells>
    <x:mergeCell ref="A11:G11"/>
    <x:mergeCell ref="H11:L11"/>
    <x:mergeCell ref="N11:Q11"/>
    <x:mergeCell ref="R11:V11"/>
    <x:mergeCell ref="W11:X11"/>
    <x:mergeCell ref="Y11:Z11"/>
    <x:mergeCell ref="AB11:AE11"/>
    <x:mergeCell ref="AF11:AG11"/>
    <x:mergeCell ref="AJ11:AK11"/>
  </x:mergeCells>
  <x:pageMargins left="0.7" right="0.7" top="0.75" bottom="0.75" header="0.3" footer="0.3"/>
  <x:legacyDrawing xmlns:r="http://schemas.openxmlformats.org/officeDocument/2006/relationships" r:id="R96e9f091152143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2" customHeight="1">
      <x:c r="A1" s="24" t="str">
        <x:v>Table Code</x:v>
      </x:c>
      <x:c r="B1" s="24" t="str">
        <x:v>Country</x:v>
      </x:c>
      <x:c r="C1" s="24" t="str">
        <x:v>Version</x:v>
      </x:c>
      <x:c r="D1" s="24" t="str">
        <x:v>Effective From</x:v>
      </x:c>
      <x:c r="E1" s="24" t="str">
        <x:v>Effective To</x:v>
      </x:c>
      <x:c r="F1" s="24" t="str">
        <x:v>Method</x:v>
      </x:c>
      <x:c r="G1" s="24" t="str">
        <x:v>Basis</x:v>
      </x:c>
      <x:c r="H1" s="24" t="str">
        <x:v>Slot</x:v>
      </x:c>
      <x:c r="I1" s="24" t="str">
        <x:v>Field</x:v>
      </x:c>
      <x:c r="J1" s="24" t="str">
        <x:v>Payroll Sheet</x:v>
      </x:c>
      <x:c r="K1" s="24" t="str">
        <x:v>Cell</x:v>
      </x:c>
      <x:c r="L1" s="24" t="str">
        <x:v>Label</x:v>
      </x:c>
    </x:row>
    <x:row r="2" ht="28" customHeight="1">
      <x:c r="A2" s="1" t="str">
        <x:v>RIZESGSDL</x:v>
      </x:c>
      <x:c r="B2" s="1" t="str">
        <x:v>SG</x:v>
      </x:c>
      <x:c r="C2" s="1" t="str">
        <x:v>2026-08</x:v>
      </x:c>
      <x:c r="D2" s="1" t="str">
        <x:v>2026-08-01</x:v>
      </x:c>
      <x:c r="E2" s="1" t="str"/>
      <x:c r="F2" s="1" t="str">
        <x:v>parameters</x:v>
      </x:c>
      <x:c r="G2" s="1" t="str">
        <x:v>monthly</x:v>
      </x:c>
      <x:c r="H2" s="1" t="str">
        <x:v>SDLRATE</x:v>
      </x:c>
      <x:c r="I2" s="1" t="str">
        <x:v>parameter</x:v>
      </x:c>
      <x:c r="J2" s="1" t="str">
        <x:v>Payroll</x:v>
      </x:c>
      <x:c r="K2" s="1" t="str">
        <x:v>C4</x:v>
      </x:c>
      <x:c r="L2" s="1" t="str">
        <x:v>SDL rate</x:v>
      </x:c>
    </x:row>
    <x:row r="3" ht="28" customHeight="1">
      <x:c r="A3" s="1" t="str">
        <x:v>RIZESGSDL</x:v>
      </x:c>
      <x:c r="B3" s="1" t="str">
        <x:v>SG</x:v>
      </x:c>
      <x:c r="C3" s="1" t="str">
        <x:v>2026-08</x:v>
      </x:c>
      <x:c r="D3" s="1" t="str">
        <x:v>2026-08-01</x:v>
      </x:c>
      <x:c r="E3" s="1" t="str"/>
      <x:c r="F3" s="1" t="str">
        <x:v>parameters</x:v>
      </x:c>
      <x:c r="G3" s="1" t="str">
        <x:v>monthly</x:v>
      </x:c>
      <x:c r="H3" s="1" t="str">
        <x:v>SDLMIN</x:v>
      </x:c>
      <x:c r="I3" s="1" t="str">
        <x:v>parameter</x:v>
      </x:c>
      <x:c r="J3" s="1" t="str">
        <x:v>Payroll</x:v>
      </x:c>
      <x:c r="K3" s="1" t="str">
        <x:v>G4</x:v>
      </x:c>
      <x:c r="L3" s="1" t="str">
        <x:v>SDL minimum SGD</x:v>
      </x:c>
    </x:row>
    <x:row r="4" ht="28" customHeight="1">
      <x:c r="A4" s="1" t="str">
        <x:v>RIZESGSDL</x:v>
      </x:c>
      <x:c r="B4" s="1" t="str">
        <x:v>SG</x:v>
      </x:c>
      <x:c r="C4" s="1" t="str">
        <x:v>2026-08</x:v>
      </x:c>
      <x:c r="D4" s="1" t="str">
        <x:v>2026-08-01</x:v>
      </x:c>
      <x:c r="E4" s="1" t="str"/>
      <x:c r="F4" s="1" t="str">
        <x:v>parameters</x:v>
      </x:c>
      <x:c r="G4" s="1" t="str">
        <x:v>monthly</x:v>
      </x:c>
      <x:c r="H4" s="1" t="str">
        <x:v>SDLMAX</x:v>
      </x:c>
      <x:c r="I4" s="1" t="str">
        <x:v>parameter</x:v>
      </x:c>
      <x:c r="J4" s="1" t="str">
        <x:v>Payroll</x:v>
      </x:c>
      <x:c r="K4" s="1" t="str">
        <x:v>K4</x:v>
      </x:c>
      <x:c r="L4" s="1" t="str">
        <x:v>SDL maximum SGD</x:v>
      </x:c>
    </x:row>
  </x:sheetData>
  <x:pageMargins left="0.7" right="0.7" top="0.75" bottom="0.75" header="0.3" footer="0.3"/>
</x:worksheet>
</file>