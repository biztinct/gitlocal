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da9f2042e4d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roll" sheetId="1" r:id="Rce7fe4731c7f42c1"/>
    <x:sheet xmlns:r="http://schemas.openxmlformats.org/officeDocument/2006/relationships" name="Tax Map" sheetId="2" r:id="R0214f24363d549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#,##0;[Red](#,##0);0"/>
    <x:numFmt numFmtId="203" formatCode="dd/mm/yyyy"/>
  </x:numFmts>
  <x:fonts count="7">
    <x:font>
      <x:sz val="11"/>
      <x:name val="Carlito"/>
    </x:font>
    <x:font>
      <x:b/>
      <x:sz val="14"/>
      <x:color rgb="FF241F52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5286F"/>
      </x:patternFill>
    </x:fill>
    <x:fill>
      <x:patternFill patternType="solid">
        <x:fgColor rgb="FFFFF6DB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</x:cellXfs>
  <x:cellStyles count="1">
    <x:cellStyle name="Normal" xfId="0"/>
  </x:cellStyles>
  <x:dxfs count="1"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a699d87d91452c" /><Relationship Type="http://schemas.openxmlformats.org/officeDocument/2006/relationships/theme" Target="/xl/theme/theme1.xml" Id="R686d0d045b9e4e23" /><Relationship Type="http://schemas.openxmlformats.org/officeDocument/2006/relationships/sharedStrings" Target="/xl/sharedStrings.xml" Id="R07860c809c434eae" /><Relationship Type="http://schemas.openxmlformats.org/officeDocument/2006/relationships/worksheet" Target="/xl/worksheets/sheet1.xml" Id="Rce7fe4731c7f42c1" /><Relationship Type="http://schemas.openxmlformats.org/officeDocument/2006/relationships/worksheet" Target="/xl/worksheets/sheet2.xml" Id="R0214f24363d549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747B5"/>
  </x:sheetPr>
  <x:sheetViews>
    <x:sheetView showGridLines="0" workbookViewId="0">
      <x:pane xSplit="5" ySplit="29" topLeftCell="F30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0" hidden="0" customWidth="1"/>
    <x:col min="4" max="4" width="16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0" hidden="0" customWidth="1"/>
    <x:col min="11" max="11" width="10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24" hidden="0" customWidth="1"/>
    <x:col min="45" max="45" width="21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21" hidden="0" customWidth="1"/>
    <x:col min="56" max="56" width="21" hidden="0" customWidth="1"/>
    <x:col min="57" max="57" width="21" hidden="0" customWidth="1"/>
    <x:col min="58" max="58" width="21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21" hidden="0" customWidth="1"/>
    <x:col min="66" max="66" width="21" hidden="0" customWidth="1"/>
    <x:col min="67" max="67" width="21" hidden="0" customWidth="1"/>
    <x:col min="68" max="68" width="21" hidden="0" customWidth="1"/>
    <x:col min="69" max="69" width="21" hidden="0" customWidth="1"/>
    <x:col min="70" max="70" width="16" hidden="0" customWidth="1"/>
    <x:col min="71" max="71" width="21" hidden="0" customWidth="1"/>
    <x:col min="72" max="72" width="21" hidden="0" customWidth="1"/>
    <x:col min="73" max="73" width="16" hidden="0" customWidth="1"/>
    <x:col min="74" max="74" width="16" hidden="0" customWidth="1"/>
    <x:col min="75" max="75" width="16" hidden="0" customWidth="1"/>
  </x:cols>
  <x:sheetData>
    <x:row r="1">
      <x:c r="A1" s="10"/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  <x:c r="AA1" s="10"/>
      <x:c r="AB1" s="10"/>
      <x:c r="AC1" s="10"/>
      <x:c r="AD1" s="10"/>
      <x:c r="AE1" s="10"/>
      <x:c r="AF1" s="10"/>
      <x:c r="AG1" s="10"/>
      <x:c r="AH1" s="10"/>
      <x:c r="AI1" s="10"/>
      <x:c r="AJ1" s="10"/>
      <x:c r="AK1" s="10"/>
      <x:c r="AL1" s="10"/>
      <x:c r="AM1" s="10"/>
      <x:c r="AN1" s="10"/>
      <x:c r="AO1" s="10"/>
      <x:c r="AP1" s="10"/>
      <x:c r="AQ1" s="10"/>
      <x:c r="AR1" s="10"/>
      <x:c r="AS1" s="10"/>
      <x:c r="AT1" s="10"/>
      <x:c r="AU1" s="10"/>
      <x:c r="AV1" s="10"/>
      <x:c r="AW1" s="10"/>
      <x:c r="AX1" s="10"/>
      <x:c r="AY1" s="10"/>
      <x:c r="AZ1" s="10"/>
      <x:c r="BA1" s="10"/>
      <x:c r="BB1" s="10"/>
      <x:c r="BC1" s="10"/>
      <x:c r="BD1" s="10"/>
      <x:c r="BE1" s="10"/>
      <x:c r="BF1" s="10"/>
      <x:c r="BG1" s="10"/>
      <x:c r="BH1" s="10"/>
      <x:c r="BI1" s="10"/>
      <x:c r="BJ1" s="10"/>
      <x:c r="BK1" s="10"/>
      <x:c r="BL1" s="10"/>
      <x:c r="BM1" s="10"/>
      <x:c r="BN1" s="10"/>
      <x:c r="BO1" s="10"/>
      <x:c r="BP1" s="10"/>
      <x:c r="BQ1" s="10"/>
      <x:c r="BR1" s="10"/>
      <x:c r="BS1" s="10"/>
      <x:c r="BT1" s="10"/>
      <x:c r="BU1" s="10"/>
      <x:c r="BV1" s="10"/>
      <x:c r="BW1" s="10"/>
    </x:row>
    <x:row r="2">
      <x:c r="A2" s="1" t="str">
        <x:v>Indonesia payroll formula template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  <x:c r="AG2" s="10"/>
      <x:c r="AH2" s="10"/>
      <x:c r="AI2" s="10"/>
      <x:c r="AJ2" s="10"/>
      <x:c r="AK2" s="10"/>
      <x:c r="AL2" s="10"/>
      <x:c r="AM2" s="10"/>
      <x:c r="AN2" s="10"/>
      <x:c r="AO2" s="10"/>
      <x:c r="AP2" s="10"/>
      <x:c r="AQ2" s="10"/>
      <x:c r="AR2" s="10"/>
      <x:c r="AS2" s="10"/>
      <x:c r="AT2" s="10"/>
      <x:c r="AU2" s="10"/>
      <x:c r="AV2" s="10"/>
      <x:c r="AW2" s="10"/>
      <x:c r="AX2" s="10"/>
      <x:c r="AY2" s="10"/>
      <x:c r="AZ2" s="10"/>
      <x:c r="BA2" s="10"/>
      <x:c r="BB2" s="10"/>
      <x:c r="BC2" s="10"/>
      <x:c r="BD2" s="10"/>
      <x:c r="BE2" s="10"/>
      <x:c r="BF2" s="10"/>
      <x:c r="BG2" s="10"/>
      <x:c r="BH2" s="10"/>
      <x:c r="BI2" s="10"/>
      <x:c r="BJ2" s="10"/>
      <x:c r="BK2" s="10"/>
      <x:c r="BL2" s="10"/>
      <x:c r="BM2" s="10"/>
      <x:c r="BN2" s="10"/>
      <x:c r="BO2" s="10"/>
      <x:c r="BP2" s="10"/>
      <x:c r="BQ2" s="10"/>
      <x:c r="BR2" s="10"/>
      <x:c r="BS2" s="10"/>
      <x:c r="BT2" s="10"/>
      <x:c r="BU2" s="10"/>
      <x:c r="BV2" s="10"/>
      <x:c r="BW2" s="10"/>
    </x:row>
    <x:row r="3">
      <x:c r="A3" s="10" t="str">
        <x:v>August 2026 (IDR). Blue numbers are statutory constants. Enter payroll inputs in the shaded columns.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0"/>
      <x:c r="AH3" s="10"/>
      <x:c r="AI3" s="10"/>
      <x:c r="AJ3" s="10"/>
      <x:c r="AK3" s="10"/>
      <x:c r="AL3" s="10"/>
      <x:c r="AM3" s="10"/>
      <x:c r="AN3" s="10"/>
      <x:c r="AO3" s="10"/>
      <x:c r="AP3" s="10"/>
      <x:c r="AQ3" s="10"/>
      <x:c r="AR3" s="10"/>
      <x:c r="AS3" s="10"/>
      <x:c r="AT3" s="10"/>
      <x:c r="AU3" s="10"/>
      <x:c r="AV3" s="10"/>
      <x:c r="AW3" s="10"/>
      <x:c r="AX3" s="10"/>
      <x:c r="AY3" s="10"/>
      <x:c r="AZ3" s="10"/>
      <x:c r="BA3" s="10"/>
      <x:c r="BB3" s="10"/>
      <x:c r="BC3" s="10"/>
      <x:c r="BD3" s="10"/>
      <x:c r="BE3" s="10"/>
      <x:c r="BF3" s="10"/>
      <x:c r="BG3" s="10"/>
      <x:c r="BH3" s="10"/>
      <x:c r="BI3" s="10"/>
      <x:c r="BJ3" s="10"/>
      <x:c r="BK3" s="10"/>
      <x:c r="BL3" s="10"/>
      <x:c r="BM3" s="10"/>
      <x:c r="BN3" s="10"/>
      <x:c r="BO3" s="10"/>
      <x:c r="BP3" s="10"/>
      <x:c r="BQ3" s="10"/>
      <x:c r="BR3" s="10"/>
      <x:c r="BS3" s="10"/>
      <x:c r="BT3" s="10"/>
      <x:c r="BU3" s="10"/>
      <x:c r="BV3" s="10"/>
      <x:c r="BW3" s="10"/>
    </x:row>
    <x:row r="4">
      <x:c r="A4" s="11" t="str">
        <x:v>Life insurance rate</x:v>
      </x:c>
      <x:c r="B4" s="11"/>
      <x:c r="C4" s="3" t="n">
        <x:v>0.003</x:v>
      </x:c>
      <x:c r="D4" s="11"/>
      <x:c r="E4" s="11" t="str">
        <x:v>JHT employee rate</x:v>
      </x:c>
      <x:c r="F4" s="11"/>
      <x:c r="G4" s="3" t="n">
        <x:v>0.02</x:v>
      </x:c>
      <x:c r="H4" s="11"/>
      <x:c r="I4" s="11" t="str">
        <x:v>BPJS TK minimum</x:v>
      </x:c>
      <x:c r="J4" s="11"/>
      <x:c r="K4" s="4" t="n">
        <x:v>1000000</x:v>
      </x:c>
      <x:c r="L4" s="11"/>
      <x:c r="M4" s="11" t="str">
        <x:v>Health wage ceiling</x:v>
      </x:c>
      <x:c r="N4" s="11"/>
      <x:c r="O4" s="4" t="n">
        <x:v>12000000</x:v>
      </x:c>
      <x:c r="P4" s="11"/>
      <x:c r="Q4" s="11" t="str">
        <x:v>Annual premium months</x:v>
      </x:c>
      <x:c r="R4" s="11"/>
      <x:c r="S4" s="4" t="n">
        <x:v>12</x:v>
      </x:c>
      <x:c r="T4" s="11"/>
      <x:c r="U4" s="11" t="str">
        <x:v>Annual PKP rounding</x:v>
      </x:c>
      <x:c r="V4" s="11"/>
      <x:c r="W4" s="4" t="n">
        <x:v>1000</x:v>
      </x:c>
      <x:c r="X4" s="11"/>
      <x:c r="Y4" s="11" t="str">
        <x:v>PTKP S/2</x:v>
      </x:c>
      <x:c r="Z4" s="11"/>
      <x:c r="AA4" s="4" t="n">
        <x:v>63000000</x:v>
      </x:c>
      <x:c r="AB4" s="11"/>
      <x:c r="AC4" s="11" t="str">
        <x:v>PTKP M/1</x:v>
      </x:c>
      <x:c r="AD4" s="11"/>
      <x:c r="AE4" s="4" t="n">
        <x:v>63000000</x:v>
      </x:c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  <x:c r="BA4" s="11"/>
      <x:c r="BB4" s="11"/>
      <x:c r="BC4" s="11"/>
      <x:c r="BD4" s="11"/>
      <x:c r="BE4" s="11"/>
      <x:c r="BF4" s="11"/>
      <x:c r="BG4" s="11"/>
      <x:c r="BH4" s="11"/>
      <x:c r="BI4" s="11"/>
      <x:c r="BJ4" s="11"/>
      <x:c r="BK4" s="11"/>
      <x:c r="BL4" s="11"/>
      <x:c r="BM4" s="11"/>
      <x:c r="BN4" s="11"/>
      <x:c r="BO4" s="11"/>
      <x:c r="BP4" s="11"/>
      <x:c r="BQ4" s="11"/>
      <x:c r="BR4" s="11"/>
      <x:c r="BS4" s="11"/>
      <x:c r="BT4" s="11"/>
      <x:c r="BU4" s="11"/>
      <x:c r="BV4" s="11"/>
      <x:c r="BW4" s="11"/>
    </x:row>
    <x:row r="5">
      <x:c r="A5" s="11" t="str">
        <x:v>Accident insurance rate</x:v>
      </x:c>
      <x:c r="B5" s="11"/>
      <x:c r="C5" s="3" t="n">
        <x:v>0.0024</x:v>
      </x:c>
      <x:c r="D5" s="11"/>
      <x:c r="E5" s="11" t="str">
        <x:v>JP employer rate</x:v>
      </x:c>
      <x:c r="F5" s="11"/>
      <x:c r="G5" s="3" t="n">
        <x:v>0.02</x:v>
      </x:c>
      <x:c r="H5" s="11"/>
      <x:c r="I5" s="11" t="str">
        <x:v>JP wage ceiling</x:v>
      </x:c>
      <x:c r="J5" s="11"/>
      <x:c r="K5" s="4" t="n">
        <x:v>11086300</x:v>
      </x:c>
      <x:c r="L5" s="11"/>
      <x:c r="M5" s="11" t="str">
        <x:v>Health employer rate</x:v>
      </x:c>
      <x:c r="N5" s="11"/>
      <x:c r="O5" s="3" t="n">
        <x:v>0.04</x:v>
      </x:c>
      <x:c r="P5" s="11"/>
      <x:c r="Q5" s="11" t="str">
        <x:v>Job expense rate</x:v>
      </x:c>
      <x:c r="R5" s="11"/>
      <x:c r="S5" s="3" t="n">
        <x:v>0.05</x:v>
      </x:c>
      <x:c r="T5" s="11"/>
      <x:c r="U5" s="11" t="str">
        <x:v>PTKP S/0</x:v>
      </x:c>
      <x:c r="V5" s="11"/>
      <x:c r="W5" s="4" t="n">
        <x:v>54000000</x:v>
      </x:c>
      <x:c r="X5" s="11"/>
      <x:c r="Y5" s="11" t="str">
        <x:v>PTKP S/3</x:v>
      </x:c>
      <x:c r="Z5" s="11"/>
      <x:c r="AA5" s="4" t="n">
        <x:v>67500000</x:v>
      </x:c>
      <x:c r="AB5" s="11"/>
      <x:c r="AC5" s="11" t="str">
        <x:v>PTKP M/2</x:v>
      </x:c>
      <x:c r="AD5" s="11"/>
      <x:c r="AE5" s="4" t="n">
        <x:v>67500000</x:v>
      </x:c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  <x:c r="BA5" s="11"/>
      <x:c r="BB5" s="11"/>
      <x:c r="BC5" s="11"/>
      <x:c r="BD5" s="11"/>
      <x:c r="BE5" s="11"/>
      <x:c r="BF5" s="11"/>
      <x:c r="BG5" s="11"/>
      <x:c r="BH5" s="11"/>
      <x:c r="BI5" s="11"/>
      <x:c r="BJ5" s="11"/>
      <x:c r="BK5" s="11"/>
      <x:c r="BL5" s="11"/>
      <x:c r="BM5" s="11"/>
      <x:c r="BN5" s="11"/>
      <x:c r="BO5" s="11"/>
      <x:c r="BP5" s="11"/>
      <x:c r="BQ5" s="11"/>
      <x:c r="BR5" s="11"/>
      <x:c r="BS5" s="11"/>
      <x:c r="BT5" s="11"/>
      <x:c r="BU5" s="11"/>
      <x:c r="BV5" s="11"/>
      <x:c r="BW5" s="11"/>
    </x:row>
    <x:row r="6">
      <x:c r="A6" s="11" t="str">
        <x:v>JHT employer rate</x:v>
      </x:c>
      <x:c r="B6" s="11"/>
      <x:c r="C6" s="3" t="n">
        <x:v>0.037</x:v>
      </x:c>
      <x:c r="D6" s="11"/>
      <x:c r="E6" s="11" t="str">
        <x:v>JP employee rate</x:v>
      </x:c>
      <x:c r="F6" s="11"/>
      <x:c r="G6" s="3" t="n">
        <x:v>0.01</x:v>
      </x:c>
      <x:c r="H6" s="11"/>
      <x:c r="I6" s="11" t="str">
        <x:v>Health wage minimum</x:v>
      </x:c>
      <x:c r="J6" s="11"/>
      <x:c r="K6" s="4" t="n">
        <x:v>5729876</x:v>
      </x:c>
      <x:c r="L6" s="11"/>
      <x:c r="M6" s="11" t="str">
        <x:v>Health employee rate</x:v>
      </x:c>
      <x:c r="N6" s="11"/>
      <x:c r="O6" s="3" t="n">
        <x:v>0.01</x:v>
      </x:c>
      <x:c r="P6" s="11"/>
      <x:c r="Q6" s="11" t="str">
        <x:v>Job expense monthly cap</x:v>
      </x:c>
      <x:c r="R6" s="11"/>
      <x:c r="S6" s="4" t="n">
        <x:v>500000</x:v>
      </x:c>
      <x:c r="T6" s="11"/>
      <x:c r="U6" s="11" t="str">
        <x:v>PTKP S/1</x:v>
      </x:c>
      <x:c r="V6" s="11"/>
      <x:c r="W6" s="4" t="n">
        <x:v>58500000</x:v>
      </x:c>
      <x:c r="X6" s="11"/>
      <x:c r="Y6" s="11" t="str">
        <x:v>PTKP M/0</x:v>
      </x:c>
      <x:c r="Z6" s="11"/>
      <x:c r="AA6" s="4" t="n">
        <x:v>58500000</x:v>
      </x:c>
      <x:c r="AB6" s="11"/>
      <x:c r="AC6" s="11" t="str">
        <x:v>PTKP M/3</x:v>
      </x:c>
      <x:c r="AD6" s="11"/>
      <x:c r="AE6" s="4" t="n">
        <x:v>72000000</x:v>
      </x:c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  <x:c r="BA6" s="11"/>
      <x:c r="BB6" s="11"/>
      <x:c r="BC6" s="11"/>
      <x:c r="BD6" s="11"/>
      <x:c r="BE6" s="11"/>
      <x:c r="BF6" s="11"/>
      <x:c r="BG6" s="11"/>
      <x:c r="BH6" s="11"/>
      <x:c r="BI6" s="11"/>
      <x:c r="BJ6" s="11"/>
      <x:c r="BK6" s="11"/>
      <x:c r="BL6" s="11"/>
      <x:c r="BM6" s="11"/>
      <x:c r="BN6" s="11"/>
      <x:c r="BO6" s="11"/>
      <x:c r="BP6" s="11"/>
      <x:c r="BQ6" s="11"/>
      <x:c r="BR6" s="11"/>
      <x:c r="BS6" s="11"/>
      <x:c r="BT6" s="11"/>
      <x:c r="BU6" s="11"/>
      <x:c r="BV6" s="11"/>
      <x:c r="BW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  <x:c r="BA7" s="11"/>
      <x:c r="BB7" s="11"/>
      <x:c r="BC7" s="11"/>
      <x:c r="BD7" s="11"/>
      <x:c r="BE7" s="11"/>
      <x:c r="BF7" s="11"/>
      <x:c r="BG7" s="11"/>
      <x:c r="BH7" s="11"/>
      <x:c r="BI7" s="11"/>
      <x:c r="BJ7" s="11"/>
      <x:c r="BK7" s="11"/>
      <x:c r="BL7" s="11"/>
      <x:c r="BM7" s="11"/>
      <x:c r="BN7" s="11"/>
      <x:c r="BO7" s="11"/>
      <x:c r="BP7" s="11"/>
      <x:c r="BQ7" s="11"/>
      <x:c r="BR7" s="11"/>
      <x:c r="BS7" s="11"/>
      <x:c r="BT7" s="11"/>
      <x:c r="BU7" s="11"/>
      <x:c r="BV7" s="11"/>
      <x:c r="BW7" s="11"/>
    </x:row>
    <x:row r="8">
      <x:c r="A8" s="11" t="str">
        <x:v>TER A: whole monthly income</x:v>
      </x:c>
      <x:c r="B8" s="11"/>
      <x:c r="C8" s="11"/>
      <x:c r="D8" s="11"/>
      <x:c r="E8" s="11"/>
      <x:c r="F8" s="11"/>
      <x:c r="G8" s="11"/>
      <x:c r="H8" s="11"/>
      <x:c r="I8" s="11"/>
      <x:c r="J8" s="11"/>
      <x:c r="K8" s="11" t="str">
        <x:v>TER B: whole monthly income</x:v>
      </x:c>
      <x:c r="L8" s="11"/>
      <x:c r="M8" s="11"/>
      <x:c r="N8" s="11"/>
      <x:c r="O8" s="11"/>
      <x:c r="P8" s="11"/>
      <x:c r="Q8" s="11"/>
      <x:c r="R8" s="11"/>
      <x:c r="S8" s="11"/>
      <x:c r="T8" s="11"/>
      <x:c r="U8" s="11" t="str">
        <x:v>TER C: whole monthly income</x:v>
      </x:c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 t="str">
        <x:v>Annual PPh21</x:v>
      </x:c>
      <x:c r="AG8" s="11"/>
      <x:c r="AH8" s="11"/>
      <x:c r="AI8" s="11"/>
      <x:c r="AJ8" s="11" t="str">
        <x:v>Qualifying severance</x:v>
      </x:c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  <x:c r="BA8" s="11"/>
      <x:c r="BB8" s="11"/>
      <x:c r="BC8" s="11"/>
      <x:c r="BD8" s="11"/>
      <x:c r="BE8" s="11"/>
      <x:c r="BF8" s="11"/>
      <x:c r="BG8" s="11"/>
      <x:c r="BH8" s="11"/>
      <x:c r="BI8" s="11"/>
      <x:c r="BJ8" s="11"/>
      <x:c r="BK8" s="11"/>
      <x:c r="BL8" s="11"/>
      <x:c r="BM8" s="11"/>
      <x:c r="BN8" s="11"/>
      <x:c r="BO8" s="11"/>
      <x:c r="BP8" s="11"/>
      <x:c r="BQ8" s="11"/>
      <x:c r="BR8" s="11"/>
      <x:c r="BS8" s="11"/>
      <x:c r="BT8" s="11"/>
      <x:c r="BU8" s="11"/>
      <x:c r="BV8" s="11"/>
      <x:c r="BW8" s="11"/>
    </x:row>
    <x:row r="9">
      <x:c r="A9" s="11" t="str">
        <x:v>Band</x:v>
      </x:c>
      <x:c r="B9" s="11" t="str">
        <x:v>Up to</x:v>
      </x:c>
      <x:c r="C9" s="11" t="str">
        <x:v>Rate</x:v>
      </x:c>
      <x:c r="D9" s="11" t="str">
        <x:v>Band</x:v>
      </x:c>
      <x:c r="E9" s="11" t="str">
        <x:v>Up to</x:v>
      </x:c>
      <x:c r="F9" s="11" t="str">
        <x:v>Rate</x:v>
      </x:c>
      <x:c r="G9" s="11" t="str">
        <x:v>Band</x:v>
      </x:c>
      <x:c r="H9" s="11" t="str">
        <x:v>Up to</x:v>
      </x:c>
      <x:c r="I9" s="11" t="str">
        <x:v>Rate</x:v>
      </x:c>
      <x:c r="J9" s="11"/>
      <x:c r="K9" s="11" t="str">
        <x:v>Band</x:v>
      </x:c>
      <x:c r="L9" s="11" t="str">
        <x:v>Up to</x:v>
      </x:c>
      <x:c r="M9" s="11" t="str">
        <x:v>Rate</x:v>
      </x:c>
      <x:c r="N9" s="11" t="str">
        <x:v>Band</x:v>
      </x:c>
      <x:c r="O9" s="11" t="str">
        <x:v>Up to</x:v>
      </x:c>
      <x:c r="P9" s="11" t="str">
        <x:v>Rate</x:v>
      </x:c>
      <x:c r="Q9" s="11" t="str">
        <x:v>Band</x:v>
      </x:c>
      <x:c r="R9" s="11" t="str">
        <x:v>Up to</x:v>
      </x:c>
      <x:c r="S9" s="11" t="str">
        <x:v>Rate</x:v>
      </x:c>
      <x:c r="T9" s="11"/>
      <x:c r="U9" s="11" t="str">
        <x:v>Band</x:v>
      </x:c>
      <x:c r="V9" s="11" t="str">
        <x:v>Up to</x:v>
      </x:c>
      <x:c r="W9" s="11" t="str">
        <x:v>Rate</x:v>
      </x:c>
      <x:c r="X9" s="11" t="str">
        <x:v>Band</x:v>
      </x:c>
      <x:c r="Y9" s="11" t="str">
        <x:v>Up to</x:v>
      </x:c>
      <x:c r="Z9" s="11" t="str">
        <x:v>Rate</x:v>
      </x:c>
      <x:c r="AA9" s="11" t="str">
        <x:v>Band</x:v>
      </x:c>
      <x:c r="AB9" s="11" t="str">
        <x:v>Up to</x:v>
      </x:c>
      <x:c r="AC9" s="11" t="str">
        <x:v>Rate</x:v>
      </x:c>
      <x:c r="AD9" s="11"/>
      <x:c r="AE9" s="11"/>
      <x:c r="AF9" s="11" t="str">
        <x:v>Band</x:v>
      </x:c>
      <x:c r="AG9" s="11" t="str">
        <x:v>Up to</x:v>
      </x:c>
      <x:c r="AH9" s="11" t="str">
        <x:v>Rate</x:v>
      </x:c>
      <x:c r="AI9" s="11"/>
      <x:c r="AJ9" s="11" t="str">
        <x:v>Band</x:v>
      </x:c>
      <x:c r="AK9" s="11" t="str">
        <x:v>Up to</x:v>
      </x:c>
      <x:c r="AL9" s="11" t="str">
        <x:v>Rate</x:v>
      </x:c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  <x:c r="BA9" s="11"/>
      <x:c r="BB9" s="11"/>
      <x:c r="BC9" s="11"/>
      <x:c r="BD9" s="11"/>
      <x:c r="BE9" s="11"/>
      <x:c r="BF9" s="11"/>
      <x:c r="BG9" s="11"/>
      <x:c r="BH9" s="11"/>
      <x:c r="BI9" s="11"/>
      <x:c r="BJ9" s="11"/>
      <x:c r="BK9" s="11"/>
      <x:c r="BL9" s="11"/>
      <x:c r="BM9" s="11"/>
      <x:c r="BN9" s="11"/>
      <x:c r="BO9" s="11"/>
      <x:c r="BP9" s="11"/>
      <x:c r="BQ9" s="11"/>
      <x:c r="BR9" s="11"/>
      <x:c r="BS9" s="11"/>
      <x:c r="BT9" s="11"/>
      <x:c r="BU9" s="11"/>
      <x:c r="BV9" s="11"/>
      <x:c r="BW9" s="11"/>
    </x:row>
    <x:row r="10">
      <x:c r="A10" s="11" t="n">
        <x:v>1</x:v>
      </x:c>
      <x:c r="B10" s="4" t="n">
        <x:v>5400000</x:v>
      </x:c>
      <x:c r="C10" s="3" t="n">
        <x:v>0</x:v>
      </x:c>
      <x:c r="D10" s="11" t="n">
        <x:v>16</x:v>
      </x:c>
      <x:c r="E10" s="4" t="n">
        <x:v>15100000</x:v>
      </x:c>
      <x:c r="F10" s="3" t="n">
        <x:v>0.06</x:v>
      </x:c>
      <x:c r="G10" s="11" t="n">
        <x:v>31</x:v>
      </x:c>
      <x:c r="H10" s="4" t="n">
        <x:v>68600000</x:v>
      </x:c>
      <x:c r="I10" s="3" t="n">
        <x:v>0.21</x:v>
      </x:c>
      <x:c r="J10" s="11"/>
      <x:c r="K10" s="11" t="n">
        <x:v>1</x:v>
      </x:c>
      <x:c r="L10" s="4" t="n">
        <x:v>6200000</x:v>
      </x:c>
      <x:c r="M10" s="3" t="n">
        <x:v>0</x:v>
      </x:c>
      <x:c r="N10" s="11" t="n">
        <x:v>16</x:v>
      </x:c>
      <x:c r="O10" s="4" t="n">
        <x:v>27700000</x:v>
      </x:c>
      <x:c r="P10" s="3" t="n">
        <x:v>0.1</x:v>
      </x:c>
      <x:c r="Q10" s="11" t="n">
        <x:v>31</x:v>
      </x:c>
      <x:c r="R10" s="4" t="n">
        <x:v>129000000</x:v>
      </x:c>
      <x:c r="S10" s="3" t="n">
        <x:v>0.25</x:v>
      </x:c>
      <x:c r="T10" s="11"/>
      <x:c r="U10" s="11" t="n">
        <x:v>1</x:v>
      </x:c>
      <x:c r="V10" s="4" t="n">
        <x:v>6600000</x:v>
      </x:c>
      <x:c r="W10" s="3" t="n">
        <x:v>0</x:v>
      </x:c>
      <x:c r="X10" s="11" t="n">
        <x:v>16</x:v>
      </x:c>
      <x:c r="Y10" s="4" t="n">
        <x:v>26600000</x:v>
      </x:c>
      <x:c r="Z10" s="3" t="n">
        <x:v>0.09</x:v>
      </x:c>
      <x:c r="AA10" s="11" t="n">
        <x:v>31</x:v>
      </x:c>
      <x:c r="AB10" s="4" t="n">
        <x:v>110000000</x:v>
      </x:c>
      <x:c r="AC10" s="3" t="n">
        <x:v>0.24</x:v>
      </x:c>
      <x:c r="AD10" s="11"/>
      <x:c r="AE10" s="11"/>
      <x:c r="AF10" s="11" t="n">
        <x:v>1</x:v>
      </x:c>
      <x:c r="AG10" s="4" t="n">
        <x:v>60000000</x:v>
      </x:c>
      <x:c r="AH10" s="3" t="n">
        <x:v>0.05</x:v>
      </x:c>
      <x:c r="AI10" s="11"/>
      <x:c r="AJ10" s="11" t="n">
        <x:v>1</x:v>
      </x:c>
      <x:c r="AK10" s="4" t="n">
        <x:v>50000000</x:v>
      </x:c>
      <x:c r="AL10" s="3" t="n">
        <x:v>0</x:v>
      </x:c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  <x:c r="BA10" s="11"/>
      <x:c r="BB10" s="11"/>
      <x:c r="BC10" s="11"/>
      <x:c r="BD10" s="11"/>
      <x:c r="BE10" s="11"/>
      <x:c r="BF10" s="11"/>
      <x:c r="BG10" s="11"/>
      <x:c r="BH10" s="11"/>
      <x:c r="BI10" s="11"/>
      <x:c r="BJ10" s="11"/>
      <x:c r="BK10" s="11"/>
      <x:c r="BL10" s="11"/>
      <x:c r="BM10" s="11"/>
      <x:c r="BN10" s="11"/>
      <x:c r="BO10" s="11"/>
      <x:c r="BP10" s="11"/>
      <x:c r="BQ10" s="11"/>
      <x:c r="BR10" s="11"/>
      <x:c r="BS10" s="11"/>
      <x:c r="BT10" s="11"/>
      <x:c r="BU10" s="11"/>
      <x:c r="BV10" s="11"/>
      <x:c r="BW10" s="11"/>
    </x:row>
    <x:row r="11">
      <x:c r="A11" s="11" t="n">
        <x:v>2</x:v>
      </x:c>
      <x:c r="B11" s="4" t="n">
        <x:v>5650000</x:v>
      </x:c>
      <x:c r="C11" s="3" t="n">
        <x:v>0.0025</x:v>
      </x:c>
      <x:c r="D11" s="11" t="n">
        <x:v>17</x:v>
      </x:c>
      <x:c r="E11" s="4" t="n">
        <x:v>16950000</x:v>
      </x:c>
      <x:c r="F11" s="3" t="n">
        <x:v>0.07</x:v>
      </x:c>
      <x:c r="G11" s="11" t="n">
        <x:v>32</x:v>
      </x:c>
      <x:c r="H11" s="4" t="n">
        <x:v>77500000</x:v>
      </x:c>
      <x:c r="I11" s="3" t="n">
        <x:v>0.22</x:v>
      </x:c>
      <x:c r="J11" s="11"/>
      <x:c r="K11" s="11" t="n">
        <x:v>2</x:v>
      </x:c>
      <x:c r="L11" s="4" t="n">
        <x:v>6500000</x:v>
      </x:c>
      <x:c r="M11" s="3" t="n">
        <x:v>0.0025</x:v>
      </x:c>
      <x:c r="N11" s="11" t="n">
        <x:v>17</x:v>
      </x:c>
      <x:c r="O11" s="4" t="n">
        <x:v>29350000</x:v>
      </x:c>
      <x:c r="P11" s="3" t="n">
        <x:v>0.11</x:v>
      </x:c>
      <x:c r="Q11" s="11" t="n">
        <x:v>32</x:v>
      </x:c>
      <x:c r="R11" s="4" t="n">
        <x:v>163000000</x:v>
      </x:c>
      <x:c r="S11" s="3" t="n">
        <x:v>0.26</x:v>
      </x:c>
      <x:c r="T11" s="11"/>
      <x:c r="U11" s="11" t="n">
        <x:v>2</x:v>
      </x:c>
      <x:c r="V11" s="4" t="n">
        <x:v>6950000</x:v>
      </x:c>
      <x:c r="W11" s="3" t="n">
        <x:v>0.0025</x:v>
      </x:c>
      <x:c r="X11" s="11" t="n">
        <x:v>17</x:v>
      </x:c>
      <x:c r="Y11" s="4" t="n">
        <x:v>28100000</x:v>
      </x:c>
      <x:c r="Z11" s="3" t="n">
        <x:v>0.1</x:v>
      </x:c>
      <x:c r="AA11" s="11" t="n">
        <x:v>32</x:v>
      </x:c>
      <x:c r="AB11" s="4" t="n">
        <x:v>134000000</x:v>
      </x:c>
      <x:c r="AC11" s="3" t="n">
        <x:v>0.25</x:v>
      </x:c>
      <x:c r="AD11" s="11"/>
      <x:c r="AE11" s="11"/>
      <x:c r="AF11" s="11" t="n">
        <x:v>2</x:v>
      </x:c>
      <x:c r="AG11" s="4" t="n">
        <x:v>250000000</x:v>
      </x:c>
      <x:c r="AH11" s="3" t="n">
        <x:v>0.15</x:v>
      </x:c>
      <x:c r="AI11" s="11"/>
      <x:c r="AJ11" s="11" t="n">
        <x:v>2</x:v>
      </x:c>
      <x:c r="AK11" s="4" t="n">
        <x:v>100000000</x:v>
      </x:c>
      <x:c r="AL11" s="3" t="n">
        <x:v>0.05</x:v>
      </x:c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  <x:c r="BA11" s="11"/>
      <x:c r="BB11" s="11"/>
      <x:c r="BC11" s="11"/>
      <x:c r="BD11" s="11"/>
      <x:c r="BE11" s="11"/>
      <x:c r="BF11" s="11"/>
      <x:c r="BG11" s="11"/>
      <x:c r="BH11" s="11"/>
      <x:c r="BI11" s="11"/>
      <x:c r="BJ11" s="11"/>
      <x:c r="BK11" s="11"/>
      <x:c r="BL11" s="11"/>
      <x:c r="BM11" s="11"/>
      <x:c r="BN11" s="11"/>
      <x:c r="BO11" s="11"/>
      <x:c r="BP11" s="11"/>
      <x:c r="BQ11" s="11"/>
      <x:c r="BR11" s="11"/>
      <x:c r="BS11" s="11"/>
      <x:c r="BT11" s="11"/>
      <x:c r="BU11" s="11"/>
      <x:c r="BV11" s="11"/>
      <x:c r="BW11" s="11"/>
    </x:row>
    <x:row r="12">
      <x:c r="A12" s="11" t="n">
        <x:v>3</x:v>
      </x:c>
      <x:c r="B12" s="4" t="n">
        <x:v>5950000</x:v>
      </x:c>
      <x:c r="C12" s="3" t="n">
        <x:v>0.005</x:v>
      </x:c>
      <x:c r="D12" s="11" t="n">
        <x:v>18</x:v>
      </x:c>
      <x:c r="E12" s="4" t="n">
        <x:v>19750000</x:v>
      </x:c>
      <x:c r="F12" s="3" t="n">
        <x:v>0.08</x:v>
      </x:c>
      <x:c r="G12" s="11" t="n">
        <x:v>33</x:v>
      </x:c>
      <x:c r="H12" s="4" t="n">
        <x:v>89000000</x:v>
      </x:c>
      <x:c r="I12" s="3" t="n">
        <x:v>0.23</x:v>
      </x:c>
      <x:c r="J12" s="11"/>
      <x:c r="K12" s="11" t="n">
        <x:v>3</x:v>
      </x:c>
      <x:c r="L12" s="4" t="n">
        <x:v>6850000</x:v>
      </x:c>
      <x:c r="M12" s="3" t="n">
        <x:v>0.005</x:v>
      </x:c>
      <x:c r="N12" s="11" t="n">
        <x:v>18</x:v>
      </x:c>
      <x:c r="O12" s="4" t="n">
        <x:v>31450000</x:v>
      </x:c>
      <x:c r="P12" s="3" t="n">
        <x:v>0.12</x:v>
      </x:c>
      <x:c r="Q12" s="11" t="n">
        <x:v>33</x:v>
      </x:c>
      <x:c r="R12" s="4" t="n">
        <x:v>211000000</x:v>
      </x:c>
      <x:c r="S12" s="3" t="n">
        <x:v>0.27</x:v>
      </x:c>
      <x:c r="T12" s="11"/>
      <x:c r="U12" s="11" t="n">
        <x:v>3</x:v>
      </x:c>
      <x:c r="V12" s="4" t="n">
        <x:v>7350000</x:v>
      </x:c>
      <x:c r="W12" s="3" t="n">
        <x:v>0.005</x:v>
      </x:c>
      <x:c r="X12" s="11" t="n">
        <x:v>18</x:v>
      </x:c>
      <x:c r="Y12" s="4" t="n">
        <x:v>30100000</x:v>
      </x:c>
      <x:c r="Z12" s="3" t="n">
        <x:v>0.11</x:v>
      </x:c>
      <x:c r="AA12" s="11" t="n">
        <x:v>33</x:v>
      </x:c>
      <x:c r="AB12" s="4" t="n">
        <x:v>169000000</x:v>
      </x:c>
      <x:c r="AC12" s="3" t="n">
        <x:v>0.26</x:v>
      </x:c>
      <x:c r="AD12" s="11"/>
      <x:c r="AE12" s="11"/>
      <x:c r="AF12" s="11" t="n">
        <x:v>3</x:v>
      </x:c>
      <x:c r="AG12" s="4" t="n">
        <x:v>500000000</x:v>
      </x:c>
      <x:c r="AH12" s="3" t="n">
        <x:v>0.25</x:v>
      </x:c>
      <x:c r="AI12" s="11"/>
      <x:c r="AJ12" s="11" t="n">
        <x:v>3</x:v>
      </x:c>
      <x:c r="AK12" s="4" t="n">
        <x:v>500000000</x:v>
      </x:c>
      <x:c r="AL12" s="3" t="n">
        <x:v>0.15</x:v>
      </x:c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  <x:c r="BA12" s="11"/>
      <x:c r="BB12" s="11"/>
      <x:c r="BC12" s="11"/>
      <x:c r="BD12" s="11"/>
      <x:c r="BE12" s="11"/>
      <x:c r="BF12" s="11"/>
      <x:c r="BG12" s="11"/>
      <x:c r="BH12" s="11"/>
      <x:c r="BI12" s="11"/>
      <x:c r="BJ12" s="11"/>
      <x:c r="BK12" s="11"/>
      <x:c r="BL12" s="11"/>
      <x:c r="BM12" s="11"/>
      <x:c r="BN12" s="11"/>
      <x:c r="BO12" s="11"/>
      <x:c r="BP12" s="11"/>
      <x:c r="BQ12" s="11"/>
      <x:c r="BR12" s="11"/>
      <x:c r="BS12" s="11"/>
      <x:c r="BT12" s="11"/>
      <x:c r="BU12" s="11"/>
      <x:c r="BV12" s="11"/>
      <x:c r="BW12" s="11"/>
    </x:row>
    <x:row r="13">
      <x:c r="A13" s="11" t="n">
        <x:v>4</x:v>
      </x:c>
      <x:c r="B13" s="4" t="n">
        <x:v>6300000</x:v>
      </x:c>
      <x:c r="C13" s="3" t="n">
        <x:v>0.0075</x:v>
      </x:c>
      <x:c r="D13" s="11" t="n">
        <x:v>19</x:v>
      </x:c>
      <x:c r="E13" s="4" t="n">
        <x:v>24150000</x:v>
      </x:c>
      <x:c r="F13" s="3" t="n">
        <x:v>0.09</x:v>
      </x:c>
      <x:c r="G13" s="11" t="n">
        <x:v>34</x:v>
      </x:c>
      <x:c r="H13" s="4" t="n">
        <x:v>103000000</x:v>
      </x:c>
      <x:c r="I13" s="3" t="n">
        <x:v>0.24</x:v>
      </x:c>
      <x:c r="J13" s="11"/>
      <x:c r="K13" s="11" t="n">
        <x:v>4</x:v>
      </x:c>
      <x:c r="L13" s="4" t="n">
        <x:v>7300000</x:v>
      </x:c>
      <x:c r="M13" s="3" t="n">
        <x:v>0.0075</x:v>
      </x:c>
      <x:c r="N13" s="11" t="n">
        <x:v>19</x:v>
      </x:c>
      <x:c r="O13" s="4" t="n">
        <x:v>33950000</x:v>
      </x:c>
      <x:c r="P13" s="3" t="n">
        <x:v>0.13</x:v>
      </x:c>
      <x:c r="Q13" s="11" t="n">
        <x:v>34</x:v>
      </x:c>
      <x:c r="R13" s="4" t="n">
        <x:v>374000000</x:v>
      </x:c>
      <x:c r="S13" s="3" t="n">
        <x:v>0.28</x:v>
      </x:c>
      <x:c r="T13" s="11"/>
      <x:c r="U13" s="11" t="n">
        <x:v>4</x:v>
      </x:c>
      <x:c r="V13" s="4" t="n">
        <x:v>7800000</x:v>
      </x:c>
      <x:c r="W13" s="3" t="n">
        <x:v>0.0075</x:v>
      </x:c>
      <x:c r="X13" s="11" t="n">
        <x:v>19</x:v>
      </x:c>
      <x:c r="Y13" s="4" t="n">
        <x:v>32600000</x:v>
      </x:c>
      <x:c r="Z13" s="3" t="n">
        <x:v>0.12</x:v>
      </x:c>
      <x:c r="AA13" s="11" t="n">
        <x:v>34</x:v>
      </x:c>
      <x:c r="AB13" s="4" t="n">
        <x:v>221000000</x:v>
      </x:c>
      <x:c r="AC13" s="3" t="n">
        <x:v>0.27</x:v>
      </x:c>
      <x:c r="AD13" s="11"/>
      <x:c r="AE13" s="11"/>
      <x:c r="AF13" s="11" t="n">
        <x:v>4</x:v>
      </x:c>
      <x:c r="AG13" s="4" t="n">
        <x:v>5000000000</x:v>
      </x:c>
      <x:c r="AH13" s="3" t="n">
        <x:v>0.3</x:v>
      </x:c>
      <x:c r="AI13" s="11"/>
      <x:c r="AJ13" s="11" t="n">
        <x:v>4</x:v>
      </x:c>
      <x:c r="AK13" s="4" t="n">
        <x:v>0</x:v>
      </x:c>
      <x:c r="AL13" s="3" t="n">
        <x:v>0.25</x:v>
      </x:c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  <x:c r="BA13" s="11"/>
      <x:c r="BB13" s="11"/>
      <x:c r="BC13" s="11"/>
      <x:c r="BD13" s="11"/>
      <x:c r="BE13" s="11"/>
      <x:c r="BF13" s="11"/>
      <x:c r="BG13" s="11"/>
      <x:c r="BH13" s="11"/>
      <x:c r="BI13" s="11"/>
      <x:c r="BJ13" s="11"/>
      <x:c r="BK13" s="11"/>
      <x:c r="BL13" s="11"/>
      <x:c r="BM13" s="11"/>
      <x:c r="BN13" s="11"/>
      <x:c r="BO13" s="11"/>
      <x:c r="BP13" s="11"/>
      <x:c r="BQ13" s="11"/>
      <x:c r="BR13" s="11"/>
      <x:c r="BS13" s="11"/>
      <x:c r="BT13" s="11"/>
      <x:c r="BU13" s="11"/>
      <x:c r="BV13" s="11"/>
      <x:c r="BW13" s="11"/>
    </x:row>
    <x:row r="14">
      <x:c r="A14" s="11" t="n">
        <x:v>5</x:v>
      </x:c>
      <x:c r="B14" s="4" t="n">
        <x:v>6750000</x:v>
      </x:c>
      <x:c r="C14" s="3" t="n">
        <x:v>0.01</x:v>
      </x:c>
      <x:c r="D14" s="11" t="n">
        <x:v>20</x:v>
      </x:c>
      <x:c r="E14" s="4" t="n">
        <x:v>26450000</x:v>
      </x:c>
      <x:c r="F14" s="3" t="n">
        <x:v>0.1</x:v>
      </x:c>
      <x:c r="G14" s="11" t="n">
        <x:v>35</x:v>
      </x:c>
      <x:c r="H14" s="4" t="n">
        <x:v>125000000</x:v>
      </x:c>
      <x:c r="I14" s="3" t="n">
        <x:v>0.25</x:v>
      </x:c>
      <x:c r="J14" s="11"/>
      <x:c r="K14" s="11" t="n">
        <x:v>5</x:v>
      </x:c>
      <x:c r="L14" s="4" t="n">
        <x:v>9200000</x:v>
      </x:c>
      <x:c r="M14" s="3" t="n">
        <x:v>0.01</x:v>
      </x:c>
      <x:c r="N14" s="11" t="n">
        <x:v>20</x:v>
      </x:c>
      <x:c r="O14" s="4" t="n">
        <x:v>37100000</x:v>
      </x:c>
      <x:c r="P14" s="3" t="n">
        <x:v>0.14</x:v>
      </x:c>
      <x:c r="Q14" s="11" t="n">
        <x:v>35</x:v>
      </x:c>
      <x:c r="R14" s="4" t="n">
        <x:v>459000000</x:v>
      </x:c>
      <x:c r="S14" s="3" t="n">
        <x:v>0.29</x:v>
      </x:c>
      <x:c r="T14" s="11"/>
      <x:c r="U14" s="11" t="n">
        <x:v>5</x:v>
      </x:c>
      <x:c r="V14" s="4" t="n">
        <x:v>8850000</x:v>
      </x:c>
      <x:c r="W14" s="3" t="n">
        <x:v>0.01</x:v>
      </x:c>
      <x:c r="X14" s="11" t="n">
        <x:v>20</x:v>
      </x:c>
      <x:c r="Y14" s="4" t="n">
        <x:v>35400000</x:v>
      </x:c>
      <x:c r="Z14" s="3" t="n">
        <x:v>0.13</x:v>
      </x:c>
      <x:c r="AA14" s="11" t="n">
        <x:v>35</x:v>
      </x:c>
      <x:c r="AB14" s="4" t="n">
        <x:v>390000000</x:v>
      </x:c>
      <x:c r="AC14" s="3" t="n">
        <x:v>0.28</x:v>
      </x:c>
      <x:c r="AD14" s="11"/>
      <x:c r="AE14" s="11"/>
      <x:c r="AF14" s="11" t="n">
        <x:v>5</x:v>
      </x:c>
      <x:c r="AG14" s="4" t="n">
        <x:v>0</x:v>
      </x:c>
      <x:c r="AH14" s="3" t="n">
        <x:v>0.35</x:v>
      </x:c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  <x:c r="BA14" s="11"/>
      <x:c r="BB14" s="11"/>
      <x:c r="BC14" s="11"/>
      <x:c r="BD14" s="11"/>
      <x:c r="BE14" s="11"/>
      <x:c r="BF14" s="11"/>
      <x:c r="BG14" s="11"/>
      <x:c r="BH14" s="11"/>
      <x:c r="BI14" s="11"/>
      <x:c r="BJ14" s="11"/>
      <x:c r="BK14" s="11"/>
      <x:c r="BL14" s="11"/>
      <x:c r="BM14" s="11"/>
      <x:c r="BN14" s="11"/>
      <x:c r="BO14" s="11"/>
      <x:c r="BP14" s="11"/>
      <x:c r="BQ14" s="11"/>
      <x:c r="BR14" s="11"/>
      <x:c r="BS14" s="11"/>
      <x:c r="BT14" s="11"/>
      <x:c r="BU14" s="11"/>
      <x:c r="BV14" s="11"/>
      <x:c r="BW14" s="11"/>
    </x:row>
    <x:row r="15">
      <x:c r="A15" s="11" t="n">
        <x:v>6</x:v>
      </x:c>
      <x:c r="B15" s="4" t="n">
        <x:v>7500000</x:v>
      </x:c>
      <x:c r="C15" s="3" t="n">
        <x:v>0.0125</x:v>
      </x:c>
      <x:c r="D15" s="11" t="n">
        <x:v>21</x:v>
      </x:c>
      <x:c r="E15" s="4" t="n">
        <x:v>28000000</x:v>
      </x:c>
      <x:c r="F15" s="3" t="n">
        <x:v>0.11</x:v>
      </x:c>
      <x:c r="G15" s="11" t="n">
        <x:v>36</x:v>
      </x:c>
      <x:c r="H15" s="4" t="n">
        <x:v>157000000</x:v>
      </x:c>
      <x:c r="I15" s="3" t="n">
        <x:v>0.26</x:v>
      </x:c>
      <x:c r="J15" s="11"/>
      <x:c r="K15" s="11" t="n">
        <x:v>6</x:v>
      </x:c>
      <x:c r="L15" s="4" t="n">
        <x:v>10750000</x:v>
      </x:c>
      <x:c r="M15" s="3" t="n">
        <x:v>0.015</x:v>
      </x:c>
      <x:c r="N15" s="11" t="n">
        <x:v>21</x:v>
      </x:c>
      <x:c r="O15" s="4" t="n">
        <x:v>41100000</x:v>
      </x:c>
      <x:c r="P15" s="3" t="n">
        <x:v>0.15</x:v>
      </x:c>
      <x:c r="Q15" s="11" t="n">
        <x:v>36</x:v>
      </x:c>
      <x:c r="R15" s="4" t="n">
        <x:v>555000000</x:v>
      </x:c>
      <x:c r="S15" s="3" t="n">
        <x:v>0.3</x:v>
      </x:c>
      <x:c r="T15" s="11"/>
      <x:c r="U15" s="11" t="n">
        <x:v>6</x:v>
      </x:c>
      <x:c r="V15" s="4" t="n">
        <x:v>9800000</x:v>
      </x:c>
      <x:c r="W15" s="3" t="n">
        <x:v>0.0125</x:v>
      </x:c>
      <x:c r="X15" s="11" t="n">
        <x:v>21</x:v>
      </x:c>
      <x:c r="Y15" s="4" t="n">
        <x:v>38900000</x:v>
      </x:c>
      <x:c r="Z15" s="3" t="n">
        <x:v>0.14</x:v>
      </x:c>
      <x:c r="AA15" s="11" t="n">
        <x:v>36</x:v>
      </x:c>
      <x:c r="AB15" s="4" t="n">
        <x:v>463000000</x:v>
      </x:c>
      <x:c r="AC15" s="3" t="n">
        <x:v>0.29</x:v>
      </x:c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  <x:c r="BI15" s="11"/>
      <x:c r="BJ15" s="11"/>
      <x:c r="BK15" s="11"/>
      <x:c r="BL15" s="11"/>
      <x:c r="BM15" s="11"/>
      <x:c r="BN15" s="11"/>
      <x:c r="BO15" s="11"/>
      <x:c r="BP15" s="11"/>
      <x:c r="BQ15" s="11"/>
      <x:c r="BR15" s="11"/>
      <x:c r="BS15" s="11"/>
      <x:c r="BT15" s="11"/>
      <x:c r="BU15" s="11"/>
      <x:c r="BV15" s="11"/>
      <x:c r="BW15" s="11"/>
    </x:row>
    <x:row r="16">
      <x:c r="A16" s="11" t="n">
        <x:v>7</x:v>
      </x:c>
      <x:c r="B16" s="4" t="n">
        <x:v>8550000</x:v>
      </x:c>
      <x:c r="C16" s="3" t="n">
        <x:v>0.015</x:v>
      </x:c>
      <x:c r="D16" s="11" t="n">
        <x:v>22</x:v>
      </x:c>
      <x:c r="E16" s="4" t="n">
        <x:v>30050000</x:v>
      </x:c>
      <x:c r="F16" s="3" t="n">
        <x:v>0.12</x:v>
      </x:c>
      <x:c r="G16" s="11" t="n">
        <x:v>37</x:v>
      </x:c>
      <x:c r="H16" s="4" t="n">
        <x:v>206000000</x:v>
      </x:c>
      <x:c r="I16" s="3" t="n">
        <x:v>0.27</x:v>
      </x:c>
      <x:c r="J16" s="11"/>
      <x:c r="K16" s="11" t="n">
        <x:v>7</x:v>
      </x:c>
      <x:c r="L16" s="4" t="n">
        <x:v>11250000</x:v>
      </x:c>
      <x:c r="M16" s="3" t="n">
        <x:v>0.02</x:v>
      </x:c>
      <x:c r="N16" s="11" t="n">
        <x:v>22</x:v>
      </x:c>
      <x:c r="O16" s="4" t="n">
        <x:v>45800000</x:v>
      </x:c>
      <x:c r="P16" s="3" t="n">
        <x:v>0.16</x:v>
      </x:c>
      <x:c r="Q16" s="11" t="n">
        <x:v>37</x:v>
      </x:c>
      <x:c r="R16" s="4" t="n">
        <x:v>704000000</x:v>
      </x:c>
      <x:c r="S16" s="3" t="n">
        <x:v>0.31</x:v>
      </x:c>
      <x:c r="T16" s="11"/>
      <x:c r="U16" s="11" t="n">
        <x:v>7</x:v>
      </x:c>
      <x:c r="V16" s="4" t="n">
        <x:v>10950000</x:v>
      </x:c>
      <x:c r="W16" s="3" t="n">
        <x:v>0.015</x:v>
      </x:c>
      <x:c r="X16" s="11" t="n">
        <x:v>22</x:v>
      </x:c>
      <x:c r="Y16" s="4" t="n">
        <x:v>43000000</x:v>
      </x:c>
      <x:c r="Z16" s="3" t="n">
        <x:v>0.15</x:v>
      </x:c>
      <x:c r="AA16" s="11" t="n">
        <x:v>37</x:v>
      </x:c>
      <x:c r="AB16" s="4" t="n">
        <x:v>561000000</x:v>
      </x:c>
      <x:c r="AC16" s="3" t="n">
        <x:v>0.3</x:v>
      </x:c>
      <x:c r="AD16" s="11"/>
      <x:c r="AE16" s="11"/>
      <x:c r="AF16" s="11" t="str">
        <x:v>Source: client August 2026 workbook: BPJS TK, BPJS Health, Premi Insurance, Calculation and TER A B C.</x:v>
      </x:c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  <x:c r="BA16" s="11"/>
      <x:c r="BB16" s="11"/>
      <x:c r="BC16" s="11"/>
      <x:c r="BD16" s="11"/>
      <x:c r="BE16" s="11"/>
      <x:c r="BF16" s="11"/>
      <x:c r="BG16" s="11"/>
      <x:c r="BH16" s="11"/>
      <x:c r="BI16" s="11"/>
      <x:c r="BJ16" s="11"/>
      <x:c r="BK16" s="11"/>
      <x:c r="BL16" s="11"/>
      <x:c r="BM16" s="11"/>
      <x:c r="BN16" s="11"/>
      <x:c r="BO16" s="11"/>
      <x:c r="BP16" s="11"/>
      <x:c r="BQ16" s="11"/>
      <x:c r="BR16" s="11"/>
      <x:c r="BS16" s="11"/>
      <x:c r="BT16" s="11"/>
      <x:c r="BU16" s="11"/>
      <x:c r="BV16" s="11"/>
      <x:c r="BW16" s="11"/>
    </x:row>
    <x:row r="17">
      <x:c r="A17" s="11" t="n">
        <x:v>8</x:v>
      </x:c>
      <x:c r="B17" s="4" t="n">
        <x:v>9650000</x:v>
      </x:c>
      <x:c r="C17" s="3" t="n">
        <x:v>0.0175</x:v>
      </x:c>
      <x:c r="D17" s="11" t="n">
        <x:v>23</x:v>
      </x:c>
      <x:c r="E17" s="4" t="n">
        <x:v>32400000</x:v>
      </x:c>
      <x:c r="F17" s="3" t="n">
        <x:v>0.13</x:v>
      </x:c>
      <x:c r="G17" s="11" t="n">
        <x:v>38</x:v>
      </x:c>
      <x:c r="H17" s="4" t="n">
        <x:v>337000000</x:v>
      </x:c>
      <x:c r="I17" s="3" t="n">
        <x:v>0.28</x:v>
      </x:c>
      <x:c r="J17" s="11"/>
      <x:c r="K17" s="11" t="n">
        <x:v>8</x:v>
      </x:c>
      <x:c r="L17" s="4" t="n">
        <x:v>11600000</x:v>
      </x:c>
      <x:c r="M17" s="3" t="n">
        <x:v>0.025</x:v>
      </x:c>
      <x:c r="N17" s="11" t="n">
        <x:v>23</x:v>
      </x:c>
      <x:c r="O17" s="4" t="n">
        <x:v>49500000</x:v>
      </x:c>
      <x:c r="P17" s="3" t="n">
        <x:v>0.17</x:v>
      </x:c>
      <x:c r="Q17" s="11" t="n">
        <x:v>38</x:v>
      </x:c>
      <x:c r="R17" s="4" t="n">
        <x:v>957000000</x:v>
      </x:c>
      <x:c r="S17" s="3" t="n">
        <x:v>0.32</x:v>
      </x:c>
      <x:c r="T17" s="11"/>
      <x:c r="U17" s="11" t="n">
        <x:v>8</x:v>
      </x:c>
      <x:c r="V17" s="4" t="n">
        <x:v>11200000</x:v>
      </x:c>
      <x:c r="W17" s="3" t="n">
        <x:v>0.0175</x:v>
      </x:c>
      <x:c r="X17" s="11" t="n">
        <x:v>23</x:v>
      </x:c>
      <x:c r="Y17" s="4" t="n">
        <x:v>47400000</x:v>
      </x:c>
      <x:c r="Z17" s="3" t="n">
        <x:v>0.16</x:v>
      </x:c>
      <x:c r="AA17" s="11" t="n">
        <x:v>38</x:v>
      </x:c>
      <x:c r="AB17" s="4" t="n">
        <x:v>709000000</x:v>
      </x:c>
      <x:c r="AC17" s="3" t="n">
        <x:v>0.31</x:v>
      </x:c>
      <x:c r="AD17" s="11"/>
      <x:c r="AE17" s="11"/>
      <x:c r="AF17" s="11" t="str">
        <x:v>TER and BPJS rates are the client August snapshot. Effective date identifies this snapshot, not the original regulation date.</x:v>
      </x:c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  <x:c r="BA17" s="11"/>
      <x:c r="BB17" s="11"/>
      <x:c r="BC17" s="11"/>
      <x:c r="BD17" s="11"/>
      <x:c r="BE17" s="11"/>
      <x:c r="BF17" s="11"/>
      <x:c r="BG17" s="11"/>
      <x:c r="BH17" s="11"/>
      <x:c r="BI17" s="11"/>
      <x:c r="BJ17" s="11"/>
      <x:c r="BK17" s="11"/>
      <x:c r="BL17" s="11"/>
      <x:c r="BM17" s="11"/>
      <x:c r="BN17" s="11"/>
      <x:c r="BO17" s="11"/>
      <x:c r="BP17" s="11"/>
      <x:c r="BQ17" s="11"/>
      <x:c r="BR17" s="11"/>
      <x:c r="BS17" s="11"/>
      <x:c r="BT17" s="11"/>
      <x:c r="BU17" s="11"/>
      <x:c r="BV17" s="11"/>
      <x:c r="BW17" s="11"/>
    </x:row>
    <x:row r="18">
      <x:c r="A18" s="11" t="n">
        <x:v>9</x:v>
      </x:c>
      <x:c r="B18" s="4" t="n">
        <x:v>10050000</x:v>
      </x:c>
      <x:c r="C18" s="3" t="n">
        <x:v>0.02</x:v>
      </x:c>
      <x:c r="D18" s="11" t="n">
        <x:v>24</x:v>
      </x:c>
      <x:c r="E18" s="4" t="n">
        <x:v>35400000</x:v>
      </x:c>
      <x:c r="F18" s="3" t="n">
        <x:v>0.14</x:v>
      </x:c>
      <x:c r="G18" s="11" t="n">
        <x:v>39</x:v>
      </x:c>
      <x:c r="H18" s="4" t="n">
        <x:v>454000000</x:v>
      </x:c>
      <x:c r="I18" s="3" t="n">
        <x:v>0.29</x:v>
      </x:c>
      <x:c r="J18" s="11"/>
      <x:c r="K18" s="11" t="n">
        <x:v>9</x:v>
      </x:c>
      <x:c r="L18" s="4" t="n">
        <x:v>12600000</x:v>
      </x:c>
      <x:c r="M18" s="3" t="n">
        <x:v>0.03</x:v>
      </x:c>
      <x:c r="N18" s="11" t="n">
        <x:v>24</x:v>
      </x:c>
      <x:c r="O18" s="4" t="n">
        <x:v>53800000</x:v>
      </x:c>
      <x:c r="P18" s="3" t="n">
        <x:v>0.18</x:v>
      </x:c>
      <x:c r="Q18" s="11" t="n">
        <x:v>39</x:v>
      </x:c>
      <x:c r="R18" s="4" t="n">
        <x:v>1405000000</x:v>
      </x:c>
      <x:c r="S18" s="3" t="n">
        <x:v>0.33</x:v>
      </x:c>
      <x:c r="T18" s="11"/>
      <x:c r="U18" s="11" t="n">
        <x:v>9</x:v>
      </x:c>
      <x:c r="V18" s="4" t="n">
        <x:v>12050000</x:v>
      </x:c>
      <x:c r="W18" s="3" t="n">
        <x:v>0.02</x:v>
      </x:c>
      <x:c r="X18" s="11" t="n">
        <x:v>24</x:v>
      </x:c>
      <x:c r="Y18" s="4" t="n">
        <x:v>51200000</x:v>
      </x:c>
      <x:c r="Z18" s="3" t="n">
        <x:v>0.17</x:v>
      </x:c>
      <x:c r="AA18" s="11" t="n">
        <x:v>39</x:v>
      </x:c>
      <x:c r="AB18" s="4" t="n">
        <x:v>965000000</x:v>
      </x:c>
      <x:c r="AC18" s="3" t="n">
        <x:v>0.32</x:v>
      </x:c>
      <x:c r="AD18" s="11"/>
      <x:c r="AE18" s="11"/>
      <x:c r="AF18" s="11" t="str">
        <x:v>Allowance mode: 0 = none; 1 = tax on regular insurance premium; 2 = full monthly tax gross-up. BPJS reimbursement is a separate flag.</x:v>
      </x:c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  <x:c r="BA18" s="11"/>
      <x:c r="BB18" s="11"/>
      <x:c r="BC18" s="11"/>
      <x:c r="BD18" s="11"/>
      <x:c r="BE18" s="11"/>
      <x:c r="BF18" s="11"/>
      <x:c r="BG18" s="11"/>
      <x:c r="BH18" s="11"/>
      <x:c r="BI18" s="11"/>
      <x:c r="BJ18" s="11"/>
      <x:c r="BK18" s="11"/>
      <x:c r="BL18" s="11"/>
      <x:c r="BM18" s="11"/>
      <x:c r="BN18" s="11"/>
      <x:c r="BO18" s="11"/>
      <x:c r="BP18" s="11"/>
      <x:c r="BQ18" s="11"/>
      <x:c r="BR18" s="11"/>
      <x:c r="BS18" s="11"/>
      <x:c r="BT18" s="11"/>
      <x:c r="BU18" s="11"/>
      <x:c r="BV18" s="11"/>
      <x:c r="BW18" s="11"/>
    </x:row>
    <x:row r="19">
      <x:c r="A19" s="11" t="n">
        <x:v>10</x:v>
      </x:c>
      <x:c r="B19" s="4" t="n">
        <x:v>10350000</x:v>
      </x:c>
      <x:c r="C19" s="3" t="n">
        <x:v>0.0225</x:v>
      </x:c>
      <x:c r="D19" s="11" t="n">
        <x:v>25</x:v>
      </x:c>
      <x:c r="E19" s="4" t="n">
        <x:v>39100000</x:v>
      </x:c>
      <x:c r="F19" s="3" t="n">
        <x:v>0.15</x:v>
      </x:c>
      <x:c r="G19" s="11" t="n">
        <x:v>40</x:v>
      </x:c>
      <x:c r="H19" s="4" t="n">
        <x:v>550000000</x:v>
      </x:c>
      <x:c r="I19" s="3" t="n">
        <x:v>0.3</x:v>
      </x:c>
      <x:c r="J19" s="11"/>
      <x:c r="K19" s="11" t="n">
        <x:v>10</x:v>
      </x:c>
      <x:c r="L19" s="4" t="n">
        <x:v>13600000</x:v>
      </x:c>
      <x:c r="M19" s="3" t="n">
        <x:v>0.04</x:v>
      </x:c>
      <x:c r="N19" s="11" t="n">
        <x:v>25</x:v>
      </x:c>
      <x:c r="O19" s="4" t="n">
        <x:v>58500000</x:v>
      </x:c>
      <x:c r="P19" s="3" t="n">
        <x:v>0.19</x:v>
      </x:c>
      <x:c r="Q19" s="11" t="n">
        <x:v>40</x:v>
      </x:c>
      <x:c r="R19" s="4" t="n">
        <x:v>0</x:v>
      </x:c>
      <x:c r="S19" s="3" t="n">
        <x:v>0.34</x:v>
      </x:c>
      <x:c r="T19" s="11"/>
      <x:c r="U19" s="11" t="n">
        <x:v>10</x:v>
      </x:c>
      <x:c r="V19" s="4" t="n">
        <x:v>12950000</x:v>
      </x:c>
      <x:c r="W19" s="3" t="n">
        <x:v>0.03</x:v>
      </x:c>
      <x:c r="X19" s="11" t="n">
        <x:v>25</x:v>
      </x:c>
      <x:c r="Y19" s="4" t="n">
        <x:v>55800000</x:v>
      </x:c>
      <x:c r="Z19" s="3" t="n">
        <x:v>0.18</x:v>
      </x:c>
      <x:c r="AA19" s="11" t="n">
        <x:v>40</x:v>
      </x:c>
      <x:c r="AB19" s="4" t="n">
        <x:v>1419000000</x:v>
      </x:c>
      <x:c r="AC19" s="3" t="n">
        <x:v>0.33</x:v>
      </x:c>
      <x:c r="AD19" s="11"/>
      <x:c r="AE19" s="11"/>
      <x:c r="AF19" s="11" t="str">
        <x:v>Paid days and period days are payroll inputs. Salary adjustment covers backpay. Annual premium / 12 calculates monthly insurance.</x:v>
      </x:c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  <x:c r="BA19" s="11"/>
      <x:c r="BB19" s="11"/>
      <x:c r="BC19" s="11"/>
      <x:c r="BD19" s="11"/>
      <x:c r="BE19" s="11"/>
      <x:c r="BF19" s="11"/>
      <x:c r="BG19" s="11"/>
      <x:c r="BH19" s="11"/>
      <x:c r="BI19" s="11"/>
      <x:c r="BJ19" s="11"/>
      <x:c r="BK19" s="11"/>
      <x:c r="BL19" s="11"/>
      <x:c r="BM19" s="11"/>
      <x:c r="BN19" s="11"/>
      <x:c r="BO19" s="11"/>
      <x:c r="BP19" s="11"/>
      <x:c r="BQ19" s="11"/>
      <x:c r="BR19" s="11"/>
      <x:c r="BS19" s="11"/>
      <x:c r="BT19" s="11"/>
      <x:c r="BU19" s="11"/>
      <x:c r="BV19" s="11"/>
      <x:c r="BW19" s="11"/>
    </x:row>
    <x:row r="20">
      <x:c r="A20" s="11" t="n">
        <x:v>11</x:v>
      </x:c>
      <x:c r="B20" s="4" t="n">
        <x:v>10700000</x:v>
      </x:c>
      <x:c r="C20" s="3" t="n">
        <x:v>0.025</x:v>
      </x:c>
      <x:c r="D20" s="11" t="n">
        <x:v>26</x:v>
      </x:c>
      <x:c r="E20" s="4" t="n">
        <x:v>43850000</x:v>
      </x:c>
      <x:c r="F20" s="3" t="n">
        <x:v>0.16</x:v>
      </x:c>
      <x:c r="G20" s="11" t="n">
        <x:v>41</x:v>
      </x:c>
      <x:c r="H20" s="4" t="n">
        <x:v>695000000</x:v>
      </x:c>
      <x:c r="I20" s="3" t="n">
        <x:v>0.31</x:v>
      </x:c>
      <x:c r="J20" s="11"/>
      <x:c r="K20" s="11" t="n">
        <x:v>11</x:v>
      </x:c>
      <x:c r="L20" s="4" t="n">
        <x:v>14950000</x:v>
      </x:c>
      <x:c r="M20" s="3" t="n">
        <x:v>0.05</x:v>
      </x:c>
      <x:c r="N20" s="11" t="n">
        <x:v>26</x:v>
      </x:c>
      <x:c r="O20" s="4" t="n">
        <x:v>64000000</x:v>
      </x:c>
      <x:c r="P20" s="3" t="n">
        <x:v>0.2</x:v>
      </x:c>
      <x:c r="Q20" s="11"/>
      <x:c r="R20" s="11"/>
      <x:c r="S20" s="11"/>
      <x:c r="T20" s="11"/>
      <x:c r="U20" s="11" t="n">
        <x:v>11</x:v>
      </x:c>
      <x:c r="V20" s="4" t="n">
        <x:v>14150000</x:v>
      </x:c>
      <x:c r="W20" s="3" t="n">
        <x:v>0.04</x:v>
      </x:c>
      <x:c r="X20" s="11" t="n">
        <x:v>26</x:v>
      </x:c>
      <x:c r="Y20" s="4" t="n">
        <x:v>60400000</x:v>
      </x:c>
      <x:c r="Z20" s="3" t="n">
        <x:v>0.19</x:v>
      </x:c>
      <x:c r="AA20" s="11" t="n">
        <x:v>41</x:v>
      </x:c>
      <x:c r="AB20" s="4" t="n">
        <x:v>0</x:v>
      </x:c>
      <x:c r="AC20" s="3" t="n">
        <x:v>0.34</x:v>
      </x:c>
      <x:c r="AD20" s="11"/>
      <x:c r="AE20" s="11"/>
      <x:c r="AF20" s="11" t="str">
        <x:v>Final period: supply prior YTD gross, deductible JHT + JP, eligible job-expense months and tax already withheld. Refunds remain signed.</x:v>
      </x:c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  <x:c r="BA20" s="11"/>
      <x:c r="BB20" s="11"/>
      <x:c r="BC20" s="11"/>
      <x:c r="BD20" s="11"/>
      <x:c r="BE20" s="11"/>
      <x:c r="BF20" s="11"/>
      <x:c r="BG20" s="11"/>
      <x:c r="BH20" s="11"/>
      <x:c r="BI20" s="11"/>
      <x:c r="BJ20" s="11"/>
      <x:c r="BK20" s="11"/>
      <x:c r="BL20" s="11"/>
      <x:c r="BM20" s="11"/>
      <x:c r="BN20" s="11"/>
      <x:c r="BO20" s="11"/>
      <x:c r="BP20" s="11"/>
      <x:c r="BQ20" s="11"/>
      <x:c r="BR20" s="11"/>
      <x:c r="BS20" s="11"/>
      <x:c r="BT20" s="11"/>
      <x:c r="BU20" s="11"/>
      <x:c r="BV20" s="11"/>
      <x:c r="BW20" s="11"/>
    </x:row>
    <x:row r="21">
      <x:c r="A21" s="11" t="n">
        <x:v>12</x:v>
      </x:c>
      <x:c r="B21" s="4" t="n">
        <x:v>11050000</x:v>
      </x:c>
      <x:c r="C21" s="3" t="n">
        <x:v>0.03</x:v>
      </x:c>
      <x:c r="D21" s="11" t="n">
        <x:v>27</x:v>
      </x:c>
      <x:c r="E21" s="4" t="n">
        <x:v>47800000</x:v>
      </x:c>
      <x:c r="F21" s="3" t="n">
        <x:v>0.17</x:v>
      </x:c>
      <x:c r="G21" s="11" t="n">
        <x:v>42</x:v>
      </x:c>
      <x:c r="H21" s="4" t="n">
        <x:v>910000000</x:v>
      </x:c>
      <x:c r="I21" s="3" t="n">
        <x:v>0.32</x:v>
      </x:c>
      <x:c r="J21" s="11"/>
      <x:c r="K21" s="11" t="n">
        <x:v>12</x:v>
      </x:c>
      <x:c r="L21" s="4" t="n">
        <x:v>16400000</x:v>
      </x:c>
      <x:c r="M21" s="3" t="n">
        <x:v>0.06</x:v>
      </x:c>
      <x:c r="N21" s="11" t="n">
        <x:v>27</x:v>
      </x:c>
      <x:c r="O21" s="4" t="n">
        <x:v>71000000</x:v>
      </x:c>
      <x:c r="P21" s="3" t="n">
        <x:v>0.21</x:v>
      </x:c>
      <x:c r="Q21" s="11"/>
      <x:c r="R21" s="11"/>
      <x:c r="S21" s="11"/>
      <x:c r="T21" s="11"/>
      <x:c r="U21" s="11" t="n">
        <x:v>12</x:v>
      </x:c>
      <x:c r="V21" s="4" t="n">
        <x:v>15500000</x:v>
      </x:c>
      <x:c r="W21" s="3" t="n">
        <x:v>0.05</x:v>
      </x:c>
      <x:c r="X21" s="11" t="n">
        <x:v>27</x:v>
      </x:c>
      <x:c r="Y21" s="4" t="n">
        <x:v>66700000</x:v>
      </x:c>
      <x:c r="Z21" s="3" t="n">
        <x:v>0.2</x:v>
      </x:c>
      <x:c r="AA21" s="11"/>
      <x:c r="AB21" s="11"/>
      <x:c r="AC21" s="11"/>
      <x:c r="AD21" s="11"/>
      <x:c r="AE21" s="11"/>
      <x:c r="AF21" s="11" t="str">
        <x:v>Final-period full net contracts require a separate annual gross-up review. The template exposes that case as an unavailable calculation.</x:v>
      </x:c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  <x:c r="BA21" s="11"/>
      <x:c r="BB21" s="11"/>
      <x:c r="BC21" s="11"/>
      <x:c r="BD21" s="11"/>
      <x:c r="BE21" s="11"/>
      <x:c r="BF21" s="11"/>
      <x:c r="BG21" s="11"/>
      <x:c r="BH21" s="11"/>
      <x:c r="BI21" s="11"/>
      <x:c r="BJ21" s="11"/>
      <x:c r="BK21" s="11"/>
      <x:c r="BL21" s="11"/>
      <x:c r="BM21" s="11"/>
      <x:c r="BN21" s="11"/>
      <x:c r="BO21" s="11"/>
      <x:c r="BP21" s="11"/>
      <x:c r="BQ21" s="11"/>
      <x:c r="BR21" s="11"/>
      <x:c r="BS21" s="11"/>
      <x:c r="BT21" s="11"/>
      <x:c r="BU21" s="11"/>
      <x:c r="BV21" s="11"/>
      <x:c r="BW21" s="11"/>
    </x:row>
    <x:row r="22">
      <x:c r="A22" s="11" t="n">
        <x:v>13</x:v>
      </x:c>
      <x:c r="B22" s="4" t="n">
        <x:v>11600000</x:v>
      </x:c>
      <x:c r="C22" s="3" t="n">
        <x:v>0.035</x:v>
      </x:c>
      <x:c r="D22" s="11" t="n">
        <x:v>28</x:v>
      </x:c>
      <x:c r="E22" s="4" t="n">
        <x:v>51400000</x:v>
      </x:c>
      <x:c r="F22" s="3" t="n">
        <x:v>0.18</x:v>
      </x:c>
      <x:c r="G22" s="11" t="n">
        <x:v>43</x:v>
      </x:c>
      <x:c r="H22" s="4" t="n">
        <x:v>1400000000</x:v>
      </x:c>
      <x:c r="I22" s="3" t="n">
        <x:v>0.33</x:v>
      </x:c>
      <x:c r="J22" s="11"/>
      <x:c r="K22" s="11" t="n">
        <x:v>13</x:v>
      </x:c>
      <x:c r="L22" s="4" t="n">
        <x:v>18450000</x:v>
      </x:c>
      <x:c r="M22" s="3" t="n">
        <x:v>0.07</x:v>
      </x:c>
      <x:c r="N22" s="11" t="n">
        <x:v>28</x:v>
      </x:c>
      <x:c r="O22" s="4" t="n">
        <x:v>80000000</x:v>
      </x:c>
      <x:c r="P22" s="3" t="n">
        <x:v>0.22</x:v>
      </x:c>
      <x:c r="Q22" s="11"/>
      <x:c r="R22" s="11"/>
      <x:c r="S22" s="11"/>
      <x:c r="T22" s="11"/>
      <x:c r="U22" s="11" t="n">
        <x:v>13</x:v>
      </x:c>
      <x:c r="V22" s="4" t="n">
        <x:v>17050000</x:v>
      </x:c>
      <x:c r="W22" s="3" t="n">
        <x:v>0.06</x:v>
      </x:c>
      <x:c r="X22" s="11" t="n">
        <x:v>28</x:v>
      </x:c>
      <x:c r="Y22" s="4" t="n">
        <x:v>74500000</x:v>
      </x:c>
      <x:c r="Z22" s="3" t="n">
        <x:v>0.21</x:v>
      </x:c>
      <x:c r="AA22" s="11"/>
      <x:c r="AB22" s="11"/>
      <x:c r="AC22" s="11"/>
      <x:c r="AD22" s="11"/>
      <x:c r="AE22" s="11"/>
      <x:c r="AF22" s="11" t="str">
        <x:v>Severance calculation is for qualifying PP 68/2009 payments in the first two years. Include prior qualifying payments and tax withheld.</x:v>
      </x:c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  <x:c r="BA22" s="11"/>
      <x:c r="BB22" s="11"/>
      <x:c r="BC22" s="11"/>
      <x:c r="BD22" s="11"/>
      <x:c r="BE22" s="11"/>
      <x:c r="BF22" s="11"/>
      <x:c r="BG22" s="11"/>
      <x:c r="BH22" s="11"/>
      <x:c r="BI22" s="11"/>
      <x:c r="BJ22" s="11"/>
      <x:c r="BK22" s="11"/>
      <x:c r="BL22" s="11"/>
      <x:c r="BM22" s="11"/>
      <x:c r="BN22" s="11"/>
      <x:c r="BO22" s="11"/>
      <x:c r="BP22" s="11"/>
      <x:c r="BQ22" s="11"/>
      <x:c r="BR22" s="11"/>
      <x:c r="BS22" s="11"/>
      <x:c r="BT22" s="11"/>
      <x:c r="BU22" s="11"/>
      <x:c r="BV22" s="11"/>
      <x:c r="BW22" s="11"/>
    </x:row>
    <x:row r="23">
      <x:c r="A23" s="11" t="n">
        <x:v>14</x:v>
      </x:c>
      <x:c r="B23" s="4" t="n">
        <x:v>12500000</x:v>
      </x:c>
      <x:c r="C23" s="3" t="n">
        <x:v>0.04</x:v>
      </x:c>
      <x:c r="D23" s="11" t="n">
        <x:v>29</x:v>
      </x:c>
      <x:c r="E23" s="4" t="n">
        <x:v>56300000</x:v>
      </x:c>
      <x:c r="F23" s="3" t="n">
        <x:v>0.19</x:v>
      </x:c>
      <x:c r="G23" s="11" t="n">
        <x:v>44</x:v>
      </x:c>
      <x:c r="H23" s="4" t="n">
        <x:v>0</x:v>
      </x:c>
      <x:c r="I23" s="3" t="n">
        <x:v>0.34</x:v>
      </x:c>
      <x:c r="J23" s="11"/>
      <x:c r="K23" s="11" t="n">
        <x:v>14</x:v>
      </x:c>
      <x:c r="L23" s="4" t="n">
        <x:v>21850000</x:v>
      </x:c>
      <x:c r="M23" s="3" t="n">
        <x:v>0.08</x:v>
      </x:c>
      <x:c r="N23" s="11" t="n">
        <x:v>29</x:v>
      </x:c>
      <x:c r="O23" s="4" t="n">
        <x:v>93000000</x:v>
      </x:c>
      <x:c r="P23" s="3" t="n">
        <x:v>0.23</x:v>
      </x:c>
      <x:c r="Q23" s="11"/>
      <x:c r="R23" s="11"/>
      <x:c r="S23" s="11"/>
      <x:c r="T23" s="11"/>
      <x:c r="U23" s="11" t="n">
        <x:v>14</x:v>
      </x:c>
      <x:c r="V23" s="4" t="n">
        <x:v>19500000</x:v>
      </x:c>
      <x:c r="W23" s="3" t="n">
        <x:v>0.07</x:v>
      </x:c>
      <x:c r="X23" s="11" t="n">
        <x:v>29</x:v>
      </x:c>
      <x:c r="Y23" s="4" t="n">
        <x:v>83200000</x:v>
      </x:c>
      <x:c r="Z23" s="3" t="n">
        <x:v>0.22</x:v>
      </x:c>
      <x:c r="AA23" s="11"/>
      <x:c r="AB23" s="11"/>
      <x:c r="AC23" s="11"/>
      <x:c r="AD23" s="11"/>
      <x:c r="AE23" s="11"/>
      <x:c r="AF23" s="11" t="str">
        <x:v>Import Payroll only; Tax Map is read automatically. Publish the imported editions, then activate the reviewed payroll configuration.</x:v>
      </x:c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  <x:c r="BA23" s="11"/>
      <x:c r="BB23" s="11"/>
      <x:c r="BC23" s="11"/>
      <x:c r="BD23" s="11"/>
      <x:c r="BE23" s="11"/>
      <x:c r="BF23" s="11"/>
      <x:c r="BG23" s="11"/>
      <x:c r="BH23" s="11"/>
      <x:c r="BI23" s="11"/>
      <x:c r="BJ23" s="11"/>
      <x:c r="BK23" s="11"/>
      <x:c r="BL23" s="11"/>
      <x:c r="BM23" s="11"/>
      <x:c r="BN23" s="11"/>
      <x:c r="BO23" s="11"/>
      <x:c r="BP23" s="11"/>
      <x:c r="BQ23" s="11"/>
      <x:c r="BR23" s="11"/>
      <x:c r="BS23" s="11"/>
      <x:c r="BT23" s="11"/>
      <x:c r="BU23" s="11"/>
      <x:c r="BV23" s="11"/>
      <x:c r="BW23" s="11"/>
    </x:row>
    <x:row r="24">
      <x:c r="A24" s="11" t="n">
        <x:v>15</x:v>
      </x:c>
      <x:c r="B24" s="4" t="n">
        <x:v>13750000</x:v>
      </x:c>
      <x:c r="C24" s="3" t="n">
        <x:v>0.05</x:v>
      </x:c>
      <x:c r="D24" s="11" t="n">
        <x:v>30</x:v>
      </x:c>
      <x:c r="E24" s="4" t="n">
        <x:v>62200000</x:v>
      </x:c>
      <x:c r="F24" s="3" t="n">
        <x:v>0.2</x:v>
      </x:c>
      <x:c r="G24" s="11"/>
      <x:c r="H24" s="11"/>
      <x:c r="I24" s="11"/>
      <x:c r="J24" s="11"/>
      <x:c r="K24" s="11" t="n">
        <x:v>15</x:v>
      </x:c>
      <x:c r="L24" s="4" t="n">
        <x:v>26000000</x:v>
      </x:c>
      <x:c r="M24" s="3" t="n">
        <x:v>0.09</x:v>
      </x:c>
      <x:c r="N24" s="11" t="n">
        <x:v>30</x:v>
      </x:c>
      <x:c r="O24" s="4" t="n">
        <x:v>109000000</x:v>
      </x:c>
      <x:c r="P24" s="3" t="n">
        <x:v>0.24</x:v>
      </x:c>
      <x:c r="Q24" s="11"/>
      <x:c r="R24" s="11"/>
      <x:c r="S24" s="11"/>
      <x:c r="T24" s="11"/>
      <x:c r="U24" s="11" t="n">
        <x:v>15</x:v>
      </x:c>
      <x:c r="V24" s="4" t="n">
        <x:v>22700000</x:v>
      </x:c>
      <x:c r="W24" s="3" t="n">
        <x:v>0.08</x:v>
      </x:c>
      <x:c r="X24" s="11" t="n">
        <x:v>30</x:v>
      </x:c>
      <x:c r="Y24" s="4" t="n">
        <x:v>95600000</x:v>
      </x:c>
      <x:c r="Z24" s="3" t="n">
        <x:v>0.23</x:v>
      </x:c>
      <x:c r="AA24" s="11"/>
      <x:c r="AB24" s="11"/>
      <x:c r="AC24" s="11"/>
      <x:c r="AD24" s="11"/>
      <x:c r="AE24" s="11"/>
      <x:c r="AF24" s="11" t="str">
        <x:v>https://www.pajak.go.id/id/peraturan/harmonisasi-peraturan-perpajakan</x:v>
      </x:c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  <x:c r="BA24" s="11"/>
      <x:c r="BB24" s="11"/>
      <x:c r="BC24" s="11"/>
      <x:c r="BD24" s="11"/>
      <x:c r="BE24" s="11"/>
      <x:c r="BF24" s="11"/>
      <x:c r="BG24" s="11"/>
      <x:c r="BH24" s="11"/>
      <x:c r="BI24" s="11"/>
      <x:c r="BJ24" s="11"/>
      <x:c r="BK24" s="11"/>
      <x:c r="BL24" s="11"/>
      <x:c r="BM24" s="11"/>
      <x:c r="BN24" s="11"/>
      <x:c r="BO24" s="11"/>
      <x:c r="BP24" s="11"/>
      <x:c r="BQ24" s="11"/>
      <x:c r="BR24" s="11"/>
      <x:c r="BS24" s="11"/>
      <x:c r="BT24" s="11"/>
      <x:c r="BU24" s="11"/>
      <x:c r="BV24" s="11"/>
      <x:c r="BW24" s="11"/>
    </x:row>
    <x:row r="25">
      <x:c r="A25" s="11" t="str">
        <x:v>Upper bound 0 means unlimited. Each numbered band keeps its own database mapping.</x:v>
      </x:c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 t="str">
        <x:v>https://pajak.go.id/id/peraturan/petunjuk-pelaksanaan-pemotongan-pajak-atas-penghasilan-sehubungan-dengan-pekerjaan-jasa-1</x:v>
      </x:c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  <x:c r="BA25" s="11"/>
      <x:c r="BB25" s="11"/>
      <x:c r="BC25" s="11"/>
      <x:c r="BD25" s="11"/>
      <x:c r="BE25" s="11"/>
      <x:c r="BF25" s="11"/>
      <x:c r="BG25" s="11"/>
      <x:c r="BH25" s="11"/>
      <x:c r="BI25" s="11"/>
      <x:c r="BJ25" s="11"/>
      <x:c r="BK25" s="11"/>
      <x:c r="BL25" s="11"/>
      <x:c r="BM25" s="11"/>
      <x:c r="BN25" s="11"/>
      <x:c r="BO25" s="11"/>
      <x:c r="BP25" s="11"/>
      <x:c r="BQ25" s="11"/>
      <x:c r="BR25" s="11"/>
      <x:c r="BS25" s="11"/>
      <x:c r="BT25" s="11"/>
      <x:c r="BU25" s="11"/>
      <x:c r="BV25" s="11"/>
      <x:c r="BW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 t="str">
        <x:v>https://www.pajak.go.id/id/tarif-pajak-penghasilan-pasal-21-atas-penghasilan-berupa-uang-pesangon-uang-manfaat-pensiun</x:v>
      </x:c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  <x:c r="BA26" s="11"/>
      <x:c r="BB26" s="11"/>
      <x:c r="BC26" s="11"/>
      <x:c r="BD26" s="11"/>
      <x:c r="BE26" s="11"/>
      <x:c r="BF26" s="11"/>
      <x:c r="BG26" s="11"/>
      <x:c r="BH26" s="11"/>
      <x:c r="BI26" s="11"/>
      <x:c r="BJ26" s="11"/>
      <x:c r="BK26" s="11"/>
      <x:c r="BL26" s="11"/>
      <x:c r="BM26" s="11"/>
      <x:c r="BN26" s="11"/>
      <x:c r="BO26" s="11"/>
      <x:c r="BP26" s="11"/>
      <x:c r="BQ26" s="11"/>
      <x:c r="BR26" s="11"/>
      <x:c r="BS26" s="11"/>
      <x:c r="BT26" s="11"/>
      <x:c r="BU26" s="11"/>
      <x:c r="BV26" s="11"/>
      <x:c r="BW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  <x:c r="BA27" s="11"/>
      <x:c r="BB27" s="11"/>
      <x:c r="BC27" s="11"/>
      <x:c r="BD27" s="11"/>
      <x:c r="BE27" s="11"/>
      <x:c r="BF27" s="11"/>
      <x:c r="BG27" s="11"/>
      <x:c r="BH27" s="11"/>
      <x:c r="BI27" s="11"/>
      <x:c r="BJ27" s="11"/>
      <x:c r="BK27" s="11"/>
      <x:c r="BL27" s="11"/>
      <x:c r="BM27" s="11"/>
      <x:c r="BN27" s="11"/>
      <x:c r="BO27" s="11"/>
      <x:c r="BP27" s="11"/>
      <x:c r="BQ27" s="11"/>
      <x:c r="BR27" s="11"/>
      <x:c r="BS27" s="11"/>
      <x:c r="BT27" s="11"/>
      <x:c r="BU27" s="11"/>
      <x:c r="BV27" s="11"/>
      <x:c r="BW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  <x:c r="BA28" s="11"/>
      <x:c r="BB28" s="11"/>
      <x:c r="BC28" s="11"/>
      <x:c r="BD28" s="11"/>
      <x:c r="BE28" s="11"/>
      <x:c r="BF28" s="11"/>
      <x:c r="BG28" s="11"/>
      <x:c r="BH28" s="11"/>
      <x:c r="BI28" s="11"/>
      <x:c r="BJ28" s="11"/>
      <x:c r="BK28" s="11"/>
      <x:c r="BL28" s="11"/>
      <x:c r="BM28" s="11"/>
      <x:c r="BN28" s="11"/>
      <x:c r="BO28" s="11"/>
      <x:c r="BP28" s="11"/>
      <x:c r="BQ28" s="11"/>
      <x:c r="BR28" s="11"/>
      <x:c r="BS28" s="11"/>
      <x:c r="BT28" s="11"/>
      <x:c r="BU28" s="11"/>
      <x:c r="BV28" s="11"/>
      <x:c r="BW28" s="11"/>
    </x:row>
    <x:row r="29" ht="58" customHeight="1">
      <x:c r="A29" s="9" t="str">
        <x:v>Department</x:v>
      </x:c>
      <x:c r="B29" s="9" t="str">
        <x:v>Cost Centre</x:v>
      </x:c>
      <x:c r="C29" s="9" t="str">
        <x:v>No.</x:v>
      </x:c>
      <x:c r="D29" s="9" t="str">
        <x:v>Employee ID</x:v>
      </x:c>
      <x:c r="E29" s="9" t="str">
        <x:v>Name</x:v>
      </x:c>
      <x:c r="F29" s="9" t="str">
        <x:v>Job Title</x:v>
      </x:c>
      <x:c r="G29" s="9" t="str">
        <x:v>Join Date</x:v>
      </x:c>
      <x:c r="H29" s="9" t="str">
        <x:v>Resign Date</x:v>
      </x:c>
      <x:c r="I29" s="9" t="str">
        <x:v>Employee Status</x:v>
      </x:c>
      <x:c r="J29" s="9" t="str">
        <x:v>S/M</x:v>
      </x:c>
      <x:c r="K29" s="9" t="str">
        <x:v>L/E</x:v>
      </x:c>
      <x:c r="L29" s="9" t="str">
        <x:v>Basic Salary</x:v>
      </x:c>
      <x:c r="M29" s="9" t="str">
        <x:v>Tax allowance regular</x:v>
      </x:c>
      <x:c r="N29" s="9" t="str">
        <x:v>BPJS allowance</x:v>
      </x:c>
      <x:c r="O29" s="9" t="str">
        <x:v>Leave balance paid</x:v>
      </x:c>
      <x:c r="P29" s="9" t="str">
        <x:v>Bonus</x:v>
      </x:c>
      <x:c r="Q29" s="9" t="str">
        <x:v>THR</x:v>
      </x:c>
      <x:c r="R29" s="9" t="str">
        <x:v>Incentive</x:v>
      </x:c>
      <x:c r="S29" s="9" t="str">
        <x:v>Daily allowance</x:v>
      </x:c>
      <x:c r="T29" s="9" t="str">
        <x:v>Life insurance income</x:v>
      </x:c>
      <x:c r="U29" s="9" t="str">
        <x:v>Accident insurance income</x:v>
      </x:c>
      <x:c r="V29" s="9" t="str">
        <x:v>BPJS health company income</x:v>
      </x:c>
      <x:c r="W29" s="9" t="str">
        <x:v>Insurance premium income</x:v>
      </x:c>
      <x:c r="X29" s="9" t="str">
        <x:v>Tax allowance irregular</x:v>
      </x:c>
      <x:c r="Y29" s="9" t="str">
        <x:v>Qualifying severance paid</x:v>
      </x:c>
      <x:c r="Z29" s="9" t="str">
        <x:v>Total income</x:v>
      </x:c>
      <x:c r="AA29" s="9" t="str">
        <x:v>Old age company</x:v>
      </x:c>
      <x:c r="AB29" s="9" t="str">
        <x:v>Pension company</x:v>
      </x:c>
      <x:c r="AC29" s="9" t="str">
        <x:v>Life insurance deduction</x:v>
      </x:c>
      <x:c r="AD29" s="9" t="str">
        <x:v>Accident insurance deduction</x:v>
      </x:c>
      <x:c r="AE29" s="9" t="str">
        <x:v>BPJS health company deduction</x:v>
      </x:c>
      <x:c r="AF29" s="9" t="str">
        <x:v>Insurance premium deduction</x:v>
      </x:c>
      <x:c r="AG29" s="9" t="str">
        <x:v>Old age employee</x:v>
      </x:c>
      <x:c r="AH29" s="9" t="str">
        <x:v>Pension employee</x:v>
      </x:c>
      <x:c r="AI29" s="9" t="str">
        <x:v>BPJS health employee</x:v>
      </x:c>
      <x:c r="AJ29" s="9" t="str">
        <x:v>THR already paid</x:v>
      </x:c>
      <x:c r="AK29" s="9" t="str">
        <x:v>Incentive already paid</x:v>
      </x:c>
      <x:c r="AL29" s="9" t="str">
        <x:v>Other deduction</x:v>
      </x:c>
      <x:c r="AM29" s="9" t="str">
        <x:v>Tax adjustment</x:v>
      </x:c>
      <x:c r="AN29" s="9" t="str">
        <x:v>Payable tax</x:v>
      </x:c>
      <x:c r="AO29" s="9" t="str">
        <x:v>Severance tax</x:v>
      </x:c>
      <x:c r="AP29" s="9" t="str">
        <x:v>Total deduction</x:v>
      </x:c>
      <x:c r="AQ29" s="9" t="str">
        <x:v>Take home pay</x:v>
      </x:c>
      <x:c r="AR29" s="9" t="str">
        <x:v>Remarks</x:v>
      </x:c>
      <x:c r="AS29" s="9" t="str">
        <x:v>Contract basic salary</x:v>
      </x:c>
      <x:c r="AT29" s="9" t="str">
        <x:v>Paid days</x:v>
      </x:c>
      <x:c r="AU29" s="9" t="str">
        <x:v>Period days</x:v>
      </x:c>
      <x:c r="AV29" s="9" t="str">
        <x:v>Salary adjustment</x:v>
      </x:c>
      <x:c r="AW29" s="9" t="str">
        <x:v>Annual insurance premium</x:v>
      </x:c>
      <x:c r="AX29" s="9" t="str">
        <x:v>BPJS TK covered</x:v>
      </x:c>
      <x:c r="AY29" s="9" t="str">
        <x:v>BPJS health covered</x:v>
      </x:c>
      <x:c r="AZ29" s="9" t="str">
        <x:v>Employer reimburses employee BPJS</x:v>
      </x:c>
      <x:c r="BA29" s="9" t="str">
        <x:v>Tax allowance mode</x:v>
      </x:c>
      <x:c r="BB29" s="9" t="str">
        <x:v>Final tax period</x:v>
      </x:c>
      <x:c r="BC29" s="9" t="str">
        <x:v>Prior YTD taxable gross</x:v>
      </x:c>
      <x:c r="BD29" s="9" t="str">
        <x:v>Prior YTD deductible JHT and JP</x:v>
      </x:c>
      <x:c r="BE29" s="9" t="str">
        <x:v>Job expense eligible months</x:v>
      </x:c>
      <x:c r="BF29" s="9" t="str">
        <x:v>Prior YTD PPh21 withheld</x:v>
      </x:c>
      <x:c r="BG29" s="9" t="str">
        <x:v>PTKP annual</x:v>
      </x:c>
      <x:c r="BH29" s="9" t="str">
        <x:v>Annual taxable PKP</x:v>
      </x:c>
      <x:c r="BI29" s="9" t="str">
        <x:v>Annual PPh21 liability</x:v>
      </x:c>
      <x:c r="BJ29" s="9" t="str">
        <x:v>BPJS TK wage base</x:v>
      </x:c>
      <x:c r="BK29" s="9" t="str">
        <x:v>BPJS JP wage base</x:v>
      </x:c>
      <x:c r="BL29" s="9" t="str">
        <x:v>BPJS health wage base</x:v>
      </x:c>
      <x:c r="BM29" s="9" t="str">
        <x:v>Regular gross before premium and tax allowance</x:v>
      </x:c>
      <x:c r="BN29" s="9" t="str">
        <x:v>Regular tax before premium</x:v>
      </x:c>
      <x:c r="BO29" s="9" t="str">
        <x:v>Gross-up target net</x:v>
      </x:c>
      <x:c r="BP29" s="9" t="str">
        <x:v>Grossed-up gross</x:v>
      </x:c>
      <x:c r="BQ29" s="9" t="str">
        <x:v>Gross-up allowance candidate</x:v>
      </x:c>
      <x:c r="BR29" s="9" t="str">
        <x:v>Monthly TER rate</x:v>
      </x:c>
      <x:c r="BS29" s="9" t="str">
        <x:v>Gross-up residual</x:v>
      </x:c>
      <x:c r="BT29" s="9" t="str">
        <x:v>Employer cost</x:v>
      </x:c>
      <x:c r="BU29" s="9" t="str">
        <x:v>Leave balance days</x:v>
      </x:c>
      <x:c r="BV29" s="9" t="str">
        <x:v>Prior qualifying severance paid</x:v>
      </x:c>
      <x:c r="BW29" s="9" t="str">
        <x:v>Prior severance tax withheld</x:v>
      </x:c>
    </x:row>
    <x:row r="30" ht="22" customHeight="1">
      <x:c r="A30" s="16" t="str">
        <x:v>Example</x:v>
      </x:c>
      <x:c r="B30" s="16" t="str">
        <x:v>Example</x:v>
      </x:c>
      <x:c r="C30" s="16" t="n">
        <x:v>1</x:v>
      </x:c>
      <x:c r="D30" s="16" t="str">
        <x:v>EXAMPLE001</x:v>
      </x:c>
      <x:c r="E30" s="16" t="str">
        <x:v>Example employee 1</x:v>
      </x:c>
      <x:c r="F30" s="16" t="str"/>
      <x:c r="G30" s="17"/>
      <x:c r="H30" s="17"/>
      <x:c r="I30" s="16" t="str">
        <x:v>Permanent</x:v>
      </x:c>
      <x:c r="J30" s="16" t="str">
        <x:v>S/0</x:v>
      </x:c>
      <x:c r="K30" s="16" t="str">
        <x:v>L</x:v>
      </x:c>
      <x:c r="L30" s="13" t="n">
        <x:f>ROUND(AS30*AT30/AU30,0)+AV30</x:f>
        <x:v>8000000</x:v>
      </x:c>
      <x:c r="M30" s="13" t="n">
        <x:f>IF(AND(BB30=1,BA30=2),"Review final-period gross-up",IF(BA30=0,0,MAX(0,BQ30)))</x:f>
        <x:v>26624</x:v>
      </x:c>
      <x:c r="N30" s="13" t="n">
        <x:f>IF(AZ30=1,SUM(AG30:AI30),0)</x:f>
        <x:v>0</x:v>
      </x:c>
      <x:c r="O30" s="13" t="n">
        <x:f>ROUND(AS30*BU30/AU30,0)</x:f>
        <x:v>0</x:v>
      </x:c>
      <x:c r="P30" s="18" t="n">
        <x:v>0</x:v>
      </x:c>
      <x:c r="Q30" s="18" t="n">
        <x:v>0</x:v>
      </x:c>
      <x:c r="R30" s="18" t="n">
        <x:v>0</x:v>
      </x:c>
      <x:c r="S30" s="18" t="n">
        <x:v>0</x:v>
      </x:c>
      <x:c r="T30" s="13" t="n">
        <x:f>ROUND(BJ30*$C$4,0)</x:f>
        <x:v>24000</x:v>
      </x:c>
      <x:c r="U30" s="13" t="n">
        <x:f>ROUND(BJ30*$C$5,0)</x:f>
        <x:v>19200</x:v>
      </x:c>
      <x:c r="V30" s="13" t="n">
        <x:f>ROUND(BL30*$O$5,0)</x:f>
        <x:v>320000</x:v>
      </x:c>
      <x:c r="W30" s="13" t="n">
        <x:f>ROUND(AW30/$S$4,0)</x:f>
        <x:v>300000</x:v>
      </x:c>
      <x:c r="X30" s="18" t="n">
        <x:v>0</x:v>
      </x:c>
      <x:c r="Y30" s="18" t="n">
        <x:v>0</x:v>
      </x:c>
      <x:c r="Z30" s="13" t="n">
        <x:f>SUM(L30:X30)</x:f>
        <x:v>8689824</x:v>
      </x:c>
      <x:c r="AA30" s="13" t="n">
        <x:f>ROUND(BJ30*$C$6,0)</x:f>
        <x:v>296000</x:v>
      </x:c>
      <x:c r="AB30" s="13" t="n">
        <x:f>ROUND(BK30*$G$5,0)</x:f>
        <x:v>160000</x:v>
      </x:c>
      <x:c r="AC30" s="13" t="n">
        <x:f>T30</x:f>
        <x:v>24000</x:v>
      </x:c>
      <x:c r="AD30" s="13" t="n">
        <x:f>U30</x:f>
        <x:v>19200</x:v>
      </x:c>
      <x:c r="AE30" s="13" t="n">
        <x:f>V30</x:f>
        <x:v>320000</x:v>
      </x:c>
      <x:c r="AF30" s="13" t="n">
        <x:f>W30</x:f>
        <x:v>300000</x:v>
      </x:c>
      <x:c r="AG30" s="13" t="n">
        <x:f>ROUND(BJ30*$G$4,0)</x:f>
        <x:v>160000</x:v>
      </x:c>
      <x:c r="AH30" s="13" t="n">
        <x:f>ROUND(BK30*$G$6,0)</x:f>
        <x:v>80000</x:v>
      </x:c>
      <x:c r="AI30" s="13" t="n">
        <x:f>ROUND(BL30*$O$6,0)</x:f>
        <x:v>80000</x:v>
      </x:c>
      <x:c r="AJ30" s="18" t="n">
        <x:v>0</x:v>
      </x:c>
      <x:c r="AK30" s="18" t="n">
        <x:v>0</x:v>
      </x:c>
      <x:c r="AL30" s="18" t="n">
        <x:v>0</x:v>
      </x:c>
      <x:c r="AM30" s="18" t="n">
        <x:v>0</x:v>
      </x:c>
      <x:c r="AN30" s="13" t="n">
        <x:f>IF(BB30=1,BI30-BF30,ROUND(Z30*BR30,0))</x:f>
        <x:v>152072</x:v>
      </x:c>
      <x:c r="AO30" s="13" t="n">
        <x:f>ROUND(MAX(0,MIN(Y30+BV30,$AK$10)-0)*$AL$10+MAX(0,MIN(Y30+BV30,$AK$11)-$AK$10)*$AL$11+MAX(0,MIN(Y30+BV30,$AK$12)-$AK$11)*$AL$12+MAX(0,Y30+BV30-$AK$12)*$AL$13,0)-BW30</x:f>
        <x:v>0</x:v>
      </x:c>
      <x:c r="AP30" s="13" t="n">
        <x:f>SUM(AC30:AO30)</x:f>
        <x:v>1135272</x:v>
      </x:c>
      <x:c r="AQ30" s="19" t="n">
        <x:f>Z30+Y30-AP30</x:f>
        <x:v>7554552</x:v>
      </x:c>
      <x:c r="AR30" s="18" t="str">
        <x:v>Monthly premium gross-up</x:v>
      </x:c>
      <x:c r="AS30" s="18" t="n">
        <x:v>8000000</x:v>
      </x:c>
      <x:c r="AT30" s="18" t="n">
        <x:v>31</x:v>
      </x:c>
      <x:c r="AU30" s="18" t="n">
        <x:v>31</x:v>
      </x:c>
      <x:c r="AV30" s="18" t="n">
        <x:v>0</x:v>
      </x:c>
      <x:c r="AW30" s="18" t="n">
        <x:v>3600000</x:v>
      </x:c>
      <x:c r="AX30" s="18" t="n">
        <x:v>1</x:v>
      </x:c>
      <x:c r="AY30" s="18" t="n">
        <x:v>1</x:v>
      </x:c>
      <x:c r="AZ30" s="18" t="n">
        <x:v>0</x:v>
      </x:c>
      <x:c r="BA30" s="18" t="n">
        <x:v>1</x:v>
      </x:c>
      <x:c r="BB30" s="18" t="n">
        <x:v>0</x:v>
      </x:c>
      <x:c r="BC30" s="18" t="n">
        <x:v>0</x:v>
      </x:c>
      <x:c r="BD30" s="18" t="n">
        <x:v>0</x:v>
      </x:c>
      <x:c r="BE30" s="18" t="n">
        <x:v>8</x:v>
      </x:c>
      <x:c r="BF30" s="18" t="n">
        <x:v>0</x:v>
      </x:c>
      <x:c r="BG30" s="13" t="n">
        <x:f>IF(J30="S/0",$W$5,IF(J30="S/1",$W$6,IF(J30="S/2",$AA$4,IF(J30="S/3",$AA$5,IF(J30="M/0",$AA$6,IF(J30="M/1",$AE$4,IF(J30="M/2",$AE$5,IF(J30="M/3",$AE$6,"Missing PTKP status"))))))))</x:f>
        <x:v>54000000</x:v>
      </x:c>
      <x:c r="BH30" s="13" t="n">
        <x:f>MAX(0,FLOOR(BC30+Z30-MIN((BC30+Z30)*$S$5,BE30*$S$6)-BD30-AG30-AH30-BG30,$W$4))</x:f>
        <x:v>0</x:v>
      </x:c>
      <x:c r="BI30" s="13" t="n">
        <x:f>ROUND(MAX(0,MIN(BH30,$AG$10)-0)*$AH$10+MAX(0,MIN(BH30,$AG$11)-$AG$10)*$AH$11+MAX(0,MIN(BH30,$AG$12)-$AG$11)*$AH$12+MAX(0,MIN(BH30,$AG$13)-$AG$12)*$AH$13+MAX(0,BH30-$AG$13)*$AH$14,0)</x:f>
        <x:v>0</x:v>
      </x:c>
      <x:c r="BJ30" s="13" t="n">
        <x:f>IF(AX30=1,IF(L30=0,0,MAX(L30,$K$4)),0)</x:f>
        <x:v>8000000</x:v>
      </x:c>
      <x:c r="BK30" s="13" t="n">
        <x:f>IF(AX30=1,MIN(MAX(L30,$K$4),$K$5),0)</x:f>
        <x:v>8000000</x:v>
      </x:c>
      <x:c r="BL30" s="13" t="n">
        <x:f>IF(AY30=1,MIN(MAX(L30,$K$6),$O$4),0)</x:f>
        <x:v>8000000</x:v>
      </x:c>
      <x:c r="BM30" s="13" t="n">
        <x:f>SUM(L30,N30,O30,S30,T30:V30)</x:f>
        <x:v>8363200</x:v>
      </x:c>
      <x:c r="BN30" s="13" t="n">
        <x:f>ROUND(BM30*IF(OR(J30="S/0",J30="S/1",J30="M/0"),IF(ROUND(BM30,0)&lt;=$B$10,$C$10,IF(ROUND(BM30,0)&lt;=$B$11,$C$11,IF(ROUND(BM30,0)&lt;=$B$12,$C$12,IF(ROUND(BM30,0)&lt;=$B$13,$C$13,IF(ROUND(BM30,0)&lt;=$B$14,$C$14,IF(ROUND(BM30,0)&lt;=$B$15,$C$15,IF(ROUND(BM30,0)&lt;=$B$16,$C$16,IF(ROUND(BM30,0)&lt;=$B$17,$C$17,IF(ROUND(BM30,0)&lt;=$B$18,$C$18,IF(ROUND(BM30,0)&lt;=$B$19,$C$19,IF(ROUND(BM30,0)&lt;=$B$20,$C$20,IF(ROUND(BM30,0)&lt;=$B$21,$C$21,IF(ROUND(BM30,0)&lt;=$B$22,$C$22,IF(ROUND(BM30,0)&lt;=$B$23,$C$23,IF(ROUND(BM30,0)&lt;=$B$24,$C$24,IF(ROUND(BM30,0)&lt;=$E$10,$F$10,IF(ROUND(BM30,0)&lt;=$E$11,$F$11,IF(ROUND(BM30,0)&lt;=$E$12,$F$12,IF(ROUND(BM30,0)&lt;=$E$13,$F$13,IF(ROUND(BM30,0)&lt;=$E$14,$F$14,IF(ROUND(BM30,0)&lt;=$E$15,$F$15,IF(ROUND(BM30,0)&lt;=$E$16,$F$16,IF(ROUND(BM30,0)&lt;=$E$17,$F$17,IF(ROUND(BM30,0)&lt;=$E$18,$F$18,IF(ROUND(BM30,0)&lt;=$E$19,$F$19,IF(ROUND(BM30,0)&lt;=$E$20,$F$20,IF(ROUND(BM30,0)&lt;=$E$21,$F$21,IF(ROUND(BM30,0)&lt;=$E$22,$F$22,IF(ROUND(BM30,0)&lt;=$E$23,$F$23,IF(ROUND(BM30,0)&lt;=$E$24,$F$24,IF(ROUND(BM30,0)&lt;=$H$10,$I$10,IF(ROUND(BM30,0)&lt;=$H$11,$I$11,IF(ROUND(BM30,0)&lt;=$H$12,$I$12,IF(ROUND(BM30,0)&lt;=$H$13,$I$13,IF(ROUND(BM30,0)&lt;=$H$14,$I$14,IF(ROUND(BM30,0)&lt;=$H$15,$I$15,IF(ROUND(BM30,0)&lt;=$H$16,$I$16,IF(ROUND(BM30,0)&lt;=$H$17,$I$17,IF(ROUND(BM30,0)&lt;=$H$18,$I$18,IF(ROUND(BM30,0)&lt;=$H$19,$I$19,IF(ROUND(BM30,0)&lt;=$H$20,$I$20,IF(ROUND(BM30,0)&lt;=$H$21,$I$21,IF(ROUND(BM30,0)&lt;=$H$22,$I$22,$I$23))))))))))))))))))))))))))))))))))))))))))),IF(OR(J30="S/2",J30="S/3",J30="M/1",J30="M/2"),IF(ROUND(BM30,0)&lt;=$L$10,$M$10,IF(ROUND(BM30,0)&lt;=$L$11,$M$11,IF(ROUND(BM30,0)&lt;=$L$12,$M$12,IF(ROUND(BM30,0)&lt;=$L$13,$M$13,IF(ROUND(BM30,0)&lt;=$L$14,$M$14,IF(ROUND(BM30,0)&lt;=$L$15,$M$15,IF(ROUND(BM30,0)&lt;=$L$16,$M$16,IF(ROUND(BM30,0)&lt;=$L$17,$M$17,IF(ROUND(BM30,0)&lt;=$L$18,$M$18,IF(ROUND(BM30,0)&lt;=$L$19,$M$19,IF(ROUND(BM30,0)&lt;=$L$20,$M$20,IF(ROUND(BM30,0)&lt;=$L$21,$M$21,IF(ROUND(BM30,0)&lt;=$L$22,$M$22,IF(ROUND(BM30,0)&lt;=$L$23,$M$23,IF(ROUND(BM30,0)&lt;=$L$24,$M$24,IF(ROUND(BM30,0)&lt;=$O$10,$P$10,IF(ROUND(BM30,0)&lt;=$O$11,$P$11,IF(ROUND(BM30,0)&lt;=$O$12,$P$12,IF(ROUND(BM30,0)&lt;=$O$13,$P$13,IF(ROUND(BM30,0)&lt;=$O$14,$P$14,IF(ROUND(BM30,0)&lt;=$O$15,$P$15,IF(ROUND(BM30,0)&lt;=$O$16,$P$16,IF(ROUND(BM30,0)&lt;=$O$17,$P$17,IF(ROUND(BM30,0)&lt;=$O$18,$P$18,IF(ROUND(BM30,0)&lt;=$O$19,$P$19,IF(ROUND(BM30,0)&lt;=$O$20,$P$20,IF(ROUND(BM30,0)&lt;=$O$21,$P$21,IF(ROUND(BM30,0)&lt;=$O$22,$P$22,IF(ROUND(BM30,0)&lt;=$O$23,$P$23,IF(ROUND(BM30,0)&lt;=$O$24,$P$24,IF(ROUND(BM30,0)&lt;=$R$10,$S$10,IF(ROUND(BM30,0)&lt;=$R$11,$S$11,IF(ROUND(BM30,0)&lt;=$R$12,$S$12,IF(ROUND(BM30,0)&lt;=$R$13,$S$13,IF(ROUND(BM30,0)&lt;=$R$14,$S$14,IF(ROUND(BM30,0)&lt;=$R$15,$S$15,IF(ROUND(BM30,0)&lt;=$R$16,$S$16,IF(ROUND(BM30,0)&lt;=$R$17,$S$17,IF(ROUND(BM30,0)&lt;=$R$18,$S$18,$S$19))))))))))))))))))))))))))))))))))))))),IF(J30="M/3",IF(ROUND(BM30,0)&lt;=$V$10,$W$10,IF(ROUND(BM30,0)&lt;=$V$11,$W$11,IF(ROUND(BM30,0)&lt;=$V$12,$W$12,IF(ROUND(BM30,0)&lt;=$V$13,$W$13,IF(ROUND(BM30,0)&lt;=$V$14,$W$14,IF(ROUND(BM30,0)&lt;=$V$15,$W$15,IF(ROUND(BM30,0)&lt;=$V$16,$W$16,IF(ROUND(BM30,0)&lt;=$V$17,$W$17,IF(ROUND(BM30,0)&lt;=$V$18,$W$18,IF(ROUND(BM30,0)&lt;=$V$19,$W$19,IF(ROUND(BM30,0)&lt;=$V$20,$W$20,IF(ROUND(BM30,0)&lt;=$V$21,$W$21,IF(ROUND(BM30,0)&lt;=$V$22,$W$22,IF(ROUND(BM30,0)&lt;=$V$23,$W$23,IF(ROUND(BM30,0)&lt;=$V$24,$W$24,IF(ROUND(BM30,0)&lt;=$Y$10,$Z$10,IF(ROUND(BM30,0)&lt;=$Y$11,$Z$11,IF(ROUND(BM30,0)&lt;=$Y$12,$Z$12,IF(ROUND(BM30,0)&lt;=$Y$13,$Z$13,IF(ROUND(BM30,0)&lt;=$Y$14,$Z$14,IF(ROUND(BM30,0)&lt;=$Y$15,$Z$15,IF(ROUND(BM30,0)&lt;=$Y$16,$Z$16,IF(ROUND(BM30,0)&lt;=$Y$17,$Z$17,IF(ROUND(BM30,0)&lt;=$Y$18,$Z$18,IF(ROUND(BM30,0)&lt;=$Y$19,$Z$19,IF(ROUND(BM30,0)&lt;=$Y$20,$Z$20,IF(ROUND(BM30,0)&lt;=$Y$21,$Z$21,IF(ROUND(BM30,0)&lt;=$Y$22,$Z$22,IF(ROUND(BM30,0)&lt;=$Y$23,$Z$23,IF(ROUND(BM30,0)&lt;=$Y$24,$Z$24,IF(ROUND(BM30,0)&lt;=$AB$10,$AC$10,IF(ROUND(BM30,0)&lt;=$AB$11,$AC$11,IF(ROUND(BM30,0)&lt;=$AB$12,$AC$12,IF(ROUND(BM30,0)&lt;=$AB$13,$AC$13,IF(ROUND(BM30,0)&lt;=$AB$14,$AC$14,IF(ROUND(BM30,0)&lt;=$AB$15,$AC$15,IF(ROUND(BM30,0)&lt;=$AB$16,$AC$16,IF(ROUND(BM30,0)&lt;=$AB$17,$AC$17,IF(ROUND(BM30,0)&lt;=$AB$18,$AC$18,IF(ROUND(BM30,0)&lt;=$AB$19,$AC$19,$AC$20)))))))))))))))))))))))))))))))))))))))),"Missing PTKP status"))),0)</x:f>
        <x:v>125448</x:v>
      </x:c>
      <x:c r="BO30" s="13" t="n">
        <x:f>IF(BA30=2,SUM(L30,N30:W30,X30),BM30+W30-BN30)</x:f>
        <x:v>8537752</x:v>
      </x:c>
      <x:c r="BP30" s="13" t="n">
        <x:f>IF(OR(J30="S/0",J30="S/1",J30="M/0"),IF(BO30&lt;=$B$10*(1-$C$10),BO30/(1-$C$10),IF(BO30&lt;=$B$11*(1-$C$11),BO30/(1-$C$11),IF(BO30&lt;=$B$12*(1-$C$12),BO30/(1-$C$12),IF(BO30&lt;=$B$13*(1-$C$13),BO30/(1-$C$13),IF(BO30&lt;=$B$14*(1-$C$14),BO30/(1-$C$14),IF(BO30&lt;=$B$15*(1-$C$15),BO30/(1-$C$15),IF(BO30&lt;=$B$16*(1-$C$16),BO30/(1-$C$16),IF(BO30&lt;=$B$17*(1-$C$17),BO30/(1-$C$17),IF(BO30&lt;=$B$18*(1-$C$18),BO30/(1-$C$18),IF(BO30&lt;=$B$19*(1-$C$19),BO30/(1-$C$19),IF(BO30&lt;=$B$20*(1-$C$20),BO30/(1-$C$20),IF(BO30&lt;=$B$21*(1-$C$21),BO30/(1-$C$21),IF(BO30&lt;=$B$22*(1-$C$22),BO30/(1-$C$22),IF(BO30&lt;=$B$23*(1-$C$23),BO30/(1-$C$23),IF(BO30&lt;=$B$24*(1-$C$24),BO30/(1-$C$24),IF(BO30&lt;=$E$10*(1-$F$10),BO30/(1-$F$10),IF(BO30&lt;=$E$11*(1-$F$11),BO30/(1-$F$11),IF(BO30&lt;=$E$12*(1-$F$12),BO30/(1-$F$12),IF(BO30&lt;=$E$13*(1-$F$13),BO30/(1-$F$13),IF(BO30&lt;=$E$14*(1-$F$14),BO30/(1-$F$14),IF(BO30&lt;=$E$15*(1-$F$15),BO30/(1-$F$15),IF(BO30&lt;=$E$16*(1-$F$16),BO30/(1-$F$16),IF(BO30&lt;=$E$17*(1-$F$17),BO30/(1-$F$17),IF(BO30&lt;=$E$18*(1-$F$18),BO30/(1-$F$18),IF(BO30&lt;=$E$19*(1-$F$19),BO30/(1-$F$19),IF(BO30&lt;=$E$20*(1-$F$20),BO30/(1-$F$20),IF(BO30&lt;=$E$21*(1-$F$21),BO30/(1-$F$21),IF(BO30&lt;=$E$22*(1-$F$22),BO30/(1-$F$22),IF(BO30&lt;=$E$23*(1-$F$23),BO30/(1-$F$23),IF(BO30&lt;=$E$24*(1-$F$24),BO30/(1-$F$24),IF(BO30&lt;=$H$10*(1-$I$10),BO30/(1-$I$10),IF(BO30&lt;=$H$11*(1-$I$11),BO30/(1-$I$11),IF(BO30&lt;=$H$12*(1-$I$12),BO30/(1-$I$12),IF(BO30&lt;=$H$13*(1-$I$13),BO30/(1-$I$13),IF(BO30&lt;=$H$14*(1-$I$14),BO30/(1-$I$14),IF(BO30&lt;=$H$15*(1-$I$15),BO30/(1-$I$15),IF(BO30&lt;=$H$16*(1-$I$16),BO30/(1-$I$16),IF(BO30&lt;=$H$17*(1-$I$17),BO30/(1-$I$17),IF(BO30&lt;=$H$18*(1-$I$18),BO30/(1-$I$18),IF(BO30&lt;=$H$19*(1-$I$19),BO30/(1-$I$19),IF(BO30&lt;=$H$20*(1-$I$20),BO30/(1-$I$20),IF(BO30&lt;=$H$21*(1-$I$21),BO30/(1-$I$21),IF(BO30&lt;=$H$22*(1-$I$22),BO30/(1-$I$22),BO30/(1-$I$23)))))))))))))))))))))))))))))))))))))))))))),IF(OR(J30="S/2",J30="S/3",J30="M/1",J30="M/2"),IF(BO30&lt;=$L$10*(1-$M$10),BO30/(1-$M$10),IF(BO30&lt;=$L$11*(1-$M$11),BO30/(1-$M$11),IF(BO30&lt;=$L$12*(1-$M$12),BO30/(1-$M$12),IF(BO30&lt;=$L$13*(1-$M$13),BO30/(1-$M$13),IF(BO30&lt;=$L$14*(1-$M$14),BO30/(1-$M$14),IF(BO30&lt;=$L$15*(1-$M$15),BO30/(1-$M$15),IF(BO30&lt;=$L$16*(1-$M$16),BO30/(1-$M$16),IF(BO30&lt;=$L$17*(1-$M$17),BO30/(1-$M$17),IF(BO30&lt;=$L$18*(1-$M$18),BO30/(1-$M$18),IF(BO30&lt;=$L$19*(1-$M$19),BO30/(1-$M$19),IF(BO30&lt;=$L$20*(1-$M$20),BO30/(1-$M$20),IF(BO30&lt;=$L$21*(1-$M$21),BO30/(1-$M$21),IF(BO30&lt;=$L$22*(1-$M$22),BO30/(1-$M$22),IF(BO30&lt;=$L$23*(1-$M$23),BO30/(1-$M$23),IF(BO30&lt;=$L$24*(1-$M$24),BO30/(1-$M$24),IF(BO30&lt;=$O$10*(1-$P$10),BO30/(1-$P$10),IF(BO30&lt;=$O$11*(1-$P$11),BO30/(1-$P$11),IF(BO30&lt;=$O$12*(1-$P$12),BO30/(1-$P$12),IF(BO30&lt;=$O$13*(1-$P$13),BO30/(1-$P$13),IF(BO30&lt;=$O$14*(1-$P$14),BO30/(1-$P$14),IF(BO30&lt;=$O$15*(1-$P$15),BO30/(1-$P$15),IF(BO30&lt;=$O$16*(1-$P$16),BO30/(1-$P$16),IF(BO30&lt;=$O$17*(1-$P$17),BO30/(1-$P$17),IF(BO30&lt;=$O$18*(1-$P$18),BO30/(1-$P$18),IF(BO30&lt;=$O$19*(1-$P$19),BO30/(1-$P$19),IF(BO30&lt;=$O$20*(1-$P$20),BO30/(1-$P$20),IF(BO30&lt;=$O$21*(1-$P$21),BO30/(1-$P$21),IF(BO30&lt;=$O$22*(1-$P$22),BO30/(1-$P$22),IF(BO30&lt;=$O$23*(1-$P$23),BO30/(1-$P$23),IF(BO30&lt;=$O$24*(1-$P$24),BO30/(1-$P$24),IF(BO30&lt;=$R$10*(1-$S$10),BO30/(1-$S$10),IF(BO30&lt;=$R$11*(1-$S$11),BO30/(1-$S$11),IF(BO30&lt;=$R$12*(1-$S$12),BO30/(1-$S$12),IF(BO30&lt;=$R$13*(1-$S$13),BO30/(1-$S$13),IF(BO30&lt;=$R$14*(1-$S$14),BO30/(1-$S$14),IF(BO30&lt;=$R$15*(1-$S$15),BO30/(1-$S$15),IF(BO30&lt;=$R$16*(1-$S$16),BO30/(1-$S$16),IF(BO30&lt;=$R$17*(1-$S$17),BO30/(1-$S$17),IF(BO30&lt;=$R$18*(1-$S$18),BO30/(1-$S$18),BO30/(1-$S$19)))))))))))))))))))))))))))))))))))))))),IF(J30="M/3",IF(BO30&lt;=$V$10*(1-$W$10),BO30/(1-$W$10),IF(BO30&lt;=$V$11*(1-$W$11),BO30/(1-$W$11),IF(BO30&lt;=$V$12*(1-$W$12),BO30/(1-$W$12),IF(BO30&lt;=$V$13*(1-$W$13),BO30/(1-$W$13),IF(BO30&lt;=$V$14*(1-$W$14),BO30/(1-$W$14),IF(BO30&lt;=$V$15*(1-$W$15),BO30/(1-$W$15),IF(BO30&lt;=$V$16*(1-$W$16),BO30/(1-$W$16),IF(BO30&lt;=$V$17*(1-$W$17),BO30/(1-$W$17),IF(BO30&lt;=$V$18*(1-$W$18),BO30/(1-$W$18),IF(BO30&lt;=$V$19*(1-$W$19),BO30/(1-$W$19),IF(BO30&lt;=$V$20*(1-$W$20),BO30/(1-$W$20),IF(BO30&lt;=$V$21*(1-$W$21),BO30/(1-$W$21),IF(BO30&lt;=$V$22*(1-$W$22),BO30/(1-$W$22),IF(BO30&lt;=$V$23*(1-$W$23),BO30/(1-$W$23),IF(BO30&lt;=$V$24*(1-$W$24),BO30/(1-$W$24),IF(BO30&lt;=$Y$10*(1-$Z$10),BO30/(1-$Z$10),IF(BO30&lt;=$Y$11*(1-$Z$11),BO30/(1-$Z$11),IF(BO30&lt;=$Y$12*(1-$Z$12),BO30/(1-$Z$12),IF(BO30&lt;=$Y$13*(1-$Z$13),BO30/(1-$Z$13),IF(BO30&lt;=$Y$14*(1-$Z$14),BO30/(1-$Z$14),IF(BO30&lt;=$Y$15*(1-$Z$15),BO30/(1-$Z$15),IF(BO30&lt;=$Y$16*(1-$Z$16),BO30/(1-$Z$16),IF(BO30&lt;=$Y$17*(1-$Z$17),BO30/(1-$Z$17),IF(BO30&lt;=$Y$18*(1-$Z$18),BO30/(1-$Z$18),IF(BO30&lt;=$Y$19*(1-$Z$19),BO30/(1-$Z$19),IF(BO30&lt;=$Y$20*(1-$Z$20),BO30/(1-$Z$20),IF(BO30&lt;=$Y$21*(1-$Z$21),BO30/(1-$Z$21),IF(BO30&lt;=$Y$22*(1-$Z$22),BO30/(1-$Z$22),IF(BO30&lt;=$Y$23*(1-$Z$23),BO30/(1-$Z$23),IF(BO30&lt;=$Y$24*(1-$Z$24),BO30/(1-$Z$24),IF(BO30&lt;=$AB$10*(1-$AC$10),BO30/(1-$AC$10),IF(BO30&lt;=$AB$11*(1-$AC$11),BO30/(1-$AC$11),IF(BO30&lt;=$AB$12*(1-$AC$12),BO30/(1-$AC$12),IF(BO30&lt;=$AB$13*(1-$AC$13),BO30/(1-$AC$13),IF(BO30&lt;=$AB$14*(1-$AC$14),BO30/(1-$AC$14),IF(BO30&lt;=$AB$15*(1-$AC$15),BO30/(1-$AC$15),IF(BO30&lt;=$AB$16*(1-$AC$16),BO30/(1-$AC$16),IF(BO30&lt;=$AB$17*(1-$AC$17),BO30/(1-$AC$17),IF(BO30&lt;=$AB$18*(1-$AC$18),BO30/(1-$AC$18),IF(BO30&lt;=$AB$19*(1-$AC$19),BO30/(1-$AC$19),BO30/(1-$AC$20))))))))))))))))))))))))))))))))))))))))),"Missing PTKP status")))</x:f>
        <x:v>8689823.918575063</x:v>
      </x:c>
      <x:c r="BQ30" s="13" t="n">
        <x:f>ROUND(BP30-IF(BA30=2,SUM(L30,N30:W30,X30),BM30+W30),0)</x:f>
        <x:v>26624</x:v>
      </x:c>
      <x:c r="BR30" s="14" t="n">
        <x:f>IF(OR(J30="S/0",J30="S/1",J30="M/0"),IF(ROUND(Z30,0)&lt;=$B$10,$C$10,IF(ROUND(Z30,0)&lt;=$B$11,$C$11,IF(ROUND(Z30,0)&lt;=$B$12,$C$12,IF(ROUND(Z30,0)&lt;=$B$13,$C$13,IF(ROUND(Z30,0)&lt;=$B$14,$C$14,IF(ROUND(Z30,0)&lt;=$B$15,$C$15,IF(ROUND(Z30,0)&lt;=$B$16,$C$16,IF(ROUND(Z30,0)&lt;=$B$17,$C$17,IF(ROUND(Z30,0)&lt;=$B$18,$C$18,IF(ROUND(Z30,0)&lt;=$B$19,$C$19,IF(ROUND(Z30,0)&lt;=$B$20,$C$20,IF(ROUND(Z30,0)&lt;=$B$21,$C$21,IF(ROUND(Z30,0)&lt;=$B$22,$C$22,IF(ROUND(Z30,0)&lt;=$B$23,$C$23,IF(ROUND(Z30,0)&lt;=$B$24,$C$24,IF(ROUND(Z30,0)&lt;=$E$10,$F$10,IF(ROUND(Z30,0)&lt;=$E$11,$F$11,IF(ROUND(Z30,0)&lt;=$E$12,$F$12,IF(ROUND(Z30,0)&lt;=$E$13,$F$13,IF(ROUND(Z30,0)&lt;=$E$14,$F$14,IF(ROUND(Z30,0)&lt;=$E$15,$F$15,IF(ROUND(Z30,0)&lt;=$E$16,$F$16,IF(ROUND(Z30,0)&lt;=$E$17,$F$17,IF(ROUND(Z30,0)&lt;=$E$18,$F$18,IF(ROUND(Z30,0)&lt;=$E$19,$F$19,IF(ROUND(Z30,0)&lt;=$E$20,$F$20,IF(ROUND(Z30,0)&lt;=$E$21,$F$21,IF(ROUND(Z30,0)&lt;=$E$22,$F$22,IF(ROUND(Z30,0)&lt;=$E$23,$F$23,IF(ROUND(Z30,0)&lt;=$E$24,$F$24,IF(ROUND(Z30,0)&lt;=$H$10,$I$10,IF(ROUND(Z30,0)&lt;=$H$11,$I$11,IF(ROUND(Z30,0)&lt;=$H$12,$I$12,IF(ROUND(Z30,0)&lt;=$H$13,$I$13,IF(ROUND(Z30,0)&lt;=$H$14,$I$14,IF(ROUND(Z30,0)&lt;=$H$15,$I$15,IF(ROUND(Z30,0)&lt;=$H$16,$I$16,IF(ROUND(Z30,0)&lt;=$H$17,$I$17,IF(ROUND(Z30,0)&lt;=$H$18,$I$18,IF(ROUND(Z30,0)&lt;=$H$19,$I$19,IF(ROUND(Z30,0)&lt;=$H$20,$I$20,IF(ROUND(Z30,0)&lt;=$H$21,$I$21,IF(ROUND(Z30,0)&lt;=$H$22,$I$22,$I$23))))))))))))))))))))))))))))))))))))))))))),IF(OR(J30="S/2",J30="S/3",J30="M/1",J30="M/2"),IF(ROUND(Z30,0)&lt;=$L$10,$M$10,IF(ROUND(Z30,0)&lt;=$L$11,$M$11,IF(ROUND(Z30,0)&lt;=$L$12,$M$12,IF(ROUND(Z30,0)&lt;=$L$13,$M$13,IF(ROUND(Z30,0)&lt;=$L$14,$M$14,IF(ROUND(Z30,0)&lt;=$L$15,$M$15,IF(ROUND(Z30,0)&lt;=$L$16,$M$16,IF(ROUND(Z30,0)&lt;=$L$17,$M$17,IF(ROUND(Z30,0)&lt;=$L$18,$M$18,IF(ROUND(Z30,0)&lt;=$L$19,$M$19,IF(ROUND(Z30,0)&lt;=$L$20,$M$20,IF(ROUND(Z30,0)&lt;=$L$21,$M$21,IF(ROUND(Z30,0)&lt;=$L$22,$M$22,IF(ROUND(Z30,0)&lt;=$L$23,$M$23,IF(ROUND(Z30,0)&lt;=$L$24,$M$24,IF(ROUND(Z30,0)&lt;=$O$10,$P$10,IF(ROUND(Z30,0)&lt;=$O$11,$P$11,IF(ROUND(Z30,0)&lt;=$O$12,$P$12,IF(ROUND(Z30,0)&lt;=$O$13,$P$13,IF(ROUND(Z30,0)&lt;=$O$14,$P$14,IF(ROUND(Z30,0)&lt;=$O$15,$P$15,IF(ROUND(Z30,0)&lt;=$O$16,$P$16,IF(ROUND(Z30,0)&lt;=$O$17,$P$17,IF(ROUND(Z30,0)&lt;=$O$18,$P$18,IF(ROUND(Z30,0)&lt;=$O$19,$P$19,IF(ROUND(Z30,0)&lt;=$O$20,$P$20,IF(ROUND(Z30,0)&lt;=$O$21,$P$21,IF(ROUND(Z30,0)&lt;=$O$22,$P$22,IF(ROUND(Z30,0)&lt;=$O$23,$P$23,IF(ROUND(Z30,0)&lt;=$O$24,$P$24,IF(ROUND(Z30,0)&lt;=$R$10,$S$10,IF(ROUND(Z30,0)&lt;=$R$11,$S$11,IF(ROUND(Z30,0)&lt;=$R$12,$S$12,IF(ROUND(Z30,0)&lt;=$R$13,$S$13,IF(ROUND(Z30,0)&lt;=$R$14,$S$14,IF(ROUND(Z30,0)&lt;=$R$15,$S$15,IF(ROUND(Z30,0)&lt;=$R$16,$S$16,IF(ROUND(Z30,0)&lt;=$R$17,$S$17,IF(ROUND(Z30,0)&lt;=$R$18,$S$18,$S$19))))))))))))))))))))))))))))))))))))))),IF(J30="M/3",IF(ROUND(Z30,0)&lt;=$V$10,$W$10,IF(ROUND(Z30,0)&lt;=$V$11,$W$11,IF(ROUND(Z30,0)&lt;=$V$12,$W$12,IF(ROUND(Z30,0)&lt;=$V$13,$W$13,IF(ROUND(Z30,0)&lt;=$V$14,$W$14,IF(ROUND(Z30,0)&lt;=$V$15,$W$15,IF(ROUND(Z30,0)&lt;=$V$16,$W$16,IF(ROUND(Z30,0)&lt;=$V$17,$W$17,IF(ROUND(Z30,0)&lt;=$V$18,$W$18,IF(ROUND(Z30,0)&lt;=$V$19,$W$19,IF(ROUND(Z30,0)&lt;=$V$20,$W$20,IF(ROUND(Z30,0)&lt;=$V$21,$W$21,IF(ROUND(Z30,0)&lt;=$V$22,$W$22,IF(ROUND(Z30,0)&lt;=$V$23,$W$23,IF(ROUND(Z30,0)&lt;=$V$24,$W$24,IF(ROUND(Z30,0)&lt;=$Y$10,$Z$10,IF(ROUND(Z30,0)&lt;=$Y$11,$Z$11,IF(ROUND(Z30,0)&lt;=$Y$12,$Z$12,IF(ROUND(Z30,0)&lt;=$Y$13,$Z$13,IF(ROUND(Z30,0)&lt;=$Y$14,$Z$14,IF(ROUND(Z30,0)&lt;=$Y$15,$Z$15,IF(ROUND(Z30,0)&lt;=$Y$16,$Z$16,IF(ROUND(Z30,0)&lt;=$Y$17,$Z$17,IF(ROUND(Z30,0)&lt;=$Y$18,$Z$18,IF(ROUND(Z30,0)&lt;=$Y$19,$Z$19,IF(ROUND(Z30,0)&lt;=$Y$20,$Z$20,IF(ROUND(Z30,0)&lt;=$Y$21,$Z$21,IF(ROUND(Z30,0)&lt;=$Y$22,$Z$22,IF(ROUND(Z30,0)&lt;=$Y$23,$Z$23,IF(ROUND(Z30,0)&lt;=$Y$24,$Z$24,IF(ROUND(Z30,0)&lt;=$AB$10,$AC$10,IF(ROUND(Z30,0)&lt;=$AB$11,$AC$11,IF(ROUND(Z30,0)&lt;=$AB$12,$AC$12,IF(ROUND(Z30,0)&lt;=$AB$13,$AC$13,IF(ROUND(Z30,0)&lt;=$AB$14,$AC$14,IF(ROUND(Z30,0)&lt;=$AB$15,$AC$15,IF(ROUND(Z30,0)&lt;=$AB$16,$AC$16,IF(ROUND(Z30,0)&lt;=$AB$17,$AC$17,IF(ROUND(Z30,0)&lt;=$AB$18,$AC$18,IF(ROUND(Z30,0)&lt;=$AB$19,$AC$19,$AC$20)))))))))))))))))))))))))))))))))))))))),"Missing PTKP status")))</x:f>
        <x:v>0.0175</x:v>
      </x:c>
      <x:c r="BS30" s="13" t="n">
        <x:f>IF(BA30=0,0,M30-(ROUND((IF(BA30=2,SUM(L30,N30:W30,X30),BM30+W30)+M30)*IF(OR(J30="S/0",J30="S/1",J30="M/0"),IF(ROUND((IF(BA30=2,SUM(L30,N30:W30,X30),BM30+W30)+M30),0)&lt;=$B$10,$C$10,IF(ROUND((IF(BA30=2,SUM(L30,N30:W30,X30),BM30+W30)+M30),0)&lt;=$B$11,$C$11,IF(ROUND((IF(BA30=2,SUM(L30,N30:W30,X30),BM30+W30)+M30),0)&lt;=$B$12,$C$12,IF(ROUND((IF(BA30=2,SUM(L30,N30:W30,X30),BM30+W30)+M30),0)&lt;=$B$13,$C$13,IF(ROUND((IF(BA30=2,SUM(L30,N30:W30,X30),BM30+W30)+M30),0)&lt;=$B$14,$C$14,IF(ROUND((IF(BA30=2,SUM(L30,N30:W30,X30),BM30+W30)+M30),0)&lt;=$B$15,$C$15,IF(ROUND((IF(BA30=2,SUM(L30,N30:W30,X30),BM30+W30)+M30),0)&lt;=$B$16,$C$16,IF(ROUND((IF(BA30=2,SUM(L30,N30:W30,X30),BM30+W30)+M30),0)&lt;=$B$17,$C$17,IF(ROUND((IF(BA30=2,SUM(L30,N30:W30,X30),BM30+W30)+M30),0)&lt;=$B$18,$C$18,IF(ROUND((IF(BA30=2,SUM(L30,N30:W30,X30),BM30+W30)+M30),0)&lt;=$B$19,$C$19,IF(ROUND((IF(BA30=2,SUM(L30,N30:W30,X30),BM30+W30)+M30),0)&lt;=$B$20,$C$20,IF(ROUND((IF(BA30=2,SUM(L30,N30:W30,X30),BM30+W30)+M30),0)&lt;=$B$21,$C$21,IF(ROUND((IF(BA30=2,SUM(L30,N30:W30,X30),BM30+W30)+M30),0)&lt;=$B$22,$C$22,IF(ROUND((IF(BA30=2,SUM(L30,N30:W30,X30),BM30+W30)+M30),0)&lt;=$B$23,$C$23,IF(ROUND((IF(BA30=2,SUM(L30,N30:W30,X30),BM30+W30)+M30),0)&lt;=$B$24,$C$24,IF(ROUND((IF(BA30=2,SUM(L30,N30:W30,X30),BM30+W30)+M30),0)&lt;=$E$10,$F$10,IF(ROUND((IF(BA30=2,SUM(L30,N30:W30,X30),BM30+W30)+M30),0)&lt;=$E$11,$F$11,IF(ROUND((IF(BA30=2,SUM(L30,N30:W30,X30),BM30+W30)+M30),0)&lt;=$E$12,$F$12,IF(ROUND((IF(BA30=2,SUM(L30,N30:W30,X30),BM30+W30)+M30),0)&lt;=$E$13,$F$13,IF(ROUND((IF(BA30=2,SUM(L30,N30:W30,X30),BM30+W30)+M30),0)&lt;=$E$14,$F$14,IF(ROUND((IF(BA30=2,SUM(L30,N30:W30,X30),BM30+W30)+M30),0)&lt;=$E$15,$F$15,IF(ROUND((IF(BA30=2,SUM(L30,N30:W30,X30),BM30+W30)+M30),0)&lt;=$E$16,$F$16,IF(ROUND((IF(BA30=2,SUM(L30,N30:W30,X30),BM30+W30)+M30),0)&lt;=$E$17,$F$17,IF(ROUND((IF(BA30=2,SUM(L30,N30:W30,X30),BM30+W30)+M30),0)&lt;=$E$18,$F$18,IF(ROUND((IF(BA30=2,SUM(L30,N30:W30,X30),BM30+W30)+M30),0)&lt;=$E$19,$F$19,IF(ROUND((IF(BA30=2,SUM(L30,N30:W30,X30),BM30+W30)+M30),0)&lt;=$E$20,$F$20,IF(ROUND((IF(BA30=2,SUM(L30,N30:W30,X30),BM30+W30)+M30),0)&lt;=$E$21,$F$21,IF(ROUND((IF(BA30=2,SUM(L30,N30:W30,X30),BM30+W30)+M30),0)&lt;=$E$22,$F$22,IF(ROUND((IF(BA30=2,SUM(L30,N30:W30,X30),BM30+W30)+M30),0)&lt;=$E$23,$F$23,IF(ROUND((IF(BA30=2,SUM(L30,N30:W30,X30),BM30+W30)+M30),0)&lt;=$E$24,$F$24,IF(ROUND((IF(BA30=2,SUM(L30,N30:W30,X30),BM30+W30)+M30),0)&lt;=$H$10,$I$10,IF(ROUND((IF(BA30=2,SUM(L30,N30:W30,X30),BM30+W30)+M30),0)&lt;=$H$11,$I$11,IF(ROUND((IF(BA30=2,SUM(L30,N30:W30,X30),BM30+W30)+M30),0)&lt;=$H$12,$I$12,IF(ROUND((IF(BA30=2,SUM(L30,N30:W30,X30),BM30+W30)+M30),0)&lt;=$H$13,$I$13,IF(ROUND((IF(BA30=2,SUM(L30,N30:W30,X30),BM30+W30)+M30),0)&lt;=$H$14,$I$14,IF(ROUND((IF(BA30=2,SUM(L30,N30:W30,X30),BM30+W30)+M30),0)&lt;=$H$15,$I$15,IF(ROUND((IF(BA30=2,SUM(L30,N30:W30,X30),BM30+W30)+M30),0)&lt;=$H$16,$I$16,IF(ROUND((IF(BA30=2,SUM(L30,N30:W30,X30),BM30+W30)+M30),0)&lt;=$H$17,$I$17,IF(ROUND((IF(BA30=2,SUM(L30,N30:W30,X30),BM30+W30)+M30),0)&lt;=$H$18,$I$18,IF(ROUND((IF(BA30=2,SUM(L30,N30:W30,X30),BM30+W30)+M30),0)&lt;=$H$19,$I$19,IF(ROUND((IF(BA30=2,SUM(L30,N30:W30,X30),BM30+W30)+M30),0)&lt;=$H$20,$I$20,IF(ROUND((IF(BA30=2,SUM(L30,N30:W30,X30),BM30+W30)+M30),0)&lt;=$H$21,$I$21,IF(ROUND((IF(BA30=2,SUM(L30,N30:W30,X30),BM30+W30)+M30),0)&lt;=$H$22,$I$22,$I$23))))))))))))))))))))))))))))))))))))))))))),IF(OR(J30="S/2",J30="S/3",J30="M/1",J30="M/2"),IF(ROUND((IF(BA30=2,SUM(L30,N30:W30,X30),BM30+W30)+M30),0)&lt;=$L$10,$M$10,IF(ROUND((IF(BA30=2,SUM(L30,N30:W30,X30),BM30+W30)+M30),0)&lt;=$L$11,$M$11,IF(ROUND((IF(BA30=2,SUM(L30,N30:W30,X30),BM30+W30)+M30),0)&lt;=$L$12,$M$12,IF(ROUND((IF(BA30=2,SUM(L30,N30:W30,X30),BM30+W30)+M30),0)&lt;=$L$13,$M$13,IF(ROUND((IF(BA30=2,SUM(L30,N30:W30,X30),BM30+W30)+M30),0)&lt;=$L$14,$M$14,IF(ROUND((IF(BA30=2,SUM(L30,N30:W30,X30),BM30+W30)+M30),0)&lt;=$L$15,$M$15,IF(ROUND((IF(BA30=2,SUM(L30,N30:W30,X30),BM30+W30)+M30),0)&lt;=$L$16,$M$16,IF(ROUND((IF(BA30=2,SUM(L30,N30:W30,X30),BM30+W30)+M30),0)&lt;=$L$17,$M$17,IF(ROUND((IF(BA30=2,SUM(L30,N30:W30,X30),BM30+W30)+M30),0)&lt;=$L$18,$M$18,IF(ROUND((IF(BA30=2,SUM(L30,N30:W30,X30),BM30+W30)+M30),0)&lt;=$L$19,$M$19,IF(ROUND((IF(BA30=2,SUM(L30,N30:W30,X30),BM30+W30)+M30),0)&lt;=$L$20,$M$20,IF(ROUND((IF(BA30=2,SUM(L30,N30:W30,X30),BM30+W30)+M30),0)&lt;=$L$21,$M$21,IF(ROUND((IF(BA30=2,SUM(L30,N30:W30,X30),BM30+W30)+M30),0)&lt;=$L$22,$M$22,IF(ROUND((IF(BA30=2,SUM(L30,N30:W30,X30),BM30+W30)+M30),0)&lt;=$L$23,$M$23,IF(ROUND((IF(BA30=2,SUM(L30,N30:W30,X30),BM30+W30)+M30),0)&lt;=$L$24,$M$24,IF(ROUND((IF(BA30=2,SUM(L30,N30:W30,X30),BM30+W30)+M30),0)&lt;=$O$10,$P$10,IF(ROUND((IF(BA30=2,SUM(L30,N30:W30,X30),BM30+W30)+M30),0)&lt;=$O$11,$P$11,IF(ROUND((IF(BA30=2,SUM(L30,N30:W30,X30),BM30+W30)+M30),0)&lt;=$O$12,$P$12,IF(ROUND((IF(BA30=2,SUM(L30,N30:W30,X30),BM30+W30)+M30),0)&lt;=$O$13,$P$13,IF(ROUND((IF(BA30=2,SUM(L30,N30:W30,X30),BM30+W30)+M30),0)&lt;=$O$14,$P$14,IF(ROUND((IF(BA30=2,SUM(L30,N30:W30,X30),BM30+W30)+M30),0)&lt;=$O$15,$P$15,IF(ROUND((IF(BA30=2,SUM(L30,N30:W30,X30),BM30+W30)+M30),0)&lt;=$O$16,$P$16,IF(ROUND((IF(BA30=2,SUM(L30,N30:W30,X30),BM30+W30)+M30),0)&lt;=$O$17,$P$17,IF(ROUND((IF(BA30=2,SUM(L30,N30:W30,X30),BM30+W30)+M30),0)&lt;=$O$18,$P$18,IF(ROUND((IF(BA30=2,SUM(L30,N30:W30,X30),BM30+W30)+M30),0)&lt;=$O$19,$P$19,IF(ROUND((IF(BA30=2,SUM(L30,N30:W30,X30),BM30+W30)+M30),0)&lt;=$O$20,$P$20,IF(ROUND((IF(BA30=2,SUM(L30,N30:W30,X30),BM30+W30)+M30),0)&lt;=$O$21,$P$21,IF(ROUND((IF(BA30=2,SUM(L30,N30:W30,X30),BM30+W30)+M30),0)&lt;=$O$22,$P$22,IF(ROUND((IF(BA30=2,SUM(L30,N30:W30,X30),BM30+W30)+M30),0)&lt;=$O$23,$P$23,IF(ROUND((IF(BA30=2,SUM(L30,N30:W30,X30),BM30+W30)+M30),0)&lt;=$O$24,$P$24,IF(ROUND((IF(BA30=2,SUM(L30,N30:W30,X30),BM30+W30)+M30),0)&lt;=$R$10,$S$10,IF(ROUND((IF(BA30=2,SUM(L30,N30:W30,X30),BM30+W30)+M30),0)&lt;=$R$11,$S$11,IF(ROUND((IF(BA30=2,SUM(L30,N30:W30,X30),BM30+W30)+M30),0)&lt;=$R$12,$S$12,IF(ROUND((IF(BA30=2,SUM(L30,N30:W30,X30),BM30+W30)+M30),0)&lt;=$R$13,$S$13,IF(ROUND((IF(BA30=2,SUM(L30,N30:W30,X30),BM30+W30)+M30),0)&lt;=$R$14,$S$14,IF(ROUND((IF(BA30=2,SUM(L30,N30:W30,X30),BM30+W30)+M30),0)&lt;=$R$15,$S$15,IF(ROUND((IF(BA30=2,SUM(L30,N30:W30,X30),BM30+W30)+M30),0)&lt;=$R$16,$S$16,IF(ROUND((IF(BA30=2,SUM(L30,N30:W30,X30),BM30+W30)+M30),0)&lt;=$R$17,$S$17,IF(ROUND((IF(BA30=2,SUM(L30,N30:W30,X30),BM30+W30)+M30),0)&lt;=$R$18,$S$18,$S$19))))))))))))))))))))))))))))))))))))))),IF(J30="M/3",IF(ROUND((IF(BA30=2,SUM(L30,N30:W30,X30),BM30+W30)+M30),0)&lt;=$V$10,$W$10,IF(ROUND((IF(BA30=2,SUM(L30,N30:W30,X30),BM30+W30)+M30),0)&lt;=$V$11,$W$11,IF(ROUND((IF(BA30=2,SUM(L30,N30:W30,X30),BM30+W30)+M30),0)&lt;=$V$12,$W$12,IF(ROUND((IF(BA30=2,SUM(L30,N30:W30,X30),BM30+W30)+M30),0)&lt;=$V$13,$W$13,IF(ROUND((IF(BA30=2,SUM(L30,N30:W30,X30),BM30+W30)+M30),0)&lt;=$V$14,$W$14,IF(ROUND((IF(BA30=2,SUM(L30,N30:W30,X30),BM30+W30)+M30),0)&lt;=$V$15,$W$15,IF(ROUND((IF(BA30=2,SUM(L30,N30:W30,X30),BM30+W30)+M30),0)&lt;=$V$16,$W$16,IF(ROUND((IF(BA30=2,SUM(L30,N30:W30,X30),BM30+W30)+M30),0)&lt;=$V$17,$W$17,IF(ROUND((IF(BA30=2,SUM(L30,N30:W30,X30),BM30+W30)+M30),0)&lt;=$V$18,$W$18,IF(ROUND((IF(BA30=2,SUM(L30,N30:W30,X30),BM30+W30)+M30),0)&lt;=$V$19,$W$19,IF(ROUND((IF(BA30=2,SUM(L30,N30:W30,X30),BM30+W30)+M30),0)&lt;=$V$20,$W$20,IF(ROUND((IF(BA30=2,SUM(L30,N30:W30,X30),BM30+W30)+M30),0)&lt;=$V$21,$W$21,IF(ROUND((IF(BA30=2,SUM(L30,N30:W30,X30),BM30+W30)+M30),0)&lt;=$V$22,$W$22,IF(ROUND((IF(BA30=2,SUM(L30,N30:W30,X30),BM30+W30)+M30),0)&lt;=$V$23,$W$23,IF(ROUND((IF(BA30=2,SUM(L30,N30:W30,X30),BM30+W30)+M30),0)&lt;=$V$24,$W$24,IF(ROUND((IF(BA30=2,SUM(L30,N30:W30,X30),BM30+W30)+M30),0)&lt;=$Y$10,$Z$10,IF(ROUND((IF(BA30=2,SUM(L30,N30:W30,X30),BM30+W30)+M30),0)&lt;=$Y$11,$Z$11,IF(ROUND((IF(BA30=2,SUM(L30,N30:W30,X30),BM30+W30)+M30),0)&lt;=$Y$12,$Z$12,IF(ROUND((IF(BA30=2,SUM(L30,N30:W30,X30),BM30+W30)+M30),0)&lt;=$Y$13,$Z$13,IF(ROUND((IF(BA30=2,SUM(L30,N30:W30,X30),BM30+W30)+M30),0)&lt;=$Y$14,$Z$14,IF(ROUND((IF(BA30=2,SUM(L30,N30:W30,X30),BM30+W30)+M30),0)&lt;=$Y$15,$Z$15,IF(ROUND((IF(BA30=2,SUM(L30,N30:W30,X30),BM30+W30)+M30),0)&lt;=$Y$16,$Z$16,IF(ROUND((IF(BA30=2,SUM(L30,N30:W30,X30),BM30+W30)+M30),0)&lt;=$Y$17,$Z$17,IF(ROUND((IF(BA30=2,SUM(L30,N30:W30,X30),BM30+W30)+M30),0)&lt;=$Y$18,$Z$18,IF(ROUND((IF(BA30=2,SUM(L30,N30:W30,X30),BM30+W30)+M30),0)&lt;=$Y$19,$Z$19,IF(ROUND((IF(BA30=2,SUM(L30,N30:W30,X30),BM30+W30)+M30),0)&lt;=$Y$20,$Z$20,IF(ROUND((IF(BA30=2,SUM(L30,N30:W30,X30),BM30+W30)+M30),0)&lt;=$Y$21,$Z$21,IF(ROUND((IF(BA30=2,SUM(L30,N30:W30,X30),BM30+W30)+M30),0)&lt;=$Y$22,$Z$22,IF(ROUND((IF(BA30=2,SUM(L30,N30:W30,X30),BM30+W30)+M30),0)&lt;=$Y$23,$Z$23,IF(ROUND((IF(BA30=2,SUM(L30,N30:W30,X30),BM30+W30)+M30),0)&lt;=$Y$24,$Z$24,IF(ROUND((IF(BA30=2,SUM(L30,N30:W30,X30),BM30+W30)+M30),0)&lt;=$AB$10,$AC$10,IF(ROUND((IF(BA30=2,SUM(L30,N30:W30,X30),BM30+W30)+M30),0)&lt;=$AB$11,$AC$11,IF(ROUND((IF(BA30=2,SUM(L30,N30:W30,X30),BM30+W30)+M30),0)&lt;=$AB$12,$AC$12,IF(ROUND((IF(BA30=2,SUM(L30,N30:W30,X30),BM30+W30)+M30),0)&lt;=$AB$13,$AC$13,IF(ROUND((IF(BA30=2,SUM(L30,N30:W30,X30),BM30+W30)+M30),0)&lt;=$AB$14,$AC$14,IF(ROUND((IF(BA30=2,SUM(L30,N30:W30,X30),BM30+W30)+M30),0)&lt;=$AB$15,$AC$15,IF(ROUND((IF(BA30=2,SUM(L30,N30:W30,X30),BM30+W30)+M30),0)&lt;=$AB$16,$AC$16,IF(ROUND((IF(BA30=2,SUM(L30,N30:W30,X30),BM30+W30)+M30),0)&lt;=$AB$17,$AC$17,IF(ROUND((IF(BA30=2,SUM(L30,N30:W30,X30),BM30+W30)+M30),0)&lt;=$AB$18,$AC$18,IF(ROUND((IF(BA30=2,SUM(L30,N30:W30,X30),BM30+W30)+M30),0)&lt;=$AB$19,$AC$19,$AC$20)))))))))))))))))))))))))))))))))))))))),"Missing PTKP status"))),0)-IF(BA30=2,0,BN30)))</x:f>
        <x:v>0</x:v>
      </x:c>
      <x:c r="BT30" s="13" t="n">
        <x:f>Z30+Y30+AA30+AB30</x:f>
        <x:v>9145824</x:v>
      </x:c>
      <x:c r="BU30" s="18" t="n">
        <x:v>0</x:v>
      </x:c>
      <x:c r="BV30" s="18" t="n">
        <x:v>0</x:v>
      </x:c>
      <x:c r="BW30" s="18" t="n">
        <x:v>0</x:v>
      </x:c>
    </x:row>
    <x:row r="31" ht="22" customHeight="1">
      <x:c r="A31" s="16" t="str">
        <x:v>Example</x:v>
      </x:c>
      <x:c r="B31" s="16" t="str">
        <x:v>Example</x:v>
      </x:c>
      <x:c r="C31" s="16" t="n">
        <x:v>2</x:v>
      </x:c>
      <x:c r="D31" s="16" t="str">
        <x:v>EXAMPLE002</x:v>
      </x:c>
      <x:c r="E31" s="16" t="str">
        <x:v>Example employee 2</x:v>
      </x:c>
      <x:c r="F31" s="16" t="str"/>
      <x:c r="G31" s="17"/>
      <x:c r="H31" s="17"/>
      <x:c r="I31" s="16" t="str">
        <x:v>Permanent</x:v>
      </x:c>
      <x:c r="J31" s="16" t="str">
        <x:v>M/2</x:v>
      </x:c>
      <x:c r="K31" s="16" t="str">
        <x:v>L</x:v>
      </x:c>
      <x:c r="L31" s="13" t="n">
        <x:f>ROUND(AS31*AT31/AU31,0)+AV31</x:f>
        <x:v>90000000</x:v>
      </x:c>
      <x:c r="M31" s="13" t="n">
        <x:f>IF(AND(BB31=1,BA31=2),"Review final-period gross-up",IF(BA31=0,0,MAX(0,BQ31)))</x:f>
        <x:v>31157288</x:v>
      </x:c>
      <x:c r="N31" s="13" t="n">
        <x:f>IF(AZ31=1,SUM(AG31:AI31),0)</x:f>
        <x:v>2030863</x:v>
      </x:c>
      <x:c r="O31" s="13" t="n">
        <x:f>ROUND(AS31*BU31/AU31,0)</x:f>
        <x:v>0</x:v>
      </x:c>
      <x:c r="P31" s="18" t="n">
        <x:v>0</x:v>
      </x:c>
      <x:c r="Q31" s="18" t="n">
        <x:v>0</x:v>
      </x:c>
      <x:c r="R31" s="18" t="n">
        <x:v>0</x:v>
      </x:c>
      <x:c r="S31" s="18" t="n">
        <x:v>0</x:v>
      </x:c>
      <x:c r="T31" s="13" t="n">
        <x:f>ROUND(BJ31*$C$4,0)</x:f>
        <x:v>270000</x:v>
      </x:c>
      <x:c r="U31" s="13" t="n">
        <x:f>ROUND(BJ31*$C$5,0)</x:f>
        <x:v>216000</x:v>
      </x:c>
      <x:c r="V31" s="13" t="n">
        <x:f>ROUND(BL31*$O$5,0)</x:f>
        <x:v>480000</x:v>
      </x:c>
      <x:c r="W31" s="13" t="n">
        <x:f>ROUND(AW31/$S$4,0)</x:f>
        <x:v>475000</x:v>
      </x:c>
      <x:c r="X31" s="18" t="n">
        <x:v>0</x:v>
      </x:c>
      <x:c r="Y31" s="18" t="n">
        <x:v>0</x:v>
      </x:c>
      <x:c r="Z31" s="13" t="n">
        <x:f>SUM(L31:X31)</x:f>
        <x:v>124629151</x:v>
      </x:c>
      <x:c r="AA31" s="13" t="n">
        <x:f>ROUND(BJ31*$C$6,0)</x:f>
        <x:v>3330000</x:v>
      </x:c>
      <x:c r="AB31" s="13" t="n">
        <x:f>ROUND(BK31*$G$5,0)</x:f>
        <x:v>221726</x:v>
      </x:c>
      <x:c r="AC31" s="13" t="n">
        <x:f>T31</x:f>
        <x:v>270000</x:v>
      </x:c>
      <x:c r="AD31" s="13" t="n">
        <x:f>U31</x:f>
        <x:v>216000</x:v>
      </x:c>
      <x:c r="AE31" s="13" t="n">
        <x:f>V31</x:f>
        <x:v>480000</x:v>
      </x:c>
      <x:c r="AF31" s="13" t="n">
        <x:f>W31</x:f>
        <x:v>475000</x:v>
      </x:c>
      <x:c r="AG31" s="13" t="n">
        <x:f>ROUND(BJ31*$G$4,0)</x:f>
        <x:v>1800000</x:v>
      </x:c>
      <x:c r="AH31" s="13" t="n">
        <x:f>ROUND(BK31*$G$6,0)</x:f>
        <x:v>110863</x:v>
      </x:c>
      <x:c r="AI31" s="13" t="n">
        <x:f>ROUND(BL31*$O$6,0)</x:f>
        <x:v>120000</x:v>
      </x:c>
      <x:c r="AJ31" s="18" t="n">
        <x:v>0</x:v>
      </x:c>
      <x:c r="AK31" s="18" t="n">
        <x:v>0</x:v>
      </x:c>
      <x:c r="AL31" s="18" t="n">
        <x:v>0</x:v>
      </x:c>
      <x:c r="AM31" s="18" t="n">
        <x:v>0</x:v>
      </x:c>
      <x:c r="AN31" s="13" t="n">
        <x:f>IF(BB31=1,BI31-BF31,ROUND(Z31*BR31,0))</x:f>
        <x:v>31157288</x:v>
      </x:c>
      <x:c r="AO31" s="13" t="n">
        <x:f>ROUND(MAX(0,MIN(Y31+BV31,$AK$10)-0)*$AL$10+MAX(0,MIN(Y31+BV31,$AK$11)-$AK$10)*$AL$11+MAX(0,MIN(Y31+BV31,$AK$12)-$AK$11)*$AL$12+MAX(0,Y31+BV31-$AK$12)*$AL$13,0)-BW31</x:f>
        <x:v>0</x:v>
      </x:c>
      <x:c r="AP31" s="13" t="n">
        <x:f>SUM(AC31:AO31)</x:f>
        <x:v>34629151</x:v>
      </x:c>
      <x:c r="AQ31" s="19" t="n">
        <x:f>Z31+Y31-AP31</x:f>
        <x:v>90000000</x:v>
      </x:c>
      <x:c r="AR31" s="18" t="str">
        <x:v>Monthly net contract</x:v>
      </x:c>
      <x:c r="AS31" s="18" t="n">
        <x:v>90000000</x:v>
      </x:c>
      <x:c r="AT31" s="18" t="n">
        <x:v>31</x:v>
      </x:c>
      <x:c r="AU31" s="18" t="n">
        <x:v>31</x:v>
      </x:c>
      <x:c r="AV31" s="18" t="n">
        <x:v>0</x:v>
      </x:c>
      <x:c r="AW31" s="18" t="n">
        <x:v>5700000</x:v>
      </x:c>
      <x:c r="AX31" s="18" t="n">
        <x:v>1</x:v>
      </x:c>
      <x:c r="AY31" s="18" t="n">
        <x:v>1</x:v>
      </x:c>
      <x:c r="AZ31" s="18" t="n">
        <x:v>1</x:v>
      </x:c>
      <x:c r="BA31" s="18" t="n">
        <x:v>2</x:v>
      </x:c>
      <x:c r="BB31" s="18" t="n">
        <x:v>0</x:v>
      </x:c>
      <x:c r="BC31" s="18" t="n">
        <x:v>0</x:v>
      </x:c>
      <x:c r="BD31" s="18" t="n">
        <x:v>0</x:v>
      </x:c>
      <x:c r="BE31" s="18" t="n">
        <x:v>8</x:v>
      </x:c>
      <x:c r="BF31" s="18" t="n">
        <x:v>0</x:v>
      </x:c>
      <x:c r="BG31" s="13" t="n">
        <x:f>IF(J31="S/0",$W$5,IF(J31="S/1",$W$6,IF(J31="S/2",$AA$4,IF(J31="S/3",$AA$5,IF(J31="M/0",$AA$6,IF(J31="M/1",$AE$4,IF(J31="M/2",$AE$5,IF(J31="M/3",$AE$6,"Missing PTKP status"))))))))</x:f>
        <x:v>67500000</x:v>
      </x:c>
      <x:c r="BH31" s="13" t="n">
        <x:f>MAX(0,FLOOR(BC31+Z31-MIN((BC31+Z31)*$S$5,BE31*$S$6)-BD31-AG31-AH31-BG31,$W$4))</x:f>
        <x:v>51218000</x:v>
      </x:c>
      <x:c r="BI31" s="13" t="n">
        <x:f>ROUND(MAX(0,MIN(BH31,$AG$10)-0)*$AH$10+MAX(0,MIN(BH31,$AG$11)-$AG$10)*$AH$11+MAX(0,MIN(BH31,$AG$12)-$AG$11)*$AH$12+MAX(0,MIN(BH31,$AG$13)-$AG$12)*$AH$13+MAX(0,BH31-$AG$13)*$AH$14,0)</x:f>
        <x:v>2560900</x:v>
      </x:c>
      <x:c r="BJ31" s="13" t="n">
        <x:f>IF(AX31=1,IF(L31=0,0,MAX(L31,$K$4)),0)</x:f>
        <x:v>90000000</x:v>
      </x:c>
      <x:c r="BK31" s="13" t="n">
        <x:f>IF(AX31=1,MIN(MAX(L31,$K$4),$K$5),0)</x:f>
        <x:v>11086300</x:v>
      </x:c>
      <x:c r="BL31" s="13" t="n">
        <x:f>IF(AY31=1,MIN(MAX(L31,$K$6),$O$4),0)</x:f>
        <x:v>12000000</x:v>
      </x:c>
      <x:c r="BM31" s="13" t="n">
        <x:f>SUM(L31,N31,O31,S31,T31:V31)</x:f>
        <x:v>92996863</x:v>
      </x:c>
      <x:c r="BN31" s="13" t="n">
        <x:f>ROUND(BM31*IF(OR(J31="S/0",J31="S/1",J31="M/0"),IF(ROUND(BM31,0)&lt;=$B$10,$C$10,IF(ROUND(BM31,0)&lt;=$B$11,$C$11,IF(ROUND(BM31,0)&lt;=$B$12,$C$12,IF(ROUND(BM31,0)&lt;=$B$13,$C$13,IF(ROUND(BM31,0)&lt;=$B$14,$C$14,IF(ROUND(BM31,0)&lt;=$B$15,$C$15,IF(ROUND(BM31,0)&lt;=$B$16,$C$16,IF(ROUND(BM31,0)&lt;=$B$17,$C$17,IF(ROUND(BM31,0)&lt;=$B$18,$C$18,IF(ROUND(BM31,0)&lt;=$B$19,$C$19,IF(ROUND(BM31,0)&lt;=$B$20,$C$20,IF(ROUND(BM31,0)&lt;=$B$21,$C$21,IF(ROUND(BM31,0)&lt;=$B$22,$C$22,IF(ROUND(BM31,0)&lt;=$B$23,$C$23,IF(ROUND(BM31,0)&lt;=$B$24,$C$24,IF(ROUND(BM31,0)&lt;=$E$10,$F$10,IF(ROUND(BM31,0)&lt;=$E$11,$F$11,IF(ROUND(BM31,0)&lt;=$E$12,$F$12,IF(ROUND(BM31,0)&lt;=$E$13,$F$13,IF(ROUND(BM31,0)&lt;=$E$14,$F$14,IF(ROUND(BM31,0)&lt;=$E$15,$F$15,IF(ROUND(BM31,0)&lt;=$E$16,$F$16,IF(ROUND(BM31,0)&lt;=$E$17,$F$17,IF(ROUND(BM31,0)&lt;=$E$18,$F$18,IF(ROUND(BM31,0)&lt;=$E$19,$F$19,IF(ROUND(BM31,0)&lt;=$E$20,$F$20,IF(ROUND(BM31,0)&lt;=$E$21,$F$21,IF(ROUND(BM31,0)&lt;=$E$22,$F$22,IF(ROUND(BM31,0)&lt;=$E$23,$F$23,IF(ROUND(BM31,0)&lt;=$E$24,$F$24,IF(ROUND(BM31,0)&lt;=$H$10,$I$10,IF(ROUND(BM31,0)&lt;=$H$11,$I$11,IF(ROUND(BM31,0)&lt;=$H$12,$I$12,IF(ROUND(BM31,0)&lt;=$H$13,$I$13,IF(ROUND(BM31,0)&lt;=$H$14,$I$14,IF(ROUND(BM31,0)&lt;=$H$15,$I$15,IF(ROUND(BM31,0)&lt;=$H$16,$I$16,IF(ROUND(BM31,0)&lt;=$H$17,$I$17,IF(ROUND(BM31,0)&lt;=$H$18,$I$18,IF(ROUND(BM31,0)&lt;=$H$19,$I$19,IF(ROUND(BM31,0)&lt;=$H$20,$I$20,IF(ROUND(BM31,0)&lt;=$H$21,$I$21,IF(ROUND(BM31,0)&lt;=$H$22,$I$22,$I$23))))))))))))))))))))))))))))))))))))))))))),IF(OR(J31="S/2",J31="S/3",J31="M/1",J31="M/2"),IF(ROUND(BM31,0)&lt;=$L$10,$M$10,IF(ROUND(BM31,0)&lt;=$L$11,$M$11,IF(ROUND(BM31,0)&lt;=$L$12,$M$12,IF(ROUND(BM31,0)&lt;=$L$13,$M$13,IF(ROUND(BM31,0)&lt;=$L$14,$M$14,IF(ROUND(BM31,0)&lt;=$L$15,$M$15,IF(ROUND(BM31,0)&lt;=$L$16,$M$16,IF(ROUND(BM31,0)&lt;=$L$17,$M$17,IF(ROUND(BM31,0)&lt;=$L$18,$M$18,IF(ROUND(BM31,0)&lt;=$L$19,$M$19,IF(ROUND(BM31,0)&lt;=$L$20,$M$20,IF(ROUND(BM31,0)&lt;=$L$21,$M$21,IF(ROUND(BM31,0)&lt;=$L$22,$M$22,IF(ROUND(BM31,0)&lt;=$L$23,$M$23,IF(ROUND(BM31,0)&lt;=$L$24,$M$24,IF(ROUND(BM31,0)&lt;=$O$10,$P$10,IF(ROUND(BM31,0)&lt;=$O$11,$P$11,IF(ROUND(BM31,0)&lt;=$O$12,$P$12,IF(ROUND(BM31,0)&lt;=$O$13,$P$13,IF(ROUND(BM31,0)&lt;=$O$14,$P$14,IF(ROUND(BM31,0)&lt;=$O$15,$P$15,IF(ROUND(BM31,0)&lt;=$O$16,$P$16,IF(ROUND(BM31,0)&lt;=$O$17,$P$17,IF(ROUND(BM31,0)&lt;=$O$18,$P$18,IF(ROUND(BM31,0)&lt;=$O$19,$P$19,IF(ROUND(BM31,0)&lt;=$O$20,$P$20,IF(ROUND(BM31,0)&lt;=$O$21,$P$21,IF(ROUND(BM31,0)&lt;=$O$22,$P$22,IF(ROUND(BM31,0)&lt;=$O$23,$P$23,IF(ROUND(BM31,0)&lt;=$O$24,$P$24,IF(ROUND(BM31,0)&lt;=$R$10,$S$10,IF(ROUND(BM31,0)&lt;=$R$11,$S$11,IF(ROUND(BM31,0)&lt;=$R$12,$S$12,IF(ROUND(BM31,0)&lt;=$R$13,$S$13,IF(ROUND(BM31,0)&lt;=$R$14,$S$14,IF(ROUND(BM31,0)&lt;=$R$15,$S$15,IF(ROUND(BM31,0)&lt;=$R$16,$S$16,IF(ROUND(BM31,0)&lt;=$R$17,$S$17,IF(ROUND(BM31,0)&lt;=$R$18,$S$18,$S$19))))))))))))))))))))))))))))))))))))))),IF(J31="M/3",IF(ROUND(BM31,0)&lt;=$V$10,$W$10,IF(ROUND(BM31,0)&lt;=$V$11,$W$11,IF(ROUND(BM31,0)&lt;=$V$12,$W$12,IF(ROUND(BM31,0)&lt;=$V$13,$W$13,IF(ROUND(BM31,0)&lt;=$V$14,$W$14,IF(ROUND(BM31,0)&lt;=$V$15,$W$15,IF(ROUND(BM31,0)&lt;=$V$16,$W$16,IF(ROUND(BM31,0)&lt;=$V$17,$W$17,IF(ROUND(BM31,0)&lt;=$V$18,$W$18,IF(ROUND(BM31,0)&lt;=$V$19,$W$19,IF(ROUND(BM31,0)&lt;=$V$20,$W$20,IF(ROUND(BM31,0)&lt;=$V$21,$W$21,IF(ROUND(BM31,0)&lt;=$V$22,$W$22,IF(ROUND(BM31,0)&lt;=$V$23,$W$23,IF(ROUND(BM31,0)&lt;=$V$24,$W$24,IF(ROUND(BM31,0)&lt;=$Y$10,$Z$10,IF(ROUND(BM31,0)&lt;=$Y$11,$Z$11,IF(ROUND(BM31,0)&lt;=$Y$12,$Z$12,IF(ROUND(BM31,0)&lt;=$Y$13,$Z$13,IF(ROUND(BM31,0)&lt;=$Y$14,$Z$14,IF(ROUND(BM31,0)&lt;=$Y$15,$Z$15,IF(ROUND(BM31,0)&lt;=$Y$16,$Z$16,IF(ROUND(BM31,0)&lt;=$Y$17,$Z$17,IF(ROUND(BM31,0)&lt;=$Y$18,$Z$18,IF(ROUND(BM31,0)&lt;=$Y$19,$Z$19,IF(ROUND(BM31,0)&lt;=$Y$20,$Z$20,IF(ROUND(BM31,0)&lt;=$Y$21,$Z$21,IF(ROUND(BM31,0)&lt;=$Y$22,$Z$22,IF(ROUND(BM31,0)&lt;=$Y$23,$Z$23,IF(ROUND(BM31,0)&lt;=$Y$24,$Z$24,IF(ROUND(BM31,0)&lt;=$AB$10,$AC$10,IF(ROUND(BM31,0)&lt;=$AB$11,$AC$11,IF(ROUND(BM31,0)&lt;=$AB$12,$AC$12,IF(ROUND(BM31,0)&lt;=$AB$13,$AC$13,IF(ROUND(BM31,0)&lt;=$AB$14,$AC$14,IF(ROUND(BM31,0)&lt;=$AB$15,$AC$15,IF(ROUND(BM31,0)&lt;=$AB$16,$AC$16,IF(ROUND(BM31,0)&lt;=$AB$17,$AC$17,IF(ROUND(BM31,0)&lt;=$AB$18,$AC$18,IF(ROUND(BM31,0)&lt;=$AB$19,$AC$19,$AC$20)))))))))))))))))))))))))))))))))))))))),"Missing PTKP status"))),0)</x:f>
        <x:v>21389278</x:v>
      </x:c>
      <x:c r="BO31" s="13" t="n">
        <x:f>IF(BA31=2,SUM(L31,N31:W31,X31),BM31+W31-BN31)</x:f>
        <x:v>93471863</x:v>
      </x:c>
      <x:c r="BP31" s="13" t="n">
        <x:f>IF(OR(J31="S/0",J31="S/1",J31="M/0"),IF(BO31&lt;=$B$10*(1-$C$10),BO31/(1-$C$10),IF(BO31&lt;=$B$11*(1-$C$11),BO31/(1-$C$11),IF(BO31&lt;=$B$12*(1-$C$12),BO31/(1-$C$12),IF(BO31&lt;=$B$13*(1-$C$13),BO31/(1-$C$13),IF(BO31&lt;=$B$14*(1-$C$14),BO31/(1-$C$14),IF(BO31&lt;=$B$15*(1-$C$15),BO31/(1-$C$15),IF(BO31&lt;=$B$16*(1-$C$16),BO31/(1-$C$16),IF(BO31&lt;=$B$17*(1-$C$17),BO31/(1-$C$17),IF(BO31&lt;=$B$18*(1-$C$18),BO31/(1-$C$18),IF(BO31&lt;=$B$19*(1-$C$19),BO31/(1-$C$19),IF(BO31&lt;=$B$20*(1-$C$20),BO31/(1-$C$20),IF(BO31&lt;=$B$21*(1-$C$21),BO31/(1-$C$21),IF(BO31&lt;=$B$22*(1-$C$22),BO31/(1-$C$22),IF(BO31&lt;=$B$23*(1-$C$23),BO31/(1-$C$23),IF(BO31&lt;=$B$24*(1-$C$24),BO31/(1-$C$24),IF(BO31&lt;=$E$10*(1-$F$10),BO31/(1-$F$10),IF(BO31&lt;=$E$11*(1-$F$11),BO31/(1-$F$11),IF(BO31&lt;=$E$12*(1-$F$12),BO31/(1-$F$12),IF(BO31&lt;=$E$13*(1-$F$13),BO31/(1-$F$13),IF(BO31&lt;=$E$14*(1-$F$14),BO31/(1-$F$14),IF(BO31&lt;=$E$15*(1-$F$15),BO31/(1-$F$15),IF(BO31&lt;=$E$16*(1-$F$16),BO31/(1-$F$16),IF(BO31&lt;=$E$17*(1-$F$17),BO31/(1-$F$17),IF(BO31&lt;=$E$18*(1-$F$18),BO31/(1-$F$18),IF(BO31&lt;=$E$19*(1-$F$19),BO31/(1-$F$19),IF(BO31&lt;=$E$20*(1-$F$20),BO31/(1-$F$20),IF(BO31&lt;=$E$21*(1-$F$21),BO31/(1-$F$21),IF(BO31&lt;=$E$22*(1-$F$22),BO31/(1-$F$22),IF(BO31&lt;=$E$23*(1-$F$23),BO31/(1-$F$23),IF(BO31&lt;=$E$24*(1-$F$24),BO31/(1-$F$24),IF(BO31&lt;=$H$10*(1-$I$10),BO31/(1-$I$10),IF(BO31&lt;=$H$11*(1-$I$11),BO31/(1-$I$11),IF(BO31&lt;=$H$12*(1-$I$12),BO31/(1-$I$12),IF(BO31&lt;=$H$13*(1-$I$13),BO31/(1-$I$13),IF(BO31&lt;=$H$14*(1-$I$14),BO31/(1-$I$14),IF(BO31&lt;=$H$15*(1-$I$15),BO31/(1-$I$15),IF(BO31&lt;=$H$16*(1-$I$16),BO31/(1-$I$16),IF(BO31&lt;=$H$17*(1-$I$17),BO31/(1-$I$17),IF(BO31&lt;=$H$18*(1-$I$18),BO31/(1-$I$18),IF(BO31&lt;=$H$19*(1-$I$19),BO31/(1-$I$19),IF(BO31&lt;=$H$20*(1-$I$20),BO31/(1-$I$20),IF(BO31&lt;=$H$21*(1-$I$21),BO31/(1-$I$21),IF(BO31&lt;=$H$22*(1-$I$22),BO31/(1-$I$22),BO31/(1-$I$23)))))))))))))))))))))))))))))))))))))))))))),IF(OR(J31="S/2",J31="S/3",J31="M/1",J31="M/2"),IF(BO31&lt;=$L$10*(1-$M$10),BO31/(1-$M$10),IF(BO31&lt;=$L$11*(1-$M$11),BO31/(1-$M$11),IF(BO31&lt;=$L$12*(1-$M$12),BO31/(1-$M$12),IF(BO31&lt;=$L$13*(1-$M$13),BO31/(1-$M$13),IF(BO31&lt;=$L$14*(1-$M$14),BO31/(1-$M$14),IF(BO31&lt;=$L$15*(1-$M$15),BO31/(1-$M$15),IF(BO31&lt;=$L$16*(1-$M$16),BO31/(1-$M$16),IF(BO31&lt;=$L$17*(1-$M$17),BO31/(1-$M$17),IF(BO31&lt;=$L$18*(1-$M$18),BO31/(1-$M$18),IF(BO31&lt;=$L$19*(1-$M$19),BO31/(1-$M$19),IF(BO31&lt;=$L$20*(1-$M$20),BO31/(1-$M$20),IF(BO31&lt;=$L$21*(1-$M$21),BO31/(1-$M$21),IF(BO31&lt;=$L$22*(1-$M$22),BO31/(1-$M$22),IF(BO31&lt;=$L$23*(1-$M$23),BO31/(1-$M$23),IF(BO31&lt;=$L$24*(1-$M$24),BO31/(1-$M$24),IF(BO31&lt;=$O$10*(1-$P$10),BO31/(1-$P$10),IF(BO31&lt;=$O$11*(1-$P$11),BO31/(1-$P$11),IF(BO31&lt;=$O$12*(1-$P$12),BO31/(1-$P$12),IF(BO31&lt;=$O$13*(1-$P$13),BO31/(1-$P$13),IF(BO31&lt;=$O$14*(1-$P$14),BO31/(1-$P$14),IF(BO31&lt;=$O$15*(1-$P$15),BO31/(1-$P$15),IF(BO31&lt;=$O$16*(1-$P$16),BO31/(1-$P$16),IF(BO31&lt;=$O$17*(1-$P$17),BO31/(1-$P$17),IF(BO31&lt;=$O$18*(1-$P$18),BO31/(1-$P$18),IF(BO31&lt;=$O$19*(1-$P$19),BO31/(1-$P$19),IF(BO31&lt;=$O$20*(1-$P$20),BO31/(1-$P$20),IF(BO31&lt;=$O$21*(1-$P$21),BO31/(1-$P$21),IF(BO31&lt;=$O$22*(1-$P$22),BO31/(1-$P$22),IF(BO31&lt;=$O$23*(1-$P$23),BO31/(1-$P$23),IF(BO31&lt;=$O$24*(1-$P$24),BO31/(1-$P$24),IF(BO31&lt;=$R$10*(1-$S$10),BO31/(1-$S$10),IF(BO31&lt;=$R$11*(1-$S$11),BO31/(1-$S$11),IF(BO31&lt;=$R$12*(1-$S$12),BO31/(1-$S$12),IF(BO31&lt;=$R$13*(1-$S$13),BO31/(1-$S$13),IF(BO31&lt;=$R$14*(1-$S$14),BO31/(1-$S$14),IF(BO31&lt;=$R$15*(1-$S$15),BO31/(1-$S$15),IF(BO31&lt;=$R$16*(1-$S$16),BO31/(1-$S$16),IF(BO31&lt;=$R$17*(1-$S$17),BO31/(1-$S$17),IF(BO31&lt;=$R$18*(1-$S$18),BO31/(1-$S$18),BO31/(1-$S$19)))))))))))))))))))))))))))))))))))))))),IF(J31="M/3",IF(BO31&lt;=$V$10*(1-$W$10),BO31/(1-$W$10),IF(BO31&lt;=$V$11*(1-$W$11),BO31/(1-$W$11),IF(BO31&lt;=$V$12*(1-$W$12),BO31/(1-$W$12),IF(BO31&lt;=$V$13*(1-$W$13),BO31/(1-$W$13),IF(BO31&lt;=$V$14*(1-$W$14),BO31/(1-$W$14),IF(BO31&lt;=$V$15*(1-$W$15),BO31/(1-$W$15),IF(BO31&lt;=$V$16*(1-$W$16),BO31/(1-$W$16),IF(BO31&lt;=$V$17*(1-$W$17),BO31/(1-$W$17),IF(BO31&lt;=$V$18*(1-$W$18),BO31/(1-$W$18),IF(BO31&lt;=$V$19*(1-$W$19),BO31/(1-$W$19),IF(BO31&lt;=$V$20*(1-$W$20),BO31/(1-$W$20),IF(BO31&lt;=$V$21*(1-$W$21),BO31/(1-$W$21),IF(BO31&lt;=$V$22*(1-$W$22),BO31/(1-$W$22),IF(BO31&lt;=$V$23*(1-$W$23),BO31/(1-$W$23),IF(BO31&lt;=$V$24*(1-$W$24),BO31/(1-$W$24),IF(BO31&lt;=$Y$10*(1-$Z$10),BO31/(1-$Z$10),IF(BO31&lt;=$Y$11*(1-$Z$11),BO31/(1-$Z$11),IF(BO31&lt;=$Y$12*(1-$Z$12),BO31/(1-$Z$12),IF(BO31&lt;=$Y$13*(1-$Z$13),BO31/(1-$Z$13),IF(BO31&lt;=$Y$14*(1-$Z$14),BO31/(1-$Z$14),IF(BO31&lt;=$Y$15*(1-$Z$15),BO31/(1-$Z$15),IF(BO31&lt;=$Y$16*(1-$Z$16),BO31/(1-$Z$16),IF(BO31&lt;=$Y$17*(1-$Z$17),BO31/(1-$Z$17),IF(BO31&lt;=$Y$18*(1-$Z$18),BO31/(1-$Z$18),IF(BO31&lt;=$Y$19*(1-$Z$19),BO31/(1-$Z$19),IF(BO31&lt;=$Y$20*(1-$Z$20),BO31/(1-$Z$20),IF(BO31&lt;=$Y$21*(1-$Z$21),BO31/(1-$Z$21),IF(BO31&lt;=$Y$22*(1-$Z$22),BO31/(1-$Z$22),IF(BO31&lt;=$Y$23*(1-$Z$23),BO31/(1-$Z$23),IF(BO31&lt;=$Y$24*(1-$Z$24),BO31/(1-$Z$24),IF(BO31&lt;=$AB$10*(1-$AC$10),BO31/(1-$AC$10),IF(BO31&lt;=$AB$11*(1-$AC$11),BO31/(1-$AC$11),IF(BO31&lt;=$AB$12*(1-$AC$12),BO31/(1-$AC$12),IF(BO31&lt;=$AB$13*(1-$AC$13),BO31/(1-$AC$13),IF(BO31&lt;=$AB$14*(1-$AC$14),BO31/(1-$AC$14),IF(BO31&lt;=$AB$15*(1-$AC$15),BO31/(1-$AC$15),IF(BO31&lt;=$AB$16*(1-$AC$16),BO31/(1-$AC$16),IF(BO31&lt;=$AB$17*(1-$AC$17),BO31/(1-$AC$17),IF(BO31&lt;=$AB$18*(1-$AC$18),BO31/(1-$AC$18),IF(BO31&lt;=$AB$19*(1-$AC$19),BO31/(1-$AC$19),BO31/(1-$AC$20))))))))))))))))))))))))))))))))))))))))),"Missing PTKP status")))</x:f>
        <x:v>124629150.66666667</x:v>
      </x:c>
      <x:c r="BQ31" s="13" t="n">
        <x:f>ROUND(BP31-IF(BA31=2,SUM(L31,N31:W31,X31),BM31+W31),0)</x:f>
        <x:v>31157288</x:v>
      </x:c>
      <x:c r="BR31" s="14" t="n">
        <x:f>IF(OR(J31="S/0",J31="S/1",J31="M/0"),IF(ROUND(Z31,0)&lt;=$B$10,$C$10,IF(ROUND(Z31,0)&lt;=$B$11,$C$11,IF(ROUND(Z31,0)&lt;=$B$12,$C$12,IF(ROUND(Z31,0)&lt;=$B$13,$C$13,IF(ROUND(Z31,0)&lt;=$B$14,$C$14,IF(ROUND(Z31,0)&lt;=$B$15,$C$15,IF(ROUND(Z31,0)&lt;=$B$16,$C$16,IF(ROUND(Z31,0)&lt;=$B$17,$C$17,IF(ROUND(Z31,0)&lt;=$B$18,$C$18,IF(ROUND(Z31,0)&lt;=$B$19,$C$19,IF(ROUND(Z31,0)&lt;=$B$20,$C$20,IF(ROUND(Z31,0)&lt;=$B$21,$C$21,IF(ROUND(Z31,0)&lt;=$B$22,$C$22,IF(ROUND(Z31,0)&lt;=$B$23,$C$23,IF(ROUND(Z31,0)&lt;=$B$24,$C$24,IF(ROUND(Z31,0)&lt;=$E$10,$F$10,IF(ROUND(Z31,0)&lt;=$E$11,$F$11,IF(ROUND(Z31,0)&lt;=$E$12,$F$12,IF(ROUND(Z31,0)&lt;=$E$13,$F$13,IF(ROUND(Z31,0)&lt;=$E$14,$F$14,IF(ROUND(Z31,0)&lt;=$E$15,$F$15,IF(ROUND(Z31,0)&lt;=$E$16,$F$16,IF(ROUND(Z31,0)&lt;=$E$17,$F$17,IF(ROUND(Z31,0)&lt;=$E$18,$F$18,IF(ROUND(Z31,0)&lt;=$E$19,$F$19,IF(ROUND(Z31,0)&lt;=$E$20,$F$20,IF(ROUND(Z31,0)&lt;=$E$21,$F$21,IF(ROUND(Z31,0)&lt;=$E$22,$F$22,IF(ROUND(Z31,0)&lt;=$E$23,$F$23,IF(ROUND(Z31,0)&lt;=$E$24,$F$24,IF(ROUND(Z31,0)&lt;=$H$10,$I$10,IF(ROUND(Z31,0)&lt;=$H$11,$I$11,IF(ROUND(Z31,0)&lt;=$H$12,$I$12,IF(ROUND(Z31,0)&lt;=$H$13,$I$13,IF(ROUND(Z31,0)&lt;=$H$14,$I$14,IF(ROUND(Z31,0)&lt;=$H$15,$I$15,IF(ROUND(Z31,0)&lt;=$H$16,$I$16,IF(ROUND(Z31,0)&lt;=$H$17,$I$17,IF(ROUND(Z31,0)&lt;=$H$18,$I$18,IF(ROUND(Z31,0)&lt;=$H$19,$I$19,IF(ROUND(Z31,0)&lt;=$H$20,$I$20,IF(ROUND(Z31,0)&lt;=$H$21,$I$21,IF(ROUND(Z31,0)&lt;=$H$22,$I$22,$I$23))))))))))))))))))))))))))))))))))))))))))),IF(OR(J31="S/2",J31="S/3",J31="M/1",J31="M/2"),IF(ROUND(Z31,0)&lt;=$L$10,$M$10,IF(ROUND(Z31,0)&lt;=$L$11,$M$11,IF(ROUND(Z31,0)&lt;=$L$12,$M$12,IF(ROUND(Z31,0)&lt;=$L$13,$M$13,IF(ROUND(Z31,0)&lt;=$L$14,$M$14,IF(ROUND(Z31,0)&lt;=$L$15,$M$15,IF(ROUND(Z31,0)&lt;=$L$16,$M$16,IF(ROUND(Z31,0)&lt;=$L$17,$M$17,IF(ROUND(Z31,0)&lt;=$L$18,$M$18,IF(ROUND(Z31,0)&lt;=$L$19,$M$19,IF(ROUND(Z31,0)&lt;=$L$20,$M$20,IF(ROUND(Z31,0)&lt;=$L$21,$M$21,IF(ROUND(Z31,0)&lt;=$L$22,$M$22,IF(ROUND(Z31,0)&lt;=$L$23,$M$23,IF(ROUND(Z31,0)&lt;=$L$24,$M$24,IF(ROUND(Z31,0)&lt;=$O$10,$P$10,IF(ROUND(Z31,0)&lt;=$O$11,$P$11,IF(ROUND(Z31,0)&lt;=$O$12,$P$12,IF(ROUND(Z31,0)&lt;=$O$13,$P$13,IF(ROUND(Z31,0)&lt;=$O$14,$P$14,IF(ROUND(Z31,0)&lt;=$O$15,$P$15,IF(ROUND(Z31,0)&lt;=$O$16,$P$16,IF(ROUND(Z31,0)&lt;=$O$17,$P$17,IF(ROUND(Z31,0)&lt;=$O$18,$P$18,IF(ROUND(Z31,0)&lt;=$O$19,$P$19,IF(ROUND(Z31,0)&lt;=$O$20,$P$20,IF(ROUND(Z31,0)&lt;=$O$21,$P$21,IF(ROUND(Z31,0)&lt;=$O$22,$P$22,IF(ROUND(Z31,0)&lt;=$O$23,$P$23,IF(ROUND(Z31,0)&lt;=$O$24,$P$24,IF(ROUND(Z31,0)&lt;=$R$10,$S$10,IF(ROUND(Z31,0)&lt;=$R$11,$S$11,IF(ROUND(Z31,0)&lt;=$R$12,$S$12,IF(ROUND(Z31,0)&lt;=$R$13,$S$13,IF(ROUND(Z31,0)&lt;=$R$14,$S$14,IF(ROUND(Z31,0)&lt;=$R$15,$S$15,IF(ROUND(Z31,0)&lt;=$R$16,$S$16,IF(ROUND(Z31,0)&lt;=$R$17,$S$17,IF(ROUND(Z31,0)&lt;=$R$18,$S$18,$S$19))))))))))))))))))))))))))))))))))))))),IF(J31="M/3",IF(ROUND(Z31,0)&lt;=$V$10,$W$10,IF(ROUND(Z31,0)&lt;=$V$11,$W$11,IF(ROUND(Z31,0)&lt;=$V$12,$W$12,IF(ROUND(Z31,0)&lt;=$V$13,$W$13,IF(ROUND(Z31,0)&lt;=$V$14,$W$14,IF(ROUND(Z31,0)&lt;=$V$15,$W$15,IF(ROUND(Z31,0)&lt;=$V$16,$W$16,IF(ROUND(Z31,0)&lt;=$V$17,$W$17,IF(ROUND(Z31,0)&lt;=$V$18,$W$18,IF(ROUND(Z31,0)&lt;=$V$19,$W$19,IF(ROUND(Z31,0)&lt;=$V$20,$W$20,IF(ROUND(Z31,0)&lt;=$V$21,$W$21,IF(ROUND(Z31,0)&lt;=$V$22,$W$22,IF(ROUND(Z31,0)&lt;=$V$23,$W$23,IF(ROUND(Z31,0)&lt;=$V$24,$W$24,IF(ROUND(Z31,0)&lt;=$Y$10,$Z$10,IF(ROUND(Z31,0)&lt;=$Y$11,$Z$11,IF(ROUND(Z31,0)&lt;=$Y$12,$Z$12,IF(ROUND(Z31,0)&lt;=$Y$13,$Z$13,IF(ROUND(Z31,0)&lt;=$Y$14,$Z$14,IF(ROUND(Z31,0)&lt;=$Y$15,$Z$15,IF(ROUND(Z31,0)&lt;=$Y$16,$Z$16,IF(ROUND(Z31,0)&lt;=$Y$17,$Z$17,IF(ROUND(Z31,0)&lt;=$Y$18,$Z$18,IF(ROUND(Z31,0)&lt;=$Y$19,$Z$19,IF(ROUND(Z31,0)&lt;=$Y$20,$Z$20,IF(ROUND(Z31,0)&lt;=$Y$21,$Z$21,IF(ROUND(Z31,0)&lt;=$Y$22,$Z$22,IF(ROUND(Z31,0)&lt;=$Y$23,$Z$23,IF(ROUND(Z31,0)&lt;=$Y$24,$Z$24,IF(ROUND(Z31,0)&lt;=$AB$10,$AC$10,IF(ROUND(Z31,0)&lt;=$AB$11,$AC$11,IF(ROUND(Z31,0)&lt;=$AB$12,$AC$12,IF(ROUND(Z31,0)&lt;=$AB$13,$AC$13,IF(ROUND(Z31,0)&lt;=$AB$14,$AC$14,IF(ROUND(Z31,0)&lt;=$AB$15,$AC$15,IF(ROUND(Z31,0)&lt;=$AB$16,$AC$16,IF(ROUND(Z31,0)&lt;=$AB$17,$AC$17,IF(ROUND(Z31,0)&lt;=$AB$18,$AC$18,IF(ROUND(Z31,0)&lt;=$AB$19,$AC$19,$AC$20)))))))))))))))))))))))))))))))))))))))),"Missing PTKP status")))</x:f>
        <x:v>0.25</x:v>
      </x:c>
      <x:c r="BS31" s="13" t="n">
        <x:f>IF(BA31=0,0,M31-(ROUND((IF(BA31=2,SUM(L31,N31:W31,X31),BM31+W31)+M31)*IF(OR(J31="S/0",J31="S/1",J31="M/0"),IF(ROUND((IF(BA31=2,SUM(L31,N31:W31,X31),BM31+W31)+M31),0)&lt;=$B$10,$C$10,IF(ROUND((IF(BA31=2,SUM(L31,N31:W31,X31),BM31+W31)+M31),0)&lt;=$B$11,$C$11,IF(ROUND((IF(BA31=2,SUM(L31,N31:W31,X31),BM31+W31)+M31),0)&lt;=$B$12,$C$12,IF(ROUND((IF(BA31=2,SUM(L31,N31:W31,X31),BM31+W31)+M31),0)&lt;=$B$13,$C$13,IF(ROUND((IF(BA31=2,SUM(L31,N31:W31,X31),BM31+W31)+M31),0)&lt;=$B$14,$C$14,IF(ROUND((IF(BA31=2,SUM(L31,N31:W31,X31),BM31+W31)+M31),0)&lt;=$B$15,$C$15,IF(ROUND((IF(BA31=2,SUM(L31,N31:W31,X31),BM31+W31)+M31),0)&lt;=$B$16,$C$16,IF(ROUND((IF(BA31=2,SUM(L31,N31:W31,X31),BM31+W31)+M31),0)&lt;=$B$17,$C$17,IF(ROUND((IF(BA31=2,SUM(L31,N31:W31,X31),BM31+W31)+M31),0)&lt;=$B$18,$C$18,IF(ROUND((IF(BA31=2,SUM(L31,N31:W31,X31),BM31+W31)+M31),0)&lt;=$B$19,$C$19,IF(ROUND((IF(BA31=2,SUM(L31,N31:W31,X31),BM31+W31)+M31),0)&lt;=$B$20,$C$20,IF(ROUND((IF(BA31=2,SUM(L31,N31:W31,X31),BM31+W31)+M31),0)&lt;=$B$21,$C$21,IF(ROUND((IF(BA31=2,SUM(L31,N31:W31,X31),BM31+W31)+M31),0)&lt;=$B$22,$C$22,IF(ROUND((IF(BA31=2,SUM(L31,N31:W31,X31),BM31+W31)+M31),0)&lt;=$B$23,$C$23,IF(ROUND((IF(BA31=2,SUM(L31,N31:W31,X31),BM31+W31)+M31),0)&lt;=$B$24,$C$24,IF(ROUND((IF(BA31=2,SUM(L31,N31:W31,X31),BM31+W31)+M31),0)&lt;=$E$10,$F$10,IF(ROUND((IF(BA31=2,SUM(L31,N31:W31,X31),BM31+W31)+M31),0)&lt;=$E$11,$F$11,IF(ROUND((IF(BA31=2,SUM(L31,N31:W31,X31),BM31+W31)+M31),0)&lt;=$E$12,$F$12,IF(ROUND((IF(BA31=2,SUM(L31,N31:W31,X31),BM31+W31)+M31),0)&lt;=$E$13,$F$13,IF(ROUND((IF(BA31=2,SUM(L31,N31:W31,X31),BM31+W31)+M31),0)&lt;=$E$14,$F$14,IF(ROUND((IF(BA31=2,SUM(L31,N31:W31,X31),BM31+W31)+M31),0)&lt;=$E$15,$F$15,IF(ROUND((IF(BA31=2,SUM(L31,N31:W31,X31),BM31+W31)+M31),0)&lt;=$E$16,$F$16,IF(ROUND((IF(BA31=2,SUM(L31,N31:W31,X31),BM31+W31)+M31),0)&lt;=$E$17,$F$17,IF(ROUND((IF(BA31=2,SUM(L31,N31:W31,X31),BM31+W31)+M31),0)&lt;=$E$18,$F$18,IF(ROUND((IF(BA31=2,SUM(L31,N31:W31,X31),BM31+W31)+M31),0)&lt;=$E$19,$F$19,IF(ROUND((IF(BA31=2,SUM(L31,N31:W31,X31),BM31+W31)+M31),0)&lt;=$E$20,$F$20,IF(ROUND((IF(BA31=2,SUM(L31,N31:W31,X31),BM31+W31)+M31),0)&lt;=$E$21,$F$21,IF(ROUND((IF(BA31=2,SUM(L31,N31:W31,X31),BM31+W31)+M31),0)&lt;=$E$22,$F$22,IF(ROUND((IF(BA31=2,SUM(L31,N31:W31,X31),BM31+W31)+M31),0)&lt;=$E$23,$F$23,IF(ROUND((IF(BA31=2,SUM(L31,N31:W31,X31),BM31+W31)+M31),0)&lt;=$E$24,$F$24,IF(ROUND((IF(BA31=2,SUM(L31,N31:W31,X31),BM31+W31)+M31),0)&lt;=$H$10,$I$10,IF(ROUND((IF(BA31=2,SUM(L31,N31:W31,X31),BM31+W31)+M31),0)&lt;=$H$11,$I$11,IF(ROUND((IF(BA31=2,SUM(L31,N31:W31,X31),BM31+W31)+M31),0)&lt;=$H$12,$I$12,IF(ROUND((IF(BA31=2,SUM(L31,N31:W31,X31),BM31+W31)+M31),0)&lt;=$H$13,$I$13,IF(ROUND((IF(BA31=2,SUM(L31,N31:W31,X31),BM31+W31)+M31),0)&lt;=$H$14,$I$14,IF(ROUND((IF(BA31=2,SUM(L31,N31:W31,X31),BM31+W31)+M31),0)&lt;=$H$15,$I$15,IF(ROUND((IF(BA31=2,SUM(L31,N31:W31,X31),BM31+W31)+M31),0)&lt;=$H$16,$I$16,IF(ROUND((IF(BA31=2,SUM(L31,N31:W31,X31),BM31+W31)+M31),0)&lt;=$H$17,$I$17,IF(ROUND((IF(BA31=2,SUM(L31,N31:W31,X31),BM31+W31)+M31),0)&lt;=$H$18,$I$18,IF(ROUND((IF(BA31=2,SUM(L31,N31:W31,X31),BM31+W31)+M31),0)&lt;=$H$19,$I$19,IF(ROUND((IF(BA31=2,SUM(L31,N31:W31,X31),BM31+W31)+M31),0)&lt;=$H$20,$I$20,IF(ROUND((IF(BA31=2,SUM(L31,N31:W31,X31),BM31+W31)+M31),0)&lt;=$H$21,$I$21,IF(ROUND((IF(BA31=2,SUM(L31,N31:W31,X31),BM31+W31)+M31),0)&lt;=$H$22,$I$22,$I$23))))))))))))))))))))))))))))))))))))))))))),IF(OR(J31="S/2",J31="S/3",J31="M/1",J31="M/2"),IF(ROUND((IF(BA31=2,SUM(L31,N31:W31,X31),BM31+W31)+M31),0)&lt;=$L$10,$M$10,IF(ROUND((IF(BA31=2,SUM(L31,N31:W31,X31),BM31+W31)+M31),0)&lt;=$L$11,$M$11,IF(ROUND((IF(BA31=2,SUM(L31,N31:W31,X31),BM31+W31)+M31),0)&lt;=$L$12,$M$12,IF(ROUND((IF(BA31=2,SUM(L31,N31:W31,X31),BM31+W31)+M31),0)&lt;=$L$13,$M$13,IF(ROUND((IF(BA31=2,SUM(L31,N31:W31,X31),BM31+W31)+M31),0)&lt;=$L$14,$M$14,IF(ROUND((IF(BA31=2,SUM(L31,N31:W31,X31),BM31+W31)+M31),0)&lt;=$L$15,$M$15,IF(ROUND((IF(BA31=2,SUM(L31,N31:W31,X31),BM31+W31)+M31),0)&lt;=$L$16,$M$16,IF(ROUND((IF(BA31=2,SUM(L31,N31:W31,X31),BM31+W31)+M31),0)&lt;=$L$17,$M$17,IF(ROUND((IF(BA31=2,SUM(L31,N31:W31,X31),BM31+W31)+M31),0)&lt;=$L$18,$M$18,IF(ROUND((IF(BA31=2,SUM(L31,N31:W31,X31),BM31+W31)+M31),0)&lt;=$L$19,$M$19,IF(ROUND((IF(BA31=2,SUM(L31,N31:W31,X31),BM31+W31)+M31),0)&lt;=$L$20,$M$20,IF(ROUND((IF(BA31=2,SUM(L31,N31:W31,X31),BM31+W31)+M31),0)&lt;=$L$21,$M$21,IF(ROUND((IF(BA31=2,SUM(L31,N31:W31,X31),BM31+W31)+M31),0)&lt;=$L$22,$M$22,IF(ROUND((IF(BA31=2,SUM(L31,N31:W31,X31),BM31+W31)+M31),0)&lt;=$L$23,$M$23,IF(ROUND((IF(BA31=2,SUM(L31,N31:W31,X31),BM31+W31)+M31),0)&lt;=$L$24,$M$24,IF(ROUND((IF(BA31=2,SUM(L31,N31:W31,X31),BM31+W31)+M31),0)&lt;=$O$10,$P$10,IF(ROUND((IF(BA31=2,SUM(L31,N31:W31,X31),BM31+W31)+M31),0)&lt;=$O$11,$P$11,IF(ROUND((IF(BA31=2,SUM(L31,N31:W31,X31),BM31+W31)+M31),0)&lt;=$O$12,$P$12,IF(ROUND((IF(BA31=2,SUM(L31,N31:W31,X31),BM31+W31)+M31),0)&lt;=$O$13,$P$13,IF(ROUND((IF(BA31=2,SUM(L31,N31:W31,X31),BM31+W31)+M31),0)&lt;=$O$14,$P$14,IF(ROUND((IF(BA31=2,SUM(L31,N31:W31,X31),BM31+W31)+M31),0)&lt;=$O$15,$P$15,IF(ROUND((IF(BA31=2,SUM(L31,N31:W31,X31),BM31+W31)+M31),0)&lt;=$O$16,$P$16,IF(ROUND((IF(BA31=2,SUM(L31,N31:W31,X31),BM31+W31)+M31),0)&lt;=$O$17,$P$17,IF(ROUND((IF(BA31=2,SUM(L31,N31:W31,X31),BM31+W31)+M31),0)&lt;=$O$18,$P$18,IF(ROUND((IF(BA31=2,SUM(L31,N31:W31,X31),BM31+W31)+M31),0)&lt;=$O$19,$P$19,IF(ROUND((IF(BA31=2,SUM(L31,N31:W31,X31),BM31+W31)+M31),0)&lt;=$O$20,$P$20,IF(ROUND((IF(BA31=2,SUM(L31,N31:W31,X31),BM31+W31)+M31),0)&lt;=$O$21,$P$21,IF(ROUND((IF(BA31=2,SUM(L31,N31:W31,X31),BM31+W31)+M31),0)&lt;=$O$22,$P$22,IF(ROUND((IF(BA31=2,SUM(L31,N31:W31,X31),BM31+W31)+M31),0)&lt;=$O$23,$P$23,IF(ROUND((IF(BA31=2,SUM(L31,N31:W31,X31),BM31+W31)+M31),0)&lt;=$O$24,$P$24,IF(ROUND((IF(BA31=2,SUM(L31,N31:W31,X31),BM31+W31)+M31),0)&lt;=$R$10,$S$10,IF(ROUND((IF(BA31=2,SUM(L31,N31:W31,X31),BM31+W31)+M31),0)&lt;=$R$11,$S$11,IF(ROUND((IF(BA31=2,SUM(L31,N31:W31,X31),BM31+W31)+M31),0)&lt;=$R$12,$S$12,IF(ROUND((IF(BA31=2,SUM(L31,N31:W31,X31),BM31+W31)+M31),0)&lt;=$R$13,$S$13,IF(ROUND((IF(BA31=2,SUM(L31,N31:W31,X31),BM31+W31)+M31),0)&lt;=$R$14,$S$14,IF(ROUND((IF(BA31=2,SUM(L31,N31:W31,X31),BM31+W31)+M31),0)&lt;=$R$15,$S$15,IF(ROUND((IF(BA31=2,SUM(L31,N31:W31,X31),BM31+W31)+M31),0)&lt;=$R$16,$S$16,IF(ROUND((IF(BA31=2,SUM(L31,N31:W31,X31),BM31+W31)+M31),0)&lt;=$R$17,$S$17,IF(ROUND((IF(BA31=2,SUM(L31,N31:W31,X31),BM31+W31)+M31),0)&lt;=$R$18,$S$18,$S$19))))))))))))))))))))))))))))))))))))))),IF(J31="M/3",IF(ROUND((IF(BA31=2,SUM(L31,N31:W31,X31),BM31+W31)+M31),0)&lt;=$V$10,$W$10,IF(ROUND((IF(BA31=2,SUM(L31,N31:W31,X31),BM31+W31)+M31),0)&lt;=$V$11,$W$11,IF(ROUND((IF(BA31=2,SUM(L31,N31:W31,X31),BM31+W31)+M31),0)&lt;=$V$12,$W$12,IF(ROUND((IF(BA31=2,SUM(L31,N31:W31,X31),BM31+W31)+M31),0)&lt;=$V$13,$W$13,IF(ROUND((IF(BA31=2,SUM(L31,N31:W31,X31),BM31+W31)+M31),0)&lt;=$V$14,$W$14,IF(ROUND((IF(BA31=2,SUM(L31,N31:W31,X31),BM31+W31)+M31),0)&lt;=$V$15,$W$15,IF(ROUND((IF(BA31=2,SUM(L31,N31:W31,X31),BM31+W31)+M31),0)&lt;=$V$16,$W$16,IF(ROUND((IF(BA31=2,SUM(L31,N31:W31,X31),BM31+W31)+M31),0)&lt;=$V$17,$W$17,IF(ROUND((IF(BA31=2,SUM(L31,N31:W31,X31),BM31+W31)+M31),0)&lt;=$V$18,$W$18,IF(ROUND((IF(BA31=2,SUM(L31,N31:W31,X31),BM31+W31)+M31),0)&lt;=$V$19,$W$19,IF(ROUND((IF(BA31=2,SUM(L31,N31:W31,X31),BM31+W31)+M31),0)&lt;=$V$20,$W$20,IF(ROUND((IF(BA31=2,SUM(L31,N31:W31,X31),BM31+W31)+M31),0)&lt;=$V$21,$W$21,IF(ROUND((IF(BA31=2,SUM(L31,N31:W31,X31),BM31+W31)+M31),0)&lt;=$V$22,$W$22,IF(ROUND((IF(BA31=2,SUM(L31,N31:W31,X31),BM31+W31)+M31),0)&lt;=$V$23,$W$23,IF(ROUND((IF(BA31=2,SUM(L31,N31:W31,X31),BM31+W31)+M31),0)&lt;=$V$24,$W$24,IF(ROUND((IF(BA31=2,SUM(L31,N31:W31,X31),BM31+W31)+M31),0)&lt;=$Y$10,$Z$10,IF(ROUND((IF(BA31=2,SUM(L31,N31:W31,X31),BM31+W31)+M31),0)&lt;=$Y$11,$Z$11,IF(ROUND((IF(BA31=2,SUM(L31,N31:W31,X31),BM31+W31)+M31),0)&lt;=$Y$12,$Z$12,IF(ROUND((IF(BA31=2,SUM(L31,N31:W31,X31),BM31+W31)+M31),0)&lt;=$Y$13,$Z$13,IF(ROUND((IF(BA31=2,SUM(L31,N31:W31,X31),BM31+W31)+M31),0)&lt;=$Y$14,$Z$14,IF(ROUND((IF(BA31=2,SUM(L31,N31:W31,X31),BM31+W31)+M31),0)&lt;=$Y$15,$Z$15,IF(ROUND((IF(BA31=2,SUM(L31,N31:W31,X31),BM31+W31)+M31),0)&lt;=$Y$16,$Z$16,IF(ROUND((IF(BA31=2,SUM(L31,N31:W31,X31),BM31+W31)+M31),0)&lt;=$Y$17,$Z$17,IF(ROUND((IF(BA31=2,SUM(L31,N31:W31,X31),BM31+W31)+M31),0)&lt;=$Y$18,$Z$18,IF(ROUND((IF(BA31=2,SUM(L31,N31:W31,X31),BM31+W31)+M31),0)&lt;=$Y$19,$Z$19,IF(ROUND((IF(BA31=2,SUM(L31,N31:W31,X31),BM31+W31)+M31),0)&lt;=$Y$20,$Z$20,IF(ROUND((IF(BA31=2,SUM(L31,N31:W31,X31),BM31+W31)+M31),0)&lt;=$Y$21,$Z$21,IF(ROUND((IF(BA31=2,SUM(L31,N31:W31,X31),BM31+W31)+M31),0)&lt;=$Y$22,$Z$22,IF(ROUND((IF(BA31=2,SUM(L31,N31:W31,X31),BM31+W31)+M31),0)&lt;=$Y$23,$Z$23,IF(ROUND((IF(BA31=2,SUM(L31,N31:W31,X31),BM31+W31)+M31),0)&lt;=$Y$24,$Z$24,IF(ROUND((IF(BA31=2,SUM(L31,N31:W31,X31),BM31+W31)+M31),0)&lt;=$AB$10,$AC$10,IF(ROUND((IF(BA31=2,SUM(L31,N31:W31,X31),BM31+W31)+M31),0)&lt;=$AB$11,$AC$11,IF(ROUND((IF(BA31=2,SUM(L31,N31:W31,X31),BM31+W31)+M31),0)&lt;=$AB$12,$AC$12,IF(ROUND((IF(BA31=2,SUM(L31,N31:W31,X31),BM31+W31)+M31),0)&lt;=$AB$13,$AC$13,IF(ROUND((IF(BA31=2,SUM(L31,N31:W31,X31),BM31+W31)+M31),0)&lt;=$AB$14,$AC$14,IF(ROUND((IF(BA31=2,SUM(L31,N31:W31,X31),BM31+W31)+M31),0)&lt;=$AB$15,$AC$15,IF(ROUND((IF(BA31=2,SUM(L31,N31:W31,X31),BM31+W31)+M31),0)&lt;=$AB$16,$AC$16,IF(ROUND((IF(BA31=2,SUM(L31,N31:W31,X31),BM31+W31)+M31),0)&lt;=$AB$17,$AC$17,IF(ROUND((IF(BA31=2,SUM(L31,N31:W31,X31),BM31+W31)+M31),0)&lt;=$AB$18,$AC$18,IF(ROUND((IF(BA31=2,SUM(L31,N31:W31,X31),BM31+W31)+M31),0)&lt;=$AB$19,$AC$19,$AC$20)))))))))))))))))))))))))))))))))))))))),"Missing PTKP status"))),0)-IF(BA31=2,0,BN31)))</x:f>
        <x:v>0</x:v>
      </x:c>
      <x:c r="BT31" s="13" t="n">
        <x:f>Z31+Y31+AA31+AB31</x:f>
        <x:v>128180877</x:v>
      </x:c>
      <x:c r="BU31" s="18" t="n">
        <x:v>0</x:v>
      </x:c>
      <x:c r="BV31" s="18" t="n">
        <x:v>0</x:v>
      </x:c>
      <x:c r="BW31" s="18" t="n">
        <x:v>0</x:v>
      </x:c>
    </x:row>
    <x:row r="32" ht="22" customHeight="1">
      <x:c r="A32" s="16" t="str">
        <x:v>Example</x:v>
      </x:c>
      <x:c r="B32" s="16" t="str">
        <x:v>Example</x:v>
      </x:c>
      <x:c r="C32" s="16" t="n">
        <x:v>3</x:v>
      </x:c>
      <x:c r="D32" s="16" t="str">
        <x:v>EXAMPLE003</x:v>
      </x:c>
      <x:c r="E32" s="16" t="str">
        <x:v>Example employee 3</x:v>
      </x:c>
      <x:c r="F32" s="16" t="str"/>
      <x:c r="G32" s="17"/>
      <x:c r="H32" s="17"/>
      <x:c r="I32" s="16" t="str">
        <x:v>Permanent</x:v>
      </x:c>
      <x:c r="J32" s="16" t="str">
        <x:v>S/0</x:v>
      </x:c>
      <x:c r="K32" s="16" t="str">
        <x:v>L</x:v>
      </x:c>
      <x:c r="L32" s="13" t="n">
        <x:f>ROUND(AS32*AT32/AU32,0)+AV32</x:f>
        <x:v>20225806</x:v>
      </x:c>
      <x:c r="M32" s="13" t="n">
        <x:f>IF(AND(BB32=1,BA32=2),"Review final-period gross-up",IF(BA32=0,0,MAX(0,BQ32)))</x:f>
        <x:v>0</x:v>
      </x:c>
      <x:c r="N32" s="13" t="n">
        <x:f>IF(AZ32=1,SUM(AG32:AI32),0)</x:f>
        <x:v>0</x:v>
      </x:c>
      <x:c r="O32" s="13" t="n">
        <x:f>ROUND(AS32*BU32/AU32,0)</x:f>
        <x:v>0</x:v>
      </x:c>
      <x:c r="P32" s="18" t="n">
        <x:v>0</x:v>
      </x:c>
      <x:c r="Q32" s="18" t="n">
        <x:v>0</x:v>
      </x:c>
      <x:c r="R32" s="18" t="n">
        <x:v>0</x:v>
      </x:c>
      <x:c r="S32" s="18" t="n">
        <x:v>0</x:v>
      </x:c>
      <x:c r="T32" s="13" t="n">
        <x:f>ROUND(BJ32*$C$4,0)</x:f>
        <x:v>60677</x:v>
      </x:c>
      <x:c r="U32" s="13" t="n">
        <x:f>ROUND(BJ32*$C$5,0)</x:f>
        <x:v>48542</x:v>
      </x:c>
      <x:c r="V32" s="13" t="n">
        <x:f>ROUND(BL32*$O$5,0)</x:f>
        <x:v>480000</x:v>
      </x:c>
      <x:c r="W32" s="13" t="n">
        <x:f>ROUND(AW32/$S$4,0)</x:f>
        <x:v>0</x:v>
      </x:c>
      <x:c r="X32" s="18" t="n">
        <x:v>0</x:v>
      </x:c>
      <x:c r="Y32" s="18" t="n">
        <x:v>0</x:v>
      </x:c>
      <x:c r="Z32" s="13" t="n">
        <x:f>SUM(L32:X32)</x:f>
        <x:v>20815025</x:v>
      </x:c>
      <x:c r="AA32" s="13" t="n">
        <x:f>ROUND(BJ32*$C$6,0)</x:f>
        <x:v>748355</x:v>
      </x:c>
      <x:c r="AB32" s="13" t="n">
        <x:f>ROUND(BK32*$G$5,0)</x:f>
        <x:v>221726</x:v>
      </x:c>
      <x:c r="AC32" s="13" t="n">
        <x:f>T32</x:f>
        <x:v>60677</x:v>
      </x:c>
      <x:c r="AD32" s="13" t="n">
        <x:f>U32</x:f>
        <x:v>48542</x:v>
      </x:c>
      <x:c r="AE32" s="13" t="n">
        <x:f>V32</x:f>
        <x:v>480000</x:v>
      </x:c>
      <x:c r="AF32" s="13" t="n">
        <x:f>W32</x:f>
        <x:v>0</x:v>
      </x:c>
      <x:c r="AG32" s="13" t="n">
        <x:f>ROUND(BJ32*$G$4,0)</x:f>
        <x:v>404516</x:v>
      </x:c>
      <x:c r="AH32" s="13" t="n">
        <x:f>ROUND(BK32*$G$6,0)</x:f>
        <x:v>110863</x:v>
      </x:c>
      <x:c r="AI32" s="13" t="n">
        <x:f>ROUND(BL32*$O$6,0)</x:f>
        <x:v>120000</x:v>
      </x:c>
      <x:c r="AJ32" s="18" t="n">
        <x:v>0</x:v>
      </x:c>
      <x:c r="AK32" s="18" t="n">
        <x:v>0</x:v>
      </x:c>
      <x:c r="AL32" s="18" t="n">
        <x:v>0</x:v>
      </x:c>
      <x:c r="AM32" s="18" t="n">
        <x:v>0</x:v>
      </x:c>
      <x:c r="AN32" s="13" t="n">
        <x:f>IF(BB32=1,BI32-BF32,ROUND(Z32*BR32,0))</x:f>
        <x:v>1873352</x:v>
      </x:c>
      <x:c r="AO32" s="13" t="n">
        <x:f>ROUND(MAX(0,MIN(Y32+BV32,$AK$10)-0)*$AL$10+MAX(0,MIN(Y32+BV32,$AK$11)-$AK$10)*$AL$11+MAX(0,MIN(Y32+BV32,$AK$12)-$AK$11)*$AL$12+MAX(0,Y32+BV32-$AK$12)*$AL$13,0)-BW32</x:f>
        <x:v>0</x:v>
      </x:c>
      <x:c r="AP32" s="13" t="n">
        <x:f>SUM(AC32:AO32)</x:f>
        <x:v>3097950</x:v>
      </x:c>
      <x:c r="AQ32" s="19" t="n">
        <x:f>Z32+Y32-AP32</x:f>
        <x:v>17717075</x:v>
      </x:c>
      <x:c r="AR32" s="18" t="str">
        <x:v>New hire: 22 of 31 days</x:v>
      </x:c>
      <x:c r="AS32" s="18" t="n">
        <x:v>28500000</x:v>
      </x:c>
      <x:c r="AT32" s="18" t="n">
        <x:v>22</x:v>
      </x:c>
      <x:c r="AU32" s="18" t="n">
        <x:v>31</x:v>
      </x:c>
      <x:c r="AV32" s="18" t="n">
        <x:v>0</x:v>
      </x:c>
      <x:c r="AW32" s="18" t="n">
        <x:v>0</x:v>
      </x:c>
      <x:c r="AX32" s="18" t="n">
        <x:v>1</x:v>
      </x:c>
      <x:c r="AY32" s="18" t="n">
        <x:v>1</x:v>
      </x:c>
      <x:c r="AZ32" s="18" t="n">
        <x:v>0</x:v>
      </x:c>
      <x:c r="BA32" s="18" t="n">
        <x:v>0</x:v>
      </x:c>
      <x:c r="BB32" s="18" t="n">
        <x:v>0</x:v>
      </x:c>
      <x:c r="BC32" s="18" t="n">
        <x:v>0</x:v>
      </x:c>
      <x:c r="BD32" s="18" t="n">
        <x:v>0</x:v>
      </x:c>
      <x:c r="BE32" s="18" t="n">
        <x:v>8</x:v>
      </x:c>
      <x:c r="BF32" s="18" t="n">
        <x:v>0</x:v>
      </x:c>
      <x:c r="BG32" s="13" t="n">
        <x:f>IF(J32="S/0",$W$5,IF(J32="S/1",$W$6,IF(J32="S/2",$AA$4,IF(J32="S/3",$AA$5,IF(J32="M/0",$AA$6,IF(J32="M/1",$AE$4,IF(J32="M/2",$AE$5,IF(J32="M/3",$AE$6,"Missing PTKP status"))))))))</x:f>
        <x:v>54000000</x:v>
      </x:c>
      <x:c r="BH32" s="13" t="n">
        <x:f>MAX(0,FLOOR(BC32+Z32-MIN((BC32+Z32)*$S$5,BE32*$S$6)-BD32-AG32-AH32-BG32,$W$4))</x:f>
        <x:v>0</x:v>
      </x:c>
      <x:c r="BI32" s="13" t="n">
        <x:f>ROUND(MAX(0,MIN(BH32,$AG$10)-0)*$AH$10+MAX(0,MIN(BH32,$AG$11)-$AG$10)*$AH$11+MAX(0,MIN(BH32,$AG$12)-$AG$11)*$AH$12+MAX(0,MIN(BH32,$AG$13)-$AG$12)*$AH$13+MAX(0,BH32-$AG$13)*$AH$14,0)</x:f>
        <x:v>0</x:v>
      </x:c>
      <x:c r="BJ32" s="13" t="n">
        <x:f>IF(AX32=1,IF(L32=0,0,MAX(L32,$K$4)),0)</x:f>
        <x:v>20225806</x:v>
      </x:c>
      <x:c r="BK32" s="13" t="n">
        <x:f>IF(AX32=1,MIN(MAX(L32,$K$4),$K$5),0)</x:f>
        <x:v>11086300</x:v>
      </x:c>
      <x:c r="BL32" s="13" t="n">
        <x:f>IF(AY32=1,MIN(MAX(L32,$K$6),$O$4),0)</x:f>
        <x:v>12000000</x:v>
      </x:c>
      <x:c r="BM32" s="13" t="n">
        <x:f>SUM(L32,N32,O32,S32,T32:V32)</x:f>
        <x:v>20815025</x:v>
      </x:c>
      <x:c r="BN32" s="13" t="n">
        <x:f>ROUND(BM32*IF(OR(J32="S/0",J32="S/1",J32="M/0"),IF(ROUND(BM32,0)&lt;=$B$10,$C$10,IF(ROUND(BM32,0)&lt;=$B$11,$C$11,IF(ROUND(BM32,0)&lt;=$B$12,$C$12,IF(ROUND(BM32,0)&lt;=$B$13,$C$13,IF(ROUND(BM32,0)&lt;=$B$14,$C$14,IF(ROUND(BM32,0)&lt;=$B$15,$C$15,IF(ROUND(BM32,0)&lt;=$B$16,$C$16,IF(ROUND(BM32,0)&lt;=$B$17,$C$17,IF(ROUND(BM32,0)&lt;=$B$18,$C$18,IF(ROUND(BM32,0)&lt;=$B$19,$C$19,IF(ROUND(BM32,0)&lt;=$B$20,$C$20,IF(ROUND(BM32,0)&lt;=$B$21,$C$21,IF(ROUND(BM32,0)&lt;=$B$22,$C$22,IF(ROUND(BM32,0)&lt;=$B$23,$C$23,IF(ROUND(BM32,0)&lt;=$B$24,$C$24,IF(ROUND(BM32,0)&lt;=$E$10,$F$10,IF(ROUND(BM32,0)&lt;=$E$11,$F$11,IF(ROUND(BM32,0)&lt;=$E$12,$F$12,IF(ROUND(BM32,0)&lt;=$E$13,$F$13,IF(ROUND(BM32,0)&lt;=$E$14,$F$14,IF(ROUND(BM32,0)&lt;=$E$15,$F$15,IF(ROUND(BM32,0)&lt;=$E$16,$F$16,IF(ROUND(BM32,0)&lt;=$E$17,$F$17,IF(ROUND(BM32,0)&lt;=$E$18,$F$18,IF(ROUND(BM32,0)&lt;=$E$19,$F$19,IF(ROUND(BM32,0)&lt;=$E$20,$F$20,IF(ROUND(BM32,0)&lt;=$E$21,$F$21,IF(ROUND(BM32,0)&lt;=$E$22,$F$22,IF(ROUND(BM32,0)&lt;=$E$23,$F$23,IF(ROUND(BM32,0)&lt;=$E$24,$F$24,IF(ROUND(BM32,0)&lt;=$H$10,$I$10,IF(ROUND(BM32,0)&lt;=$H$11,$I$11,IF(ROUND(BM32,0)&lt;=$H$12,$I$12,IF(ROUND(BM32,0)&lt;=$H$13,$I$13,IF(ROUND(BM32,0)&lt;=$H$14,$I$14,IF(ROUND(BM32,0)&lt;=$H$15,$I$15,IF(ROUND(BM32,0)&lt;=$H$16,$I$16,IF(ROUND(BM32,0)&lt;=$H$17,$I$17,IF(ROUND(BM32,0)&lt;=$H$18,$I$18,IF(ROUND(BM32,0)&lt;=$H$19,$I$19,IF(ROUND(BM32,0)&lt;=$H$20,$I$20,IF(ROUND(BM32,0)&lt;=$H$21,$I$21,IF(ROUND(BM32,0)&lt;=$H$22,$I$22,$I$23))))))))))))))))))))))))))))))))))))))))))),IF(OR(J32="S/2",J32="S/3",J32="M/1",J32="M/2"),IF(ROUND(BM32,0)&lt;=$L$10,$M$10,IF(ROUND(BM32,0)&lt;=$L$11,$M$11,IF(ROUND(BM32,0)&lt;=$L$12,$M$12,IF(ROUND(BM32,0)&lt;=$L$13,$M$13,IF(ROUND(BM32,0)&lt;=$L$14,$M$14,IF(ROUND(BM32,0)&lt;=$L$15,$M$15,IF(ROUND(BM32,0)&lt;=$L$16,$M$16,IF(ROUND(BM32,0)&lt;=$L$17,$M$17,IF(ROUND(BM32,0)&lt;=$L$18,$M$18,IF(ROUND(BM32,0)&lt;=$L$19,$M$19,IF(ROUND(BM32,0)&lt;=$L$20,$M$20,IF(ROUND(BM32,0)&lt;=$L$21,$M$21,IF(ROUND(BM32,0)&lt;=$L$22,$M$22,IF(ROUND(BM32,0)&lt;=$L$23,$M$23,IF(ROUND(BM32,0)&lt;=$L$24,$M$24,IF(ROUND(BM32,0)&lt;=$O$10,$P$10,IF(ROUND(BM32,0)&lt;=$O$11,$P$11,IF(ROUND(BM32,0)&lt;=$O$12,$P$12,IF(ROUND(BM32,0)&lt;=$O$13,$P$13,IF(ROUND(BM32,0)&lt;=$O$14,$P$14,IF(ROUND(BM32,0)&lt;=$O$15,$P$15,IF(ROUND(BM32,0)&lt;=$O$16,$P$16,IF(ROUND(BM32,0)&lt;=$O$17,$P$17,IF(ROUND(BM32,0)&lt;=$O$18,$P$18,IF(ROUND(BM32,0)&lt;=$O$19,$P$19,IF(ROUND(BM32,0)&lt;=$O$20,$P$20,IF(ROUND(BM32,0)&lt;=$O$21,$P$21,IF(ROUND(BM32,0)&lt;=$O$22,$P$22,IF(ROUND(BM32,0)&lt;=$O$23,$P$23,IF(ROUND(BM32,0)&lt;=$O$24,$P$24,IF(ROUND(BM32,0)&lt;=$R$10,$S$10,IF(ROUND(BM32,0)&lt;=$R$11,$S$11,IF(ROUND(BM32,0)&lt;=$R$12,$S$12,IF(ROUND(BM32,0)&lt;=$R$13,$S$13,IF(ROUND(BM32,0)&lt;=$R$14,$S$14,IF(ROUND(BM32,0)&lt;=$R$15,$S$15,IF(ROUND(BM32,0)&lt;=$R$16,$S$16,IF(ROUND(BM32,0)&lt;=$R$17,$S$17,IF(ROUND(BM32,0)&lt;=$R$18,$S$18,$S$19))))))))))))))))))))))))))))))))))))))),IF(J32="M/3",IF(ROUND(BM32,0)&lt;=$V$10,$W$10,IF(ROUND(BM32,0)&lt;=$V$11,$W$11,IF(ROUND(BM32,0)&lt;=$V$12,$W$12,IF(ROUND(BM32,0)&lt;=$V$13,$W$13,IF(ROUND(BM32,0)&lt;=$V$14,$W$14,IF(ROUND(BM32,0)&lt;=$V$15,$W$15,IF(ROUND(BM32,0)&lt;=$V$16,$W$16,IF(ROUND(BM32,0)&lt;=$V$17,$W$17,IF(ROUND(BM32,0)&lt;=$V$18,$W$18,IF(ROUND(BM32,0)&lt;=$V$19,$W$19,IF(ROUND(BM32,0)&lt;=$V$20,$W$20,IF(ROUND(BM32,0)&lt;=$V$21,$W$21,IF(ROUND(BM32,0)&lt;=$V$22,$W$22,IF(ROUND(BM32,0)&lt;=$V$23,$W$23,IF(ROUND(BM32,0)&lt;=$V$24,$W$24,IF(ROUND(BM32,0)&lt;=$Y$10,$Z$10,IF(ROUND(BM32,0)&lt;=$Y$11,$Z$11,IF(ROUND(BM32,0)&lt;=$Y$12,$Z$12,IF(ROUND(BM32,0)&lt;=$Y$13,$Z$13,IF(ROUND(BM32,0)&lt;=$Y$14,$Z$14,IF(ROUND(BM32,0)&lt;=$Y$15,$Z$15,IF(ROUND(BM32,0)&lt;=$Y$16,$Z$16,IF(ROUND(BM32,0)&lt;=$Y$17,$Z$17,IF(ROUND(BM32,0)&lt;=$Y$18,$Z$18,IF(ROUND(BM32,0)&lt;=$Y$19,$Z$19,IF(ROUND(BM32,0)&lt;=$Y$20,$Z$20,IF(ROUND(BM32,0)&lt;=$Y$21,$Z$21,IF(ROUND(BM32,0)&lt;=$Y$22,$Z$22,IF(ROUND(BM32,0)&lt;=$Y$23,$Z$23,IF(ROUND(BM32,0)&lt;=$Y$24,$Z$24,IF(ROUND(BM32,0)&lt;=$AB$10,$AC$10,IF(ROUND(BM32,0)&lt;=$AB$11,$AC$11,IF(ROUND(BM32,0)&lt;=$AB$12,$AC$12,IF(ROUND(BM32,0)&lt;=$AB$13,$AC$13,IF(ROUND(BM32,0)&lt;=$AB$14,$AC$14,IF(ROUND(BM32,0)&lt;=$AB$15,$AC$15,IF(ROUND(BM32,0)&lt;=$AB$16,$AC$16,IF(ROUND(BM32,0)&lt;=$AB$17,$AC$17,IF(ROUND(BM32,0)&lt;=$AB$18,$AC$18,IF(ROUND(BM32,0)&lt;=$AB$19,$AC$19,$AC$20)))))))))))))))))))))))))))))))))))))))),"Missing PTKP status"))),0)</x:f>
        <x:v>1873352</x:v>
      </x:c>
      <x:c r="BO32" s="13" t="n">
        <x:f>IF(BA32=2,SUM(L32,N32:W32,X32),BM32+W32-BN32)</x:f>
        <x:v>18941673</x:v>
      </x:c>
      <x:c r="BP32" s="13" t="n">
        <x:f>IF(OR(J32="S/0",J32="S/1",J32="M/0"),IF(BO32&lt;=$B$10*(1-$C$10),BO32/(1-$C$10),IF(BO32&lt;=$B$11*(1-$C$11),BO32/(1-$C$11),IF(BO32&lt;=$B$12*(1-$C$12),BO32/(1-$C$12),IF(BO32&lt;=$B$13*(1-$C$13),BO32/(1-$C$13),IF(BO32&lt;=$B$14*(1-$C$14),BO32/(1-$C$14),IF(BO32&lt;=$B$15*(1-$C$15),BO32/(1-$C$15),IF(BO32&lt;=$B$16*(1-$C$16),BO32/(1-$C$16),IF(BO32&lt;=$B$17*(1-$C$17),BO32/(1-$C$17),IF(BO32&lt;=$B$18*(1-$C$18),BO32/(1-$C$18),IF(BO32&lt;=$B$19*(1-$C$19),BO32/(1-$C$19),IF(BO32&lt;=$B$20*(1-$C$20),BO32/(1-$C$20),IF(BO32&lt;=$B$21*(1-$C$21),BO32/(1-$C$21),IF(BO32&lt;=$B$22*(1-$C$22),BO32/(1-$C$22),IF(BO32&lt;=$B$23*(1-$C$23),BO32/(1-$C$23),IF(BO32&lt;=$B$24*(1-$C$24),BO32/(1-$C$24),IF(BO32&lt;=$E$10*(1-$F$10),BO32/(1-$F$10),IF(BO32&lt;=$E$11*(1-$F$11),BO32/(1-$F$11),IF(BO32&lt;=$E$12*(1-$F$12),BO32/(1-$F$12),IF(BO32&lt;=$E$13*(1-$F$13),BO32/(1-$F$13),IF(BO32&lt;=$E$14*(1-$F$14),BO32/(1-$F$14),IF(BO32&lt;=$E$15*(1-$F$15),BO32/(1-$F$15),IF(BO32&lt;=$E$16*(1-$F$16),BO32/(1-$F$16),IF(BO32&lt;=$E$17*(1-$F$17),BO32/(1-$F$17),IF(BO32&lt;=$E$18*(1-$F$18),BO32/(1-$F$18),IF(BO32&lt;=$E$19*(1-$F$19),BO32/(1-$F$19),IF(BO32&lt;=$E$20*(1-$F$20),BO32/(1-$F$20),IF(BO32&lt;=$E$21*(1-$F$21),BO32/(1-$F$21),IF(BO32&lt;=$E$22*(1-$F$22),BO32/(1-$F$22),IF(BO32&lt;=$E$23*(1-$F$23),BO32/(1-$F$23),IF(BO32&lt;=$E$24*(1-$F$24),BO32/(1-$F$24),IF(BO32&lt;=$H$10*(1-$I$10),BO32/(1-$I$10),IF(BO32&lt;=$H$11*(1-$I$11),BO32/(1-$I$11),IF(BO32&lt;=$H$12*(1-$I$12),BO32/(1-$I$12),IF(BO32&lt;=$H$13*(1-$I$13),BO32/(1-$I$13),IF(BO32&lt;=$H$14*(1-$I$14),BO32/(1-$I$14),IF(BO32&lt;=$H$15*(1-$I$15),BO32/(1-$I$15),IF(BO32&lt;=$H$16*(1-$I$16),BO32/(1-$I$16),IF(BO32&lt;=$H$17*(1-$I$17),BO32/(1-$I$17),IF(BO32&lt;=$H$18*(1-$I$18),BO32/(1-$I$18),IF(BO32&lt;=$H$19*(1-$I$19),BO32/(1-$I$19),IF(BO32&lt;=$H$20*(1-$I$20),BO32/(1-$I$20),IF(BO32&lt;=$H$21*(1-$I$21),BO32/(1-$I$21),IF(BO32&lt;=$H$22*(1-$I$22),BO32/(1-$I$22),BO32/(1-$I$23)))))))))))))))))))))))))))))))))))))))))))),IF(OR(J32="S/2",J32="S/3",J32="M/1",J32="M/2"),IF(BO32&lt;=$L$10*(1-$M$10),BO32/(1-$M$10),IF(BO32&lt;=$L$11*(1-$M$11),BO32/(1-$M$11),IF(BO32&lt;=$L$12*(1-$M$12),BO32/(1-$M$12),IF(BO32&lt;=$L$13*(1-$M$13),BO32/(1-$M$13),IF(BO32&lt;=$L$14*(1-$M$14),BO32/(1-$M$14),IF(BO32&lt;=$L$15*(1-$M$15),BO32/(1-$M$15),IF(BO32&lt;=$L$16*(1-$M$16),BO32/(1-$M$16),IF(BO32&lt;=$L$17*(1-$M$17),BO32/(1-$M$17),IF(BO32&lt;=$L$18*(1-$M$18),BO32/(1-$M$18),IF(BO32&lt;=$L$19*(1-$M$19),BO32/(1-$M$19),IF(BO32&lt;=$L$20*(1-$M$20),BO32/(1-$M$20),IF(BO32&lt;=$L$21*(1-$M$21),BO32/(1-$M$21),IF(BO32&lt;=$L$22*(1-$M$22),BO32/(1-$M$22),IF(BO32&lt;=$L$23*(1-$M$23),BO32/(1-$M$23),IF(BO32&lt;=$L$24*(1-$M$24),BO32/(1-$M$24),IF(BO32&lt;=$O$10*(1-$P$10),BO32/(1-$P$10),IF(BO32&lt;=$O$11*(1-$P$11),BO32/(1-$P$11),IF(BO32&lt;=$O$12*(1-$P$12),BO32/(1-$P$12),IF(BO32&lt;=$O$13*(1-$P$13),BO32/(1-$P$13),IF(BO32&lt;=$O$14*(1-$P$14),BO32/(1-$P$14),IF(BO32&lt;=$O$15*(1-$P$15),BO32/(1-$P$15),IF(BO32&lt;=$O$16*(1-$P$16),BO32/(1-$P$16),IF(BO32&lt;=$O$17*(1-$P$17),BO32/(1-$P$17),IF(BO32&lt;=$O$18*(1-$P$18),BO32/(1-$P$18),IF(BO32&lt;=$O$19*(1-$P$19),BO32/(1-$P$19),IF(BO32&lt;=$O$20*(1-$P$20),BO32/(1-$P$20),IF(BO32&lt;=$O$21*(1-$P$21),BO32/(1-$P$21),IF(BO32&lt;=$O$22*(1-$P$22),BO32/(1-$P$22),IF(BO32&lt;=$O$23*(1-$P$23),BO32/(1-$P$23),IF(BO32&lt;=$O$24*(1-$P$24),BO32/(1-$P$24),IF(BO32&lt;=$R$10*(1-$S$10),BO32/(1-$S$10),IF(BO32&lt;=$R$11*(1-$S$11),BO32/(1-$S$11),IF(BO32&lt;=$R$12*(1-$S$12),BO32/(1-$S$12),IF(BO32&lt;=$R$13*(1-$S$13),BO32/(1-$S$13),IF(BO32&lt;=$R$14*(1-$S$14),BO32/(1-$S$14),IF(BO32&lt;=$R$15*(1-$S$15),BO32/(1-$S$15),IF(BO32&lt;=$R$16*(1-$S$16),BO32/(1-$S$16),IF(BO32&lt;=$R$17*(1-$S$17),BO32/(1-$S$17),IF(BO32&lt;=$R$18*(1-$S$18),BO32/(1-$S$18),BO32/(1-$S$19)))))))))))))))))))))))))))))))))))))))),IF(J32="M/3",IF(BO32&lt;=$V$10*(1-$W$10),BO32/(1-$W$10),IF(BO32&lt;=$V$11*(1-$W$11),BO32/(1-$W$11),IF(BO32&lt;=$V$12*(1-$W$12),BO32/(1-$W$12),IF(BO32&lt;=$V$13*(1-$W$13),BO32/(1-$W$13),IF(BO32&lt;=$V$14*(1-$W$14),BO32/(1-$W$14),IF(BO32&lt;=$V$15*(1-$W$15),BO32/(1-$W$15),IF(BO32&lt;=$V$16*(1-$W$16),BO32/(1-$W$16),IF(BO32&lt;=$V$17*(1-$W$17),BO32/(1-$W$17),IF(BO32&lt;=$V$18*(1-$W$18),BO32/(1-$W$18),IF(BO32&lt;=$V$19*(1-$W$19),BO32/(1-$W$19),IF(BO32&lt;=$V$20*(1-$W$20),BO32/(1-$W$20),IF(BO32&lt;=$V$21*(1-$W$21),BO32/(1-$W$21),IF(BO32&lt;=$V$22*(1-$W$22),BO32/(1-$W$22),IF(BO32&lt;=$V$23*(1-$W$23),BO32/(1-$W$23),IF(BO32&lt;=$V$24*(1-$W$24),BO32/(1-$W$24),IF(BO32&lt;=$Y$10*(1-$Z$10),BO32/(1-$Z$10),IF(BO32&lt;=$Y$11*(1-$Z$11),BO32/(1-$Z$11),IF(BO32&lt;=$Y$12*(1-$Z$12),BO32/(1-$Z$12),IF(BO32&lt;=$Y$13*(1-$Z$13),BO32/(1-$Z$13),IF(BO32&lt;=$Y$14*(1-$Z$14),BO32/(1-$Z$14),IF(BO32&lt;=$Y$15*(1-$Z$15),BO32/(1-$Z$15),IF(BO32&lt;=$Y$16*(1-$Z$16),BO32/(1-$Z$16),IF(BO32&lt;=$Y$17*(1-$Z$17),BO32/(1-$Z$17),IF(BO32&lt;=$Y$18*(1-$Z$18),BO32/(1-$Z$18),IF(BO32&lt;=$Y$19*(1-$Z$19),BO32/(1-$Z$19),IF(BO32&lt;=$Y$20*(1-$Z$20),BO32/(1-$Z$20),IF(BO32&lt;=$Y$21*(1-$Z$21),BO32/(1-$Z$21),IF(BO32&lt;=$Y$22*(1-$Z$22),BO32/(1-$Z$22),IF(BO32&lt;=$Y$23*(1-$Z$23),BO32/(1-$Z$23),IF(BO32&lt;=$Y$24*(1-$Z$24),BO32/(1-$Z$24),IF(BO32&lt;=$AB$10*(1-$AC$10),BO32/(1-$AC$10),IF(BO32&lt;=$AB$11*(1-$AC$11),BO32/(1-$AC$11),IF(BO32&lt;=$AB$12*(1-$AC$12),BO32/(1-$AC$12),IF(BO32&lt;=$AB$13*(1-$AC$13),BO32/(1-$AC$13),IF(BO32&lt;=$AB$14*(1-$AC$14),BO32/(1-$AC$14),IF(BO32&lt;=$AB$15*(1-$AC$15),BO32/(1-$AC$15),IF(BO32&lt;=$AB$16*(1-$AC$16),BO32/(1-$AC$16),IF(BO32&lt;=$AB$17*(1-$AC$17),BO32/(1-$AC$17),IF(BO32&lt;=$AB$18*(1-$AC$18),BO32/(1-$AC$18),IF(BO32&lt;=$AB$19*(1-$AC$19),BO32/(1-$AC$19),BO32/(1-$AC$20))))))))))))))))))))))))))))))))))))))))),"Missing PTKP status")))</x:f>
        <x:v>20815025.274725273</x:v>
      </x:c>
      <x:c r="BQ32" s="13" t="n">
        <x:f>ROUND(BP32-IF(BA32=2,SUM(L32,N32:W32,X32),BM32+W32),0)</x:f>
        <x:v>0</x:v>
      </x:c>
      <x:c r="BR32" s="14" t="n">
        <x:f>IF(OR(J32="S/0",J32="S/1",J32="M/0"),IF(ROUND(Z32,0)&lt;=$B$10,$C$10,IF(ROUND(Z32,0)&lt;=$B$11,$C$11,IF(ROUND(Z32,0)&lt;=$B$12,$C$12,IF(ROUND(Z32,0)&lt;=$B$13,$C$13,IF(ROUND(Z32,0)&lt;=$B$14,$C$14,IF(ROUND(Z32,0)&lt;=$B$15,$C$15,IF(ROUND(Z32,0)&lt;=$B$16,$C$16,IF(ROUND(Z32,0)&lt;=$B$17,$C$17,IF(ROUND(Z32,0)&lt;=$B$18,$C$18,IF(ROUND(Z32,0)&lt;=$B$19,$C$19,IF(ROUND(Z32,0)&lt;=$B$20,$C$20,IF(ROUND(Z32,0)&lt;=$B$21,$C$21,IF(ROUND(Z32,0)&lt;=$B$22,$C$22,IF(ROUND(Z32,0)&lt;=$B$23,$C$23,IF(ROUND(Z32,0)&lt;=$B$24,$C$24,IF(ROUND(Z32,0)&lt;=$E$10,$F$10,IF(ROUND(Z32,0)&lt;=$E$11,$F$11,IF(ROUND(Z32,0)&lt;=$E$12,$F$12,IF(ROUND(Z32,0)&lt;=$E$13,$F$13,IF(ROUND(Z32,0)&lt;=$E$14,$F$14,IF(ROUND(Z32,0)&lt;=$E$15,$F$15,IF(ROUND(Z32,0)&lt;=$E$16,$F$16,IF(ROUND(Z32,0)&lt;=$E$17,$F$17,IF(ROUND(Z32,0)&lt;=$E$18,$F$18,IF(ROUND(Z32,0)&lt;=$E$19,$F$19,IF(ROUND(Z32,0)&lt;=$E$20,$F$20,IF(ROUND(Z32,0)&lt;=$E$21,$F$21,IF(ROUND(Z32,0)&lt;=$E$22,$F$22,IF(ROUND(Z32,0)&lt;=$E$23,$F$23,IF(ROUND(Z32,0)&lt;=$E$24,$F$24,IF(ROUND(Z32,0)&lt;=$H$10,$I$10,IF(ROUND(Z32,0)&lt;=$H$11,$I$11,IF(ROUND(Z32,0)&lt;=$H$12,$I$12,IF(ROUND(Z32,0)&lt;=$H$13,$I$13,IF(ROUND(Z32,0)&lt;=$H$14,$I$14,IF(ROUND(Z32,0)&lt;=$H$15,$I$15,IF(ROUND(Z32,0)&lt;=$H$16,$I$16,IF(ROUND(Z32,0)&lt;=$H$17,$I$17,IF(ROUND(Z32,0)&lt;=$H$18,$I$18,IF(ROUND(Z32,0)&lt;=$H$19,$I$19,IF(ROUND(Z32,0)&lt;=$H$20,$I$20,IF(ROUND(Z32,0)&lt;=$H$21,$I$21,IF(ROUND(Z32,0)&lt;=$H$22,$I$22,$I$23))))))))))))))))))))))))))))))))))))))))))),IF(OR(J32="S/2",J32="S/3",J32="M/1",J32="M/2"),IF(ROUND(Z32,0)&lt;=$L$10,$M$10,IF(ROUND(Z32,0)&lt;=$L$11,$M$11,IF(ROUND(Z32,0)&lt;=$L$12,$M$12,IF(ROUND(Z32,0)&lt;=$L$13,$M$13,IF(ROUND(Z32,0)&lt;=$L$14,$M$14,IF(ROUND(Z32,0)&lt;=$L$15,$M$15,IF(ROUND(Z32,0)&lt;=$L$16,$M$16,IF(ROUND(Z32,0)&lt;=$L$17,$M$17,IF(ROUND(Z32,0)&lt;=$L$18,$M$18,IF(ROUND(Z32,0)&lt;=$L$19,$M$19,IF(ROUND(Z32,0)&lt;=$L$20,$M$20,IF(ROUND(Z32,0)&lt;=$L$21,$M$21,IF(ROUND(Z32,0)&lt;=$L$22,$M$22,IF(ROUND(Z32,0)&lt;=$L$23,$M$23,IF(ROUND(Z32,0)&lt;=$L$24,$M$24,IF(ROUND(Z32,0)&lt;=$O$10,$P$10,IF(ROUND(Z32,0)&lt;=$O$11,$P$11,IF(ROUND(Z32,0)&lt;=$O$12,$P$12,IF(ROUND(Z32,0)&lt;=$O$13,$P$13,IF(ROUND(Z32,0)&lt;=$O$14,$P$14,IF(ROUND(Z32,0)&lt;=$O$15,$P$15,IF(ROUND(Z32,0)&lt;=$O$16,$P$16,IF(ROUND(Z32,0)&lt;=$O$17,$P$17,IF(ROUND(Z32,0)&lt;=$O$18,$P$18,IF(ROUND(Z32,0)&lt;=$O$19,$P$19,IF(ROUND(Z32,0)&lt;=$O$20,$P$20,IF(ROUND(Z32,0)&lt;=$O$21,$P$21,IF(ROUND(Z32,0)&lt;=$O$22,$P$22,IF(ROUND(Z32,0)&lt;=$O$23,$P$23,IF(ROUND(Z32,0)&lt;=$O$24,$P$24,IF(ROUND(Z32,0)&lt;=$R$10,$S$10,IF(ROUND(Z32,0)&lt;=$R$11,$S$11,IF(ROUND(Z32,0)&lt;=$R$12,$S$12,IF(ROUND(Z32,0)&lt;=$R$13,$S$13,IF(ROUND(Z32,0)&lt;=$R$14,$S$14,IF(ROUND(Z32,0)&lt;=$R$15,$S$15,IF(ROUND(Z32,0)&lt;=$R$16,$S$16,IF(ROUND(Z32,0)&lt;=$R$17,$S$17,IF(ROUND(Z32,0)&lt;=$R$18,$S$18,$S$19))))))))))))))))))))))))))))))))))))))),IF(J32="M/3",IF(ROUND(Z32,0)&lt;=$V$10,$W$10,IF(ROUND(Z32,0)&lt;=$V$11,$W$11,IF(ROUND(Z32,0)&lt;=$V$12,$W$12,IF(ROUND(Z32,0)&lt;=$V$13,$W$13,IF(ROUND(Z32,0)&lt;=$V$14,$W$14,IF(ROUND(Z32,0)&lt;=$V$15,$W$15,IF(ROUND(Z32,0)&lt;=$V$16,$W$16,IF(ROUND(Z32,0)&lt;=$V$17,$W$17,IF(ROUND(Z32,0)&lt;=$V$18,$W$18,IF(ROUND(Z32,0)&lt;=$V$19,$W$19,IF(ROUND(Z32,0)&lt;=$V$20,$W$20,IF(ROUND(Z32,0)&lt;=$V$21,$W$21,IF(ROUND(Z32,0)&lt;=$V$22,$W$22,IF(ROUND(Z32,0)&lt;=$V$23,$W$23,IF(ROUND(Z32,0)&lt;=$V$24,$W$24,IF(ROUND(Z32,0)&lt;=$Y$10,$Z$10,IF(ROUND(Z32,0)&lt;=$Y$11,$Z$11,IF(ROUND(Z32,0)&lt;=$Y$12,$Z$12,IF(ROUND(Z32,0)&lt;=$Y$13,$Z$13,IF(ROUND(Z32,0)&lt;=$Y$14,$Z$14,IF(ROUND(Z32,0)&lt;=$Y$15,$Z$15,IF(ROUND(Z32,0)&lt;=$Y$16,$Z$16,IF(ROUND(Z32,0)&lt;=$Y$17,$Z$17,IF(ROUND(Z32,0)&lt;=$Y$18,$Z$18,IF(ROUND(Z32,0)&lt;=$Y$19,$Z$19,IF(ROUND(Z32,0)&lt;=$Y$20,$Z$20,IF(ROUND(Z32,0)&lt;=$Y$21,$Z$21,IF(ROUND(Z32,0)&lt;=$Y$22,$Z$22,IF(ROUND(Z32,0)&lt;=$Y$23,$Z$23,IF(ROUND(Z32,0)&lt;=$Y$24,$Z$24,IF(ROUND(Z32,0)&lt;=$AB$10,$AC$10,IF(ROUND(Z32,0)&lt;=$AB$11,$AC$11,IF(ROUND(Z32,0)&lt;=$AB$12,$AC$12,IF(ROUND(Z32,0)&lt;=$AB$13,$AC$13,IF(ROUND(Z32,0)&lt;=$AB$14,$AC$14,IF(ROUND(Z32,0)&lt;=$AB$15,$AC$15,IF(ROUND(Z32,0)&lt;=$AB$16,$AC$16,IF(ROUND(Z32,0)&lt;=$AB$17,$AC$17,IF(ROUND(Z32,0)&lt;=$AB$18,$AC$18,IF(ROUND(Z32,0)&lt;=$AB$19,$AC$19,$AC$20)))))))))))))))))))))))))))))))))))))))),"Missing PTKP status")))</x:f>
        <x:v>0.09</x:v>
      </x:c>
      <x:c r="BS32" s="13" t="n">
        <x:f>IF(BA32=0,0,M32-(ROUND((IF(BA32=2,SUM(L32,N32:W32,X32),BM32+W32)+M32)*IF(OR(J32="S/0",J32="S/1",J32="M/0"),IF(ROUND((IF(BA32=2,SUM(L32,N32:W32,X32),BM32+W32)+M32),0)&lt;=$B$10,$C$10,IF(ROUND((IF(BA32=2,SUM(L32,N32:W32,X32),BM32+W32)+M32),0)&lt;=$B$11,$C$11,IF(ROUND((IF(BA32=2,SUM(L32,N32:W32,X32),BM32+W32)+M32),0)&lt;=$B$12,$C$12,IF(ROUND((IF(BA32=2,SUM(L32,N32:W32,X32),BM32+W32)+M32),0)&lt;=$B$13,$C$13,IF(ROUND((IF(BA32=2,SUM(L32,N32:W32,X32),BM32+W32)+M32),0)&lt;=$B$14,$C$14,IF(ROUND((IF(BA32=2,SUM(L32,N32:W32,X32),BM32+W32)+M32),0)&lt;=$B$15,$C$15,IF(ROUND((IF(BA32=2,SUM(L32,N32:W32,X32),BM32+W32)+M32),0)&lt;=$B$16,$C$16,IF(ROUND((IF(BA32=2,SUM(L32,N32:W32,X32),BM32+W32)+M32),0)&lt;=$B$17,$C$17,IF(ROUND((IF(BA32=2,SUM(L32,N32:W32,X32),BM32+W32)+M32),0)&lt;=$B$18,$C$18,IF(ROUND((IF(BA32=2,SUM(L32,N32:W32,X32),BM32+W32)+M32),0)&lt;=$B$19,$C$19,IF(ROUND((IF(BA32=2,SUM(L32,N32:W32,X32),BM32+W32)+M32),0)&lt;=$B$20,$C$20,IF(ROUND((IF(BA32=2,SUM(L32,N32:W32,X32),BM32+W32)+M32),0)&lt;=$B$21,$C$21,IF(ROUND((IF(BA32=2,SUM(L32,N32:W32,X32),BM32+W32)+M32),0)&lt;=$B$22,$C$22,IF(ROUND((IF(BA32=2,SUM(L32,N32:W32,X32),BM32+W32)+M32),0)&lt;=$B$23,$C$23,IF(ROUND((IF(BA32=2,SUM(L32,N32:W32,X32),BM32+W32)+M32),0)&lt;=$B$24,$C$24,IF(ROUND((IF(BA32=2,SUM(L32,N32:W32,X32),BM32+W32)+M32),0)&lt;=$E$10,$F$10,IF(ROUND((IF(BA32=2,SUM(L32,N32:W32,X32),BM32+W32)+M32),0)&lt;=$E$11,$F$11,IF(ROUND((IF(BA32=2,SUM(L32,N32:W32,X32),BM32+W32)+M32),0)&lt;=$E$12,$F$12,IF(ROUND((IF(BA32=2,SUM(L32,N32:W32,X32),BM32+W32)+M32),0)&lt;=$E$13,$F$13,IF(ROUND((IF(BA32=2,SUM(L32,N32:W32,X32),BM32+W32)+M32),0)&lt;=$E$14,$F$14,IF(ROUND((IF(BA32=2,SUM(L32,N32:W32,X32),BM32+W32)+M32),0)&lt;=$E$15,$F$15,IF(ROUND((IF(BA32=2,SUM(L32,N32:W32,X32),BM32+W32)+M32),0)&lt;=$E$16,$F$16,IF(ROUND((IF(BA32=2,SUM(L32,N32:W32,X32),BM32+W32)+M32),0)&lt;=$E$17,$F$17,IF(ROUND((IF(BA32=2,SUM(L32,N32:W32,X32),BM32+W32)+M32),0)&lt;=$E$18,$F$18,IF(ROUND((IF(BA32=2,SUM(L32,N32:W32,X32),BM32+W32)+M32),0)&lt;=$E$19,$F$19,IF(ROUND((IF(BA32=2,SUM(L32,N32:W32,X32),BM32+W32)+M32),0)&lt;=$E$20,$F$20,IF(ROUND((IF(BA32=2,SUM(L32,N32:W32,X32),BM32+W32)+M32),0)&lt;=$E$21,$F$21,IF(ROUND((IF(BA32=2,SUM(L32,N32:W32,X32),BM32+W32)+M32),0)&lt;=$E$22,$F$22,IF(ROUND((IF(BA32=2,SUM(L32,N32:W32,X32),BM32+W32)+M32),0)&lt;=$E$23,$F$23,IF(ROUND((IF(BA32=2,SUM(L32,N32:W32,X32),BM32+W32)+M32),0)&lt;=$E$24,$F$24,IF(ROUND((IF(BA32=2,SUM(L32,N32:W32,X32),BM32+W32)+M32),0)&lt;=$H$10,$I$10,IF(ROUND((IF(BA32=2,SUM(L32,N32:W32,X32),BM32+W32)+M32),0)&lt;=$H$11,$I$11,IF(ROUND((IF(BA32=2,SUM(L32,N32:W32,X32),BM32+W32)+M32),0)&lt;=$H$12,$I$12,IF(ROUND((IF(BA32=2,SUM(L32,N32:W32,X32),BM32+W32)+M32),0)&lt;=$H$13,$I$13,IF(ROUND((IF(BA32=2,SUM(L32,N32:W32,X32),BM32+W32)+M32),0)&lt;=$H$14,$I$14,IF(ROUND((IF(BA32=2,SUM(L32,N32:W32,X32),BM32+W32)+M32),0)&lt;=$H$15,$I$15,IF(ROUND((IF(BA32=2,SUM(L32,N32:W32,X32),BM32+W32)+M32),0)&lt;=$H$16,$I$16,IF(ROUND((IF(BA32=2,SUM(L32,N32:W32,X32),BM32+W32)+M32),0)&lt;=$H$17,$I$17,IF(ROUND((IF(BA32=2,SUM(L32,N32:W32,X32),BM32+W32)+M32),0)&lt;=$H$18,$I$18,IF(ROUND((IF(BA32=2,SUM(L32,N32:W32,X32),BM32+W32)+M32),0)&lt;=$H$19,$I$19,IF(ROUND((IF(BA32=2,SUM(L32,N32:W32,X32),BM32+W32)+M32),0)&lt;=$H$20,$I$20,IF(ROUND((IF(BA32=2,SUM(L32,N32:W32,X32),BM32+W32)+M32),0)&lt;=$H$21,$I$21,IF(ROUND((IF(BA32=2,SUM(L32,N32:W32,X32),BM32+W32)+M32),0)&lt;=$H$22,$I$22,$I$23))))))))))))))))))))))))))))))))))))))))))),IF(OR(J32="S/2",J32="S/3",J32="M/1",J32="M/2"),IF(ROUND((IF(BA32=2,SUM(L32,N32:W32,X32),BM32+W32)+M32),0)&lt;=$L$10,$M$10,IF(ROUND((IF(BA32=2,SUM(L32,N32:W32,X32),BM32+W32)+M32),0)&lt;=$L$11,$M$11,IF(ROUND((IF(BA32=2,SUM(L32,N32:W32,X32),BM32+W32)+M32),0)&lt;=$L$12,$M$12,IF(ROUND((IF(BA32=2,SUM(L32,N32:W32,X32),BM32+W32)+M32),0)&lt;=$L$13,$M$13,IF(ROUND((IF(BA32=2,SUM(L32,N32:W32,X32),BM32+W32)+M32),0)&lt;=$L$14,$M$14,IF(ROUND((IF(BA32=2,SUM(L32,N32:W32,X32),BM32+W32)+M32),0)&lt;=$L$15,$M$15,IF(ROUND((IF(BA32=2,SUM(L32,N32:W32,X32),BM32+W32)+M32),0)&lt;=$L$16,$M$16,IF(ROUND((IF(BA32=2,SUM(L32,N32:W32,X32),BM32+W32)+M32),0)&lt;=$L$17,$M$17,IF(ROUND((IF(BA32=2,SUM(L32,N32:W32,X32),BM32+W32)+M32),0)&lt;=$L$18,$M$18,IF(ROUND((IF(BA32=2,SUM(L32,N32:W32,X32),BM32+W32)+M32),0)&lt;=$L$19,$M$19,IF(ROUND((IF(BA32=2,SUM(L32,N32:W32,X32),BM32+W32)+M32),0)&lt;=$L$20,$M$20,IF(ROUND((IF(BA32=2,SUM(L32,N32:W32,X32),BM32+W32)+M32),0)&lt;=$L$21,$M$21,IF(ROUND((IF(BA32=2,SUM(L32,N32:W32,X32),BM32+W32)+M32),0)&lt;=$L$22,$M$22,IF(ROUND((IF(BA32=2,SUM(L32,N32:W32,X32),BM32+W32)+M32),0)&lt;=$L$23,$M$23,IF(ROUND((IF(BA32=2,SUM(L32,N32:W32,X32),BM32+W32)+M32),0)&lt;=$L$24,$M$24,IF(ROUND((IF(BA32=2,SUM(L32,N32:W32,X32),BM32+W32)+M32),0)&lt;=$O$10,$P$10,IF(ROUND((IF(BA32=2,SUM(L32,N32:W32,X32),BM32+W32)+M32),0)&lt;=$O$11,$P$11,IF(ROUND((IF(BA32=2,SUM(L32,N32:W32,X32),BM32+W32)+M32),0)&lt;=$O$12,$P$12,IF(ROUND((IF(BA32=2,SUM(L32,N32:W32,X32),BM32+W32)+M32),0)&lt;=$O$13,$P$13,IF(ROUND((IF(BA32=2,SUM(L32,N32:W32,X32),BM32+W32)+M32),0)&lt;=$O$14,$P$14,IF(ROUND((IF(BA32=2,SUM(L32,N32:W32,X32),BM32+W32)+M32),0)&lt;=$O$15,$P$15,IF(ROUND((IF(BA32=2,SUM(L32,N32:W32,X32),BM32+W32)+M32),0)&lt;=$O$16,$P$16,IF(ROUND((IF(BA32=2,SUM(L32,N32:W32,X32),BM32+W32)+M32),0)&lt;=$O$17,$P$17,IF(ROUND((IF(BA32=2,SUM(L32,N32:W32,X32),BM32+W32)+M32),0)&lt;=$O$18,$P$18,IF(ROUND((IF(BA32=2,SUM(L32,N32:W32,X32),BM32+W32)+M32),0)&lt;=$O$19,$P$19,IF(ROUND((IF(BA32=2,SUM(L32,N32:W32,X32),BM32+W32)+M32),0)&lt;=$O$20,$P$20,IF(ROUND((IF(BA32=2,SUM(L32,N32:W32,X32),BM32+W32)+M32),0)&lt;=$O$21,$P$21,IF(ROUND((IF(BA32=2,SUM(L32,N32:W32,X32),BM32+W32)+M32),0)&lt;=$O$22,$P$22,IF(ROUND((IF(BA32=2,SUM(L32,N32:W32,X32),BM32+W32)+M32),0)&lt;=$O$23,$P$23,IF(ROUND((IF(BA32=2,SUM(L32,N32:W32,X32),BM32+W32)+M32),0)&lt;=$O$24,$P$24,IF(ROUND((IF(BA32=2,SUM(L32,N32:W32,X32),BM32+W32)+M32),0)&lt;=$R$10,$S$10,IF(ROUND((IF(BA32=2,SUM(L32,N32:W32,X32),BM32+W32)+M32),0)&lt;=$R$11,$S$11,IF(ROUND((IF(BA32=2,SUM(L32,N32:W32,X32),BM32+W32)+M32),0)&lt;=$R$12,$S$12,IF(ROUND((IF(BA32=2,SUM(L32,N32:W32,X32),BM32+W32)+M32),0)&lt;=$R$13,$S$13,IF(ROUND((IF(BA32=2,SUM(L32,N32:W32,X32),BM32+W32)+M32),0)&lt;=$R$14,$S$14,IF(ROUND((IF(BA32=2,SUM(L32,N32:W32,X32),BM32+W32)+M32),0)&lt;=$R$15,$S$15,IF(ROUND((IF(BA32=2,SUM(L32,N32:W32,X32),BM32+W32)+M32),0)&lt;=$R$16,$S$16,IF(ROUND((IF(BA32=2,SUM(L32,N32:W32,X32),BM32+W32)+M32),0)&lt;=$R$17,$S$17,IF(ROUND((IF(BA32=2,SUM(L32,N32:W32,X32),BM32+W32)+M32),0)&lt;=$R$18,$S$18,$S$19))))))))))))))))))))))))))))))))))))))),IF(J32="M/3",IF(ROUND((IF(BA32=2,SUM(L32,N32:W32,X32),BM32+W32)+M32),0)&lt;=$V$10,$W$10,IF(ROUND((IF(BA32=2,SUM(L32,N32:W32,X32),BM32+W32)+M32),0)&lt;=$V$11,$W$11,IF(ROUND((IF(BA32=2,SUM(L32,N32:W32,X32),BM32+W32)+M32),0)&lt;=$V$12,$W$12,IF(ROUND((IF(BA32=2,SUM(L32,N32:W32,X32),BM32+W32)+M32),0)&lt;=$V$13,$W$13,IF(ROUND((IF(BA32=2,SUM(L32,N32:W32,X32),BM32+W32)+M32),0)&lt;=$V$14,$W$14,IF(ROUND((IF(BA32=2,SUM(L32,N32:W32,X32),BM32+W32)+M32),0)&lt;=$V$15,$W$15,IF(ROUND((IF(BA32=2,SUM(L32,N32:W32,X32),BM32+W32)+M32),0)&lt;=$V$16,$W$16,IF(ROUND((IF(BA32=2,SUM(L32,N32:W32,X32),BM32+W32)+M32),0)&lt;=$V$17,$W$17,IF(ROUND((IF(BA32=2,SUM(L32,N32:W32,X32),BM32+W32)+M32),0)&lt;=$V$18,$W$18,IF(ROUND((IF(BA32=2,SUM(L32,N32:W32,X32),BM32+W32)+M32),0)&lt;=$V$19,$W$19,IF(ROUND((IF(BA32=2,SUM(L32,N32:W32,X32),BM32+W32)+M32),0)&lt;=$V$20,$W$20,IF(ROUND((IF(BA32=2,SUM(L32,N32:W32,X32),BM32+W32)+M32),0)&lt;=$V$21,$W$21,IF(ROUND((IF(BA32=2,SUM(L32,N32:W32,X32),BM32+W32)+M32),0)&lt;=$V$22,$W$22,IF(ROUND((IF(BA32=2,SUM(L32,N32:W32,X32),BM32+W32)+M32),0)&lt;=$V$23,$W$23,IF(ROUND((IF(BA32=2,SUM(L32,N32:W32,X32),BM32+W32)+M32),0)&lt;=$V$24,$W$24,IF(ROUND((IF(BA32=2,SUM(L32,N32:W32,X32),BM32+W32)+M32),0)&lt;=$Y$10,$Z$10,IF(ROUND((IF(BA32=2,SUM(L32,N32:W32,X32),BM32+W32)+M32),0)&lt;=$Y$11,$Z$11,IF(ROUND((IF(BA32=2,SUM(L32,N32:W32,X32),BM32+W32)+M32),0)&lt;=$Y$12,$Z$12,IF(ROUND((IF(BA32=2,SUM(L32,N32:W32,X32),BM32+W32)+M32),0)&lt;=$Y$13,$Z$13,IF(ROUND((IF(BA32=2,SUM(L32,N32:W32,X32),BM32+W32)+M32),0)&lt;=$Y$14,$Z$14,IF(ROUND((IF(BA32=2,SUM(L32,N32:W32,X32),BM32+W32)+M32),0)&lt;=$Y$15,$Z$15,IF(ROUND((IF(BA32=2,SUM(L32,N32:W32,X32),BM32+W32)+M32),0)&lt;=$Y$16,$Z$16,IF(ROUND((IF(BA32=2,SUM(L32,N32:W32,X32),BM32+W32)+M32),0)&lt;=$Y$17,$Z$17,IF(ROUND((IF(BA32=2,SUM(L32,N32:W32,X32),BM32+W32)+M32),0)&lt;=$Y$18,$Z$18,IF(ROUND((IF(BA32=2,SUM(L32,N32:W32,X32),BM32+W32)+M32),0)&lt;=$Y$19,$Z$19,IF(ROUND((IF(BA32=2,SUM(L32,N32:W32,X32),BM32+W32)+M32),0)&lt;=$Y$20,$Z$20,IF(ROUND((IF(BA32=2,SUM(L32,N32:W32,X32),BM32+W32)+M32),0)&lt;=$Y$21,$Z$21,IF(ROUND((IF(BA32=2,SUM(L32,N32:W32,X32),BM32+W32)+M32),0)&lt;=$Y$22,$Z$22,IF(ROUND((IF(BA32=2,SUM(L32,N32:W32,X32),BM32+W32)+M32),0)&lt;=$Y$23,$Z$23,IF(ROUND((IF(BA32=2,SUM(L32,N32:W32,X32),BM32+W32)+M32),0)&lt;=$Y$24,$Z$24,IF(ROUND((IF(BA32=2,SUM(L32,N32:W32,X32),BM32+W32)+M32),0)&lt;=$AB$10,$AC$10,IF(ROUND((IF(BA32=2,SUM(L32,N32:W32,X32),BM32+W32)+M32),0)&lt;=$AB$11,$AC$11,IF(ROUND((IF(BA32=2,SUM(L32,N32:W32,X32),BM32+W32)+M32),0)&lt;=$AB$12,$AC$12,IF(ROUND((IF(BA32=2,SUM(L32,N32:W32,X32),BM32+W32)+M32),0)&lt;=$AB$13,$AC$13,IF(ROUND((IF(BA32=2,SUM(L32,N32:W32,X32),BM32+W32)+M32),0)&lt;=$AB$14,$AC$14,IF(ROUND((IF(BA32=2,SUM(L32,N32:W32,X32),BM32+W32)+M32),0)&lt;=$AB$15,$AC$15,IF(ROUND((IF(BA32=2,SUM(L32,N32:W32,X32),BM32+W32)+M32),0)&lt;=$AB$16,$AC$16,IF(ROUND((IF(BA32=2,SUM(L32,N32:W32,X32),BM32+W32)+M32),0)&lt;=$AB$17,$AC$17,IF(ROUND((IF(BA32=2,SUM(L32,N32:W32,X32),BM32+W32)+M32),0)&lt;=$AB$18,$AC$18,IF(ROUND((IF(BA32=2,SUM(L32,N32:W32,X32),BM32+W32)+M32),0)&lt;=$AB$19,$AC$19,$AC$20)))))))))))))))))))))))))))))))))))))))),"Missing PTKP status"))),0)-IF(BA32=2,0,BN32)))</x:f>
        <x:v>0</x:v>
      </x:c>
      <x:c r="BT32" s="13" t="n">
        <x:f>Z32+Y32+AA32+AB32</x:f>
        <x:v>21785106</x:v>
      </x:c>
      <x:c r="BU32" s="18" t="n">
        <x:v>0</x:v>
      </x:c>
      <x:c r="BV32" s="18" t="n">
        <x:v>0</x:v>
      </x:c>
      <x:c r="BW32" s="18" t="n">
        <x:v>0</x:v>
      </x:c>
    </x:row>
    <x:row r="33" ht="22" customHeight="1">
      <x:c r="A33" s="16" t="str">
        <x:v>Example</x:v>
      </x:c>
      <x:c r="B33" s="16" t="str">
        <x:v>Example</x:v>
      </x:c>
      <x:c r="C33" s="16" t="n">
        <x:v>4</x:v>
      </x:c>
      <x:c r="D33" s="16" t="str">
        <x:v>EXAMPLE004</x:v>
      </x:c>
      <x:c r="E33" s="16" t="str">
        <x:v>Example employee 4</x:v>
      </x:c>
      <x:c r="F33" s="16" t="str"/>
      <x:c r="G33" s="17"/>
      <x:c r="H33" s="17"/>
      <x:c r="I33" s="16" t="str">
        <x:v>Permanent</x:v>
      </x:c>
      <x:c r="J33" s="16" t="str">
        <x:v>S/0</x:v>
      </x:c>
      <x:c r="K33" s="16" t="str">
        <x:v>L</x:v>
      </x:c>
      <x:c r="L33" s="13" t="n">
        <x:f>ROUND(AS33*AT33/AU33,0)+AV33</x:f>
        <x:v>2193548</x:v>
      </x:c>
      <x:c r="M33" s="13" t="n">
        <x:f>IF(AND(BB33=1,BA33=2),"Review final-period gross-up",IF(BA33=0,0,MAX(0,BQ33)))</x:f>
        <x:v>0</x:v>
      </x:c>
      <x:c r="N33" s="13" t="n">
        <x:f>IF(AZ33=1,SUM(AG33:AI33),0)</x:f>
        <x:v>0</x:v>
      </x:c>
      <x:c r="O33" s="13" t="n">
        <x:f>ROUND(AS33*BU33/AU33,0)</x:f>
        <x:v>0</x:v>
      </x:c>
      <x:c r="P33" s="18" t="n">
        <x:v>0</x:v>
      </x:c>
      <x:c r="Q33" s="18" t="n">
        <x:v>0</x:v>
      </x:c>
      <x:c r="R33" s="18" t="n">
        <x:v>0</x:v>
      </x:c>
      <x:c r="S33" s="18" t="n">
        <x:v>0</x:v>
      </x:c>
      <x:c r="T33" s="13" t="n">
        <x:f>ROUND(BJ33*$C$4,0)</x:f>
        <x:v>6581</x:v>
      </x:c>
      <x:c r="U33" s="13" t="n">
        <x:f>ROUND(BJ33*$C$5,0)</x:f>
        <x:v>5265</x:v>
      </x:c>
      <x:c r="V33" s="13" t="n">
        <x:f>ROUND(BL33*$O$5,0)</x:f>
        <x:v>0</x:v>
      </x:c>
      <x:c r="W33" s="13" t="n">
        <x:f>ROUND(AW33/$S$4,0)</x:f>
        <x:v>0</x:v>
      </x:c>
      <x:c r="X33" s="18" t="n">
        <x:v>0</x:v>
      </x:c>
      <x:c r="Y33" s="18" t="n">
        <x:v>0</x:v>
      </x:c>
      <x:c r="Z33" s="13" t="n">
        <x:f>SUM(L33:X33)</x:f>
        <x:v>2205394</x:v>
      </x:c>
      <x:c r="AA33" s="13" t="n">
        <x:f>ROUND(BJ33*$C$6,0)</x:f>
        <x:v>81161</x:v>
      </x:c>
      <x:c r="AB33" s="13" t="n">
        <x:f>ROUND(BK33*$G$5,0)</x:f>
        <x:v>43871</x:v>
      </x:c>
      <x:c r="AC33" s="13" t="n">
        <x:f>T33</x:f>
        <x:v>6581</x:v>
      </x:c>
      <x:c r="AD33" s="13" t="n">
        <x:f>U33</x:f>
        <x:v>5265</x:v>
      </x:c>
      <x:c r="AE33" s="13" t="n">
        <x:f>V33</x:f>
        <x:v>0</x:v>
      </x:c>
      <x:c r="AF33" s="13" t="n">
        <x:f>W33</x:f>
        <x:v>0</x:v>
      </x:c>
      <x:c r="AG33" s="13" t="n">
        <x:f>ROUND(BJ33*$G$4,0)</x:f>
        <x:v>43871</x:v>
      </x:c>
      <x:c r="AH33" s="13" t="n">
        <x:f>ROUND(BK33*$G$6,0)</x:f>
        <x:v>21935</x:v>
      </x:c>
      <x:c r="AI33" s="13" t="n">
        <x:f>ROUND(BL33*$O$6,0)</x:f>
        <x:v>0</x:v>
      </x:c>
      <x:c r="AJ33" s="18" t="n">
        <x:v>0</x:v>
      </x:c>
      <x:c r="AK33" s="18" t="n">
        <x:v>0</x:v>
      </x:c>
      <x:c r="AL33" s="18" t="n">
        <x:v>0</x:v>
      </x:c>
      <x:c r="AM33" s="18" t="n">
        <x:v>0</x:v>
      </x:c>
      <x:c r="AN33" s="13" t="n">
        <x:f>IF(BB33=1,BI33-BF33,ROUND(Z33*BR33,0))</x:f>
        <x:v>-3000000</x:v>
      </x:c>
      <x:c r="AO33" s="13" t="n">
        <x:f>ROUND(MAX(0,MIN(Y33+BV33,$AK$10)-0)*$AL$10+MAX(0,MIN(Y33+BV33,$AK$11)-$AK$10)*$AL$11+MAX(0,MIN(Y33+BV33,$AK$12)-$AK$11)*$AL$12+MAX(0,Y33+BV33-$AK$12)*$AL$13,0)-BW33</x:f>
        <x:v>0</x:v>
      </x:c>
      <x:c r="AP33" s="13" t="n">
        <x:f>SUM(AC33:AO33)</x:f>
        <x:v>-2922348</x:v>
      </x:c>
      <x:c r="AQ33" s="19" t="n">
        <x:f>Z33+Y33-AP33</x:f>
        <x:v>5127742</x:v>
      </x:c>
      <x:c r="AR33" s="18" t="str">
        <x:v>Final-period refund example</x:v>
      </x:c>
      <x:c r="AS33" s="18" t="n">
        <x:v>17000000</x:v>
      </x:c>
      <x:c r="AT33" s="18" t="n">
        <x:v>4</x:v>
      </x:c>
      <x:c r="AU33" s="18" t="n">
        <x:v>31</x:v>
      </x:c>
      <x:c r="AV33" s="18" t="n">
        <x:v>0</x:v>
      </x:c>
      <x:c r="AW33" s="18" t="n">
        <x:v>0</x:v>
      </x:c>
      <x:c r="AX33" s="18" t="n">
        <x:v>1</x:v>
      </x:c>
      <x:c r="AY33" s="18" t="n">
        <x:v>0</x:v>
      </x:c>
      <x:c r="AZ33" s="18" t="n">
        <x:v>0</x:v>
      </x:c>
      <x:c r="BA33" s="18" t="n">
        <x:v>0</x:v>
      </x:c>
      <x:c r="BB33" s="18" t="n">
        <x:v>1</x:v>
      </x:c>
      <x:c r="BC33" s="18" t="n">
        <x:v>50000000</x:v>
      </x:c>
      <x:c r="BD33" s="18" t="n">
        <x:v>1300000</x:v>
      </x:c>
      <x:c r="BE33" s="18" t="n">
        <x:v>4</x:v>
      </x:c>
      <x:c r="BF33" s="18" t="n">
        <x:v>3000000</x:v>
      </x:c>
      <x:c r="BG33" s="13" t="n">
        <x:f>IF(J33="S/0",$W$5,IF(J33="S/1",$W$6,IF(J33="S/2",$AA$4,IF(J33="S/3",$AA$5,IF(J33="M/0",$AA$6,IF(J33="M/1",$AE$4,IF(J33="M/2",$AE$5,IF(J33="M/3",$AE$6,"Missing PTKP status"))))))))</x:f>
        <x:v>54000000</x:v>
      </x:c>
      <x:c r="BH33" s="13" t="n">
        <x:f>MAX(0,FLOOR(BC33+Z33-MIN((BC33+Z33)*$S$5,BE33*$S$6)-BD33-AG33-AH33-BG33,$W$4))</x:f>
        <x:v>0</x:v>
      </x:c>
      <x:c r="BI33" s="13" t="n">
        <x:f>ROUND(MAX(0,MIN(BH33,$AG$10)-0)*$AH$10+MAX(0,MIN(BH33,$AG$11)-$AG$10)*$AH$11+MAX(0,MIN(BH33,$AG$12)-$AG$11)*$AH$12+MAX(0,MIN(BH33,$AG$13)-$AG$12)*$AH$13+MAX(0,BH33-$AG$13)*$AH$14,0)</x:f>
        <x:v>0</x:v>
      </x:c>
      <x:c r="BJ33" s="13" t="n">
        <x:f>IF(AX33=1,IF(L33=0,0,MAX(L33,$K$4)),0)</x:f>
        <x:v>2193548</x:v>
      </x:c>
      <x:c r="BK33" s="13" t="n">
        <x:f>IF(AX33=1,MIN(MAX(L33,$K$4),$K$5),0)</x:f>
        <x:v>2193548</x:v>
      </x:c>
      <x:c r="BL33" s="13" t="n">
        <x:f>IF(AY33=1,MIN(MAX(L33,$K$6),$O$4),0)</x:f>
        <x:v>0</x:v>
      </x:c>
      <x:c r="BM33" s="13" t="n">
        <x:f>SUM(L33,N33,O33,S33,T33:V33)</x:f>
        <x:v>2205394</x:v>
      </x:c>
      <x:c r="BN33" s="13" t="n">
        <x:f>ROUND(BM33*IF(OR(J33="S/0",J33="S/1",J33="M/0"),IF(ROUND(BM33,0)&lt;=$B$10,$C$10,IF(ROUND(BM33,0)&lt;=$B$11,$C$11,IF(ROUND(BM33,0)&lt;=$B$12,$C$12,IF(ROUND(BM33,0)&lt;=$B$13,$C$13,IF(ROUND(BM33,0)&lt;=$B$14,$C$14,IF(ROUND(BM33,0)&lt;=$B$15,$C$15,IF(ROUND(BM33,0)&lt;=$B$16,$C$16,IF(ROUND(BM33,0)&lt;=$B$17,$C$17,IF(ROUND(BM33,0)&lt;=$B$18,$C$18,IF(ROUND(BM33,0)&lt;=$B$19,$C$19,IF(ROUND(BM33,0)&lt;=$B$20,$C$20,IF(ROUND(BM33,0)&lt;=$B$21,$C$21,IF(ROUND(BM33,0)&lt;=$B$22,$C$22,IF(ROUND(BM33,0)&lt;=$B$23,$C$23,IF(ROUND(BM33,0)&lt;=$B$24,$C$24,IF(ROUND(BM33,0)&lt;=$E$10,$F$10,IF(ROUND(BM33,0)&lt;=$E$11,$F$11,IF(ROUND(BM33,0)&lt;=$E$12,$F$12,IF(ROUND(BM33,0)&lt;=$E$13,$F$13,IF(ROUND(BM33,0)&lt;=$E$14,$F$14,IF(ROUND(BM33,0)&lt;=$E$15,$F$15,IF(ROUND(BM33,0)&lt;=$E$16,$F$16,IF(ROUND(BM33,0)&lt;=$E$17,$F$17,IF(ROUND(BM33,0)&lt;=$E$18,$F$18,IF(ROUND(BM33,0)&lt;=$E$19,$F$19,IF(ROUND(BM33,0)&lt;=$E$20,$F$20,IF(ROUND(BM33,0)&lt;=$E$21,$F$21,IF(ROUND(BM33,0)&lt;=$E$22,$F$22,IF(ROUND(BM33,0)&lt;=$E$23,$F$23,IF(ROUND(BM33,0)&lt;=$E$24,$F$24,IF(ROUND(BM33,0)&lt;=$H$10,$I$10,IF(ROUND(BM33,0)&lt;=$H$11,$I$11,IF(ROUND(BM33,0)&lt;=$H$12,$I$12,IF(ROUND(BM33,0)&lt;=$H$13,$I$13,IF(ROUND(BM33,0)&lt;=$H$14,$I$14,IF(ROUND(BM33,0)&lt;=$H$15,$I$15,IF(ROUND(BM33,0)&lt;=$H$16,$I$16,IF(ROUND(BM33,0)&lt;=$H$17,$I$17,IF(ROUND(BM33,0)&lt;=$H$18,$I$18,IF(ROUND(BM33,0)&lt;=$H$19,$I$19,IF(ROUND(BM33,0)&lt;=$H$20,$I$20,IF(ROUND(BM33,0)&lt;=$H$21,$I$21,IF(ROUND(BM33,0)&lt;=$H$22,$I$22,$I$23))))))))))))))))))))))))))))))))))))))))))),IF(OR(J33="S/2",J33="S/3",J33="M/1",J33="M/2"),IF(ROUND(BM33,0)&lt;=$L$10,$M$10,IF(ROUND(BM33,0)&lt;=$L$11,$M$11,IF(ROUND(BM33,0)&lt;=$L$12,$M$12,IF(ROUND(BM33,0)&lt;=$L$13,$M$13,IF(ROUND(BM33,0)&lt;=$L$14,$M$14,IF(ROUND(BM33,0)&lt;=$L$15,$M$15,IF(ROUND(BM33,0)&lt;=$L$16,$M$16,IF(ROUND(BM33,0)&lt;=$L$17,$M$17,IF(ROUND(BM33,0)&lt;=$L$18,$M$18,IF(ROUND(BM33,0)&lt;=$L$19,$M$19,IF(ROUND(BM33,0)&lt;=$L$20,$M$20,IF(ROUND(BM33,0)&lt;=$L$21,$M$21,IF(ROUND(BM33,0)&lt;=$L$22,$M$22,IF(ROUND(BM33,0)&lt;=$L$23,$M$23,IF(ROUND(BM33,0)&lt;=$L$24,$M$24,IF(ROUND(BM33,0)&lt;=$O$10,$P$10,IF(ROUND(BM33,0)&lt;=$O$11,$P$11,IF(ROUND(BM33,0)&lt;=$O$12,$P$12,IF(ROUND(BM33,0)&lt;=$O$13,$P$13,IF(ROUND(BM33,0)&lt;=$O$14,$P$14,IF(ROUND(BM33,0)&lt;=$O$15,$P$15,IF(ROUND(BM33,0)&lt;=$O$16,$P$16,IF(ROUND(BM33,0)&lt;=$O$17,$P$17,IF(ROUND(BM33,0)&lt;=$O$18,$P$18,IF(ROUND(BM33,0)&lt;=$O$19,$P$19,IF(ROUND(BM33,0)&lt;=$O$20,$P$20,IF(ROUND(BM33,0)&lt;=$O$21,$P$21,IF(ROUND(BM33,0)&lt;=$O$22,$P$22,IF(ROUND(BM33,0)&lt;=$O$23,$P$23,IF(ROUND(BM33,0)&lt;=$O$24,$P$24,IF(ROUND(BM33,0)&lt;=$R$10,$S$10,IF(ROUND(BM33,0)&lt;=$R$11,$S$11,IF(ROUND(BM33,0)&lt;=$R$12,$S$12,IF(ROUND(BM33,0)&lt;=$R$13,$S$13,IF(ROUND(BM33,0)&lt;=$R$14,$S$14,IF(ROUND(BM33,0)&lt;=$R$15,$S$15,IF(ROUND(BM33,0)&lt;=$R$16,$S$16,IF(ROUND(BM33,0)&lt;=$R$17,$S$17,IF(ROUND(BM33,0)&lt;=$R$18,$S$18,$S$19))))))))))))))))))))))))))))))))))))))),IF(J33="M/3",IF(ROUND(BM33,0)&lt;=$V$10,$W$10,IF(ROUND(BM33,0)&lt;=$V$11,$W$11,IF(ROUND(BM33,0)&lt;=$V$12,$W$12,IF(ROUND(BM33,0)&lt;=$V$13,$W$13,IF(ROUND(BM33,0)&lt;=$V$14,$W$14,IF(ROUND(BM33,0)&lt;=$V$15,$W$15,IF(ROUND(BM33,0)&lt;=$V$16,$W$16,IF(ROUND(BM33,0)&lt;=$V$17,$W$17,IF(ROUND(BM33,0)&lt;=$V$18,$W$18,IF(ROUND(BM33,0)&lt;=$V$19,$W$19,IF(ROUND(BM33,0)&lt;=$V$20,$W$20,IF(ROUND(BM33,0)&lt;=$V$21,$W$21,IF(ROUND(BM33,0)&lt;=$V$22,$W$22,IF(ROUND(BM33,0)&lt;=$V$23,$W$23,IF(ROUND(BM33,0)&lt;=$V$24,$W$24,IF(ROUND(BM33,0)&lt;=$Y$10,$Z$10,IF(ROUND(BM33,0)&lt;=$Y$11,$Z$11,IF(ROUND(BM33,0)&lt;=$Y$12,$Z$12,IF(ROUND(BM33,0)&lt;=$Y$13,$Z$13,IF(ROUND(BM33,0)&lt;=$Y$14,$Z$14,IF(ROUND(BM33,0)&lt;=$Y$15,$Z$15,IF(ROUND(BM33,0)&lt;=$Y$16,$Z$16,IF(ROUND(BM33,0)&lt;=$Y$17,$Z$17,IF(ROUND(BM33,0)&lt;=$Y$18,$Z$18,IF(ROUND(BM33,0)&lt;=$Y$19,$Z$19,IF(ROUND(BM33,0)&lt;=$Y$20,$Z$20,IF(ROUND(BM33,0)&lt;=$Y$21,$Z$21,IF(ROUND(BM33,0)&lt;=$Y$22,$Z$22,IF(ROUND(BM33,0)&lt;=$Y$23,$Z$23,IF(ROUND(BM33,0)&lt;=$Y$24,$Z$24,IF(ROUND(BM33,0)&lt;=$AB$10,$AC$10,IF(ROUND(BM33,0)&lt;=$AB$11,$AC$11,IF(ROUND(BM33,0)&lt;=$AB$12,$AC$12,IF(ROUND(BM33,0)&lt;=$AB$13,$AC$13,IF(ROUND(BM33,0)&lt;=$AB$14,$AC$14,IF(ROUND(BM33,0)&lt;=$AB$15,$AC$15,IF(ROUND(BM33,0)&lt;=$AB$16,$AC$16,IF(ROUND(BM33,0)&lt;=$AB$17,$AC$17,IF(ROUND(BM33,0)&lt;=$AB$18,$AC$18,IF(ROUND(BM33,0)&lt;=$AB$19,$AC$19,$AC$20)))))))))))))))))))))))))))))))))))))))),"Missing PTKP status"))),0)</x:f>
        <x:v>0</x:v>
      </x:c>
      <x:c r="BO33" s="13" t="n">
        <x:f>IF(BA33=2,SUM(L33,N33:W33,X33),BM33+W33-BN33)</x:f>
        <x:v>2205394</x:v>
      </x:c>
      <x:c r="BP33" s="13" t="n">
        <x:f>IF(OR(J33="S/0",J33="S/1",J33="M/0"),IF(BO33&lt;=$B$10*(1-$C$10),BO33/(1-$C$10),IF(BO33&lt;=$B$11*(1-$C$11),BO33/(1-$C$11),IF(BO33&lt;=$B$12*(1-$C$12),BO33/(1-$C$12),IF(BO33&lt;=$B$13*(1-$C$13),BO33/(1-$C$13),IF(BO33&lt;=$B$14*(1-$C$14),BO33/(1-$C$14),IF(BO33&lt;=$B$15*(1-$C$15),BO33/(1-$C$15),IF(BO33&lt;=$B$16*(1-$C$16),BO33/(1-$C$16),IF(BO33&lt;=$B$17*(1-$C$17),BO33/(1-$C$17),IF(BO33&lt;=$B$18*(1-$C$18),BO33/(1-$C$18),IF(BO33&lt;=$B$19*(1-$C$19),BO33/(1-$C$19),IF(BO33&lt;=$B$20*(1-$C$20),BO33/(1-$C$20),IF(BO33&lt;=$B$21*(1-$C$21),BO33/(1-$C$21),IF(BO33&lt;=$B$22*(1-$C$22),BO33/(1-$C$22),IF(BO33&lt;=$B$23*(1-$C$23),BO33/(1-$C$23),IF(BO33&lt;=$B$24*(1-$C$24),BO33/(1-$C$24),IF(BO33&lt;=$E$10*(1-$F$10),BO33/(1-$F$10),IF(BO33&lt;=$E$11*(1-$F$11),BO33/(1-$F$11),IF(BO33&lt;=$E$12*(1-$F$12),BO33/(1-$F$12),IF(BO33&lt;=$E$13*(1-$F$13),BO33/(1-$F$13),IF(BO33&lt;=$E$14*(1-$F$14),BO33/(1-$F$14),IF(BO33&lt;=$E$15*(1-$F$15),BO33/(1-$F$15),IF(BO33&lt;=$E$16*(1-$F$16),BO33/(1-$F$16),IF(BO33&lt;=$E$17*(1-$F$17),BO33/(1-$F$17),IF(BO33&lt;=$E$18*(1-$F$18),BO33/(1-$F$18),IF(BO33&lt;=$E$19*(1-$F$19),BO33/(1-$F$19),IF(BO33&lt;=$E$20*(1-$F$20),BO33/(1-$F$20),IF(BO33&lt;=$E$21*(1-$F$21),BO33/(1-$F$21),IF(BO33&lt;=$E$22*(1-$F$22),BO33/(1-$F$22),IF(BO33&lt;=$E$23*(1-$F$23),BO33/(1-$F$23),IF(BO33&lt;=$E$24*(1-$F$24),BO33/(1-$F$24),IF(BO33&lt;=$H$10*(1-$I$10),BO33/(1-$I$10),IF(BO33&lt;=$H$11*(1-$I$11),BO33/(1-$I$11),IF(BO33&lt;=$H$12*(1-$I$12),BO33/(1-$I$12),IF(BO33&lt;=$H$13*(1-$I$13),BO33/(1-$I$13),IF(BO33&lt;=$H$14*(1-$I$14),BO33/(1-$I$14),IF(BO33&lt;=$H$15*(1-$I$15),BO33/(1-$I$15),IF(BO33&lt;=$H$16*(1-$I$16),BO33/(1-$I$16),IF(BO33&lt;=$H$17*(1-$I$17),BO33/(1-$I$17),IF(BO33&lt;=$H$18*(1-$I$18),BO33/(1-$I$18),IF(BO33&lt;=$H$19*(1-$I$19),BO33/(1-$I$19),IF(BO33&lt;=$H$20*(1-$I$20),BO33/(1-$I$20),IF(BO33&lt;=$H$21*(1-$I$21),BO33/(1-$I$21),IF(BO33&lt;=$H$22*(1-$I$22),BO33/(1-$I$22),BO33/(1-$I$23)))))))))))))))))))))))))))))))))))))))))))),IF(OR(J33="S/2",J33="S/3",J33="M/1",J33="M/2"),IF(BO33&lt;=$L$10*(1-$M$10),BO33/(1-$M$10),IF(BO33&lt;=$L$11*(1-$M$11),BO33/(1-$M$11),IF(BO33&lt;=$L$12*(1-$M$12),BO33/(1-$M$12),IF(BO33&lt;=$L$13*(1-$M$13),BO33/(1-$M$13),IF(BO33&lt;=$L$14*(1-$M$14),BO33/(1-$M$14),IF(BO33&lt;=$L$15*(1-$M$15),BO33/(1-$M$15),IF(BO33&lt;=$L$16*(1-$M$16),BO33/(1-$M$16),IF(BO33&lt;=$L$17*(1-$M$17),BO33/(1-$M$17),IF(BO33&lt;=$L$18*(1-$M$18),BO33/(1-$M$18),IF(BO33&lt;=$L$19*(1-$M$19),BO33/(1-$M$19),IF(BO33&lt;=$L$20*(1-$M$20),BO33/(1-$M$20),IF(BO33&lt;=$L$21*(1-$M$21),BO33/(1-$M$21),IF(BO33&lt;=$L$22*(1-$M$22),BO33/(1-$M$22),IF(BO33&lt;=$L$23*(1-$M$23),BO33/(1-$M$23),IF(BO33&lt;=$L$24*(1-$M$24),BO33/(1-$M$24),IF(BO33&lt;=$O$10*(1-$P$10),BO33/(1-$P$10),IF(BO33&lt;=$O$11*(1-$P$11),BO33/(1-$P$11),IF(BO33&lt;=$O$12*(1-$P$12),BO33/(1-$P$12),IF(BO33&lt;=$O$13*(1-$P$13),BO33/(1-$P$13),IF(BO33&lt;=$O$14*(1-$P$14),BO33/(1-$P$14),IF(BO33&lt;=$O$15*(1-$P$15),BO33/(1-$P$15),IF(BO33&lt;=$O$16*(1-$P$16),BO33/(1-$P$16),IF(BO33&lt;=$O$17*(1-$P$17),BO33/(1-$P$17),IF(BO33&lt;=$O$18*(1-$P$18),BO33/(1-$P$18),IF(BO33&lt;=$O$19*(1-$P$19),BO33/(1-$P$19),IF(BO33&lt;=$O$20*(1-$P$20),BO33/(1-$P$20),IF(BO33&lt;=$O$21*(1-$P$21),BO33/(1-$P$21),IF(BO33&lt;=$O$22*(1-$P$22),BO33/(1-$P$22),IF(BO33&lt;=$O$23*(1-$P$23),BO33/(1-$P$23),IF(BO33&lt;=$O$24*(1-$P$24),BO33/(1-$P$24),IF(BO33&lt;=$R$10*(1-$S$10),BO33/(1-$S$10),IF(BO33&lt;=$R$11*(1-$S$11),BO33/(1-$S$11),IF(BO33&lt;=$R$12*(1-$S$12),BO33/(1-$S$12),IF(BO33&lt;=$R$13*(1-$S$13),BO33/(1-$S$13),IF(BO33&lt;=$R$14*(1-$S$14),BO33/(1-$S$14),IF(BO33&lt;=$R$15*(1-$S$15),BO33/(1-$S$15),IF(BO33&lt;=$R$16*(1-$S$16),BO33/(1-$S$16),IF(BO33&lt;=$R$17*(1-$S$17),BO33/(1-$S$17),IF(BO33&lt;=$R$18*(1-$S$18),BO33/(1-$S$18),BO33/(1-$S$19)))))))))))))))))))))))))))))))))))))))),IF(J33="M/3",IF(BO33&lt;=$V$10*(1-$W$10),BO33/(1-$W$10),IF(BO33&lt;=$V$11*(1-$W$11),BO33/(1-$W$11),IF(BO33&lt;=$V$12*(1-$W$12),BO33/(1-$W$12),IF(BO33&lt;=$V$13*(1-$W$13),BO33/(1-$W$13),IF(BO33&lt;=$V$14*(1-$W$14),BO33/(1-$W$14),IF(BO33&lt;=$V$15*(1-$W$15),BO33/(1-$W$15),IF(BO33&lt;=$V$16*(1-$W$16),BO33/(1-$W$16),IF(BO33&lt;=$V$17*(1-$W$17),BO33/(1-$W$17),IF(BO33&lt;=$V$18*(1-$W$18),BO33/(1-$W$18),IF(BO33&lt;=$V$19*(1-$W$19),BO33/(1-$W$19),IF(BO33&lt;=$V$20*(1-$W$20),BO33/(1-$W$20),IF(BO33&lt;=$V$21*(1-$W$21),BO33/(1-$W$21),IF(BO33&lt;=$V$22*(1-$W$22),BO33/(1-$W$22),IF(BO33&lt;=$V$23*(1-$W$23),BO33/(1-$W$23),IF(BO33&lt;=$V$24*(1-$W$24),BO33/(1-$W$24),IF(BO33&lt;=$Y$10*(1-$Z$10),BO33/(1-$Z$10),IF(BO33&lt;=$Y$11*(1-$Z$11),BO33/(1-$Z$11),IF(BO33&lt;=$Y$12*(1-$Z$12),BO33/(1-$Z$12),IF(BO33&lt;=$Y$13*(1-$Z$13),BO33/(1-$Z$13),IF(BO33&lt;=$Y$14*(1-$Z$14),BO33/(1-$Z$14),IF(BO33&lt;=$Y$15*(1-$Z$15),BO33/(1-$Z$15),IF(BO33&lt;=$Y$16*(1-$Z$16),BO33/(1-$Z$16),IF(BO33&lt;=$Y$17*(1-$Z$17),BO33/(1-$Z$17),IF(BO33&lt;=$Y$18*(1-$Z$18),BO33/(1-$Z$18),IF(BO33&lt;=$Y$19*(1-$Z$19),BO33/(1-$Z$19),IF(BO33&lt;=$Y$20*(1-$Z$20),BO33/(1-$Z$20),IF(BO33&lt;=$Y$21*(1-$Z$21),BO33/(1-$Z$21),IF(BO33&lt;=$Y$22*(1-$Z$22),BO33/(1-$Z$22),IF(BO33&lt;=$Y$23*(1-$Z$23),BO33/(1-$Z$23),IF(BO33&lt;=$Y$24*(1-$Z$24),BO33/(1-$Z$24),IF(BO33&lt;=$AB$10*(1-$AC$10),BO33/(1-$AC$10),IF(BO33&lt;=$AB$11*(1-$AC$11),BO33/(1-$AC$11),IF(BO33&lt;=$AB$12*(1-$AC$12),BO33/(1-$AC$12),IF(BO33&lt;=$AB$13*(1-$AC$13),BO33/(1-$AC$13),IF(BO33&lt;=$AB$14*(1-$AC$14),BO33/(1-$AC$14),IF(BO33&lt;=$AB$15*(1-$AC$15),BO33/(1-$AC$15),IF(BO33&lt;=$AB$16*(1-$AC$16),BO33/(1-$AC$16),IF(BO33&lt;=$AB$17*(1-$AC$17),BO33/(1-$AC$17),IF(BO33&lt;=$AB$18*(1-$AC$18),BO33/(1-$AC$18),IF(BO33&lt;=$AB$19*(1-$AC$19),BO33/(1-$AC$19),BO33/(1-$AC$20))))))))))))))))))))))))))))))))))))))))),"Missing PTKP status")))</x:f>
        <x:v>2205394</x:v>
      </x:c>
      <x:c r="BQ33" s="13" t="n">
        <x:f>ROUND(BP33-IF(BA33=2,SUM(L33,N33:W33,X33),BM33+W33),0)</x:f>
        <x:v>0</x:v>
      </x:c>
      <x:c r="BR33" s="14" t="n">
        <x:f>IF(OR(J33="S/0",J33="S/1",J33="M/0"),IF(ROUND(Z33,0)&lt;=$B$10,$C$10,IF(ROUND(Z33,0)&lt;=$B$11,$C$11,IF(ROUND(Z33,0)&lt;=$B$12,$C$12,IF(ROUND(Z33,0)&lt;=$B$13,$C$13,IF(ROUND(Z33,0)&lt;=$B$14,$C$14,IF(ROUND(Z33,0)&lt;=$B$15,$C$15,IF(ROUND(Z33,0)&lt;=$B$16,$C$16,IF(ROUND(Z33,0)&lt;=$B$17,$C$17,IF(ROUND(Z33,0)&lt;=$B$18,$C$18,IF(ROUND(Z33,0)&lt;=$B$19,$C$19,IF(ROUND(Z33,0)&lt;=$B$20,$C$20,IF(ROUND(Z33,0)&lt;=$B$21,$C$21,IF(ROUND(Z33,0)&lt;=$B$22,$C$22,IF(ROUND(Z33,0)&lt;=$B$23,$C$23,IF(ROUND(Z33,0)&lt;=$B$24,$C$24,IF(ROUND(Z33,0)&lt;=$E$10,$F$10,IF(ROUND(Z33,0)&lt;=$E$11,$F$11,IF(ROUND(Z33,0)&lt;=$E$12,$F$12,IF(ROUND(Z33,0)&lt;=$E$13,$F$13,IF(ROUND(Z33,0)&lt;=$E$14,$F$14,IF(ROUND(Z33,0)&lt;=$E$15,$F$15,IF(ROUND(Z33,0)&lt;=$E$16,$F$16,IF(ROUND(Z33,0)&lt;=$E$17,$F$17,IF(ROUND(Z33,0)&lt;=$E$18,$F$18,IF(ROUND(Z33,0)&lt;=$E$19,$F$19,IF(ROUND(Z33,0)&lt;=$E$20,$F$20,IF(ROUND(Z33,0)&lt;=$E$21,$F$21,IF(ROUND(Z33,0)&lt;=$E$22,$F$22,IF(ROUND(Z33,0)&lt;=$E$23,$F$23,IF(ROUND(Z33,0)&lt;=$E$24,$F$24,IF(ROUND(Z33,0)&lt;=$H$10,$I$10,IF(ROUND(Z33,0)&lt;=$H$11,$I$11,IF(ROUND(Z33,0)&lt;=$H$12,$I$12,IF(ROUND(Z33,0)&lt;=$H$13,$I$13,IF(ROUND(Z33,0)&lt;=$H$14,$I$14,IF(ROUND(Z33,0)&lt;=$H$15,$I$15,IF(ROUND(Z33,0)&lt;=$H$16,$I$16,IF(ROUND(Z33,0)&lt;=$H$17,$I$17,IF(ROUND(Z33,0)&lt;=$H$18,$I$18,IF(ROUND(Z33,0)&lt;=$H$19,$I$19,IF(ROUND(Z33,0)&lt;=$H$20,$I$20,IF(ROUND(Z33,0)&lt;=$H$21,$I$21,IF(ROUND(Z33,0)&lt;=$H$22,$I$22,$I$23))))))))))))))))))))))))))))))))))))))))))),IF(OR(J33="S/2",J33="S/3",J33="M/1",J33="M/2"),IF(ROUND(Z33,0)&lt;=$L$10,$M$10,IF(ROUND(Z33,0)&lt;=$L$11,$M$11,IF(ROUND(Z33,0)&lt;=$L$12,$M$12,IF(ROUND(Z33,0)&lt;=$L$13,$M$13,IF(ROUND(Z33,0)&lt;=$L$14,$M$14,IF(ROUND(Z33,0)&lt;=$L$15,$M$15,IF(ROUND(Z33,0)&lt;=$L$16,$M$16,IF(ROUND(Z33,0)&lt;=$L$17,$M$17,IF(ROUND(Z33,0)&lt;=$L$18,$M$18,IF(ROUND(Z33,0)&lt;=$L$19,$M$19,IF(ROUND(Z33,0)&lt;=$L$20,$M$20,IF(ROUND(Z33,0)&lt;=$L$21,$M$21,IF(ROUND(Z33,0)&lt;=$L$22,$M$22,IF(ROUND(Z33,0)&lt;=$L$23,$M$23,IF(ROUND(Z33,0)&lt;=$L$24,$M$24,IF(ROUND(Z33,0)&lt;=$O$10,$P$10,IF(ROUND(Z33,0)&lt;=$O$11,$P$11,IF(ROUND(Z33,0)&lt;=$O$12,$P$12,IF(ROUND(Z33,0)&lt;=$O$13,$P$13,IF(ROUND(Z33,0)&lt;=$O$14,$P$14,IF(ROUND(Z33,0)&lt;=$O$15,$P$15,IF(ROUND(Z33,0)&lt;=$O$16,$P$16,IF(ROUND(Z33,0)&lt;=$O$17,$P$17,IF(ROUND(Z33,0)&lt;=$O$18,$P$18,IF(ROUND(Z33,0)&lt;=$O$19,$P$19,IF(ROUND(Z33,0)&lt;=$O$20,$P$20,IF(ROUND(Z33,0)&lt;=$O$21,$P$21,IF(ROUND(Z33,0)&lt;=$O$22,$P$22,IF(ROUND(Z33,0)&lt;=$O$23,$P$23,IF(ROUND(Z33,0)&lt;=$O$24,$P$24,IF(ROUND(Z33,0)&lt;=$R$10,$S$10,IF(ROUND(Z33,0)&lt;=$R$11,$S$11,IF(ROUND(Z33,0)&lt;=$R$12,$S$12,IF(ROUND(Z33,0)&lt;=$R$13,$S$13,IF(ROUND(Z33,0)&lt;=$R$14,$S$14,IF(ROUND(Z33,0)&lt;=$R$15,$S$15,IF(ROUND(Z33,0)&lt;=$R$16,$S$16,IF(ROUND(Z33,0)&lt;=$R$17,$S$17,IF(ROUND(Z33,0)&lt;=$R$18,$S$18,$S$19))))))))))))))))))))))))))))))))))))))),IF(J33="M/3",IF(ROUND(Z33,0)&lt;=$V$10,$W$10,IF(ROUND(Z33,0)&lt;=$V$11,$W$11,IF(ROUND(Z33,0)&lt;=$V$12,$W$12,IF(ROUND(Z33,0)&lt;=$V$13,$W$13,IF(ROUND(Z33,0)&lt;=$V$14,$W$14,IF(ROUND(Z33,0)&lt;=$V$15,$W$15,IF(ROUND(Z33,0)&lt;=$V$16,$W$16,IF(ROUND(Z33,0)&lt;=$V$17,$W$17,IF(ROUND(Z33,0)&lt;=$V$18,$W$18,IF(ROUND(Z33,0)&lt;=$V$19,$W$19,IF(ROUND(Z33,0)&lt;=$V$20,$W$20,IF(ROUND(Z33,0)&lt;=$V$21,$W$21,IF(ROUND(Z33,0)&lt;=$V$22,$W$22,IF(ROUND(Z33,0)&lt;=$V$23,$W$23,IF(ROUND(Z33,0)&lt;=$V$24,$W$24,IF(ROUND(Z33,0)&lt;=$Y$10,$Z$10,IF(ROUND(Z33,0)&lt;=$Y$11,$Z$11,IF(ROUND(Z33,0)&lt;=$Y$12,$Z$12,IF(ROUND(Z33,0)&lt;=$Y$13,$Z$13,IF(ROUND(Z33,0)&lt;=$Y$14,$Z$14,IF(ROUND(Z33,0)&lt;=$Y$15,$Z$15,IF(ROUND(Z33,0)&lt;=$Y$16,$Z$16,IF(ROUND(Z33,0)&lt;=$Y$17,$Z$17,IF(ROUND(Z33,0)&lt;=$Y$18,$Z$18,IF(ROUND(Z33,0)&lt;=$Y$19,$Z$19,IF(ROUND(Z33,0)&lt;=$Y$20,$Z$20,IF(ROUND(Z33,0)&lt;=$Y$21,$Z$21,IF(ROUND(Z33,0)&lt;=$Y$22,$Z$22,IF(ROUND(Z33,0)&lt;=$Y$23,$Z$23,IF(ROUND(Z33,0)&lt;=$Y$24,$Z$24,IF(ROUND(Z33,0)&lt;=$AB$10,$AC$10,IF(ROUND(Z33,0)&lt;=$AB$11,$AC$11,IF(ROUND(Z33,0)&lt;=$AB$12,$AC$12,IF(ROUND(Z33,0)&lt;=$AB$13,$AC$13,IF(ROUND(Z33,0)&lt;=$AB$14,$AC$14,IF(ROUND(Z33,0)&lt;=$AB$15,$AC$15,IF(ROUND(Z33,0)&lt;=$AB$16,$AC$16,IF(ROUND(Z33,0)&lt;=$AB$17,$AC$17,IF(ROUND(Z33,0)&lt;=$AB$18,$AC$18,IF(ROUND(Z33,0)&lt;=$AB$19,$AC$19,$AC$20)))))))))))))))))))))))))))))))))))))))),"Missing PTKP status")))</x:f>
        <x:v>0</x:v>
      </x:c>
      <x:c r="BS33" s="13" t="n">
        <x:f>IF(BA33=0,0,M33-(ROUND((IF(BA33=2,SUM(L33,N33:W33,X33),BM33+W33)+M33)*IF(OR(J33="S/0",J33="S/1",J33="M/0"),IF(ROUND((IF(BA33=2,SUM(L33,N33:W33,X33),BM33+W33)+M33),0)&lt;=$B$10,$C$10,IF(ROUND((IF(BA33=2,SUM(L33,N33:W33,X33),BM33+W33)+M33),0)&lt;=$B$11,$C$11,IF(ROUND((IF(BA33=2,SUM(L33,N33:W33,X33),BM33+W33)+M33),0)&lt;=$B$12,$C$12,IF(ROUND((IF(BA33=2,SUM(L33,N33:W33,X33),BM33+W33)+M33),0)&lt;=$B$13,$C$13,IF(ROUND((IF(BA33=2,SUM(L33,N33:W33,X33),BM33+W33)+M33),0)&lt;=$B$14,$C$14,IF(ROUND((IF(BA33=2,SUM(L33,N33:W33,X33),BM33+W33)+M33),0)&lt;=$B$15,$C$15,IF(ROUND((IF(BA33=2,SUM(L33,N33:W33,X33),BM33+W33)+M33),0)&lt;=$B$16,$C$16,IF(ROUND((IF(BA33=2,SUM(L33,N33:W33,X33),BM33+W33)+M33),0)&lt;=$B$17,$C$17,IF(ROUND((IF(BA33=2,SUM(L33,N33:W33,X33),BM33+W33)+M33),0)&lt;=$B$18,$C$18,IF(ROUND((IF(BA33=2,SUM(L33,N33:W33,X33),BM33+W33)+M33),0)&lt;=$B$19,$C$19,IF(ROUND((IF(BA33=2,SUM(L33,N33:W33,X33),BM33+W33)+M33),0)&lt;=$B$20,$C$20,IF(ROUND((IF(BA33=2,SUM(L33,N33:W33,X33),BM33+W33)+M33),0)&lt;=$B$21,$C$21,IF(ROUND((IF(BA33=2,SUM(L33,N33:W33,X33),BM33+W33)+M33),0)&lt;=$B$22,$C$22,IF(ROUND((IF(BA33=2,SUM(L33,N33:W33,X33),BM33+W33)+M33),0)&lt;=$B$23,$C$23,IF(ROUND((IF(BA33=2,SUM(L33,N33:W33,X33),BM33+W33)+M33),0)&lt;=$B$24,$C$24,IF(ROUND((IF(BA33=2,SUM(L33,N33:W33,X33),BM33+W33)+M33),0)&lt;=$E$10,$F$10,IF(ROUND((IF(BA33=2,SUM(L33,N33:W33,X33),BM33+W33)+M33),0)&lt;=$E$11,$F$11,IF(ROUND((IF(BA33=2,SUM(L33,N33:W33,X33),BM33+W33)+M33),0)&lt;=$E$12,$F$12,IF(ROUND((IF(BA33=2,SUM(L33,N33:W33,X33),BM33+W33)+M33),0)&lt;=$E$13,$F$13,IF(ROUND((IF(BA33=2,SUM(L33,N33:W33,X33),BM33+W33)+M33),0)&lt;=$E$14,$F$14,IF(ROUND((IF(BA33=2,SUM(L33,N33:W33,X33),BM33+W33)+M33),0)&lt;=$E$15,$F$15,IF(ROUND((IF(BA33=2,SUM(L33,N33:W33,X33),BM33+W33)+M33),0)&lt;=$E$16,$F$16,IF(ROUND((IF(BA33=2,SUM(L33,N33:W33,X33),BM33+W33)+M33),0)&lt;=$E$17,$F$17,IF(ROUND((IF(BA33=2,SUM(L33,N33:W33,X33),BM33+W33)+M33),0)&lt;=$E$18,$F$18,IF(ROUND((IF(BA33=2,SUM(L33,N33:W33,X33),BM33+W33)+M33),0)&lt;=$E$19,$F$19,IF(ROUND((IF(BA33=2,SUM(L33,N33:W33,X33),BM33+W33)+M33),0)&lt;=$E$20,$F$20,IF(ROUND((IF(BA33=2,SUM(L33,N33:W33,X33),BM33+W33)+M33),0)&lt;=$E$21,$F$21,IF(ROUND((IF(BA33=2,SUM(L33,N33:W33,X33),BM33+W33)+M33),0)&lt;=$E$22,$F$22,IF(ROUND((IF(BA33=2,SUM(L33,N33:W33,X33),BM33+W33)+M33),0)&lt;=$E$23,$F$23,IF(ROUND((IF(BA33=2,SUM(L33,N33:W33,X33),BM33+W33)+M33),0)&lt;=$E$24,$F$24,IF(ROUND((IF(BA33=2,SUM(L33,N33:W33,X33),BM33+W33)+M33),0)&lt;=$H$10,$I$10,IF(ROUND((IF(BA33=2,SUM(L33,N33:W33,X33),BM33+W33)+M33),0)&lt;=$H$11,$I$11,IF(ROUND((IF(BA33=2,SUM(L33,N33:W33,X33),BM33+W33)+M33),0)&lt;=$H$12,$I$12,IF(ROUND((IF(BA33=2,SUM(L33,N33:W33,X33),BM33+W33)+M33),0)&lt;=$H$13,$I$13,IF(ROUND((IF(BA33=2,SUM(L33,N33:W33,X33),BM33+W33)+M33),0)&lt;=$H$14,$I$14,IF(ROUND((IF(BA33=2,SUM(L33,N33:W33,X33),BM33+W33)+M33),0)&lt;=$H$15,$I$15,IF(ROUND((IF(BA33=2,SUM(L33,N33:W33,X33),BM33+W33)+M33),0)&lt;=$H$16,$I$16,IF(ROUND((IF(BA33=2,SUM(L33,N33:W33,X33),BM33+W33)+M33),0)&lt;=$H$17,$I$17,IF(ROUND((IF(BA33=2,SUM(L33,N33:W33,X33),BM33+W33)+M33),0)&lt;=$H$18,$I$18,IF(ROUND((IF(BA33=2,SUM(L33,N33:W33,X33),BM33+W33)+M33),0)&lt;=$H$19,$I$19,IF(ROUND((IF(BA33=2,SUM(L33,N33:W33,X33),BM33+W33)+M33),0)&lt;=$H$20,$I$20,IF(ROUND((IF(BA33=2,SUM(L33,N33:W33,X33),BM33+W33)+M33),0)&lt;=$H$21,$I$21,IF(ROUND((IF(BA33=2,SUM(L33,N33:W33,X33),BM33+W33)+M33),0)&lt;=$H$22,$I$22,$I$23))))))))))))))))))))))))))))))))))))))))))),IF(OR(J33="S/2",J33="S/3",J33="M/1",J33="M/2"),IF(ROUND((IF(BA33=2,SUM(L33,N33:W33,X33),BM33+W33)+M33),0)&lt;=$L$10,$M$10,IF(ROUND((IF(BA33=2,SUM(L33,N33:W33,X33),BM33+W33)+M33),0)&lt;=$L$11,$M$11,IF(ROUND((IF(BA33=2,SUM(L33,N33:W33,X33),BM33+W33)+M33),0)&lt;=$L$12,$M$12,IF(ROUND((IF(BA33=2,SUM(L33,N33:W33,X33),BM33+W33)+M33),0)&lt;=$L$13,$M$13,IF(ROUND((IF(BA33=2,SUM(L33,N33:W33,X33),BM33+W33)+M33),0)&lt;=$L$14,$M$14,IF(ROUND((IF(BA33=2,SUM(L33,N33:W33,X33),BM33+W33)+M33),0)&lt;=$L$15,$M$15,IF(ROUND((IF(BA33=2,SUM(L33,N33:W33,X33),BM33+W33)+M33),0)&lt;=$L$16,$M$16,IF(ROUND((IF(BA33=2,SUM(L33,N33:W33,X33),BM33+W33)+M33),0)&lt;=$L$17,$M$17,IF(ROUND((IF(BA33=2,SUM(L33,N33:W33,X33),BM33+W33)+M33),0)&lt;=$L$18,$M$18,IF(ROUND((IF(BA33=2,SUM(L33,N33:W33,X33),BM33+W33)+M33),0)&lt;=$L$19,$M$19,IF(ROUND((IF(BA33=2,SUM(L33,N33:W33,X33),BM33+W33)+M33),0)&lt;=$L$20,$M$20,IF(ROUND((IF(BA33=2,SUM(L33,N33:W33,X33),BM33+W33)+M33),0)&lt;=$L$21,$M$21,IF(ROUND((IF(BA33=2,SUM(L33,N33:W33,X33),BM33+W33)+M33),0)&lt;=$L$22,$M$22,IF(ROUND((IF(BA33=2,SUM(L33,N33:W33,X33),BM33+W33)+M33),0)&lt;=$L$23,$M$23,IF(ROUND((IF(BA33=2,SUM(L33,N33:W33,X33),BM33+W33)+M33),0)&lt;=$L$24,$M$24,IF(ROUND((IF(BA33=2,SUM(L33,N33:W33,X33),BM33+W33)+M33),0)&lt;=$O$10,$P$10,IF(ROUND((IF(BA33=2,SUM(L33,N33:W33,X33),BM33+W33)+M33),0)&lt;=$O$11,$P$11,IF(ROUND((IF(BA33=2,SUM(L33,N33:W33,X33),BM33+W33)+M33),0)&lt;=$O$12,$P$12,IF(ROUND((IF(BA33=2,SUM(L33,N33:W33,X33),BM33+W33)+M33),0)&lt;=$O$13,$P$13,IF(ROUND((IF(BA33=2,SUM(L33,N33:W33,X33),BM33+W33)+M33),0)&lt;=$O$14,$P$14,IF(ROUND((IF(BA33=2,SUM(L33,N33:W33,X33),BM33+W33)+M33),0)&lt;=$O$15,$P$15,IF(ROUND((IF(BA33=2,SUM(L33,N33:W33,X33),BM33+W33)+M33),0)&lt;=$O$16,$P$16,IF(ROUND((IF(BA33=2,SUM(L33,N33:W33,X33),BM33+W33)+M33),0)&lt;=$O$17,$P$17,IF(ROUND((IF(BA33=2,SUM(L33,N33:W33,X33),BM33+W33)+M33),0)&lt;=$O$18,$P$18,IF(ROUND((IF(BA33=2,SUM(L33,N33:W33,X33),BM33+W33)+M33),0)&lt;=$O$19,$P$19,IF(ROUND((IF(BA33=2,SUM(L33,N33:W33,X33),BM33+W33)+M33),0)&lt;=$O$20,$P$20,IF(ROUND((IF(BA33=2,SUM(L33,N33:W33,X33),BM33+W33)+M33),0)&lt;=$O$21,$P$21,IF(ROUND((IF(BA33=2,SUM(L33,N33:W33,X33),BM33+W33)+M33),0)&lt;=$O$22,$P$22,IF(ROUND((IF(BA33=2,SUM(L33,N33:W33,X33),BM33+W33)+M33),0)&lt;=$O$23,$P$23,IF(ROUND((IF(BA33=2,SUM(L33,N33:W33,X33),BM33+W33)+M33),0)&lt;=$O$24,$P$24,IF(ROUND((IF(BA33=2,SUM(L33,N33:W33,X33),BM33+W33)+M33),0)&lt;=$R$10,$S$10,IF(ROUND((IF(BA33=2,SUM(L33,N33:W33,X33),BM33+W33)+M33),0)&lt;=$R$11,$S$11,IF(ROUND((IF(BA33=2,SUM(L33,N33:W33,X33),BM33+W33)+M33),0)&lt;=$R$12,$S$12,IF(ROUND((IF(BA33=2,SUM(L33,N33:W33,X33),BM33+W33)+M33),0)&lt;=$R$13,$S$13,IF(ROUND((IF(BA33=2,SUM(L33,N33:W33,X33),BM33+W33)+M33),0)&lt;=$R$14,$S$14,IF(ROUND((IF(BA33=2,SUM(L33,N33:W33,X33),BM33+W33)+M33),0)&lt;=$R$15,$S$15,IF(ROUND((IF(BA33=2,SUM(L33,N33:W33,X33),BM33+W33)+M33),0)&lt;=$R$16,$S$16,IF(ROUND((IF(BA33=2,SUM(L33,N33:W33,X33),BM33+W33)+M33),0)&lt;=$R$17,$S$17,IF(ROUND((IF(BA33=2,SUM(L33,N33:W33,X33),BM33+W33)+M33),0)&lt;=$R$18,$S$18,$S$19))))))))))))))))))))))))))))))))))))))),IF(J33="M/3",IF(ROUND((IF(BA33=2,SUM(L33,N33:W33,X33),BM33+W33)+M33),0)&lt;=$V$10,$W$10,IF(ROUND((IF(BA33=2,SUM(L33,N33:W33,X33),BM33+W33)+M33),0)&lt;=$V$11,$W$11,IF(ROUND((IF(BA33=2,SUM(L33,N33:W33,X33),BM33+W33)+M33),0)&lt;=$V$12,$W$12,IF(ROUND((IF(BA33=2,SUM(L33,N33:W33,X33),BM33+W33)+M33),0)&lt;=$V$13,$W$13,IF(ROUND((IF(BA33=2,SUM(L33,N33:W33,X33),BM33+W33)+M33),0)&lt;=$V$14,$W$14,IF(ROUND((IF(BA33=2,SUM(L33,N33:W33,X33),BM33+W33)+M33),0)&lt;=$V$15,$W$15,IF(ROUND((IF(BA33=2,SUM(L33,N33:W33,X33),BM33+W33)+M33),0)&lt;=$V$16,$W$16,IF(ROUND((IF(BA33=2,SUM(L33,N33:W33,X33),BM33+W33)+M33),0)&lt;=$V$17,$W$17,IF(ROUND((IF(BA33=2,SUM(L33,N33:W33,X33),BM33+W33)+M33),0)&lt;=$V$18,$W$18,IF(ROUND((IF(BA33=2,SUM(L33,N33:W33,X33),BM33+W33)+M33),0)&lt;=$V$19,$W$19,IF(ROUND((IF(BA33=2,SUM(L33,N33:W33,X33),BM33+W33)+M33),0)&lt;=$V$20,$W$20,IF(ROUND((IF(BA33=2,SUM(L33,N33:W33,X33),BM33+W33)+M33),0)&lt;=$V$21,$W$21,IF(ROUND((IF(BA33=2,SUM(L33,N33:W33,X33),BM33+W33)+M33),0)&lt;=$V$22,$W$22,IF(ROUND((IF(BA33=2,SUM(L33,N33:W33,X33),BM33+W33)+M33),0)&lt;=$V$23,$W$23,IF(ROUND((IF(BA33=2,SUM(L33,N33:W33,X33),BM33+W33)+M33),0)&lt;=$V$24,$W$24,IF(ROUND((IF(BA33=2,SUM(L33,N33:W33,X33),BM33+W33)+M33),0)&lt;=$Y$10,$Z$10,IF(ROUND((IF(BA33=2,SUM(L33,N33:W33,X33),BM33+W33)+M33),0)&lt;=$Y$11,$Z$11,IF(ROUND((IF(BA33=2,SUM(L33,N33:W33,X33),BM33+W33)+M33),0)&lt;=$Y$12,$Z$12,IF(ROUND((IF(BA33=2,SUM(L33,N33:W33,X33),BM33+W33)+M33),0)&lt;=$Y$13,$Z$13,IF(ROUND((IF(BA33=2,SUM(L33,N33:W33,X33),BM33+W33)+M33),0)&lt;=$Y$14,$Z$14,IF(ROUND((IF(BA33=2,SUM(L33,N33:W33,X33),BM33+W33)+M33),0)&lt;=$Y$15,$Z$15,IF(ROUND((IF(BA33=2,SUM(L33,N33:W33,X33),BM33+W33)+M33),0)&lt;=$Y$16,$Z$16,IF(ROUND((IF(BA33=2,SUM(L33,N33:W33,X33),BM33+W33)+M33),0)&lt;=$Y$17,$Z$17,IF(ROUND((IF(BA33=2,SUM(L33,N33:W33,X33),BM33+W33)+M33),0)&lt;=$Y$18,$Z$18,IF(ROUND((IF(BA33=2,SUM(L33,N33:W33,X33),BM33+W33)+M33),0)&lt;=$Y$19,$Z$19,IF(ROUND((IF(BA33=2,SUM(L33,N33:W33,X33),BM33+W33)+M33),0)&lt;=$Y$20,$Z$20,IF(ROUND((IF(BA33=2,SUM(L33,N33:W33,X33),BM33+W33)+M33),0)&lt;=$Y$21,$Z$21,IF(ROUND((IF(BA33=2,SUM(L33,N33:W33,X33),BM33+W33)+M33),0)&lt;=$Y$22,$Z$22,IF(ROUND((IF(BA33=2,SUM(L33,N33:W33,X33),BM33+W33)+M33),0)&lt;=$Y$23,$Z$23,IF(ROUND((IF(BA33=2,SUM(L33,N33:W33,X33),BM33+W33)+M33),0)&lt;=$Y$24,$Z$24,IF(ROUND((IF(BA33=2,SUM(L33,N33:W33,X33),BM33+W33)+M33),0)&lt;=$AB$10,$AC$10,IF(ROUND((IF(BA33=2,SUM(L33,N33:W33,X33),BM33+W33)+M33),0)&lt;=$AB$11,$AC$11,IF(ROUND((IF(BA33=2,SUM(L33,N33:W33,X33),BM33+W33)+M33),0)&lt;=$AB$12,$AC$12,IF(ROUND((IF(BA33=2,SUM(L33,N33:W33,X33),BM33+W33)+M33),0)&lt;=$AB$13,$AC$13,IF(ROUND((IF(BA33=2,SUM(L33,N33:W33,X33),BM33+W33)+M33),0)&lt;=$AB$14,$AC$14,IF(ROUND((IF(BA33=2,SUM(L33,N33:W33,X33),BM33+W33)+M33),0)&lt;=$AB$15,$AC$15,IF(ROUND((IF(BA33=2,SUM(L33,N33:W33,X33),BM33+W33)+M33),0)&lt;=$AB$16,$AC$16,IF(ROUND((IF(BA33=2,SUM(L33,N33:W33,X33),BM33+W33)+M33),0)&lt;=$AB$17,$AC$17,IF(ROUND((IF(BA33=2,SUM(L33,N33:W33,X33),BM33+W33)+M33),0)&lt;=$AB$18,$AC$18,IF(ROUND((IF(BA33=2,SUM(L33,N33:W33,X33),BM33+W33)+M33),0)&lt;=$AB$19,$AC$19,$AC$20)))))))))))))))))))))))))))))))))))))))),"Missing PTKP status"))),0)-IF(BA33=2,0,BN33)))</x:f>
        <x:v>0</x:v>
      </x:c>
      <x:c r="BT33" s="13" t="n">
        <x:f>Z33+Y33+AA33+AB33</x:f>
        <x:v>2330426</x:v>
      </x:c>
      <x:c r="BU33" s="18" t="n">
        <x:v>0</x:v>
      </x:c>
      <x:c r="BV33" s="18" t="n">
        <x:v>0</x:v>
      </x:c>
      <x:c r="BW33" s="18" t="n">
        <x:v>0</x:v>
      </x:c>
    </x:row>
    <x:row r="34" ht="22" customHeight="1">
      <x:c r="A34" s="16" t="str">
        <x:v>Example</x:v>
      </x:c>
      <x:c r="B34" s="16" t="str">
        <x:v>Example</x:v>
      </x:c>
      <x:c r="C34" s="16" t="n">
        <x:v>5</x:v>
      </x:c>
      <x:c r="D34" s="16" t="str">
        <x:v>EXAMPLE005</x:v>
      </x:c>
      <x:c r="E34" s="16" t="str">
        <x:v>Example employee 5</x:v>
      </x:c>
      <x:c r="F34" s="16" t="str"/>
      <x:c r="G34" s="17"/>
      <x:c r="H34" s="17"/>
      <x:c r="I34" s="16" t="str">
        <x:v>Permanent</x:v>
      </x:c>
      <x:c r="J34" s="16" t="str">
        <x:v>S/0</x:v>
      </x:c>
      <x:c r="K34" s="16" t="str">
        <x:v>L</x:v>
      </x:c>
      <x:c r="L34" s="13" t="n">
        <x:f>ROUND(AS34*AT34/AU34,0)+AV34</x:f>
        <x:v>0</x:v>
      </x:c>
      <x:c r="M34" s="13" t="n">
        <x:f>IF(AND(BB34=1,BA34=2),"Review final-period gross-up",IF(BA34=0,0,MAX(0,BQ34)))</x:f>
        <x:v>0</x:v>
      </x:c>
      <x:c r="N34" s="13" t="n">
        <x:f>IF(AZ34=1,SUM(AG34:AI34),0)</x:f>
        <x:v>0</x:v>
      </x:c>
      <x:c r="O34" s="13" t="n">
        <x:f>ROUND(AS34*BU34/AU34,0)</x:f>
        <x:v>0</x:v>
      </x:c>
      <x:c r="P34" s="18" t="n">
        <x:v>0</x:v>
      </x:c>
      <x:c r="Q34" s="18" t="n">
        <x:v>0</x:v>
      </x:c>
      <x:c r="R34" s="18" t="n">
        <x:v>0</x:v>
      </x:c>
      <x:c r="S34" s="18" t="n">
        <x:v>0</x:v>
      </x:c>
      <x:c r="T34" s="13" t="n">
        <x:f>ROUND(BJ34*$C$4,0)</x:f>
        <x:v>0</x:v>
      </x:c>
      <x:c r="U34" s="13" t="n">
        <x:f>ROUND(BJ34*$C$5,0)</x:f>
        <x:v>0</x:v>
      </x:c>
      <x:c r="V34" s="13" t="n">
        <x:f>ROUND(BL34*$O$5,0)</x:f>
        <x:v>0</x:v>
      </x:c>
      <x:c r="W34" s="13" t="n">
        <x:f>ROUND(AW34/$S$4,0)</x:f>
        <x:v>0</x:v>
      </x:c>
      <x:c r="X34" s="18" t="n">
        <x:v>0</x:v>
      </x:c>
      <x:c r="Y34" s="18" t="n">
        <x:v>0</x:v>
      </x:c>
      <x:c r="Z34" s="13" t="n">
        <x:f>SUM(L34:X34)</x:f>
        <x:v>0</x:v>
      </x:c>
      <x:c r="AA34" s="13" t="n">
        <x:f>ROUND(BJ34*$C$6,0)</x:f>
        <x:v>0</x:v>
      </x:c>
      <x:c r="AB34" s="13" t="n">
        <x:f>ROUND(BK34*$G$5,0)</x:f>
        <x:v>0</x:v>
      </x:c>
      <x:c r="AC34" s="13" t="n">
        <x:f>T34</x:f>
        <x:v>0</x:v>
      </x:c>
      <x:c r="AD34" s="13" t="n">
        <x:f>U34</x:f>
        <x:v>0</x:v>
      </x:c>
      <x:c r="AE34" s="13" t="n">
        <x:f>V34</x:f>
        <x:v>0</x:v>
      </x:c>
      <x:c r="AF34" s="13" t="n">
        <x:f>W34</x:f>
        <x:v>0</x:v>
      </x:c>
      <x:c r="AG34" s="13" t="n">
        <x:f>ROUND(BJ34*$G$4,0)</x:f>
        <x:v>0</x:v>
      </x:c>
      <x:c r="AH34" s="13" t="n">
        <x:f>ROUND(BK34*$G$6,0)</x:f>
        <x:v>0</x:v>
      </x:c>
      <x:c r="AI34" s="13" t="n">
        <x:f>ROUND(BL34*$O$6,0)</x:f>
        <x:v>0</x:v>
      </x:c>
      <x:c r="AJ34" s="18" t="n">
        <x:v>0</x:v>
      </x:c>
      <x:c r="AK34" s="18" t="n">
        <x:v>0</x:v>
      </x:c>
      <x:c r="AL34" s="18" t="n">
        <x:v>0</x:v>
      </x:c>
      <x:c r="AM34" s="18" t="n">
        <x:v>0</x:v>
      </x:c>
      <x:c r="AN34" s="13" t="n">
        <x:f>IF(BB34=1,BI34-BF34,ROUND(Z34*BR34,0))</x:f>
        <x:v>0</x:v>
      </x:c>
      <x:c r="AO34" s="13" t="n">
        <x:f>ROUND(MAX(0,MIN(Y34+BV34,$AK$10)-0)*$AL$10+MAX(0,MIN(Y34+BV34,$AK$11)-$AK$10)*$AL$11+MAX(0,MIN(Y34+BV34,$AK$12)-$AK$11)*$AL$12+MAX(0,Y34+BV34-$AK$12)*$AL$13,0)-BW34</x:f>
        <x:v>0</x:v>
      </x:c>
      <x:c r="AP34" s="13" t="n">
        <x:f>SUM(AC34:AO34)</x:f>
        <x:v>0</x:v>
      </x:c>
      <x:c r="AQ34" s="19" t="n">
        <x:f>Z34+Y34-AP34</x:f>
        <x:v>0</x:v>
      </x:c>
      <x:c r="AR34" s="18" t="str">
        <x:v>No pay and no insurance cover</x:v>
      </x:c>
      <x:c r="AS34" s="18" t="n">
        <x:v>0</x:v>
      </x:c>
      <x:c r="AT34" s="18" t="n">
        <x:v>31</x:v>
      </x:c>
      <x:c r="AU34" s="18" t="n">
        <x:v>31</x:v>
      </x:c>
      <x:c r="AV34" s="18" t="n">
        <x:v>0</x:v>
      </x:c>
      <x:c r="AW34" s="18" t="n">
        <x:v>0</x:v>
      </x:c>
      <x:c r="AX34" s="18" t="n">
        <x:v>0</x:v>
      </x:c>
      <x:c r="AY34" s="18" t="n">
        <x:v>0</x:v>
      </x:c>
      <x:c r="AZ34" s="18" t="n">
        <x:v>0</x:v>
      </x:c>
      <x:c r="BA34" s="18" t="n">
        <x:v>0</x:v>
      </x:c>
      <x:c r="BB34" s="18" t="n">
        <x:v>0</x:v>
      </x:c>
      <x:c r="BC34" s="18" t="n">
        <x:v>0</x:v>
      </x:c>
      <x:c r="BD34" s="18" t="n">
        <x:v>0</x:v>
      </x:c>
      <x:c r="BE34" s="18" t="n">
        <x:v>8</x:v>
      </x:c>
      <x:c r="BF34" s="18" t="n">
        <x:v>0</x:v>
      </x:c>
      <x:c r="BG34" s="13" t="n">
        <x:f>IF(J34="S/0",$W$5,IF(J34="S/1",$W$6,IF(J34="S/2",$AA$4,IF(J34="S/3",$AA$5,IF(J34="M/0",$AA$6,IF(J34="M/1",$AE$4,IF(J34="M/2",$AE$5,IF(J34="M/3",$AE$6,"Missing PTKP status"))))))))</x:f>
        <x:v>54000000</x:v>
      </x:c>
      <x:c r="BH34" s="13" t="n">
        <x:f>MAX(0,FLOOR(BC34+Z34-MIN((BC34+Z34)*$S$5,BE34*$S$6)-BD34-AG34-AH34-BG34,$W$4))</x:f>
        <x:v>0</x:v>
      </x:c>
      <x:c r="BI34" s="13" t="n">
        <x:f>ROUND(MAX(0,MIN(BH34,$AG$10)-0)*$AH$10+MAX(0,MIN(BH34,$AG$11)-$AG$10)*$AH$11+MAX(0,MIN(BH34,$AG$12)-$AG$11)*$AH$12+MAX(0,MIN(BH34,$AG$13)-$AG$12)*$AH$13+MAX(0,BH34-$AG$13)*$AH$14,0)</x:f>
        <x:v>0</x:v>
      </x:c>
      <x:c r="BJ34" s="13" t="n">
        <x:f>IF(AX34=1,IF(L34=0,0,MAX(L34,$K$4)),0)</x:f>
        <x:v>0</x:v>
      </x:c>
      <x:c r="BK34" s="13" t="n">
        <x:f>IF(AX34=1,MIN(MAX(L34,$K$4),$K$5),0)</x:f>
        <x:v>0</x:v>
      </x:c>
      <x:c r="BL34" s="13" t="n">
        <x:f>IF(AY34=1,MIN(MAX(L34,$K$6),$O$4),0)</x:f>
        <x:v>0</x:v>
      </x:c>
      <x:c r="BM34" s="13" t="n">
        <x:f>SUM(L34,N34,O34,S34,T34:V34)</x:f>
        <x:v>0</x:v>
      </x:c>
      <x:c r="BN34" s="13" t="n">
        <x:f>ROUND(BM34*IF(OR(J34="S/0",J34="S/1",J34="M/0"),IF(ROUND(BM34,0)&lt;=$B$10,$C$10,IF(ROUND(BM34,0)&lt;=$B$11,$C$11,IF(ROUND(BM34,0)&lt;=$B$12,$C$12,IF(ROUND(BM34,0)&lt;=$B$13,$C$13,IF(ROUND(BM34,0)&lt;=$B$14,$C$14,IF(ROUND(BM34,0)&lt;=$B$15,$C$15,IF(ROUND(BM34,0)&lt;=$B$16,$C$16,IF(ROUND(BM34,0)&lt;=$B$17,$C$17,IF(ROUND(BM34,0)&lt;=$B$18,$C$18,IF(ROUND(BM34,0)&lt;=$B$19,$C$19,IF(ROUND(BM34,0)&lt;=$B$20,$C$20,IF(ROUND(BM34,0)&lt;=$B$21,$C$21,IF(ROUND(BM34,0)&lt;=$B$22,$C$22,IF(ROUND(BM34,0)&lt;=$B$23,$C$23,IF(ROUND(BM34,0)&lt;=$B$24,$C$24,IF(ROUND(BM34,0)&lt;=$E$10,$F$10,IF(ROUND(BM34,0)&lt;=$E$11,$F$11,IF(ROUND(BM34,0)&lt;=$E$12,$F$12,IF(ROUND(BM34,0)&lt;=$E$13,$F$13,IF(ROUND(BM34,0)&lt;=$E$14,$F$14,IF(ROUND(BM34,0)&lt;=$E$15,$F$15,IF(ROUND(BM34,0)&lt;=$E$16,$F$16,IF(ROUND(BM34,0)&lt;=$E$17,$F$17,IF(ROUND(BM34,0)&lt;=$E$18,$F$18,IF(ROUND(BM34,0)&lt;=$E$19,$F$19,IF(ROUND(BM34,0)&lt;=$E$20,$F$20,IF(ROUND(BM34,0)&lt;=$E$21,$F$21,IF(ROUND(BM34,0)&lt;=$E$22,$F$22,IF(ROUND(BM34,0)&lt;=$E$23,$F$23,IF(ROUND(BM34,0)&lt;=$E$24,$F$24,IF(ROUND(BM34,0)&lt;=$H$10,$I$10,IF(ROUND(BM34,0)&lt;=$H$11,$I$11,IF(ROUND(BM34,0)&lt;=$H$12,$I$12,IF(ROUND(BM34,0)&lt;=$H$13,$I$13,IF(ROUND(BM34,0)&lt;=$H$14,$I$14,IF(ROUND(BM34,0)&lt;=$H$15,$I$15,IF(ROUND(BM34,0)&lt;=$H$16,$I$16,IF(ROUND(BM34,0)&lt;=$H$17,$I$17,IF(ROUND(BM34,0)&lt;=$H$18,$I$18,IF(ROUND(BM34,0)&lt;=$H$19,$I$19,IF(ROUND(BM34,0)&lt;=$H$20,$I$20,IF(ROUND(BM34,0)&lt;=$H$21,$I$21,IF(ROUND(BM34,0)&lt;=$H$22,$I$22,$I$23))))))))))))))))))))))))))))))))))))))))))),IF(OR(J34="S/2",J34="S/3",J34="M/1",J34="M/2"),IF(ROUND(BM34,0)&lt;=$L$10,$M$10,IF(ROUND(BM34,0)&lt;=$L$11,$M$11,IF(ROUND(BM34,0)&lt;=$L$12,$M$12,IF(ROUND(BM34,0)&lt;=$L$13,$M$13,IF(ROUND(BM34,0)&lt;=$L$14,$M$14,IF(ROUND(BM34,0)&lt;=$L$15,$M$15,IF(ROUND(BM34,0)&lt;=$L$16,$M$16,IF(ROUND(BM34,0)&lt;=$L$17,$M$17,IF(ROUND(BM34,0)&lt;=$L$18,$M$18,IF(ROUND(BM34,0)&lt;=$L$19,$M$19,IF(ROUND(BM34,0)&lt;=$L$20,$M$20,IF(ROUND(BM34,0)&lt;=$L$21,$M$21,IF(ROUND(BM34,0)&lt;=$L$22,$M$22,IF(ROUND(BM34,0)&lt;=$L$23,$M$23,IF(ROUND(BM34,0)&lt;=$L$24,$M$24,IF(ROUND(BM34,0)&lt;=$O$10,$P$10,IF(ROUND(BM34,0)&lt;=$O$11,$P$11,IF(ROUND(BM34,0)&lt;=$O$12,$P$12,IF(ROUND(BM34,0)&lt;=$O$13,$P$13,IF(ROUND(BM34,0)&lt;=$O$14,$P$14,IF(ROUND(BM34,0)&lt;=$O$15,$P$15,IF(ROUND(BM34,0)&lt;=$O$16,$P$16,IF(ROUND(BM34,0)&lt;=$O$17,$P$17,IF(ROUND(BM34,0)&lt;=$O$18,$P$18,IF(ROUND(BM34,0)&lt;=$O$19,$P$19,IF(ROUND(BM34,0)&lt;=$O$20,$P$20,IF(ROUND(BM34,0)&lt;=$O$21,$P$21,IF(ROUND(BM34,0)&lt;=$O$22,$P$22,IF(ROUND(BM34,0)&lt;=$O$23,$P$23,IF(ROUND(BM34,0)&lt;=$O$24,$P$24,IF(ROUND(BM34,0)&lt;=$R$10,$S$10,IF(ROUND(BM34,0)&lt;=$R$11,$S$11,IF(ROUND(BM34,0)&lt;=$R$12,$S$12,IF(ROUND(BM34,0)&lt;=$R$13,$S$13,IF(ROUND(BM34,0)&lt;=$R$14,$S$14,IF(ROUND(BM34,0)&lt;=$R$15,$S$15,IF(ROUND(BM34,0)&lt;=$R$16,$S$16,IF(ROUND(BM34,0)&lt;=$R$17,$S$17,IF(ROUND(BM34,0)&lt;=$R$18,$S$18,$S$19))))))))))))))))))))))))))))))))))))))),IF(J34="M/3",IF(ROUND(BM34,0)&lt;=$V$10,$W$10,IF(ROUND(BM34,0)&lt;=$V$11,$W$11,IF(ROUND(BM34,0)&lt;=$V$12,$W$12,IF(ROUND(BM34,0)&lt;=$V$13,$W$13,IF(ROUND(BM34,0)&lt;=$V$14,$W$14,IF(ROUND(BM34,0)&lt;=$V$15,$W$15,IF(ROUND(BM34,0)&lt;=$V$16,$W$16,IF(ROUND(BM34,0)&lt;=$V$17,$W$17,IF(ROUND(BM34,0)&lt;=$V$18,$W$18,IF(ROUND(BM34,0)&lt;=$V$19,$W$19,IF(ROUND(BM34,0)&lt;=$V$20,$W$20,IF(ROUND(BM34,0)&lt;=$V$21,$W$21,IF(ROUND(BM34,0)&lt;=$V$22,$W$22,IF(ROUND(BM34,0)&lt;=$V$23,$W$23,IF(ROUND(BM34,0)&lt;=$V$24,$W$24,IF(ROUND(BM34,0)&lt;=$Y$10,$Z$10,IF(ROUND(BM34,0)&lt;=$Y$11,$Z$11,IF(ROUND(BM34,0)&lt;=$Y$12,$Z$12,IF(ROUND(BM34,0)&lt;=$Y$13,$Z$13,IF(ROUND(BM34,0)&lt;=$Y$14,$Z$14,IF(ROUND(BM34,0)&lt;=$Y$15,$Z$15,IF(ROUND(BM34,0)&lt;=$Y$16,$Z$16,IF(ROUND(BM34,0)&lt;=$Y$17,$Z$17,IF(ROUND(BM34,0)&lt;=$Y$18,$Z$18,IF(ROUND(BM34,0)&lt;=$Y$19,$Z$19,IF(ROUND(BM34,0)&lt;=$Y$20,$Z$20,IF(ROUND(BM34,0)&lt;=$Y$21,$Z$21,IF(ROUND(BM34,0)&lt;=$Y$22,$Z$22,IF(ROUND(BM34,0)&lt;=$Y$23,$Z$23,IF(ROUND(BM34,0)&lt;=$Y$24,$Z$24,IF(ROUND(BM34,0)&lt;=$AB$10,$AC$10,IF(ROUND(BM34,0)&lt;=$AB$11,$AC$11,IF(ROUND(BM34,0)&lt;=$AB$12,$AC$12,IF(ROUND(BM34,0)&lt;=$AB$13,$AC$13,IF(ROUND(BM34,0)&lt;=$AB$14,$AC$14,IF(ROUND(BM34,0)&lt;=$AB$15,$AC$15,IF(ROUND(BM34,0)&lt;=$AB$16,$AC$16,IF(ROUND(BM34,0)&lt;=$AB$17,$AC$17,IF(ROUND(BM34,0)&lt;=$AB$18,$AC$18,IF(ROUND(BM34,0)&lt;=$AB$19,$AC$19,$AC$20)))))))))))))))))))))))))))))))))))))))),"Missing PTKP status"))),0)</x:f>
        <x:v>0</x:v>
      </x:c>
      <x:c r="BO34" s="13" t="n">
        <x:f>IF(BA34=2,SUM(L34,N34:W34,X34),BM34+W34-BN34)</x:f>
        <x:v>0</x:v>
      </x:c>
      <x:c r="BP34" s="13" t="n">
        <x:f>IF(OR(J34="S/0",J34="S/1",J34="M/0"),IF(BO34&lt;=$B$10*(1-$C$10),BO34/(1-$C$10),IF(BO34&lt;=$B$11*(1-$C$11),BO34/(1-$C$11),IF(BO34&lt;=$B$12*(1-$C$12),BO34/(1-$C$12),IF(BO34&lt;=$B$13*(1-$C$13),BO34/(1-$C$13),IF(BO34&lt;=$B$14*(1-$C$14),BO34/(1-$C$14),IF(BO34&lt;=$B$15*(1-$C$15),BO34/(1-$C$15),IF(BO34&lt;=$B$16*(1-$C$16),BO34/(1-$C$16),IF(BO34&lt;=$B$17*(1-$C$17),BO34/(1-$C$17),IF(BO34&lt;=$B$18*(1-$C$18),BO34/(1-$C$18),IF(BO34&lt;=$B$19*(1-$C$19),BO34/(1-$C$19),IF(BO34&lt;=$B$20*(1-$C$20),BO34/(1-$C$20),IF(BO34&lt;=$B$21*(1-$C$21),BO34/(1-$C$21),IF(BO34&lt;=$B$22*(1-$C$22),BO34/(1-$C$22),IF(BO34&lt;=$B$23*(1-$C$23),BO34/(1-$C$23),IF(BO34&lt;=$B$24*(1-$C$24),BO34/(1-$C$24),IF(BO34&lt;=$E$10*(1-$F$10),BO34/(1-$F$10),IF(BO34&lt;=$E$11*(1-$F$11),BO34/(1-$F$11),IF(BO34&lt;=$E$12*(1-$F$12),BO34/(1-$F$12),IF(BO34&lt;=$E$13*(1-$F$13),BO34/(1-$F$13),IF(BO34&lt;=$E$14*(1-$F$14),BO34/(1-$F$14),IF(BO34&lt;=$E$15*(1-$F$15),BO34/(1-$F$15),IF(BO34&lt;=$E$16*(1-$F$16),BO34/(1-$F$16),IF(BO34&lt;=$E$17*(1-$F$17),BO34/(1-$F$17),IF(BO34&lt;=$E$18*(1-$F$18),BO34/(1-$F$18),IF(BO34&lt;=$E$19*(1-$F$19),BO34/(1-$F$19),IF(BO34&lt;=$E$20*(1-$F$20),BO34/(1-$F$20),IF(BO34&lt;=$E$21*(1-$F$21),BO34/(1-$F$21),IF(BO34&lt;=$E$22*(1-$F$22),BO34/(1-$F$22),IF(BO34&lt;=$E$23*(1-$F$23),BO34/(1-$F$23),IF(BO34&lt;=$E$24*(1-$F$24),BO34/(1-$F$24),IF(BO34&lt;=$H$10*(1-$I$10),BO34/(1-$I$10),IF(BO34&lt;=$H$11*(1-$I$11),BO34/(1-$I$11),IF(BO34&lt;=$H$12*(1-$I$12),BO34/(1-$I$12),IF(BO34&lt;=$H$13*(1-$I$13),BO34/(1-$I$13),IF(BO34&lt;=$H$14*(1-$I$14),BO34/(1-$I$14),IF(BO34&lt;=$H$15*(1-$I$15),BO34/(1-$I$15),IF(BO34&lt;=$H$16*(1-$I$16),BO34/(1-$I$16),IF(BO34&lt;=$H$17*(1-$I$17),BO34/(1-$I$17),IF(BO34&lt;=$H$18*(1-$I$18),BO34/(1-$I$18),IF(BO34&lt;=$H$19*(1-$I$19),BO34/(1-$I$19),IF(BO34&lt;=$H$20*(1-$I$20),BO34/(1-$I$20),IF(BO34&lt;=$H$21*(1-$I$21),BO34/(1-$I$21),IF(BO34&lt;=$H$22*(1-$I$22),BO34/(1-$I$22),BO34/(1-$I$23)))))))))))))))))))))))))))))))))))))))))))),IF(OR(J34="S/2",J34="S/3",J34="M/1",J34="M/2"),IF(BO34&lt;=$L$10*(1-$M$10),BO34/(1-$M$10),IF(BO34&lt;=$L$11*(1-$M$11),BO34/(1-$M$11),IF(BO34&lt;=$L$12*(1-$M$12),BO34/(1-$M$12),IF(BO34&lt;=$L$13*(1-$M$13),BO34/(1-$M$13),IF(BO34&lt;=$L$14*(1-$M$14),BO34/(1-$M$14),IF(BO34&lt;=$L$15*(1-$M$15),BO34/(1-$M$15),IF(BO34&lt;=$L$16*(1-$M$16),BO34/(1-$M$16),IF(BO34&lt;=$L$17*(1-$M$17),BO34/(1-$M$17),IF(BO34&lt;=$L$18*(1-$M$18),BO34/(1-$M$18),IF(BO34&lt;=$L$19*(1-$M$19),BO34/(1-$M$19),IF(BO34&lt;=$L$20*(1-$M$20),BO34/(1-$M$20),IF(BO34&lt;=$L$21*(1-$M$21),BO34/(1-$M$21),IF(BO34&lt;=$L$22*(1-$M$22),BO34/(1-$M$22),IF(BO34&lt;=$L$23*(1-$M$23),BO34/(1-$M$23),IF(BO34&lt;=$L$24*(1-$M$24),BO34/(1-$M$24),IF(BO34&lt;=$O$10*(1-$P$10),BO34/(1-$P$10),IF(BO34&lt;=$O$11*(1-$P$11),BO34/(1-$P$11),IF(BO34&lt;=$O$12*(1-$P$12),BO34/(1-$P$12),IF(BO34&lt;=$O$13*(1-$P$13),BO34/(1-$P$13),IF(BO34&lt;=$O$14*(1-$P$14),BO34/(1-$P$14),IF(BO34&lt;=$O$15*(1-$P$15),BO34/(1-$P$15),IF(BO34&lt;=$O$16*(1-$P$16),BO34/(1-$P$16),IF(BO34&lt;=$O$17*(1-$P$17),BO34/(1-$P$17),IF(BO34&lt;=$O$18*(1-$P$18),BO34/(1-$P$18),IF(BO34&lt;=$O$19*(1-$P$19),BO34/(1-$P$19),IF(BO34&lt;=$O$20*(1-$P$20),BO34/(1-$P$20),IF(BO34&lt;=$O$21*(1-$P$21),BO34/(1-$P$21),IF(BO34&lt;=$O$22*(1-$P$22),BO34/(1-$P$22),IF(BO34&lt;=$O$23*(1-$P$23),BO34/(1-$P$23),IF(BO34&lt;=$O$24*(1-$P$24),BO34/(1-$P$24),IF(BO34&lt;=$R$10*(1-$S$10),BO34/(1-$S$10),IF(BO34&lt;=$R$11*(1-$S$11),BO34/(1-$S$11),IF(BO34&lt;=$R$12*(1-$S$12),BO34/(1-$S$12),IF(BO34&lt;=$R$13*(1-$S$13),BO34/(1-$S$13),IF(BO34&lt;=$R$14*(1-$S$14),BO34/(1-$S$14),IF(BO34&lt;=$R$15*(1-$S$15),BO34/(1-$S$15),IF(BO34&lt;=$R$16*(1-$S$16),BO34/(1-$S$16),IF(BO34&lt;=$R$17*(1-$S$17),BO34/(1-$S$17),IF(BO34&lt;=$R$18*(1-$S$18),BO34/(1-$S$18),BO34/(1-$S$19)))))))))))))))))))))))))))))))))))))))),IF(J34="M/3",IF(BO34&lt;=$V$10*(1-$W$10),BO34/(1-$W$10),IF(BO34&lt;=$V$11*(1-$W$11),BO34/(1-$W$11),IF(BO34&lt;=$V$12*(1-$W$12),BO34/(1-$W$12),IF(BO34&lt;=$V$13*(1-$W$13),BO34/(1-$W$13),IF(BO34&lt;=$V$14*(1-$W$14),BO34/(1-$W$14),IF(BO34&lt;=$V$15*(1-$W$15),BO34/(1-$W$15),IF(BO34&lt;=$V$16*(1-$W$16),BO34/(1-$W$16),IF(BO34&lt;=$V$17*(1-$W$17),BO34/(1-$W$17),IF(BO34&lt;=$V$18*(1-$W$18),BO34/(1-$W$18),IF(BO34&lt;=$V$19*(1-$W$19),BO34/(1-$W$19),IF(BO34&lt;=$V$20*(1-$W$20),BO34/(1-$W$20),IF(BO34&lt;=$V$21*(1-$W$21),BO34/(1-$W$21),IF(BO34&lt;=$V$22*(1-$W$22),BO34/(1-$W$22),IF(BO34&lt;=$V$23*(1-$W$23),BO34/(1-$W$23),IF(BO34&lt;=$V$24*(1-$W$24),BO34/(1-$W$24),IF(BO34&lt;=$Y$10*(1-$Z$10),BO34/(1-$Z$10),IF(BO34&lt;=$Y$11*(1-$Z$11),BO34/(1-$Z$11),IF(BO34&lt;=$Y$12*(1-$Z$12),BO34/(1-$Z$12),IF(BO34&lt;=$Y$13*(1-$Z$13),BO34/(1-$Z$13),IF(BO34&lt;=$Y$14*(1-$Z$14),BO34/(1-$Z$14),IF(BO34&lt;=$Y$15*(1-$Z$15),BO34/(1-$Z$15),IF(BO34&lt;=$Y$16*(1-$Z$16),BO34/(1-$Z$16),IF(BO34&lt;=$Y$17*(1-$Z$17),BO34/(1-$Z$17),IF(BO34&lt;=$Y$18*(1-$Z$18),BO34/(1-$Z$18),IF(BO34&lt;=$Y$19*(1-$Z$19),BO34/(1-$Z$19),IF(BO34&lt;=$Y$20*(1-$Z$20),BO34/(1-$Z$20),IF(BO34&lt;=$Y$21*(1-$Z$21),BO34/(1-$Z$21),IF(BO34&lt;=$Y$22*(1-$Z$22),BO34/(1-$Z$22),IF(BO34&lt;=$Y$23*(1-$Z$23),BO34/(1-$Z$23),IF(BO34&lt;=$Y$24*(1-$Z$24),BO34/(1-$Z$24),IF(BO34&lt;=$AB$10*(1-$AC$10),BO34/(1-$AC$10),IF(BO34&lt;=$AB$11*(1-$AC$11),BO34/(1-$AC$11),IF(BO34&lt;=$AB$12*(1-$AC$12),BO34/(1-$AC$12),IF(BO34&lt;=$AB$13*(1-$AC$13),BO34/(1-$AC$13),IF(BO34&lt;=$AB$14*(1-$AC$14),BO34/(1-$AC$14),IF(BO34&lt;=$AB$15*(1-$AC$15),BO34/(1-$AC$15),IF(BO34&lt;=$AB$16*(1-$AC$16),BO34/(1-$AC$16),IF(BO34&lt;=$AB$17*(1-$AC$17),BO34/(1-$AC$17),IF(BO34&lt;=$AB$18*(1-$AC$18),BO34/(1-$AC$18),IF(BO34&lt;=$AB$19*(1-$AC$19),BO34/(1-$AC$19),BO34/(1-$AC$20))))))))))))))))))))))))))))))))))))))))),"Missing PTKP status")))</x:f>
        <x:v>0</x:v>
      </x:c>
      <x:c r="BQ34" s="13" t="n">
        <x:f>ROUND(BP34-IF(BA34=2,SUM(L34,N34:W34,X34),BM34+W34),0)</x:f>
        <x:v>0</x:v>
      </x:c>
      <x:c r="BR34" s="14" t="n">
        <x:f>IF(OR(J34="S/0",J34="S/1",J34="M/0"),IF(ROUND(Z34,0)&lt;=$B$10,$C$10,IF(ROUND(Z34,0)&lt;=$B$11,$C$11,IF(ROUND(Z34,0)&lt;=$B$12,$C$12,IF(ROUND(Z34,0)&lt;=$B$13,$C$13,IF(ROUND(Z34,0)&lt;=$B$14,$C$14,IF(ROUND(Z34,0)&lt;=$B$15,$C$15,IF(ROUND(Z34,0)&lt;=$B$16,$C$16,IF(ROUND(Z34,0)&lt;=$B$17,$C$17,IF(ROUND(Z34,0)&lt;=$B$18,$C$18,IF(ROUND(Z34,0)&lt;=$B$19,$C$19,IF(ROUND(Z34,0)&lt;=$B$20,$C$20,IF(ROUND(Z34,0)&lt;=$B$21,$C$21,IF(ROUND(Z34,0)&lt;=$B$22,$C$22,IF(ROUND(Z34,0)&lt;=$B$23,$C$23,IF(ROUND(Z34,0)&lt;=$B$24,$C$24,IF(ROUND(Z34,0)&lt;=$E$10,$F$10,IF(ROUND(Z34,0)&lt;=$E$11,$F$11,IF(ROUND(Z34,0)&lt;=$E$12,$F$12,IF(ROUND(Z34,0)&lt;=$E$13,$F$13,IF(ROUND(Z34,0)&lt;=$E$14,$F$14,IF(ROUND(Z34,0)&lt;=$E$15,$F$15,IF(ROUND(Z34,0)&lt;=$E$16,$F$16,IF(ROUND(Z34,0)&lt;=$E$17,$F$17,IF(ROUND(Z34,0)&lt;=$E$18,$F$18,IF(ROUND(Z34,0)&lt;=$E$19,$F$19,IF(ROUND(Z34,0)&lt;=$E$20,$F$20,IF(ROUND(Z34,0)&lt;=$E$21,$F$21,IF(ROUND(Z34,0)&lt;=$E$22,$F$22,IF(ROUND(Z34,0)&lt;=$E$23,$F$23,IF(ROUND(Z34,0)&lt;=$E$24,$F$24,IF(ROUND(Z34,0)&lt;=$H$10,$I$10,IF(ROUND(Z34,0)&lt;=$H$11,$I$11,IF(ROUND(Z34,0)&lt;=$H$12,$I$12,IF(ROUND(Z34,0)&lt;=$H$13,$I$13,IF(ROUND(Z34,0)&lt;=$H$14,$I$14,IF(ROUND(Z34,0)&lt;=$H$15,$I$15,IF(ROUND(Z34,0)&lt;=$H$16,$I$16,IF(ROUND(Z34,0)&lt;=$H$17,$I$17,IF(ROUND(Z34,0)&lt;=$H$18,$I$18,IF(ROUND(Z34,0)&lt;=$H$19,$I$19,IF(ROUND(Z34,0)&lt;=$H$20,$I$20,IF(ROUND(Z34,0)&lt;=$H$21,$I$21,IF(ROUND(Z34,0)&lt;=$H$22,$I$22,$I$23))))))))))))))))))))))))))))))))))))))))))),IF(OR(J34="S/2",J34="S/3",J34="M/1",J34="M/2"),IF(ROUND(Z34,0)&lt;=$L$10,$M$10,IF(ROUND(Z34,0)&lt;=$L$11,$M$11,IF(ROUND(Z34,0)&lt;=$L$12,$M$12,IF(ROUND(Z34,0)&lt;=$L$13,$M$13,IF(ROUND(Z34,0)&lt;=$L$14,$M$14,IF(ROUND(Z34,0)&lt;=$L$15,$M$15,IF(ROUND(Z34,0)&lt;=$L$16,$M$16,IF(ROUND(Z34,0)&lt;=$L$17,$M$17,IF(ROUND(Z34,0)&lt;=$L$18,$M$18,IF(ROUND(Z34,0)&lt;=$L$19,$M$19,IF(ROUND(Z34,0)&lt;=$L$20,$M$20,IF(ROUND(Z34,0)&lt;=$L$21,$M$21,IF(ROUND(Z34,0)&lt;=$L$22,$M$22,IF(ROUND(Z34,0)&lt;=$L$23,$M$23,IF(ROUND(Z34,0)&lt;=$L$24,$M$24,IF(ROUND(Z34,0)&lt;=$O$10,$P$10,IF(ROUND(Z34,0)&lt;=$O$11,$P$11,IF(ROUND(Z34,0)&lt;=$O$12,$P$12,IF(ROUND(Z34,0)&lt;=$O$13,$P$13,IF(ROUND(Z34,0)&lt;=$O$14,$P$14,IF(ROUND(Z34,0)&lt;=$O$15,$P$15,IF(ROUND(Z34,0)&lt;=$O$16,$P$16,IF(ROUND(Z34,0)&lt;=$O$17,$P$17,IF(ROUND(Z34,0)&lt;=$O$18,$P$18,IF(ROUND(Z34,0)&lt;=$O$19,$P$19,IF(ROUND(Z34,0)&lt;=$O$20,$P$20,IF(ROUND(Z34,0)&lt;=$O$21,$P$21,IF(ROUND(Z34,0)&lt;=$O$22,$P$22,IF(ROUND(Z34,0)&lt;=$O$23,$P$23,IF(ROUND(Z34,0)&lt;=$O$24,$P$24,IF(ROUND(Z34,0)&lt;=$R$10,$S$10,IF(ROUND(Z34,0)&lt;=$R$11,$S$11,IF(ROUND(Z34,0)&lt;=$R$12,$S$12,IF(ROUND(Z34,0)&lt;=$R$13,$S$13,IF(ROUND(Z34,0)&lt;=$R$14,$S$14,IF(ROUND(Z34,0)&lt;=$R$15,$S$15,IF(ROUND(Z34,0)&lt;=$R$16,$S$16,IF(ROUND(Z34,0)&lt;=$R$17,$S$17,IF(ROUND(Z34,0)&lt;=$R$18,$S$18,$S$19))))))))))))))))))))))))))))))))))))))),IF(J34="M/3",IF(ROUND(Z34,0)&lt;=$V$10,$W$10,IF(ROUND(Z34,0)&lt;=$V$11,$W$11,IF(ROUND(Z34,0)&lt;=$V$12,$W$12,IF(ROUND(Z34,0)&lt;=$V$13,$W$13,IF(ROUND(Z34,0)&lt;=$V$14,$W$14,IF(ROUND(Z34,0)&lt;=$V$15,$W$15,IF(ROUND(Z34,0)&lt;=$V$16,$W$16,IF(ROUND(Z34,0)&lt;=$V$17,$W$17,IF(ROUND(Z34,0)&lt;=$V$18,$W$18,IF(ROUND(Z34,0)&lt;=$V$19,$W$19,IF(ROUND(Z34,0)&lt;=$V$20,$W$20,IF(ROUND(Z34,0)&lt;=$V$21,$W$21,IF(ROUND(Z34,0)&lt;=$V$22,$W$22,IF(ROUND(Z34,0)&lt;=$V$23,$W$23,IF(ROUND(Z34,0)&lt;=$V$24,$W$24,IF(ROUND(Z34,0)&lt;=$Y$10,$Z$10,IF(ROUND(Z34,0)&lt;=$Y$11,$Z$11,IF(ROUND(Z34,0)&lt;=$Y$12,$Z$12,IF(ROUND(Z34,0)&lt;=$Y$13,$Z$13,IF(ROUND(Z34,0)&lt;=$Y$14,$Z$14,IF(ROUND(Z34,0)&lt;=$Y$15,$Z$15,IF(ROUND(Z34,0)&lt;=$Y$16,$Z$16,IF(ROUND(Z34,0)&lt;=$Y$17,$Z$17,IF(ROUND(Z34,0)&lt;=$Y$18,$Z$18,IF(ROUND(Z34,0)&lt;=$Y$19,$Z$19,IF(ROUND(Z34,0)&lt;=$Y$20,$Z$20,IF(ROUND(Z34,0)&lt;=$Y$21,$Z$21,IF(ROUND(Z34,0)&lt;=$Y$22,$Z$22,IF(ROUND(Z34,0)&lt;=$Y$23,$Z$23,IF(ROUND(Z34,0)&lt;=$Y$24,$Z$24,IF(ROUND(Z34,0)&lt;=$AB$10,$AC$10,IF(ROUND(Z34,0)&lt;=$AB$11,$AC$11,IF(ROUND(Z34,0)&lt;=$AB$12,$AC$12,IF(ROUND(Z34,0)&lt;=$AB$13,$AC$13,IF(ROUND(Z34,0)&lt;=$AB$14,$AC$14,IF(ROUND(Z34,0)&lt;=$AB$15,$AC$15,IF(ROUND(Z34,0)&lt;=$AB$16,$AC$16,IF(ROUND(Z34,0)&lt;=$AB$17,$AC$17,IF(ROUND(Z34,0)&lt;=$AB$18,$AC$18,IF(ROUND(Z34,0)&lt;=$AB$19,$AC$19,$AC$20)))))))))))))))))))))))))))))))))))))))),"Missing PTKP status")))</x:f>
        <x:v>0</x:v>
      </x:c>
      <x:c r="BS34" s="13" t="n">
        <x:f>IF(BA34=0,0,M34-(ROUND((IF(BA34=2,SUM(L34,N34:W34,X34),BM34+W34)+M34)*IF(OR(J34="S/0",J34="S/1",J34="M/0"),IF(ROUND((IF(BA34=2,SUM(L34,N34:W34,X34),BM34+W34)+M34),0)&lt;=$B$10,$C$10,IF(ROUND((IF(BA34=2,SUM(L34,N34:W34,X34),BM34+W34)+M34),0)&lt;=$B$11,$C$11,IF(ROUND((IF(BA34=2,SUM(L34,N34:W34,X34),BM34+W34)+M34),0)&lt;=$B$12,$C$12,IF(ROUND((IF(BA34=2,SUM(L34,N34:W34,X34),BM34+W34)+M34),0)&lt;=$B$13,$C$13,IF(ROUND((IF(BA34=2,SUM(L34,N34:W34,X34),BM34+W34)+M34),0)&lt;=$B$14,$C$14,IF(ROUND((IF(BA34=2,SUM(L34,N34:W34,X34),BM34+W34)+M34),0)&lt;=$B$15,$C$15,IF(ROUND((IF(BA34=2,SUM(L34,N34:W34,X34),BM34+W34)+M34),0)&lt;=$B$16,$C$16,IF(ROUND((IF(BA34=2,SUM(L34,N34:W34,X34),BM34+W34)+M34),0)&lt;=$B$17,$C$17,IF(ROUND((IF(BA34=2,SUM(L34,N34:W34,X34),BM34+W34)+M34),0)&lt;=$B$18,$C$18,IF(ROUND((IF(BA34=2,SUM(L34,N34:W34,X34),BM34+W34)+M34),0)&lt;=$B$19,$C$19,IF(ROUND((IF(BA34=2,SUM(L34,N34:W34,X34),BM34+W34)+M34),0)&lt;=$B$20,$C$20,IF(ROUND((IF(BA34=2,SUM(L34,N34:W34,X34),BM34+W34)+M34),0)&lt;=$B$21,$C$21,IF(ROUND((IF(BA34=2,SUM(L34,N34:W34,X34),BM34+W34)+M34),0)&lt;=$B$22,$C$22,IF(ROUND((IF(BA34=2,SUM(L34,N34:W34,X34),BM34+W34)+M34),0)&lt;=$B$23,$C$23,IF(ROUND((IF(BA34=2,SUM(L34,N34:W34,X34),BM34+W34)+M34),0)&lt;=$B$24,$C$24,IF(ROUND((IF(BA34=2,SUM(L34,N34:W34,X34),BM34+W34)+M34),0)&lt;=$E$10,$F$10,IF(ROUND((IF(BA34=2,SUM(L34,N34:W34,X34),BM34+W34)+M34),0)&lt;=$E$11,$F$11,IF(ROUND((IF(BA34=2,SUM(L34,N34:W34,X34),BM34+W34)+M34),0)&lt;=$E$12,$F$12,IF(ROUND((IF(BA34=2,SUM(L34,N34:W34,X34),BM34+W34)+M34),0)&lt;=$E$13,$F$13,IF(ROUND((IF(BA34=2,SUM(L34,N34:W34,X34),BM34+W34)+M34),0)&lt;=$E$14,$F$14,IF(ROUND((IF(BA34=2,SUM(L34,N34:W34,X34),BM34+W34)+M34),0)&lt;=$E$15,$F$15,IF(ROUND((IF(BA34=2,SUM(L34,N34:W34,X34),BM34+W34)+M34),0)&lt;=$E$16,$F$16,IF(ROUND((IF(BA34=2,SUM(L34,N34:W34,X34),BM34+W34)+M34),0)&lt;=$E$17,$F$17,IF(ROUND((IF(BA34=2,SUM(L34,N34:W34,X34),BM34+W34)+M34),0)&lt;=$E$18,$F$18,IF(ROUND((IF(BA34=2,SUM(L34,N34:W34,X34),BM34+W34)+M34),0)&lt;=$E$19,$F$19,IF(ROUND((IF(BA34=2,SUM(L34,N34:W34,X34),BM34+W34)+M34),0)&lt;=$E$20,$F$20,IF(ROUND((IF(BA34=2,SUM(L34,N34:W34,X34),BM34+W34)+M34),0)&lt;=$E$21,$F$21,IF(ROUND((IF(BA34=2,SUM(L34,N34:W34,X34),BM34+W34)+M34),0)&lt;=$E$22,$F$22,IF(ROUND((IF(BA34=2,SUM(L34,N34:W34,X34),BM34+W34)+M34),0)&lt;=$E$23,$F$23,IF(ROUND((IF(BA34=2,SUM(L34,N34:W34,X34),BM34+W34)+M34),0)&lt;=$E$24,$F$24,IF(ROUND((IF(BA34=2,SUM(L34,N34:W34,X34),BM34+W34)+M34),0)&lt;=$H$10,$I$10,IF(ROUND((IF(BA34=2,SUM(L34,N34:W34,X34),BM34+W34)+M34),0)&lt;=$H$11,$I$11,IF(ROUND((IF(BA34=2,SUM(L34,N34:W34,X34),BM34+W34)+M34),0)&lt;=$H$12,$I$12,IF(ROUND((IF(BA34=2,SUM(L34,N34:W34,X34),BM34+W34)+M34),0)&lt;=$H$13,$I$13,IF(ROUND((IF(BA34=2,SUM(L34,N34:W34,X34),BM34+W34)+M34),0)&lt;=$H$14,$I$14,IF(ROUND((IF(BA34=2,SUM(L34,N34:W34,X34),BM34+W34)+M34),0)&lt;=$H$15,$I$15,IF(ROUND((IF(BA34=2,SUM(L34,N34:W34,X34),BM34+W34)+M34),0)&lt;=$H$16,$I$16,IF(ROUND((IF(BA34=2,SUM(L34,N34:W34,X34),BM34+W34)+M34),0)&lt;=$H$17,$I$17,IF(ROUND((IF(BA34=2,SUM(L34,N34:W34,X34),BM34+W34)+M34),0)&lt;=$H$18,$I$18,IF(ROUND((IF(BA34=2,SUM(L34,N34:W34,X34),BM34+W34)+M34),0)&lt;=$H$19,$I$19,IF(ROUND((IF(BA34=2,SUM(L34,N34:W34,X34),BM34+W34)+M34),0)&lt;=$H$20,$I$20,IF(ROUND((IF(BA34=2,SUM(L34,N34:W34,X34),BM34+W34)+M34),0)&lt;=$H$21,$I$21,IF(ROUND((IF(BA34=2,SUM(L34,N34:W34,X34),BM34+W34)+M34),0)&lt;=$H$22,$I$22,$I$23))))))))))))))))))))))))))))))))))))))))))),IF(OR(J34="S/2",J34="S/3",J34="M/1",J34="M/2"),IF(ROUND((IF(BA34=2,SUM(L34,N34:W34,X34),BM34+W34)+M34),0)&lt;=$L$10,$M$10,IF(ROUND((IF(BA34=2,SUM(L34,N34:W34,X34),BM34+W34)+M34),0)&lt;=$L$11,$M$11,IF(ROUND((IF(BA34=2,SUM(L34,N34:W34,X34),BM34+W34)+M34),0)&lt;=$L$12,$M$12,IF(ROUND((IF(BA34=2,SUM(L34,N34:W34,X34),BM34+W34)+M34),0)&lt;=$L$13,$M$13,IF(ROUND((IF(BA34=2,SUM(L34,N34:W34,X34),BM34+W34)+M34),0)&lt;=$L$14,$M$14,IF(ROUND((IF(BA34=2,SUM(L34,N34:W34,X34),BM34+W34)+M34),0)&lt;=$L$15,$M$15,IF(ROUND((IF(BA34=2,SUM(L34,N34:W34,X34),BM34+W34)+M34),0)&lt;=$L$16,$M$16,IF(ROUND((IF(BA34=2,SUM(L34,N34:W34,X34),BM34+W34)+M34),0)&lt;=$L$17,$M$17,IF(ROUND((IF(BA34=2,SUM(L34,N34:W34,X34),BM34+W34)+M34),0)&lt;=$L$18,$M$18,IF(ROUND((IF(BA34=2,SUM(L34,N34:W34,X34),BM34+W34)+M34),0)&lt;=$L$19,$M$19,IF(ROUND((IF(BA34=2,SUM(L34,N34:W34,X34),BM34+W34)+M34),0)&lt;=$L$20,$M$20,IF(ROUND((IF(BA34=2,SUM(L34,N34:W34,X34),BM34+W34)+M34),0)&lt;=$L$21,$M$21,IF(ROUND((IF(BA34=2,SUM(L34,N34:W34,X34),BM34+W34)+M34),0)&lt;=$L$22,$M$22,IF(ROUND((IF(BA34=2,SUM(L34,N34:W34,X34),BM34+W34)+M34),0)&lt;=$L$23,$M$23,IF(ROUND((IF(BA34=2,SUM(L34,N34:W34,X34),BM34+W34)+M34),0)&lt;=$L$24,$M$24,IF(ROUND((IF(BA34=2,SUM(L34,N34:W34,X34),BM34+W34)+M34),0)&lt;=$O$10,$P$10,IF(ROUND((IF(BA34=2,SUM(L34,N34:W34,X34),BM34+W34)+M34),0)&lt;=$O$11,$P$11,IF(ROUND((IF(BA34=2,SUM(L34,N34:W34,X34),BM34+W34)+M34),0)&lt;=$O$12,$P$12,IF(ROUND((IF(BA34=2,SUM(L34,N34:W34,X34),BM34+W34)+M34),0)&lt;=$O$13,$P$13,IF(ROUND((IF(BA34=2,SUM(L34,N34:W34,X34),BM34+W34)+M34),0)&lt;=$O$14,$P$14,IF(ROUND((IF(BA34=2,SUM(L34,N34:W34,X34),BM34+W34)+M34),0)&lt;=$O$15,$P$15,IF(ROUND((IF(BA34=2,SUM(L34,N34:W34,X34),BM34+W34)+M34),0)&lt;=$O$16,$P$16,IF(ROUND((IF(BA34=2,SUM(L34,N34:W34,X34),BM34+W34)+M34),0)&lt;=$O$17,$P$17,IF(ROUND((IF(BA34=2,SUM(L34,N34:W34,X34),BM34+W34)+M34),0)&lt;=$O$18,$P$18,IF(ROUND((IF(BA34=2,SUM(L34,N34:W34,X34),BM34+W34)+M34),0)&lt;=$O$19,$P$19,IF(ROUND((IF(BA34=2,SUM(L34,N34:W34,X34),BM34+W34)+M34),0)&lt;=$O$20,$P$20,IF(ROUND((IF(BA34=2,SUM(L34,N34:W34,X34),BM34+W34)+M34),0)&lt;=$O$21,$P$21,IF(ROUND((IF(BA34=2,SUM(L34,N34:W34,X34),BM34+W34)+M34),0)&lt;=$O$22,$P$22,IF(ROUND((IF(BA34=2,SUM(L34,N34:W34,X34),BM34+W34)+M34),0)&lt;=$O$23,$P$23,IF(ROUND((IF(BA34=2,SUM(L34,N34:W34,X34),BM34+W34)+M34),0)&lt;=$O$24,$P$24,IF(ROUND((IF(BA34=2,SUM(L34,N34:W34,X34),BM34+W34)+M34),0)&lt;=$R$10,$S$10,IF(ROUND((IF(BA34=2,SUM(L34,N34:W34,X34),BM34+W34)+M34),0)&lt;=$R$11,$S$11,IF(ROUND((IF(BA34=2,SUM(L34,N34:W34,X34),BM34+W34)+M34),0)&lt;=$R$12,$S$12,IF(ROUND((IF(BA34=2,SUM(L34,N34:W34,X34),BM34+W34)+M34),0)&lt;=$R$13,$S$13,IF(ROUND((IF(BA34=2,SUM(L34,N34:W34,X34),BM34+W34)+M34),0)&lt;=$R$14,$S$14,IF(ROUND((IF(BA34=2,SUM(L34,N34:W34,X34),BM34+W34)+M34),0)&lt;=$R$15,$S$15,IF(ROUND((IF(BA34=2,SUM(L34,N34:W34,X34),BM34+W34)+M34),0)&lt;=$R$16,$S$16,IF(ROUND((IF(BA34=2,SUM(L34,N34:W34,X34),BM34+W34)+M34),0)&lt;=$R$17,$S$17,IF(ROUND((IF(BA34=2,SUM(L34,N34:W34,X34),BM34+W34)+M34),0)&lt;=$R$18,$S$18,$S$19))))))))))))))))))))))))))))))))))))))),IF(J34="M/3",IF(ROUND((IF(BA34=2,SUM(L34,N34:W34,X34),BM34+W34)+M34),0)&lt;=$V$10,$W$10,IF(ROUND((IF(BA34=2,SUM(L34,N34:W34,X34),BM34+W34)+M34),0)&lt;=$V$11,$W$11,IF(ROUND((IF(BA34=2,SUM(L34,N34:W34,X34),BM34+W34)+M34),0)&lt;=$V$12,$W$12,IF(ROUND((IF(BA34=2,SUM(L34,N34:W34,X34),BM34+W34)+M34),0)&lt;=$V$13,$W$13,IF(ROUND((IF(BA34=2,SUM(L34,N34:W34,X34),BM34+W34)+M34),0)&lt;=$V$14,$W$14,IF(ROUND((IF(BA34=2,SUM(L34,N34:W34,X34),BM34+W34)+M34),0)&lt;=$V$15,$W$15,IF(ROUND((IF(BA34=2,SUM(L34,N34:W34,X34),BM34+W34)+M34),0)&lt;=$V$16,$W$16,IF(ROUND((IF(BA34=2,SUM(L34,N34:W34,X34),BM34+W34)+M34),0)&lt;=$V$17,$W$17,IF(ROUND((IF(BA34=2,SUM(L34,N34:W34,X34),BM34+W34)+M34),0)&lt;=$V$18,$W$18,IF(ROUND((IF(BA34=2,SUM(L34,N34:W34,X34),BM34+W34)+M34),0)&lt;=$V$19,$W$19,IF(ROUND((IF(BA34=2,SUM(L34,N34:W34,X34),BM34+W34)+M34),0)&lt;=$V$20,$W$20,IF(ROUND((IF(BA34=2,SUM(L34,N34:W34,X34),BM34+W34)+M34),0)&lt;=$V$21,$W$21,IF(ROUND((IF(BA34=2,SUM(L34,N34:W34,X34),BM34+W34)+M34),0)&lt;=$V$22,$W$22,IF(ROUND((IF(BA34=2,SUM(L34,N34:W34,X34),BM34+W34)+M34),0)&lt;=$V$23,$W$23,IF(ROUND((IF(BA34=2,SUM(L34,N34:W34,X34),BM34+W34)+M34),0)&lt;=$V$24,$W$24,IF(ROUND((IF(BA34=2,SUM(L34,N34:W34,X34),BM34+W34)+M34),0)&lt;=$Y$10,$Z$10,IF(ROUND((IF(BA34=2,SUM(L34,N34:W34,X34),BM34+W34)+M34),0)&lt;=$Y$11,$Z$11,IF(ROUND((IF(BA34=2,SUM(L34,N34:W34,X34),BM34+W34)+M34),0)&lt;=$Y$12,$Z$12,IF(ROUND((IF(BA34=2,SUM(L34,N34:W34,X34),BM34+W34)+M34),0)&lt;=$Y$13,$Z$13,IF(ROUND((IF(BA34=2,SUM(L34,N34:W34,X34),BM34+W34)+M34),0)&lt;=$Y$14,$Z$14,IF(ROUND((IF(BA34=2,SUM(L34,N34:W34,X34),BM34+W34)+M34),0)&lt;=$Y$15,$Z$15,IF(ROUND((IF(BA34=2,SUM(L34,N34:W34,X34),BM34+W34)+M34),0)&lt;=$Y$16,$Z$16,IF(ROUND((IF(BA34=2,SUM(L34,N34:W34,X34),BM34+W34)+M34),0)&lt;=$Y$17,$Z$17,IF(ROUND((IF(BA34=2,SUM(L34,N34:W34,X34),BM34+W34)+M34),0)&lt;=$Y$18,$Z$18,IF(ROUND((IF(BA34=2,SUM(L34,N34:W34,X34),BM34+W34)+M34),0)&lt;=$Y$19,$Z$19,IF(ROUND((IF(BA34=2,SUM(L34,N34:W34,X34),BM34+W34)+M34),0)&lt;=$Y$20,$Z$20,IF(ROUND((IF(BA34=2,SUM(L34,N34:W34,X34),BM34+W34)+M34),0)&lt;=$Y$21,$Z$21,IF(ROUND((IF(BA34=2,SUM(L34,N34:W34,X34),BM34+W34)+M34),0)&lt;=$Y$22,$Z$22,IF(ROUND((IF(BA34=2,SUM(L34,N34:W34,X34),BM34+W34)+M34),0)&lt;=$Y$23,$Z$23,IF(ROUND((IF(BA34=2,SUM(L34,N34:W34,X34),BM34+W34)+M34),0)&lt;=$Y$24,$Z$24,IF(ROUND((IF(BA34=2,SUM(L34,N34:W34,X34),BM34+W34)+M34),0)&lt;=$AB$10,$AC$10,IF(ROUND((IF(BA34=2,SUM(L34,N34:W34,X34),BM34+W34)+M34),0)&lt;=$AB$11,$AC$11,IF(ROUND((IF(BA34=2,SUM(L34,N34:W34,X34),BM34+W34)+M34),0)&lt;=$AB$12,$AC$12,IF(ROUND((IF(BA34=2,SUM(L34,N34:W34,X34),BM34+W34)+M34),0)&lt;=$AB$13,$AC$13,IF(ROUND((IF(BA34=2,SUM(L34,N34:W34,X34),BM34+W34)+M34),0)&lt;=$AB$14,$AC$14,IF(ROUND((IF(BA34=2,SUM(L34,N34:W34,X34),BM34+W34)+M34),0)&lt;=$AB$15,$AC$15,IF(ROUND((IF(BA34=2,SUM(L34,N34:W34,X34),BM34+W34)+M34),0)&lt;=$AB$16,$AC$16,IF(ROUND((IF(BA34=2,SUM(L34,N34:W34,X34),BM34+W34)+M34),0)&lt;=$AB$17,$AC$17,IF(ROUND((IF(BA34=2,SUM(L34,N34:W34,X34),BM34+W34)+M34),0)&lt;=$AB$18,$AC$18,IF(ROUND((IF(BA34=2,SUM(L34,N34:W34,X34),BM34+W34)+M34),0)&lt;=$AB$19,$AC$19,$AC$20)))))))))))))))))))))))))))))))))))))))),"Missing PTKP status"))),0)-IF(BA34=2,0,BN34)))</x:f>
        <x:v>0</x:v>
      </x:c>
      <x:c r="BT34" s="13" t="n">
        <x:f>Z34+Y34+AA34+AB34</x:f>
        <x:v>0</x:v>
      </x:c>
      <x:c r="BU34" s="18" t="n">
        <x:v>0</x:v>
      </x:c>
      <x:c r="BV34" s="18" t="n">
        <x:v>0</x:v>
      </x:c>
      <x:c r="BW34" s="18" t="n">
        <x:v>0</x:v>
      </x:c>
    </x:row>
    <x:row r="35" ht="22" customHeight="1">
      <x:c r="A35" s="16" t="str">
        <x:v>Example</x:v>
      </x:c>
      <x:c r="B35" s="16" t="str">
        <x:v>Example</x:v>
      </x:c>
      <x:c r="C35" s="16" t="n">
        <x:v>6</x:v>
      </x:c>
      <x:c r="D35" s="16" t="str">
        <x:v>EXAMPLE006</x:v>
      </x:c>
      <x:c r="E35" s="16" t="str">
        <x:v>Example employee 6</x:v>
      </x:c>
      <x:c r="F35" s="16" t="str"/>
      <x:c r="G35" s="17"/>
      <x:c r="H35" s="17"/>
      <x:c r="I35" s="16" t="str">
        <x:v>Permanent</x:v>
      </x:c>
      <x:c r="J35" s="16" t="str">
        <x:v>M/3</x:v>
      </x:c>
      <x:c r="K35" s="16" t="str">
        <x:v>L</x:v>
      </x:c>
      <x:c r="L35" s="13" t="n">
        <x:f>ROUND(AS35*AT35/AU35,0)+AV35</x:f>
        <x:v>12500000</x:v>
      </x:c>
      <x:c r="M35" s="13" t="n">
        <x:f>IF(AND(BB35=1,BA35=2),"Review final-period gross-up",IF(BA35=0,0,MAX(0,BQ35)))</x:f>
        <x:v>12500</x:v>
      </x:c>
      <x:c r="N35" s="13" t="n">
        <x:f>IF(AZ35=1,SUM(AG35:AI35),0)</x:f>
        <x:v>0</x:v>
      </x:c>
      <x:c r="O35" s="13" t="n">
        <x:f>ROUND(AS35*BU35/AU35,0)</x:f>
        <x:v>0</x:v>
      </x:c>
      <x:c r="P35" s="18" t="n">
        <x:v>4000000</x:v>
      </x:c>
      <x:c r="Q35" s="18" t="n">
        <x:v>0</x:v>
      </x:c>
      <x:c r="R35" s="18" t="n">
        <x:v>0</x:v>
      </x:c>
      <x:c r="S35" s="18" t="n">
        <x:v>0</x:v>
      </x:c>
      <x:c r="T35" s="13" t="n">
        <x:f>ROUND(BJ35*$C$4,0)</x:f>
        <x:v>37500</x:v>
      </x:c>
      <x:c r="U35" s="13" t="n">
        <x:f>ROUND(BJ35*$C$5,0)</x:f>
        <x:v>30000</x:v>
      </x:c>
      <x:c r="V35" s="13" t="n">
        <x:f>ROUND(BL35*$O$5,0)</x:f>
        <x:v>480000</x:v>
      </x:c>
      <x:c r="W35" s="13" t="n">
        <x:f>ROUND(AW35/$S$4,0)</x:f>
        <x:v>300000</x:v>
      </x:c>
      <x:c r="X35" s="18" t="n">
        <x:v>0</x:v>
      </x:c>
      <x:c r="Y35" s="18" t="n">
        <x:v>0</x:v>
      </x:c>
      <x:c r="Z35" s="13" t="n">
        <x:f>SUM(L35:X35)</x:f>
        <x:v>17360000</x:v>
      </x:c>
      <x:c r="AA35" s="13" t="n">
        <x:f>ROUND(BJ35*$C$6,0)</x:f>
        <x:v>462500</x:v>
      </x:c>
      <x:c r="AB35" s="13" t="n">
        <x:f>ROUND(BK35*$G$5,0)</x:f>
        <x:v>221726</x:v>
      </x:c>
      <x:c r="AC35" s="13" t="n">
        <x:f>T35</x:f>
        <x:v>37500</x:v>
      </x:c>
      <x:c r="AD35" s="13" t="n">
        <x:f>U35</x:f>
        <x:v>30000</x:v>
      </x:c>
      <x:c r="AE35" s="13" t="n">
        <x:f>V35</x:f>
        <x:v>480000</x:v>
      </x:c>
      <x:c r="AF35" s="13" t="n">
        <x:f>W35</x:f>
        <x:v>300000</x:v>
      </x:c>
      <x:c r="AG35" s="13" t="n">
        <x:f>ROUND(BJ35*$G$4,0)</x:f>
        <x:v>250000</x:v>
      </x:c>
      <x:c r="AH35" s="13" t="n">
        <x:f>ROUND(BK35*$G$6,0)</x:f>
        <x:v>110863</x:v>
      </x:c>
      <x:c r="AI35" s="13" t="n">
        <x:f>ROUND(BL35*$O$6,0)</x:f>
        <x:v>120000</x:v>
      </x:c>
      <x:c r="AJ35" s="18" t="n">
        <x:v>0</x:v>
      </x:c>
      <x:c r="AK35" s="18" t="n">
        <x:v>0</x:v>
      </x:c>
      <x:c r="AL35" s="18" t="n">
        <x:v>0</x:v>
      </x:c>
      <x:c r="AM35" s="18" t="n">
        <x:v>0</x:v>
      </x:c>
      <x:c r="AN35" s="13" t="n">
        <x:f>IF(BB35=1,BI35-BF35,ROUND(Z35*BR35,0))</x:f>
        <x:v>1215200</x:v>
      </x:c>
      <x:c r="AO35" s="13" t="n">
        <x:f>ROUND(MAX(0,MIN(Y35+BV35,$AK$10)-0)*$AL$10+MAX(0,MIN(Y35+BV35,$AK$11)-$AK$10)*$AL$11+MAX(0,MIN(Y35+BV35,$AK$12)-$AK$11)*$AL$12+MAX(0,Y35+BV35-$AK$12)*$AL$13,0)-BW35</x:f>
        <x:v>0</x:v>
      </x:c>
      <x:c r="AP35" s="13" t="n">
        <x:f>SUM(AC35:AO35)</x:f>
        <x:v>2543563</x:v>
      </x:c>
      <x:c r="AQ35" s="19" t="n">
        <x:f>Z35+Y35-AP35</x:f>
        <x:v>14816437</x:v>
      </x:c>
      <x:c r="AR35" s="18" t="str">
        <x:v>Category C with bonus</x:v>
      </x:c>
      <x:c r="AS35" s="18" t="n">
        <x:v>12500000</x:v>
      </x:c>
      <x:c r="AT35" s="18" t="n">
        <x:v>31</x:v>
      </x:c>
      <x:c r="AU35" s="18" t="n">
        <x:v>31</x:v>
      </x:c>
      <x:c r="AV35" s="18" t="n">
        <x:v>0</x:v>
      </x:c>
      <x:c r="AW35" s="18" t="n">
        <x:v>3600000</x:v>
      </x:c>
      <x:c r="AX35" s="18" t="n">
        <x:v>1</x:v>
      </x:c>
      <x:c r="AY35" s="18" t="n">
        <x:v>1</x:v>
      </x:c>
      <x:c r="AZ35" s="18" t="n">
        <x:v>0</x:v>
      </x:c>
      <x:c r="BA35" s="18" t="n">
        <x:v>1</x:v>
      </x:c>
      <x:c r="BB35" s="18" t="n">
        <x:v>0</x:v>
      </x:c>
      <x:c r="BC35" s="18" t="n">
        <x:v>0</x:v>
      </x:c>
      <x:c r="BD35" s="18" t="n">
        <x:v>0</x:v>
      </x:c>
      <x:c r="BE35" s="18" t="n">
        <x:v>8</x:v>
      </x:c>
      <x:c r="BF35" s="18" t="n">
        <x:v>0</x:v>
      </x:c>
      <x:c r="BG35" s="13" t="n">
        <x:f>IF(J35="S/0",$W$5,IF(J35="S/1",$W$6,IF(J35="S/2",$AA$4,IF(J35="S/3",$AA$5,IF(J35="M/0",$AA$6,IF(J35="M/1",$AE$4,IF(J35="M/2",$AE$5,IF(J35="M/3",$AE$6,"Missing PTKP status"))))))))</x:f>
        <x:v>72000000</x:v>
      </x:c>
      <x:c r="BH35" s="13" t="n">
        <x:f>MAX(0,FLOOR(BC35+Z35-MIN((BC35+Z35)*$S$5,BE35*$S$6)-BD35-AG35-AH35-BG35,$W$4))</x:f>
        <x:v>0</x:v>
      </x:c>
      <x:c r="BI35" s="13" t="n">
        <x:f>ROUND(MAX(0,MIN(BH35,$AG$10)-0)*$AH$10+MAX(0,MIN(BH35,$AG$11)-$AG$10)*$AH$11+MAX(0,MIN(BH35,$AG$12)-$AG$11)*$AH$12+MAX(0,MIN(BH35,$AG$13)-$AG$12)*$AH$13+MAX(0,BH35-$AG$13)*$AH$14,0)</x:f>
        <x:v>0</x:v>
      </x:c>
      <x:c r="BJ35" s="13" t="n">
        <x:f>IF(AX35=1,IF(L35=0,0,MAX(L35,$K$4)),0)</x:f>
        <x:v>12500000</x:v>
      </x:c>
      <x:c r="BK35" s="13" t="n">
        <x:f>IF(AX35=1,MIN(MAX(L35,$K$4),$K$5),0)</x:f>
        <x:v>11086300</x:v>
      </x:c>
      <x:c r="BL35" s="13" t="n">
        <x:f>IF(AY35=1,MIN(MAX(L35,$K$6),$O$4),0)</x:f>
        <x:v>12000000</x:v>
      </x:c>
      <x:c r="BM35" s="13" t="n">
        <x:f>SUM(L35,N35,O35,S35,T35:V35)</x:f>
        <x:v>13047500</x:v>
      </x:c>
      <x:c r="BN35" s="13" t="n">
        <x:f>ROUND(BM35*IF(OR(J35="S/0",J35="S/1",J35="M/0"),IF(ROUND(BM35,0)&lt;=$B$10,$C$10,IF(ROUND(BM35,0)&lt;=$B$11,$C$11,IF(ROUND(BM35,0)&lt;=$B$12,$C$12,IF(ROUND(BM35,0)&lt;=$B$13,$C$13,IF(ROUND(BM35,0)&lt;=$B$14,$C$14,IF(ROUND(BM35,0)&lt;=$B$15,$C$15,IF(ROUND(BM35,0)&lt;=$B$16,$C$16,IF(ROUND(BM35,0)&lt;=$B$17,$C$17,IF(ROUND(BM35,0)&lt;=$B$18,$C$18,IF(ROUND(BM35,0)&lt;=$B$19,$C$19,IF(ROUND(BM35,0)&lt;=$B$20,$C$20,IF(ROUND(BM35,0)&lt;=$B$21,$C$21,IF(ROUND(BM35,0)&lt;=$B$22,$C$22,IF(ROUND(BM35,0)&lt;=$B$23,$C$23,IF(ROUND(BM35,0)&lt;=$B$24,$C$24,IF(ROUND(BM35,0)&lt;=$E$10,$F$10,IF(ROUND(BM35,0)&lt;=$E$11,$F$11,IF(ROUND(BM35,0)&lt;=$E$12,$F$12,IF(ROUND(BM35,0)&lt;=$E$13,$F$13,IF(ROUND(BM35,0)&lt;=$E$14,$F$14,IF(ROUND(BM35,0)&lt;=$E$15,$F$15,IF(ROUND(BM35,0)&lt;=$E$16,$F$16,IF(ROUND(BM35,0)&lt;=$E$17,$F$17,IF(ROUND(BM35,0)&lt;=$E$18,$F$18,IF(ROUND(BM35,0)&lt;=$E$19,$F$19,IF(ROUND(BM35,0)&lt;=$E$20,$F$20,IF(ROUND(BM35,0)&lt;=$E$21,$F$21,IF(ROUND(BM35,0)&lt;=$E$22,$F$22,IF(ROUND(BM35,0)&lt;=$E$23,$F$23,IF(ROUND(BM35,0)&lt;=$E$24,$F$24,IF(ROUND(BM35,0)&lt;=$H$10,$I$10,IF(ROUND(BM35,0)&lt;=$H$11,$I$11,IF(ROUND(BM35,0)&lt;=$H$12,$I$12,IF(ROUND(BM35,0)&lt;=$H$13,$I$13,IF(ROUND(BM35,0)&lt;=$H$14,$I$14,IF(ROUND(BM35,0)&lt;=$H$15,$I$15,IF(ROUND(BM35,0)&lt;=$H$16,$I$16,IF(ROUND(BM35,0)&lt;=$H$17,$I$17,IF(ROUND(BM35,0)&lt;=$H$18,$I$18,IF(ROUND(BM35,0)&lt;=$H$19,$I$19,IF(ROUND(BM35,0)&lt;=$H$20,$I$20,IF(ROUND(BM35,0)&lt;=$H$21,$I$21,IF(ROUND(BM35,0)&lt;=$H$22,$I$22,$I$23))))))))))))))))))))))))))))))))))))))))))),IF(OR(J35="S/2",J35="S/3",J35="M/1",J35="M/2"),IF(ROUND(BM35,0)&lt;=$L$10,$M$10,IF(ROUND(BM35,0)&lt;=$L$11,$M$11,IF(ROUND(BM35,0)&lt;=$L$12,$M$12,IF(ROUND(BM35,0)&lt;=$L$13,$M$13,IF(ROUND(BM35,0)&lt;=$L$14,$M$14,IF(ROUND(BM35,0)&lt;=$L$15,$M$15,IF(ROUND(BM35,0)&lt;=$L$16,$M$16,IF(ROUND(BM35,0)&lt;=$L$17,$M$17,IF(ROUND(BM35,0)&lt;=$L$18,$M$18,IF(ROUND(BM35,0)&lt;=$L$19,$M$19,IF(ROUND(BM35,0)&lt;=$L$20,$M$20,IF(ROUND(BM35,0)&lt;=$L$21,$M$21,IF(ROUND(BM35,0)&lt;=$L$22,$M$22,IF(ROUND(BM35,0)&lt;=$L$23,$M$23,IF(ROUND(BM35,0)&lt;=$L$24,$M$24,IF(ROUND(BM35,0)&lt;=$O$10,$P$10,IF(ROUND(BM35,0)&lt;=$O$11,$P$11,IF(ROUND(BM35,0)&lt;=$O$12,$P$12,IF(ROUND(BM35,0)&lt;=$O$13,$P$13,IF(ROUND(BM35,0)&lt;=$O$14,$P$14,IF(ROUND(BM35,0)&lt;=$O$15,$P$15,IF(ROUND(BM35,0)&lt;=$O$16,$P$16,IF(ROUND(BM35,0)&lt;=$O$17,$P$17,IF(ROUND(BM35,0)&lt;=$O$18,$P$18,IF(ROUND(BM35,0)&lt;=$O$19,$P$19,IF(ROUND(BM35,0)&lt;=$O$20,$P$20,IF(ROUND(BM35,0)&lt;=$O$21,$P$21,IF(ROUND(BM35,0)&lt;=$O$22,$P$22,IF(ROUND(BM35,0)&lt;=$O$23,$P$23,IF(ROUND(BM35,0)&lt;=$O$24,$P$24,IF(ROUND(BM35,0)&lt;=$R$10,$S$10,IF(ROUND(BM35,0)&lt;=$R$11,$S$11,IF(ROUND(BM35,0)&lt;=$R$12,$S$12,IF(ROUND(BM35,0)&lt;=$R$13,$S$13,IF(ROUND(BM35,0)&lt;=$R$14,$S$14,IF(ROUND(BM35,0)&lt;=$R$15,$S$15,IF(ROUND(BM35,0)&lt;=$R$16,$S$16,IF(ROUND(BM35,0)&lt;=$R$17,$S$17,IF(ROUND(BM35,0)&lt;=$R$18,$S$18,$S$19))))))))))))))))))))))))))))))))))))))),IF(J35="M/3",IF(ROUND(BM35,0)&lt;=$V$10,$W$10,IF(ROUND(BM35,0)&lt;=$V$11,$W$11,IF(ROUND(BM35,0)&lt;=$V$12,$W$12,IF(ROUND(BM35,0)&lt;=$V$13,$W$13,IF(ROUND(BM35,0)&lt;=$V$14,$W$14,IF(ROUND(BM35,0)&lt;=$V$15,$W$15,IF(ROUND(BM35,0)&lt;=$V$16,$W$16,IF(ROUND(BM35,0)&lt;=$V$17,$W$17,IF(ROUND(BM35,0)&lt;=$V$18,$W$18,IF(ROUND(BM35,0)&lt;=$V$19,$W$19,IF(ROUND(BM35,0)&lt;=$V$20,$W$20,IF(ROUND(BM35,0)&lt;=$V$21,$W$21,IF(ROUND(BM35,0)&lt;=$V$22,$W$22,IF(ROUND(BM35,0)&lt;=$V$23,$W$23,IF(ROUND(BM35,0)&lt;=$V$24,$W$24,IF(ROUND(BM35,0)&lt;=$Y$10,$Z$10,IF(ROUND(BM35,0)&lt;=$Y$11,$Z$11,IF(ROUND(BM35,0)&lt;=$Y$12,$Z$12,IF(ROUND(BM35,0)&lt;=$Y$13,$Z$13,IF(ROUND(BM35,0)&lt;=$Y$14,$Z$14,IF(ROUND(BM35,0)&lt;=$Y$15,$Z$15,IF(ROUND(BM35,0)&lt;=$Y$16,$Z$16,IF(ROUND(BM35,0)&lt;=$Y$17,$Z$17,IF(ROUND(BM35,0)&lt;=$Y$18,$Z$18,IF(ROUND(BM35,0)&lt;=$Y$19,$Z$19,IF(ROUND(BM35,0)&lt;=$Y$20,$Z$20,IF(ROUND(BM35,0)&lt;=$Y$21,$Z$21,IF(ROUND(BM35,0)&lt;=$Y$22,$Z$22,IF(ROUND(BM35,0)&lt;=$Y$23,$Z$23,IF(ROUND(BM35,0)&lt;=$Y$24,$Z$24,IF(ROUND(BM35,0)&lt;=$AB$10,$AC$10,IF(ROUND(BM35,0)&lt;=$AB$11,$AC$11,IF(ROUND(BM35,0)&lt;=$AB$12,$AC$12,IF(ROUND(BM35,0)&lt;=$AB$13,$AC$13,IF(ROUND(BM35,0)&lt;=$AB$14,$AC$14,IF(ROUND(BM35,0)&lt;=$AB$15,$AC$15,IF(ROUND(BM35,0)&lt;=$AB$16,$AC$16,IF(ROUND(BM35,0)&lt;=$AB$17,$AC$17,IF(ROUND(BM35,0)&lt;=$AB$18,$AC$18,IF(ROUND(BM35,0)&lt;=$AB$19,$AC$19,$AC$20)))))))))))))))))))))))))))))))))))))))),"Missing PTKP status"))),0)</x:f>
        <x:v>521900</x:v>
      </x:c>
      <x:c r="BO35" s="13" t="n">
        <x:f>IF(BA35=2,SUM(L35,N35:W35,X35),BM35+W35-BN35)</x:f>
        <x:v>12825600</x:v>
      </x:c>
      <x:c r="BP35" s="13" t="n">
        <x:f>IF(OR(J35="S/0",J35="S/1",J35="M/0"),IF(BO35&lt;=$B$10*(1-$C$10),BO35/(1-$C$10),IF(BO35&lt;=$B$11*(1-$C$11),BO35/(1-$C$11),IF(BO35&lt;=$B$12*(1-$C$12),BO35/(1-$C$12),IF(BO35&lt;=$B$13*(1-$C$13),BO35/(1-$C$13),IF(BO35&lt;=$B$14*(1-$C$14),BO35/(1-$C$14),IF(BO35&lt;=$B$15*(1-$C$15),BO35/(1-$C$15),IF(BO35&lt;=$B$16*(1-$C$16),BO35/(1-$C$16),IF(BO35&lt;=$B$17*(1-$C$17),BO35/(1-$C$17),IF(BO35&lt;=$B$18*(1-$C$18),BO35/(1-$C$18),IF(BO35&lt;=$B$19*(1-$C$19),BO35/(1-$C$19),IF(BO35&lt;=$B$20*(1-$C$20),BO35/(1-$C$20),IF(BO35&lt;=$B$21*(1-$C$21),BO35/(1-$C$21),IF(BO35&lt;=$B$22*(1-$C$22),BO35/(1-$C$22),IF(BO35&lt;=$B$23*(1-$C$23),BO35/(1-$C$23),IF(BO35&lt;=$B$24*(1-$C$24),BO35/(1-$C$24),IF(BO35&lt;=$E$10*(1-$F$10),BO35/(1-$F$10),IF(BO35&lt;=$E$11*(1-$F$11),BO35/(1-$F$11),IF(BO35&lt;=$E$12*(1-$F$12),BO35/(1-$F$12),IF(BO35&lt;=$E$13*(1-$F$13),BO35/(1-$F$13),IF(BO35&lt;=$E$14*(1-$F$14),BO35/(1-$F$14),IF(BO35&lt;=$E$15*(1-$F$15),BO35/(1-$F$15),IF(BO35&lt;=$E$16*(1-$F$16),BO35/(1-$F$16),IF(BO35&lt;=$E$17*(1-$F$17),BO35/(1-$F$17),IF(BO35&lt;=$E$18*(1-$F$18),BO35/(1-$F$18),IF(BO35&lt;=$E$19*(1-$F$19),BO35/(1-$F$19),IF(BO35&lt;=$E$20*(1-$F$20),BO35/(1-$F$20),IF(BO35&lt;=$E$21*(1-$F$21),BO35/(1-$F$21),IF(BO35&lt;=$E$22*(1-$F$22),BO35/(1-$F$22),IF(BO35&lt;=$E$23*(1-$F$23),BO35/(1-$F$23),IF(BO35&lt;=$E$24*(1-$F$24),BO35/(1-$F$24),IF(BO35&lt;=$H$10*(1-$I$10),BO35/(1-$I$10),IF(BO35&lt;=$H$11*(1-$I$11),BO35/(1-$I$11),IF(BO35&lt;=$H$12*(1-$I$12),BO35/(1-$I$12),IF(BO35&lt;=$H$13*(1-$I$13),BO35/(1-$I$13),IF(BO35&lt;=$H$14*(1-$I$14),BO35/(1-$I$14),IF(BO35&lt;=$H$15*(1-$I$15),BO35/(1-$I$15),IF(BO35&lt;=$H$16*(1-$I$16),BO35/(1-$I$16),IF(BO35&lt;=$H$17*(1-$I$17),BO35/(1-$I$17),IF(BO35&lt;=$H$18*(1-$I$18),BO35/(1-$I$18),IF(BO35&lt;=$H$19*(1-$I$19),BO35/(1-$I$19),IF(BO35&lt;=$H$20*(1-$I$20),BO35/(1-$I$20),IF(BO35&lt;=$H$21*(1-$I$21),BO35/(1-$I$21),IF(BO35&lt;=$H$22*(1-$I$22),BO35/(1-$I$22),BO35/(1-$I$23)))))))))))))))))))))))))))))))))))))))))))),IF(OR(J35="S/2",J35="S/3",J35="M/1",J35="M/2"),IF(BO35&lt;=$L$10*(1-$M$10),BO35/(1-$M$10),IF(BO35&lt;=$L$11*(1-$M$11),BO35/(1-$M$11),IF(BO35&lt;=$L$12*(1-$M$12),BO35/(1-$M$12),IF(BO35&lt;=$L$13*(1-$M$13),BO35/(1-$M$13),IF(BO35&lt;=$L$14*(1-$M$14),BO35/(1-$M$14),IF(BO35&lt;=$L$15*(1-$M$15),BO35/(1-$M$15),IF(BO35&lt;=$L$16*(1-$M$16),BO35/(1-$M$16),IF(BO35&lt;=$L$17*(1-$M$17),BO35/(1-$M$17),IF(BO35&lt;=$L$18*(1-$M$18),BO35/(1-$M$18),IF(BO35&lt;=$L$19*(1-$M$19),BO35/(1-$M$19),IF(BO35&lt;=$L$20*(1-$M$20),BO35/(1-$M$20),IF(BO35&lt;=$L$21*(1-$M$21),BO35/(1-$M$21),IF(BO35&lt;=$L$22*(1-$M$22),BO35/(1-$M$22),IF(BO35&lt;=$L$23*(1-$M$23),BO35/(1-$M$23),IF(BO35&lt;=$L$24*(1-$M$24),BO35/(1-$M$24),IF(BO35&lt;=$O$10*(1-$P$10),BO35/(1-$P$10),IF(BO35&lt;=$O$11*(1-$P$11),BO35/(1-$P$11),IF(BO35&lt;=$O$12*(1-$P$12),BO35/(1-$P$12),IF(BO35&lt;=$O$13*(1-$P$13),BO35/(1-$P$13),IF(BO35&lt;=$O$14*(1-$P$14),BO35/(1-$P$14),IF(BO35&lt;=$O$15*(1-$P$15),BO35/(1-$P$15),IF(BO35&lt;=$O$16*(1-$P$16),BO35/(1-$P$16),IF(BO35&lt;=$O$17*(1-$P$17),BO35/(1-$P$17),IF(BO35&lt;=$O$18*(1-$P$18),BO35/(1-$P$18),IF(BO35&lt;=$O$19*(1-$P$19),BO35/(1-$P$19),IF(BO35&lt;=$O$20*(1-$P$20),BO35/(1-$P$20),IF(BO35&lt;=$O$21*(1-$P$21),BO35/(1-$P$21),IF(BO35&lt;=$O$22*(1-$P$22),BO35/(1-$P$22),IF(BO35&lt;=$O$23*(1-$P$23),BO35/(1-$P$23),IF(BO35&lt;=$O$24*(1-$P$24),BO35/(1-$P$24),IF(BO35&lt;=$R$10*(1-$S$10),BO35/(1-$S$10),IF(BO35&lt;=$R$11*(1-$S$11),BO35/(1-$S$11),IF(BO35&lt;=$R$12*(1-$S$12),BO35/(1-$S$12),IF(BO35&lt;=$R$13*(1-$S$13),BO35/(1-$S$13),IF(BO35&lt;=$R$14*(1-$S$14),BO35/(1-$S$14),IF(BO35&lt;=$R$15*(1-$S$15),BO35/(1-$S$15),IF(BO35&lt;=$R$16*(1-$S$16),BO35/(1-$S$16),IF(BO35&lt;=$R$17*(1-$S$17),BO35/(1-$S$17),IF(BO35&lt;=$R$18*(1-$S$18),BO35/(1-$S$18),BO35/(1-$S$19)))))))))))))))))))))))))))))))))))))))),IF(J35="M/3",IF(BO35&lt;=$V$10*(1-$W$10),BO35/(1-$W$10),IF(BO35&lt;=$V$11*(1-$W$11),BO35/(1-$W$11),IF(BO35&lt;=$V$12*(1-$W$12),BO35/(1-$W$12),IF(BO35&lt;=$V$13*(1-$W$13),BO35/(1-$W$13),IF(BO35&lt;=$V$14*(1-$W$14),BO35/(1-$W$14),IF(BO35&lt;=$V$15*(1-$W$15),BO35/(1-$W$15),IF(BO35&lt;=$V$16*(1-$W$16),BO35/(1-$W$16),IF(BO35&lt;=$V$17*(1-$W$17),BO35/(1-$W$17),IF(BO35&lt;=$V$18*(1-$W$18),BO35/(1-$W$18),IF(BO35&lt;=$V$19*(1-$W$19),BO35/(1-$W$19),IF(BO35&lt;=$V$20*(1-$W$20),BO35/(1-$W$20),IF(BO35&lt;=$V$21*(1-$W$21),BO35/(1-$W$21),IF(BO35&lt;=$V$22*(1-$W$22),BO35/(1-$W$22),IF(BO35&lt;=$V$23*(1-$W$23),BO35/(1-$W$23),IF(BO35&lt;=$V$24*(1-$W$24),BO35/(1-$W$24),IF(BO35&lt;=$Y$10*(1-$Z$10),BO35/(1-$Z$10),IF(BO35&lt;=$Y$11*(1-$Z$11),BO35/(1-$Z$11),IF(BO35&lt;=$Y$12*(1-$Z$12),BO35/(1-$Z$12),IF(BO35&lt;=$Y$13*(1-$Z$13),BO35/(1-$Z$13),IF(BO35&lt;=$Y$14*(1-$Z$14),BO35/(1-$Z$14),IF(BO35&lt;=$Y$15*(1-$Z$15),BO35/(1-$Z$15),IF(BO35&lt;=$Y$16*(1-$Z$16),BO35/(1-$Z$16),IF(BO35&lt;=$Y$17*(1-$Z$17),BO35/(1-$Z$17),IF(BO35&lt;=$Y$18*(1-$Z$18),BO35/(1-$Z$18),IF(BO35&lt;=$Y$19*(1-$Z$19),BO35/(1-$Z$19),IF(BO35&lt;=$Y$20*(1-$Z$20),BO35/(1-$Z$20),IF(BO35&lt;=$Y$21*(1-$Z$21),BO35/(1-$Z$21),IF(BO35&lt;=$Y$22*(1-$Z$22),BO35/(1-$Z$22),IF(BO35&lt;=$Y$23*(1-$Z$23),BO35/(1-$Z$23),IF(BO35&lt;=$Y$24*(1-$Z$24),BO35/(1-$Z$24),IF(BO35&lt;=$AB$10*(1-$AC$10),BO35/(1-$AC$10),IF(BO35&lt;=$AB$11*(1-$AC$11),BO35/(1-$AC$11),IF(BO35&lt;=$AB$12*(1-$AC$12),BO35/(1-$AC$12),IF(BO35&lt;=$AB$13*(1-$AC$13),BO35/(1-$AC$13),IF(BO35&lt;=$AB$14*(1-$AC$14),BO35/(1-$AC$14),IF(BO35&lt;=$AB$15*(1-$AC$15),BO35/(1-$AC$15),IF(BO35&lt;=$AB$16*(1-$AC$16),BO35/(1-$AC$16),IF(BO35&lt;=$AB$17*(1-$AC$17),BO35/(1-$AC$17),IF(BO35&lt;=$AB$18*(1-$AC$18),BO35/(1-$AC$18),IF(BO35&lt;=$AB$19*(1-$AC$19),BO35/(1-$AC$19),BO35/(1-$AC$20))))))))))))))))))))))))))))))))))))))))),"Missing PTKP status")))</x:f>
        <x:v>13360000</x:v>
      </x:c>
      <x:c r="BQ35" s="13" t="n">
        <x:f>ROUND(BP35-IF(BA35=2,SUM(L35,N35:W35,X35),BM35+W35),0)</x:f>
        <x:v>12500</x:v>
      </x:c>
      <x:c r="BR35" s="14" t="n">
        <x:f>IF(OR(J35="S/0",J35="S/1",J35="M/0"),IF(ROUND(Z35,0)&lt;=$B$10,$C$10,IF(ROUND(Z35,0)&lt;=$B$11,$C$11,IF(ROUND(Z35,0)&lt;=$B$12,$C$12,IF(ROUND(Z35,0)&lt;=$B$13,$C$13,IF(ROUND(Z35,0)&lt;=$B$14,$C$14,IF(ROUND(Z35,0)&lt;=$B$15,$C$15,IF(ROUND(Z35,0)&lt;=$B$16,$C$16,IF(ROUND(Z35,0)&lt;=$B$17,$C$17,IF(ROUND(Z35,0)&lt;=$B$18,$C$18,IF(ROUND(Z35,0)&lt;=$B$19,$C$19,IF(ROUND(Z35,0)&lt;=$B$20,$C$20,IF(ROUND(Z35,0)&lt;=$B$21,$C$21,IF(ROUND(Z35,0)&lt;=$B$22,$C$22,IF(ROUND(Z35,0)&lt;=$B$23,$C$23,IF(ROUND(Z35,0)&lt;=$B$24,$C$24,IF(ROUND(Z35,0)&lt;=$E$10,$F$10,IF(ROUND(Z35,0)&lt;=$E$11,$F$11,IF(ROUND(Z35,0)&lt;=$E$12,$F$12,IF(ROUND(Z35,0)&lt;=$E$13,$F$13,IF(ROUND(Z35,0)&lt;=$E$14,$F$14,IF(ROUND(Z35,0)&lt;=$E$15,$F$15,IF(ROUND(Z35,0)&lt;=$E$16,$F$16,IF(ROUND(Z35,0)&lt;=$E$17,$F$17,IF(ROUND(Z35,0)&lt;=$E$18,$F$18,IF(ROUND(Z35,0)&lt;=$E$19,$F$19,IF(ROUND(Z35,0)&lt;=$E$20,$F$20,IF(ROUND(Z35,0)&lt;=$E$21,$F$21,IF(ROUND(Z35,0)&lt;=$E$22,$F$22,IF(ROUND(Z35,0)&lt;=$E$23,$F$23,IF(ROUND(Z35,0)&lt;=$E$24,$F$24,IF(ROUND(Z35,0)&lt;=$H$10,$I$10,IF(ROUND(Z35,0)&lt;=$H$11,$I$11,IF(ROUND(Z35,0)&lt;=$H$12,$I$12,IF(ROUND(Z35,0)&lt;=$H$13,$I$13,IF(ROUND(Z35,0)&lt;=$H$14,$I$14,IF(ROUND(Z35,0)&lt;=$H$15,$I$15,IF(ROUND(Z35,0)&lt;=$H$16,$I$16,IF(ROUND(Z35,0)&lt;=$H$17,$I$17,IF(ROUND(Z35,0)&lt;=$H$18,$I$18,IF(ROUND(Z35,0)&lt;=$H$19,$I$19,IF(ROUND(Z35,0)&lt;=$H$20,$I$20,IF(ROUND(Z35,0)&lt;=$H$21,$I$21,IF(ROUND(Z35,0)&lt;=$H$22,$I$22,$I$23))))))))))))))))))))))))))))))))))))))))))),IF(OR(J35="S/2",J35="S/3",J35="M/1",J35="M/2"),IF(ROUND(Z35,0)&lt;=$L$10,$M$10,IF(ROUND(Z35,0)&lt;=$L$11,$M$11,IF(ROUND(Z35,0)&lt;=$L$12,$M$12,IF(ROUND(Z35,0)&lt;=$L$13,$M$13,IF(ROUND(Z35,0)&lt;=$L$14,$M$14,IF(ROUND(Z35,0)&lt;=$L$15,$M$15,IF(ROUND(Z35,0)&lt;=$L$16,$M$16,IF(ROUND(Z35,0)&lt;=$L$17,$M$17,IF(ROUND(Z35,0)&lt;=$L$18,$M$18,IF(ROUND(Z35,0)&lt;=$L$19,$M$19,IF(ROUND(Z35,0)&lt;=$L$20,$M$20,IF(ROUND(Z35,0)&lt;=$L$21,$M$21,IF(ROUND(Z35,0)&lt;=$L$22,$M$22,IF(ROUND(Z35,0)&lt;=$L$23,$M$23,IF(ROUND(Z35,0)&lt;=$L$24,$M$24,IF(ROUND(Z35,0)&lt;=$O$10,$P$10,IF(ROUND(Z35,0)&lt;=$O$11,$P$11,IF(ROUND(Z35,0)&lt;=$O$12,$P$12,IF(ROUND(Z35,0)&lt;=$O$13,$P$13,IF(ROUND(Z35,0)&lt;=$O$14,$P$14,IF(ROUND(Z35,0)&lt;=$O$15,$P$15,IF(ROUND(Z35,0)&lt;=$O$16,$P$16,IF(ROUND(Z35,0)&lt;=$O$17,$P$17,IF(ROUND(Z35,0)&lt;=$O$18,$P$18,IF(ROUND(Z35,0)&lt;=$O$19,$P$19,IF(ROUND(Z35,0)&lt;=$O$20,$P$20,IF(ROUND(Z35,0)&lt;=$O$21,$P$21,IF(ROUND(Z35,0)&lt;=$O$22,$P$22,IF(ROUND(Z35,0)&lt;=$O$23,$P$23,IF(ROUND(Z35,0)&lt;=$O$24,$P$24,IF(ROUND(Z35,0)&lt;=$R$10,$S$10,IF(ROUND(Z35,0)&lt;=$R$11,$S$11,IF(ROUND(Z35,0)&lt;=$R$12,$S$12,IF(ROUND(Z35,0)&lt;=$R$13,$S$13,IF(ROUND(Z35,0)&lt;=$R$14,$S$14,IF(ROUND(Z35,0)&lt;=$R$15,$S$15,IF(ROUND(Z35,0)&lt;=$R$16,$S$16,IF(ROUND(Z35,0)&lt;=$R$17,$S$17,IF(ROUND(Z35,0)&lt;=$R$18,$S$18,$S$19))))))))))))))))))))))))))))))))))))))),IF(J35="M/3",IF(ROUND(Z35,0)&lt;=$V$10,$W$10,IF(ROUND(Z35,0)&lt;=$V$11,$W$11,IF(ROUND(Z35,0)&lt;=$V$12,$W$12,IF(ROUND(Z35,0)&lt;=$V$13,$W$13,IF(ROUND(Z35,0)&lt;=$V$14,$W$14,IF(ROUND(Z35,0)&lt;=$V$15,$W$15,IF(ROUND(Z35,0)&lt;=$V$16,$W$16,IF(ROUND(Z35,0)&lt;=$V$17,$W$17,IF(ROUND(Z35,0)&lt;=$V$18,$W$18,IF(ROUND(Z35,0)&lt;=$V$19,$W$19,IF(ROUND(Z35,0)&lt;=$V$20,$W$20,IF(ROUND(Z35,0)&lt;=$V$21,$W$21,IF(ROUND(Z35,0)&lt;=$V$22,$W$22,IF(ROUND(Z35,0)&lt;=$V$23,$W$23,IF(ROUND(Z35,0)&lt;=$V$24,$W$24,IF(ROUND(Z35,0)&lt;=$Y$10,$Z$10,IF(ROUND(Z35,0)&lt;=$Y$11,$Z$11,IF(ROUND(Z35,0)&lt;=$Y$12,$Z$12,IF(ROUND(Z35,0)&lt;=$Y$13,$Z$13,IF(ROUND(Z35,0)&lt;=$Y$14,$Z$14,IF(ROUND(Z35,0)&lt;=$Y$15,$Z$15,IF(ROUND(Z35,0)&lt;=$Y$16,$Z$16,IF(ROUND(Z35,0)&lt;=$Y$17,$Z$17,IF(ROUND(Z35,0)&lt;=$Y$18,$Z$18,IF(ROUND(Z35,0)&lt;=$Y$19,$Z$19,IF(ROUND(Z35,0)&lt;=$Y$20,$Z$20,IF(ROUND(Z35,0)&lt;=$Y$21,$Z$21,IF(ROUND(Z35,0)&lt;=$Y$22,$Z$22,IF(ROUND(Z35,0)&lt;=$Y$23,$Z$23,IF(ROUND(Z35,0)&lt;=$Y$24,$Z$24,IF(ROUND(Z35,0)&lt;=$AB$10,$AC$10,IF(ROUND(Z35,0)&lt;=$AB$11,$AC$11,IF(ROUND(Z35,0)&lt;=$AB$12,$AC$12,IF(ROUND(Z35,0)&lt;=$AB$13,$AC$13,IF(ROUND(Z35,0)&lt;=$AB$14,$AC$14,IF(ROUND(Z35,0)&lt;=$AB$15,$AC$15,IF(ROUND(Z35,0)&lt;=$AB$16,$AC$16,IF(ROUND(Z35,0)&lt;=$AB$17,$AC$17,IF(ROUND(Z35,0)&lt;=$AB$18,$AC$18,IF(ROUND(Z35,0)&lt;=$AB$19,$AC$19,$AC$20)))))))))))))))))))))))))))))))))))))))),"Missing PTKP status")))</x:f>
        <x:v>0.07</x:v>
      </x:c>
      <x:c r="BS35" s="13" t="n">
        <x:f>IF(BA35=0,0,M35-(ROUND((IF(BA35=2,SUM(L35,N35:W35,X35),BM35+W35)+M35)*IF(OR(J35="S/0",J35="S/1",J35="M/0"),IF(ROUND((IF(BA35=2,SUM(L35,N35:W35,X35),BM35+W35)+M35),0)&lt;=$B$10,$C$10,IF(ROUND((IF(BA35=2,SUM(L35,N35:W35,X35),BM35+W35)+M35),0)&lt;=$B$11,$C$11,IF(ROUND((IF(BA35=2,SUM(L35,N35:W35,X35),BM35+W35)+M35),0)&lt;=$B$12,$C$12,IF(ROUND((IF(BA35=2,SUM(L35,N35:W35,X35),BM35+W35)+M35),0)&lt;=$B$13,$C$13,IF(ROUND((IF(BA35=2,SUM(L35,N35:W35,X35),BM35+W35)+M35),0)&lt;=$B$14,$C$14,IF(ROUND((IF(BA35=2,SUM(L35,N35:W35,X35),BM35+W35)+M35),0)&lt;=$B$15,$C$15,IF(ROUND((IF(BA35=2,SUM(L35,N35:W35,X35),BM35+W35)+M35),0)&lt;=$B$16,$C$16,IF(ROUND((IF(BA35=2,SUM(L35,N35:W35,X35),BM35+W35)+M35),0)&lt;=$B$17,$C$17,IF(ROUND((IF(BA35=2,SUM(L35,N35:W35,X35),BM35+W35)+M35),0)&lt;=$B$18,$C$18,IF(ROUND((IF(BA35=2,SUM(L35,N35:W35,X35),BM35+W35)+M35),0)&lt;=$B$19,$C$19,IF(ROUND((IF(BA35=2,SUM(L35,N35:W35,X35),BM35+W35)+M35),0)&lt;=$B$20,$C$20,IF(ROUND((IF(BA35=2,SUM(L35,N35:W35,X35),BM35+W35)+M35),0)&lt;=$B$21,$C$21,IF(ROUND((IF(BA35=2,SUM(L35,N35:W35,X35),BM35+W35)+M35),0)&lt;=$B$22,$C$22,IF(ROUND((IF(BA35=2,SUM(L35,N35:W35,X35),BM35+W35)+M35),0)&lt;=$B$23,$C$23,IF(ROUND((IF(BA35=2,SUM(L35,N35:W35,X35),BM35+W35)+M35),0)&lt;=$B$24,$C$24,IF(ROUND((IF(BA35=2,SUM(L35,N35:W35,X35),BM35+W35)+M35),0)&lt;=$E$10,$F$10,IF(ROUND((IF(BA35=2,SUM(L35,N35:W35,X35),BM35+W35)+M35),0)&lt;=$E$11,$F$11,IF(ROUND((IF(BA35=2,SUM(L35,N35:W35,X35),BM35+W35)+M35),0)&lt;=$E$12,$F$12,IF(ROUND((IF(BA35=2,SUM(L35,N35:W35,X35),BM35+W35)+M35),0)&lt;=$E$13,$F$13,IF(ROUND((IF(BA35=2,SUM(L35,N35:W35,X35),BM35+W35)+M35),0)&lt;=$E$14,$F$14,IF(ROUND((IF(BA35=2,SUM(L35,N35:W35,X35),BM35+W35)+M35),0)&lt;=$E$15,$F$15,IF(ROUND((IF(BA35=2,SUM(L35,N35:W35,X35),BM35+W35)+M35),0)&lt;=$E$16,$F$16,IF(ROUND((IF(BA35=2,SUM(L35,N35:W35,X35),BM35+W35)+M35),0)&lt;=$E$17,$F$17,IF(ROUND((IF(BA35=2,SUM(L35,N35:W35,X35),BM35+W35)+M35),0)&lt;=$E$18,$F$18,IF(ROUND((IF(BA35=2,SUM(L35,N35:W35,X35),BM35+W35)+M35),0)&lt;=$E$19,$F$19,IF(ROUND((IF(BA35=2,SUM(L35,N35:W35,X35),BM35+W35)+M35),0)&lt;=$E$20,$F$20,IF(ROUND((IF(BA35=2,SUM(L35,N35:W35,X35),BM35+W35)+M35),0)&lt;=$E$21,$F$21,IF(ROUND((IF(BA35=2,SUM(L35,N35:W35,X35),BM35+W35)+M35),0)&lt;=$E$22,$F$22,IF(ROUND((IF(BA35=2,SUM(L35,N35:W35,X35),BM35+W35)+M35),0)&lt;=$E$23,$F$23,IF(ROUND((IF(BA35=2,SUM(L35,N35:W35,X35),BM35+W35)+M35),0)&lt;=$E$24,$F$24,IF(ROUND((IF(BA35=2,SUM(L35,N35:W35,X35),BM35+W35)+M35),0)&lt;=$H$10,$I$10,IF(ROUND((IF(BA35=2,SUM(L35,N35:W35,X35),BM35+W35)+M35),0)&lt;=$H$11,$I$11,IF(ROUND((IF(BA35=2,SUM(L35,N35:W35,X35),BM35+W35)+M35),0)&lt;=$H$12,$I$12,IF(ROUND((IF(BA35=2,SUM(L35,N35:W35,X35),BM35+W35)+M35),0)&lt;=$H$13,$I$13,IF(ROUND((IF(BA35=2,SUM(L35,N35:W35,X35),BM35+W35)+M35),0)&lt;=$H$14,$I$14,IF(ROUND((IF(BA35=2,SUM(L35,N35:W35,X35),BM35+W35)+M35),0)&lt;=$H$15,$I$15,IF(ROUND((IF(BA35=2,SUM(L35,N35:W35,X35),BM35+W35)+M35),0)&lt;=$H$16,$I$16,IF(ROUND((IF(BA35=2,SUM(L35,N35:W35,X35),BM35+W35)+M35),0)&lt;=$H$17,$I$17,IF(ROUND((IF(BA35=2,SUM(L35,N35:W35,X35),BM35+W35)+M35),0)&lt;=$H$18,$I$18,IF(ROUND((IF(BA35=2,SUM(L35,N35:W35,X35),BM35+W35)+M35),0)&lt;=$H$19,$I$19,IF(ROUND((IF(BA35=2,SUM(L35,N35:W35,X35),BM35+W35)+M35),0)&lt;=$H$20,$I$20,IF(ROUND((IF(BA35=2,SUM(L35,N35:W35,X35),BM35+W35)+M35),0)&lt;=$H$21,$I$21,IF(ROUND((IF(BA35=2,SUM(L35,N35:W35,X35),BM35+W35)+M35),0)&lt;=$H$22,$I$22,$I$23))))))))))))))))))))))))))))))))))))))))))),IF(OR(J35="S/2",J35="S/3",J35="M/1",J35="M/2"),IF(ROUND((IF(BA35=2,SUM(L35,N35:W35,X35),BM35+W35)+M35),0)&lt;=$L$10,$M$10,IF(ROUND((IF(BA35=2,SUM(L35,N35:W35,X35),BM35+W35)+M35),0)&lt;=$L$11,$M$11,IF(ROUND((IF(BA35=2,SUM(L35,N35:W35,X35),BM35+W35)+M35),0)&lt;=$L$12,$M$12,IF(ROUND((IF(BA35=2,SUM(L35,N35:W35,X35),BM35+W35)+M35),0)&lt;=$L$13,$M$13,IF(ROUND((IF(BA35=2,SUM(L35,N35:W35,X35),BM35+W35)+M35),0)&lt;=$L$14,$M$14,IF(ROUND((IF(BA35=2,SUM(L35,N35:W35,X35),BM35+W35)+M35),0)&lt;=$L$15,$M$15,IF(ROUND((IF(BA35=2,SUM(L35,N35:W35,X35),BM35+W35)+M35),0)&lt;=$L$16,$M$16,IF(ROUND((IF(BA35=2,SUM(L35,N35:W35,X35),BM35+W35)+M35),0)&lt;=$L$17,$M$17,IF(ROUND((IF(BA35=2,SUM(L35,N35:W35,X35),BM35+W35)+M35),0)&lt;=$L$18,$M$18,IF(ROUND((IF(BA35=2,SUM(L35,N35:W35,X35),BM35+W35)+M35),0)&lt;=$L$19,$M$19,IF(ROUND((IF(BA35=2,SUM(L35,N35:W35,X35),BM35+W35)+M35),0)&lt;=$L$20,$M$20,IF(ROUND((IF(BA35=2,SUM(L35,N35:W35,X35),BM35+W35)+M35),0)&lt;=$L$21,$M$21,IF(ROUND((IF(BA35=2,SUM(L35,N35:W35,X35),BM35+W35)+M35),0)&lt;=$L$22,$M$22,IF(ROUND((IF(BA35=2,SUM(L35,N35:W35,X35),BM35+W35)+M35),0)&lt;=$L$23,$M$23,IF(ROUND((IF(BA35=2,SUM(L35,N35:W35,X35),BM35+W35)+M35),0)&lt;=$L$24,$M$24,IF(ROUND((IF(BA35=2,SUM(L35,N35:W35,X35),BM35+W35)+M35),0)&lt;=$O$10,$P$10,IF(ROUND((IF(BA35=2,SUM(L35,N35:W35,X35),BM35+W35)+M35),0)&lt;=$O$11,$P$11,IF(ROUND((IF(BA35=2,SUM(L35,N35:W35,X35),BM35+W35)+M35),0)&lt;=$O$12,$P$12,IF(ROUND((IF(BA35=2,SUM(L35,N35:W35,X35),BM35+W35)+M35),0)&lt;=$O$13,$P$13,IF(ROUND((IF(BA35=2,SUM(L35,N35:W35,X35),BM35+W35)+M35),0)&lt;=$O$14,$P$14,IF(ROUND((IF(BA35=2,SUM(L35,N35:W35,X35),BM35+W35)+M35),0)&lt;=$O$15,$P$15,IF(ROUND((IF(BA35=2,SUM(L35,N35:W35,X35),BM35+W35)+M35),0)&lt;=$O$16,$P$16,IF(ROUND((IF(BA35=2,SUM(L35,N35:W35,X35),BM35+W35)+M35),0)&lt;=$O$17,$P$17,IF(ROUND((IF(BA35=2,SUM(L35,N35:W35,X35),BM35+W35)+M35),0)&lt;=$O$18,$P$18,IF(ROUND((IF(BA35=2,SUM(L35,N35:W35,X35),BM35+W35)+M35),0)&lt;=$O$19,$P$19,IF(ROUND((IF(BA35=2,SUM(L35,N35:W35,X35),BM35+W35)+M35),0)&lt;=$O$20,$P$20,IF(ROUND((IF(BA35=2,SUM(L35,N35:W35,X35),BM35+W35)+M35),0)&lt;=$O$21,$P$21,IF(ROUND((IF(BA35=2,SUM(L35,N35:W35,X35),BM35+W35)+M35),0)&lt;=$O$22,$P$22,IF(ROUND((IF(BA35=2,SUM(L35,N35:W35,X35),BM35+W35)+M35),0)&lt;=$O$23,$P$23,IF(ROUND((IF(BA35=2,SUM(L35,N35:W35,X35),BM35+W35)+M35),0)&lt;=$O$24,$P$24,IF(ROUND((IF(BA35=2,SUM(L35,N35:W35,X35),BM35+W35)+M35),0)&lt;=$R$10,$S$10,IF(ROUND((IF(BA35=2,SUM(L35,N35:W35,X35),BM35+W35)+M35),0)&lt;=$R$11,$S$11,IF(ROUND((IF(BA35=2,SUM(L35,N35:W35,X35),BM35+W35)+M35),0)&lt;=$R$12,$S$12,IF(ROUND((IF(BA35=2,SUM(L35,N35:W35,X35),BM35+W35)+M35),0)&lt;=$R$13,$S$13,IF(ROUND((IF(BA35=2,SUM(L35,N35:W35,X35),BM35+W35)+M35),0)&lt;=$R$14,$S$14,IF(ROUND((IF(BA35=2,SUM(L35,N35:W35,X35),BM35+W35)+M35),0)&lt;=$R$15,$S$15,IF(ROUND((IF(BA35=2,SUM(L35,N35:W35,X35),BM35+W35)+M35),0)&lt;=$R$16,$S$16,IF(ROUND((IF(BA35=2,SUM(L35,N35:W35,X35),BM35+W35)+M35),0)&lt;=$R$17,$S$17,IF(ROUND((IF(BA35=2,SUM(L35,N35:W35,X35),BM35+W35)+M35),0)&lt;=$R$18,$S$18,$S$19))))))))))))))))))))))))))))))))))))))),IF(J35="M/3",IF(ROUND((IF(BA35=2,SUM(L35,N35:W35,X35),BM35+W35)+M35),0)&lt;=$V$10,$W$10,IF(ROUND((IF(BA35=2,SUM(L35,N35:W35,X35),BM35+W35)+M35),0)&lt;=$V$11,$W$11,IF(ROUND((IF(BA35=2,SUM(L35,N35:W35,X35),BM35+W35)+M35),0)&lt;=$V$12,$W$12,IF(ROUND((IF(BA35=2,SUM(L35,N35:W35,X35),BM35+W35)+M35),0)&lt;=$V$13,$W$13,IF(ROUND((IF(BA35=2,SUM(L35,N35:W35,X35),BM35+W35)+M35),0)&lt;=$V$14,$W$14,IF(ROUND((IF(BA35=2,SUM(L35,N35:W35,X35),BM35+W35)+M35),0)&lt;=$V$15,$W$15,IF(ROUND((IF(BA35=2,SUM(L35,N35:W35,X35),BM35+W35)+M35),0)&lt;=$V$16,$W$16,IF(ROUND((IF(BA35=2,SUM(L35,N35:W35,X35),BM35+W35)+M35),0)&lt;=$V$17,$W$17,IF(ROUND((IF(BA35=2,SUM(L35,N35:W35,X35),BM35+W35)+M35),0)&lt;=$V$18,$W$18,IF(ROUND((IF(BA35=2,SUM(L35,N35:W35,X35),BM35+W35)+M35),0)&lt;=$V$19,$W$19,IF(ROUND((IF(BA35=2,SUM(L35,N35:W35,X35),BM35+W35)+M35),0)&lt;=$V$20,$W$20,IF(ROUND((IF(BA35=2,SUM(L35,N35:W35,X35),BM35+W35)+M35),0)&lt;=$V$21,$W$21,IF(ROUND((IF(BA35=2,SUM(L35,N35:W35,X35),BM35+W35)+M35),0)&lt;=$V$22,$W$22,IF(ROUND((IF(BA35=2,SUM(L35,N35:W35,X35),BM35+W35)+M35),0)&lt;=$V$23,$W$23,IF(ROUND((IF(BA35=2,SUM(L35,N35:W35,X35),BM35+W35)+M35),0)&lt;=$V$24,$W$24,IF(ROUND((IF(BA35=2,SUM(L35,N35:W35,X35),BM35+W35)+M35),0)&lt;=$Y$10,$Z$10,IF(ROUND((IF(BA35=2,SUM(L35,N35:W35,X35),BM35+W35)+M35),0)&lt;=$Y$11,$Z$11,IF(ROUND((IF(BA35=2,SUM(L35,N35:W35,X35),BM35+W35)+M35),0)&lt;=$Y$12,$Z$12,IF(ROUND((IF(BA35=2,SUM(L35,N35:W35,X35),BM35+W35)+M35),0)&lt;=$Y$13,$Z$13,IF(ROUND((IF(BA35=2,SUM(L35,N35:W35,X35),BM35+W35)+M35),0)&lt;=$Y$14,$Z$14,IF(ROUND((IF(BA35=2,SUM(L35,N35:W35,X35),BM35+W35)+M35),0)&lt;=$Y$15,$Z$15,IF(ROUND((IF(BA35=2,SUM(L35,N35:W35,X35),BM35+W35)+M35),0)&lt;=$Y$16,$Z$16,IF(ROUND((IF(BA35=2,SUM(L35,N35:W35,X35),BM35+W35)+M35),0)&lt;=$Y$17,$Z$17,IF(ROUND((IF(BA35=2,SUM(L35,N35:W35,X35),BM35+W35)+M35),0)&lt;=$Y$18,$Z$18,IF(ROUND((IF(BA35=2,SUM(L35,N35:W35,X35),BM35+W35)+M35),0)&lt;=$Y$19,$Z$19,IF(ROUND((IF(BA35=2,SUM(L35,N35:W35,X35),BM35+W35)+M35),0)&lt;=$Y$20,$Z$20,IF(ROUND((IF(BA35=2,SUM(L35,N35:W35,X35),BM35+W35)+M35),0)&lt;=$Y$21,$Z$21,IF(ROUND((IF(BA35=2,SUM(L35,N35:W35,X35),BM35+W35)+M35),0)&lt;=$Y$22,$Z$22,IF(ROUND((IF(BA35=2,SUM(L35,N35:W35,X35),BM35+W35)+M35),0)&lt;=$Y$23,$Z$23,IF(ROUND((IF(BA35=2,SUM(L35,N35:W35,X35),BM35+W35)+M35),0)&lt;=$Y$24,$Z$24,IF(ROUND((IF(BA35=2,SUM(L35,N35:W35,X35),BM35+W35)+M35),0)&lt;=$AB$10,$AC$10,IF(ROUND((IF(BA35=2,SUM(L35,N35:W35,X35),BM35+W35)+M35),0)&lt;=$AB$11,$AC$11,IF(ROUND((IF(BA35=2,SUM(L35,N35:W35,X35),BM35+W35)+M35),0)&lt;=$AB$12,$AC$12,IF(ROUND((IF(BA35=2,SUM(L35,N35:W35,X35),BM35+W35)+M35),0)&lt;=$AB$13,$AC$13,IF(ROUND((IF(BA35=2,SUM(L35,N35:W35,X35),BM35+W35)+M35),0)&lt;=$AB$14,$AC$14,IF(ROUND((IF(BA35=2,SUM(L35,N35:W35,X35),BM35+W35)+M35),0)&lt;=$AB$15,$AC$15,IF(ROUND((IF(BA35=2,SUM(L35,N35:W35,X35),BM35+W35)+M35),0)&lt;=$AB$16,$AC$16,IF(ROUND((IF(BA35=2,SUM(L35,N35:W35,X35),BM35+W35)+M35),0)&lt;=$AB$17,$AC$17,IF(ROUND((IF(BA35=2,SUM(L35,N35:W35,X35),BM35+W35)+M35),0)&lt;=$AB$18,$AC$18,IF(ROUND((IF(BA35=2,SUM(L35,N35:W35,X35),BM35+W35)+M35),0)&lt;=$AB$19,$AC$19,$AC$20)))))))))))))))))))))))))))))))))))))))),"Missing PTKP status"))),0)-IF(BA35=2,0,BN35)))</x:f>
        <x:v>0</x:v>
      </x:c>
      <x:c r="BT35" s="13" t="n">
        <x:f>Z35+Y35+AA35+AB35</x:f>
        <x:v>18044226</x:v>
      </x:c>
      <x:c r="BU35" s="18" t="n">
        <x:v>0</x:v>
      </x:c>
      <x:c r="BV35" s="18" t="n">
        <x:v>0</x:v>
      </x:c>
      <x:c r="BW35" s="18" t="n">
        <x:v>0</x:v>
      </x:c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/>
      <x:c r="AR36"/>
      <x:c r="AS36"/>
      <x:c r="AT36"/>
      <x:c r="AU36"/>
      <x:c r="AV36"/>
      <x:c r="AW36"/>
      <x:c r="AX36"/>
      <x:c r="AY36"/>
      <x:c r="AZ36"/>
      <x:c r="BA36"/>
      <x:c r="BB36"/>
      <x:c r="BC36"/>
      <x:c r="BD36"/>
      <x:c r="BE36"/>
      <x:c r="BF36"/>
      <x:c r="BG36"/>
      <x:c r="BH36"/>
      <x:c r="BI36"/>
      <x:c r="BJ36"/>
      <x:c r="BK36"/>
      <x:c r="BL36"/>
      <x:c r="BM36"/>
      <x:c r="BN36"/>
      <x:c r="BO36"/>
      <x:c r="BP36"/>
      <x:c r="BQ36"/>
      <x:c r="BR36"/>
      <x:c r="BS36"/>
      <x:c r="BT36"/>
      <x:c r="BU36"/>
      <x:c r="BV36"/>
      <x:c r="BW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/>
      <x:c r="AX37"/>
      <x:c r="AY37"/>
      <x:c r="AZ37"/>
      <x:c r="BA37"/>
      <x:c r="BB37"/>
      <x:c r="BC37"/>
      <x:c r="BD37"/>
      <x:c r="BE37"/>
      <x:c r="BF37"/>
      <x:c r="BG37"/>
      <x:c r="BH37"/>
      <x:c r="BI37"/>
      <x:c r="BJ37"/>
      <x:c r="BK37"/>
      <x:c r="BL37"/>
      <x:c r="BM37"/>
      <x:c r="BN37"/>
      <x:c r="BO37"/>
      <x:c r="BP37"/>
      <x:c r="BQ37"/>
      <x:c r="BR37"/>
      <x:c r="BS37"/>
      <x:c r="BT37"/>
      <x:c r="BU37"/>
      <x:c r="BV37"/>
      <x:c r="BW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  <x:c r="BG38"/>
      <x:c r="BH38"/>
      <x:c r="BI38"/>
      <x:c r="BJ38"/>
      <x:c r="BK38"/>
      <x:c r="BL38"/>
      <x:c r="BM38"/>
      <x:c r="BN38"/>
      <x:c r="BO38"/>
      <x:c r="BP38"/>
      <x:c r="BQ38"/>
      <x:c r="BR38"/>
      <x:c r="BS38"/>
      <x:c r="BT38"/>
      <x:c r="BU38"/>
      <x:c r="BV38"/>
      <x:c r="BW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  <x:c r="BA39"/>
      <x:c r="BB39"/>
      <x:c r="BC39"/>
      <x:c r="BD39"/>
      <x:c r="BE39"/>
      <x:c r="BF39"/>
      <x:c r="BG39"/>
      <x:c r="BH39"/>
      <x:c r="BI39"/>
      <x:c r="BJ39"/>
      <x:c r="BK39"/>
      <x:c r="BL39"/>
      <x:c r="BM39"/>
      <x:c r="BN39"/>
      <x:c r="BO39"/>
      <x:c r="BP39"/>
      <x:c r="BQ39"/>
      <x:c r="BR39"/>
      <x:c r="BS39"/>
      <x:c r="BT39"/>
      <x:c r="BU39"/>
      <x:c r="BV39"/>
      <x:c r="BW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  <x:c r="BG40"/>
      <x:c r="BH40"/>
      <x:c r="BI40"/>
      <x:c r="BJ40"/>
      <x:c r="BK40"/>
      <x:c r="BL40"/>
      <x:c r="BM40"/>
      <x:c r="BN40"/>
      <x:c r="BO40"/>
      <x:c r="BP40"/>
      <x:c r="BQ40"/>
      <x:c r="BR40"/>
      <x:c r="BS40"/>
      <x:c r="BT40"/>
      <x:c r="BU40"/>
      <x:c r="BV40"/>
      <x:c r="BW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  <x:c r="BG41"/>
      <x:c r="BH41"/>
      <x:c r="BI41"/>
      <x:c r="BJ41"/>
      <x:c r="BK41"/>
      <x:c r="BL41"/>
      <x:c r="BM41"/>
      <x:c r="BN41"/>
      <x:c r="BO41"/>
      <x:c r="BP41"/>
      <x:c r="BQ41"/>
      <x:c r="BR41"/>
      <x:c r="BS41"/>
      <x:c r="BT41"/>
      <x:c r="BU41"/>
      <x:c r="BV41"/>
      <x:c r="BW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  <x:c r="BG42"/>
      <x:c r="BH42"/>
      <x:c r="BI42"/>
      <x:c r="BJ42"/>
      <x:c r="BK42"/>
      <x:c r="BL42"/>
      <x:c r="BM42"/>
      <x:c r="BN42"/>
      <x:c r="BO42"/>
      <x:c r="BP42"/>
      <x:c r="BQ42"/>
      <x:c r="BR42"/>
      <x:c r="BS42"/>
      <x:c r="BT42"/>
      <x:c r="BU42"/>
      <x:c r="BV42"/>
      <x:c r="BW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/>
      <x:c r="AQ43"/>
      <x:c r="AR43"/>
      <x:c r="AS43"/>
      <x:c r="AT43"/>
      <x:c r="AU43"/>
      <x:c r="AV43"/>
      <x:c r="AW43"/>
      <x:c r="AX43"/>
      <x:c r="AY43"/>
      <x:c r="AZ43"/>
      <x:c r="BA43"/>
      <x:c r="BB43"/>
      <x:c r="BC43"/>
      <x:c r="BD43"/>
      <x:c r="BE43"/>
      <x:c r="BF43"/>
      <x:c r="BG43"/>
      <x:c r="BH43"/>
      <x:c r="BI43"/>
      <x:c r="BJ43"/>
      <x:c r="BK43"/>
      <x:c r="BL43"/>
      <x:c r="BM43"/>
      <x:c r="BN43"/>
      <x:c r="BO43"/>
      <x:c r="BP43"/>
      <x:c r="BQ43"/>
      <x:c r="BR43"/>
      <x:c r="BS43"/>
      <x:c r="BT43"/>
      <x:c r="BU43"/>
      <x:c r="BV43"/>
      <x:c r="BW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  <x:c r="BA44"/>
      <x:c r="BB44"/>
      <x:c r="BC44"/>
      <x:c r="BD44"/>
      <x:c r="BE44"/>
      <x:c r="BF44"/>
      <x:c r="BG44"/>
      <x:c r="BH44"/>
      <x:c r="BI44"/>
      <x:c r="BJ44"/>
      <x:c r="BK44"/>
      <x:c r="BL44"/>
      <x:c r="BM44"/>
      <x:c r="BN44"/>
      <x:c r="BO44"/>
      <x:c r="BP44"/>
      <x:c r="BQ44"/>
      <x:c r="BR44"/>
      <x:c r="BS44"/>
      <x:c r="BT44"/>
      <x:c r="BU44"/>
      <x:c r="BV44"/>
      <x:c r="BW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E45"/>
      <x:c r="BF45"/>
      <x:c r="BG45"/>
      <x:c r="BH45"/>
      <x:c r="BI45"/>
      <x:c r="BJ45"/>
      <x:c r="BK45"/>
      <x:c r="BL45"/>
      <x:c r="BM45"/>
      <x:c r="BN45"/>
      <x:c r="BO45"/>
      <x:c r="BP45"/>
      <x:c r="BQ45"/>
      <x:c r="BR45"/>
      <x:c r="BS45"/>
      <x:c r="BT45"/>
      <x:c r="BU45"/>
      <x:c r="BV45"/>
      <x:c r="BW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E46"/>
      <x:c r="BF46"/>
      <x:c r="BG46"/>
      <x:c r="BH46"/>
      <x:c r="BI46"/>
      <x:c r="BJ46"/>
      <x:c r="BK46"/>
      <x:c r="BL46"/>
      <x:c r="BM46"/>
      <x:c r="BN46"/>
      <x:c r="BO46"/>
      <x:c r="BP46"/>
      <x:c r="BQ46"/>
      <x:c r="BR46"/>
      <x:c r="BS46"/>
      <x:c r="BT46"/>
      <x:c r="BU46"/>
      <x:c r="BV46"/>
      <x:c r="BW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  <x:c r="AP47"/>
      <x:c r="AQ47"/>
      <x:c r="AR47"/>
      <x:c r="AS47"/>
      <x:c r="AT47"/>
      <x:c r="AU47"/>
      <x:c r="AV47"/>
      <x:c r="AW47"/>
      <x:c r="AX47"/>
      <x:c r="AY47"/>
      <x:c r="AZ47"/>
      <x:c r="BA47"/>
      <x:c r="BB47"/>
      <x:c r="BC47"/>
      <x:c r="BD47"/>
      <x:c r="BE47"/>
      <x:c r="BF47"/>
      <x:c r="BG47"/>
      <x:c r="BH47"/>
      <x:c r="BI47"/>
      <x:c r="BJ47"/>
      <x:c r="BK47"/>
      <x:c r="BL47"/>
      <x:c r="BM47"/>
      <x:c r="BN47"/>
      <x:c r="BO47"/>
      <x:c r="BP47"/>
      <x:c r="BQ47"/>
      <x:c r="BR47"/>
      <x:c r="BS47"/>
      <x:c r="BT47"/>
      <x:c r="BU47"/>
      <x:c r="BV47"/>
      <x:c r="BW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/>
      <x:c r="BO48"/>
      <x:c r="BP48"/>
      <x:c r="BQ48"/>
      <x:c r="BR48"/>
      <x:c r="BS48"/>
      <x:c r="BT48"/>
      <x:c r="BU48"/>
      <x:c r="BV48"/>
      <x:c r="BW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  <x:c r="AP49"/>
      <x:c r="AQ49"/>
      <x:c r="AR49"/>
      <x:c r="AS49"/>
      <x:c r="AT49"/>
      <x:c r="AU49"/>
      <x:c r="AV49"/>
      <x:c r="AW49"/>
      <x:c r="AX49"/>
      <x:c r="AY49"/>
      <x:c r="AZ49"/>
      <x:c r="BA49"/>
      <x:c r="BB49"/>
      <x:c r="BC49"/>
      <x:c r="BD49"/>
      <x:c r="BE49"/>
      <x:c r="BF49"/>
      <x:c r="BG49"/>
      <x:c r="BH49"/>
      <x:c r="BI49"/>
      <x:c r="BJ49"/>
      <x:c r="BK49"/>
      <x:c r="BL49"/>
      <x:c r="BM49"/>
      <x:c r="BN49"/>
      <x:c r="BO49"/>
      <x:c r="BP49"/>
      <x:c r="BQ49"/>
      <x:c r="BR49"/>
      <x:c r="BS49"/>
      <x:c r="BT49"/>
      <x:c r="BU49"/>
      <x:c r="BV49"/>
      <x:c r="BW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  <x:c r="AP50"/>
      <x:c r="AQ50"/>
      <x:c r="AR50"/>
      <x:c r="AS50"/>
      <x:c r="AT50"/>
      <x:c r="AU50"/>
      <x:c r="AV50"/>
      <x:c r="AW50"/>
      <x:c r="AX50"/>
      <x:c r="AY50"/>
      <x:c r="AZ50"/>
      <x:c r="BA50"/>
      <x:c r="BB50"/>
      <x:c r="BC50"/>
      <x:c r="BD50"/>
      <x:c r="BE50"/>
      <x:c r="BF50"/>
      <x:c r="BG50"/>
      <x:c r="BH50"/>
      <x:c r="BI50"/>
      <x:c r="BJ50"/>
      <x:c r="BK50"/>
      <x:c r="BL50"/>
      <x:c r="BM50"/>
      <x:c r="BN50"/>
      <x:c r="BO50"/>
      <x:c r="BP50"/>
      <x:c r="BQ50"/>
      <x:c r="BR50"/>
      <x:c r="BS50"/>
      <x:c r="BT50"/>
      <x:c r="BU50"/>
      <x:c r="BV50"/>
      <x:c r="BW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/>
      <x:c r="AR51"/>
      <x:c r="AS51"/>
      <x:c r="AT51"/>
      <x:c r="AU51"/>
      <x:c r="AV51"/>
      <x:c r="AW51"/>
      <x:c r="AX51"/>
      <x:c r="AY51"/>
      <x:c r="AZ51"/>
      <x:c r="BA51"/>
      <x:c r="BB51"/>
      <x:c r="BC51"/>
      <x:c r="BD51"/>
      <x:c r="BE51"/>
      <x:c r="BF51"/>
      <x:c r="BG51"/>
      <x:c r="BH51"/>
      <x:c r="BI51"/>
      <x:c r="BJ51"/>
      <x:c r="BK51"/>
      <x:c r="BL51"/>
      <x:c r="BM51"/>
      <x:c r="BN51"/>
      <x:c r="BO51"/>
      <x:c r="BP51"/>
      <x:c r="BQ51"/>
      <x:c r="BR51"/>
      <x:c r="BS51"/>
      <x:c r="BT51"/>
      <x:c r="BU51"/>
      <x:c r="BV51"/>
      <x:c r="BW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  <x:c r="AP52"/>
      <x:c r="AQ52"/>
      <x:c r="AR52"/>
      <x:c r="AS52"/>
      <x:c r="AT52"/>
      <x:c r="AU52"/>
      <x:c r="AV52"/>
      <x:c r="AW52"/>
      <x:c r="AX52"/>
      <x:c r="AY52"/>
      <x:c r="AZ52"/>
      <x:c r="BA52"/>
      <x:c r="BB52"/>
      <x:c r="BC52"/>
      <x:c r="BD52"/>
      <x:c r="BE52"/>
      <x:c r="BF52"/>
      <x:c r="BG52"/>
      <x:c r="BH52"/>
      <x:c r="BI52"/>
      <x:c r="BJ52"/>
      <x:c r="BK52"/>
      <x:c r="BL52"/>
      <x:c r="BM52"/>
      <x:c r="BN52"/>
      <x:c r="BO52"/>
      <x:c r="BP52"/>
      <x:c r="BQ52"/>
      <x:c r="BR52"/>
      <x:c r="BS52"/>
      <x:c r="BT52"/>
      <x:c r="BU52"/>
      <x:c r="BV52"/>
      <x:c r="BW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E53"/>
      <x:c r="BF53"/>
      <x:c r="BG53"/>
      <x:c r="BH53"/>
      <x:c r="BI53"/>
      <x:c r="BJ53"/>
      <x:c r="BK53"/>
      <x:c r="BL53"/>
      <x:c r="BM53"/>
      <x:c r="BN53"/>
      <x:c r="BO53"/>
      <x:c r="BP53"/>
      <x:c r="BQ53"/>
      <x:c r="BR53"/>
      <x:c r="BS53"/>
      <x:c r="BT53"/>
      <x:c r="BU53"/>
      <x:c r="BV53"/>
      <x:c r="BW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  <x:c r="BG54"/>
      <x:c r="BH54"/>
      <x:c r="BI54"/>
      <x:c r="BJ54"/>
      <x:c r="BK54"/>
      <x:c r="BL54"/>
      <x:c r="BM54"/>
      <x:c r="BN54"/>
      <x:c r="BO54"/>
      <x:c r="BP54"/>
      <x:c r="BQ54"/>
      <x:c r="BR54"/>
      <x:c r="BS54"/>
      <x:c r="BT54"/>
      <x:c r="BU54"/>
      <x:c r="BV54"/>
      <x:c r="BW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/>
      <x:c r="BO55"/>
      <x:c r="BP55"/>
      <x:c r="BQ55"/>
      <x:c r="BR55"/>
      <x:c r="BS55"/>
      <x:c r="BT55"/>
      <x:c r="BU55"/>
      <x:c r="BV55"/>
      <x:c r="BW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  <x:c r="AP56"/>
      <x:c r="AQ56"/>
      <x:c r="AR56"/>
      <x:c r="AS56"/>
      <x:c r="AT56"/>
      <x:c r="AU56"/>
      <x:c r="AV56"/>
      <x:c r="AW56"/>
      <x:c r="AX56"/>
      <x:c r="AY56"/>
      <x:c r="AZ56"/>
      <x:c r="BA56"/>
      <x:c r="BB56"/>
      <x:c r="BC56"/>
      <x:c r="BD56"/>
      <x:c r="BE56"/>
      <x:c r="BF56"/>
      <x:c r="BG56"/>
      <x:c r="BH56"/>
      <x:c r="BI56"/>
      <x:c r="BJ56"/>
      <x:c r="BK56"/>
      <x:c r="BL56"/>
      <x:c r="BM56"/>
      <x:c r="BN56"/>
      <x:c r="BO56"/>
      <x:c r="BP56"/>
      <x:c r="BQ56"/>
      <x:c r="BR56"/>
      <x:c r="BS56"/>
      <x:c r="BT56"/>
      <x:c r="BU56"/>
      <x:c r="BV56"/>
      <x:c r="BW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  <x:c r="BG57"/>
      <x:c r="BH57"/>
      <x:c r="BI57"/>
      <x:c r="BJ57"/>
      <x:c r="BK57"/>
      <x:c r="BL57"/>
      <x:c r="BM57"/>
      <x:c r="BN57"/>
      <x:c r="BO57"/>
      <x:c r="BP57"/>
      <x:c r="BQ57"/>
      <x:c r="BR57"/>
      <x:c r="BS57"/>
      <x:c r="BT57"/>
      <x:c r="BU57"/>
      <x:c r="BV57"/>
      <x:c r="BW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  <x:c r="AP58"/>
      <x:c r="AQ58"/>
      <x:c r="AR58"/>
      <x:c r="AS58"/>
      <x:c r="AT58"/>
      <x:c r="AU58"/>
      <x:c r="AV58"/>
      <x:c r="AW58"/>
      <x:c r="AX58"/>
      <x:c r="AY58"/>
      <x:c r="AZ58"/>
      <x:c r="BA58"/>
      <x:c r="BB58"/>
      <x:c r="BC58"/>
      <x:c r="BD58"/>
      <x:c r="BE58"/>
      <x:c r="BF58"/>
      <x:c r="BG58"/>
      <x:c r="BH58"/>
      <x:c r="BI58"/>
      <x:c r="BJ58"/>
      <x:c r="BK58"/>
      <x:c r="BL58"/>
      <x:c r="BM58"/>
      <x:c r="BN58"/>
      <x:c r="BO58"/>
      <x:c r="BP58"/>
      <x:c r="BQ58"/>
      <x:c r="BR58"/>
      <x:c r="BS58"/>
      <x:c r="BT58"/>
      <x:c r="BU58"/>
      <x:c r="BV58"/>
      <x:c r="BW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  <x:c r="AP59"/>
      <x:c r="AQ59"/>
      <x:c r="AR59"/>
      <x:c r="AS59"/>
      <x:c r="AT59"/>
      <x:c r="AU59"/>
      <x:c r="AV59"/>
      <x:c r="AW59"/>
      <x:c r="AX59"/>
      <x:c r="AY59"/>
      <x:c r="AZ59"/>
      <x:c r="BA59"/>
      <x:c r="BB59"/>
      <x:c r="BC59"/>
      <x:c r="BD59"/>
      <x:c r="BE59"/>
      <x:c r="BF59"/>
      <x:c r="BG59"/>
      <x:c r="BH59"/>
      <x:c r="BI59"/>
      <x:c r="BJ59"/>
      <x:c r="BK59"/>
      <x:c r="BL59"/>
      <x:c r="BM59"/>
      <x:c r="BN59"/>
      <x:c r="BO59"/>
      <x:c r="BP59"/>
      <x:c r="BQ59"/>
      <x:c r="BR59"/>
      <x:c r="BS59"/>
      <x:c r="BT59"/>
      <x:c r="BU59"/>
      <x:c r="BV59"/>
      <x:c r="BW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  <x:c r="BG60"/>
      <x:c r="BH60"/>
      <x:c r="BI60"/>
      <x:c r="BJ60"/>
      <x:c r="BK60"/>
      <x:c r="BL60"/>
      <x:c r="BM60"/>
      <x:c r="BN60"/>
      <x:c r="BO60"/>
      <x:c r="BP60"/>
      <x:c r="BQ60"/>
      <x:c r="BR60"/>
      <x:c r="BS60"/>
      <x:c r="BT60"/>
      <x:c r="BU60"/>
      <x:c r="BV60"/>
      <x:c r="BW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  <x:c r="BG61"/>
      <x:c r="BH61"/>
      <x:c r="BI61"/>
      <x:c r="BJ61"/>
      <x:c r="BK61"/>
      <x:c r="BL61"/>
      <x:c r="BM61"/>
      <x:c r="BN61"/>
      <x:c r="BO61"/>
      <x:c r="BP61"/>
      <x:c r="BQ61"/>
      <x:c r="BR61"/>
      <x:c r="BS61"/>
      <x:c r="BT61"/>
      <x:c r="BU61"/>
      <x:c r="BV61"/>
      <x:c r="BW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  <x:c r="AP62"/>
      <x:c r="AQ62"/>
      <x:c r="AR62"/>
      <x:c r="AS62"/>
      <x:c r="AT62"/>
      <x:c r="AU62"/>
      <x:c r="AV62"/>
      <x:c r="AW62"/>
      <x:c r="AX62"/>
      <x:c r="AY62"/>
      <x:c r="AZ62"/>
      <x:c r="BA62"/>
      <x:c r="BB62"/>
      <x:c r="BC62"/>
      <x:c r="BD62"/>
      <x:c r="BE62"/>
      <x:c r="BF62"/>
      <x:c r="BG62"/>
      <x:c r="BH62"/>
      <x:c r="BI62"/>
      <x:c r="BJ62"/>
      <x:c r="BK62"/>
      <x:c r="BL62"/>
      <x:c r="BM62"/>
      <x:c r="BN62"/>
      <x:c r="BO62"/>
      <x:c r="BP62"/>
      <x:c r="BQ62"/>
      <x:c r="BR62"/>
      <x:c r="BS62"/>
      <x:c r="BT62"/>
      <x:c r="BU62"/>
      <x:c r="BV62"/>
      <x:c r="BW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/>
      <x:c r="AQ63"/>
      <x:c r="AR63"/>
      <x:c r="AS63"/>
      <x:c r="AT63"/>
      <x:c r="AU63"/>
      <x:c r="AV63"/>
      <x:c r="AW63"/>
      <x:c r="AX63"/>
      <x:c r="AY63"/>
      <x:c r="AZ63"/>
      <x:c r="BA63"/>
      <x:c r="BB63"/>
      <x:c r="BC63"/>
      <x:c r="BD63"/>
      <x:c r="BE63"/>
      <x:c r="BF63"/>
      <x:c r="BG63"/>
      <x:c r="BH63"/>
      <x:c r="BI63"/>
      <x:c r="BJ63"/>
      <x:c r="BK63"/>
      <x:c r="BL63"/>
      <x:c r="BM63"/>
      <x:c r="BN63"/>
      <x:c r="BO63"/>
      <x:c r="BP63"/>
      <x:c r="BQ63"/>
      <x:c r="BR63"/>
      <x:c r="BS63"/>
      <x:c r="BT63"/>
      <x:c r="BU63"/>
      <x:c r="BV63"/>
      <x:c r="BW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  <x:c r="BG64"/>
      <x:c r="BH64"/>
      <x:c r="BI64"/>
      <x:c r="BJ64"/>
      <x:c r="BK64"/>
      <x:c r="BL64"/>
      <x:c r="BM64"/>
      <x:c r="BN64"/>
      <x:c r="BO64"/>
      <x:c r="BP64"/>
      <x:c r="BQ64"/>
      <x:c r="BR64"/>
      <x:c r="BS64"/>
      <x:c r="BT64"/>
      <x:c r="BU64"/>
      <x:c r="BV64"/>
      <x:c r="BW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  <x:c r="BA65"/>
      <x:c r="BB65"/>
      <x:c r="BC65"/>
      <x:c r="BD65"/>
      <x:c r="BE65"/>
      <x:c r="BF65"/>
      <x:c r="BG65"/>
      <x:c r="BH65"/>
      <x:c r="BI65"/>
      <x:c r="BJ65"/>
      <x:c r="BK65"/>
      <x:c r="BL65"/>
      <x:c r="BM65"/>
      <x:c r="BN65"/>
      <x:c r="BO65"/>
      <x:c r="BP65"/>
      <x:c r="BQ65"/>
      <x:c r="BR65"/>
      <x:c r="BS65"/>
      <x:c r="BT65"/>
      <x:c r="BU65"/>
      <x:c r="BV65"/>
      <x:c r="BW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  <x:c r="AP66"/>
      <x:c r="AQ66"/>
      <x:c r="AR66"/>
      <x:c r="AS66"/>
      <x:c r="AT66"/>
      <x:c r="AU66"/>
      <x:c r="AV66"/>
      <x:c r="AW66"/>
      <x:c r="AX66"/>
      <x:c r="AY66"/>
      <x:c r="AZ66"/>
      <x:c r="BA66"/>
      <x:c r="BB66"/>
      <x:c r="BC66"/>
      <x:c r="BD66"/>
      <x:c r="BE66"/>
      <x:c r="BF66"/>
      <x:c r="BG66"/>
      <x:c r="BH66"/>
      <x:c r="BI66"/>
      <x:c r="BJ66"/>
      <x:c r="BK66"/>
      <x:c r="BL66"/>
      <x:c r="BM66"/>
      <x:c r="BN66"/>
      <x:c r="BO66"/>
      <x:c r="BP66"/>
      <x:c r="BQ66"/>
      <x:c r="BR66"/>
      <x:c r="BS66"/>
      <x:c r="BT66"/>
      <x:c r="BU66"/>
      <x:c r="BV66"/>
      <x:c r="BW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  <x:c r="BG67"/>
      <x:c r="BH67"/>
      <x:c r="BI67"/>
      <x:c r="BJ67"/>
      <x:c r="BK67"/>
      <x:c r="BL67"/>
      <x:c r="BM67"/>
      <x:c r="BN67"/>
      <x:c r="BO67"/>
      <x:c r="BP67"/>
      <x:c r="BQ67"/>
      <x:c r="BR67"/>
      <x:c r="BS67"/>
      <x:c r="BT67"/>
      <x:c r="BU67"/>
      <x:c r="BV67"/>
      <x:c r="BW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  <x:c r="AP68"/>
      <x:c r="AQ68"/>
      <x:c r="AR68"/>
      <x:c r="AS68"/>
      <x:c r="AT68"/>
      <x:c r="AU68"/>
      <x:c r="AV68"/>
      <x:c r="AW68"/>
      <x:c r="AX68"/>
      <x:c r="AY68"/>
      <x:c r="AZ68"/>
      <x:c r="BA68"/>
      <x:c r="BB68"/>
      <x:c r="BC68"/>
      <x:c r="BD68"/>
      <x:c r="BE68"/>
      <x:c r="BF68"/>
      <x:c r="BG68"/>
      <x:c r="BH68"/>
      <x:c r="BI68"/>
      <x:c r="BJ68"/>
      <x:c r="BK68"/>
      <x:c r="BL68"/>
      <x:c r="BM68"/>
      <x:c r="BN68"/>
      <x:c r="BO68"/>
      <x:c r="BP68"/>
      <x:c r="BQ68"/>
      <x:c r="BR68"/>
      <x:c r="BS68"/>
      <x:c r="BT68"/>
      <x:c r="BU68"/>
      <x:c r="BV68"/>
      <x:c r="BW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  <x:c r="BG69"/>
      <x:c r="BH69"/>
      <x:c r="BI69"/>
      <x:c r="BJ69"/>
      <x:c r="BK69"/>
      <x:c r="BL69"/>
      <x:c r="BM69"/>
      <x:c r="BN69"/>
      <x:c r="BO69"/>
      <x:c r="BP69"/>
      <x:c r="BQ69"/>
      <x:c r="BR69"/>
      <x:c r="BS69"/>
      <x:c r="BT69"/>
      <x:c r="BU69"/>
      <x:c r="BV69"/>
      <x:c r="BW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  <x:c r="AP70"/>
      <x:c r="AQ70"/>
      <x:c r="AR70"/>
      <x:c r="AS70"/>
      <x:c r="AT70"/>
      <x:c r="AU70"/>
      <x:c r="AV70"/>
      <x:c r="AW70"/>
      <x:c r="AX70"/>
      <x:c r="AY70"/>
      <x:c r="AZ70"/>
      <x:c r="BA70"/>
      <x:c r="BB70"/>
      <x:c r="BC70"/>
      <x:c r="BD70"/>
      <x:c r="BE70"/>
      <x:c r="BF70"/>
      <x:c r="BG70"/>
      <x:c r="BH70"/>
      <x:c r="BI70"/>
      <x:c r="BJ70"/>
      <x:c r="BK70"/>
      <x:c r="BL70"/>
      <x:c r="BM70"/>
      <x:c r="BN70"/>
      <x:c r="BO70"/>
      <x:c r="BP70"/>
      <x:c r="BQ70"/>
      <x:c r="BR70"/>
      <x:c r="BS70"/>
      <x:c r="BT70"/>
      <x:c r="BU70"/>
      <x:c r="BV70"/>
      <x:c r="BW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  <x:c r="AP71"/>
      <x:c r="AQ71"/>
      <x:c r="AR71"/>
      <x:c r="AS71"/>
      <x:c r="AT71"/>
      <x:c r="AU71"/>
      <x:c r="AV71"/>
      <x:c r="AW71"/>
      <x:c r="AX71"/>
      <x:c r="AY71"/>
      <x:c r="AZ71"/>
      <x:c r="BA71"/>
      <x:c r="BB71"/>
      <x:c r="BC71"/>
      <x:c r="BD71"/>
      <x:c r="BE71"/>
      <x:c r="BF71"/>
      <x:c r="BG71"/>
      <x:c r="BH71"/>
      <x:c r="BI71"/>
      <x:c r="BJ71"/>
      <x:c r="BK71"/>
      <x:c r="BL71"/>
      <x:c r="BM71"/>
      <x:c r="BN71"/>
      <x:c r="BO71"/>
      <x:c r="BP71"/>
      <x:c r="BQ71"/>
      <x:c r="BR71"/>
      <x:c r="BS71"/>
      <x:c r="BT71"/>
      <x:c r="BU71"/>
      <x:c r="BV71"/>
      <x:c r="BW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  <x:c r="BA72"/>
      <x:c r="BB72"/>
      <x:c r="BC72"/>
      <x:c r="BD72"/>
      <x:c r="BE72"/>
      <x:c r="BF72"/>
      <x:c r="BG72"/>
      <x:c r="BH72"/>
      <x:c r="BI72"/>
      <x:c r="BJ72"/>
      <x:c r="BK72"/>
      <x:c r="BL72"/>
      <x:c r="BM72"/>
      <x:c r="BN72"/>
      <x:c r="BO72"/>
      <x:c r="BP72"/>
      <x:c r="BQ72"/>
      <x:c r="BR72"/>
      <x:c r="BS72"/>
      <x:c r="BT72"/>
      <x:c r="BU72"/>
      <x:c r="BV72"/>
      <x:c r="BW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  <x:c r="BA73"/>
      <x:c r="BB73"/>
      <x:c r="BC73"/>
      <x:c r="BD73"/>
      <x:c r="BE73"/>
      <x:c r="BF73"/>
      <x:c r="BG73"/>
      <x:c r="BH73"/>
      <x:c r="BI73"/>
      <x:c r="BJ73"/>
      <x:c r="BK73"/>
      <x:c r="BL73"/>
      <x:c r="BM73"/>
      <x:c r="BN73"/>
      <x:c r="BO73"/>
      <x:c r="BP73"/>
      <x:c r="BQ73"/>
      <x:c r="BR73"/>
      <x:c r="BS73"/>
      <x:c r="BT73"/>
      <x:c r="BU73"/>
      <x:c r="BV73"/>
      <x:c r="BW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/>
      <x:c r="AY74"/>
      <x:c r="AZ74"/>
      <x:c r="BA74"/>
      <x:c r="BB74"/>
      <x:c r="BC74"/>
      <x:c r="BD74"/>
      <x:c r="BE74"/>
      <x:c r="BF74"/>
      <x:c r="BG74"/>
      <x:c r="BH74"/>
      <x:c r="BI74"/>
      <x:c r="BJ74"/>
      <x:c r="BK74"/>
      <x:c r="BL74"/>
      <x:c r="BM74"/>
      <x:c r="BN74"/>
      <x:c r="BO74"/>
      <x:c r="BP74"/>
      <x:c r="BQ74"/>
      <x:c r="BR74"/>
      <x:c r="BS74"/>
      <x:c r="BT74"/>
      <x:c r="BU74"/>
      <x:c r="BV74"/>
      <x:c r="BW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/>
      <x:c r="AL75"/>
      <x:c r="AM75"/>
      <x:c r="AN75"/>
      <x:c r="AO75"/>
      <x:c r="AP75"/>
      <x:c r="AQ75"/>
      <x:c r="AR75"/>
      <x:c r="AS75"/>
      <x:c r="AT75"/>
      <x:c r="AU75"/>
      <x:c r="AV75"/>
      <x:c r="AW75"/>
      <x:c r="AX75"/>
      <x:c r="AY75"/>
      <x:c r="AZ75"/>
      <x:c r="BA75"/>
      <x:c r="BB75"/>
      <x:c r="BC75"/>
      <x:c r="BD75"/>
      <x:c r="BE75"/>
      <x:c r="BF75"/>
      <x:c r="BG75"/>
      <x:c r="BH75"/>
      <x:c r="BI75"/>
      <x:c r="BJ75"/>
      <x:c r="BK75"/>
      <x:c r="BL75"/>
      <x:c r="BM75"/>
      <x:c r="BN75"/>
      <x:c r="BO75"/>
      <x:c r="BP75"/>
      <x:c r="BQ75"/>
      <x:c r="BR75"/>
      <x:c r="BS75"/>
      <x:c r="BT75"/>
      <x:c r="BU75"/>
      <x:c r="BV75"/>
      <x:c r="BW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/>
      <x:c r="AY76"/>
      <x:c r="AZ76"/>
      <x:c r="BA76"/>
      <x:c r="BB76"/>
      <x:c r="BC76"/>
      <x:c r="BD76"/>
      <x:c r="BE76"/>
      <x:c r="BF76"/>
      <x:c r="BG76"/>
      <x:c r="BH76"/>
      <x:c r="BI76"/>
      <x:c r="BJ76"/>
      <x:c r="BK76"/>
      <x:c r="BL76"/>
      <x:c r="BM76"/>
      <x:c r="BN76"/>
      <x:c r="BO76"/>
      <x:c r="BP76"/>
      <x:c r="BQ76"/>
      <x:c r="BR76"/>
      <x:c r="BS76"/>
      <x:c r="BT76"/>
      <x:c r="BU76"/>
      <x:c r="BV76"/>
      <x:c r="BW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/>
      <x:c r="AR77"/>
      <x:c r="AS77"/>
      <x:c r="AT77"/>
      <x:c r="AU77"/>
      <x:c r="AV77"/>
      <x:c r="AW77"/>
      <x:c r="AX77"/>
      <x:c r="AY77"/>
      <x:c r="AZ77"/>
      <x:c r="BA77"/>
      <x:c r="BB77"/>
      <x:c r="BC77"/>
      <x:c r="BD77"/>
      <x:c r="BE77"/>
      <x:c r="BF77"/>
      <x:c r="BG77"/>
      <x:c r="BH77"/>
      <x:c r="BI77"/>
      <x:c r="BJ77"/>
      <x:c r="BK77"/>
      <x:c r="BL77"/>
      <x:c r="BM77"/>
      <x:c r="BN77"/>
      <x:c r="BO77"/>
      <x:c r="BP77"/>
      <x:c r="BQ77"/>
      <x:c r="BR77"/>
      <x:c r="BS77"/>
      <x:c r="BT77"/>
      <x:c r="BU77"/>
      <x:c r="BV77"/>
      <x:c r="BW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  <x:c r="AN78"/>
      <x:c r="AO78"/>
      <x:c r="AP78"/>
      <x:c r="AQ78"/>
      <x:c r="AR78"/>
      <x:c r="AS78"/>
      <x:c r="AT78"/>
      <x:c r="AU78"/>
      <x:c r="AV78"/>
      <x:c r="AW78"/>
      <x:c r="AX78"/>
      <x:c r="AY78"/>
      <x:c r="AZ78"/>
      <x:c r="BA78"/>
      <x:c r="BB78"/>
      <x:c r="BC78"/>
      <x:c r="BD78"/>
      <x:c r="BE78"/>
      <x:c r="BF78"/>
      <x:c r="BG78"/>
      <x:c r="BH78"/>
      <x:c r="BI78"/>
      <x:c r="BJ78"/>
      <x:c r="BK78"/>
      <x:c r="BL78"/>
      <x:c r="BM78"/>
      <x:c r="BN78"/>
      <x:c r="BO78"/>
      <x:c r="BP78"/>
      <x:c r="BQ78"/>
      <x:c r="BR78"/>
      <x:c r="BS78"/>
      <x:c r="BT78"/>
      <x:c r="BU78"/>
      <x:c r="BV78"/>
      <x:c r="BW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  <x:c r="AK79"/>
      <x:c r="AL79"/>
      <x:c r="AM79"/>
      <x:c r="AN79"/>
      <x:c r="AO79"/>
      <x:c r="AP79"/>
      <x:c r="AQ79"/>
      <x:c r="AR79"/>
      <x:c r="AS79"/>
      <x:c r="AT79"/>
      <x:c r="AU79"/>
      <x:c r="AV79"/>
      <x:c r="AW79"/>
      <x:c r="AX79"/>
      <x:c r="AY79"/>
      <x:c r="AZ79"/>
      <x:c r="BA79"/>
      <x:c r="BB79"/>
      <x:c r="BC79"/>
      <x:c r="BD79"/>
      <x:c r="BE79"/>
      <x:c r="BF79"/>
      <x:c r="BG79"/>
      <x:c r="BH79"/>
      <x:c r="BI79"/>
      <x:c r="BJ79"/>
      <x:c r="BK79"/>
      <x:c r="BL79"/>
      <x:c r="BM79"/>
      <x:c r="BN79"/>
      <x:c r="BO79"/>
      <x:c r="BP79"/>
      <x:c r="BQ79"/>
      <x:c r="BR79"/>
      <x:c r="BS79"/>
      <x:c r="BT79"/>
      <x:c r="BU79"/>
      <x:c r="BV79"/>
      <x:c r="BW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  <x:c r="AK80"/>
      <x:c r="AL80"/>
      <x:c r="AM80"/>
      <x:c r="AN80"/>
      <x:c r="AO80"/>
      <x:c r="AP80"/>
      <x:c r="AQ80"/>
      <x:c r="AR80"/>
      <x:c r="AS80"/>
      <x:c r="AT80"/>
      <x:c r="AU80"/>
      <x:c r="AV80"/>
      <x:c r="AW80"/>
      <x:c r="AX80"/>
      <x:c r="AY80"/>
      <x:c r="AZ80"/>
      <x:c r="BA80"/>
      <x:c r="BB80"/>
      <x:c r="BC80"/>
      <x:c r="BD80"/>
      <x:c r="BE80"/>
      <x:c r="BF80"/>
      <x:c r="BG80"/>
      <x:c r="BH80"/>
      <x:c r="BI80"/>
      <x:c r="BJ80"/>
      <x:c r="BK80"/>
      <x:c r="BL80"/>
      <x:c r="BM80"/>
      <x:c r="BN80"/>
      <x:c r="BO80"/>
      <x:c r="BP80"/>
      <x:c r="BQ80"/>
      <x:c r="BR80"/>
      <x:c r="BS80"/>
      <x:c r="BT80"/>
      <x:c r="BU80"/>
      <x:c r="BV80"/>
      <x:c r="BW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  <x:c r="BA81"/>
      <x:c r="BB81"/>
      <x:c r="BC81"/>
      <x:c r="BD81"/>
      <x:c r="BE81"/>
      <x:c r="BF81"/>
      <x:c r="BG81"/>
      <x:c r="BH81"/>
      <x:c r="BI81"/>
      <x:c r="BJ81"/>
      <x:c r="BK81"/>
      <x:c r="BL81"/>
      <x:c r="BM81"/>
      <x:c r="BN81"/>
      <x:c r="BO81"/>
      <x:c r="BP81"/>
      <x:c r="BQ81"/>
      <x:c r="BR81"/>
      <x:c r="BS81"/>
      <x:c r="BT81"/>
      <x:c r="BU81"/>
      <x:c r="BV81"/>
      <x:c r="BW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/>
      <x:c r="AS82"/>
      <x:c r="AT82"/>
      <x:c r="AU82"/>
      <x:c r="AV82"/>
      <x:c r="AW82"/>
      <x:c r="AX82"/>
      <x:c r="AY82"/>
      <x:c r="AZ82"/>
      <x:c r="BA82"/>
      <x:c r="BB82"/>
      <x:c r="BC82"/>
      <x:c r="BD82"/>
      <x:c r="BE82"/>
      <x:c r="BF82"/>
      <x:c r="BG82"/>
      <x:c r="BH82"/>
      <x:c r="BI82"/>
      <x:c r="BJ82"/>
      <x:c r="BK82"/>
      <x:c r="BL82"/>
      <x:c r="BM82"/>
      <x:c r="BN82"/>
      <x:c r="BO82"/>
      <x:c r="BP82"/>
      <x:c r="BQ82"/>
      <x:c r="BR82"/>
      <x:c r="BS82"/>
      <x:c r="BT82"/>
      <x:c r="BU82"/>
      <x:c r="BV82"/>
      <x:c r="BW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/>
      <x:c r="AR83"/>
      <x:c r="AS83"/>
      <x:c r="AT83"/>
      <x:c r="AU83"/>
      <x:c r="AV83"/>
      <x:c r="AW83"/>
      <x:c r="AX83"/>
      <x:c r="AY83"/>
      <x:c r="AZ83"/>
      <x:c r="BA83"/>
      <x:c r="BB83"/>
      <x:c r="BC83"/>
      <x:c r="BD83"/>
      <x:c r="BE83"/>
      <x:c r="BF83"/>
      <x:c r="BG83"/>
      <x:c r="BH83"/>
      <x:c r="BI83"/>
      <x:c r="BJ83"/>
      <x:c r="BK83"/>
      <x:c r="BL83"/>
      <x:c r="BM83"/>
      <x:c r="BN83"/>
      <x:c r="BO83"/>
      <x:c r="BP83"/>
      <x:c r="BQ83"/>
      <x:c r="BR83"/>
      <x:c r="BS83"/>
      <x:c r="BT83"/>
      <x:c r="BU83"/>
      <x:c r="BV83"/>
      <x:c r="BW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/>
      <x:c r="AS84"/>
      <x:c r="AT84"/>
      <x:c r="AU84"/>
      <x:c r="AV84"/>
      <x:c r="AW84"/>
      <x:c r="AX84"/>
      <x:c r="AY84"/>
      <x:c r="AZ84"/>
      <x:c r="BA84"/>
      <x:c r="BB84"/>
      <x:c r="BC84"/>
      <x:c r="BD84"/>
      <x:c r="BE84"/>
      <x:c r="BF84"/>
      <x:c r="BG84"/>
      <x:c r="BH84"/>
      <x:c r="BI84"/>
      <x:c r="BJ84"/>
      <x:c r="BK84"/>
      <x:c r="BL84"/>
      <x:c r="BM84"/>
      <x:c r="BN84"/>
      <x:c r="BO84"/>
      <x:c r="BP84"/>
      <x:c r="BQ84"/>
      <x:c r="BR84"/>
      <x:c r="BS84"/>
      <x:c r="BT84"/>
      <x:c r="BU84"/>
      <x:c r="BV84"/>
      <x:c r="BW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  <x:c r="BA85"/>
      <x:c r="BB85"/>
      <x:c r="BC85"/>
      <x:c r="BD85"/>
      <x:c r="BE85"/>
      <x:c r="BF85"/>
      <x:c r="BG85"/>
      <x:c r="BH85"/>
      <x:c r="BI85"/>
      <x:c r="BJ85"/>
      <x:c r="BK85"/>
      <x:c r="BL85"/>
      <x:c r="BM85"/>
      <x:c r="BN85"/>
      <x:c r="BO85"/>
      <x:c r="BP85"/>
      <x:c r="BQ85"/>
      <x:c r="BR85"/>
      <x:c r="BS85"/>
      <x:c r="BT85"/>
      <x:c r="BU85"/>
      <x:c r="BV85"/>
      <x:c r="BW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/>
      <x:c r="AR86"/>
      <x:c r="AS86"/>
      <x:c r="AT86"/>
      <x:c r="AU86"/>
      <x:c r="AV86"/>
      <x:c r="AW86"/>
      <x:c r="AX86"/>
      <x:c r="AY86"/>
      <x:c r="AZ86"/>
      <x:c r="BA86"/>
      <x:c r="BB86"/>
      <x:c r="BC86"/>
      <x:c r="BD86"/>
      <x:c r="BE86"/>
      <x:c r="BF86"/>
      <x:c r="BG86"/>
      <x:c r="BH86"/>
      <x:c r="BI86"/>
      <x:c r="BJ86"/>
      <x:c r="BK86"/>
      <x:c r="BL86"/>
      <x:c r="BM86"/>
      <x:c r="BN86"/>
      <x:c r="BO86"/>
      <x:c r="BP86"/>
      <x:c r="BQ86"/>
      <x:c r="BR86"/>
      <x:c r="BS86"/>
      <x:c r="BT86"/>
      <x:c r="BU86"/>
      <x:c r="BV86"/>
      <x:c r="BW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  <x:c r="BA87"/>
      <x:c r="BB87"/>
      <x:c r="BC87"/>
      <x:c r="BD87"/>
      <x:c r="BE87"/>
      <x:c r="BF87"/>
      <x:c r="BG87"/>
      <x:c r="BH87"/>
      <x:c r="BI87"/>
      <x:c r="BJ87"/>
      <x:c r="BK87"/>
      <x:c r="BL87"/>
      <x:c r="BM87"/>
      <x:c r="BN87"/>
      <x:c r="BO87"/>
      <x:c r="BP87"/>
      <x:c r="BQ87"/>
      <x:c r="BR87"/>
      <x:c r="BS87"/>
      <x:c r="BT87"/>
      <x:c r="BU87"/>
      <x:c r="BV87"/>
      <x:c r="BW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/>
      <x:c r="AY88"/>
      <x:c r="AZ88"/>
      <x:c r="BA88"/>
      <x:c r="BB88"/>
      <x:c r="BC88"/>
      <x:c r="BD88"/>
      <x:c r="BE88"/>
      <x:c r="BF88"/>
      <x:c r="BG88"/>
      <x:c r="BH88"/>
      <x:c r="BI88"/>
      <x:c r="BJ88"/>
      <x:c r="BK88"/>
      <x:c r="BL88"/>
      <x:c r="BM88"/>
      <x:c r="BN88"/>
      <x:c r="BO88"/>
      <x:c r="BP88"/>
      <x:c r="BQ88"/>
      <x:c r="BR88"/>
      <x:c r="BS88"/>
      <x:c r="BT88"/>
      <x:c r="BU88"/>
      <x:c r="BV88"/>
      <x:c r="BW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/>
      <x:c r="AS89"/>
      <x:c r="AT89"/>
      <x:c r="AU89"/>
      <x:c r="AV89"/>
      <x:c r="AW89"/>
      <x:c r="AX89"/>
      <x:c r="AY89"/>
      <x:c r="AZ89"/>
      <x:c r="BA89"/>
      <x:c r="BB89"/>
      <x:c r="BC89"/>
      <x:c r="BD89"/>
      <x:c r="BE89"/>
      <x:c r="BF89"/>
      <x:c r="BG89"/>
      <x:c r="BH89"/>
      <x:c r="BI89"/>
      <x:c r="BJ89"/>
      <x:c r="BK89"/>
      <x:c r="BL89"/>
      <x:c r="BM89"/>
      <x:c r="BN89"/>
      <x:c r="BO89"/>
      <x:c r="BP89"/>
      <x:c r="BQ89"/>
      <x:c r="BR89"/>
      <x:c r="BS89"/>
      <x:c r="BT89"/>
      <x:c r="BU89"/>
      <x:c r="BV89"/>
      <x:c r="BW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  <x:c r="BA90"/>
      <x:c r="BB90"/>
      <x:c r="BC90"/>
      <x:c r="BD90"/>
      <x:c r="BE90"/>
      <x:c r="BF90"/>
      <x:c r="BG90"/>
      <x:c r="BH90"/>
      <x:c r="BI90"/>
      <x:c r="BJ90"/>
      <x:c r="BK90"/>
      <x:c r="BL90"/>
      <x:c r="BM90"/>
      <x:c r="BN90"/>
      <x:c r="BO90"/>
      <x:c r="BP90"/>
      <x:c r="BQ90"/>
      <x:c r="BR90"/>
      <x:c r="BS90"/>
      <x:c r="BT90"/>
      <x:c r="BU90"/>
      <x:c r="BV90"/>
      <x:c r="BW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  <x:c r="AK91"/>
      <x:c r="AL91"/>
      <x:c r="AM91"/>
      <x:c r="AN91"/>
      <x:c r="AO91"/>
      <x:c r="AP91"/>
      <x:c r="AQ91"/>
      <x:c r="AR91"/>
      <x:c r="AS91"/>
      <x:c r="AT91"/>
      <x:c r="AU91"/>
      <x:c r="AV91"/>
      <x:c r="AW91"/>
      <x:c r="AX91"/>
      <x:c r="AY91"/>
      <x:c r="AZ91"/>
      <x:c r="BA91"/>
      <x:c r="BB91"/>
      <x:c r="BC91"/>
      <x:c r="BD91"/>
      <x:c r="BE91"/>
      <x:c r="BF91"/>
      <x:c r="BG91"/>
      <x:c r="BH91"/>
      <x:c r="BI91"/>
      <x:c r="BJ91"/>
      <x:c r="BK91"/>
      <x:c r="BL91"/>
      <x:c r="BM91"/>
      <x:c r="BN91"/>
      <x:c r="BO91"/>
      <x:c r="BP91"/>
      <x:c r="BQ91"/>
      <x:c r="BR91"/>
      <x:c r="BS91"/>
      <x:c r="BT91"/>
      <x:c r="BU91"/>
      <x:c r="BV91"/>
      <x:c r="BW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  <x:c r="AK92"/>
      <x:c r="AL92"/>
      <x:c r="AM92"/>
      <x:c r="AN92"/>
      <x:c r="AO92"/>
      <x:c r="AP92"/>
      <x:c r="AQ92"/>
      <x:c r="AR92"/>
      <x:c r="AS92"/>
      <x:c r="AT92"/>
      <x:c r="AU92"/>
      <x:c r="AV92"/>
      <x:c r="AW92"/>
      <x:c r="AX92"/>
      <x:c r="AY92"/>
      <x:c r="AZ92"/>
      <x:c r="BA92"/>
      <x:c r="BB92"/>
      <x:c r="BC92"/>
      <x:c r="BD92"/>
      <x:c r="BE92"/>
      <x:c r="BF92"/>
      <x:c r="BG92"/>
      <x:c r="BH92"/>
      <x:c r="BI92"/>
      <x:c r="BJ92"/>
      <x:c r="BK92"/>
      <x:c r="BL92"/>
      <x:c r="BM92"/>
      <x:c r="BN92"/>
      <x:c r="BO92"/>
      <x:c r="BP92"/>
      <x:c r="BQ92"/>
      <x:c r="BR92"/>
      <x:c r="BS92"/>
      <x:c r="BT92"/>
      <x:c r="BU92"/>
      <x:c r="BV92"/>
      <x:c r="BW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  <x:c r="BG93"/>
      <x:c r="BH93"/>
      <x:c r="BI93"/>
      <x:c r="BJ93"/>
      <x:c r="BK93"/>
      <x:c r="BL93"/>
      <x:c r="BM93"/>
      <x:c r="BN93"/>
      <x:c r="BO93"/>
      <x:c r="BP93"/>
      <x:c r="BQ93"/>
      <x:c r="BR93"/>
      <x:c r="BS93"/>
      <x:c r="BT93"/>
      <x:c r="BU93"/>
      <x:c r="BV93"/>
      <x:c r="BW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/>
      <x:c r="AL94"/>
      <x:c r="AM94"/>
      <x:c r="AN94"/>
      <x:c r="AO94"/>
      <x:c r="AP94"/>
      <x:c r="AQ94"/>
      <x:c r="AR94"/>
      <x:c r="AS94"/>
      <x:c r="AT94"/>
      <x:c r="AU94"/>
      <x:c r="AV94"/>
      <x:c r="AW94"/>
      <x:c r="AX94"/>
      <x:c r="AY94"/>
      <x:c r="AZ94"/>
      <x:c r="BA94"/>
      <x:c r="BB94"/>
      <x:c r="BC94"/>
      <x:c r="BD94"/>
      <x:c r="BE94"/>
      <x:c r="BF94"/>
      <x:c r="BG94"/>
      <x:c r="BH94"/>
      <x:c r="BI94"/>
      <x:c r="BJ94"/>
      <x:c r="BK94"/>
      <x:c r="BL94"/>
      <x:c r="BM94"/>
      <x:c r="BN94"/>
      <x:c r="BO94"/>
      <x:c r="BP94"/>
      <x:c r="BQ94"/>
      <x:c r="BR94"/>
      <x:c r="BS94"/>
      <x:c r="BT94"/>
      <x:c r="BU94"/>
      <x:c r="BV94"/>
      <x:c r="BW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/>
      <x:c r="AY95"/>
      <x:c r="AZ95"/>
      <x:c r="BA95"/>
      <x:c r="BB95"/>
      <x:c r="BC95"/>
      <x:c r="BD95"/>
      <x:c r="BE95"/>
      <x:c r="BF95"/>
      <x:c r="BG95"/>
      <x:c r="BH95"/>
      <x:c r="BI95"/>
      <x:c r="BJ95"/>
      <x:c r="BK95"/>
      <x:c r="BL95"/>
      <x:c r="BM95"/>
      <x:c r="BN95"/>
      <x:c r="BO95"/>
      <x:c r="BP95"/>
      <x:c r="BQ95"/>
      <x:c r="BR95"/>
      <x:c r="BS95"/>
      <x:c r="BT95"/>
      <x:c r="BU95"/>
      <x:c r="BV95"/>
      <x:c r="BW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  <x:c r="BA96"/>
      <x:c r="BB96"/>
      <x:c r="BC96"/>
      <x:c r="BD96"/>
      <x:c r="BE96"/>
      <x:c r="BF96"/>
      <x:c r="BG96"/>
      <x:c r="BH96"/>
      <x:c r="BI96"/>
      <x:c r="BJ96"/>
      <x:c r="BK96"/>
      <x:c r="BL96"/>
      <x:c r="BM96"/>
      <x:c r="BN96"/>
      <x:c r="BO96"/>
      <x:c r="BP96"/>
      <x:c r="BQ96"/>
      <x:c r="BR96"/>
      <x:c r="BS96"/>
      <x:c r="BT96"/>
      <x:c r="BU96"/>
      <x:c r="BV96"/>
      <x:c r="BW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  <x:c r="AK97"/>
      <x:c r="AL97"/>
      <x:c r="AM97"/>
      <x:c r="AN97"/>
      <x:c r="AO97"/>
      <x:c r="AP97"/>
      <x:c r="AQ97"/>
      <x:c r="AR97"/>
      <x:c r="AS97"/>
      <x:c r="AT97"/>
      <x:c r="AU97"/>
      <x:c r="AV97"/>
      <x:c r="AW97"/>
      <x:c r="AX97"/>
      <x:c r="AY97"/>
      <x:c r="AZ97"/>
      <x:c r="BA97"/>
      <x:c r="BB97"/>
      <x:c r="BC97"/>
      <x:c r="BD97"/>
      <x:c r="BE97"/>
      <x:c r="BF97"/>
      <x:c r="BG97"/>
      <x:c r="BH97"/>
      <x:c r="BI97"/>
      <x:c r="BJ97"/>
      <x:c r="BK97"/>
      <x:c r="BL97"/>
      <x:c r="BM97"/>
      <x:c r="BN97"/>
      <x:c r="BO97"/>
      <x:c r="BP97"/>
      <x:c r="BQ97"/>
      <x:c r="BR97"/>
      <x:c r="BS97"/>
      <x:c r="BT97"/>
      <x:c r="BU97"/>
      <x:c r="BV97"/>
      <x:c r="BW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/>
      <x:c r="BA98"/>
      <x:c r="BB98"/>
      <x:c r="BC98"/>
      <x:c r="BD98"/>
      <x:c r="BE98"/>
      <x:c r="BF98"/>
      <x:c r="BG98"/>
      <x:c r="BH98"/>
      <x:c r="BI98"/>
      <x:c r="BJ98"/>
      <x:c r="BK98"/>
      <x:c r="BL98"/>
      <x:c r="BM98"/>
      <x:c r="BN98"/>
      <x:c r="BO98"/>
      <x:c r="BP98"/>
      <x:c r="BQ98"/>
      <x:c r="BR98"/>
      <x:c r="BS98"/>
      <x:c r="BT98"/>
      <x:c r="BU98"/>
      <x:c r="BV98"/>
      <x:c r="BW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  <x:c r="BA99"/>
      <x:c r="BB99"/>
      <x:c r="BC99"/>
      <x:c r="BD99"/>
      <x:c r="BE99"/>
      <x:c r="BF99"/>
      <x:c r="BG99"/>
      <x:c r="BH99"/>
      <x:c r="BI99"/>
      <x:c r="BJ99"/>
      <x:c r="BK99"/>
      <x:c r="BL99"/>
      <x:c r="BM99"/>
      <x:c r="BN99"/>
      <x:c r="BO99"/>
      <x:c r="BP99"/>
      <x:c r="BQ99"/>
      <x:c r="BR99"/>
      <x:c r="BS99"/>
      <x:c r="BT99"/>
      <x:c r="BU99"/>
      <x:c r="BV99"/>
      <x:c r="BW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  <x:c r="AL100"/>
      <x:c r="AM100"/>
      <x:c r="AN100"/>
      <x:c r="AO100"/>
      <x:c r="AP100"/>
      <x:c r="AQ100"/>
      <x:c r="AR100"/>
      <x:c r="AS100"/>
      <x:c r="AT100"/>
      <x:c r="AU100"/>
      <x:c r="AV100"/>
      <x:c r="AW100"/>
      <x:c r="AX100"/>
      <x:c r="AY100"/>
      <x:c r="AZ100"/>
      <x:c r="BA100"/>
      <x:c r="BB100"/>
      <x:c r="BC100"/>
      <x:c r="BD100"/>
      <x:c r="BE100"/>
      <x:c r="BF100"/>
      <x:c r="BG100"/>
      <x:c r="BH100"/>
      <x:c r="BI100"/>
      <x:c r="BJ100"/>
      <x:c r="BK100"/>
      <x:c r="BL100"/>
      <x:c r="BM100"/>
      <x:c r="BN100"/>
      <x:c r="BO100"/>
      <x:c r="BP100"/>
      <x:c r="BQ100"/>
      <x:c r="BR100"/>
      <x:c r="BS100"/>
      <x:c r="BT100"/>
      <x:c r="BU100"/>
      <x:c r="BV100"/>
      <x:c r="BW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/>
      <x:c r="AY101"/>
      <x:c r="AZ101"/>
      <x:c r="BA101"/>
      <x:c r="BB101"/>
      <x:c r="BC101"/>
      <x:c r="BD101"/>
      <x:c r="BE101"/>
      <x:c r="BF101"/>
      <x:c r="BG101"/>
      <x:c r="BH101"/>
      <x:c r="BI101"/>
      <x:c r="BJ101"/>
      <x:c r="BK101"/>
      <x:c r="BL101"/>
      <x:c r="BM101"/>
      <x:c r="BN101"/>
      <x:c r="BO101"/>
      <x:c r="BP101"/>
      <x:c r="BQ101"/>
      <x:c r="BR101"/>
      <x:c r="BS101"/>
      <x:c r="BT101"/>
      <x:c r="BU101"/>
      <x:c r="BV101"/>
      <x:c r="BW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  <x:c r="AL102"/>
      <x:c r="AM102"/>
      <x:c r="AN102"/>
      <x:c r="AO102"/>
      <x:c r="AP102"/>
      <x:c r="AQ102"/>
      <x:c r="AR102"/>
      <x:c r="AS102"/>
      <x:c r="AT102"/>
      <x:c r="AU102"/>
      <x:c r="AV102"/>
      <x:c r="AW102"/>
      <x:c r="AX102"/>
      <x:c r="AY102"/>
      <x:c r="AZ102"/>
      <x:c r="BA102"/>
      <x:c r="BB102"/>
      <x:c r="BC102"/>
      <x:c r="BD102"/>
      <x:c r="BE102"/>
      <x:c r="BF102"/>
      <x:c r="BG102"/>
      <x:c r="BH102"/>
      <x:c r="BI102"/>
      <x:c r="BJ102"/>
      <x:c r="BK102"/>
      <x:c r="BL102"/>
      <x:c r="BM102"/>
      <x:c r="BN102"/>
      <x:c r="BO102"/>
      <x:c r="BP102"/>
      <x:c r="BQ102"/>
      <x:c r="BR102"/>
      <x:c r="BS102"/>
      <x:c r="BT102"/>
      <x:c r="BU102"/>
      <x:c r="BV102"/>
      <x:c r="BW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  <x:c r="AL103"/>
      <x:c r="AM103"/>
      <x:c r="AN103"/>
      <x:c r="AO103"/>
      <x:c r="AP103"/>
      <x:c r="AQ103"/>
      <x:c r="AR103"/>
      <x:c r="AS103"/>
      <x:c r="AT103"/>
      <x:c r="AU103"/>
      <x:c r="AV103"/>
      <x:c r="AW103"/>
      <x:c r="AX103"/>
      <x:c r="AY103"/>
      <x:c r="AZ103"/>
      <x:c r="BA103"/>
      <x:c r="BB103"/>
      <x:c r="BC103"/>
      <x:c r="BD103"/>
      <x:c r="BE103"/>
      <x:c r="BF103"/>
      <x:c r="BG103"/>
      <x:c r="BH103"/>
      <x:c r="BI103"/>
      <x:c r="BJ103"/>
      <x:c r="BK103"/>
      <x:c r="BL103"/>
      <x:c r="BM103"/>
      <x:c r="BN103"/>
      <x:c r="BO103"/>
      <x:c r="BP103"/>
      <x:c r="BQ103"/>
      <x:c r="BR103"/>
      <x:c r="BS103"/>
      <x:c r="BT103"/>
      <x:c r="BU103"/>
      <x:c r="BV103"/>
      <x:c r="BW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/>
      <x:c r="AY104"/>
      <x:c r="AZ104"/>
      <x:c r="BA104"/>
      <x:c r="BB104"/>
      <x:c r="BC104"/>
      <x:c r="BD104"/>
      <x:c r="BE104"/>
      <x:c r="BF104"/>
      <x:c r="BG104"/>
      <x:c r="BH104"/>
      <x:c r="BI104"/>
      <x:c r="BJ104"/>
      <x:c r="BK104"/>
      <x:c r="BL104"/>
      <x:c r="BM104"/>
      <x:c r="BN104"/>
      <x:c r="BO104"/>
      <x:c r="BP104"/>
      <x:c r="BQ104"/>
      <x:c r="BR104"/>
      <x:c r="BS104"/>
      <x:c r="BT104"/>
      <x:c r="BU104"/>
      <x:c r="BV104"/>
      <x:c r="BW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  <x:c r="BA105"/>
      <x:c r="BB105"/>
      <x:c r="BC105"/>
      <x:c r="BD105"/>
      <x:c r="BE105"/>
      <x:c r="BF105"/>
      <x:c r="BG105"/>
      <x:c r="BH105"/>
      <x:c r="BI105"/>
      <x:c r="BJ105"/>
      <x:c r="BK105"/>
      <x:c r="BL105"/>
      <x:c r="BM105"/>
      <x:c r="BN105"/>
      <x:c r="BO105"/>
      <x:c r="BP105"/>
      <x:c r="BQ105"/>
      <x:c r="BR105"/>
      <x:c r="BS105"/>
      <x:c r="BT105"/>
      <x:c r="BU105"/>
      <x:c r="BV105"/>
      <x:c r="BW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  <x:c r="AN106"/>
      <x:c r="AO106"/>
      <x:c r="AP106"/>
      <x:c r="AQ106"/>
      <x:c r="AR106"/>
      <x:c r="AS106"/>
      <x:c r="AT106"/>
      <x:c r="AU106"/>
      <x:c r="AV106"/>
      <x:c r="AW106"/>
      <x:c r="AX106"/>
      <x:c r="AY106"/>
      <x:c r="AZ106"/>
      <x:c r="BA106"/>
      <x:c r="BB106"/>
      <x:c r="BC106"/>
      <x:c r="BD106"/>
      <x:c r="BE106"/>
      <x:c r="BF106"/>
      <x:c r="BG106"/>
      <x:c r="BH106"/>
      <x:c r="BI106"/>
      <x:c r="BJ106"/>
      <x:c r="BK106"/>
      <x:c r="BL106"/>
      <x:c r="BM106"/>
      <x:c r="BN106"/>
      <x:c r="BO106"/>
      <x:c r="BP106"/>
      <x:c r="BQ106"/>
      <x:c r="BR106"/>
      <x:c r="BS106"/>
      <x:c r="BT106"/>
      <x:c r="BU106"/>
      <x:c r="BV106"/>
      <x:c r="BW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  <x:c r="AK107"/>
      <x:c r="AL107"/>
      <x:c r="AM107"/>
      <x:c r="AN107"/>
      <x:c r="AO107"/>
      <x:c r="AP107"/>
      <x:c r="AQ107"/>
      <x:c r="AR107"/>
      <x:c r="AS107"/>
      <x:c r="AT107"/>
      <x:c r="AU107"/>
      <x:c r="AV107"/>
      <x:c r="AW107"/>
      <x:c r="AX107"/>
      <x:c r="AY107"/>
      <x:c r="AZ107"/>
      <x:c r="BA107"/>
      <x:c r="BB107"/>
      <x:c r="BC107"/>
      <x:c r="BD107"/>
      <x:c r="BE107"/>
      <x:c r="BF107"/>
      <x:c r="BG107"/>
      <x:c r="BH107"/>
      <x:c r="BI107"/>
      <x:c r="BJ107"/>
      <x:c r="BK107"/>
      <x:c r="BL107"/>
      <x:c r="BM107"/>
      <x:c r="BN107"/>
      <x:c r="BO107"/>
      <x:c r="BP107"/>
      <x:c r="BQ107"/>
      <x:c r="BR107"/>
      <x:c r="BS107"/>
      <x:c r="BT107"/>
      <x:c r="BU107"/>
      <x:c r="BV107"/>
      <x:c r="BW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  <x:c r="AL108"/>
      <x:c r="AM108"/>
      <x:c r="AN108"/>
      <x:c r="AO108"/>
      <x:c r="AP108"/>
      <x:c r="AQ108"/>
      <x:c r="AR108"/>
      <x:c r="AS108"/>
      <x:c r="AT108"/>
      <x:c r="AU108"/>
      <x:c r="AV108"/>
      <x:c r="AW108"/>
      <x:c r="AX108"/>
      <x:c r="AY108"/>
      <x:c r="AZ108"/>
      <x:c r="BA108"/>
      <x:c r="BB108"/>
      <x:c r="BC108"/>
      <x:c r="BD108"/>
      <x:c r="BE108"/>
      <x:c r="BF108"/>
      <x:c r="BG108"/>
      <x:c r="BH108"/>
      <x:c r="BI108"/>
      <x:c r="BJ108"/>
      <x:c r="BK108"/>
      <x:c r="BL108"/>
      <x:c r="BM108"/>
      <x:c r="BN108"/>
      <x:c r="BO108"/>
      <x:c r="BP108"/>
      <x:c r="BQ108"/>
      <x:c r="BR108"/>
      <x:c r="BS108"/>
      <x:c r="BT108"/>
      <x:c r="BU108"/>
      <x:c r="BV108"/>
      <x:c r="BW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  <x:c r="AI109"/>
      <x:c r="AJ109"/>
      <x:c r="AK109"/>
      <x:c r="AL109"/>
      <x:c r="AM109"/>
      <x:c r="AN109"/>
      <x:c r="AO109"/>
      <x:c r="AP109"/>
      <x:c r="AQ109"/>
      <x:c r="AR109"/>
      <x:c r="AS109"/>
      <x:c r="AT109"/>
      <x:c r="AU109"/>
      <x:c r="AV109"/>
      <x:c r="AW109"/>
      <x:c r="AX109"/>
      <x:c r="AY109"/>
      <x:c r="AZ109"/>
      <x:c r="BA109"/>
      <x:c r="BB109"/>
      <x:c r="BC109"/>
      <x:c r="BD109"/>
      <x:c r="BE109"/>
      <x:c r="BF109"/>
      <x:c r="BG109"/>
      <x:c r="BH109"/>
      <x:c r="BI109"/>
      <x:c r="BJ109"/>
      <x:c r="BK109"/>
      <x:c r="BL109"/>
      <x:c r="BM109"/>
      <x:c r="BN109"/>
      <x:c r="BO109"/>
      <x:c r="BP109"/>
      <x:c r="BQ109"/>
      <x:c r="BR109"/>
      <x:c r="BS109"/>
      <x:c r="BT109"/>
      <x:c r="BU109"/>
      <x:c r="BV109"/>
      <x:c r="BW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  <x:c r="AK110"/>
      <x:c r="AL110"/>
      <x:c r="AM110"/>
      <x:c r="AN110"/>
      <x:c r="AO110"/>
      <x:c r="AP110"/>
      <x:c r="AQ110"/>
      <x:c r="AR110"/>
      <x:c r="AS110"/>
      <x:c r="AT110"/>
      <x:c r="AU110"/>
      <x:c r="AV110"/>
      <x:c r="AW110"/>
      <x:c r="AX110"/>
      <x:c r="AY110"/>
      <x:c r="AZ110"/>
      <x:c r="BA110"/>
      <x:c r="BB110"/>
      <x:c r="BC110"/>
      <x:c r="BD110"/>
      <x:c r="BE110"/>
      <x:c r="BF110"/>
      <x:c r="BG110"/>
      <x:c r="BH110"/>
      <x:c r="BI110"/>
      <x:c r="BJ110"/>
      <x:c r="BK110"/>
      <x:c r="BL110"/>
      <x:c r="BM110"/>
      <x:c r="BN110"/>
      <x:c r="BO110"/>
      <x:c r="BP110"/>
      <x:c r="BQ110"/>
      <x:c r="BR110"/>
      <x:c r="BS110"/>
      <x:c r="BT110"/>
      <x:c r="BU110"/>
      <x:c r="BV110"/>
      <x:c r="BW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  <x:c r="BF111"/>
      <x:c r="BG111"/>
      <x:c r="BH111"/>
      <x:c r="BI111"/>
      <x:c r="BJ111"/>
      <x:c r="BK111"/>
      <x:c r="BL111"/>
      <x:c r="BM111"/>
      <x:c r="BN111"/>
      <x:c r="BO111"/>
      <x:c r="BP111"/>
      <x:c r="BQ111"/>
      <x:c r="BR111"/>
      <x:c r="BS111"/>
      <x:c r="BT111"/>
      <x:c r="BU111"/>
      <x:c r="BV111"/>
      <x:c r="BW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  <x:c r="AK112"/>
      <x:c r="AL112"/>
      <x:c r="AM112"/>
      <x:c r="AN112"/>
      <x:c r="AO112"/>
      <x:c r="AP112"/>
      <x:c r="AQ112"/>
      <x:c r="AR112"/>
      <x:c r="AS112"/>
      <x:c r="AT112"/>
      <x:c r="AU112"/>
      <x:c r="AV112"/>
      <x:c r="AW112"/>
      <x:c r="AX112"/>
      <x:c r="AY112"/>
      <x:c r="AZ112"/>
      <x:c r="BA112"/>
      <x:c r="BB112"/>
      <x:c r="BC112"/>
      <x:c r="BD112"/>
      <x:c r="BE112"/>
      <x:c r="BF112"/>
      <x:c r="BG112"/>
      <x:c r="BH112"/>
      <x:c r="BI112"/>
      <x:c r="BJ112"/>
      <x:c r="BK112"/>
      <x:c r="BL112"/>
      <x:c r="BM112"/>
      <x:c r="BN112"/>
      <x:c r="BO112"/>
      <x:c r="BP112"/>
      <x:c r="BQ112"/>
      <x:c r="BR112"/>
      <x:c r="BS112"/>
      <x:c r="BT112"/>
      <x:c r="BU112"/>
      <x:c r="BV112"/>
      <x:c r="BW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  <x:c r="AK113"/>
      <x:c r="AL113"/>
      <x:c r="AM113"/>
      <x:c r="AN113"/>
      <x:c r="AO113"/>
      <x:c r="AP113"/>
      <x:c r="AQ113"/>
      <x:c r="AR113"/>
      <x:c r="AS113"/>
      <x:c r="AT113"/>
      <x:c r="AU113"/>
      <x:c r="AV113"/>
      <x:c r="AW113"/>
      <x:c r="AX113"/>
      <x:c r="AY113"/>
      <x:c r="AZ113"/>
      <x:c r="BA113"/>
      <x:c r="BB113"/>
      <x:c r="BC113"/>
      <x:c r="BD113"/>
      <x:c r="BE113"/>
      <x:c r="BF113"/>
      <x:c r="BG113"/>
      <x:c r="BH113"/>
      <x:c r="BI113"/>
      <x:c r="BJ113"/>
      <x:c r="BK113"/>
      <x:c r="BL113"/>
      <x:c r="BM113"/>
      <x:c r="BN113"/>
      <x:c r="BO113"/>
      <x:c r="BP113"/>
      <x:c r="BQ113"/>
      <x:c r="BR113"/>
      <x:c r="BS113"/>
      <x:c r="BT113"/>
      <x:c r="BU113"/>
      <x:c r="BV113"/>
      <x:c r="BW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  <x:c r="AK114"/>
      <x:c r="AL114"/>
      <x:c r="AM114"/>
      <x:c r="AN114"/>
      <x:c r="AO114"/>
      <x:c r="AP114"/>
      <x:c r="AQ114"/>
      <x:c r="AR114"/>
      <x:c r="AS114"/>
      <x:c r="AT114"/>
      <x:c r="AU114"/>
      <x:c r="AV114"/>
      <x:c r="AW114"/>
      <x:c r="AX114"/>
      <x:c r="AY114"/>
      <x:c r="AZ114"/>
      <x:c r="BA114"/>
      <x:c r="BB114"/>
      <x:c r="BC114"/>
      <x:c r="BD114"/>
      <x:c r="BE114"/>
      <x:c r="BF114"/>
      <x:c r="BG114"/>
      <x:c r="BH114"/>
      <x:c r="BI114"/>
      <x:c r="BJ114"/>
      <x:c r="BK114"/>
      <x:c r="BL114"/>
      <x:c r="BM114"/>
      <x:c r="BN114"/>
      <x:c r="BO114"/>
      <x:c r="BP114"/>
      <x:c r="BQ114"/>
      <x:c r="BR114"/>
      <x:c r="BS114"/>
      <x:c r="BT114"/>
      <x:c r="BU114"/>
      <x:c r="BV114"/>
      <x:c r="BW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  <x:c r="AK115"/>
      <x:c r="AL115"/>
      <x:c r="AM115"/>
      <x:c r="AN115"/>
      <x:c r="AO115"/>
      <x:c r="AP115"/>
      <x:c r="AQ115"/>
      <x:c r="AR115"/>
      <x:c r="AS115"/>
      <x:c r="AT115"/>
      <x:c r="AU115"/>
      <x:c r="AV115"/>
      <x:c r="AW115"/>
      <x:c r="AX115"/>
      <x:c r="AY115"/>
      <x:c r="AZ115"/>
      <x:c r="BA115"/>
      <x:c r="BB115"/>
      <x:c r="BC115"/>
      <x:c r="BD115"/>
      <x:c r="BE115"/>
      <x:c r="BF115"/>
      <x:c r="BG115"/>
      <x:c r="BH115"/>
      <x:c r="BI115"/>
      <x:c r="BJ115"/>
      <x:c r="BK115"/>
      <x:c r="BL115"/>
      <x:c r="BM115"/>
      <x:c r="BN115"/>
      <x:c r="BO115"/>
      <x:c r="BP115"/>
      <x:c r="BQ115"/>
      <x:c r="BR115"/>
      <x:c r="BS115"/>
      <x:c r="BT115"/>
      <x:c r="BU115"/>
      <x:c r="BV115"/>
      <x:c r="BW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  <x:c r="AX116"/>
      <x:c r="AY116"/>
      <x:c r="AZ116"/>
      <x:c r="BA116"/>
      <x:c r="BB116"/>
      <x:c r="BC116"/>
      <x:c r="BD116"/>
      <x:c r="BE116"/>
      <x:c r="BF116"/>
      <x:c r="BG116"/>
      <x:c r="BH116"/>
      <x:c r="BI116"/>
      <x:c r="BJ116"/>
      <x:c r="BK116"/>
      <x:c r="BL116"/>
      <x:c r="BM116"/>
      <x:c r="BN116"/>
      <x:c r="BO116"/>
      <x:c r="BP116"/>
      <x:c r="BQ116"/>
      <x:c r="BR116"/>
      <x:c r="BS116"/>
      <x:c r="BT116"/>
      <x:c r="BU116"/>
      <x:c r="BV116"/>
      <x:c r="BW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/>
      <x:c r="AY117"/>
      <x:c r="AZ117"/>
      <x:c r="BA117"/>
      <x:c r="BB117"/>
      <x:c r="BC117"/>
      <x:c r="BD117"/>
      <x:c r="BE117"/>
      <x:c r="BF117"/>
      <x:c r="BG117"/>
      <x:c r="BH117"/>
      <x:c r="BI117"/>
      <x:c r="BJ117"/>
      <x:c r="BK117"/>
      <x:c r="BL117"/>
      <x:c r="BM117"/>
      <x:c r="BN117"/>
      <x:c r="BO117"/>
      <x:c r="BP117"/>
      <x:c r="BQ117"/>
      <x:c r="BR117"/>
      <x:c r="BS117"/>
      <x:c r="BT117"/>
      <x:c r="BU117"/>
      <x:c r="BV117"/>
      <x:c r="BW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  <x:c r="AK118"/>
      <x:c r="AL118"/>
      <x:c r="AM118"/>
      <x:c r="AN118"/>
      <x:c r="AO118"/>
      <x:c r="AP118"/>
      <x:c r="AQ118"/>
      <x:c r="AR118"/>
      <x:c r="AS118"/>
      <x:c r="AT118"/>
      <x:c r="AU118"/>
      <x:c r="AV118"/>
      <x:c r="AW118"/>
      <x:c r="AX118"/>
      <x:c r="AY118"/>
      <x:c r="AZ118"/>
      <x:c r="BA118"/>
      <x:c r="BB118"/>
      <x:c r="BC118"/>
      <x:c r="BD118"/>
      <x:c r="BE118"/>
      <x:c r="BF118"/>
      <x:c r="BG118"/>
      <x:c r="BH118"/>
      <x:c r="BI118"/>
      <x:c r="BJ118"/>
      <x:c r="BK118"/>
      <x:c r="BL118"/>
      <x:c r="BM118"/>
      <x:c r="BN118"/>
      <x:c r="BO118"/>
      <x:c r="BP118"/>
      <x:c r="BQ118"/>
      <x:c r="BR118"/>
      <x:c r="BS118"/>
      <x:c r="BT118"/>
      <x:c r="BU118"/>
      <x:c r="BV118"/>
      <x:c r="BW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  <x:c r="AI119"/>
      <x:c r="AJ119"/>
      <x:c r="AK119"/>
      <x:c r="AL119"/>
      <x:c r="AM119"/>
      <x:c r="AN119"/>
      <x:c r="AO119"/>
      <x:c r="AP119"/>
      <x:c r="AQ119"/>
      <x:c r="AR119"/>
      <x:c r="AS119"/>
      <x:c r="AT119"/>
      <x:c r="AU119"/>
      <x:c r="AV119"/>
      <x:c r="AW119"/>
      <x:c r="AX119"/>
      <x:c r="AY119"/>
      <x:c r="AZ119"/>
      <x:c r="BA119"/>
      <x:c r="BB119"/>
      <x:c r="BC119"/>
      <x:c r="BD119"/>
      <x:c r="BE119"/>
      <x:c r="BF119"/>
      <x:c r="BG119"/>
      <x:c r="BH119"/>
      <x:c r="BI119"/>
      <x:c r="BJ119"/>
      <x:c r="BK119"/>
      <x:c r="BL119"/>
      <x:c r="BM119"/>
      <x:c r="BN119"/>
      <x:c r="BO119"/>
      <x:c r="BP119"/>
      <x:c r="BQ119"/>
      <x:c r="BR119"/>
      <x:c r="BS119"/>
      <x:c r="BT119"/>
      <x:c r="BU119"/>
      <x:c r="BV119"/>
      <x:c r="BW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  <x:c r="AN120"/>
      <x:c r="AO120"/>
      <x:c r="AP120"/>
      <x:c r="AQ120"/>
      <x:c r="AR120"/>
      <x:c r="AS120"/>
      <x:c r="AT120"/>
      <x:c r="AU120"/>
      <x:c r="AV120"/>
      <x:c r="AW120"/>
      <x:c r="AX120"/>
      <x:c r="AY120"/>
      <x:c r="AZ120"/>
      <x:c r="BA120"/>
      <x:c r="BB120"/>
      <x:c r="BC120"/>
      <x:c r="BD120"/>
      <x:c r="BE120"/>
      <x:c r="BF120"/>
      <x:c r="BG120"/>
      <x:c r="BH120"/>
      <x:c r="BI120"/>
      <x:c r="BJ120"/>
      <x:c r="BK120"/>
      <x:c r="BL120"/>
      <x:c r="BM120"/>
      <x:c r="BN120"/>
      <x:c r="BO120"/>
      <x:c r="BP120"/>
      <x:c r="BQ120"/>
      <x:c r="BR120"/>
      <x:c r="BS120"/>
      <x:c r="BT120"/>
      <x:c r="BU120"/>
      <x:c r="BV120"/>
      <x:c r="BW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  <x:c r="AM121"/>
      <x:c r="AN121"/>
      <x:c r="AO121"/>
      <x:c r="AP121"/>
      <x:c r="AQ121"/>
      <x:c r="AR121"/>
      <x:c r="AS121"/>
      <x:c r="AT121"/>
      <x:c r="AU121"/>
      <x:c r="AV121"/>
      <x:c r="AW121"/>
      <x:c r="AX121"/>
      <x:c r="AY121"/>
      <x:c r="AZ121"/>
      <x:c r="BA121"/>
      <x:c r="BB121"/>
      <x:c r="BC121"/>
      <x:c r="BD121"/>
      <x:c r="BE121"/>
      <x:c r="BF121"/>
      <x:c r="BG121"/>
      <x:c r="BH121"/>
      <x:c r="BI121"/>
      <x:c r="BJ121"/>
      <x:c r="BK121"/>
      <x:c r="BL121"/>
      <x:c r="BM121"/>
      <x:c r="BN121"/>
      <x:c r="BO121"/>
      <x:c r="BP121"/>
      <x:c r="BQ121"/>
      <x:c r="BR121"/>
      <x:c r="BS121"/>
      <x:c r="BT121"/>
      <x:c r="BU121"/>
      <x:c r="BV121"/>
      <x:c r="BW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/>
      <x:c r="AN122"/>
      <x:c r="AO122"/>
      <x:c r="AP122"/>
      <x:c r="AQ122"/>
      <x:c r="AR122"/>
      <x:c r="AS122"/>
      <x:c r="AT122"/>
      <x:c r="AU122"/>
      <x:c r="AV122"/>
      <x:c r="AW122"/>
      <x:c r="AX122"/>
      <x:c r="AY122"/>
      <x:c r="AZ122"/>
      <x:c r="BA122"/>
      <x:c r="BB122"/>
      <x:c r="BC122"/>
      <x:c r="BD122"/>
      <x:c r="BE122"/>
      <x:c r="BF122"/>
      <x:c r="BG122"/>
      <x:c r="BH122"/>
      <x:c r="BI122"/>
      <x:c r="BJ122"/>
      <x:c r="BK122"/>
      <x:c r="BL122"/>
      <x:c r="BM122"/>
      <x:c r="BN122"/>
      <x:c r="BO122"/>
      <x:c r="BP122"/>
      <x:c r="BQ122"/>
      <x:c r="BR122"/>
      <x:c r="BS122"/>
      <x:c r="BT122"/>
      <x:c r="BU122"/>
      <x:c r="BV122"/>
      <x:c r="BW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  <x:c r="AM123"/>
      <x:c r="AN123"/>
      <x:c r="AO123"/>
      <x:c r="AP123"/>
      <x:c r="AQ123"/>
      <x:c r="AR123"/>
      <x:c r="AS123"/>
      <x:c r="AT123"/>
      <x:c r="AU123"/>
      <x:c r="AV123"/>
      <x:c r="AW123"/>
      <x:c r="AX123"/>
      <x:c r="AY123"/>
      <x:c r="AZ123"/>
      <x:c r="BA123"/>
      <x:c r="BB123"/>
      <x:c r="BC123"/>
      <x:c r="BD123"/>
      <x:c r="BE123"/>
      <x:c r="BF123"/>
      <x:c r="BG123"/>
      <x:c r="BH123"/>
      <x:c r="BI123"/>
      <x:c r="BJ123"/>
      <x:c r="BK123"/>
      <x:c r="BL123"/>
      <x:c r="BM123"/>
      <x:c r="BN123"/>
      <x:c r="BO123"/>
      <x:c r="BP123"/>
      <x:c r="BQ123"/>
      <x:c r="BR123"/>
      <x:c r="BS123"/>
      <x:c r="BT123"/>
      <x:c r="BU123"/>
      <x:c r="BV123"/>
      <x:c r="BW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  <x:c r="BG124"/>
      <x:c r="BH124"/>
      <x:c r="BI124"/>
      <x:c r="BJ124"/>
      <x:c r="BK124"/>
      <x:c r="BL124"/>
      <x:c r="BM124"/>
      <x:c r="BN124"/>
      <x:c r="BO124"/>
      <x:c r="BP124"/>
      <x:c r="BQ124"/>
      <x:c r="BR124"/>
      <x:c r="BS124"/>
      <x:c r="BT124"/>
      <x:c r="BU124"/>
      <x:c r="BV124"/>
      <x:c r="BW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  <x:c r="AL125"/>
      <x:c r="AM125"/>
      <x:c r="AN125"/>
      <x:c r="AO125"/>
      <x:c r="AP125"/>
      <x:c r="AQ125"/>
      <x:c r="AR125"/>
      <x:c r="AS125"/>
      <x:c r="AT125"/>
      <x:c r="AU125"/>
      <x:c r="AV125"/>
      <x:c r="AW125"/>
      <x:c r="AX125"/>
      <x:c r="AY125"/>
      <x:c r="AZ125"/>
      <x:c r="BA125"/>
      <x:c r="BB125"/>
      <x:c r="BC125"/>
      <x:c r="BD125"/>
      <x:c r="BE125"/>
      <x:c r="BF125"/>
      <x:c r="BG125"/>
      <x:c r="BH125"/>
      <x:c r="BI125"/>
      <x:c r="BJ125"/>
      <x:c r="BK125"/>
      <x:c r="BL125"/>
      <x:c r="BM125"/>
      <x:c r="BN125"/>
      <x:c r="BO125"/>
      <x:c r="BP125"/>
      <x:c r="BQ125"/>
      <x:c r="BR125"/>
      <x:c r="BS125"/>
      <x:c r="BT125"/>
      <x:c r="BU125"/>
      <x:c r="BV125"/>
      <x:c r="BW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  <x:c r="AP126"/>
      <x:c r="AQ126"/>
      <x:c r="AR126"/>
      <x:c r="AS126"/>
      <x:c r="AT126"/>
      <x:c r="AU126"/>
      <x:c r="AV126"/>
      <x:c r="AW126"/>
      <x:c r="AX126"/>
      <x:c r="AY126"/>
      <x:c r="AZ126"/>
      <x:c r="BA126"/>
      <x:c r="BB126"/>
      <x:c r="BC126"/>
      <x:c r="BD126"/>
      <x:c r="BE126"/>
      <x:c r="BF126"/>
      <x:c r="BG126"/>
      <x:c r="BH126"/>
      <x:c r="BI126"/>
      <x:c r="BJ126"/>
      <x:c r="BK126"/>
      <x:c r="BL126"/>
      <x:c r="BM126"/>
      <x:c r="BN126"/>
      <x:c r="BO126"/>
      <x:c r="BP126"/>
      <x:c r="BQ126"/>
      <x:c r="BR126"/>
      <x:c r="BS126"/>
      <x:c r="BT126"/>
      <x:c r="BU126"/>
      <x:c r="BV126"/>
      <x:c r="BW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  <x:c r="BG127"/>
      <x:c r="BH127"/>
      <x:c r="BI127"/>
      <x:c r="BJ127"/>
      <x:c r="BK127"/>
      <x:c r="BL127"/>
      <x:c r="BM127"/>
      <x:c r="BN127"/>
      <x:c r="BO127"/>
      <x:c r="BP127"/>
      <x:c r="BQ127"/>
      <x:c r="BR127"/>
      <x:c r="BS127"/>
      <x:c r="BT127"/>
      <x:c r="BU127"/>
      <x:c r="BV127"/>
      <x:c r="BW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/>
      <x:c r="AN128"/>
      <x:c r="AO128"/>
      <x:c r="AP128"/>
      <x:c r="AQ128"/>
      <x:c r="AR128"/>
      <x:c r="AS128"/>
      <x:c r="AT128"/>
      <x:c r="AU128"/>
      <x:c r="AV128"/>
      <x:c r="AW128"/>
      <x:c r="AX128"/>
      <x:c r="AY128"/>
      <x:c r="AZ128"/>
      <x:c r="BA128"/>
      <x:c r="BB128"/>
      <x:c r="BC128"/>
      <x:c r="BD128"/>
      <x:c r="BE128"/>
      <x:c r="BF128"/>
      <x:c r="BG128"/>
      <x:c r="BH128"/>
      <x:c r="BI128"/>
      <x:c r="BJ128"/>
      <x:c r="BK128"/>
      <x:c r="BL128"/>
      <x:c r="BM128"/>
      <x:c r="BN128"/>
      <x:c r="BO128"/>
      <x:c r="BP128"/>
      <x:c r="BQ128"/>
      <x:c r="BR128"/>
      <x:c r="BS128"/>
      <x:c r="BT128"/>
      <x:c r="BU128"/>
      <x:c r="BV128"/>
      <x:c r="BW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  <x:c r="BG129"/>
      <x:c r="BH129"/>
      <x:c r="BI129"/>
      <x:c r="BJ129"/>
      <x:c r="BK129"/>
      <x:c r="BL129"/>
      <x:c r="BM129"/>
      <x:c r="BN129"/>
      <x:c r="BO129"/>
      <x:c r="BP129"/>
      <x:c r="BQ129"/>
      <x:c r="BR129"/>
      <x:c r="BS129"/>
      <x:c r="BT129"/>
      <x:c r="BU129"/>
      <x:c r="BV129"/>
      <x:c r="BW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  <x:c r="BG130"/>
      <x:c r="BH130"/>
      <x:c r="BI130"/>
      <x:c r="BJ130"/>
      <x:c r="BK130"/>
      <x:c r="BL130"/>
      <x:c r="BM130"/>
      <x:c r="BN130"/>
      <x:c r="BO130"/>
      <x:c r="BP130"/>
      <x:c r="BQ130"/>
      <x:c r="BR130"/>
      <x:c r="BS130"/>
      <x:c r="BT130"/>
      <x:c r="BU130"/>
      <x:c r="BV130"/>
      <x:c r="BW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/>
      <x:c r="AN131"/>
      <x:c r="AO131"/>
      <x:c r="AP131"/>
      <x:c r="AQ131"/>
      <x:c r="AR131"/>
      <x:c r="AS131"/>
      <x:c r="AT131"/>
      <x:c r="AU131"/>
      <x:c r="AV131"/>
      <x:c r="AW131"/>
      <x:c r="AX131"/>
      <x:c r="AY131"/>
      <x:c r="AZ131"/>
      <x:c r="BA131"/>
      <x:c r="BB131"/>
      <x:c r="BC131"/>
      <x:c r="BD131"/>
      <x:c r="BE131"/>
      <x:c r="BF131"/>
      <x:c r="BG131"/>
      <x:c r="BH131"/>
      <x:c r="BI131"/>
      <x:c r="BJ131"/>
      <x:c r="BK131"/>
      <x:c r="BL131"/>
      <x:c r="BM131"/>
      <x:c r="BN131"/>
      <x:c r="BO131"/>
      <x:c r="BP131"/>
      <x:c r="BQ131"/>
      <x:c r="BR131"/>
      <x:c r="BS131"/>
      <x:c r="BT131"/>
      <x:c r="BU131"/>
      <x:c r="BV131"/>
      <x:c r="BW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/>
      <x:c r="AO132"/>
      <x:c r="AP132"/>
      <x:c r="AQ132"/>
      <x:c r="AR132"/>
      <x:c r="AS132"/>
      <x:c r="AT132"/>
      <x:c r="AU132"/>
      <x:c r="AV132"/>
      <x:c r="AW132"/>
      <x:c r="AX132"/>
      <x:c r="AY132"/>
      <x:c r="AZ132"/>
      <x:c r="BA132"/>
      <x:c r="BB132"/>
      <x:c r="BC132"/>
      <x:c r="BD132"/>
      <x:c r="BE132"/>
      <x:c r="BF132"/>
      <x:c r="BG132"/>
      <x:c r="BH132"/>
      <x:c r="BI132"/>
      <x:c r="BJ132"/>
      <x:c r="BK132"/>
      <x:c r="BL132"/>
      <x:c r="BM132"/>
      <x:c r="BN132"/>
      <x:c r="BO132"/>
      <x:c r="BP132"/>
      <x:c r="BQ132"/>
      <x:c r="BR132"/>
      <x:c r="BS132"/>
      <x:c r="BT132"/>
      <x:c r="BU132"/>
      <x:c r="BV132"/>
      <x:c r="BW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  <x:c r="AN133"/>
      <x:c r="AO133"/>
      <x:c r="AP133"/>
      <x:c r="AQ133"/>
      <x:c r="AR133"/>
      <x:c r="AS133"/>
      <x:c r="AT133"/>
      <x:c r="AU133"/>
      <x:c r="AV133"/>
      <x:c r="AW133"/>
      <x:c r="AX133"/>
      <x:c r="AY133"/>
      <x:c r="AZ133"/>
      <x:c r="BA133"/>
      <x:c r="BB133"/>
      <x:c r="BC133"/>
      <x:c r="BD133"/>
      <x:c r="BE133"/>
      <x:c r="BF133"/>
      <x:c r="BG133"/>
      <x:c r="BH133"/>
      <x:c r="BI133"/>
      <x:c r="BJ133"/>
      <x:c r="BK133"/>
      <x:c r="BL133"/>
      <x:c r="BM133"/>
      <x:c r="BN133"/>
      <x:c r="BO133"/>
      <x:c r="BP133"/>
      <x:c r="BQ133"/>
      <x:c r="BR133"/>
      <x:c r="BS133"/>
      <x:c r="BT133"/>
      <x:c r="BU133"/>
      <x:c r="BV133"/>
      <x:c r="BW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/>
      <x:c r="AN134"/>
      <x:c r="AO134"/>
      <x:c r="AP134"/>
      <x:c r="AQ134"/>
      <x:c r="AR134"/>
      <x:c r="AS134"/>
      <x:c r="AT134"/>
      <x:c r="AU134"/>
      <x:c r="AV134"/>
      <x:c r="AW134"/>
      <x:c r="AX134"/>
      <x:c r="AY134"/>
      <x:c r="AZ134"/>
      <x:c r="BA134"/>
      <x:c r="BB134"/>
      <x:c r="BC134"/>
      <x:c r="BD134"/>
      <x:c r="BE134"/>
      <x:c r="BF134"/>
      <x:c r="BG134"/>
      <x:c r="BH134"/>
      <x:c r="BI134"/>
      <x:c r="BJ134"/>
      <x:c r="BK134"/>
      <x:c r="BL134"/>
      <x:c r="BM134"/>
      <x:c r="BN134"/>
      <x:c r="BO134"/>
      <x:c r="BP134"/>
      <x:c r="BQ134"/>
      <x:c r="BR134"/>
      <x:c r="BS134"/>
      <x:c r="BT134"/>
      <x:c r="BU134"/>
      <x:c r="BV134"/>
      <x:c r="BW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  <x:c r="AP135"/>
      <x:c r="AQ135"/>
      <x:c r="AR135"/>
      <x:c r="AS135"/>
      <x:c r="AT135"/>
      <x:c r="AU135"/>
      <x:c r="AV135"/>
      <x:c r="AW135"/>
      <x:c r="AX135"/>
      <x:c r="AY135"/>
      <x:c r="AZ135"/>
      <x:c r="BA135"/>
      <x:c r="BB135"/>
      <x:c r="BC135"/>
      <x:c r="BD135"/>
      <x:c r="BE135"/>
      <x:c r="BF135"/>
      <x:c r="BG135"/>
      <x:c r="BH135"/>
      <x:c r="BI135"/>
      <x:c r="BJ135"/>
      <x:c r="BK135"/>
      <x:c r="BL135"/>
      <x:c r="BM135"/>
      <x:c r="BN135"/>
      <x:c r="BO135"/>
      <x:c r="BP135"/>
      <x:c r="BQ135"/>
      <x:c r="BR135"/>
      <x:c r="BS135"/>
      <x:c r="BT135"/>
      <x:c r="BU135"/>
      <x:c r="BV135"/>
      <x:c r="BW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  <x:c r="AN136"/>
      <x:c r="AO136"/>
      <x:c r="AP136"/>
      <x:c r="AQ136"/>
      <x:c r="AR136"/>
      <x:c r="AS136"/>
      <x:c r="AT136"/>
      <x:c r="AU136"/>
      <x:c r="AV136"/>
      <x:c r="AW136"/>
      <x:c r="AX136"/>
      <x:c r="AY136"/>
      <x:c r="AZ136"/>
      <x:c r="BA136"/>
      <x:c r="BB136"/>
      <x:c r="BC136"/>
      <x:c r="BD136"/>
      <x:c r="BE136"/>
      <x:c r="BF136"/>
      <x:c r="BG136"/>
      <x:c r="BH136"/>
      <x:c r="BI136"/>
      <x:c r="BJ136"/>
      <x:c r="BK136"/>
      <x:c r="BL136"/>
      <x:c r="BM136"/>
      <x:c r="BN136"/>
      <x:c r="BO136"/>
      <x:c r="BP136"/>
      <x:c r="BQ136"/>
      <x:c r="BR136"/>
      <x:c r="BS136"/>
      <x:c r="BT136"/>
      <x:c r="BU136"/>
      <x:c r="BV136"/>
      <x:c r="BW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  <x:c r="AK137"/>
      <x:c r="AL137"/>
      <x:c r="AM137"/>
      <x:c r="AN137"/>
      <x:c r="AO137"/>
      <x:c r="AP137"/>
      <x:c r="AQ137"/>
      <x:c r="AR137"/>
      <x:c r="AS137"/>
      <x:c r="AT137"/>
      <x:c r="AU137"/>
      <x:c r="AV137"/>
      <x:c r="AW137"/>
      <x:c r="AX137"/>
      <x:c r="AY137"/>
      <x:c r="AZ137"/>
      <x:c r="BA137"/>
      <x:c r="BB137"/>
      <x:c r="BC137"/>
      <x:c r="BD137"/>
      <x:c r="BE137"/>
      <x:c r="BF137"/>
      <x:c r="BG137"/>
      <x:c r="BH137"/>
      <x:c r="BI137"/>
      <x:c r="BJ137"/>
      <x:c r="BK137"/>
      <x:c r="BL137"/>
      <x:c r="BM137"/>
      <x:c r="BN137"/>
      <x:c r="BO137"/>
      <x:c r="BP137"/>
      <x:c r="BQ137"/>
      <x:c r="BR137"/>
      <x:c r="BS137"/>
      <x:c r="BT137"/>
      <x:c r="BU137"/>
      <x:c r="BV137"/>
      <x:c r="BW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/>
      <x:c r="BO138"/>
      <x:c r="BP138"/>
      <x:c r="BQ138"/>
      <x:c r="BR138"/>
      <x:c r="BS138"/>
      <x:c r="BT138"/>
      <x:c r="BU138"/>
      <x:c r="BV138"/>
      <x:c r="BW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  <x:c r="BF139"/>
      <x:c r="BG139"/>
      <x:c r="BH139"/>
      <x:c r="BI139"/>
      <x:c r="BJ139"/>
      <x:c r="BK139"/>
      <x:c r="BL139"/>
      <x:c r="BM139"/>
      <x:c r="BN139"/>
      <x:c r="BO139"/>
      <x:c r="BP139"/>
      <x:c r="BQ139"/>
      <x:c r="BR139"/>
      <x:c r="BS139"/>
      <x:c r="BT139"/>
      <x:c r="BU139"/>
      <x:c r="BV139"/>
      <x:c r="BW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  <x:c r="AI140"/>
      <x:c r="AJ140"/>
      <x:c r="AK140"/>
      <x:c r="AL140"/>
      <x:c r="AM140"/>
      <x:c r="AN140"/>
      <x:c r="AO140"/>
      <x:c r="AP140"/>
      <x:c r="AQ140"/>
      <x:c r="AR140"/>
      <x:c r="AS140"/>
      <x:c r="AT140"/>
      <x:c r="AU140"/>
      <x:c r="AV140"/>
      <x:c r="AW140"/>
      <x:c r="AX140"/>
      <x:c r="AY140"/>
      <x:c r="AZ140"/>
      <x:c r="BA140"/>
      <x:c r="BB140"/>
      <x:c r="BC140"/>
      <x:c r="BD140"/>
      <x:c r="BE140"/>
      <x:c r="BF140"/>
      <x:c r="BG140"/>
      <x:c r="BH140"/>
      <x:c r="BI140"/>
      <x:c r="BJ140"/>
      <x:c r="BK140"/>
      <x:c r="BL140"/>
      <x:c r="BM140"/>
      <x:c r="BN140"/>
      <x:c r="BO140"/>
      <x:c r="BP140"/>
      <x:c r="BQ140"/>
      <x:c r="BR140"/>
      <x:c r="BS140"/>
      <x:c r="BT140"/>
      <x:c r="BU140"/>
      <x:c r="BV140"/>
      <x:c r="BW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/>
      <x:c r="BA141"/>
      <x:c r="BB141"/>
      <x:c r="BC141"/>
      <x:c r="BD141"/>
      <x:c r="BE141"/>
      <x:c r="BF141"/>
      <x:c r="BG141"/>
      <x:c r="BH141"/>
      <x:c r="BI141"/>
      <x:c r="BJ141"/>
      <x:c r="BK141"/>
      <x:c r="BL141"/>
      <x:c r="BM141"/>
      <x:c r="BN141"/>
      <x:c r="BO141"/>
      <x:c r="BP141"/>
      <x:c r="BQ141"/>
      <x:c r="BR141"/>
      <x:c r="BS141"/>
      <x:c r="BT141"/>
      <x:c r="BU141"/>
      <x:c r="BV141"/>
      <x:c r="BW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/>
      <x:c r="AY142"/>
      <x:c r="AZ142"/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/>
      <x:c r="BO142"/>
      <x:c r="BP142"/>
      <x:c r="BQ142"/>
      <x:c r="BR142"/>
      <x:c r="BS142"/>
      <x:c r="BT142"/>
      <x:c r="BU142"/>
      <x:c r="BV142"/>
      <x:c r="BW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/>
      <x:c r="AT143"/>
      <x:c r="AU143"/>
      <x:c r="AV143"/>
      <x:c r="AW143"/>
      <x:c r="AX143"/>
      <x:c r="AY143"/>
      <x:c r="AZ143"/>
      <x:c r="BA143"/>
      <x:c r="BB143"/>
      <x:c r="BC143"/>
      <x:c r="BD143"/>
      <x:c r="BE143"/>
      <x:c r="BF143"/>
      <x:c r="BG143"/>
      <x:c r="BH143"/>
      <x:c r="BI143"/>
      <x:c r="BJ143"/>
      <x:c r="BK143"/>
      <x:c r="BL143"/>
      <x:c r="BM143"/>
      <x:c r="BN143"/>
      <x:c r="BO143"/>
      <x:c r="BP143"/>
      <x:c r="BQ143"/>
      <x:c r="BR143"/>
      <x:c r="BS143"/>
      <x:c r="BT143"/>
      <x:c r="BU143"/>
      <x:c r="BV143"/>
      <x:c r="BW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  <x:c r="AI144"/>
      <x:c r="AJ144"/>
      <x:c r="AK144"/>
      <x:c r="AL144"/>
      <x:c r="AM144"/>
      <x:c r="AN144"/>
      <x:c r="AO144"/>
      <x:c r="AP144"/>
      <x:c r="AQ144"/>
      <x:c r="AR144"/>
      <x:c r="AS144"/>
      <x:c r="AT144"/>
      <x:c r="AU144"/>
      <x:c r="AV144"/>
      <x:c r="AW144"/>
      <x:c r="AX144"/>
      <x:c r="AY144"/>
      <x:c r="AZ144"/>
      <x:c r="BA144"/>
      <x:c r="BB144"/>
      <x:c r="BC144"/>
      <x:c r="BD144"/>
      <x:c r="BE144"/>
      <x:c r="BF144"/>
      <x:c r="BG144"/>
      <x:c r="BH144"/>
      <x:c r="BI144"/>
      <x:c r="BJ144"/>
      <x:c r="BK144"/>
      <x:c r="BL144"/>
      <x:c r="BM144"/>
      <x:c r="BN144"/>
      <x:c r="BO144"/>
      <x:c r="BP144"/>
      <x:c r="BQ144"/>
      <x:c r="BR144"/>
      <x:c r="BS144"/>
      <x:c r="BT144"/>
      <x:c r="BU144"/>
      <x:c r="BV144"/>
      <x:c r="BW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/>
      <x:c r="AY145"/>
      <x:c r="AZ145"/>
      <x:c r="BA145"/>
      <x:c r="BB145"/>
      <x:c r="BC145"/>
      <x:c r="BD145"/>
      <x:c r="BE145"/>
      <x:c r="BF145"/>
      <x:c r="BG145"/>
      <x:c r="BH145"/>
      <x:c r="BI145"/>
      <x:c r="BJ145"/>
      <x:c r="BK145"/>
      <x:c r="BL145"/>
      <x:c r="BM145"/>
      <x:c r="BN145"/>
      <x:c r="BO145"/>
      <x:c r="BP145"/>
      <x:c r="BQ145"/>
      <x:c r="BR145"/>
      <x:c r="BS145"/>
      <x:c r="BT145"/>
      <x:c r="BU145"/>
      <x:c r="BV145"/>
      <x:c r="BW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  <x:c r="AI146"/>
      <x:c r="AJ146"/>
      <x:c r="AK146"/>
      <x:c r="AL146"/>
      <x:c r="AM146"/>
      <x:c r="AN146"/>
      <x:c r="AO146"/>
      <x:c r="AP146"/>
      <x:c r="AQ146"/>
      <x:c r="AR146"/>
      <x:c r="AS146"/>
      <x:c r="AT146"/>
      <x:c r="AU146"/>
      <x:c r="AV146"/>
      <x:c r="AW146"/>
      <x:c r="AX146"/>
      <x:c r="AY146"/>
      <x:c r="AZ146"/>
      <x:c r="BA146"/>
      <x:c r="BB146"/>
      <x:c r="BC146"/>
      <x:c r="BD146"/>
      <x:c r="BE146"/>
      <x:c r="BF146"/>
      <x:c r="BG146"/>
      <x:c r="BH146"/>
      <x:c r="BI146"/>
      <x:c r="BJ146"/>
      <x:c r="BK146"/>
      <x:c r="BL146"/>
      <x:c r="BM146"/>
      <x:c r="BN146"/>
      <x:c r="BO146"/>
      <x:c r="BP146"/>
      <x:c r="BQ146"/>
      <x:c r="BR146"/>
      <x:c r="BS146"/>
      <x:c r="BT146"/>
      <x:c r="BU146"/>
      <x:c r="BV146"/>
      <x:c r="BW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  <x:c r="AK147"/>
      <x:c r="AL147"/>
      <x:c r="AM147"/>
      <x:c r="AN147"/>
      <x:c r="AO147"/>
      <x:c r="AP147"/>
      <x:c r="AQ147"/>
      <x:c r="AR147"/>
      <x:c r="AS147"/>
      <x:c r="AT147"/>
      <x:c r="AU147"/>
      <x:c r="AV147"/>
      <x:c r="AW147"/>
      <x:c r="AX147"/>
      <x:c r="AY147"/>
      <x:c r="AZ147"/>
      <x:c r="BA147"/>
      <x:c r="BB147"/>
      <x:c r="BC147"/>
      <x:c r="BD147"/>
      <x:c r="BE147"/>
      <x:c r="BF147"/>
      <x:c r="BG147"/>
      <x:c r="BH147"/>
      <x:c r="BI147"/>
      <x:c r="BJ147"/>
      <x:c r="BK147"/>
      <x:c r="BL147"/>
      <x:c r="BM147"/>
      <x:c r="BN147"/>
      <x:c r="BO147"/>
      <x:c r="BP147"/>
      <x:c r="BQ147"/>
      <x:c r="BR147"/>
      <x:c r="BS147"/>
      <x:c r="BT147"/>
      <x:c r="BU147"/>
      <x:c r="BV147"/>
      <x:c r="BW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/>
      <x:c r="AY148"/>
      <x:c r="AZ148"/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/>
      <x:c r="BO148"/>
      <x:c r="BP148"/>
      <x:c r="BQ148"/>
      <x:c r="BR148"/>
      <x:c r="BS148"/>
      <x:c r="BT148"/>
      <x:c r="BU148"/>
      <x:c r="BV148"/>
      <x:c r="BW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  <x:c r="AI149"/>
      <x:c r="AJ149"/>
      <x:c r="AK149"/>
      <x:c r="AL149"/>
      <x:c r="AM149"/>
      <x:c r="AN149"/>
      <x:c r="AO149"/>
      <x:c r="AP149"/>
      <x:c r="AQ149"/>
      <x:c r="AR149"/>
      <x:c r="AS149"/>
      <x:c r="AT149"/>
      <x:c r="AU149"/>
      <x:c r="AV149"/>
      <x:c r="AW149"/>
      <x:c r="AX149"/>
      <x:c r="AY149"/>
      <x:c r="AZ149"/>
      <x:c r="BA149"/>
      <x:c r="BB149"/>
      <x:c r="BC149"/>
      <x:c r="BD149"/>
      <x:c r="BE149"/>
      <x:c r="BF149"/>
      <x:c r="BG149"/>
      <x:c r="BH149"/>
      <x:c r="BI149"/>
      <x:c r="BJ149"/>
      <x:c r="BK149"/>
      <x:c r="BL149"/>
      <x:c r="BM149"/>
      <x:c r="BN149"/>
      <x:c r="BO149"/>
      <x:c r="BP149"/>
      <x:c r="BQ149"/>
      <x:c r="BR149"/>
      <x:c r="BS149"/>
      <x:c r="BT149"/>
      <x:c r="BU149"/>
      <x:c r="BV149"/>
      <x:c r="BW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  <x:c r="AK150"/>
      <x:c r="AL150"/>
      <x:c r="AM150"/>
      <x:c r="AN150"/>
      <x:c r="AO150"/>
      <x:c r="AP150"/>
      <x:c r="AQ150"/>
      <x:c r="AR150"/>
      <x:c r="AS150"/>
      <x:c r="AT150"/>
      <x:c r="AU150"/>
      <x:c r="AV150"/>
      <x:c r="AW150"/>
      <x:c r="AX150"/>
      <x:c r="AY150"/>
      <x:c r="AZ150"/>
      <x:c r="BA150"/>
      <x:c r="BB150"/>
      <x:c r="BC150"/>
      <x:c r="BD150"/>
      <x:c r="BE150"/>
      <x:c r="BF150"/>
      <x:c r="BG150"/>
      <x:c r="BH150"/>
      <x:c r="BI150"/>
      <x:c r="BJ150"/>
      <x:c r="BK150"/>
      <x:c r="BL150"/>
      <x:c r="BM150"/>
      <x:c r="BN150"/>
      <x:c r="BO150"/>
      <x:c r="BP150"/>
      <x:c r="BQ150"/>
      <x:c r="BR150"/>
      <x:c r="BS150"/>
      <x:c r="BT150"/>
      <x:c r="BU150"/>
      <x:c r="BV150"/>
      <x:c r="BW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  <x:c r="AK151"/>
      <x:c r="AL151"/>
      <x:c r="AM151"/>
      <x:c r="AN151"/>
      <x:c r="AO151"/>
      <x:c r="AP151"/>
      <x:c r="AQ151"/>
      <x:c r="AR151"/>
      <x:c r="AS151"/>
      <x:c r="AT151"/>
      <x:c r="AU151"/>
      <x:c r="AV151"/>
      <x:c r="AW151"/>
      <x:c r="AX151"/>
      <x:c r="AY151"/>
      <x:c r="AZ151"/>
      <x:c r="BA151"/>
      <x:c r="BB151"/>
      <x:c r="BC151"/>
      <x:c r="BD151"/>
      <x:c r="BE151"/>
      <x:c r="BF151"/>
      <x:c r="BG151"/>
      <x:c r="BH151"/>
      <x:c r="BI151"/>
      <x:c r="BJ151"/>
      <x:c r="BK151"/>
      <x:c r="BL151"/>
      <x:c r="BM151"/>
      <x:c r="BN151"/>
      <x:c r="BO151"/>
      <x:c r="BP151"/>
      <x:c r="BQ151"/>
      <x:c r="BR151"/>
      <x:c r="BS151"/>
      <x:c r="BT151"/>
      <x:c r="BU151"/>
      <x:c r="BV151"/>
      <x:c r="BW151"/>
    </x:row>
  </x:sheetData>
  <x:mergeCells>
    <x:mergeCell ref="A4:B4"/>
    <x:mergeCell ref="A5:B5"/>
    <x:mergeCell ref="A6:B6"/>
    <x:mergeCell ref="E4:F4"/>
    <x:mergeCell ref="E5:F5"/>
    <x:mergeCell ref="E6:F6"/>
    <x:mergeCell ref="I4:J4"/>
    <x:mergeCell ref="I5:J5"/>
    <x:mergeCell ref="I6:J6"/>
    <x:mergeCell ref="M4:N4"/>
    <x:mergeCell ref="M5:N5"/>
    <x:mergeCell ref="M6:N6"/>
    <x:mergeCell ref="Q4:R4"/>
    <x:mergeCell ref="Q5:R5"/>
    <x:mergeCell ref="Q6:R6"/>
    <x:mergeCell ref="U4:V4"/>
    <x:mergeCell ref="U5:V5"/>
    <x:mergeCell ref="U6:V6"/>
    <x:mergeCell ref="Y4:Z4"/>
    <x:mergeCell ref="Y5:Z5"/>
    <x:mergeCell ref="Y6:Z6"/>
    <x:mergeCell ref="AC4:AD4"/>
    <x:mergeCell ref="AC5:AD5"/>
    <x:mergeCell ref="AC6:AD6"/>
    <x:mergeCell ref="A8:I8"/>
    <x:mergeCell ref="K8:S8"/>
    <x:mergeCell ref="U8:AC8"/>
    <x:mergeCell ref="AF8:AH8"/>
    <x:mergeCell ref="AJ8:AL8"/>
  </x:mergeCells>
  <x:conditionalFormatting sqref="BS30:BS35">
    <x:cfRule type="cellIs" dxfId="0" priority="1" operator="notEqual">
      <x:formula>0</x:formula>
    </x:cfRule>
  </x:conditionalFormatting>
  <x:dataValidations count="6">
    <x:dataValidation type="list" sqref="J30:J35">
      <x:formula1>"S/0,S/1,S/2,S/3,M/0,M/1,M/2,M/3"</x:formula1>
    </x:dataValidation>
    <x:dataValidation type="list" sqref="AX30:AX35">
      <x:formula1>"0,1"</x:formula1>
    </x:dataValidation>
    <x:dataValidation type="list" sqref="AY30:AY35">
      <x:formula1>"0,1"</x:formula1>
    </x:dataValidation>
    <x:dataValidation type="list" sqref="AZ30:AZ35">
      <x:formula1>"0,1"</x:formula1>
    </x:dataValidation>
    <x:dataValidation type="list" sqref="BB30:BB35">
      <x:formula1>"0,1"</x:formula1>
    </x:dataValidation>
    <x:dataValidation type="list" sqref="BA30:BA35">
      <x:formula1>"0,1,2"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34" hidden="0" customWidth="1"/>
  </x:cols>
  <x:sheetData>
    <x:row r="1" ht="28" customHeight="1">
      <x:c r="A1" s="6" t="str">
        <x:v>Table Code</x:v>
      </x:c>
      <x:c r="B1" s="6" t="str">
        <x:v>Country</x:v>
      </x:c>
      <x:c r="C1" s="6" t="str">
        <x:v>Version</x:v>
      </x:c>
      <x:c r="D1" s="6" t="str">
        <x:v>Effective From</x:v>
      </x:c>
      <x:c r="E1" s="6" t="str">
        <x:v>Effective To</x:v>
      </x:c>
      <x:c r="F1" s="6" t="str">
        <x:v>Method</x:v>
      </x:c>
      <x:c r="G1" s="6" t="str">
        <x:v>Basis</x:v>
      </x:c>
      <x:c r="H1" s="6" t="str">
        <x:v>Slot</x:v>
      </x:c>
      <x:c r="I1" s="6" t="str">
        <x:v>Field</x:v>
      </x:c>
      <x:c r="J1" s="6" t="str">
        <x:v>Payroll Sheet</x:v>
      </x:c>
      <x:c r="K1" s="6" t="str">
        <x:v>Cell</x:v>
      </x:c>
      <x:c r="L1" s="6" t="str">
        <x:v>Label</x:v>
      </x:c>
    </x:row>
    <x:row r="2">
      <x:c r="A2" s="11" t="str">
        <x:v>IDPARAMS</x:v>
      </x:c>
      <x:c r="B2" s="11" t="str">
        <x:v>ID</x:v>
      </x:c>
      <x:c r="C2" s="11" t="str">
        <x:v>2026-08</x:v>
      </x:c>
      <x:c r="D2" s="11" t="str">
        <x:v>2026-08-01</x:v>
      </x:c>
      <x:c r="E2" s="11" t="str"/>
      <x:c r="F2" s="11" t="str">
        <x:v>parameters</x:v>
      </x:c>
      <x:c r="G2" s="11" t="str">
        <x:v>monthly</x:v>
      </x:c>
      <x:c r="H2" s="11" t="str">
        <x:v>JKMRATE</x:v>
      </x:c>
      <x:c r="I2" s="11" t="str">
        <x:v>parameter</x:v>
      </x:c>
      <x:c r="J2" s="11" t="str">
        <x:v>Payroll</x:v>
      </x:c>
      <x:c r="K2" s="11" t="str">
        <x:v>C4</x:v>
      </x:c>
      <x:c r="L2" s="11" t="str">
        <x:v>Life insurance rate</x:v>
      </x:c>
    </x:row>
    <x:row r="3">
      <x:c r="A3" s="11" t="str">
        <x:v>IDPARAMS</x:v>
      </x:c>
      <x:c r="B3" s="11" t="str">
        <x:v>ID</x:v>
      </x:c>
      <x:c r="C3" s="11" t="str">
        <x:v>2026-08</x:v>
      </x:c>
      <x:c r="D3" s="11" t="str">
        <x:v>2026-08-01</x:v>
      </x:c>
      <x:c r="E3" s="11" t="str"/>
      <x:c r="F3" s="11" t="str">
        <x:v>parameters</x:v>
      </x:c>
      <x:c r="G3" s="11" t="str">
        <x:v>monthly</x:v>
      </x:c>
      <x:c r="H3" s="11" t="str">
        <x:v>JKKRATE</x:v>
      </x:c>
      <x:c r="I3" s="11" t="str">
        <x:v>parameter</x:v>
      </x:c>
      <x:c r="J3" s="11" t="str">
        <x:v>Payroll</x:v>
      </x:c>
      <x:c r="K3" s="11" t="str">
        <x:v>C5</x:v>
      </x:c>
      <x:c r="L3" s="11" t="str">
        <x:v>Accident insurance rate</x:v>
      </x:c>
    </x:row>
    <x:row r="4">
      <x:c r="A4" s="11" t="str">
        <x:v>IDPARAMS</x:v>
      </x:c>
      <x:c r="B4" s="11" t="str">
        <x:v>ID</x:v>
      </x:c>
      <x:c r="C4" s="11" t="str">
        <x:v>2026-08</x:v>
      </x:c>
      <x:c r="D4" s="11" t="str">
        <x:v>2026-08-01</x:v>
      </x:c>
      <x:c r="E4" s="11" t="str"/>
      <x:c r="F4" s="11" t="str">
        <x:v>parameters</x:v>
      </x:c>
      <x:c r="G4" s="11" t="str">
        <x:v>monthly</x:v>
      </x:c>
      <x:c r="H4" s="11" t="str">
        <x:v>JHTER</x:v>
      </x:c>
      <x:c r="I4" s="11" t="str">
        <x:v>parameter</x:v>
      </x:c>
      <x:c r="J4" s="11" t="str">
        <x:v>Payroll</x:v>
      </x:c>
      <x:c r="K4" s="11" t="str">
        <x:v>C6</x:v>
      </x:c>
      <x:c r="L4" s="11" t="str">
        <x:v>JHT employer rate</x:v>
      </x:c>
    </x:row>
    <x:row r="5">
      <x:c r="A5" s="11" t="str">
        <x:v>IDPARAMS</x:v>
      </x:c>
      <x:c r="B5" s="11" t="str">
        <x:v>ID</x:v>
      </x:c>
      <x:c r="C5" s="11" t="str">
        <x:v>2026-08</x:v>
      </x:c>
      <x:c r="D5" s="11" t="str">
        <x:v>2026-08-01</x:v>
      </x:c>
      <x:c r="E5" s="11" t="str"/>
      <x:c r="F5" s="11" t="str">
        <x:v>parameters</x:v>
      </x:c>
      <x:c r="G5" s="11" t="str">
        <x:v>monthly</x:v>
      </x:c>
      <x:c r="H5" s="11" t="str">
        <x:v>JHTEE</x:v>
      </x:c>
      <x:c r="I5" s="11" t="str">
        <x:v>parameter</x:v>
      </x:c>
      <x:c r="J5" s="11" t="str">
        <x:v>Payroll</x:v>
      </x:c>
      <x:c r="K5" s="11" t="str">
        <x:v>G4</x:v>
      </x:c>
      <x:c r="L5" s="11" t="str">
        <x:v>JHT employee rate</x:v>
      </x:c>
    </x:row>
    <x:row r="6">
      <x:c r="A6" s="11" t="str">
        <x:v>IDPARAMS</x:v>
      </x:c>
      <x:c r="B6" s="11" t="str">
        <x:v>ID</x:v>
      </x:c>
      <x:c r="C6" s="11" t="str">
        <x:v>2026-08</x:v>
      </x:c>
      <x:c r="D6" s="11" t="str">
        <x:v>2026-08-01</x:v>
      </x:c>
      <x:c r="E6" s="11" t="str"/>
      <x:c r="F6" s="11" t="str">
        <x:v>parameters</x:v>
      </x:c>
      <x:c r="G6" s="11" t="str">
        <x:v>monthly</x:v>
      </x:c>
      <x:c r="H6" s="11" t="str">
        <x:v>JPER</x:v>
      </x:c>
      <x:c r="I6" s="11" t="str">
        <x:v>parameter</x:v>
      </x:c>
      <x:c r="J6" s="11" t="str">
        <x:v>Payroll</x:v>
      </x:c>
      <x:c r="K6" s="11" t="str">
        <x:v>G5</x:v>
      </x:c>
      <x:c r="L6" s="11" t="str">
        <x:v>JP employer rate</x:v>
      </x:c>
    </x:row>
    <x:row r="7">
      <x:c r="A7" s="11" t="str">
        <x:v>IDPARAMS</x:v>
      </x:c>
      <x:c r="B7" s="11" t="str">
        <x:v>ID</x:v>
      </x:c>
      <x:c r="C7" s="11" t="str">
        <x:v>2026-08</x:v>
      </x:c>
      <x:c r="D7" s="11" t="str">
        <x:v>2026-08-01</x:v>
      </x:c>
      <x:c r="E7" s="11" t="str"/>
      <x:c r="F7" s="11" t="str">
        <x:v>parameters</x:v>
      </x:c>
      <x:c r="G7" s="11" t="str">
        <x:v>monthly</x:v>
      </x:c>
      <x:c r="H7" s="11" t="str">
        <x:v>JPEE</x:v>
      </x:c>
      <x:c r="I7" s="11" t="str">
        <x:v>parameter</x:v>
      </x:c>
      <x:c r="J7" s="11" t="str">
        <x:v>Payroll</x:v>
      </x:c>
      <x:c r="K7" s="11" t="str">
        <x:v>G6</x:v>
      </x:c>
      <x:c r="L7" s="11" t="str">
        <x:v>JP employee rate</x:v>
      </x:c>
    </x:row>
    <x:row r="8">
      <x:c r="A8" s="11" t="str">
        <x:v>IDPARAMS</x:v>
      </x:c>
      <x:c r="B8" s="11" t="str">
        <x:v>ID</x:v>
      </x:c>
      <x:c r="C8" s="11" t="str">
        <x:v>2026-08</x:v>
      </x:c>
      <x:c r="D8" s="11" t="str">
        <x:v>2026-08-01</x:v>
      </x:c>
      <x:c r="E8" s="11" t="str"/>
      <x:c r="F8" s="11" t="str">
        <x:v>parameters</x:v>
      </x:c>
      <x:c r="G8" s="11" t="str">
        <x:v>monthly</x:v>
      </x:c>
      <x:c r="H8" s="11" t="str">
        <x:v>TKMIN</x:v>
      </x:c>
      <x:c r="I8" s="11" t="str">
        <x:v>parameter</x:v>
      </x:c>
      <x:c r="J8" s="11" t="str">
        <x:v>Payroll</x:v>
      </x:c>
      <x:c r="K8" s="11" t="str">
        <x:v>K4</x:v>
      </x:c>
      <x:c r="L8" s="11" t="str">
        <x:v>BPJS TK minimum</x:v>
      </x:c>
    </x:row>
    <x:row r="9">
      <x:c r="A9" s="11" t="str">
        <x:v>IDPARAMS</x:v>
      </x:c>
      <x:c r="B9" s="11" t="str">
        <x:v>ID</x:v>
      </x:c>
      <x:c r="C9" s="11" t="str">
        <x:v>2026-08</x:v>
      </x:c>
      <x:c r="D9" s="11" t="str">
        <x:v>2026-08-01</x:v>
      </x:c>
      <x:c r="E9" s="11" t="str"/>
      <x:c r="F9" s="11" t="str">
        <x:v>parameters</x:v>
      </x:c>
      <x:c r="G9" s="11" t="str">
        <x:v>monthly</x:v>
      </x:c>
      <x:c r="H9" s="11" t="str">
        <x:v>JPCAP</x:v>
      </x:c>
      <x:c r="I9" s="11" t="str">
        <x:v>parameter</x:v>
      </x:c>
      <x:c r="J9" s="11" t="str">
        <x:v>Payroll</x:v>
      </x:c>
      <x:c r="K9" s="11" t="str">
        <x:v>K5</x:v>
      </x:c>
      <x:c r="L9" s="11" t="str">
        <x:v>JP wage ceiling</x:v>
      </x:c>
    </x:row>
    <x:row r="10">
      <x:c r="A10" s="11" t="str">
        <x:v>IDPARAMS</x:v>
      </x:c>
      <x:c r="B10" s="11" t="str">
        <x:v>ID</x:v>
      </x:c>
      <x:c r="C10" s="11" t="str">
        <x:v>2026-08</x:v>
      </x:c>
      <x:c r="D10" s="11" t="str">
        <x:v>2026-08-01</x:v>
      </x:c>
      <x:c r="E10" s="11" t="str"/>
      <x:c r="F10" s="11" t="str">
        <x:v>parameters</x:v>
      </x:c>
      <x:c r="G10" s="11" t="str">
        <x:v>monthly</x:v>
      </x:c>
      <x:c r="H10" s="11" t="str">
        <x:v>HIMIN</x:v>
      </x:c>
      <x:c r="I10" s="11" t="str">
        <x:v>parameter</x:v>
      </x:c>
      <x:c r="J10" s="11" t="str">
        <x:v>Payroll</x:v>
      </x:c>
      <x:c r="K10" s="11" t="str">
        <x:v>K6</x:v>
      </x:c>
      <x:c r="L10" s="11" t="str">
        <x:v>Health wage minimum</x:v>
      </x:c>
    </x:row>
    <x:row r="11">
      <x:c r="A11" s="11" t="str">
        <x:v>IDPARAMS</x:v>
      </x:c>
      <x:c r="B11" s="11" t="str">
        <x:v>ID</x:v>
      </x:c>
      <x:c r="C11" s="11" t="str">
        <x:v>2026-08</x:v>
      </x:c>
      <x:c r="D11" s="11" t="str">
        <x:v>2026-08-01</x:v>
      </x:c>
      <x:c r="E11" s="11" t="str"/>
      <x:c r="F11" s="11" t="str">
        <x:v>parameters</x:v>
      </x:c>
      <x:c r="G11" s="11" t="str">
        <x:v>monthly</x:v>
      </x:c>
      <x:c r="H11" s="11" t="str">
        <x:v>HICAP</x:v>
      </x:c>
      <x:c r="I11" s="11" t="str">
        <x:v>parameter</x:v>
      </x:c>
      <x:c r="J11" s="11" t="str">
        <x:v>Payroll</x:v>
      </x:c>
      <x:c r="K11" s="11" t="str">
        <x:v>O4</x:v>
      </x:c>
      <x:c r="L11" s="11" t="str">
        <x:v>Health wage ceiling</x:v>
      </x:c>
    </x:row>
    <x:row r="12">
      <x:c r="A12" s="11" t="str">
        <x:v>IDPARAMS</x:v>
      </x:c>
      <x:c r="B12" s="11" t="str">
        <x:v>ID</x:v>
      </x:c>
      <x:c r="C12" s="11" t="str">
        <x:v>2026-08</x:v>
      </x:c>
      <x:c r="D12" s="11" t="str">
        <x:v>2026-08-01</x:v>
      </x:c>
      <x:c r="E12" s="11" t="str"/>
      <x:c r="F12" s="11" t="str">
        <x:v>parameters</x:v>
      </x:c>
      <x:c r="G12" s="11" t="str">
        <x:v>monthly</x:v>
      </x:c>
      <x:c r="H12" s="11" t="str">
        <x:v>HIER</x:v>
      </x:c>
      <x:c r="I12" s="11" t="str">
        <x:v>parameter</x:v>
      </x:c>
      <x:c r="J12" s="11" t="str">
        <x:v>Payroll</x:v>
      </x:c>
      <x:c r="K12" s="11" t="str">
        <x:v>O5</x:v>
      </x:c>
      <x:c r="L12" s="11" t="str">
        <x:v>Health employer rate</x:v>
      </x:c>
    </x:row>
    <x:row r="13">
      <x:c r="A13" s="11" t="str">
        <x:v>IDPARAMS</x:v>
      </x:c>
      <x:c r="B13" s="11" t="str">
        <x:v>ID</x:v>
      </x:c>
      <x:c r="C13" s="11" t="str">
        <x:v>2026-08</x:v>
      </x:c>
      <x:c r="D13" s="11" t="str">
        <x:v>2026-08-01</x:v>
      </x:c>
      <x:c r="E13" s="11" t="str"/>
      <x:c r="F13" s="11" t="str">
        <x:v>parameters</x:v>
      </x:c>
      <x:c r="G13" s="11" t="str">
        <x:v>monthly</x:v>
      </x:c>
      <x:c r="H13" s="11" t="str">
        <x:v>HIEE</x:v>
      </x:c>
      <x:c r="I13" s="11" t="str">
        <x:v>parameter</x:v>
      </x:c>
      <x:c r="J13" s="11" t="str">
        <x:v>Payroll</x:v>
      </x:c>
      <x:c r="K13" s="11" t="str">
        <x:v>O6</x:v>
      </x:c>
      <x:c r="L13" s="11" t="str">
        <x:v>Health employee rate</x:v>
      </x:c>
    </x:row>
    <x:row r="14">
      <x:c r="A14" s="11" t="str">
        <x:v>IDPARAMS</x:v>
      </x:c>
      <x:c r="B14" s="11" t="str">
        <x:v>ID</x:v>
      </x:c>
      <x:c r="C14" s="11" t="str">
        <x:v>2026-08</x:v>
      </x:c>
      <x:c r="D14" s="11" t="str">
        <x:v>2026-08-01</x:v>
      </x:c>
      <x:c r="E14" s="11" t="str"/>
      <x:c r="F14" s="11" t="str">
        <x:v>parameters</x:v>
      </x:c>
      <x:c r="G14" s="11" t="str">
        <x:v>monthly</x:v>
      </x:c>
      <x:c r="H14" s="11" t="str">
        <x:v>PREMMONTHS</x:v>
      </x:c>
      <x:c r="I14" s="11" t="str">
        <x:v>parameter</x:v>
      </x:c>
      <x:c r="J14" s="11" t="str">
        <x:v>Payroll</x:v>
      </x:c>
      <x:c r="K14" s="11" t="str">
        <x:v>S4</x:v>
      </x:c>
      <x:c r="L14" s="11" t="str">
        <x:v>Annual premium months</x:v>
      </x:c>
    </x:row>
    <x:row r="15">
      <x:c r="A15" s="11" t="str">
        <x:v>IDPARAMS</x:v>
      </x:c>
      <x:c r="B15" s="11" t="str">
        <x:v>ID</x:v>
      </x:c>
      <x:c r="C15" s="11" t="str">
        <x:v>2026-08</x:v>
      </x:c>
      <x:c r="D15" s="11" t="str">
        <x:v>2026-08-01</x:v>
      </x:c>
      <x:c r="E15" s="11" t="str"/>
      <x:c r="F15" s="11" t="str">
        <x:v>parameters</x:v>
      </x:c>
      <x:c r="G15" s="11" t="str">
        <x:v>monthly</x:v>
      </x:c>
      <x:c r="H15" s="11" t="str">
        <x:v>JOBRATE</x:v>
      </x:c>
      <x:c r="I15" s="11" t="str">
        <x:v>parameter</x:v>
      </x:c>
      <x:c r="J15" s="11" t="str">
        <x:v>Payroll</x:v>
      </x:c>
      <x:c r="K15" s="11" t="str">
        <x:v>S5</x:v>
      </x:c>
      <x:c r="L15" s="11" t="str">
        <x:v>Job expense rate</x:v>
      </x:c>
    </x:row>
    <x:row r="16">
      <x:c r="A16" s="11" t="str">
        <x:v>IDPARAMS</x:v>
      </x:c>
      <x:c r="B16" s="11" t="str">
        <x:v>ID</x:v>
      </x:c>
      <x:c r="C16" s="11" t="str">
        <x:v>2026-08</x:v>
      </x:c>
      <x:c r="D16" s="11" t="str">
        <x:v>2026-08-01</x:v>
      </x:c>
      <x:c r="E16" s="11" t="str"/>
      <x:c r="F16" s="11" t="str">
        <x:v>parameters</x:v>
      </x:c>
      <x:c r="G16" s="11" t="str">
        <x:v>monthly</x:v>
      </x:c>
      <x:c r="H16" s="11" t="str">
        <x:v>JOBCAP</x:v>
      </x:c>
      <x:c r="I16" s="11" t="str">
        <x:v>parameter</x:v>
      </x:c>
      <x:c r="J16" s="11" t="str">
        <x:v>Payroll</x:v>
      </x:c>
      <x:c r="K16" s="11" t="str">
        <x:v>S6</x:v>
      </x:c>
      <x:c r="L16" s="11" t="str">
        <x:v>Job expense monthly cap</x:v>
      </x:c>
    </x:row>
    <x:row r="17">
      <x:c r="A17" s="11" t="str">
        <x:v>IDPARAMS</x:v>
      </x:c>
      <x:c r="B17" s="11" t="str">
        <x:v>ID</x:v>
      </x:c>
      <x:c r="C17" s="11" t="str">
        <x:v>2026-08</x:v>
      </x:c>
      <x:c r="D17" s="11" t="str">
        <x:v>2026-08-01</x:v>
      </x:c>
      <x:c r="E17" s="11" t="str"/>
      <x:c r="F17" s="11" t="str">
        <x:v>parameters</x:v>
      </x:c>
      <x:c r="G17" s="11" t="str">
        <x:v>monthly</x:v>
      </x:c>
      <x:c r="H17" s="11" t="str">
        <x:v>PKPROUND</x:v>
      </x:c>
      <x:c r="I17" s="11" t="str">
        <x:v>parameter</x:v>
      </x:c>
      <x:c r="J17" s="11" t="str">
        <x:v>Payroll</x:v>
      </x:c>
      <x:c r="K17" s="11" t="str">
        <x:v>W4</x:v>
      </x:c>
      <x:c r="L17" s="11" t="str">
        <x:v>Annual PKP rounding</x:v>
      </x:c>
    </x:row>
    <x:row r="18">
      <x:c r="A18" s="11" t="str">
        <x:v>IDPARAMS</x:v>
      </x:c>
      <x:c r="B18" s="11" t="str">
        <x:v>ID</x:v>
      </x:c>
      <x:c r="C18" s="11" t="str">
        <x:v>2026-08</x:v>
      </x:c>
      <x:c r="D18" s="11" t="str">
        <x:v>2026-08-01</x:v>
      </x:c>
      <x:c r="E18" s="11" t="str"/>
      <x:c r="F18" s="11" t="str">
        <x:v>parameters</x:v>
      </x:c>
      <x:c r="G18" s="11" t="str">
        <x:v>monthly</x:v>
      </x:c>
      <x:c r="H18" s="11" t="str">
        <x:v>PTKPS0</x:v>
      </x:c>
      <x:c r="I18" s="11" t="str">
        <x:v>parameter</x:v>
      </x:c>
      <x:c r="J18" s="11" t="str">
        <x:v>Payroll</x:v>
      </x:c>
      <x:c r="K18" s="11" t="str">
        <x:v>W5</x:v>
      </x:c>
      <x:c r="L18" s="11" t="str">
        <x:v>PTKP S/0</x:v>
      </x:c>
    </x:row>
    <x:row r="19">
      <x:c r="A19" s="11" t="str">
        <x:v>IDPARAMS</x:v>
      </x:c>
      <x:c r="B19" s="11" t="str">
        <x:v>ID</x:v>
      </x:c>
      <x:c r="C19" s="11" t="str">
        <x:v>2026-08</x:v>
      </x:c>
      <x:c r="D19" s="11" t="str">
        <x:v>2026-08-01</x:v>
      </x:c>
      <x:c r="E19" s="11" t="str"/>
      <x:c r="F19" s="11" t="str">
        <x:v>parameters</x:v>
      </x:c>
      <x:c r="G19" s="11" t="str">
        <x:v>monthly</x:v>
      </x:c>
      <x:c r="H19" s="11" t="str">
        <x:v>PTKPS1</x:v>
      </x:c>
      <x:c r="I19" s="11" t="str">
        <x:v>parameter</x:v>
      </x:c>
      <x:c r="J19" s="11" t="str">
        <x:v>Payroll</x:v>
      </x:c>
      <x:c r="K19" s="11" t="str">
        <x:v>W6</x:v>
      </x:c>
      <x:c r="L19" s="11" t="str">
        <x:v>PTKP S/1</x:v>
      </x:c>
    </x:row>
    <x:row r="20">
      <x:c r="A20" s="11" t="str">
        <x:v>IDPARAMS</x:v>
      </x:c>
      <x:c r="B20" s="11" t="str">
        <x:v>ID</x:v>
      </x:c>
      <x:c r="C20" s="11" t="str">
        <x:v>2026-08</x:v>
      </x:c>
      <x:c r="D20" s="11" t="str">
        <x:v>2026-08-01</x:v>
      </x:c>
      <x:c r="E20" s="11" t="str"/>
      <x:c r="F20" s="11" t="str">
        <x:v>parameters</x:v>
      </x:c>
      <x:c r="G20" s="11" t="str">
        <x:v>monthly</x:v>
      </x:c>
      <x:c r="H20" s="11" t="str">
        <x:v>PTKPS2</x:v>
      </x:c>
      <x:c r="I20" s="11" t="str">
        <x:v>parameter</x:v>
      </x:c>
      <x:c r="J20" s="11" t="str">
        <x:v>Payroll</x:v>
      </x:c>
      <x:c r="K20" s="11" t="str">
        <x:v>AA4</x:v>
      </x:c>
      <x:c r="L20" s="11" t="str">
        <x:v>PTKP S/2</x:v>
      </x:c>
    </x:row>
    <x:row r="21">
      <x:c r="A21" s="11" t="str">
        <x:v>IDPARAMS</x:v>
      </x:c>
      <x:c r="B21" s="11" t="str">
        <x:v>ID</x:v>
      </x:c>
      <x:c r="C21" s="11" t="str">
        <x:v>2026-08</x:v>
      </x:c>
      <x:c r="D21" s="11" t="str">
        <x:v>2026-08-01</x:v>
      </x:c>
      <x:c r="E21" s="11" t="str"/>
      <x:c r="F21" s="11" t="str">
        <x:v>parameters</x:v>
      </x:c>
      <x:c r="G21" s="11" t="str">
        <x:v>monthly</x:v>
      </x:c>
      <x:c r="H21" s="11" t="str">
        <x:v>PTKPS3</x:v>
      </x:c>
      <x:c r="I21" s="11" t="str">
        <x:v>parameter</x:v>
      </x:c>
      <x:c r="J21" s="11" t="str">
        <x:v>Payroll</x:v>
      </x:c>
      <x:c r="K21" s="11" t="str">
        <x:v>AA5</x:v>
      </x:c>
      <x:c r="L21" s="11" t="str">
        <x:v>PTKP S/3</x:v>
      </x:c>
    </x:row>
    <x:row r="22">
      <x:c r="A22" s="11" t="str">
        <x:v>IDPARAMS</x:v>
      </x:c>
      <x:c r="B22" s="11" t="str">
        <x:v>ID</x:v>
      </x:c>
      <x:c r="C22" s="11" t="str">
        <x:v>2026-08</x:v>
      </x:c>
      <x:c r="D22" s="11" t="str">
        <x:v>2026-08-01</x:v>
      </x:c>
      <x:c r="E22" s="11" t="str"/>
      <x:c r="F22" s="11" t="str">
        <x:v>parameters</x:v>
      </x:c>
      <x:c r="G22" s="11" t="str">
        <x:v>monthly</x:v>
      </x:c>
      <x:c r="H22" s="11" t="str">
        <x:v>PTKPM0</x:v>
      </x:c>
      <x:c r="I22" s="11" t="str">
        <x:v>parameter</x:v>
      </x:c>
      <x:c r="J22" s="11" t="str">
        <x:v>Payroll</x:v>
      </x:c>
      <x:c r="K22" s="11" t="str">
        <x:v>AA6</x:v>
      </x:c>
      <x:c r="L22" s="11" t="str">
        <x:v>PTKP M/0</x:v>
      </x:c>
    </x:row>
    <x:row r="23">
      <x:c r="A23" s="11" t="str">
        <x:v>IDPARAMS</x:v>
      </x:c>
      <x:c r="B23" s="11" t="str">
        <x:v>ID</x:v>
      </x:c>
      <x:c r="C23" s="11" t="str">
        <x:v>2026-08</x:v>
      </x:c>
      <x:c r="D23" s="11" t="str">
        <x:v>2026-08-01</x:v>
      </x:c>
      <x:c r="E23" s="11" t="str"/>
      <x:c r="F23" s="11" t="str">
        <x:v>parameters</x:v>
      </x:c>
      <x:c r="G23" s="11" t="str">
        <x:v>monthly</x:v>
      </x:c>
      <x:c r="H23" s="11" t="str">
        <x:v>PTKPM1</x:v>
      </x:c>
      <x:c r="I23" s="11" t="str">
        <x:v>parameter</x:v>
      </x:c>
      <x:c r="J23" s="11" t="str">
        <x:v>Payroll</x:v>
      </x:c>
      <x:c r="K23" s="11" t="str">
        <x:v>AE4</x:v>
      </x:c>
      <x:c r="L23" s="11" t="str">
        <x:v>PTKP M/1</x:v>
      </x:c>
    </x:row>
    <x:row r="24">
      <x:c r="A24" s="11" t="str">
        <x:v>IDPARAMS</x:v>
      </x:c>
      <x:c r="B24" s="11" t="str">
        <x:v>ID</x:v>
      </x:c>
      <x:c r="C24" s="11" t="str">
        <x:v>2026-08</x:v>
      </x:c>
      <x:c r="D24" s="11" t="str">
        <x:v>2026-08-01</x:v>
      </x:c>
      <x:c r="E24" s="11" t="str"/>
      <x:c r="F24" s="11" t="str">
        <x:v>parameters</x:v>
      </x:c>
      <x:c r="G24" s="11" t="str">
        <x:v>monthly</x:v>
      </x:c>
      <x:c r="H24" s="11" t="str">
        <x:v>PTKPM2</x:v>
      </x:c>
      <x:c r="I24" s="11" t="str">
        <x:v>parameter</x:v>
      </x:c>
      <x:c r="J24" s="11" t="str">
        <x:v>Payroll</x:v>
      </x:c>
      <x:c r="K24" s="11" t="str">
        <x:v>AE5</x:v>
      </x:c>
      <x:c r="L24" s="11" t="str">
        <x:v>PTKP M/2</x:v>
      </x:c>
    </x:row>
    <x:row r="25">
      <x:c r="A25" s="11" t="str">
        <x:v>IDPARAMS</x:v>
      </x:c>
      <x:c r="B25" s="11" t="str">
        <x:v>ID</x:v>
      </x:c>
      <x:c r="C25" s="11" t="str">
        <x:v>2026-08</x:v>
      </x:c>
      <x:c r="D25" s="11" t="str">
        <x:v>2026-08-01</x:v>
      </x:c>
      <x:c r="E25" s="11" t="str"/>
      <x:c r="F25" s="11" t="str">
        <x:v>parameters</x:v>
      </x:c>
      <x:c r="G25" s="11" t="str">
        <x:v>monthly</x:v>
      </x:c>
      <x:c r="H25" s="11" t="str">
        <x:v>PTKPM3</x:v>
      </x:c>
      <x:c r="I25" s="11" t="str">
        <x:v>parameter</x:v>
      </x:c>
      <x:c r="J25" s="11" t="str">
        <x:v>Payroll</x:v>
      </x:c>
      <x:c r="K25" s="11" t="str">
        <x:v>AE6</x:v>
      </x:c>
      <x:c r="L25" s="11" t="str">
        <x:v>PTKP M/3</x:v>
      </x:c>
    </x:row>
    <x:row r="26">
      <x:c r="A26" s="11" t="str">
        <x:v>IDTERA</x:v>
      </x:c>
      <x:c r="B26" s="11" t="str">
        <x:v>ID</x:v>
      </x:c>
      <x:c r="C26" s="11" t="str">
        <x:v>2026-08</x:v>
      </x:c>
      <x:c r="D26" s="11" t="str">
        <x:v>2026-08-01</x:v>
      </x:c>
      <x:c r="E26" s="11" t="str"/>
      <x:c r="F26" s="11" t="str">
        <x:v>whole_income</x:v>
      </x:c>
      <x:c r="G26" s="11" t="str">
        <x:v>monthly</x:v>
      </x:c>
      <x:c r="H26" s="11" t="n">
        <x:v>1</x:v>
      </x:c>
      <x:c r="I26" s="11" t="str">
        <x:v>upper</x:v>
      </x:c>
      <x:c r="J26" s="11" t="str">
        <x:v>Payroll</x:v>
      </x:c>
      <x:c r="K26" s="11" t="str">
        <x:v>B10</x:v>
      </x:c>
      <x:c r="L26" s="11" t="str">
        <x:v>TER A band 1 upper</x:v>
      </x:c>
    </x:row>
    <x:row r="27">
      <x:c r="A27" s="11" t="str">
        <x:v>IDTERA</x:v>
      </x:c>
      <x:c r="B27" s="11" t="str">
        <x:v>ID</x:v>
      </x:c>
      <x:c r="C27" s="11" t="str">
        <x:v>2026-08</x:v>
      </x:c>
      <x:c r="D27" s="11" t="str">
        <x:v>2026-08-01</x:v>
      </x:c>
      <x:c r="E27" s="11" t="str"/>
      <x:c r="F27" s="11" t="str">
        <x:v>whole_income</x:v>
      </x:c>
      <x:c r="G27" s="11" t="str">
        <x:v>monthly</x:v>
      </x:c>
      <x:c r="H27" s="11" t="n">
        <x:v>1</x:v>
      </x:c>
      <x:c r="I27" s="11" t="str">
        <x:v>rate</x:v>
      </x:c>
      <x:c r="J27" s="11" t="str">
        <x:v>Payroll</x:v>
      </x:c>
      <x:c r="K27" s="11" t="str">
        <x:v>C10</x:v>
      </x:c>
      <x:c r="L27" s="11" t="str">
        <x:v>TER A band 1 rate</x:v>
      </x:c>
    </x:row>
    <x:row r="28">
      <x:c r="A28" s="11" t="str">
        <x:v>IDTERA</x:v>
      </x:c>
      <x:c r="B28" s="11" t="str">
        <x:v>ID</x:v>
      </x:c>
      <x:c r="C28" s="11" t="str">
        <x:v>2026-08</x:v>
      </x:c>
      <x:c r="D28" s="11" t="str">
        <x:v>2026-08-01</x:v>
      </x:c>
      <x:c r="E28" s="11" t="str"/>
      <x:c r="F28" s="11" t="str">
        <x:v>whole_income</x:v>
      </x:c>
      <x:c r="G28" s="11" t="str">
        <x:v>monthly</x:v>
      </x:c>
      <x:c r="H28" s="11" t="n">
        <x:v>2</x:v>
      </x:c>
      <x:c r="I28" s="11" t="str">
        <x:v>upper</x:v>
      </x:c>
      <x:c r="J28" s="11" t="str">
        <x:v>Payroll</x:v>
      </x:c>
      <x:c r="K28" s="11" t="str">
        <x:v>B11</x:v>
      </x:c>
      <x:c r="L28" s="11" t="str">
        <x:v>TER A band 2 upper</x:v>
      </x:c>
    </x:row>
    <x:row r="29">
      <x:c r="A29" s="11" t="str">
        <x:v>IDTERA</x:v>
      </x:c>
      <x:c r="B29" s="11" t="str">
        <x:v>ID</x:v>
      </x:c>
      <x:c r="C29" s="11" t="str">
        <x:v>2026-08</x:v>
      </x:c>
      <x:c r="D29" s="11" t="str">
        <x:v>2026-08-01</x:v>
      </x:c>
      <x:c r="E29" s="11" t="str"/>
      <x:c r="F29" s="11" t="str">
        <x:v>whole_income</x:v>
      </x:c>
      <x:c r="G29" s="11" t="str">
        <x:v>monthly</x:v>
      </x:c>
      <x:c r="H29" s="11" t="n">
        <x:v>2</x:v>
      </x:c>
      <x:c r="I29" s="11" t="str">
        <x:v>rate</x:v>
      </x:c>
      <x:c r="J29" s="11" t="str">
        <x:v>Payroll</x:v>
      </x:c>
      <x:c r="K29" s="11" t="str">
        <x:v>C11</x:v>
      </x:c>
      <x:c r="L29" s="11" t="str">
        <x:v>TER A band 2 rate</x:v>
      </x:c>
    </x:row>
    <x:row r="30">
      <x:c r="A30" s="11" t="str">
        <x:v>IDTERA</x:v>
      </x:c>
      <x:c r="B30" s="11" t="str">
        <x:v>ID</x:v>
      </x:c>
      <x:c r="C30" s="11" t="str">
        <x:v>2026-08</x:v>
      </x:c>
      <x:c r="D30" s="11" t="str">
        <x:v>2026-08-01</x:v>
      </x:c>
      <x:c r="E30" s="11" t="str"/>
      <x:c r="F30" s="11" t="str">
        <x:v>whole_income</x:v>
      </x:c>
      <x:c r="G30" s="11" t="str">
        <x:v>monthly</x:v>
      </x:c>
      <x:c r="H30" s="11" t="n">
        <x:v>3</x:v>
      </x:c>
      <x:c r="I30" s="11" t="str">
        <x:v>upper</x:v>
      </x:c>
      <x:c r="J30" s="11" t="str">
        <x:v>Payroll</x:v>
      </x:c>
      <x:c r="K30" s="11" t="str">
        <x:v>B12</x:v>
      </x:c>
      <x:c r="L30" s="11" t="str">
        <x:v>TER A band 3 upper</x:v>
      </x:c>
    </x:row>
    <x:row r="31">
      <x:c r="A31" s="11" t="str">
        <x:v>IDTERA</x:v>
      </x:c>
      <x:c r="B31" s="11" t="str">
        <x:v>ID</x:v>
      </x:c>
      <x:c r="C31" s="11" t="str">
        <x:v>2026-08</x:v>
      </x:c>
      <x:c r="D31" s="11" t="str">
        <x:v>2026-08-01</x:v>
      </x:c>
      <x:c r="E31" s="11" t="str"/>
      <x:c r="F31" s="11" t="str">
        <x:v>whole_income</x:v>
      </x:c>
      <x:c r="G31" s="11" t="str">
        <x:v>monthly</x:v>
      </x:c>
      <x:c r="H31" s="11" t="n">
        <x:v>3</x:v>
      </x:c>
      <x:c r="I31" s="11" t="str">
        <x:v>rate</x:v>
      </x:c>
      <x:c r="J31" s="11" t="str">
        <x:v>Payroll</x:v>
      </x:c>
      <x:c r="K31" s="11" t="str">
        <x:v>C12</x:v>
      </x:c>
      <x:c r="L31" s="11" t="str">
        <x:v>TER A band 3 rate</x:v>
      </x:c>
    </x:row>
    <x:row r="32">
      <x:c r="A32" s="11" t="str">
        <x:v>IDTERA</x:v>
      </x:c>
      <x:c r="B32" s="11" t="str">
        <x:v>ID</x:v>
      </x:c>
      <x:c r="C32" s="11" t="str">
        <x:v>2026-08</x:v>
      </x:c>
      <x:c r="D32" s="11" t="str">
        <x:v>2026-08-01</x:v>
      </x:c>
      <x:c r="E32" s="11" t="str"/>
      <x:c r="F32" s="11" t="str">
        <x:v>whole_income</x:v>
      </x:c>
      <x:c r="G32" s="11" t="str">
        <x:v>monthly</x:v>
      </x:c>
      <x:c r="H32" s="11" t="n">
        <x:v>4</x:v>
      </x:c>
      <x:c r="I32" s="11" t="str">
        <x:v>upper</x:v>
      </x:c>
      <x:c r="J32" s="11" t="str">
        <x:v>Payroll</x:v>
      </x:c>
      <x:c r="K32" s="11" t="str">
        <x:v>B13</x:v>
      </x:c>
      <x:c r="L32" s="11" t="str">
        <x:v>TER A band 4 upper</x:v>
      </x:c>
    </x:row>
    <x:row r="33">
      <x:c r="A33" s="11" t="str">
        <x:v>IDTERA</x:v>
      </x:c>
      <x:c r="B33" s="11" t="str">
        <x:v>ID</x:v>
      </x:c>
      <x:c r="C33" s="11" t="str">
        <x:v>2026-08</x:v>
      </x:c>
      <x:c r="D33" s="11" t="str">
        <x:v>2026-08-01</x:v>
      </x:c>
      <x:c r="E33" s="11" t="str"/>
      <x:c r="F33" s="11" t="str">
        <x:v>whole_income</x:v>
      </x:c>
      <x:c r="G33" s="11" t="str">
        <x:v>monthly</x:v>
      </x:c>
      <x:c r="H33" s="11" t="n">
        <x:v>4</x:v>
      </x:c>
      <x:c r="I33" s="11" t="str">
        <x:v>rate</x:v>
      </x:c>
      <x:c r="J33" s="11" t="str">
        <x:v>Payroll</x:v>
      </x:c>
      <x:c r="K33" s="11" t="str">
        <x:v>C13</x:v>
      </x:c>
      <x:c r="L33" s="11" t="str">
        <x:v>TER A band 4 rate</x:v>
      </x:c>
    </x:row>
    <x:row r="34">
      <x:c r="A34" s="11" t="str">
        <x:v>IDTERA</x:v>
      </x:c>
      <x:c r="B34" s="11" t="str">
        <x:v>ID</x:v>
      </x:c>
      <x:c r="C34" s="11" t="str">
        <x:v>2026-08</x:v>
      </x:c>
      <x:c r="D34" s="11" t="str">
        <x:v>2026-08-01</x:v>
      </x:c>
      <x:c r="E34" s="11" t="str"/>
      <x:c r="F34" s="11" t="str">
        <x:v>whole_income</x:v>
      </x:c>
      <x:c r="G34" s="11" t="str">
        <x:v>monthly</x:v>
      </x:c>
      <x:c r="H34" s="11" t="n">
        <x:v>5</x:v>
      </x:c>
      <x:c r="I34" s="11" t="str">
        <x:v>upper</x:v>
      </x:c>
      <x:c r="J34" s="11" t="str">
        <x:v>Payroll</x:v>
      </x:c>
      <x:c r="K34" s="11" t="str">
        <x:v>B14</x:v>
      </x:c>
      <x:c r="L34" s="11" t="str">
        <x:v>TER A band 5 upper</x:v>
      </x:c>
    </x:row>
    <x:row r="35">
      <x:c r="A35" s="11" t="str">
        <x:v>IDTERA</x:v>
      </x:c>
      <x:c r="B35" s="11" t="str">
        <x:v>ID</x:v>
      </x:c>
      <x:c r="C35" s="11" t="str">
        <x:v>2026-08</x:v>
      </x:c>
      <x:c r="D35" s="11" t="str">
        <x:v>2026-08-01</x:v>
      </x:c>
      <x:c r="E35" s="11" t="str"/>
      <x:c r="F35" s="11" t="str">
        <x:v>whole_income</x:v>
      </x:c>
      <x:c r="G35" s="11" t="str">
        <x:v>monthly</x:v>
      </x:c>
      <x:c r="H35" s="11" t="n">
        <x:v>5</x:v>
      </x:c>
      <x:c r="I35" s="11" t="str">
        <x:v>rate</x:v>
      </x:c>
      <x:c r="J35" s="11" t="str">
        <x:v>Payroll</x:v>
      </x:c>
      <x:c r="K35" s="11" t="str">
        <x:v>C14</x:v>
      </x:c>
      <x:c r="L35" s="11" t="str">
        <x:v>TER A band 5 rate</x:v>
      </x:c>
    </x:row>
    <x:row r="36">
      <x:c r="A36" s="11" t="str">
        <x:v>IDTERA</x:v>
      </x:c>
      <x:c r="B36" s="11" t="str">
        <x:v>ID</x:v>
      </x:c>
      <x:c r="C36" s="11" t="str">
        <x:v>2026-08</x:v>
      </x:c>
      <x:c r="D36" s="11" t="str">
        <x:v>2026-08-01</x:v>
      </x:c>
      <x:c r="E36" s="11" t="str"/>
      <x:c r="F36" s="11" t="str">
        <x:v>whole_income</x:v>
      </x:c>
      <x:c r="G36" s="11" t="str">
        <x:v>monthly</x:v>
      </x:c>
      <x:c r="H36" s="11" t="n">
        <x:v>6</x:v>
      </x:c>
      <x:c r="I36" s="11" t="str">
        <x:v>upper</x:v>
      </x:c>
      <x:c r="J36" s="11" t="str">
        <x:v>Payroll</x:v>
      </x:c>
      <x:c r="K36" s="11" t="str">
        <x:v>B15</x:v>
      </x:c>
      <x:c r="L36" s="11" t="str">
        <x:v>TER A band 6 upper</x:v>
      </x:c>
    </x:row>
    <x:row r="37">
      <x:c r="A37" s="11" t="str">
        <x:v>IDTERA</x:v>
      </x:c>
      <x:c r="B37" s="11" t="str">
        <x:v>ID</x:v>
      </x:c>
      <x:c r="C37" s="11" t="str">
        <x:v>2026-08</x:v>
      </x:c>
      <x:c r="D37" s="11" t="str">
        <x:v>2026-08-01</x:v>
      </x:c>
      <x:c r="E37" s="11" t="str"/>
      <x:c r="F37" s="11" t="str">
        <x:v>whole_income</x:v>
      </x:c>
      <x:c r="G37" s="11" t="str">
        <x:v>monthly</x:v>
      </x:c>
      <x:c r="H37" s="11" t="n">
        <x:v>6</x:v>
      </x:c>
      <x:c r="I37" s="11" t="str">
        <x:v>rate</x:v>
      </x:c>
      <x:c r="J37" s="11" t="str">
        <x:v>Payroll</x:v>
      </x:c>
      <x:c r="K37" s="11" t="str">
        <x:v>C15</x:v>
      </x:c>
      <x:c r="L37" s="11" t="str">
        <x:v>TER A band 6 rate</x:v>
      </x:c>
    </x:row>
    <x:row r="38">
      <x:c r="A38" s="11" t="str">
        <x:v>IDTERA</x:v>
      </x:c>
      <x:c r="B38" s="11" t="str">
        <x:v>ID</x:v>
      </x:c>
      <x:c r="C38" s="11" t="str">
        <x:v>2026-08</x:v>
      </x:c>
      <x:c r="D38" s="11" t="str">
        <x:v>2026-08-01</x:v>
      </x:c>
      <x:c r="E38" s="11" t="str"/>
      <x:c r="F38" s="11" t="str">
        <x:v>whole_income</x:v>
      </x:c>
      <x:c r="G38" s="11" t="str">
        <x:v>monthly</x:v>
      </x:c>
      <x:c r="H38" s="11" t="n">
        <x:v>7</x:v>
      </x:c>
      <x:c r="I38" s="11" t="str">
        <x:v>upper</x:v>
      </x:c>
      <x:c r="J38" s="11" t="str">
        <x:v>Payroll</x:v>
      </x:c>
      <x:c r="K38" s="11" t="str">
        <x:v>B16</x:v>
      </x:c>
      <x:c r="L38" s="11" t="str">
        <x:v>TER A band 7 upper</x:v>
      </x:c>
    </x:row>
    <x:row r="39">
      <x:c r="A39" s="11" t="str">
        <x:v>IDTERA</x:v>
      </x:c>
      <x:c r="B39" s="11" t="str">
        <x:v>ID</x:v>
      </x:c>
      <x:c r="C39" s="11" t="str">
        <x:v>2026-08</x:v>
      </x:c>
      <x:c r="D39" s="11" t="str">
        <x:v>2026-08-01</x:v>
      </x:c>
      <x:c r="E39" s="11" t="str"/>
      <x:c r="F39" s="11" t="str">
        <x:v>whole_income</x:v>
      </x:c>
      <x:c r="G39" s="11" t="str">
        <x:v>monthly</x:v>
      </x:c>
      <x:c r="H39" s="11" t="n">
        <x:v>7</x:v>
      </x:c>
      <x:c r="I39" s="11" t="str">
        <x:v>rate</x:v>
      </x:c>
      <x:c r="J39" s="11" t="str">
        <x:v>Payroll</x:v>
      </x:c>
      <x:c r="K39" s="11" t="str">
        <x:v>C16</x:v>
      </x:c>
      <x:c r="L39" s="11" t="str">
        <x:v>TER A band 7 rate</x:v>
      </x:c>
    </x:row>
    <x:row r="40">
      <x:c r="A40" s="11" t="str">
        <x:v>IDTERA</x:v>
      </x:c>
      <x:c r="B40" s="11" t="str">
        <x:v>ID</x:v>
      </x:c>
      <x:c r="C40" s="11" t="str">
        <x:v>2026-08</x:v>
      </x:c>
      <x:c r="D40" s="11" t="str">
        <x:v>2026-08-01</x:v>
      </x:c>
      <x:c r="E40" s="11" t="str"/>
      <x:c r="F40" s="11" t="str">
        <x:v>whole_income</x:v>
      </x:c>
      <x:c r="G40" s="11" t="str">
        <x:v>monthly</x:v>
      </x:c>
      <x:c r="H40" s="11" t="n">
        <x:v>8</x:v>
      </x:c>
      <x:c r="I40" s="11" t="str">
        <x:v>upper</x:v>
      </x:c>
      <x:c r="J40" s="11" t="str">
        <x:v>Payroll</x:v>
      </x:c>
      <x:c r="K40" s="11" t="str">
        <x:v>B17</x:v>
      </x:c>
      <x:c r="L40" s="11" t="str">
        <x:v>TER A band 8 upper</x:v>
      </x:c>
    </x:row>
    <x:row r="41">
      <x:c r="A41" s="11" t="str">
        <x:v>IDTERA</x:v>
      </x:c>
      <x:c r="B41" s="11" t="str">
        <x:v>ID</x:v>
      </x:c>
      <x:c r="C41" s="11" t="str">
        <x:v>2026-08</x:v>
      </x:c>
      <x:c r="D41" s="11" t="str">
        <x:v>2026-08-01</x:v>
      </x:c>
      <x:c r="E41" s="11" t="str"/>
      <x:c r="F41" s="11" t="str">
        <x:v>whole_income</x:v>
      </x:c>
      <x:c r="G41" s="11" t="str">
        <x:v>monthly</x:v>
      </x:c>
      <x:c r="H41" s="11" t="n">
        <x:v>8</x:v>
      </x:c>
      <x:c r="I41" s="11" t="str">
        <x:v>rate</x:v>
      </x:c>
      <x:c r="J41" s="11" t="str">
        <x:v>Payroll</x:v>
      </x:c>
      <x:c r="K41" s="11" t="str">
        <x:v>C17</x:v>
      </x:c>
      <x:c r="L41" s="11" t="str">
        <x:v>TER A band 8 rate</x:v>
      </x:c>
    </x:row>
    <x:row r="42">
      <x:c r="A42" s="11" t="str">
        <x:v>IDTERA</x:v>
      </x:c>
      <x:c r="B42" s="11" t="str">
        <x:v>ID</x:v>
      </x:c>
      <x:c r="C42" s="11" t="str">
        <x:v>2026-08</x:v>
      </x:c>
      <x:c r="D42" s="11" t="str">
        <x:v>2026-08-01</x:v>
      </x:c>
      <x:c r="E42" s="11" t="str"/>
      <x:c r="F42" s="11" t="str">
        <x:v>whole_income</x:v>
      </x:c>
      <x:c r="G42" s="11" t="str">
        <x:v>monthly</x:v>
      </x:c>
      <x:c r="H42" s="11" t="n">
        <x:v>9</x:v>
      </x:c>
      <x:c r="I42" s="11" t="str">
        <x:v>upper</x:v>
      </x:c>
      <x:c r="J42" s="11" t="str">
        <x:v>Payroll</x:v>
      </x:c>
      <x:c r="K42" s="11" t="str">
        <x:v>B18</x:v>
      </x:c>
      <x:c r="L42" s="11" t="str">
        <x:v>TER A band 9 upper</x:v>
      </x:c>
    </x:row>
    <x:row r="43">
      <x:c r="A43" s="11" t="str">
        <x:v>IDTERA</x:v>
      </x:c>
      <x:c r="B43" s="11" t="str">
        <x:v>ID</x:v>
      </x:c>
      <x:c r="C43" s="11" t="str">
        <x:v>2026-08</x:v>
      </x:c>
      <x:c r="D43" s="11" t="str">
        <x:v>2026-08-01</x:v>
      </x:c>
      <x:c r="E43" s="11" t="str"/>
      <x:c r="F43" s="11" t="str">
        <x:v>whole_income</x:v>
      </x:c>
      <x:c r="G43" s="11" t="str">
        <x:v>monthly</x:v>
      </x:c>
      <x:c r="H43" s="11" t="n">
        <x:v>9</x:v>
      </x:c>
      <x:c r="I43" s="11" t="str">
        <x:v>rate</x:v>
      </x:c>
      <x:c r="J43" s="11" t="str">
        <x:v>Payroll</x:v>
      </x:c>
      <x:c r="K43" s="11" t="str">
        <x:v>C18</x:v>
      </x:c>
      <x:c r="L43" s="11" t="str">
        <x:v>TER A band 9 rate</x:v>
      </x:c>
    </x:row>
    <x:row r="44">
      <x:c r="A44" s="11" t="str">
        <x:v>IDTERA</x:v>
      </x:c>
      <x:c r="B44" s="11" t="str">
        <x:v>ID</x:v>
      </x:c>
      <x:c r="C44" s="11" t="str">
        <x:v>2026-08</x:v>
      </x:c>
      <x:c r="D44" s="11" t="str">
        <x:v>2026-08-01</x:v>
      </x:c>
      <x:c r="E44" s="11" t="str"/>
      <x:c r="F44" s="11" t="str">
        <x:v>whole_income</x:v>
      </x:c>
      <x:c r="G44" s="11" t="str">
        <x:v>monthly</x:v>
      </x:c>
      <x:c r="H44" s="11" t="n">
        <x:v>10</x:v>
      </x:c>
      <x:c r="I44" s="11" t="str">
        <x:v>upper</x:v>
      </x:c>
      <x:c r="J44" s="11" t="str">
        <x:v>Payroll</x:v>
      </x:c>
      <x:c r="K44" s="11" t="str">
        <x:v>B19</x:v>
      </x:c>
      <x:c r="L44" s="11" t="str">
        <x:v>TER A band 10 upper</x:v>
      </x:c>
    </x:row>
    <x:row r="45">
      <x:c r="A45" s="11" t="str">
        <x:v>IDTERA</x:v>
      </x:c>
      <x:c r="B45" s="11" t="str">
        <x:v>ID</x:v>
      </x:c>
      <x:c r="C45" s="11" t="str">
        <x:v>2026-08</x:v>
      </x:c>
      <x:c r="D45" s="11" t="str">
        <x:v>2026-08-01</x:v>
      </x:c>
      <x:c r="E45" s="11" t="str"/>
      <x:c r="F45" s="11" t="str">
        <x:v>whole_income</x:v>
      </x:c>
      <x:c r="G45" s="11" t="str">
        <x:v>monthly</x:v>
      </x:c>
      <x:c r="H45" s="11" t="n">
        <x:v>10</x:v>
      </x:c>
      <x:c r="I45" s="11" t="str">
        <x:v>rate</x:v>
      </x:c>
      <x:c r="J45" s="11" t="str">
        <x:v>Payroll</x:v>
      </x:c>
      <x:c r="K45" s="11" t="str">
        <x:v>C19</x:v>
      </x:c>
      <x:c r="L45" s="11" t="str">
        <x:v>TER A band 10 rate</x:v>
      </x:c>
    </x:row>
    <x:row r="46">
      <x:c r="A46" s="11" t="str">
        <x:v>IDTERA</x:v>
      </x:c>
      <x:c r="B46" s="11" t="str">
        <x:v>ID</x:v>
      </x:c>
      <x:c r="C46" s="11" t="str">
        <x:v>2026-08</x:v>
      </x:c>
      <x:c r="D46" s="11" t="str">
        <x:v>2026-08-01</x:v>
      </x:c>
      <x:c r="E46" s="11" t="str"/>
      <x:c r="F46" s="11" t="str">
        <x:v>whole_income</x:v>
      </x:c>
      <x:c r="G46" s="11" t="str">
        <x:v>monthly</x:v>
      </x:c>
      <x:c r="H46" s="11" t="n">
        <x:v>11</x:v>
      </x:c>
      <x:c r="I46" s="11" t="str">
        <x:v>upper</x:v>
      </x:c>
      <x:c r="J46" s="11" t="str">
        <x:v>Payroll</x:v>
      </x:c>
      <x:c r="K46" s="11" t="str">
        <x:v>B20</x:v>
      </x:c>
      <x:c r="L46" s="11" t="str">
        <x:v>TER A band 11 upper</x:v>
      </x:c>
    </x:row>
    <x:row r="47">
      <x:c r="A47" s="11" t="str">
        <x:v>IDTERA</x:v>
      </x:c>
      <x:c r="B47" s="11" t="str">
        <x:v>ID</x:v>
      </x:c>
      <x:c r="C47" s="11" t="str">
        <x:v>2026-08</x:v>
      </x:c>
      <x:c r="D47" s="11" t="str">
        <x:v>2026-08-01</x:v>
      </x:c>
      <x:c r="E47" s="11" t="str"/>
      <x:c r="F47" s="11" t="str">
        <x:v>whole_income</x:v>
      </x:c>
      <x:c r="G47" s="11" t="str">
        <x:v>monthly</x:v>
      </x:c>
      <x:c r="H47" s="11" t="n">
        <x:v>11</x:v>
      </x:c>
      <x:c r="I47" s="11" t="str">
        <x:v>rate</x:v>
      </x:c>
      <x:c r="J47" s="11" t="str">
        <x:v>Payroll</x:v>
      </x:c>
      <x:c r="K47" s="11" t="str">
        <x:v>C20</x:v>
      </x:c>
      <x:c r="L47" s="11" t="str">
        <x:v>TER A band 11 rate</x:v>
      </x:c>
    </x:row>
    <x:row r="48">
      <x:c r="A48" s="11" t="str">
        <x:v>IDTERA</x:v>
      </x:c>
      <x:c r="B48" s="11" t="str">
        <x:v>ID</x:v>
      </x:c>
      <x:c r="C48" s="11" t="str">
        <x:v>2026-08</x:v>
      </x:c>
      <x:c r="D48" s="11" t="str">
        <x:v>2026-08-01</x:v>
      </x:c>
      <x:c r="E48" s="11" t="str"/>
      <x:c r="F48" s="11" t="str">
        <x:v>whole_income</x:v>
      </x:c>
      <x:c r="G48" s="11" t="str">
        <x:v>monthly</x:v>
      </x:c>
      <x:c r="H48" s="11" t="n">
        <x:v>12</x:v>
      </x:c>
      <x:c r="I48" s="11" t="str">
        <x:v>upper</x:v>
      </x:c>
      <x:c r="J48" s="11" t="str">
        <x:v>Payroll</x:v>
      </x:c>
      <x:c r="K48" s="11" t="str">
        <x:v>B21</x:v>
      </x:c>
      <x:c r="L48" s="11" t="str">
        <x:v>TER A band 12 upper</x:v>
      </x:c>
    </x:row>
    <x:row r="49">
      <x:c r="A49" s="11" t="str">
        <x:v>IDTERA</x:v>
      </x:c>
      <x:c r="B49" s="11" t="str">
        <x:v>ID</x:v>
      </x:c>
      <x:c r="C49" s="11" t="str">
        <x:v>2026-08</x:v>
      </x:c>
      <x:c r="D49" s="11" t="str">
        <x:v>2026-08-01</x:v>
      </x:c>
      <x:c r="E49" s="11" t="str"/>
      <x:c r="F49" s="11" t="str">
        <x:v>whole_income</x:v>
      </x:c>
      <x:c r="G49" s="11" t="str">
        <x:v>monthly</x:v>
      </x:c>
      <x:c r="H49" s="11" t="n">
        <x:v>12</x:v>
      </x:c>
      <x:c r="I49" s="11" t="str">
        <x:v>rate</x:v>
      </x:c>
      <x:c r="J49" s="11" t="str">
        <x:v>Payroll</x:v>
      </x:c>
      <x:c r="K49" s="11" t="str">
        <x:v>C21</x:v>
      </x:c>
      <x:c r="L49" s="11" t="str">
        <x:v>TER A band 12 rate</x:v>
      </x:c>
    </x:row>
    <x:row r="50">
      <x:c r="A50" s="11" t="str">
        <x:v>IDTERA</x:v>
      </x:c>
      <x:c r="B50" s="11" t="str">
        <x:v>ID</x:v>
      </x:c>
      <x:c r="C50" s="11" t="str">
        <x:v>2026-08</x:v>
      </x:c>
      <x:c r="D50" s="11" t="str">
        <x:v>2026-08-01</x:v>
      </x:c>
      <x:c r="E50" s="11" t="str"/>
      <x:c r="F50" s="11" t="str">
        <x:v>whole_income</x:v>
      </x:c>
      <x:c r="G50" s="11" t="str">
        <x:v>monthly</x:v>
      </x:c>
      <x:c r="H50" s="11" t="n">
        <x:v>13</x:v>
      </x:c>
      <x:c r="I50" s="11" t="str">
        <x:v>upper</x:v>
      </x:c>
      <x:c r="J50" s="11" t="str">
        <x:v>Payroll</x:v>
      </x:c>
      <x:c r="K50" s="11" t="str">
        <x:v>B22</x:v>
      </x:c>
      <x:c r="L50" s="11" t="str">
        <x:v>TER A band 13 upper</x:v>
      </x:c>
    </x:row>
    <x:row r="51">
      <x:c r="A51" s="11" t="str">
        <x:v>IDTERA</x:v>
      </x:c>
      <x:c r="B51" s="11" t="str">
        <x:v>ID</x:v>
      </x:c>
      <x:c r="C51" s="11" t="str">
        <x:v>2026-08</x:v>
      </x:c>
      <x:c r="D51" s="11" t="str">
        <x:v>2026-08-01</x:v>
      </x:c>
      <x:c r="E51" s="11" t="str"/>
      <x:c r="F51" s="11" t="str">
        <x:v>whole_income</x:v>
      </x:c>
      <x:c r="G51" s="11" t="str">
        <x:v>monthly</x:v>
      </x:c>
      <x:c r="H51" s="11" t="n">
        <x:v>13</x:v>
      </x:c>
      <x:c r="I51" s="11" t="str">
        <x:v>rate</x:v>
      </x:c>
      <x:c r="J51" s="11" t="str">
        <x:v>Payroll</x:v>
      </x:c>
      <x:c r="K51" s="11" t="str">
        <x:v>C22</x:v>
      </x:c>
      <x:c r="L51" s="11" t="str">
        <x:v>TER A band 13 rate</x:v>
      </x:c>
    </x:row>
    <x:row r="52">
      <x:c r="A52" s="11" t="str">
        <x:v>IDTERA</x:v>
      </x:c>
      <x:c r="B52" s="11" t="str">
        <x:v>ID</x:v>
      </x:c>
      <x:c r="C52" s="11" t="str">
        <x:v>2026-08</x:v>
      </x:c>
      <x:c r="D52" s="11" t="str">
        <x:v>2026-08-01</x:v>
      </x:c>
      <x:c r="E52" s="11" t="str"/>
      <x:c r="F52" s="11" t="str">
        <x:v>whole_income</x:v>
      </x:c>
      <x:c r="G52" s="11" t="str">
        <x:v>monthly</x:v>
      </x:c>
      <x:c r="H52" s="11" t="n">
        <x:v>14</x:v>
      </x:c>
      <x:c r="I52" s="11" t="str">
        <x:v>upper</x:v>
      </x:c>
      <x:c r="J52" s="11" t="str">
        <x:v>Payroll</x:v>
      </x:c>
      <x:c r="K52" s="11" t="str">
        <x:v>B23</x:v>
      </x:c>
      <x:c r="L52" s="11" t="str">
        <x:v>TER A band 14 upper</x:v>
      </x:c>
    </x:row>
    <x:row r="53">
      <x:c r="A53" s="11" t="str">
        <x:v>IDTERA</x:v>
      </x:c>
      <x:c r="B53" s="11" t="str">
        <x:v>ID</x:v>
      </x:c>
      <x:c r="C53" s="11" t="str">
        <x:v>2026-08</x:v>
      </x:c>
      <x:c r="D53" s="11" t="str">
        <x:v>2026-08-01</x:v>
      </x:c>
      <x:c r="E53" s="11" t="str"/>
      <x:c r="F53" s="11" t="str">
        <x:v>whole_income</x:v>
      </x:c>
      <x:c r="G53" s="11" t="str">
        <x:v>monthly</x:v>
      </x:c>
      <x:c r="H53" s="11" t="n">
        <x:v>14</x:v>
      </x:c>
      <x:c r="I53" s="11" t="str">
        <x:v>rate</x:v>
      </x:c>
      <x:c r="J53" s="11" t="str">
        <x:v>Payroll</x:v>
      </x:c>
      <x:c r="K53" s="11" t="str">
        <x:v>C23</x:v>
      </x:c>
      <x:c r="L53" s="11" t="str">
        <x:v>TER A band 14 rate</x:v>
      </x:c>
    </x:row>
    <x:row r="54">
      <x:c r="A54" s="11" t="str">
        <x:v>IDTERA</x:v>
      </x:c>
      <x:c r="B54" s="11" t="str">
        <x:v>ID</x:v>
      </x:c>
      <x:c r="C54" s="11" t="str">
        <x:v>2026-08</x:v>
      </x:c>
      <x:c r="D54" s="11" t="str">
        <x:v>2026-08-01</x:v>
      </x:c>
      <x:c r="E54" s="11" t="str"/>
      <x:c r="F54" s="11" t="str">
        <x:v>whole_income</x:v>
      </x:c>
      <x:c r="G54" s="11" t="str">
        <x:v>monthly</x:v>
      </x:c>
      <x:c r="H54" s="11" t="n">
        <x:v>15</x:v>
      </x:c>
      <x:c r="I54" s="11" t="str">
        <x:v>upper</x:v>
      </x:c>
      <x:c r="J54" s="11" t="str">
        <x:v>Payroll</x:v>
      </x:c>
      <x:c r="K54" s="11" t="str">
        <x:v>B24</x:v>
      </x:c>
      <x:c r="L54" s="11" t="str">
        <x:v>TER A band 15 upper</x:v>
      </x:c>
    </x:row>
    <x:row r="55">
      <x:c r="A55" s="11" t="str">
        <x:v>IDTERA</x:v>
      </x:c>
      <x:c r="B55" s="11" t="str">
        <x:v>ID</x:v>
      </x:c>
      <x:c r="C55" s="11" t="str">
        <x:v>2026-08</x:v>
      </x:c>
      <x:c r="D55" s="11" t="str">
        <x:v>2026-08-01</x:v>
      </x:c>
      <x:c r="E55" s="11" t="str"/>
      <x:c r="F55" s="11" t="str">
        <x:v>whole_income</x:v>
      </x:c>
      <x:c r="G55" s="11" t="str">
        <x:v>monthly</x:v>
      </x:c>
      <x:c r="H55" s="11" t="n">
        <x:v>15</x:v>
      </x:c>
      <x:c r="I55" s="11" t="str">
        <x:v>rate</x:v>
      </x:c>
      <x:c r="J55" s="11" t="str">
        <x:v>Payroll</x:v>
      </x:c>
      <x:c r="K55" s="11" t="str">
        <x:v>C24</x:v>
      </x:c>
      <x:c r="L55" s="11" t="str">
        <x:v>TER A band 15 rate</x:v>
      </x:c>
    </x:row>
    <x:row r="56">
      <x:c r="A56" s="11" t="str">
        <x:v>IDTERA</x:v>
      </x:c>
      <x:c r="B56" s="11" t="str">
        <x:v>ID</x:v>
      </x:c>
      <x:c r="C56" s="11" t="str">
        <x:v>2026-08</x:v>
      </x:c>
      <x:c r="D56" s="11" t="str">
        <x:v>2026-08-01</x:v>
      </x:c>
      <x:c r="E56" s="11" t="str"/>
      <x:c r="F56" s="11" t="str">
        <x:v>whole_income</x:v>
      </x:c>
      <x:c r="G56" s="11" t="str">
        <x:v>monthly</x:v>
      </x:c>
      <x:c r="H56" s="11" t="n">
        <x:v>16</x:v>
      </x:c>
      <x:c r="I56" s="11" t="str">
        <x:v>upper</x:v>
      </x:c>
      <x:c r="J56" s="11" t="str">
        <x:v>Payroll</x:v>
      </x:c>
      <x:c r="K56" s="11" t="str">
        <x:v>E10</x:v>
      </x:c>
      <x:c r="L56" s="11" t="str">
        <x:v>TER A band 16 upper</x:v>
      </x:c>
    </x:row>
    <x:row r="57">
      <x:c r="A57" s="11" t="str">
        <x:v>IDTERA</x:v>
      </x:c>
      <x:c r="B57" s="11" t="str">
        <x:v>ID</x:v>
      </x:c>
      <x:c r="C57" s="11" t="str">
        <x:v>2026-08</x:v>
      </x:c>
      <x:c r="D57" s="11" t="str">
        <x:v>2026-08-01</x:v>
      </x:c>
      <x:c r="E57" s="11" t="str"/>
      <x:c r="F57" s="11" t="str">
        <x:v>whole_income</x:v>
      </x:c>
      <x:c r="G57" s="11" t="str">
        <x:v>monthly</x:v>
      </x:c>
      <x:c r="H57" s="11" t="n">
        <x:v>16</x:v>
      </x:c>
      <x:c r="I57" s="11" t="str">
        <x:v>rate</x:v>
      </x:c>
      <x:c r="J57" s="11" t="str">
        <x:v>Payroll</x:v>
      </x:c>
      <x:c r="K57" s="11" t="str">
        <x:v>F10</x:v>
      </x:c>
      <x:c r="L57" s="11" t="str">
        <x:v>TER A band 16 rate</x:v>
      </x:c>
    </x:row>
    <x:row r="58">
      <x:c r="A58" s="11" t="str">
        <x:v>IDTERA</x:v>
      </x:c>
      <x:c r="B58" s="11" t="str">
        <x:v>ID</x:v>
      </x:c>
      <x:c r="C58" s="11" t="str">
        <x:v>2026-08</x:v>
      </x:c>
      <x:c r="D58" s="11" t="str">
        <x:v>2026-08-01</x:v>
      </x:c>
      <x:c r="E58" s="11" t="str"/>
      <x:c r="F58" s="11" t="str">
        <x:v>whole_income</x:v>
      </x:c>
      <x:c r="G58" s="11" t="str">
        <x:v>monthly</x:v>
      </x:c>
      <x:c r="H58" s="11" t="n">
        <x:v>17</x:v>
      </x:c>
      <x:c r="I58" s="11" t="str">
        <x:v>upper</x:v>
      </x:c>
      <x:c r="J58" s="11" t="str">
        <x:v>Payroll</x:v>
      </x:c>
      <x:c r="K58" s="11" t="str">
        <x:v>E11</x:v>
      </x:c>
      <x:c r="L58" s="11" t="str">
        <x:v>TER A band 17 upper</x:v>
      </x:c>
    </x:row>
    <x:row r="59">
      <x:c r="A59" s="11" t="str">
        <x:v>IDTERA</x:v>
      </x:c>
      <x:c r="B59" s="11" t="str">
        <x:v>ID</x:v>
      </x:c>
      <x:c r="C59" s="11" t="str">
        <x:v>2026-08</x:v>
      </x:c>
      <x:c r="D59" s="11" t="str">
        <x:v>2026-08-01</x:v>
      </x:c>
      <x:c r="E59" s="11" t="str"/>
      <x:c r="F59" s="11" t="str">
        <x:v>whole_income</x:v>
      </x:c>
      <x:c r="G59" s="11" t="str">
        <x:v>monthly</x:v>
      </x:c>
      <x:c r="H59" s="11" t="n">
        <x:v>17</x:v>
      </x:c>
      <x:c r="I59" s="11" t="str">
        <x:v>rate</x:v>
      </x:c>
      <x:c r="J59" s="11" t="str">
        <x:v>Payroll</x:v>
      </x:c>
      <x:c r="K59" s="11" t="str">
        <x:v>F11</x:v>
      </x:c>
      <x:c r="L59" s="11" t="str">
        <x:v>TER A band 17 rate</x:v>
      </x:c>
    </x:row>
    <x:row r="60">
      <x:c r="A60" s="11" t="str">
        <x:v>IDTERA</x:v>
      </x:c>
      <x:c r="B60" s="11" t="str">
        <x:v>ID</x:v>
      </x:c>
      <x:c r="C60" s="11" t="str">
        <x:v>2026-08</x:v>
      </x:c>
      <x:c r="D60" s="11" t="str">
        <x:v>2026-08-01</x:v>
      </x:c>
      <x:c r="E60" s="11" t="str"/>
      <x:c r="F60" s="11" t="str">
        <x:v>whole_income</x:v>
      </x:c>
      <x:c r="G60" s="11" t="str">
        <x:v>monthly</x:v>
      </x:c>
      <x:c r="H60" s="11" t="n">
        <x:v>18</x:v>
      </x:c>
      <x:c r="I60" s="11" t="str">
        <x:v>upper</x:v>
      </x:c>
      <x:c r="J60" s="11" t="str">
        <x:v>Payroll</x:v>
      </x:c>
      <x:c r="K60" s="11" t="str">
        <x:v>E12</x:v>
      </x:c>
      <x:c r="L60" s="11" t="str">
        <x:v>TER A band 18 upper</x:v>
      </x:c>
    </x:row>
    <x:row r="61">
      <x:c r="A61" s="11" t="str">
        <x:v>IDTERA</x:v>
      </x:c>
      <x:c r="B61" s="11" t="str">
        <x:v>ID</x:v>
      </x:c>
      <x:c r="C61" s="11" t="str">
        <x:v>2026-08</x:v>
      </x:c>
      <x:c r="D61" s="11" t="str">
        <x:v>2026-08-01</x:v>
      </x:c>
      <x:c r="E61" s="11" t="str"/>
      <x:c r="F61" s="11" t="str">
        <x:v>whole_income</x:v>
      </x:c>
      <x:c r="G61" s="11" t="str">
        <x:v>monthly</x:v>
      </x:c>
      <x:c r="H61" s="11" t="n">
        <x:v>18</x:v>
      </x:c>
      <x:c r="I61" s="11" t="str">
        <x:v>rate</x:v>
      </x:c>
      <x:c r="J61" s="11" t="str">
        <x:v>Payroll</x:v>
      </x:c>
      <x:c r="K61" s="11" t="str">
        <x:v>F12</x:v>
      </x:c>
      <x:c r="L61" s="11" t="str">
        <x:v>TER A band 18 rate</x:v>
      </x:c>
    </x:row>
    <x:row r="62">
      <x:c r="A62" s="11" t="str">
        <x:v>IDTERA</x:v>
      </x:c>
      <x:c r="B62" s="11" t="str">
        <x:v>ID</x:v>
      </x:c>
      <x:c r="C62" s="11" t="str">
        <x:v>2026-08</x:v>
      </x:c>
      <x:c r="D62" s="11" t="str">
        <x:v>2026-08-01</x:v>
      </x:c>
      <x:c r="E62" s="11" t="str"/>
      <x:c r="F62" s="11" t="str">
        <x:v>whole_income</x:v>
      </x:c>
      <x:c r="G62" s="11" t="str">
        <x:v>monthly</x:v>
      </x:c>
      <x:c r="H62" s="11" t="n">
        <x:v>19</x:v>
      </x:c>
      <x:c r="I62" s="11" t="str">
        <x:v>upper</x:v>
      </x:c>
      <x:c r="J62" s="11" t="str">
        <x:v>Payroll</x:v>
      </x:c>
      <x:c r="K62" s="11" t="str">
        <x:v>E13</x:v>
      </x:c>
      <x:c r="L62" s="11" t="str">
        <x:v>TER A band 19 upper</x:v>
      </x:c>
    </x:row>
    <x:row r="63">
      <x:c r="A63" s="11" t="str">
        <x:v>IDTERA</x:v>
      </x:c>
      <x:c r="B63" s="11" t="str">
        <x:v>ID</x:v>
      </x:c>
      <x:c r="C63" s="11" t="str">
        <x:v>2026-08</x:v>
      </x:c>
      <x:c r="D63" s="11" t="str">
        <x:v>2026-08-01</x:v>
      </x:c>
      <x:c r="E63" s="11" t="str"/>
      <x:c r="F63" s="11" t="str">
        <x:v>whole_income</x:v>
      </x:c>
      <x:c r="G63" s="11" t="str">
        <x:v>monthly</x:v>
      </x:c>
      <x:c r="H63" s="11" t="n">
        <x:v>19</x:v>
      </x:c>
      <x:c r="I63" s="11" t="str">
        <x:v>rate</x:v>
      </x:c>
      <x:c r="J63" s="11" t="str">
        <x:v>Payroll</x:v>
      </x:c>
      <x:c r="K63" s="11" t="str">
        <x:v>F13</x:v>
      </x:c>
      <x:c r="L63" s="11" t="str">
        <x:v>TER A band 19 rate</x:v>
      </x:c>
    </x:row>
    <x:row r="64">
      <x:c r="A64" s="11" t="str">
        <x:v>IDTERA</x:v>
      </x:c>
      <x:c r="B64" s="11" t="str">
        <x:v>ID</x:v>
      </x:c>
      <x:c r="C64" s="11" t="str">
        <x:v>2026-08</x:v>
      </x:c>
      <x:c r="D64" s="11" t="str">
        <x:v>2026-08-01</x:v>
      </x:c>
      <x:c r="E64" s="11" t="str"/>
      <x:c r="F64" s="11" t="str">
        <x:v>whole_income</x:v>
      </x:c>
      <x:c r="G64" s="11" t="str">
        <x:v>monthly</x:v>
      </x:c>
      <x:c r="H64" s="11" t="n">
        <x:v>20</x:v>
      </x:c>
      <x:c r="I64" s="11" t="str">
        <x:v>upper</x:v>
      </x:c>
      <x:c r="J64" s="11" t="str">
        <x:v>Payroll</x:v>
      </x:c>
      <x:c r="K64" s="11" t="str">
        <x:v>E14</x:v>
      </x:c>
      <x:c r="L64" s="11" t="str">
        <x:v>TER A band 20 upper</x:v>
      </x:c>
    </x:row>
    <x:row r="65">
      <x:c r="A65" s="11" t="str">
        <x:v>IDTERA</x:v>
      </x:c>
      <x:c r="B65" s="11" t="str">
        <x:v>ID</x:v>
      </x:c>
      <x:c r="C65" s="11" t="str">
        <x:v>2026-08</x:v>
      </x:c>
      <x:c r="D65" s="11" t="str">
        <x:v>2026-08-01</x:v>
      </x:c>
      <x:c r="E65" s="11" t="str"/>
      <x:c r="F65" s="11" t="str">
        <x:v>whole_income</x:v>
      </x:c>
      <x:c r="G65" s="11" t="str">
        <x:v>monthly</x:v>
      </x:c>
      <x:c r="H65" s="11" t="n">
        <x:v>20</x:v>
      </x:c>
      <x:c r="I65" s="11" t="str">
        <x:v>rate</x:v>
      </x:c>
      <x:c r="J65" s="11" t="str">
        <x:v>Payroll</x:v>
      </x:c>
      <x:c r="K65" s="11" t="str">
        <x:v>F14</x:v>
      </x:c>
      <x:c r="L65" s="11" t="str">
        <x:v>TER A band 20 rate</x:v>
      </x:c>
    </x:row>
    <x:row r="66">
      <x:c r="A66" s="11" t="str">
        <x:v>IDTERA</x:v>
      </x:c>
      <x:c r="B66" s="11" t="str">
        <x:v>ID</x:v>
      </x:c>
      <x:c r="C66" s="11" t="str">
        <x:v>2026-08</x:v>
      </x:c>
      <x:c r="D66" s="11" t="str">
        <x:v>2026-08-01</x:v>
      </x:c>
      <x:c r="E66" s="11" t="str"/>
      <x:c r="F66" s="11" t="str">
        <x:v>whole_income</x:v>
      </x:c>
      <x:c r="G66" s="11" t="str">
        <x:v>monthly</x:v>
      </x:c>
      <x:c r="H66" s="11" t="n">
        <x:v>21</x:v>
      </x:c>
      <x:c r="I66" s="11" t="str">
        <x:v>upper</x:v>
      </x:c>
      <x:c r="J66" s="11" t="str">
        <x:v>Payroll</x:v>
      </x:c>
      <x:c r="K66" s="11" t="str">
        <x:v>E15</x:v>
      </x:c>
      <x:c r="L66" s="11" t="str">
        <x:v>TER A band 21 upper</x:v>
      </x:c>
    </x:row>
    <x:row r="67">
      <x:c r="A67" s="11" t="str">
        <x:v>IDTERA</x:v>
      </x:c>
      <x:c r="B67" s="11" t="str">
        <x:v>ID</x:v>
      </x:c>
      <x:c r="C67" s="11" t="str">
        <x:v>2026-08</x:v>
      </x:c>
      <x:c r="D67" s="11" t="str">
        <x:v>2026-08-01</x:v>
      </x:c>
      <x:c r="E67" s="11" t="str"/>
      <x:c r="F67" s="11" t="str">
        <x:v>whole_income</x:v>
      </x:c>
      <x:c r="G67" s="11" t="str">
        <x:v>monthly</x:v>
      </x:c>
      <x:c r="H67" s="11" t="n">
        <x:v>21</x:v>
      </x:c>
      <x:c r="I67" s="11" t="str">
        <x:v>rate</x:v>
      </x:c>
      <x:c r="J67" s="11" t="str">
        <x:v>Payroll</x:v>
      </x:c>
      <x:c r="K67" s="11" t="str">
        <x:v>F15</x:v>
      </x:c>
      <x:c r="L67" s="11" t="str">
        <x:v>TER A band 21 rate</x:v>
      </x:c>
    </x:row>
    <x:row r="68">
      <x:c r="A68" s="11" t="str">
        <x:v>IDTERA</x:v>
      </x:c>
      <x:c r="B68" s="11" t="str">
        <x:v>ID</x:v>
      </x:c>
      <x:c r="C68" s="11" t="str">
        <x:v>2026-08</x:v>
      </x:c>
      <x:c r="D68" s="11" t="str">
        <x:v>2026-08-01</x:v>
      </x:c>
      <x:c r="E68" s="11" t="str"/>
      <x:c r="F68" s="11" t="str">
        <x:v>whole_income</x:v>
      </x:c>
      <x:c r="G68" s="11" t="str">
        <x:v>monthly</x:v>
      </x:c>
      <x:c r="H68" s="11" t="n">
        <x:v>22</x:v>
      </x:c>
      <x:c r="I68" s="11" t="str">
        <x:v>upper</x:v>
      </x:c>
      <x:c r="J68" s="11" t="str">
        <x:v>Payroll</x:v>
      </x:c>
      <x:c r="K68" s="11" t="str">
        <x:v>E16</x:v>
      </x:c>
      <x:c r="L68" s="11" t="str">
        <x:v>TER A band 22 upper</x:v>
      </x:c>
    </x:row>
    <x:row r="69">
      <x:c r="A69" s="11" t="str">
        <x:v>IDTERA</x:v>
      </x:c>
      <x:c r="B69" s="11" t="str">
        <x:v>ID</x:v>
      </x:c>
      <x:c r="C69" s="11" t="str">
        <x:v>2026-08</x:v>
      </x:c>
      <x:c r="D69" s="11" t="str">
        <x:v>2026-08-01</x:v>
      </x:c>
      <x:c r="E69" s="11" t="str"/>
      <x:c r="F69" s="11" t="str">
        <x:v>whole_income</x:v>
      </x:c>
      <x:c r="G69" s="11" t="str">
        <x:v>monthly</x:v>
      </x:c>
      <x:c r="H69" s="11" t="n">
        <x:v>22</x:v>
      </x:c>
      <x:c r="I69" s="11" t="str">
        <x:v>rate</x:v>
      </x:c>
      <x:c r="J69" s="11" t="str">
        <x:v>Payroll</x:v>
      </x:c>
      <x:c r="K69" s="11" t="str">
        <x:v>F16</x:v>
      </x:c>
      <x:c r="L69" s="11" t="str">
        <x:v>TER A band 22 rate</x:v>
      </x:c>
    </x:row>
    <x:row r="70">
      <x:c r="A70" s="11" t="str">
        <x:v>IDTERA</x:v>
      </x:c>
      <x:c r="B70" s="11" t="str">
        <x:v>ID</x:v>
      </x:c>
      <x:c r="C70" s="11" t="str">
        <x:v>2026-08</x:v>
      </x:c>
      <x:c r="D70" s="11" t="str">
        <x:v>2026-08-01</x:v>
      </x:c>
      <x:c r="E70" s="11" t="str"/>
      <x:c r="F70" s="11" t="str">
        <x:v>whole_income</x:v>
      </x:c>
      <x:c r="G70" s="11" t="str">
        <x:v>monthly</x:v>
      </x:c>
      <x:c r="H70" s="11" t="n">
        <x:v>23</x:v>
      </x:c>
      <x:c r="I70" s="11" t="str">
        <x:v>upper</x:v>
      </x:c>
      <x:c r="J70" s="11" t="str">
        <x:v>Payroll</x:v>
      </x:c>
      <x:c r="K70" s="11" t="str">
        <x:v>E17</x:v>
      </x:c>
      <x:c r="L70" s="11" t="str">
        <x:v>TER A band 23 upper</x:v>
      </x:c>
    </x:row>
    <x:row r="71">
      <x:c r="A71" s="11" t="str">
        <x:v>IDTERA</x:v>
      </x:c>
      <x:c r="B71" s="11" t="str">
        <x:v>ID</x:v>
      </x:c>
      <x:c r="C71" s="11" t="str">
        <x:v>2026-08</x:v>
      </x:c>
      <x:c r="D71" s="11" t="str">
        <x:v>2026-08-01</x:v>
      </x:c>
      <x:c r="E71" s="11" t="str"/>
      <x:c r="F71" s="11" t="str">
        <x:v>whole_income</x:v>
      </x:c>
      <x:c r="G71" s="11" t="str">
        <x:v>monthly</x:v>
      </x:c>
      <x:c r="H71" s="11" t="n">
        <x:v>23</x:v>
      </x:c>
      <x:c r="I71" s="11" t="str">
        <x:v>rate</x:v>
      </x:c>
      <x:c r="J71" s="11" t="str">
        <x:v>Payroll</x:v>
      </x:c>
      <x:c r="K71" s="11" t="str">
        <x:v>F17</x:v>
      </x:c>
      <x:c r="L71" s="11" t="str">
        <x:v>TER A band 23 rate</x:v>
      </x:c>
    </x:row>
    <x:row r="72">
      <x:c r="A72" s="11" t="str">
        <x:v>IDTERA</x:v>
      </x:c>
      <x:c r="B72" s="11" t="str">
        <x:v>ID</x:v>
      </x:c>
      <x:c r="C72" s="11" t="str">
        <x:v>2026-08</x:v>
      </x:c>
      <x:c r="D72" s="11" t="str">
        <x:v>2026-08-01</x:v>
      </x:c>
      <x:c r="E72" s="11" t="str"/>
      <x:c r="F72" s="11" t="str">
        <x:v>whole_income</x:v>
      </x:c>
      <x:c r="G72" s="11" t="str">
        <x:v>monthly</x:v>
      </x:c>
      <x:c r="H72" s="11" t="n">
        <x:v>24</x:v>
      </x:c>
      <x:c r="I72" s="11" t="str">
        <x:v>upper</x:v>
      </x:c>
      <x:c r="J72" s="11" t="str">
        <x:v>Payroll</x:v>
      </x:c>
      <x:c r="K72" s="11" t="str">
        <x:v>E18</x:v>
      </x:c>
      <x:c r="L72" s="11" t="str">
        <x:v>TER A band 24 upper</x:v>
      </x:c>
    </x:row>
    <x:row r="73">
      <x:c r="A73" s="11" t="str">
        <x:v>IDTERA</x:v>
      </x:c>
      <x:c r="B73" s="11" t="str">
        <x:v>ID</x:v>
      </x:c>
      <x:c r="C73" s="11" t="str">
        <x:v>2026-08</x:v>
      </x:c>
      <x:c r="D73" s="11" t="str">
        <x:v>2026-08-01</x:v>
      </x:c>
      <x:c r="E73" s="11" t="str"/>
      <x:c r="F73" s="11" t="str">
        <x:v>whole_income</x:v>
      </x:c>
      <x:c r="G73" s="11" t="str">
        <x:v>monthly</x:v>
      </x:c>
      <x:c r="H73" s="11" t="n">
        <x:v>24</x:v>
      </x:c>
      <x:c r="I73" s="11" t="str">
        <x:v>rate</x:v>
      </x:c>
      <x:c r="J73" s="11" t="str">
        <x:v>Payroll</x:v>
      </x:c>
      <x:c r="K73" s="11" t="str">
        <x:v>F18</x:v>
      </x:c>
      <x:c r="L73" s="11" t="str">
        <x:v>TER A band 24 rate</x:v>
      </x:c>
    </x:row>
    <x:row r="74">
      <x:c r="A74" s="11" t="str">
        <x:v>IDTERA</x:v>
      </x:c>
      <x:c r="B74" s="11" t="str">
        <x:v>ID</x:v>
      </x:c>
      <x:c r="C74" s="11" t="str">
        <x:v>2026-08</x:v>
      </x:c>
      <x:c r="D74" s="11" t="str">
        <x:v>2026-08-01</x:v>
      </x:c>
      <x:c r="E74" s="11" t="str"/>
      <x:c r="F74" s="11" t="str">
        <x:v>whole_income</x:v>
      </x:c>
      <x:c r="G74" s="11" t="str">
        <x:v>monthly</x:v>
      </x:c>
      <x:c r="H74" s="11" t="n">
        <x:v>25</x:v>
      </x:c>
      <x:c r="I74" s="11" t="str">
        <x:v>upper</x:v>
      </x:c>
      <x:c r="J74" s="11" t="str">
        <x:v>Payroll</x:v>
      </x:c>
      <x:c r="K74" s="11" t="str">
        <x:v>E19</x:v>
      </x:c>
      <x:c r="L74" s="11" t="str">
        <x:v>TER A band 25 upper</x:v>
      </x:c>
    </x:row>
    <x:row r="75">
      <x:c r="A75" s="11" t="str">
        <x:v>IDTERA</x:v>
      </x:c>
      <x:c r="B75" s="11" t="str">
        <x:v>ID</x:v>
      </x:c>
      <x:c r="C75" s="11" t="str">
        <x:v>2026-08</x:v>
      </x:c>
      <x:c r="D75" s="11" t="str">
        <x:v>2026-08-01</x:v>
      </x:c>
      <x:c r="E75" s="11" t="str"/>
      <x:c r="F75" s="11" t="str">
        <x:v>whole_income</x:v>
      </x:c>
      <x:c r="G75" s="11" t="str">
        <x:v>monthly</x:v>
      </x:c>
      <x:c r="H75" s="11" t="n">
        <x:v>25</x:v>
      </x:c>
      <x:c r="I75" s="11" t="str">
        <x:v>rate</x:v>
      </x:c>
      <x:c r="J75" s="11" t="str">
        <x:v>Payroll</x:v>
      </x:c>
      <x:c r="K75" s="11" t="str">
        <x:v>F19</x:v>
      </x:c>
      <x:c r="L75" s="11" t="str">
        <x:v>TER A band 25 rate</x:v>
      </x:c>
    </x:row>
    <x:row r="76">
      <x:c r="A76" s="11" t="str">
        <x:v>IDTERA</x:v>
      </x:c>
      <x:c r="B76" s="11" t="str">
        <x:v>ID</x:v>
      </x:c>
      <x:c r="C76" s="11" t="str">
        <x:v>2026-08</x:v>
      </x:c>
      <x:c r="D76" s="11" t="str">
        <x:v>2026-08-01</x:v>
      </x:c>
      <x:c r="E76" s="11" t="str"/>
      <x:c r="F76" s="11" t="str">
        <x:v>whole_income</x:v>
      </x:c>
      <x:c r="G76" s="11" t="str">
        <x:v>monthly</x:v>
      </x:c>
      <x:c r="H76" s="11" t="n">
        <x:v>26</x:v>
      </x:c>
      <x:c r="I76" s="11" t="str">
        <x:v>upper</x:v>
      </x:c>
      <x:c r="J76" s="11" t="str">
        <x:v>Payroll</x:v>
      </x:c>
      <x:c r="K76" s="11" t="str">
        <x:v>E20</x:v>
      </x:c>
      <x:c r="L76" s="11" t="str">
        <x:v>TER A band 26 upper</x:v>
      </x:c>
    </x:row>
    <x:row r="77">
      <x:c r="A77" s="11" t="str">
        <x:v>IDTERA</x:v>
      </x:c>
      <x:c r="B77" s="11" t="str">
        <x:v>ID</x:v>
      </x:c>
      <x:c r="C77" s="11" t="str">
        <x:v>2026-08</x:v>
      </x:c>
      <x:c r="D77" s="11" t="str">
        <x:v>2026-08-01</x:v>
      </x:c>
      <x:c r="E77" s="11" t="str"/>
      <x:c r="F77" s="11" t="str">
        <x:v>whole_income</x:v>
      </x:c>
      <x:c r="G77" s="11" t="str">
        <x:v>monthly</x:v>
      </x:c>
      <x:c r="H77" s="11" t="n">
        <x:v>26</x:v>
      </x:c>
      <x:c r="I77" s="11" t="str">
        <x:v>rate</x:v>
      </x:c>
      <x:c r="J77" s="11" t="str">
        <x:v>Payroll</x:v>
      </x:c>
      <x:c r="K77" s="11" t="str">
        <x:v>F20</x:v>
      </x:c>
      <x:c r="L77" s="11" t="str">
        <x:v>TER A band 26 rate</x:v>
      </x:c>
    </x:row>
    <x:row r="78">
      <x:c r="A78" s="11" t="str">
        <x:v>IDTERA</x:v>
      </x:c>
      <x:c r="B78" s="11" t="str">
        <x:v>ID</x:v>
      </x:c>
      <x:c r="C78" s="11" t="str">
        <x:v>2026-08</x:v>
      </x:c>
      <x:c r="D78" s="11" t="str">
        <x:v>2026-08-01</x:v>
      </x:c>
      <x:c r="E78" s="11" t="str"/>
      <x:c r="F78" s="11" t="str">
        <x:v>whole_income</x:v>
      </x:c>
      <x:c r="G78" s="11" t="str">
        <x:v>monthly</x:v>
      </x:c>
      <x:c r="H78" s="11" t="n">
        <x:v>27</x:v>
      </x:c>
      <x:c r="I78" s="11" t="str">
        <x:v>upper</x:v>
      </x:c>
      <x:c r="J78" s="11" t="str">
        <x:v>Payroll</x:v>
      </x:c>
      <x:c r="K78" s="11" t="str">
        <x:v>E21</x:v>
      </x:c>
      <x:c r="L78" s="11" t="str">
        <x:v>TER A band 27 upper</x:v>
      </x:c>
    </x:row>
    <x:row r="79">
      <x:c r="A79" s="11" t="str">
        <x:v>IDTERA</x:v>
      </x:c>
      <x:c r="B79" s="11" t="str">
        <x:v>ID</x:v>
      </x:c>
      <x:c r="C79" s="11" t="str">
        <x:v>2026-08</x:v>
      </x:c>
      <x:c r="D79" s="11" t="str">
        <x:v>2026-08-01</x:v>
      </x:c>
      <x:c r="E79" s="11" t="str"/>
      <x:c r="F79" s="11" t="str">
        <x:v>whole_income</x:v>
      </x:c>
      <x:c r="G79" s="11" t="str">
        <x:v>monthly</x:v>
      </x:c>
      <x:c r="H79" s="11" t="n">
        <x:v>27</x:v>
      </x:c>
      <x:c r="I79" s="11" t="str">
        <x:v>rate</x:v>
      </x:c>
      <x:c r="J79" s="11" t="str">
        <x:v>Payroll</x:v>
      </x:c>
      <x:c r="K79" s="11" t="str">
        <x:v>F21</x:v>
      </x:c>
      <x:c r="L79" s="11" t="str">
        <x:v>TER A band 27 rate</x:v>
      </x:c>
    </x:row>
    <x:row r="80">
      <x:c r="A80" s="11" t="str">
        <x:v>IDTERA</x:v>
      </x:c>
      <x:c r="B80" s="11" t="str">
        <x:v>ID</x:v>
      </x:c>
      <x:c r="C80" s="11" t="str">
        <x:v>2026-08</x:v>
      </x:c>
      <x:c r="D80" s="11" t="str">
        <x:v>2026-08-01</x:v>
      </x:c>
      <x:c r="E80" s="11" t="str"/>
      <x:c r="F80" s="11" t="str">
        <x:v>whole_income</x:v>
      </x:c>
      <x:c r="G80" s="11" t="str">
        <x:v>monthly</x:v>
      </x:c>
      <x:c r="H80" s="11" t="n">
        <x:v>28</x:v>
      </x:c>
      <x:c r="I80" s="11" t="str">
        <x:v>upper</x:v>
      </x:c>
      <x:c r="J80" s="11" t="str">
        <x:v>Payroll</x:v>
      </x:c>
      <x:c r="K80" s="11" t="str">
        <x:v>E22</x:v>
      </x:c>
      <x:c r="L80" s="11" t="str">
        <x:v>TER A band 28 upper</x:v>
      </x:c>
    </x:row>
    <x:row r="81">
      <x:c r="A81" s="11" t="str">
        <x:v>IDTERA</x:v>
      </x:c>
      <x:c r="B81" s="11" t="str">
        <x:v>ID</x:v>
      </x:c>
      <x:c r="C81" s="11" t="str">
        <x:v>2026-08</x:v>
      </x:c>
      <x:c r="D81" s="11" t="str">
        <x:v>2026-08-01</x:v>
      </x:c>
      <x:c r="E81" s="11" t="str"/>
      <x:c r="F81" s="11" t="str">
        <x:v>whole_income</x:v>
      </x:c>
      <x:c r="G81" s="11" t="str">
        <x:v>monthly</x:v>
      </x:c>
      <x:c r="H81" s="11" t="n">
        <x:v>28</x:v>
      </x:c>
      <x:c r="I81" s="11" t="str">
        <x:v>rate</x:v>
      </x:c>
      <x:c r="J81" s="11" t="str">
        <x:v>Payroll</x:v>
      </x:c>
      <x:c r="K81" s="11" t="str">
        <x:v>F22</x:v>
      </x:c>
      <x:c r="L81" s="11" t="str">
        <x:v>TER A band 28 rate</x:v>
      </x:c>
    </x:row>
    <x:row r="82">
      <x:c r="A82" s="11" t="str">
        <x:v>IDTERA</x:v>
      </x:c>
      <x:c r="B82" s="11" t="str">
        <x:v>ID</x:v>
      </x:c>
      <x:c r="C82" s="11" t="str">
        <x:v>2026-08</x:v>
      </x:c>
      <x:c r="D82" s="11" t="str">
        <x:v>2026-08-01</x:v>
      </x:c>
      <x:c r="E82" s="11" t="str"/>
      <x:c r="F82" s="11" t="str">
        <x:v>whole_income</x:v>
      </x:c>
      <x:c r="G82" s="11" t="str">
        <x:v>monthly</x:v>
      </x:c>
      <x:c r="H82" s="11" t="n">
        <x:v>29</x:v>
      </x:c>
      <x:c r="I82" s="11" t="str">
        <x:v>upper</x:v>
      </x:c>
      <x:c r="J82" s="11" t="str">
        <x:v>Payroll</x:v>
      </x:c>
      <x:c r="K82" s="11" t="str">
        <x:v>E23</x:v>
      </x:c>
      <x:c r="L82" s="11" t="str">
        <x:v>TER A band 29 upper</x:v>
      </x:c>
    </x:row>
    <x:row r="83">
      <x:c r="A83" s="11" t="str">
        <x:v>IDTERA</x:v>
      </x:c>
      <x:c r="B83" s="11" t="str">
        <x:v>ID</x:v>
      </x:c>
      <x:c r="C83" s="11" t="str">
        <x:v>2026-08</x:v>
      </x:c>
      <x:c r="D83" s="11" t="str">
        <x:v>2026-08-01</x:v>
      </x:c>
      <x:c r="E83" s="11" t="str"/>
      <x:c r="F83" s="11" t="str">
        <x:v>whole_income</x:v>
      </x:c>
      <x:c r="G83" s="11" t="str">
        <x:v>monthly</x:v>
      </x:c>
      <x:c r="H83" s="11" t="n">
        <x:v>29</x:v>
      </x:c>
      <x:c r="I83" s="11" t="str">
        <x:v>rate</x:v>
      </x:c>
      <x:c r="J83" s="11" t="str">
        <x:v>Payroll</x:v>
      </x:c>
      <x:c r="K83" s="11" t="str">
        <x:v>F23</x:v>
      </x:c>
      <x:c r="L83" s="11" t="str">
        <x:v>TER A band 29 rate</x:v>
      </x:c>
    </x:row>
    <x:row r="84">
      <x:c r="A84" s="11" t="str">
        <x:v>IDTERA</x:v>
      </x:c>
      <x:c r="B84" s="11" t="str">
        <x:v>ID</x:v>
      </x:c>
      <x:c r="C84" s="11" t="str">
        <x:v>2026-08</x:v>
      </x:c>
      <x:c r="D84" s="11" t="str">
        <x:v>2026-08-01</x:v>
      </x:c>
      <x:c r="E84" s="11" t="str"/>
      <x:c r="F84" s="11" t="str">
        <x:v>whole_income</x:v>
      </x:c>
      <x:c r="G84" s="11" t="str">
        <x:v>monthly</x:v>
      </x:c>
      <x:c r="H84" s="11" t="n">
        <x:v>30</x:v>
      </x:c>
      <x:c r="I84" s="11" t="str">
        <x:v>upper</x:v>
      </x:c>
      <x:c r="J84" s="11" t="str">
        <x:v>Payroll</x:v>
      </x:c>
      <x:c r="K84" s="11" t="str">
        <x:v>E24</x:v>
      </x:c>
      <x:c r="L84" s="11" t="str">
        <x:v>TER A band 30 upper</x:v>
      </x:c>
    </x:row>
    <x:row r="85">
      <x:c r="A85" s="11" t="str">
        <x:v>IDTERA</x:v>
      </x:c>
      <x:c r="B85" s="11" t="str">
        <x:v>ID</x:v>
      </x:c>
      <x:c r="C85" s="11" t="str">
        <x:v>2026-08</x:v>
      </x:c>
      <x:c r="D85" s="11" t="str">
        <x:v>2026-08-01</x:v>
      </x:c>
      <x:c r="E85" s="11" t="str"/>
      <x:c r="F85" s="11" t="str">
        <x:v>whole_income</x:v>
      </x:c>
      <x:c r="G85" s="11" t="str">
        <x:v>monthly</x:v>
      </x:c>
      <x:c r="H85" s="11" t="n">
        <x:v>30</x:v>
      </x:c>
      <x:c r="I85" s="11" t="str">
        <x:v>rate</x:v>
      </x:c>
      <x:c r="J85" s="11" t="str">
        <x:v>Payroll</x:v>
      </x:c>
      <x:c r="K85" s="11" t="str">
        <x:v>F24</x:v>
      </x:c>
      <x:c r="L85" s="11" t="str">
        <x:v>TER A band 30 rate</x:v>
      </x:c>
    </x:row>
    <x:row r="86">
      <x:c r="A86" s="11" t="str">
        <x:v>IDTERA</x:v>
      </x:c>
      <x:c r="B86" s="11" t="str">
        <x:v>ID</x:v>
      </x:c>
      <x:c r="C86" s="11" t="str">
        <x:v>2026-08</x:v>
      </x:c>
      <x:c r="D86" s="11" t="str">
        <x:v>2026-08-01</x:v>
      </x:c>
      <x:c r="E86" s="11" t="str"/>
      <x:c r="F86" s="11" t="str">
        <x:v>whole_income</x:v>
      </x:c>
      <x:c r="G86" s="11" t="str">
        <x:v>monthly</x:v>
      </x:c>
      <x:c r="H86" s="11" t="n">
        <x:v>31</x:v>
      </x:c>
      <x:c r="I86" s="11" t="str">
        <x:v>upper</x:v>
      </x:c>
      <x:c r="J86" s="11" t="str">
        <x:v>Payroll</x:v>
      </x:c>
      <x:c r="K86" s="11" t="str">
        <x:v>H10</x:v>
      </x:c>
      <x:c r="L86" s="11" t="str">
        <x:v>TER A band 31 upper</x:v>
      </x:c>
    </x:row>
    <x:row r="87">
      <x:c r="A87" s="11" t="str">
        <x:v>IDTERA</x:v>
      </x:c>
      <x:c r="B87" s="11" t="str">
        <x:v>ID</x:v>
      </x:c>
      <x:c r="C87" s="11" t="str">
        <x:v>2026-08</x:v>
      </x:c>
      <x:c r="D87" s="11" t="str">
        <x:v>2026-08-01</x:v>
      </x:c>
      <x:c r="E87" s="11" t="str"/>
      <x:c r="F87" s="11" t="str">
        <x:v>whole_income</x:v>
      </x:c>
      <x:c r="G87" s="11" t="str">
        <x:v>monthly</x:v>
      </x:c>
      <x:c r="H87" s="11" t="n">
        <x:v>31</x:v>
      </x:c>
      <x:c r="I87" s="11" t="str">
        <x:v>rate</x:v>
      </x:c>
      <x:c r="J87" s="11" t="str">
        <x:v>Payroll</x:v>
      </x:c>
      <x:c r="K87" s="11" t="str">
        <x:v>I10</x:v>
      </x:c>
      <x:c r="L87" s="11" t="str">
        <x:v>TER A band 31 rate</x:v>
      </x:c>
    </x:row>
    <x:row r="88">
      <x:c r="A88" s="11" t="str">
        <x:v>IDTERA</x:v>
      </x:c>
      <x:c r="B88" s="11" t="str">
        <x:v>ID</x:v>
      </x:c>
      <x:c r="C88" s="11" t="str">
        <x:v>2026-08</x:v>
      </x:c>
      <x:c r="D88" s="11" t="str">
        <x:v>2026-08-01</x:v>
      </x:c>
      <x:c r="E88" s="11" t="str"/>
      <x:c r="F88" s="11" t="str">
        <x:v>whole_income</x:v>
      </x:c>
      <x:c r="G88" s="11" t="str">
        <x:v>monthly</x:v>
      </x:c>
      <x:c r="H88" s="11" t="n">
        <x:v>32</x:v>
      </x:c>
      <x:c r="I88" s="11" t="str">
        <x:v>upper</x:v>
      </x:c>
      <x:c r="J88" s="11" t="str">
        <x:v>Payroll</x:v>
      </x:c>
      <x:c r="K88" s="11" t="str">
        <x:v>H11</x:v>
      </x:c>
      <x:c r="L88" s="11" t="str">
        <x:v>TER A band 32 upper</x:v>
      </x:c>
    </x:row>
    <x:row r="89">
      <x:c r="A89" s="11" t="str">
        <x:v>IDTERA</x:v>
      </x:c>
      <x:c r="B89" s="11" t="str">
        <x:v>ID</x:v>
      </x:c>
      <x:c r="C89" s="11" t="str">
        <x:v>2026-08</x:v>
      </x:c>
      <x:c r="D89" s="11" t="str">
        <x:v>2026-08-01</x:v>
      </x:c>
      <x:c r="E89" s="11" t="str"/>
      <x:c r="F89" s="11" t="str">
        <x:v>whole_income</x:v>
      </x:c>
      <x:c r="G89" s="11" t="str">
        <x:v>monthly</x:v>
      </x:c>
      <x:c r="H89" s="11" t="n">
        <x:v>32</x:v>
      </x:c>
      <x:c r="I89" s="11" t="str">
        <x:v>rate</x:v>
      </x:c>
      <x:c r="J89" s="11" t="str">
        <x:v>Payroll</x:v>
      </x:c>
      <x:c r="K89" s="11" t="str">
        <x:v>I11</x:v>
      </x:c>
      <x:c r="L89" s="11" t="str">
        <x:v>TER A band 32 rate</x:v>
      </x:c>
    </x:row>
    <x:row r="90">
      <x:c r="A90" s="11" t="str">
        <x:v>IDTERA</x:v>
      </x:c>
      <x:c r="B90" s="11" t="str">
        <x:v>ID</x:v>
      </x:c>
      <x:c r="C90" s="11" t="str">
        <x:v>2026-08</x:v>
      </x:c>
      <x:c r="D90" s="11" t="str">
        <x:v>2026-08-01</x:v>
      </x:c>
      <x:c r="E90" s="11" t="str"/>
      <x:c r="F90" s="11" t="str">
        <x:v>whole_income</x:v>
      </x:c>
      <x:c r="G90" s="11" t="str">
        <x:v>monthly</x:v>
      </x:c>
      <x:c r="H90" s="11" t="n">
        <x:v>33</x:v>
      </x:c>
      <x:c r="I90" s="11" t="str">
        <x:v>upper</x:v>
      </x:c>
      <x:c r="J90" s="11" t="str">
        <x:v>Payroll</x:v>
      </x:c>
      <x:c r="K90" s="11" t="str">
        <x:v>H12</x:v>
      </x:c>
      <x:c r="L90" s="11" t="str">
        <x:v>TER A band 33 upper</x:v>
      </x:c>
    </x:row>
    <x:row r="91">
      <x:c r="A91" s="11" t="str">
        <x:v>IDTERA</x:v>
      </x:c>
      <x:c r="B91" s="11" t="str">
        <x:v>ID</x:v>
      </x:c>
      <x:c r="C91" s="11" t="str">
        <x:v>2026-08</x:v>
      </x:c>
      <x:c r="D91" s="11" t="str">
        <x:v>2026-08-01</x:v>
      </x:c>
      <x:c r="E91" s="11" t="str"/>
      <x:c r="F91" s="11" t="str">
        <x:v>whole_income</x:v>
      </x:c>
      <x:c r="G91" s="11" t="str">
        <x:v>monthly</x:v>
      </x:c>
      <x:c r="H91" s="11" t="n">
        <x:v>33</x:v>
      </x:c>
      <x:c r="I91" s="11" t="str">
        <x:v>rate</x:v>
      </x:c>
      <x:c r="J91" s="11" t="str">
        <x:v>Payroll</x:v>
      </x:c>
      <x:c r="K91" s="11" t="str">
        <x:v>I12</x:v>
      </x:c>
      <x:c r="L91" s="11" t="str">
        <x:v>TER A band 33 rate</x:v>
      </x:c>
    </x:row>
    <x:row r="92">
      <x:c r="A92" s="11" t="str">
        <x:v>IDTERA</x:v>
      </x:c>
      <x:c r="B92" s="11" t="str">
        <x:v>ID</x:v>
      </x:c>
      <x:c r="C92" s="11" t="str">
        <x:v>2026-08</x:v>
      </x:c>
      <x:c r="D92" s="11" t="str">
        <x:v>2026-08-01</x:v>
      </x:c>
      <x:c r="E92" s="11" t="str"/>
      <x:c r="F92" s="11" t="str">
        <x:v>whole_income</x:v>
      </x:c>
      <x:c r="G92" s="11" t="str">
        <x:v>monthly</x:v>
      </x:c>
      <x:c r="H92" s="11" t="n">
        <x:v>34</x:v>
      </x:c>
      <x:c r="I92" s="11" t="str">
        <x:v>upper</x:v>
      </x:c>
      <x:c r="J92" s="11" t="str">
        <x:v>Payroll</x:v>
      </x:c>
      <x:c r="K92" s="11" t="str">
        <x:v>H13</x:v>
      </x:c>
      <x:c r="L92" s="11" t="str">
        <x:v>TER A band 34 upper</x:v>
      </x:c>
    </x:row>
    <x:row r="93">
      <x:c r="A93" s="11" t="str">
        <x:v>IDTERA</x:v>
      </x:c>
      <x:c r="B93" s="11" t="str">
        <x:v>ID</x:v>
      </x:c>
      <x:c r="C93" s="11" t="str">
        <x:v>2026-08</x:v>
      </x:c>
      <x:c r="D93" s="11" t="str">
        <x:v>2026-08-01</x:v>
      </x:c>
      <x:c r="E93" s="11" t="str"/>
      <x:c r="F93" s="11" t="str">
        <x:v>whole_income</x:v>
      </x:c>
      <x:c r="G93" s="11" t="str">
        <x:v>monthly</x:v>
      </x:c>
      <x:c r="H93" s="11" t="n">
        <x:v>34</x:v>
      </x:c>
      <x:c r="I93" s="11" t="str">
        <x:v>rate</x:v>
      </x:c>
      <x:c r="J93" s="11" t="str">
        <x:v>Payroll</x:v>
      </x:c>
      <x:c r="K93" s="11" t="str">
        <x:v>I13</x:v>
      </x:c>
      <x:c r="L93" s="11" t="str">
        <x:v>TER A band 34 rate</x:v>
      </x:c>
    </x:row>
    <x:row r="94">
      <x:c r="A94" s="11" t="str">
        <x:v>IDTERA</x:v>
      </x:c>
      <x:c r="B94" s="11" t="str">
        <x:v>ID</x:v>
      </x:c>
      <x:c r="C94" s="11" t="str">
        <x:v>2026-08</x:v>
      </x:c>
      <x:c r="D94" s="11" t="str">
        <x:v>2026-08-01</x:v>
      </x:c>
      <x:c r="E94" s="11" t="str"/>
      <x:c r="F94" s="11" t="str">
        <x:v>whole_income</x:v>
      </x:c>
      <x:c r="G94" s="11" t="str">
        <x:v>monthly</x:v>
      </x:c>
      <x:c r="H94" s="11" t="n">
        <x:v>35</x:v>
      </x:c>
      <x:c r="I94" s="11" t="str">
        <x:v>upper</x:v>
      </x:c>
      <x:c r="J94" s="11" t="str">
        <x:v>Payroll</x:v>
      </x:c>
      <x:c r="K94" s="11" t="str">
        <x:v>H14</x:v>
      </x:c>
      <x:c r="L94" s="11" t="str">
        <x:v>TER A band 35 upper</x:v>
      </x:c>
    </x:row>
    <x:row r="95">
      <x:c r="A95" s="11" t="str">
        <x:v>IDTERA</x:v>
      </x:c>
      <x:c r="B95" s="11" t="str">
        <x:v>ID</x:v>
      </x:c>
      <x:c r="C95" s="11" t="str">
        <x:v>2026-08</x:v>
      </x:c>
      <x:c r="D95" s="11" t="str">
        <x:v>2026-08-01</x:v>
      </x:c>
      <x:c r="E95" s="11" t="str"/>
      <x:c r="F95" s="11" t="str">
        <x:v>whole_income</x:v>
      </x:c>
      <x:c r="G95" s="11" t="str">
        <x:v>monthly</x:v>
      </x:c>
      <x:c r="H95" s="11" t="n">
        <x:v>35</x:v>
      </x:c>
      <x:c r="I95" s="11" t="str">
        <x:v>rate</x:v>
      </x:c>
      <x:c r="J95" s="11" t="str">
        <x:v>Payroll</x:v>
      </x:c>
      <x:c r="K95" s="11" t="str">
        <x:v>I14</x:v>
      </x:c>
      <x:c r="L95" s="11" t="str">
        <x:v>TER A band 35 rate</x:v>
      </x:c>
    </x:row>
    <x:row r="96">
      <x:c r="A96" s="11" t="str">
        <x:v>IDTERA</x:v>
      </x:c>
      <x:c r="B96" s="11" t="str">
        <x:v>ID</x:v>
      </x:c>
      <x:c r="C96" s="11" t="str">
        <x:v>2026-08</x:v>
      </x:c>
      <x:c r="D96" s="11" t="str">
        <x:v>2026-08-01</x:v>
      </x:c>
      <x:c r="E96" s="11" t="str"/>
      <x:c r="F96" s="11" t="str">
        <x:v>whole_income</x:v>
      </x:c>
      <x:c r="G96" s="11" t="str">
        <x:v>monthly</x:v>
      </x:c>
      <x:c r="H96" s="11" t="n">
        <x:v>36</x:v>
      </x:c>
      <x:c r="I96" s="11" t="str">
        <x:v>upper</x:v>
      </x:c>
      <x:c r="J96" s="11" t="str">
        <x:v>Payroll</x:v>
      </x:c>
      <x:c r="K96" s="11" t="str">
        <x:v>H15</x:v>
      </x:c>
      <x:c r="L96" s="11" t="str">
        <x:v>TER A band 36 upper</x:v>
      </x:c>
    </x:row>
    <x:row r="97">
      <x:c r="A97" s="11" t="str">
        <x:v>IDTERA</x:v>
      </x:c>
      <x:c r="B97" s="11" t="str">
        <x:v>ID</x:v>
      </x:c>
      <x:c r="C97" s="11" t="str">
        <x:v>2026-08</x:v>
      </x:c>
      <x:c r="D97" s="11" t="str">
        <x:v>2026-08-01</x:v>
      </x:c>
      <x:c r="E97" s="11" t="str"/>
      <x:c r="F97" s="11" t="str">
        <x:v>whole_income</x:v>
      </x:c>
      <x:c r="G97" s="11" t="str">
        <x:v>monthly</x:v>
      </x:c>
      <x:c r="H97" s="11" t="n">
        <x:v>36</x:v>
      </x:c>
      <x:c r="I97" s="11" t="str">
        <x:v>rate</x:v>
      </x:c>
      <x:c r="J97" s="11" t="str">
        <x:v>Payroll</x:v>
      </x:c>
      <x:c r="K97" s="11" t="str">
        <x:v>I15</x:v>
      </x:c>
      <x:c r="L97" s="11" t="str">
        <x:v>TER A band 36 rate</x:v>
      </x:c>
    </x:row>
    <x:row r="98">
      <x:c r="A98" s="11" t="str">
        <x:v>IDTERA</x:v>
      </x:c>
      <x:c r="B98" s="11" t="str">
        <x:v>ID</x:v>
      </x:c>
      <x:c r="C98" s="11" t="str">
        <x:v>2026-08</x:v>
      </x:c>
      <x:c r="D98" s="11" t="str">
        <x:v>2026-08-01</x:v>
      </x:c>
      <x:c r="E98" s="11" t="str"/>
      <x:c r="F98" s="11" t="str">
        <x:v>whole_income</x:v>
      </x:c>
      <x:c r="G98" s="11" t="str">
        <x:v>monthly</x:v>
      </x:c>
      <x:c r="H98" s="11" t="n">
        <x:v>37</x:v>
      </x:c>
      <x:c r="I98" s="11" t="str">
        <x:v>upper</x:v>
      </x:c>
      <x:c r="J98" s="11" t="str">
        <x:v>Payroll</x:v>
      </x:c>
      <x:c r="K98" s="11" t="str">
        <x:v>H16</x:v>
      </x:c>
      <x:c r="L98" s="11" t="str">
        <x:v>TER A band 37 upper</x:v>
      </x:c>
    </x:row>
    <x:row r="99">
      <x:c r="A99" s="11" t="str">
        <x:v>IDTERA</x:v>
      </x:c>
      <x:c r="B99" s="11" t="str">
        <x:v>ID</x:v>
      </x:c>
      <x:c r="C99" s="11" t="str">
        <x:v>2026-08</x:v>
      </x:c>
      <x:c r="D99" s="11" t="str">
        <x:v>2026-08-01</x:v>
      </x:c>
      <x:c r="E99" s="11" t="str"/>
      <x:c r="F99" s="11" t="str">
        <x:v>whole_income</x:v>
      </x:c>
      <x:c r="G99" s="11" t="str">
        <x:v>monthly</x:v>
      </x:c>
      <x:c r="H99" s="11" t="n">
        <x:v>37</x:v>
      </x:c>
      <x:c r="I99" s="11" t="str">
        <x:v>rate</x:v>
      </x:c>
      <x:c r="J99" s="11" t="str">
        <x:v>Payroll</x:v>
      </x:c>
      <x:c r="K99" s="11" t="str">
        <x:v>I16</x:v>
      </x:c>
      <x:c r="L99" s="11" t="str">
        <x:v>TER A band 37 rate</x:v>
      </x:c>
    </x:row>
    <x:row r="100">
      <x:c r="A100" s="11" t="str">
        <x:v>IDTERA</x:v>
      </x:c>
      <x:c r="B100" s="11" t="str">
        <x:v>ID</x:v>
      </x:c>
      <x:c r="C100" s="11" t="str">
        <x:v>2026-08</x:v>
      </x:c>
      <x:c r="D100" s="11" t="str">
        <x:v>2026-08-01</x:v>
      </x:c>
      <x:c r="E100" s="11" t="str"/>
      <x:c r="F100" s="11" t="str">
        <x:v>whole_income</x:v>
      </x:c>
      <x:c r="G100" s="11" t="str">
        <x:v>monthly</x:v>
      </x:c>
      <x:c r="H100" s="11" t="n">
        <x:v>38</x:v>
      </x:c>
      <x:c r="I100" s="11" t="str">
        <x:v>upper</x:v>
      </x:c>
      <x:c r="J100" s="11" t="str">
        <x:v>Payroll</x:v>
      </x:c>
      <x:c r="K100" s="11" t="str">
        <x:v>H17</x:v>
      </x:c>
      <x:c r="L100" s="11" t="str">
        <x:v>TER A band 38 upper</x:v>
      </x:c>
    </x:row>
    <x:row r="101">
      <x:c r="A101" s="11" t="str">
        <x:v>IDTERA</x:v>
      </x:c>
      <x:c r="B101" s="11" t="str">
        <x:v>ID</x:v>
      </x:c>
      <x:c r="C101" s="11" t="str">
        <x:v>2026-08</x:v>
      </x:c>
      <x:c r="D101" s="11" t="str">
        <x:v>2026-08-01</x:v>
      </x:c>
      <x:c r="E101" s="11" t="str"/>
      <x:c r="F101" s="11" t="str">
        <x:v>whole_income</x:v>
      </x:c>
      <x:c r="G101" s="11" t="str">
        <x:v>monthly</x:v>
      </x:c>
      <x:c r="H101" s="11" t="n">
        <x:v>38</x:v>
      </x:c>
      <x:c r="I101" s="11" t="str">
        <x:v>rate</x:v>
      </x:c>
      <x:c r="J101" s="11" t="str">
        <x:v>Payroll</x:v>
      </x:c>
      <x:c r="K101" s="11" t="str">
        <x:v>I17</x:v>
      </x:c>
      <x:c r="L101" s="11" t="str">
        <x:v>TER A band 38 rate</x:v>
      </x:c>
    </x:row>
    <x:row r="102">
      <x:c r="A102" s="11" t="str">
        <x:v>IDTERA</x:v>
      </x:c>
      <x:c r="B102" s="11" t="str">
        <x:v>ID</x:v>
      </x:c>
      <x:c r="C102" s="11" t="str">
        <x:v>2026-08</x:v>
      </x:c>
      <x:c r="D102" s="11" t="str">
        <x:v>2026-08-01</x:v>
      </x:c>
      <x:c r="E102" s="11" t="str"/>
      <x:c r="F102" s="11" t="str">
        <x:v>whole_income</x:v>
      </x:c>
      <x:c r="G102" s="11" t="str">
        <x:v>monthly</x:v>
      </x:c>
      <x:c r="H102" s="11" t="n">
        <x:v>39</x:v>
      </x:c>
      <x:c r="I102" s="11" t="str">
        <x:v>upper</x:v>
      </x:c>
      <x:c r="J102" s="11" t="str">
        <x:v>Payroll</x:v>
      </x:c>
      <x:c r="K102" s="11" t="str">
        <x:v>H18</x:v>
      </x:c>
      <x:c r="L102" s="11" t="str">
        <x:v>TER A band 39 upper</x:v>
      </x:c>
    </x:row>
    <x:row r="103">
      <x:c r="A103" s="11" t="str">
        <x:v>IDTERA</x:v>
      </x:c>
      <x:c r="B103" s="11" t="str">
        <x:v>ID</x:v>
      </x:c>
      <x:c r="C103" s="11" t="str">
        <x:v>2026-08</x:v>
      </x:c>
      <x:c r="D103" s="11" t="str">
        <x:v>2026-08-01</x:v>
      </x:c>
      <x:c r="E103" s="11" t="str"/>
      <x:c r="F103" s="11" t="str">
        <x:v>whole_income</x:v>
      </x:c>
      <x:c r="G103" s="11" t="str">
        <x:v>monthly</x:v>
      </x:c>
      <x:c r="H103" s="11" t="n">
        <x:v>39</x:v>
      </x:c>
      <x:c r="I103" s="11" t="str">
        <x:v>rate</x:v>
      </x:c>
      <x:c r="J103" s="11" t="str">
        <x:v>Payroll</x:v>
      </x:c>
      <x:c r="K103" s="11" t="str">
        <x:v>I18</x:v>
      </x:c>
      <x:c r="L103" s="11" t="str">
        <x:v>TER A band 39 rate</x:v>
      </x:c>
    </x:row>
    <x:row r="104">
      <x:c r="A104" s="11" t="str">
        <x:v>IDTERA</x:v>
      </x:c>
      <x:c r="B104" s="11" t="str">
        <x:v>ID</x:v>
      </x:c>
      <x:c r="C104" s="11" t="str">
        <x:v>2026-08</x:v>
      </x:c>
      <x:c r="D104" s="11" t="str">
        <x:v>2026-08-01</x:v>
      </x:c>
      <x:c r="E104" s="11" t="str"/>
      <x:c r="F104" s="11" t="str">
        <x:v>whole_income</x:v>
      </x:c>
      <x:c r="G104" s="11" t="str">
        <x:v>monthly</x:v>
      </x:c>
      <x:c r="H104" s="11" t="n">
        <x:v>40</x:v>
      </x:c>
      <x:c r="I104" s="11" t="str">
        <x:v>upper</x:v>
      </x:c>
      <x:c r="J104" s="11" t="str">
        <x:v>Payroll</x:v>
      </x:c>
      <x:c r="K104" s="11" t="str">
        <x:v>H19</x:v>
      </x:c>
      <x:c r="L104" s="11" t="str">
        <x:v>TER A band 40 upper</x:v>
      </x:c>
    </x:row>
    <x:row r="105">
      <x:c r="A105" s="11" t="str">
        <x:v>IDTERA</x:v>
      </x:c>
      <x:c r="B105" s="11" t="str">
        <x:v>ID</x:v>
      </x:c>
      <x:c r="C105" s="11" t="str">
        <x:v>2026-08</x:v>
      </x:c>
      <x:c r="D105" s="11" t="str">
        <x:v>2026-08-01</x:v>
      </x:c>
      <x:c r="E105" s="11" t="str"/>
      <x:c r="F105" s="11" t="str">
        <x:v>whole_income</x:v>
      </x:c>
      <x:c r="G105" s="11" t="str">
        <x:v>monthly</x:v>
      </x:c>
      <x:c r="H105" s="11" t="n">
        <x:v>40</x:v>
      </x:c>
      <x:c r="I105" s="11" t="str">
        <x:v>rate</x:v>
      </x:c>
      <x:c r="J105" s="11" t="str">
        <x:v>Payroll</x:v>
      </x:c>
      <x:c r="K105" s="11" t="str">
        <x:v>I19</x:v>
      </x:c>
      <x:c r="L105" s="11" t="str">
        <x:v>TER A band 40 rate</x:v>
      </x:c>
    </x:row>
    <x:row r="106">
      <x:c r="A106" s="11" t="str">
        <x:v>IDTERA</x:v>
      </x:c>
      <x:c r="B106" s="11" t="str">
        <x:v>ID</x:v>
      </x:c>
      <x:c r="C106" s="11" t="str">
        <x:v>2026-08</x:v>
      </x:c>
      <x:c r="D106" s="11" t="str">
        <x:v>2026-08-01</x:v>
      </x:c>
      <x:c r="E106" s="11" t="str"/>
      <x:c r="F106" s="11" t="str">
        <x:v>whole_income</x:v>
      </x:c>
      <x:c r="G106" s="11" t="str">
        <x:v>monthly</x:v>
      </x:c>
      <x:c r="H106" s="11" t="n">
        <x:v>41</x:v>
      </x:c>
      <x:c r="I106" s="11" t="str">
        <x:v>upper</x:v>
      </x:c>
      <x:c r="J106" s="11" t="str">
        <x:v>Payroll</x:v>
      </x:c>
      <x:c r="K106" s="11" t="str">
        <x:v>H20</x:v>
      </x:c>
      <x:c r="L106" s="11" t="str">
        <x:v>TER A band 41 upper</x:v>
      </x:c>
    </x:row>
    <x:row r="107">
      <x:c r="A107" s="11" t="str">
        <x:v>IDTERA</x:v>
      </x:c>
      <x:c r="B107" s="11" t="str">
        <x:v>ID</x:v>
      </x:c>
      <x:c r="C107" s="11" t="str">
        <x:v>2026-08</x:v>
      </x:c>
      <x:c r="D107" s="11" t="str">
        <x:v>2026-08-01</x:v>
      </x:c>
      <x:c r="E107" s="11" t="str"/>
      <x:c r="F107" s="11" t="str">
        <x:v>whole_income</x:v>
      </x:c>
      <x:c r="G107" s="11" t="str">
        <x:v>monthly</x:v>
      </x:c>
      <x:c r="H107" s="11" t="n">
        <x:v>41</x:v>
      </x:c>
      <x:c r="I107" s="11" t="str">
        <x:v>rate</x:v>
      </x:c>
      <x:c r="J107" s="11" t="str">
        <x:v>Payroll</x:v>
      </x:c>
      <x:c r="K107" s="11" t="str">
        <x:v>I20</x:v>
      </x:c>
      <x:c r="L107" s="11" t="str">
        <x:v>TER A band 41 rate</x:v>
      </x:c>
    </x:row>
    <x:row r="108">
      <x:c r="A108" s="11" t="str">
        <x:v>IDTERA</x:v>
      </x:c>
      <x:c r="B108" s="11" t="str">
        <x:v>ID</x:v>
      </x:c>
      <x:c r="C108" s="11" t="str">
        <x:v>2026-08</x:v>
      </x:c>
      <x:c r="D108" s="11" t="str">
        <x:v>2026-08-01</x:v>
      </x:c>
      <x:c r="E108" s="11" t="str"/>
      <x:c r="F108" s="11" t="str">
        <x:v>whole_income</x:v>
      </x:c>
      <x:c r="G108" s="11" t="str">
        <x:v>monthly</x:v>
      </x:c>
      <x:c r="H108" s="11" t="n">
        <x:v>42</x:v>
      </x:c>
      <x:c r="I108" s="11" t="str">
        <x:v>upper</x:v>
      </x:c>
      <x:c r="J108" s="11" t="str">
        <x:v>Payroll</x:v>
      </x:c>
      <x:c r="K108" s="11" t="str">
        <x:v>H21</x:v>
      </x:c>
      <x:c r="L108" s="11" t="str">
        <x:v>TER A band 42 upper</x:v>
      </x:c>
    </x:row>
    <x:row r="109">
      <x:c r="A109" s="11" t="str">
        <x:v>IDTERA</x:v>
      </x:c>
      <x:c r="B109" s="11" t="str">
        <x:v>ID</x:v>
      </x:c>
      <x:c r="C109" s="11" t="str">
        <x:v>2026-08</x:v>
      </x:c>
      <x:c r="D109" s="11" t="str">
        <x:v>2026-08-01</x:v>
      </x:c>
      <x:c r="E109" s="11" t="str"/>
      <x:c r="F109" s="11" t="str">
        <x:v>whole_income</x:v>
      </x:c>
      <x:c r="G109" s="11" t="str">
        <x:v>monthly</x:v>
      </x:c>
      <x:c r="H109" s="11" t="n">
        <x:v>42</x:v>
      </x:c>
      <x:c r="I109" s="11" t="str">
        <x:v>rate</x:v>
      </x:c>
      <x:c r="J109" s="11" t="str">
        <x:v>Payroll</x:v>
      </x:c>
      <x:c r="K109" s="11" t="str">
        <x:v>I21</x:v>
      </x:c>
      <x:c r="L109" s="11" t="str">
        <x:v>TER A band 42 rate</x:v>
      </x:c>
    </x:row>
    <x:row r="110">
      <x:c r="A110" s="11" t="str">
        <x:v>IDTERA</x:v>
      </x:c>
      <x:c r="B110" s="11" t="str">
        <x:v>ID</x:v>
      </x:c>
      <x:c r="C110" s="11" t="str">
        <x:v>2026-08</x:v>
      </x:c>
      <x:c r="D110" s="11" t="str">
        <x:v>2026-08-01</x:v>
      </x:c>
      <x:c r="E110" s="11" t="str"/>
      <x:c r="F110" s="11" t="str">
        <x:v>whole_income</x:v>
      </x:c>
      <x:c r="G110" s="11" t="str">
        <x:v>monthly</x:v>
      </x:c>
      <x:c r="H110" s="11" t="n">
        <x:v>43</x:v>
      </x:c>
      <x:c r="I110" s="11" t="str">
        <x:v>upper</x:v>
      </x:c>
      <x:c r="J110" s="11" t="str">
        <x:v>Payroll</x:v>
      </x:c>
      <x:c r="K110" s="11" t="str">
        <x:v>H22</x:v>
      </x:c>
      <x:c r="L110" s="11" t="str">
        <x:v>TER A band 43 upper</x:v>
      </x:c>
    </x:row>
    <x:row r="111">
      <x:c r="A111" s="11" t="str">
        <x:v>IDTERA</x:v>
      </x:c>
      <x:c r="B111" s="11" t="str">
        <x:v>ID</x:v>
      </x:c>
      <x:c r="C111" s="11" t="str">
        <x:v>2026-08</x:v>
      </x:c>
      <x:c r="D111" s="11" t="str">
        <x:v>2026-08-01</x:v>
      </x:c>
      <x:c r="E111" s="11" t="str"/>
      <x:c r="F111" s="11" t="str">
        <x:v>whole_income</x:v>
      </x:c>
      <x:c r="G111" s="11" t="str">
        <x:v>monthly</x:v>
      </x:c>
      <x:c r="H111" s="11" t="n">
        <x:v>43</x:v>
      </x:c>
      <x:c r="I111" s="11" t="str">
        <x:v>rate</x:v>
      </x:c>
      <x:c r="J111" s="11" t="str">
        <x:v>Payroll</x:v>
      </x:c>
      <x:c r="K111" s="11" t="str">
        <x:v>I22</x:v>
      </x:c>
      <x:c r="L111" s="11" t="str">
        <x:v>TER A band 43 rate</x:v>
      </x:c>
    </x:row>
    <x:row r="112">
      <x:c r="A112" s="11" t="str">
        <x:v>IDTERA</x:v>
      </x:c>
      <x:c r="B112" s="11" t="str">
        <x:v>ID</x:v>
      </x:c>
      <x:c r="C112" s="11" t="str">
        <x:v>2026-08</x:v>
      </x:c>
      <x:c r="D112" s="11" t="str">
        <x:v>2026-08-01</x:v>
      </x:c>
      <x:c r="E112" s="11" t="str"/>
      <x:c r="F112" s="11" t="str">
        <x:v>whole_income</x:v>
      </x:c>
      <x:c r="G112" s="11" t="str">
        <x:v>monthly</x:v>
      </x:c>
      <x:c r="H112" s="11" t="n">
        <x:v>44</x:v>
      </x:c>
      <x:c r="I112" s="11" t="str">
        <x:v>upper</x:v>
      </x:c>
      <x:c r="J112" s="11" t="str">
        <x:v>Payroll</x:v>
      </x:c>
      <x:c r="K112" s="11" t="str">
        <x:v>H23</x:v>
      </x:c>
      <x:c r="L112" s="11" t="str">
        <x:v>TER A band 44 upper</x:v>
      </x:c>
    </x:row>
    <x:row r="113">
      <x:c r="A113" s="11" t="str">
        <x:v>IDTERA</x:v>
      </x:c>
      <x:c r="B113" s="11" t="str">
        <x:v>ID</x:v>
      </x:c>
      <x:c r="C113" s="11" t="str">
        <x:v>2026-08</x:v>
      </x:c>
      <x:c r="D113" s="11" t="str">
        <x:v>2026-08-01</x:v>
      </x:c>
      <x:c r="E113" s="11" t="str"/>
      <x:c r="F113" s="11" t="str">
        <x:v>whole_income</x:v>
      </x:c>
      <x:c r="G113" s="11" t="str">
        <x:v>monthly</x:v>
      </x:c>
      <x:c r="H113" s="11" t="n">
        <x:v>44</x:v>
      </x:c>
      <x:c r="I113" s="11" t="str">
        <x:v>rate</x:v>
      </x:c>
      <x:c r="J113" s="11" t="str">
        <x:v>Payroll</x:v>
      </x:c>
      <x:c r="K113" s="11" t="str">
        <x:v>I23</x:v>
      </x:c>
      <x:c r="L113" s="11" t="str">
        <x:v>TER A band 44 rate</x:v>
      </x:c>
    </x:row>
    <x:row r="114">
      <x:c r="A114" s="11" t="str">
        <x:v>IDTERB</x:v>
      </x:c>
      <x:c r="B114" s="11" t="str">
        <x:v>ID</x:v>
      </x:c>
      <x:c r="C114" s="11" t="str">
        <x:v>2026-08</x:v>
      </x:c>
      <x:c r="D114" s="11" t="str">
        <x:v>2026-08-01</x:v>
      </x:c>
      <x:c r="E114" s="11" t="str"/>
      <x:c r="F114" s="11" t="str">
        <x:v>whole_income</x:v>
      </x:c>
      <x:c r="G114" s="11" t="str">
        <x:v>monthly</x:v>
      </x:c>
      <x:c r="H114" s="11" t="n">
        <x:v>1</x:v>
      </x:c>
      <x:c r="I114" s="11" t="str">
        <x:v>upper</x:v>
      </x:c>
      <x:c r="J114" s="11" t="str">
        <x:v>Payroll</x:v>
      </x:c>
      <x:c r="K114" s="11" t="str">
        <x:v>L10</x:v>
      </x:c>
      <x:c r="L114" s="11" t="str">
        <x:v>TER B band 1 upper</x:v>
      </x:c>
    </x:row>
    <x:row r="115">
      <x:c r="A115" s="11" t="str">
        <x:v>IDTERB</x:v>
      </x:c>
      <x:c r="B115" s="11" t="str">
        <x:v>ID</x:v>
      </x:c>
      <x:c r="C115" s="11" t="str">
        <x:v>2026-08</x:v>
      </x:c>
      <x:c r="D115" s="11" t="str">
        <x:v>2026-08-01</x:v>
      </x:c>
      <x:c r="E115" s="11" t="str"/>
      <x:c r="F115" s="11" t="str">
        <x:v>whole_income</x:v>
      </x:c>
      <x:c r="G115" s="11" t="str">
        <x:v>monthly</x:v>
      </x:c>
      <x:c r="H115" s="11" t="n">
        <x:v>1</x:v>
      </x:c>
      <x:c r="I115" s="11" t="str">
        <x:v>rate</x:v>
      </x:c>
      <x:c r="J115" s="11" t="str">
        <x:v>Payroll</x:v>
      </x:c>
      <x:c r="K115" s="11" t="str">
        <x:v>M10</x:v>
      </x:c>
      <x:c r="L115" s="11" t="str">
        <x:v>TER B band 1 rate</x:v>
      </x:c>
    </x:row>
    <x:row r="116">
      <x:c r="A116" s="11" t="str">
        <x:v>IDTERB</x:v>
      </x:c>
      <x:c r="B116" s="11" t="str">
        <x:v>ID</x:v>
      </x:c>
      <x:c r="C116" s="11" t="str">
        <x:v>2026-08</x:v>
      </x:c>
      <x:c r="D116" s="11" t="str">
        <x:v>2026-08-01</x:v>
      </x:c>
      <x:c r="E116" s="11" t="str"/>
      <x:c r="F116" s="11" t="str">
        <x:v>whole_income</x:v>
      </x:c>
      <x:c r="G116" s="11" t="str">
        <x:v>monthly</x:v>
      </x:c>
      <x:c r="H116" s="11" t="n">
        <x:v>2</x:v>
      </x:c>
      <x:c r="I116" s="11" t="str">
        <x:v>upper</x:v>
      </x:c>
      <x:c r="J116" s="11" t="str">
        <x:v>Payroll</x:v>
      </x:c>
      <x:c r="K116" s="11" t="str">
        <x:v>L11</x:v>
      </x:c>
      <x:c r="L116" s="11" t="str">
        <x:v>TER B band 2 upper</x:v>
      </x:c>
    </x:row>
    <x:row r="117">
      <x:c r="A117" s="11" t="str">
        <x:v>IDTERB</x:v>
      </x:c>
      <x:c r="B117" s="11" t="str">
        <x:v>ID</x:v>
      </x:c>
      <x:c r="C117" s="11" t="str">
        <x:v>2026-08</x:v>
      </x:c>
      <x:c r="D117" s="11" t="str">
        <x:v>2026-08-01</x:v>
      </x:c>
      <x:c r="E117" s="11" t="str"/>
      <x:c r="F117" s="11" t="str">
        <x:v>whole_income</x:v>
      </x:c>
      <x:c r="G117" s="11" t="str">
        <x:v>monthly</x:v>
      </x:c>
      <x:c r="H117" s="11" t="n">
        <x:v>2</x:v>
      </x:c>
      <x:c r="I117" s="11" t="str">
        <x:v>rate</x:v>
      </x:c>
      <x:c r="J117" s="11" t="str">
        <x:v>Payroll</x:v>
      </x:c>
      <x:c r="K117" s="11" t="str">
        <x:v>M11</x:v>
      </x:c>
      <x:c r="L117" s="11" t="str">
        <x:v>TER B band 2 rate</x:v>
      </x:c>
    </x:row>
    <x:row r="118">
      <x:c r="A118" s="11" t="str">
        <x:v>IDTERB</x:v>
      </x:c>
      <x:c r="B118" s="11" t="str">
        <x:v>ID</x:v>
      </x:c>
      <x:c r="C118" s="11" t="str">
        <x:v>2026-08</x:v>
      </x:c>
      <x:c r="D118" s="11" t="str">
        <x:v>2026-08-01</x:v>
      </x:c>
      <x:c r="E118" s="11" t="str"/>
      <x:c r="F118" s="11" t="str">
        <x:v>whole_income</x:v>
      </x:c>
      <x:c r="G118" s="11" t="str">
        <x:v>monthly</x:v>
      </x:c>
      <x:c r="H118" s="11" t="n">
        <x:v>3</x:v>
      </x:c>
      <x:c r="I118" s="11" t="str">
        <x:v>upper</x:v>
      </x:c>
      <x:c r="J118" s="11" t="str">
        <x:v>Payroll</x:v>
      </x:c>
      <x:c r="K118" s="11" t="str">
        <x:v>L12</x:v>
      </x:c>
      <x:c r="L118" s="11" t="str">
        <x:v>TER B band 3 upper</x:v>
      </x:c>
    </x:row>
    <x:row r="119">
      <x:c r="A119" s="11" t="str">
        <x:v>IDTERB</x:v>
      </x:c>
      <x:c r="B119" s="11" t="str">
        <x:v>ID</x:v>
      </x:c>
      <x:c r="C119" s="11" t="str">
        <x:v>2026-08</x:v>
      </x:c>
      <x:c r="D119" s="11" t="str">
        <x:v>2026-08-01</x:v>
      </x:c>
      <x:c r="E119" s="11" t="str"/>
      <x:c r="F119" s="11" t="str">
        <x:v>whole_income</x:v>
      </x:c>
      <x:c r="G119" s="11" t="str">
        <x:v>monthly</x:v>
      </x:c>
      <x:c r="H119" s="11" t="n">
        <x:v>3</x:v>
      </x:c>
      <x:c r="I119" s="11" t="str">
        <x:v>rate</x:v>
      </x:c>
      <x:c r="J119" s="11" t="str">
        <x:v>Payroll</x:v>
      </x:c>
      <x:c r="K119" s="11" t="str">
        <x:v>M12</x:v>
      </x:c>
      <x:c r="L119" s="11" t="str">
        <x:v>TER B band 3 rate</x:v>
      </x:c>
    </x:row>
    <x:row r="120">
      <x:c r="A120" s="11" t="str">
        <x:v>IDTERB</x:v>
      </x:c>
      <x:c r="B120" s="11" t="str">
        <x:v>ID</x:v>
      </x:c>
      <x:c r="C120" s="11" t="str">
        <x:v>2026-08</x:v>
      </x:c>
      <x:c r="D120" s="11" t="str">
        <x:v>2026-08-01</x:v>
      </x:c>
      <x:c r="E120" s="11" t="str"/>
      <x:c r="F120" s="11" t="str">
        <x:v>whole_income</x:v>
      </x:c>
      <x:c r="G120" s="11" t="str">
        <x:v>monthly</x:v>
      </x:c>
      <x:c r="H120" s="11" t="n">
        <x:v>4</x:v>
      </x:c>
      <x:c r="I120" s="11" t="str">
        <x:v>upper</x:v>
      </x:c>
      <x:c r="J120" s="11" t="str">
        <x:v>Payroll</x:v>
      </x:c>
      <x:c r="K120" s="11" t="str">
        <x:v>L13</x:v>
      </x:c>
      <x:c r="L120" s="11" t="str">
        <x:v>TER B band 4 upper</x:v>
      </x:c>
    </x:row>
    <x:row r="121">
      <x:c r="A121" s="11" t="str">
        <x:v>IDTERB</x:v>
      </x:c>
      <x:c r="B121" s="11" t="str">
        <x:v>ID</x:v>
      </x:c>
      <x:c r="C121" s="11" t="str">
        <x:v>2026-08</x:v>
      </x:c>
      <x:c r="D121" s="11" t="str">
        <x:v>2026-08-01</x:v>
      </x:c>
      <x:c r="E121" s="11" t="str"/>
      <x:c r="F121" s="11" t="str">
        <x:v>whole_income</x:v>
      </x:c>
      <x:c r="G121" s="11" t="str">
        <x:v>monthly</x:v>
      </x:c>
      <x:c r="H121" s="11" t="n">
        <x:v>4</x:v>
      </x:c>
      <x:c r="I121" s="11" t="str">
        <x:v>rate</x:v>
      </x:c>
      <x:c r="J121" s="11" t="str">
        <x:v>Payroll</x:v>
      </x:c>
      <x:c r="K121" s="11" t="str">
        <x:v>M13</x:v>
      </x:c>
      <x:c r="L121" s="11" t="str">
        <x:v>TER B band 4 rate</x:v>
      </x:c>
    </x:row>
    <x:row r="122">
      <x:c r="A122" s="11" t="str">
        <x:v>IDTERB</x:v>
      </x:c>
      <x:c r="B122" s="11" t="str">
        <x:v>ID</x:v>
      </x:c>
      <x:c r="C122" s="11" t="str">
        <x:v>2026-08</x:v>
      </x:c>
      <x:c r="D122" s="11" t="str">
        <x:v>2026-08-01</x:v>
      </x:c>
      <x:c r="E122" s="11" t="str"/>
      <x:c r="F122" s="11" t="str">
        <x:v>whole_income</x:v>
      </x:c>
      <x:c r="G122" s="11" t="str">
        <x:v>monthly</x:v>
      </x:c>
      <x:c r="H122" s="11" t="n">
        <x:v>5</x:v>
      </x:c>
      <x:c r="I122" s="11" t="str">
        <x:v>upper</x:v>
      </x:c>
      <x:c r="J122" s="11" t="str">
        <x:v>Payroll</x:v>
      </x:c>
      <x:c r="K122" s="11" t="str">
        <x:v>L14</x:v>
      </x:c>
      <x:c r="L122" s="11" t="str">
        <x:v>TER B band 5 upper</x:v>
      </x:c>
    </x:row>
    <x:row r="123">
      <x:c r="A123" s="11" t="str">
        <x:v>IDTERB</x:v>
      </x:c>
      <x:c r="B123" s="11" t="str">
        <x:v>ID</x:v>
      </x:c>
      <x:c r="C123" s="11" t="str">
        <x:v>2026-08</x:v>
      </x:c>
      <x:c r="D123" s="11" t="str">
        <x:v>2026-08-01</x:v>
      </x:c>
      <x:c r="E123" s="11" t="str"/>
      <x:c r="F123" s="11" t="str">
        <x:v>whole_income</x:v>
      </x:c>
      <x:c r="G123" s="11" t="str">
        <x:v>monthly</x:v>
      </x:c>
      <x:c r="H123" s="11" t="n">
        <x:v>5</x:v>
      </x:c>
      <x:c r="I123" s="11" t="str">
        <x:v>rate</x:v>
      </x:c>
      <x:c r="J123" s="11" t="str">
        <x:v>Payroll</x:v>
      </x:c>
      <x:c r="K123" s="11" t="str">
        <x:v>M14</x:v>
      </x:c>
      <x:c r="L123" s="11" t="str">
        <x:v>TER B band 5 rate</x:v>
      </x:c>
    </x:row>
    <x:row r="124">
      <x:c r="A124" s="11" t="str">
        <x:v>IDTERB</x:v>
      </x:c>
      <x:c r="B124" s="11" t="str">
        <x:v>ID</x:v>
      </x:c>
      <x:c r="C124" s="11" t="str">
        <x:v>2026-08</x:v>
      </x:c>
      <x:c r="D124" s="11" t="str">
        <x:v>2026-08-01</x:v>
      </x:c>
      <x:c r="E124" s="11" t="str"/>
      <x:c r="F124" s="11" t="str">
        <x:v>whole_income</x:v>
      </x:c>
      <x:c r="G124" s="11" t="str">
        <x:v>monthly</x:v>
      </x:c>
      <x:c r="H124" s="11" t="n">
        <x:v>6</x:v>
      </x:c>
      <x:c r="I124" s="11" t="str">
        <x:v>upper</x:v>
      </x:c>
      <x:c r="J124" s="11" t="str">
        <x:v>Payroll</x:v>
      </x:c>
      <x:c r="K124" s="11" t="str">
        <x:v>L15</x:v>
      </x:c>
      <x:c r="L124" s="11" t="str">
        <x:v>TER B band 6 upper</x:v>
      </x:c>
    </x:row>
    <x:row r="125">
      <x:c r="A125" s="11" t="str">
        <x:v>IDTERB</x:v>
      </x:c>
      <x:c r="B125" s="11" t="str">
        <x:v>ID</x:v>
      </x:c>
      <x:c r="C125" s="11" t="str">
        <x:v>2026-08</x:v>
      </x:c>
      <x:c r="D125" s="11" t="str">
        <x:v>2026-08-01</x:v>
      </x:c>
      <x:c r="E125" s="11" t="str"/>
      <x:c r="F125" s="11" t="str">
        <x:v>whole_income</x:v>
      </x:c>
      <x:c r="G125" s="11" t="str">
        <x:v>monthly</x:v>
      </x:c>
      <x:c r="H125" s="11" t="n">
        <x:v>6</x:v>
      </x:c>
      <x:c r="I125" s="11" t="str">
        <x:v>rate</x:v>
      </x:c>
      <x:c r="J125" s="11" t="str">
        <x:v>Payroll</x:v>
      </x:c>
      <x:c r="K125" s="11" t="str">
        <x:v>M15</x:v>
      </x:c>
      <x:c r="L125" s="11" t="str">
        <x:v>TER B band 6 rate</x:v>
      </x:c>
    </x:row>
    <x:row r="126">
      <x:c r="A126" s="11" t="str">
        <x:v>IDTERB</x:v>
      </x:c>
      <x:c r="B126" s="11" t="str">
        <x:v>ID</x:v>
      </x:c>
      <x:c r="C126" s="11" t="str">
        <x:v>2026-08</x:v>
      </x:c>
      <x:c r="D126" s="11" t="str">
        <x:v>2026-08-01</x:v>
      </x:c>
      <x:c r="E126" s="11" t="str"/>
      <x:c r="F126" s="11" t="str">
        <x:v>whole_income</x:v>
      </x:c>
      <x:c r="G126" s="11" t="str">
        <x:v>monthly</x:v>
      </x:c>
      <x:c r="H126" s="11" t="n">
        <x:v>7</x:v>
      </x:c>
      <x:c r="I126" s="11" t="str">
        <x:v>upper</x:v>
      </x:c>
      <x:c r="J126" s="11" t="str">
        <x:v>Payroll</x:v>
      </x:c>
      <x:c r="K126" s="11" t="str">
        <x:v>L16</x:v>
      </x:c>
      <x:c r="L126" s="11" t="str">
        <x:v>TER B band 7 upper</x:v>
      </x:c>
    </x:row>
    <x:row r="127">
      <x:c r="A127" s="11" t="str">
        <x:v>IDTERB</x:v>
      </x:c>
      <x:c r="B127" s="11" t="str">
        <x:v>ID</x:v>
      </x:c>
      <x:c r="C127" s="11" t="str">
        <x:v>2026-08</x:v>
      </x:c>
      <x:c r="D127" s="11" t="str">
        <x:v>2026-08-01</x:v>
      </x:c>
      <x:c r="E127" s="11" t="str"/>
      <x:c r="F127" s="11" t="str">
        <x:v>whole_income</x:v>
      </x:c>
      <x:c r="G127" s="11" t="str">
        <x:v>monthly</x:v>
      </x:c>
      <x:c r="H127" s="11" t="n">
        <x:v>7</x:v>
      </x:c>
      <x:c r="I127" s="11" t="str">
        <x:v>rate</x:v>
      </x:c>
      <x:c r="J127" s="11" t="str">
        <x:v>Payroll</x:v>
      </x:c>
      <x:c r="K127" s="11" t="str">
        <x:v>M16</x:v>
      </x:c>
      <x:c r="L127" s="11" t="str">
        <x:v>TER B band 7 rate</x:v>
      </x:c>
    </x:row>
    <x:row r="128">
      <x:c r="A128" s="11" t="str">
        <x:v>IDTERB</x:v>
      </x:c>
      <x:c r="B128" s="11" t="str">
        <x:v>ID</x:v>
      </x:c>
      <x:c r="C128" s="11" t="str">
        <x:v>2026-08</x:v>
      </x:c>
      <x:c r="D128" s="11" t="str">
        <x:v>2026-08-01</x:v>
      </x:c>
      <x:c r="E128" s="11" t="str"/>
      <x:c r="F128" s="11" t="str">
        <x:v>whole_income</x:v>
      </x:c>
      <x:c r="G128" s="11" t="str">
        <x:v>monthly</x:v>
      </x:c>
      <x:c r="H128" s="11" t="n">
        <x:v>8</x:v>
      </x:c>
      <x:c r="I128" s="11" t="str">
        <x:v>upper</x:v>
      </x:c>
      <x:c r="J128" s="11" t="str">
        <x:v>Payroll</x:v>
      </x:c>
      <x:c r="K128" s="11" t="str">
        <x:v>L17</x:v>
      </x:c>
      <x:c r="L128" s="11" t="str">
        <x:v>TER B band 8 upper</x:v>
      </x:c>
    </x:row>
    <x:row r="129">
      <x:c r="A129" s="11" t="str">
        <x:v>IDTERB</x:v>
      </x:c>
      <x:c r="B129" s="11" t="str">
        <x:v>ID</x:v>
      </x:c>
      <x:c r="C129" s="11" t="str">
        <x:v>2026-08</x:v>
      </x:c>
      <x:c r="D129" s="11" t="str">
        <x:v>2026-08-01</x:v>
      </x:c>
      <x:c r="E129" s="11" t="str"/>
      <x:c r="F129" s="11" t="str">
        <x:v>whole_income</x:v>
      </x:c>
      <x:c r="G129" s="11" t="str">
        <x:v>monthly</x:v>
      </x:c>
      <x:c r="H129" s="11" t="n">
        <x:v>8</x:v>
      </x:c>
      <x:c r="I129" s="11" t="str">
        <x:v>rate</x:v>
      </x:c>
      <x:c r="J129" s="11" t="str">
        <x:v>Payroll</x:v>
      </x:c>
      <x:c r="K129" s="11" t="str">
        <x:v>M17</x:v>
      </x:c>
      <x:c r="L129" s="11" t="str">
        <x:v>TER B band 8 rate</x:v>
      </x:c>
    </x:row>
    <x:row r="130">
      <x:c r="A130" s="11" t="str">
        <x:v>IDTERB</x:v>
      </x:c>
      <x:c r="B130" s="11" t="str">
        <x:v>ID</x:v>
      </x:c>
      <x:c r="C130" s="11" t="str">
        <x:v>2026-08</x:v>
      </x:c>
      <x:c r="D130" s="11" t="str">
        <x:v>2026-08-01</x:v>
      </x:c>
      <x:c r="E130" s="11" t="str"/>
      <x:c r="F130" s="11" t="str">
        <x:v>whole_income</x:v>
      </x:c>
      <x:c r="G130" s="11" t="str">
        <x:v>monthly</x:v>
      </x:c>
      <x:c r="H130" s="11" t="n">
        <x:v>9</x:v>
      </x:c>
      <x:c r="I130" s="11" t="str">
        <x:v>upper</x:v>
      </x:c>
      <x:c r="J130" s="11" t="str">
        <x:v>Payroll</x:v>
      </x:c>
      <x:c r="K130" s="11" t="str">
        <x:v>L18</x:v>
      </x:c>
      <x:c r="L130" s="11" t="str">
        <x:v>TER B band 9 upper</x:v>
      </x:c>
    </x:row>
    <x:row r="131">
      <x:c r="A131" s="11" t="str">
        <x:v>IDTERB</x:v>
      </x:c>
      <x:c r="B131" s="11" t="str">
        <x:v>ID</x:v>
      </x:c>
      <x:c r="C131" s="11" t="str">
        <x:v>2026-08</x:v>
      </x:c>
      <x:c r="D131" s="11" t="str">
        <x:v>2026-08-01</x:v>
      </x:c>
      <x:c r="E131" s="11" t="str"/>
      <x:c r="F131" s="11" t="str">
        <x:v>whole_income</x:v>
      </x:c>
      <x:c r="G131" s="11" t="str">
        <x:v>monthly</x:v>
      </x:c>
      <x:c r="H131" s="11" t="n">
        <x:v>9</x:v>
      </x:c>
      <x:c r="I131" s="11" t="str">
        <x:v>rate</x:v>
      </x:c>
      <x:c r="J131" s="11" t="str">
        <x:v>Payroll</x:v>
      </x:c>
      <x:c r="K131" s="11" t="str">
        <x:v>M18</x:v>
      </x:c>
      <x:c r="L131" s="11" t="str">
        <x:v>TER B band 9 rate</x:v>
      </x:c>
    </x:row>
    <x:row r="132">
      <x:c r="A132" s="11" t="str">
        <x:v>IDTERB</x:v>
      </x:c>
      <x:c r="B132" s="11" t="str">
        <x:v>ID</x:v>
      </x:c>
      <x:c r="C132" s="11" t="str">
        <x:v>2026-08</x:v>
      </x:c>
      <x:c r="D132" s="11" t="str">
        <x:v>2026-08-01</x:v>
      </x:c>
      <x:c r="E132" s="11" t="str"/>
      <x:c r="F132" s="11" t="str">
        <x:v>whole_income</x:v>
      </x:c>
      <x:c r="G132" s="11" t="str">
        <x:v>monthly</x:v>
      </x:c>
      <x:c r="H132" s="11" t="n">
        <x:v>10</x:v>
      </x:c>
      <x:c r="I132" s="11" t="str">
        <x:v>upper</x:v>
      </x:c>
      <x:c r="J132" s="11" t="str">
        <x:v>Payroll</x:v>
      </x:c>
      <x:c r="K132" s="11" t="str">
        <x:v>L19</x:v>
      </x:c>
      <x:c r="L132" s="11" t="str">
        <x:v>TER B band 10 upper</x:v>
      </x:c>
    </x:row>
    <x:row r="133">
      <x:c r="A133" s="11" t="str">
        <x:v>IDTERB</x:v>
      </x:c>
      <x:c r="B133" s="11" t="str">
        <x:v>ID</x:v>
      </x:c>
      <x:c r="C133" s="11" t="str">
        <x:v>2026-08</x:v>
      </x:c>
      <x:c r="D133" s="11" t="str">
        <x:v>2026-08-01</x:v>
      </x:c>
      <x:c r="E133" s="11" t="str"/>
      <x:c r="F133" s="11" t="str">
        <x:v>whole_income</x:v>
      </x:c>
      <x:c r="G133" s="11" t="str">
        <x:v>monthly</x:v>
      </x:c>
      <x:c r="H133" s="11" t="n">
        <x:v>10</x:v>
      </x:c>
      <x:c r="I133" s="11" t="str">
        <x:v>rate</x:v>
      </x:c>
      <x:c r="J133" s="11" t="str">
        <x:v>Payroll</x:v>
      </x:c>
      <x:c r="K133" s="11" t="str">
        <x:v>M19</x:v>
      </x:c>
      <x:c r="L133" s="11" t="str">
        <x:v>TER B band 10 rate</x:v>
      </x:c>
    </x:row>
    <x:row r="134">
      <x:c r="A134" s="11" t="str">
        <x:v>IDTERB</x:v>
      </x:c>
      <x:c r="B134" s="11" t="str">
        <x:v>ID</x:v>
      </x:c>
      <x:c r="C134" s="11" t="str">
        <x:v>2026-08</x:v>
      </x:c>
      <x:c r="D134" s="11" t="str">
        <x:v>2026-08-01</x:v>
      </x:c>
      <x:c r="E134" s="11" t="str"/>
      <x:c r="F134" s="11" t="str">
        <x:v>whole_income</x:v>
      </x:c>
      <x:c r="G134" s="11" t="str">
        <x:v>monthly</x:v>
      </x:c>
      <x:c r="H134" s="11" t="n">
        <x:v>11</x:v>
      </x:c>
      <x:c r="I134" s="11" t="str">
        <x:v>upper</x:v>
      </x:c>
      <x:c r="J134" s="11" t="str">
        <x:v>Payroll</x:v>
      </x:c>
      <x:c r="K134" s="11" t="str">
        <x:v>L20</x:v>
      </x:c>
      <x:c r="L134" s="11" t="str">
        <x:v>TER B band 11 upper</x:v>
      </x:c>
    </x:row>
    <x:row r="135">
      <x:c r="A135" s="11" t="str">
        <x:v>IDTERB</x:v>
      </x:c>
      <x:c r="B135" s="11" t="str">
        <x:v>ID</x:v>
      </x:c>
      <x:c r="C135" s="11" t="str">
        <x:v>2026-08</x:v>
      </x:c>
      <x:c r="D135" s="11" t="str">
        <x:v>2026-08-01</x:v>
      </x:c>
      <x:c r="E135" s="11" t="str"/>
      <x:c r="F135" s="11" t="str">
        <x:v>whole_income</x:v>
      </x:c>
      <x:c r="G135" s="11" t="str">
        <x:v>monthly</x:v>
      </x:c>
      <x:c r="H135" s="11" t="n">
        <x:v>11</x:v>
      </x:c>
      <x:c r="I135" s="11" t="str">
        <x:v>rate</x:v>
      </x:c>
      <x:c r="J135" s="11" t="str">
        <x:v>Payroll</x:v>
      </x:c>
      <x:c r="K135" s="11" t="str">
        <x:v>M20</x:v>
      </x:c>
      <x:c r="L135" s="11" t="str">
        <x:v>TER B band 11 rate</x:v>
      </x:c>
    </x:row>
    <x:row r="136">
      <x:c r="A136" s="11" t="str">
        <x:v>IDTERB</x:v>
      </x:c>
      <x:c r="B136" s="11" t="str">
        <x:v>ID</x:v>
      </x:c>
      <x:c r="C136" s="11" t="str">
        <x:v>2026-08</x:v>
      </x:c>
      <x:c r="D136" s="11" t="str">
        <x:v>2026-08-01</x:v>
      </x:c>
      <x:c r="E136" s="11" t="str"/>
      <x:c r="F136" s="11" t="str">
        <x:v>whole_income</x:v>
      </x:c>
      <x:c r="G136" s="11" t="str">
        <x:v>monthly</x:v>
      </x:c>
      <x:c r="H136" s="11" t="n">
        <x:v>12</x:v>
      </x:c>
      <x:c r="I136" s="11" t="str">
        <x:v>upper</x:v>
      </x:c>
      <x:c r="J136" s="11" t="str">
        <x:v>Payroll</x:v>
      </x:c>
      <x:c r="K136" s="11" t="str">
        <x:v>L21</x:v>
      </x:c>
      <x:c r="L136" s="11" t="str">
        <x:v>TER B band 12 upper</x:v>
      </x:c>
    </x:row>
    <x:row r="137">
      <x:c r="A137" s="11" t="str">
        <x:v>IDTERB</x:v>
      </x:c>
      <x:c r="B137" s="11" t="str">
        <x:v>ID</x:v>
      </x:c>
      <x:c r="C137" s="11" t="str">
        <x:v>2026-08</x:v>
      </x:c>
      <x:c r="D137" s="11" t="str">
        <x:v>2026-08-01</x:v>
      </x:c>
      <x:c r="E137" s="11" t="str"/>
      <x:c r="F137" s="11" t="str">
        <x:v>whole_income</x:v>
      </x:c>
      <x:c r="G137" s="11" t="str">
        <x:v>monthly</x:v>
      </x:c>
      <x:c r="H137" s="11" t="n">
        <x:v>12</x:v>
      </x:c>
      <x:c r="I137" s="11" t="str">
        <x:v>rate</x:v>
      </x:c>
      <x:c r="J137" s="11" t="str">
        <x:v>Payroll</x:v>
      </x:c>
      <x:c r="K137" s="11" t="str">
        <x:v>M21</x:v>
      </x:c>
      <x:c r="L137" s="11" t="str">
        <x:v>TER B band 12 rate</x:v>
      </x:c>
    </x:row>
    <x:row r="138">
      <x:c r="A138" s="11" t="str">
        <x:v>IDTERB</x:v>
      </x:c>
      <x:c r="B138" s="11" t="str">
        <x:v>ID</x:v>
      </x:c>
      <x:c r="C138" s="11" t="str">
        <x:v>2026-08</x:v>
      </x:c>
      <x:c r="D138" s="11" t="str">
        <x:v>2026-08-01</x:v>
      </x:c>
      <x:c r="E138" s="11" t="str"/>
      <x:c r="F138" s="11" t="str">
        <x:v>whole_income</x:v>
      </x:c>
      <x:c r="G138" s="11" t="str">
        <x:v>monthly</x:v>
      </x:c>
      <x:c r="H138" s="11" t="n">
        <x:v>13</x:v>
      </x:c>
      <x:c r="I138" s="11" t="str">
        <x:v>upper</x:v>
      </x:c>
      <x:c r="J138" s="11" t="str">
        <x:v>Payroll</x:v>
      </x:c>
      <x:c r="K138" s="11" t="str">
        <x:v>L22</x:v>
      </x:c>
      <x:c r="L138" s="11" t="str">
        <x:v>TER B band 13 upper</x:v>
      </x:c>
    </x:row>
    <x:row r="139">
      <x:c r="A139" s="11" t="str">
        <x:v>IDTERB</x:v>
      </x:c>
      <x:c r="B139" s="11" t="str">
        <x:v>ID</x:v>
      </x:c>
      <x:c r="C139" s="11" t="str">
        <x:v>2026-08</x:v>
      </x:c>
      <x:c r="D139" s="11" t="str">
        <x:v>2026-08-01</x:v>
      </x:c>
      <x:c r="E139" s="11" t="str"/>
      <x:c r="F139" s="11" t="str">
        <x:v>whole_income</x:v>
      </x:c>
      <x:c r="G139" s="11" t="str">
        <x:v>monthly</x:v>
      </x:c>
      <x:c r="H139" s="11" t="n">
        <x:v>13</x:v>
      </x:c>
      <x:c r="I139" s="11" t="str">
        <x:v>rate</x:v>
      </x:c>
      <x:c r="J139" s="11" t="str">
        <x:v>Payroll</x:v>
      </x:c>
      <x:c r="K139" s="11" t="str">
        <x:v>M22</x:v>
      </x:c>
      <x:c r="L139" s="11" t="str">
        <x:v>TER B band 13 rate</x:v>
      </x:c>
    </x:row>
    <x:row r="140">
      <x:c r="A140" s="11" t="str">
        <x:v>IDTERB</x:v>
      </x:c>
      <x:c r="B140" s="11" t="str">
        <x:v>ID</x:v>
      </x:c>
      <x:c r="C140" s="11" t="str">
        <x:v>2026-08</x:v>
      </x:c>
      <x:c r="D140" s="11" t="str">
        <x:v>2026-08-01</x:v>
      </x:c>
      <x:c r="E140" s="11" t="str"/>
      <x:c r="F140" s="11" t="str">
        <x:v>whole_income</x:v>
      </x:c>
      <x:c r="G140" s="11" t="str">
        <x:v>monthly</x:v>
      </x:c>
      <x:c r="H140" s="11" t="n">
        <x:v>14</x:v>
      </x:c>
      <x:c r="I140" s="11" t="str">
        <x:v>upper</x:v>
      </x:c>
      <x:c r="J140" s="11" t="str">
        <x:v>Payroll</x:v>
      </x:c>
      <x:c r="K140" s="11" t="str">
        <x:v>L23</x:v>
      </x:c>
      <x:c r="L140" s="11" t="str">
        <x:v>TER B band 14 upper</x:v>
      </x:c>
    </x:row>
    <x:row r="141">
      <x:c r="A141" s="11" t="str">
        <x:v>IDTERB</x:v>
      </x:c>
      <x:c r="B141" s="11" t="str">
        <x:v>ID</x:v>
      </x:c>
      <x:c r="C141" s="11" t="str">
        <x:v>2026-08</x:v>
      </x:c>
      <x:c r="D141" s="11" t="str">
        <x:v>2026-08-01</x:v>
      </x:c>
      <x:c r="E141" s="11" t="str"/>
      <x:c r="F141" s="11" t="str">
        <x:v>whole_income</x:v>
      </x:c>
      <x:c r="G141" s="11" t="str">
        <x:v>monthly</x:v>
      </x:c>
      <x:c r="H141" s="11" t="n">
        <x:v>14</x:v>
      </x:c>
      <x:c r="I141" s="11" t="str">
        <x:v>rate</x:v>
      </x:c>
      <x:c r="J141" s="11" t="str">
        <x:v>Payroll</x:v>
      </x:c>
      <x:c r="K141" s="11" t="str">
        <x:v>M23</x:v>
      </x:c>
      <x:c r="L141" s="11" t="str">
        <x:v>TER B band 14 rate</x:v>
      </x:c>
    </x:row>
    <x:row r="142">
      <x:c r="A142" s="11" t="str">
        <x:v>IDTERB</x:v>
      </x:c>
      <x:c r="B142" s="11" t="str">
        <x:v>ID</x:v>
      </x:c>
      <x:c r="C142" s="11" t="str">
        <x:v>2026-08</x:v>
      </x:c>
      <x:c r="D142" s="11" t="str">
        <x:v>2026-08-01</x:v>
      </x:c>
      <x:c r="E142" s="11" t="str"/>
      <x:c r="F142" s="11" t="str">
        <x:v>whole_income</x:v>
      </x:c>
      <x:c r="G142" s="11" t="str">
        <x:v>monthly</x:v>
      </x:c>
      <x:c r="H142" s="11" t="n">
        <x:v>15</x:v>
      </x:c>
      <x:c r="I142" s="11" t="str">
        <x:v>upper</x:v>
      </x:c>
      <x:c r="J142" s="11" t="str">
        <x:v>Payroll</x:v>
      </x:c>
      <x:c r="K142" s="11" t="str">
        <x:v>L24</x:v>
      </x:c>
      <x:c r="L142" s="11" t="str">
        <x:v>TER B band 15 upper</x:v>
      </x:c>
    </x:row>
    <x:row r="143">
      <x:c r="A143" s="11" t="str">
        <x:v>IDTERB</x:v>
      </x:c>
      <x:c r="B143" s="11" t="str">
        <x:v>ID</x:v>
      </x:c>
      <x:c r="C143" s="11" t="str">
        <x:v>2026-08</x:v>
      </x:c>
      <x:c r="D143" s="11" t="str">
        <x:v>2026-08-01</x:v>
      </x:c>
      <x:c r="E143" s="11" t="str"/>
      <x:c r="F143" s="11" t="str">
        <x:v>whole_income</x:v>
      </x:c>
      <x:c r="G143" s="11" t="str">
        <x:v>monthly</x:v>
      </x:c>
      <x:c r="H143" s="11" t="n">
        <x:v>15</x:v>
      </x:c>
      <x:c r="I143" s="11" t="str">
        <x:v>rate</x:v>
      </x:c>
      <x:c r="J143" s="11" t="str">
        <x:v>Payroll</x:v>
      </x:c>
      <x:c r="K143" s="11" t="str">
        <x:v>M24</x:v>
      </x:c>
      <x:c r="L143" s="11" t="str">
        <x:v>TER B band 15 rate</x:v>
      </x:c>
    </x:row>
    <x:row r="144">
      <x:c r="A144" s="11" t="str">
        <x:v>IDTERB</x:v>
      </x:c>
      <x:c r="B144" s="11" t="str">
        <x:v>ID</x:v>
      </x:c>
      <x:c r="C144" s="11" t="str">
        <x:v>2026-08</x:v>
      </x:c>
      <x:c r="D144" s="11" t="str">
        <x:v>2026-08-01</x:v>
      </x:c>
      <x:c r="E144" s="11" t="str"/>
      <x:c r="F144" s="11" t="str">
        <x:v>whole_income</x:v>
      </x:c>
      <x:c r="G144" s="11" t="str">
        <x:v>monthly</x:v>
      </x:c>
      <x:c r="H144" s="11" t="n">
        <x:v>16</x:v>
      </x:c>
      <x:c r="I144" s="11" t="str">
        <x:v>upper</x:v>
      </x:c>
      <x:c r="J144" s="11" t="str">
        <x:v>Payroll</x:v>
      </x:c>
      <x:c r="K144" s="11" t="str">
        <x:v>O10</x:v>
      </x:c>
      <x:c r="L144" s="11" t="str">
        <x:v>TER B band 16 upper</x:v>
      </x:c>
    </x:row>
    <x:row r="145">
      <x:c r="A145" s="11" t="str">
        <x:v>IDTERB</x:v>
      </x:c>
      <x:c r="B145" s="11" t="str">
        <x:v>ID</x:v>
      </x:c>
      <x:c r="C145" s="11" t="str">
        <x:v>2026-08</x:v>
      </x:c>
      <x:c r="D145" s="11" t="str">
        <x:v>2026-08-01</x:v>
      </x:c>
      <x:c r="E145" s="11" t="str"/>
      <x:c r="F145" s="11" t="str">
        <x:v>whole_income</x:v>
      </x:c>
      <x:c r="G145" s="11" t="str">
        <x:v>monthly</x:v>
      </x:c>
      <x:c r="H145" s="11" t="n">
        <x:v>16</x:v>
      </x:c>
      <x:c r="I145" s="11" t="str">
        <x:v>rate</x:v>
      </x:c>
      <x:c r="J145" s="11" t="str">
        <x:v>Payroll</x:v>
      </x:c>
      <x:c r="K145" s="11" t="str">
        <x:v>P10</x:v>
      </x:c>
      <x:c r="L145" s="11" t="str">
        <x:v>TER B band 16 rate</x:v>
      </x:c>
    </x:row>
    <x:row r="146">
      <x:c r="A146" s="11" t="str">
        <x:v>IDTERB</x:v>
      </x:c>
      <x:c r="B146" s="11" t="str">
        <x:v>ID</x:v>
      </x:c>
      <x:c r="C146" s="11" t="str">
        <x:v>2026-08</x:v>
      </x:c>
      <x:c r="D146" s="11" t="str">
        <x:v>2026-08-01</x:v>
      </x:c>
      <x:c r="E146" s="11" t="str"/>
      <x:c r="F146" s="11" t="str">
        <x:v>whole_income</x:v>
      </x:c>
      <x:c r="G146" s="11" t="str">
        <x:v>monthly</x:v>
      </x:c>
      <x:c r="H146" s="11" t="n">
        <x:v>17</x:v>
      </x:c>
      <x:c r="I146" s="11" t="str">
        <x:v>upper</x:v>
      </x:c>
      <x:c r="J146" s="11" t="str">
        <x:v>Payroll</x:v>
      </x:c>
      <x:c r="K146" s="11" t="str">
        <x:v>O11</x:v>
      </x:c>
      <x:c r="L146" s="11" t="str">
        <x:v>TER B band 17 upper</x:v>
      </x:c>
    </x:row>
    <x:row r="147">
      <x:c r="A147" s="11" t="str">
        <x:v>IDTERB</x:v>
      </x:c>
      <x:c r="B147" s="11" t="str">
        <x:v>ID</x:v>
      </x:c>
      <x:c r="C147" s="11" t="str">
        <x:v>2026-08</x:v>
      </x:c>
      <x:c r="D147" s="11" t="str">
        <x:v>2026-08-01</x:v>
      </x:c>
      <x:c r="E147" s="11" t="str"/>
      <x:c r="F147" s="11" t="str">
        <x:v>whole_income</x:v>
      </x:c>
      <x:c r="G147" s="11" t="str">
        <x:v>monthly</x:v>
      </x:c>
      <x:c r="H147" s="11" t="n">
        <x:v>17</x:v>
      </x:c>
      <x:c r="I147" s="11" t="str">
        <x:v>rate</x:v>
      </x:c>
      <x:c r="J147" s="11" t="str">
        <x:v>Payroll</x:v>
      </x:c>
      <x:c r="K147" s="11" t="str">
        <x:v>P11</x:v>
      </x:c>
      <x:c r="L147" s="11" t="str">
        <x:v>TER B band 17 rate</x:v>
      </x:c>
    </x:row>
    <x:row r="148">
      <x:c r="A148" s="11" t="str">
        <x:v>IDTERB</x:v>
      </x:c>
      <x:c r="B148" s="11" t="str">
        <x:v>ID</x:v>
      </x:c>
      <x:c r="C148" s="11" t="str">
        <x:v>2026-08</x:v>
      </x:c>
      <x:c r="D148" s="11" t="str">
        <x:v>2026-08-01</x:v>
      </x:c>
      <x:c r="E148" s="11" t="str"/>
      <x:c r="F148" s="11" t="str">
        <x:v>whole_income</x:v>
      </x:c>
      <x:c r="G148" s="11" t="str">
        <x:v>monthly</x:v>
      </x:c>
      <x:c r="H148" s="11" t="n">
        <x:v>18</x:v>
      </x:c>
      <x:c r="I148" s="11" t="str">
        <x:v>upper</x:v>
      </x:c>
      <x:c r="J148" s="11" t="str">
        <x:v>Payroll</x:v>
      </x:c>
      <x:c r="K148" s="11" t="str">
        <x:v>O12</x:v>
      </x:c>
      <x:c r="L148" s="11" t="str">
        <x:v>TER B band 18 upper</x:v>
      </x:c>
    </x:row>
    <x:row r="149">
      <x:c r="A149" s="11" t="str">
        <x:v>IDTERB</x:v>
      </x:c>
      <x:c r="B149" s="11" t="str">
        <x:v>ID</x:v>
      </x:c>
      <x:c r="C149" s="11" t="str">
        <x:v>2026-08</x:v>
      </x:c>
      <x:c r="D149" s="11" t="str">
        <x:v>2026-08-01</x:v>
      </x:c>
      <x:c r="E149" s="11" t="str"/>
      <x:c r="F149" s="11" t="str">
        <x:v>whole_income</x:v>
      </x:c>
      <x:c r="G149" s="11" t="str">
        <x:v>monthly</x:v>
      </x:c>
      <x:c r="H149" s="11" t="n">
        <x:v>18</x:v>
      </x:c>
      <x:c r="I149" s="11" t="str">
        <x:v>rate</x:v>
      </x:c>
      <x:c r="J149" s="11" t="str">
        <x:v>Payroll</x:v>
      </x:c>
      <x:c r="K149" s="11" t="str">
        <x:v>P12</x:v>
      </x:c>
      <x:c r="L149" s="11" t="str">
        <x:v>TER B band 18 rate</x:v>
      </x:c>
    </x:row>
    <x:row r="150">
      <x:c r="A150" s="11" t="str">
        <x:v>IDTERB</x:v>
      </x:c>
      <x:c r="B150" s="11" t="str">
        <x:v>ID</x:v>
      </x:c>
      <x:c r="C150" s="11" t="str">
        <x:v>2026-08</x:v>
      </x:c>
      <x:c r="D150" s="11" t="str">
        <x:v>2026-08-01</x:v>
      </x:c>
      <x:c r="E150" s="11" t="str"/>
      <x:c r="F150" s="11" t="str">
        <x:v>whole_income</x:v>
      </x:c>
      <x:c r="G150" s="11" t="str">
        <x:v>monthly</x:v>
      </x:c>
      <x:c r="H150" s="11" t="n">
        <x:v>19</x:v>
      </x:c>
      <x:c r="I150" s="11" t="str">
        <x:v>upper</x:v>
      </x:c>
      <x:c r="J150" s="11" t="str">
        <x:v>Payroll</x:v>
      </x:c>
      <x:c r="K150" s="11" t="str">
        <x:v>O13</x:v>
      </x:c>
      <x:c r="L150" s="11" t="str">
        <x:v>TER B band 19 upper</x:v>
      </x:c>
    </x:row>
    <x:row r="151">
      <x:c r="A151" s="11" t="str">
        <x:v>IDTERB</x:v>
      </x:c>
      <x:c r="B151" s="11" t="str">
        <x:v>ID</x:v>
      </x:c>
      <x:c r="C151" s="11" t="str">
        <x:v>2026-08</x:v>
      </x:c>
      <x:c r="D151" s="11" t="str">
        <x:v>2026-08-01</x:v>
      </x:c>
      <x:c r="E151" s="11" t="str"/>
      <x:c r="F151" s="11" t="str">
        <x:v>whole_income</x:v>
      </x:c>
      <x:c r="G151" s="11" t="str">
        <x:v>monthly</x:v>
      </x:c>
      <x:c r="H151" s="11" t="n">
        <x:v>19</x:v>
      </x:c>
      <x:c r="I151" s="11" t="str">
        <x:v>rate</x:v>
      </x:c>
      <x:c r="J151" s="11" t="str">
        <x:v>Payroll</x:v>
      </x:c>
      <x:c r="K151" s="11" t="str">
        <x:v>P13</x:v>
      </x:c>
      <x:c r="L151" s="11" t="str">
        <x:v>TER B band 19 rate</x:v>
      </x:c>
    </x:row>
    <x:row r="152">
      <x:c r="A152" s="11" t="str">
        <x:v>IDTERB</x:v>
      </x:c>
      <x:c r="B152" s="11" t="str">
        <x:v>ID</x:v>
      </x:c>
      <x:c r="C152" s="11" t="str">
        <x:v>2026-08</x:v>
      </x:c>
      <x:c r="D152" s="11" t="str">
        <x:v>2026-08-01</x:v>
      </x:c>
      <x:c r="E152" s="11" t="str"/>
      <x:c r="F152" s="11" t="str">
        <x:v>whole_income</x:v>
      </x:c>
      <x:c r="G152" s="11" t="str">
        <x:v>monthly</x:v>
      </x:c>
      <x:c r="H152" s="11" t="n">
        <x:v>20</x:v>
      </x:c>
      <x:c r="I152" s="11" t="str">
        <x:v>upper</x:v>
      </x:c>
      <x:c r="J152" s="11" t="str">
        <x:v>Payroll</x:v>
      </x:c>
      <x:c r="K152" s="11" t="str">
        <x:v>O14</x:v>
      </x:c>
      <x:c r="L152" s="11" t="str">
        <x:v>TER B band 20 upper</x:v>
      </x:c>
    </x:row>
    <x:row r="153">
      <x:c r="A153" s="11" t="str">
        <x:v>IDTERB</x:v>
      </x:c>
      <x:c r="B153" s="11" t="str">
        <x:v>ID</x:v>
      </x:c>
      <x:c r="C153" s="11" t="str">
        <x:v>2026-08</x:v>
      </x:c>
      <x:c r="D153" s="11" t="str">
        <x:v>2026-08-01</x:v>
      </x:c>
      <x:c r="E153" s="11" t="str"/>
      <x:c r="F153" s="11" t="str">
        <x:v>whole_income</x:v>
      </x:c>
      <x:c r="G153" s="11" t="str">
        <x:v>monthly</x:v>
      </x:c>
      <x:c r="H153" s="11" t="n">
        <x:v>20</x:v>
      </x:c>
      <x:c r="I153" s="11" t="str">
        <x:v>rate</x:v>
      </x:c>
      <x:c r="J153" s="11" t="str">
        <x:v>Payroll</x:v>
      </x:c>
      <x:c r="K153" s="11" t="str">
        <x:v>P14</x:v>
      </x:c>
      <x:c r="L153" s="11" t="str">
        <x:v>TER B band 20 rate</x:v>
      </x:c>
    </x:row>
    <x:row r="154">
      <x:c r="A154" s="11" t="str">
        <x:v>IDTERB</x:v>
      </x:c>
      <x:c r="B154" s="11" t="str">
        <x:v>ID</x:v>
      </x:c>
      <x:c r="C154" s="11" t="str">
        <x:v>2026-08</x:v>
      </x:c>
      <x:c r="D154" s="11" t="str">
        <x:v>2026-08-01</x:v>
      </x:c>
      <x:c r="E154" s="11" t="str"/>
      <x:c r="F154" s="11" t="str">
        <x:v>whole_income</x:v>
      </x:c>
      <x:c r="G154" s="11" t="str">
        <x:v>monthly</x:v>
      </x:c>
      <x:c r="H154" s="11" t="n">
        <x:v>21</x:v>
      </x:c>
      <x:c r="I154" s="11" t="str">
        <x:v>upper</x:v>
      </x:c>
      <x:c r="J154" s="11" t="str">
        <x:v>Payroll</x:v>
      </x:c>
      <x:c r="K154" s="11" t="str">
        <x:v>O15</x:v>
      </x:c>
      <x:c r="L154" s="11" t="str">
        <x:v>TER B band 21 upper</x:v>
      </x:c>
    </x:row>
    <x:row r="155">
      <x:c r="A155" s="11" t="str">
        <x:v>IDTERB</x:v>
      </x:c>
      <x:c r="B155" s="11" t="str">
        <x:v>ID</x:v>
      </x:c>
      <x:c r="C155" s="11" t="str">
        <x:v>2026-08</x:v>
      </x:c>
      <x:c r="D155" s="11" t="str">
        <x:v>2026-08-01</x:v>
      </x:c>
      <x:c r="E155" s="11" t="str"/>
      <x:c r="F155" s="11" t="str">
        <x:v>whole_income</x:v>
      </x:c>
      <x:c r="G155" s="11" t="str">
        <x:v>monthly</x:v>
      </x:c>
      <x:c r="H155" s="11" t="n">
        <x:v>21</x:v>
      </x:c>
      <x:c r="I155" s="11" t="str">
        <x:v>rate</x:v>
      </x:c>
      <x:c r="J155" s="11" t="str">
        <x:v>Payroll</x:v>
      </x:c>
      <x:c r="K155" s="11" t="str">
        <x:v>P15</x:v>
      </x:c>
      <x:c r="L155" s="11" t="str">
        <x:v>TER B band 21 rate</x:v>
      </x:c>
    </x:row>
    <x:row r="156">
      <x:c r="A156" s="11" t="str">
        <x:v>IDTERB</x:v>
      </x:c>
      <x:c r="B156" s="11" t="str">
        <x:v>ID</x:v>
      </x:c>
      <x:c r="C156" s="11" t="str">
        <x:v>2026-08</x:v>
      </x:c>
      <x:c r="D156" s="11" t="str">
        <x:v>2026-08-01</x:v>
      </x:c>
      <x:c r="E156" s="11" t="str"/>
      <x:c r="F156" s="11" t="str">
        <x:v>whole_income</x:v>
      </x:c>
      <x:c r="G156" s="11" t="str">
        <x:v>monthly</x:v>
      </x:c>
      <x:c r="H156" s="11" t="n">
        <x:v>22</x:v>
      </x:c>
      <x:c r="I156" s="11" t="str">
        <x:v>upper</x:v>
      </x:c>
      <x:c r="J156" s="11" t="str">
        <x:v>Payroll</x:v>
      </x:c>
      <x:c r="K156" s="11" t="str">
        <x:v>O16</x:v>
      </x:c>
      <x:c r="L156" s="11" t="str">
        <x:v>TER B band 22 upper</x:v>
      </x:c>
    </x:row>
    <x:row r="157">
      <x:c r="A157" s="11" t="str">
        <x:v>IDTERB</x:v>
      </x:c>
      <x:c r="B157" s="11" t="str">
        <x:v>ID</x:v>
      </x:c>
      <x:c r="C157" s="11" t="str">
        <x:v>2026-08</x:v>
      </x:c>
      <x:c r="D157" s="11" t="str">
        <x:v>2026-08-01</x:v>
      </x:c>
      <x:c r="E157" s="11" t="str"/>
      <x:c r="F157" s="11" t="str">
        <x:v>whole_income</x:v>
      </x:c>
      <x:c r="G157" s="11" t="str">
        <x:v>monthly</x:v>
      </x:c>
      <x:c r="H157" s="11" t="n">
        <x:v>22</x:v>
      </x:c>
      <x:c r="I157" s="11" t="str">
        <x:v>rate</x:v>
      </x:c>
      <x:c r="J157" s="11" t="str">
        <x:v>Payroll</x:v>
      </x:c>
      <x:c r="K157" s="11" t="str">
        <x:v>P16</x:v>
      </x:c>
      <x:c r="L157" s="11" t="str">
        <x:v>TER B band 22 rate</x:v>
      </x:c>
    </x:row>
    <x:row r="158">
      <x:c r="A158" s="11" t="str">
        <x:v>IDTERB</x:v>
      </x:c>
      <x:c r="B158" s="11" t="str">
        <x:v>ID</x:v>
      </x:c>
      <x:c r="C158" s="11" t="str">
        <x:v>2026-08</x:v>
      </x:c>
      <x:c r="D158" s="11" t="str">
        <x:v>2026-08-01</x:v>
      </x:c>
      <x:c r="E158" s="11" t="str"/>
      <x:c r="F158" s="11" t="str">
        <x:v>whole_income</x:v>
      </x:c>
      <x:c r="G158" s="11" t="str">
        <x:v>monthly</x:v>
      </x:c>
      <x:c r="H158" s="11" t="n">
        <x:v>23</x:v>
      </x:c>
      <x:c r="I158" s="11" t="str">
        <x:v>upper</x:v>
      </x:c>
      <x:c r="J158" s="11" t="str">
        <x:v>Payroll</x:v>
      </x:c>
      <x:c r="K158" s="11" t="str">
        <x:v>O17</x:v>
      </x:c>
      <x:c r="L158" s="11" t="str">
        <x:v>TER B band 23 upper</x:v>
      </x:c>
    </x:row>
    <x:row r="159">
      <x:c r="A159" s="11" t="str">
        <x:v>IDTERB</x:v>
      </x:c>
      <x:c r="B159" s="11" t="str">
        <x:v>ID</x:v>
      </x:c>
      <x:c r="C159" s="11" t="str">
        <x:v>2026-08</x:v>
      </x:c>
      <x:c r="D159" s="11" t="str">
        <x:v>2026-08-01</x:v>
      </x:c>
      <x:c r="E159" s="11" t="str"/>
      <x:c r="F159" s="11" t="str">
        <x:v>whole_income</x:v>
      </x:c>
      <x:c r="G159" s="11" t="str">
        <x:v>monthly</x:v>
      </x:c>
      <x:c r="H159" s="11" t="n">
        <x:v>23</x:v>
      </x:c>
      <x:c r="I159" s="11" t="str">
        <x:v>rate</x:v>
      </x:c>
      <x:c r="J159" s="11" t="str">
        <x:v>Payroll</x:v>
      </x:c>
      <x:c r="K159" s="11" t="str">
        <x:v>P17</x:v>
      </x:c>
      <x:c r="L159" s="11" t="str">
        <x:v>TER B band 23 rate</x:v>
      </x:c>
    </x:row>
    <x:row r="160">
      <x:c r="A160" s="11" t="str">
        <x:v>IDTERB</x:v>
      </x:c>
      <x:c r="B160" s="11" t="str">
        <x:v>ID</x:v>
      </x:c>
      <x:c r="C160" s="11" t="str">
        <x:v>2026-08</x:v>
      </x:c>
      <x:c r="D160" s="11" t="str">
        <x:v>2026-08-01</x:v>
      </x:c>
      <x:c r="E160" s="11" t="str"/>
      <x:c r="F160" s="11" t="str">
        <x:v>whole_income</x:v>
      </x:c>
      <x:c r="G160" s="11" t="str">
        <x:v>monthly</x:v>
      </x:c>
      <x:c r="H160" s="11" t="n">
        <x:v>24</x:v>
      </x:c>
      <x:c r="I160" s="11" t="str">
        <x:v>upper</x:v>
      </x:c>
      <x:c r="J160" s="11" t="str">
        <x:v>Payroll</x:v>
      </x:c>
      <x:c r="K160" s="11" t="str">
        <x:v>O18</x:v>
      </x:c>
      <x:c r="L160" s="11" t="str">
        <x:v>TER B band 24 upper</x:v>
      </x:c>
    </x:row>
    <x:row r="161">
      <x:c r="A161" s="11" t="str">
        <x:v>IDTERB</x:v>
      </x:c>
      <x:c r="B161" s="11" t="str">
        <x:v>ID</x:v>
      </x:c>
      <x:c r="C161" s="11" t="str">
        <x:v>2026-08</x:v>
      </x:c>
      <x:c r="D161" s="11" t="str">
        <x:v>2026-08-01</x:v>
      </x:c>
      <x:c r="E161" s="11" t="str"/>
      <x:c r="F161" s="11" t="str">
        <x:v>whole_income</x:v>
      </x:c>
      <x:c r="G161" s="11" t="str">
        <x:v>monthly</x:v>
      </x:c>
      <x:c r="H161" s="11" t="n">
        <x:v>24</x:v>
      </x:c>
      <x:c r="I161" s="11" t="str">
        <x:v>rate</x:v>
      </x:c>
      <x:c r="J161" s="11" t="str">
        <x:v>Payroll</x:v>
      </x:c>
      <x:c r="K161" s="11" t="str">
        <x:v>P18</x:v>
      </x:c>
      <x:c r="L161" s="11" t="str">
        <x:v>TER B band 24 rate</x:v>
      </x:c>
    </x:row>
    <x:row r="162">
      <x:c r="A162" s="11" t="str">
        <x:v>IDTERB</x:v>
      </x:c>
      <x:c r="B162" s="11" t="str">
        <x:v>ID</x:v>
      </x:c>
      <x:c r="C162" s="11" t="str">
        <x:v>2026-08</x:v>
      </x:c>
      <x:c r="D162" s="11" t="str">
        <x:v>2026-08-01</x:v>
      </x:c>
      <x:c r="E162" s="11" t="str"/>
      <x:c r="F162" s="11" t="str">
        <x:v>whole_income</x:v>
      </x:c>
      <x:c r="G162" s="11" t="str">
        <x:v>monthly</x:v>
      </x:c>
      <x:c r="H162" s="11" t="n">
        <x:v>25</x:v>
      </x:c>
      <x:c r="I162" s="11" t="str">
        <x:v>upper</x:v>
      </x:c>
      <x:c r="J162" s="11" t="str">
        <x:v>Payroll</x:v>
      </x:c>
      <x:c r="K162" s="11" t="str">
        <x:v>O19</x:v>
      </x:c>
      <x:c r="L162" s="11" t="str">
        <x:v>TER B band 25 upper</x:v>
      </x:c>
    </x:row>
    <x:row r="163">
      <x:c r="A163" s="11" t="str">
        <x:v>IDTERB</x:v>
      </x:c>
      <x:c r="B163" s="11" t="str">
        <x:v>ID</x:v>
      </x:c>
      <x:c r="C163" s="11" t="str">
        <x:v>2026-08</x:v>
      </x:c>
      <x:c r="D163" s="11" t="str">
        <x:v>2026-08-01</x:v>
      </x:c>
      <x:c r="E163" s="11" t="str"/>
      <x:c r="F163" s="11" t="str">
        <x:v>whole_income</x:v>
      </x:c>
      <x:c r="G163" s="11" t="str">
        <x:v>monthly</x:v>
      </x:c>
      <x:c r="H163" s="11" t="n">
        <x:v>25</x:v>
      </x:c>
      <x:c r="I163" s="11" t="str">
        <x:v>rate</x:v>
      </x:c>
      <x:c r="J163" s="11" t="str">
        <x:v>Payroll</x:v>
      </x:c>
      <x:c r="K163" s="11" t="str">
        <x:v>P19</x:v>
      </x:c>
      <x:c r="L163" s="11" t="str">
        <x:v>TER B band 25 rate</x:v>
      </x:c>
    </x:row>
    <x:row r="164">
      <x:c r="A164" s="11" t="str">
        <x:v>IDTERB</x:v>
      </x:c>
      <x:c r="B164" s="11" t="str">
        <x:v>ID</x:v>
      </x:c>
      <x:c r="C164" s="11" t="str">
        <x:v>2026-08</x:v>
      </x:c>
      <x:c r="D164" s="11" t="str">
        <x:v>2026-08-01</x:v>
      </x:c>
      <x:c r="E164" s="11" t="str"/>
      <x:c r="F164" s="11" t="str">
        <x:v>whole_income</x:v>
      </x:c>
      <x:c r="G164" s="11" t="str">
        <x:v>monthly</x:v>
      </x:c>
      <x:c r="H164" s="11" t="n">
        <x:v>26</x:v>
      </x:c>
      <x:c r="I164" s="11" t="str">
        <x:v>upper</x:v>
      </x:c>
      <x:c r="J164" s="11" t="str">
        <x:v>Payroll</x:v>
      </x:c>
      <x:c r="K164" s="11" t="str">
        <x:v>O20</x:v>
      </x:c>
      <x:c r="L164" s="11" t="str">
        <x:v>TER B band 26 upper</x:v>
      </x:c>
    </x:row>
    <x:row r="165">
      <x:c r="A165" s="11" t="str">
        <x:v>IDTERB</x:v>
      </x:c>
      <x:c r="B165" s="11" t="str">
        <x:v>ID</x:v>
      </x:c>
      <x:c r="C165" s="11" t="str">
        <x:v>2026-08</x:v>
      </x:c>
      <x:c r="D165" s="11" t="str">
        <x:v>2026-08-01</x:v>
      </x:c>
      <x:c r="E165" s="11" t="str"/>
      <x:c r="F165" s="11" t="str">
        <x:v>whole_income</x:v>
      </x:c>
      <x:c r="G165" s="11" t="str">
        <x:v>monthly</x:v>
      </x:c>
      <x:c r="H165" s="11" t="n">
        <x:v>26</x:v>
      </x:c>
      <x:c r="I165" s="11" t="str">
        <x:v>rate</x:v>
      </x:c>
      <x:c r="J165" s="11" t="str">
        <x:v>Payroll</x:v>
      </x:c>
      <x:c r="K165" s="11" t="str">
        <x:v>P20</x:v>
      </x:c>
      <x:c r="L165" s="11" t="str">
        <x:v>TER B band 26 rate</x:v>
      </x:c>
    </x:row>
    <x:row r="166">
      <x:c r="A166" s="11" t="str">
        <x:v>IDTERB</x:v>
      </x:c>
      <x:c r="B166" s="11" t="str">
        <x:v>ID</x:v>
      </x:c>
      <x:c r="C166" s="11" t="str">
        <x:v>2026-08</x:v>
      </x:c>
      <x:c r="D166" s="11" t="str">
        <x:v>2026-08-01</x:v>
      </x:c>
      <x:c r="E166" s="11" t="str"/>
      <x:c r="F166" s="11" t="str">
        <x:v>whole_income</x:v>
      </x:c>
      <x:c r="G166" s="11" t="str">
        <x:v>monthly</x:v>
      </x:c>
      <x:c r="H166" s="11" t="n">
        <x:v>27</x:v>
      </x:c>
      <x:c r="I166" s="11" t="str">
        <x:v>upper</x:v>
      </x:c>
      <x:c r="J166" s="11" t="str">
        <x:v>Payroll</x:v>
      </x:c>
      <x:c r="K166" s="11" t="str">
        <x:v>O21</x:v>
      </x:c>
      <x:c r="L166" s="11" t="str">
        <x:v>TER B band 27 upper</x:v>
      </x:c>
    </x:row>
    <x:row r="167">
      <x:c r="A167" s="11" t="str">
        <x:v>IDTERB</x:v>
      </x:c>
      <x:c r="B167" s="11" t="str">
        <x:v>ID</x:v>
      </x:c>
      <x:c r="C167" s="11" t="str">
        <x:v>2026-08</x:v>
      </x:c>
      <x:c r="D167" s="11" t="str">
        <x:v>2026-08-01</x:v>
      </x:c>
      <x:c r="E167" s="11" t="str"/>
      <x:c r="F167" s="11" t="str">
        <x:v>whole_income</x:v>
      </x:c>
      <x:c r="G167" s="11" t="str">
        <x:v>monthly</x:v>
      </x:c>
      <x:c r="H167" s="11" t="n">
        <x:v>27</x:v>
      </x:c>
      <x:c r="I167" s="11" t="str">
        <x:v>rate</x:v>
      </x:c>
      <x:c r="J167" s="11" t="str">
        <x:v>Payroll</x:v>
      </x:c>
      <x:c r="K167" s="11" t="str">
        <x:v>P21</x:v>
      </x:c>
      <x:c r="L167" s="11" t="str">
        <x:v>TER B band 27 rate</x:v>
      </x:c>
    </x:row>
    <x:row r="168">
      <x:c r="A168" s="11" t="str">
        <x:v>IDTERB</x:v>
      </x:c>
      <x:c r="B168" s="11" t="str">
        <x:v>ID</x:v>
      </x:c>
      <x:c r="C168" s="11" t="str">
        <x:v>2026-08</x:v>
      </x:c>
      <x:c r="D168" s="11" t="str">
        <x:v>2026-08-01</x:v>
      </x:c>
      <x:c r="E168" s="11" t="str"/>
      <x:c r="F168" s="11" t="str">
        <x:v>whole_income</x:v>
      </x:c>
      <x:c r="G168" s="11" t="str">
        <x:v>monthly</x:v>
      </x:c>
      <x:c r="H168" s="11" t="n">
        <x:v>28</x:v>
      </x:c>
      <x:c r="I168" s="11" t="str">
        <x:v>upper</x:v>
      </x:c>
      <x:c r="J168" s="11" t="str">
        <x:v>Payroll</x:v>
      </x:c>
      <x:c r="K168" s="11" t="str">
        <x:v>O22</x:v>
      </x:c>
      <x:c r="L168" s="11" t="str">
        <x:v>TER B band 28 upper</x:v>
      </x:c>
    </x:row>
    <x:row r="169">
      <x:c r="A169" s="11" t="str">
        <x:v>IDTERB</x:v>
      </x:c>
      <x:c r="B169" s="11" t="str">
        <x:v>ID</x:v>
      </x:c>
      <x:c r="C169" s="11" t="str">
        <x:v>2026-08</x:v>
      </x:c>
      <x:c r="D169" s="11" t="str">
        <x:v>2026-08-01</x:v>
      </x:c>
      <x:c r="E169" s="11" t="str"/>
      <x:c r="F169" s="11" t="str">
        <x:v>whole_income</x:v>
      </x:c>
      <x:c r="G169" s="11" t="str">
        <x:v>monthly</x:v>
      </x:c>
      <x:c r="H169" s="11" t="n">
        <x:v>28</x:v>
      </x:c>
      <x:c r="I169" s="11" t="str">
        <x:v>rate</x:v>
      </x:c>
      <x:c r="J169" s="11" t="str">
        <x:v>Payroll</x:v>
      </x:c>
      <x:c r="K169" s="11" t="str">
        <x:v>P22</x:v>
      </x:c>
      <x:c r="L169" s="11" t="str">
        <x:v>TER B band 28 rate</x:v>
      </x:c>
    </x:row>
    <x:row r="170">
      <x:c r="A170" s="11" t="str">
        <x:v>IDTERB</x:v>
      </x:c>
      <x:c r="B170" s="11" t="str">
        <x:v>ID</x:v>
      </x:c>
      <x:c r="C170" s="11" t="str">
        <x:v>2026-08</x:v>
      </x:c>
      <x:c r="D170" s="11" t="str">
        <x:v>2026-08-01</x:v>
      </x:c>
      <x:c r="E170" s="11" t="str"/>
      <x:c r="F170" s="11" t="str">
        <x:v>whole_income</x:v>
      </x:c>
      <x:c r="G170" s="11" t="str">
        <x:v>monthly</x:v>
      </x:c>
      <x:c r="H170" s="11" t="n">
        <x:v>29</x:v>
      </x:c>
      <x:c r="I170" s="11" t="str">
        <x:v>upper</x:v>
      </x:c>
      <x:c r="J170" s="11" t="str">
        <x:v>Payroll</x:v>
      </x:c>
      <x:c r="K170" s="11" t="str">
        <x:v>O23</x:v>
      </x:c>
      <x:c r="L170" s="11" t="str">
        <x:v>TER B band 29 upper</x:v>
      </x:c>
    </x:row>
    <x:row r="171">
      <x:c r="A171" s="11" t="str">
        <x:v>IDTERB</x:v>
      </x:c>
      <x:c r="B171" s="11" t="str">
        <x:v>ID</x:v>
      </x:c>
      <x:c r="C171" s="11" t="str">
        <x:v>2026-08</x:v>
      </x:c>
      <x:c r="D171" s="11" t="str">
        <x:v>2026-08-01</x:v>
      </x:c>
      <x:c r="E171" s="11" t="str"/>
      <x:c r="F171" s="11" t="str">
        <x:v>whole_income</x:v>
      </x:c>
      <x:c r="G171" s="11" t="str">
        <x:v>monthly</x:v>
      </x:c>
      <x:c r="H171" s="11" t="n">
        <x:v>29</x:v>
      </x:c>
      <x:c r="I171" s="11" t="str">
        <x:v>rate</x:v>
      </x:c>
      <x:c r="J171" s="11" t="str">
        <x:v>Payroll</x:v>
      </x:c>
      <x:c r="K171" s="11" t="str">
        <x:v>P23</x:v>
      </x:c>
      <x:c r="L171" s="11" t="str">
        <x:v>TER B band 29 rate</x:v>
      </x:c>
    </x:row>
    <x:row r="172">
      <x:c r="A172" s="11" t="str">
        <x:v>IDTERB</x:v>
      </x:c>
      <x:c r="B172" s="11" t="str">
        <x:v>ID</x:v>
      </x:c>
      <x:c r="C172" s="11" t="str">
        <x:v>2026-08</x:v>
      </x:c>
      <x:c r="D172" s="11" t="str">
        <x:v>2026-08-01</x:v>
      </x:c>
      <x:c r="E172" s="11" t="str"/>
      <x:c r="F172" s="11" t="str">
        <x:v>whole_income</x:v>
      </x:c>
      <x:c r="G172" s="11" t="str">
        <x:v>monthly</x:v>
      </x:c>
      <x:c r="H172" s="11" t="n">
        <x:v>30</x:v>
      </x:c>
      <x:c r="I172" s="11" t="str">
        <x:v>upper</x:v>
      </x:c>
      <x:c r="J172" s="11" t="str">
        <x:v>Payroll</x:v>
      </x:c>
      <x:c r="K172" s="11" t="str">
        <x:v>O24</x:v>
      </x:c>
      <x:c r="L172" s="11" t="str">
        <x:v>TER B band 30 upper</x:v>
      </x:c>
    </x:row>
    <x:row r="173">
      <x:c r="A173" s="11" t="str">
        <x:v>IDTERB</x:v>
      </x:c>
      <x:c r="B173" s="11" t="str">
        <x:v>ID</x:v>
      </x:c>
      <x:c r="C173" s="11" t="str">
        <x:v>2026-08</x:v>
      </x:c>
      <x:c r="D173" s="11" t="str">
        <x:v>2026-08-01</x:v>
      </x:c>
      <x:c r="E173" s="11" t="str"/>
      <x:c r="F173" s="11" t="str">
        <x:v>whole_income</x:v>
      </x:c>
      <x:c r="G173" s="11" t="str">
        <x:v>monthly</x:v>
      </x:c>
      <x:c r="H173" s="11" t="n">
        <x:v>30</x:v>
      </x:c>
      <x:c r="I173" s="11" t="str">
        <x:v>rate</x:v>
      </x:c>
      <x:c r="J173" s="11" t="str">
        <x:v>Payroll</x:v>
      </x:c>
      <x:c r="K173" s="11" t="str">
        <x:v>P24</x:v>
      </x:c>
      <x:c r="L173" s="11" t="str">
        <x:v>TER B band 30 rate</x:v>
      </x:c>
    </x:row>
    <x:row r="174">
      <x:c r="A174" s="11" t="str">
        <x:v>IDTERB</x:v>
      </x:c>
      <x:c r="B174" s="11" t="str">
        <x:v>ID</x:v>
      </x:c>
      <x:c r="C174" s="11" t="str">
        <x:v>2026-08</x:v>
      </x:c>
      <x:c r="D174" s="11" t="str">
        <x:v>2026-08-01</x:v>
      </x:c>
      <x:c r="E174" s="11" t="str"/>
      <x:c r="F174" s="11" t="str">
        <x:v>whole_income</x:v>
      </x:c>
      <x:c r="G174" s="11" t="str">
        <x:v>monthly</x:v>
      </x:c>
      <x:c r="H174" s="11" t="n">
        <x:v>31</x:v>
      </x:c>
      <x:c r="I174" s="11" t="str">
        <x:v>upper</x:v>
      </x:c>
      <x:c r="J174" s="11" t="str">
        <x:v>Payroll</x:v>
      </x:c>
      <x:c r="K174" s="11" t="str">
        <x:v>R10</x:v>
      </x:c>
      <x:c r="L174" s="11" t="str">
        <x:v>TER B band 31 upper</x:v>
      </x:c>
    </x:row>
    <x:row r="175">
      <x:c r="A175" s="11" t="str">
        <x:v>IDTERB</x:v>
      </x:c>
      <x:c r="B175" s="11" t="str">
        <x:v>ID</x:v>
      </x:c>
      <x:c r="C175" s="11" t="str">
        <x:v>2026-08</x:v>
      </x:c>
      <x:c r="D175" s="11" t="str">
        <x:v>2026-08-01</x:v>
      </x:c>
      <x:c r="E175" s="11" t="str"/>
      <x:c r="F175" s="11" t="str">
        <x:v>whole_income</x:v>
      </x:c>
      <x:c r="G175" s="11" t="str">
        <x:v>monthly</x:v>
      </x:c>
      <x:c r="H175" s="11" t="n">
        <x:v>31</x:v>
      </x:c>
      <x:c r="I175" s="11" t="str">
        <x:v>rate</x:v>
      </x:c>
      <x:c r="J175" s="11" t="str">
        <x:v>Payroll</x:v>
      </x:c>
      <x:c r="K175" s="11" t="str">
        <x:v>S10</x:v>
      </x:c>
      <x:c r="L175" s="11" t="str">
        <x:v>TER B band 31 rate</x:v>
      </x:c>
    </x:row>
    <x:row r="176">
      <x:c r="A176" s="11" t="str">
        <x:v>IDTERB</x:v>
      </x:c>
      <x:c r="B176" s="11" t="str">
        <x:v>ID</x:v>
      </x:c>
      <x:c r="C176" s="11" t="str">
        <x:v>2026-08</x:v>
      </x:c>
      <x:c r="D176" s="11" t="str">
        <x:v>2026-08-01</x:v>
      </x:c>
      <x:c r="E176" s="11" t="str"/>
      <x:c r="F176" s="11" t="str">
        <x:v>whole_income</x:v>
      </x:c>
      <x:c r="G176" s="11" t="str">
        <x:v>monthly</x:v>
      </x:c>
      <x:c r="H176" s="11" t="n">
        <x:v>32</x:v>
      </x:c>
      <x:c r="I176" s="11" t="str">
        <x:v>upper</x:v>
      </x:c>
      <x:c r="J176" s="11" t="str">
        <x:v>Payroll</x:v>
      </x:c>
      <x:c r="K176" s="11" t="str">
        <x:v>R11</x:v>
      </x:c>
      <x:c r="L176" s="11" t="str">
        <x:v>TER B band 32 upper</x:v>
      </x:c>
    </x:row>
    <x:row r="177">
      <x:c r="A177" s="11" t="str">
        <x:v>IDTERB</x:v>
      </x:c>
      <x:c r="B177" s="11" t="str">
        <x:v>ID</x:v>
      </x:c>
      <x:c r="C177" s="11" t="str">
        <x:v>2026-08</x:v>
      </x:c>
      <x:c r="D177" s="11" t="str">
        <x:v>2026-08-01</x:v>
      </x:c>
      <x:c r="E177" s="11" t="str"/>
      <x:c r="F177" s="11" t="str">
        <x:v>whole_income</x:v>
      </x:c>
      <x:c r="G177" s="11" t="str">
        <x:v>monthly</x:v>
      </x:c>
      <x:c r="H177" s="11" t="n">
        <x:v>32</x:v>
      </x:c>
      <x:c r="I177" s="11" t="str">
        <x:v>rate</x:v>
      </x:c>
      <x:c r="J177" s="11" t="str">
        <x:v>Payroll</x:v>
      </x:c>
      <x:c r="K177" s="11" t="str">
        <x:v>S11</x:v>
      </x:c>
      <x:c r="L177" s="11" t="str">
        <x:v>TER B band 32 rate</x:v>
      </x:c>
    </x:row>
    <x:row r="178">
      <x:c r="A178" s="11" t="str">
        <x:v>IDTERB</x:v>
      </x:c>
      <x:c r="B178" s="11" t="str">
        <x:v>ID</x:v>
      </x:c>
      <x:c r="C178" s="11" t="str">
        <x:v>2026-08</x:v>
      </x:c>
      <x:c r="D178" s="11" t="str">
        <x:v>2026-08-01</x:v>
      </x:c>
      <x:c r="E178" s="11" t="str"/>
      <x:c r="F178" s="11" t="str">
        <x:v>whole_income</x:v>
      </x:c>
      <x:c r="G178" s="11" t="str">
        <x:v>monthly</x:v>
      </x:c>
      <x:c r="H178" s="11" t="n">
        <x:v>33</x:v>
      </x:c>
      <x:c r="I178" s="11" t="str">
        <x:v>upper</x:v>
      </x:c>
      <x:c r="J178" s="11" t="str">
        <x:v>Payroll</x:v>
      </x:c>
      <x:c r="K178" s="11" t="str">
        <x:v>R12</x:v>
      </x:c>
      <x:c r="L178" s="11" t="str">
        <x:v>TER B band 33 upper</x:v>
      </x:c>
    </x:row>
    <x:row r="179">
      <x:c r="A179" s="11" t="str">
        <x:v>IDTERB</x:v>
      </x:c>
      <x:c r="B179" s="11" t="str">
        <x:v>ID</x:v>
      </x:c>
      <x:c r="C179" s="11" t="str">
        <x:v>2026-08</x:v>
      </x:c>
      <x:c r="D179" s="11" t="str">
        <x:v>2026-08-01</x:v>
      </x:c>
      <x:c r="E179" s="11" t="str"/>
      <x:c r="F179" s="11" t="str">
        <x:v>whole_income</x:v>
      </x:c>
      <x:c r="G179" s="11" t="str">
        <x:v>monthly</x:v>
      </x:c>
      <x:c r="H179" s="11" t="n">
        <x:v>33</x:v>
      </x:c>
      <x:c r="I179" s="11" t="str">
        <x:v>rate</x:v>
      </x:c>
      <x:c r="J179" s="11" t="str">
        <x:v>Payroll</x:v>
      </x:c>
      <x:c r="K179" s="11" t="str">
        <x:v>S12</x:v>
      </x:c>
      <x:c r="L179" s="11" t="str">
        <x:v>TER B band 33 rate</x:v>
      </x:c>
    </x:row>
    <x:row r="180">
      <x:c r="A180" s="11" t="str">
        <x:v>IDTERB</x:v>
      </x:c>
      <x:c r="B180" s="11" t="str">
        <x:v>ID</x:v>
      </x:c>
      <x:c r="C180" s="11" t="str">
        <x:v>2026-08</x:v>
      </x:c>
      <x:c r="D180" s="11" t="str">
        <x:v>2026-08-01</x:v>
      </x:c>
      <x:c r="E180" s="11" t="str"/>
      <x:c r="F180" s="11" t="str">
        <x:v>whole_income</x:v>
      </x:c>
      <x:c r="G180" s="11" t="str">
        <x:v>monthly</x:v>
      </x:c>
      <x:c r="H180" s="11" t="n">
        <x:v>34</x:v>
      </x:c>
      <x:c r="I180" s="11" t="str">
        <x:v>upper</x:v>
      </x:c>
      <x:c r="J180" s="11" t="str">
        <x:v>Payroll</x:v>
      </x:c>
      <x:c r="K180" s="11" t="str">
        <x:v>R13</x:v>
      </x:c>
      <x:c r="L180" s="11" t="str">
        <x:v>TER B band 34 upper</x:v>
      </x:c>
    </x:row>
    <x:row r="181">
      <x:c r="A181" s="11" t="str">
        <x:v>IDTERB</x:v>
      </x:c>
      <x:c r="B181" s="11" t="str">
        <x:v>ID</x:v>
      </x:c>
      <x:c r="C181" s="11" t="str">
        <x:v>2026-08</x:v>
      </x:c>
      <x:c r="D181" s="11" t="str">
        <x:v>2026-08-01</x:v>
      </x:c>
      <x:c r="E181" s="11" t="str"/>
      <x:c r="F181" s="11" t="str">
        <x:v>whole_income</x:v>
      </x:c>
      <x:c r="G181" s="11" t="str">
        <x:v>monthly</x:v>
      </x:c>
      <x:c r="H181" s="11" t="n">
        <x:v>34</x:v>
      </x:c>
      <x:c r="I181" s="11" t="str">
        <x:v>rate</x:v>
      </x:c>
      <x:c r="J181" s="11" t="str">
        <x:v>Payroll</x:v>
      </x:c>
      <x:c r="K181" s="11" t="str">
        <x:v>S13</x:v>
      </x:c>
      <x:c r="L181" s="11" t="str">
        <x:v>TER B band 34 rate</x:v>
      </x:c>
    </x:row>
    <x:row r="182">
      <x:c r="A182" s="11" t="str">
        <x:v>IDTERB</x:v>
      </x:c>
      <x:c r="B182" s="11" t="str">
        <x:v>ID</x:v>
      </x:c>
      <x:c r="C182" s="11" t="str">
        <x:v>2026-08</x:v>
      </x:c>
      <x:c r="D182" s="11" t="str">
        <x:v>2026-08-01</x:v>
      </x:c>
      <x:c r="E182" s="11" t="str"/>
      <x:c r="F182" s="11" t="str">
        <x:v>whole_income</x:v>
      </x:c>
      <x:c r="G182" s="11" t="str">
        <x:v>monthly</x:v>
      </x:c>
      <x:c r="H182" s="11" t="n">
        <x:v>35</x:v>
      </x:c>
      <x:c r="I182" s="11" t="str">
        <x:v>upper</x:v>
      </x:c>
      <x:c r="J182" s="11" t="str">
        <x:v>Payroll</x:v>
      </x:c>
      <x:c r="K182" s="11" t="str">
        <x:v>R14</x:v>
      </x:c>
      <x:c r="L182" s="11" t="str">
        <x:v>TER B band 35 upper</x:v>
      </x:c>
    </x:row>
    <x:row r="183">
      <x:c r="A183" s="11" t="str">
        <x:v>IDTERB</x:v>
      </x:c>
      <x:c r="B183" s="11" t="str">
        <x:v>ID</x:v>
      </x:c>
      <x:c r="C183" s="11" t="str">
        <x:v>2026-08</x:v>
      </x:c>
      <x:c r="D183" s="11" t="str">
        <x:v>2026-08-01</x:v>
      </x:c>
      <x:c r="E183" s="11" t="str"/>
      <x:c r="F183" s="11" t="str">
        <x:v>whole_income</x:v>
      </x:c>
      <x:c r="G183" s="11" t="str">
        <x:v>monthly</x:v>
      </x:c>
      <x:c r="H183" s="11" t="n">
        <x:v>35</x:v>
      </x:c>
      <x:c r="I183" s="11" t="str">
        <x:v>rate</x:v>
      </x:c>
      <x:c r="J183" s="11" t="str">
        <x:v>Payroll</x:v>
      </x:c>
      <x:c r="K183" s="11" t="str">
        <x:v>S14</x:v>
      </x:c>
      <x:c r="L183" s="11" t="str">
        <x:v>TER B band 35 rate</x:v>
      </x:c>
    </x:row>
    <x:row r="184">
      <x:c r="A184" s="11" t="str">
        <x:v>IDTERB</x:v>
      </x:c>
      <x:c r="B184" s="11" t="str">
        <x:v>ID</x:v>
      </x:c>
      <x:c r="C184" s="11" t="str">
        <x:v>2026-08</x:v>
      </x:c>
      <x:c r="D184" s="11" t="str">
        <x:v>2026-08-01</x:v>
      </x:c>
      <x:c r="E184" s="11" t="str"/>
      <x:c r="F184" s="11" t="str">
        <x:v>whole_income</x:v>
      </x:c>
      <x:c r="G184" s="11" t="str">
        <x:v>monthly</x:v>
      </x:c>
      <x:c r="H184" s="11" t="n">
        <x:v>36</x:v>
      </x:c>
      <x:c r="I184" s="11" t="str">
        <x:v>upper</x:v>
      </x:c>
      <x:c r="J184" s="11" t="str">
        <x:v>Payroll</x:v>
      </x:c>
      <x:c r="K184" s="11" t="str">
        <x:v>R15</x:v>
      </x:c>
      <x:c r="L184" s="11" t="str">
        <x:v>TER B band 36 upper</x:v>
      </x:c>
    </x:row>
    <x:row r="185">
      <x:c r="A185" s="11" t="str">
        <x:v>IDTERB</x:v>
      </x:c>
      <x:c r="B185" s="11" t="str">
        <x:v>ID</x:v>
      </x:c>
      <x:c r="C185" s="11" t="str">
        <x:v>2026-08</x:v>
      </x:c>
      <x:c r="D185" s="11" t="str">
        <x:v>2026-08-01</x:v>
      </x:c>
      <x:c r="E185" s="11" t="str"/>
      <x:c r="F185" s="11" t="str">
        <x:v>whole_income</x:v>
      </x:c>
      <x:c r="G185" s="11" t="str">
        <x:v>monthly</x:v>
      </x:c>
      <x:c r="H185" s="11" t="n">
        <x:v>36</x:v>
      </x:c>
      <x:c r="I185" s="11" t="str">
        <x:v>rate</x:v>
      </x:c>
      <x:c r="J185" s="11" t="str">
        <x:v>Payroll</x:v>
      </x:c>
      <x:c r="K185" s="11" t="str">
        <x:v>S15</x:v>
      </x:c>
      <x:c r="L185" s="11" t="str">
        <x:v>TER B band 36 rate</x:v>
      </x:c>
    </x:row>
    <x:row r="186">
      <x:c r="A186" s="11" t="str">
        <x:v>IDTERB</x:v>
      </x:c>
      <x:c r="B186" s="11" t="str">
        <x:v>ID</x:v>
      </x:c>
      <x:c r="C186" s="11" t="str">
        <x:v>2026-08</x:v>
      </x:c>
      <x:c r="D186" s="11" t="str">
        <x:v>2026-08-01</x:v>
      </x:c>
      <x:c r="E186" s="11" t="str"/>
      <x:c r="F186" s="11" t="str">
        <x:v>whole_income</x:v>
      </x:c>
      <x:c r="G186" s="11" t="str">
        <x:v>monthly</x:v>
      </x:c>
      <x:c r="H186" s="11" t="n">
        <x:v>37</x:v>
      </x:c>
      <x:c r="I186" s="11" t="str">
        <x:v>upper</x:v>
      </x:c>
      <x:c r="J186" s="11" t="str">
        <x:v>Payroll</x:v>
      </x:c>
      <x:c r="K186" s="11" t="str">
        <x:v>R16</x:v>
      </x:c>
      <x:c r="L186" s="11" t="str">
        <x:v>TER B band 37 upper</x:v>
      </x:c>
    </x:row>
    <x:row r="187">
      <x:c r="A187" s="11" t="str">
        <x:v>IDTERB</x:v>
      </x:c>
      <x:c r="B187" s="11" t="str">
        <x:v>ID</x:v>
      </x:c>
      <x:c r="C187" s="11" t="str">
        <x:v>2026-08</x:v>
      </x:c>
      <x:c r="D187" s="11" t="str">
        <x:v>2026-08-01</x:v>
      </x:c>
      <x:c r="E187" s="11" t="str"/>
      <x:c r="F187" s="11" t="str">
        <x:v>whole_income</x:v>
      </x:c>
      <x:c r="G187" s="11" t="str">
        <x:v>monthly</x:v>
      </x:c>
      <x:c r="H187" s="11" t="n">
        <x:v>37</x:v>
      </x:c>
      <x:c r="I187" s="11" t="str">
        <x:v>rate</x:v>
      </x:c>
      <x:c r="J187" s="11" t="str">
        <x:v>Payroll</x:v>
      </x:c>
      <x:c r="K187" s="11" t="str">
        <x:v>S16</x:v>
      </x:c>
      <x:c r="L187" s="11" t="str">
        <x:v>TER B band 37 rate</x:v>
      </x:c>
    </x:row>
    <x:row r="188">
      <x:c r="A188" s="11" t="str">
        <x:v>IDTERB</x:v>
      </x:c>
      <x:c r="B188" s="11" t="str">
        <x:v>ID</x:v>
      </x:c>
      <x:c r="C188" s="11" t="str">
        <x:v>2026-08</x:v>
      </x:c>
      <x:c r="D188" s="11" t="str">
        <x:v>2026-08-01</x:v>
      </x:c>
      <x:c r="E188" s="11" t="str"/>
      <x:c r="F188" s="11" t="str">
        <x:v>whole_income</x:v>
      </x:c>
      <x:c r="G188" s="11" t="str">
        <x:v>monthly</x:v>
      </x:c>
      <x:c r="H188" s="11" t="n">
        <x:v>38</x:v>
      </x:c>
      <x:c r="I188" s="11" t="str">
        <x:v>upper</x:v>
      </x:c>
      <x:c r="J188" s="11" t="str">
        <x:v>Payroll</x:v>
      </x:c>
      <x:c r="K188" s="11" t="str">
        <x:v>R17</x:v>
      </x:c>
      <x:c r="L188" s="11" t="str">
        <x:v>TER B band 38 upper</x:v>
      </x:c>
    </x:row>
    <x:row r="189">
      <x:c r="A189" s="11" t="str">
        <x:v>IDTERB</x:v>
      </x:c>
      <x:c r="B189" s="11" t="str">
        <x:v>ID</x:v>
      </x:c>
      <x:c r="C189" s="11" t="str">
        <x:v>2026-08</x:v>
      </x:c>
      <x:c r="D189" s="11" t="str">
        <x:v>2026-08-01</x:v>
      </x:c>
      <x:c r="E189" s="11" t="str"/>
      <x:c r="F189" s="11" t="str">
        <x:v>whole_income</x:v>
      </x:c>
      <x:c r="G189" s="11" t="str">
        <x:v>monthly</x:v>
      </x:c>
      <x:c r="H189" s="11" t="n">
        <x:v>38</x:v>
      </x:c>
      <x:c r="I189" s="11" t="str">
        <x:v>rate</x:v>
      </x:c>
      <x:c r="J189" s="11" t="str">
        <x:v>Payroll</x:v>
      </x:c>
      <x:c r="K189" s="11" t="str">
        <x:v>S17</x:v>
      </x:c>
      <x:c r="L189" s="11" t="str">
        <x:v>TER B band 38 rate</x:v>
      </x:c>
    </x:row>
    <x:row r="190">
      <x:c r="A190" s="11" t="str">
        <x:v>IDTERB</x:v>
      </x:c>
      <x:c r="B190" s="11" t="str">
        <x:v>ID</x:v>
      </x:c>
      <x:c r="C190" s="11" t="str">
        <x:v>2026-08</x:v>
      </x:c>
      <x:c r="D190" s="11" t="str">
        <x:v>2026-08-01</x:v>
      </x:c>
      <x:c r="E190" s="11" t="str"/>
      <x:c r="F190" s="11" t="str">
        <x:v>whole_income</x:v>
      </x:c>
      <x:c r="G190" s="11" t="str">
        <x:v>monthly</x:v>
      </x:c>
      <x:c r="H190" s="11" t="n">
        <x:v>39</x:v>
      </x:c>
      <x:c r="I190" s="11" t="str">
        <x:v>upper</x:v>
      </x:c>
      <x:c r="J190" s="11" t="str">
        <x:v>Payroll</x:v>
      </x:c>
      <x:c r="K190" s="11" t="str">
        <x:v>R18</x:v>
      </x:c>
      <x:c r="L190" s="11" t="str">
        <x:v>TER B band 39 upper</x:v>
      </x:c>
    </x:row>
    <x:row r="191">
      <x:c r="A191" s="11" t="str">
        <x:v>IDTERB</x:v>
      </x:c>
      <x:c r="B191" s="11" t="str">
        <x:v>ID</x:v>
      </x:c>
      <x:c r="C191" s="11" t="str">
        <x:v>2026-08</x:v>
      </x:c>
      <x:c r="D191" s="11" t="str">
        <x:v>2026-08-01</x:v>
      </x:c>
      <x:c r="E191" s="11" t="str"/>
      <x:c r="F191" s="11" t="str">
        <x:v>whole_income</x:v>
      </x:c>
      <x:c r="G191" s="11" t="str">
        <x:v>monthly</x:v>
      </x:c>
      <x:c r="H191" s="11" t="n">
        <x:v>39</x:v>
      </x:c>
      <x:c r="I191" s="11" t="str">
        <x:v>rate</x:v>
      </x:c>
      <x:c r="J191" s="11" t="str">
        <x:v>Payroll</x:v>
      </x:c>
      <x:c r="K191" s="11" t="str">
        <x:v>S18</x:v>
      </x:c>
      <x:c r="L191" s="11" t="str">
        <x:v>TER B band 39 rate</x:v>
      </x:c>
    </x:row>
    <x:row r="192">
      <x:c r="A192" s="11" t="str">
        <x:v>IDTERB</x:v>
      </x:c>
      <x:c r="B192" s="11" t="str">
        <x:v>ID</x:v>
      </x:c>
      <x:c r="C192" s="11" t="str">
        <x:v>2026-08</x:v>
      </x:c>
      <x:c r="D192" s="11" t="str">
        <x:v>2026-08-01</x:v>
      </x:c>
      <x:c r="E192" s="11" t="str"/>
      <x:c r="F192" s="11" t="str">
        <x:v>whole_income</x:v>
      </x:c>
      <x:c r="G192" s="11" t="str">
        <x:v>monthly</x:v>
      </x:c>
      <x:c r="H192" s="11" t="n">
        <x:v>40</x:v>
      </x:c>
      <x:c r="I192" s="11" t="str">
        <x:v>upper</x:v>
      </x:c>
      <x:c r="J192" s="11" t="str">
        <x:v>Payroll</x:v>
      </x:c>
      <x:c r="K192" s="11" t="str">
        <x:v>R19</x:v>
      </x:c>
      <x:c r="L192" s="11" t="str">
        <x:v>TER B band 40 upper</x:v>
      </x:c>
    </x:row>
    <x:row r="193">
      <x:c r="A193" s="11" t="str">
        <x:v>IDTERB</x:v>
      </x:c>
      <x:c r="B193" s="11" t="str">
        <x:v>ID</x:v>
      </x:c>
      <x:c r="C193" s="11" t="str">
        <x:v>2026-08</x:v>
      </x:c>
      <x:c r="D193" s="11" t="str">
        <x:v>2026-08-01</x:v>
      </x:c>
      <x:c r="E193" s="11" t="str"/>
      <x:c r="F193" s="11" t="str">
        <x:v>whole_income</x:v>
      </x:c>
      <x:c r="G193" s="11" t="str">
        <x:v>monthly</x:v>
      </x:c>
      <x:c r="H193" s="11" t="n">
        <x:v>40</x:v>
      </x:c>
      <x:c r="I193" s="11" t="str">
        <x:v>rate</x:v>
      </x:c>
      <x:c r="J193" s="11" t="str">
        <x:v>Payroll</x:v>
      </x:c>
      <x:c r="K193" s="11" t="str">
        <x:v>S19</x:v>
      </x:c>
      <x:c r="L193" s="11" t="str">
        <x:v>TER B band 40 rate</x:v>
      </x:c>
    </x:row>
    <x:row r="194">
      <x:c r="A194" s="11" t="str">
        <x:v>IDTERC</x:v>
      </x:c>
      <x:c r="B194" s="11" t="str">
        <x:v>ID</x:v>
      </x:c>
      <x:c r="C194" s="11" t="str">
        <x:v>2026-08</x:v>
      </x:c>
      <x:c r="D194" s="11" t="str">
        <x:v>2026-08-01</x:v>
      </x:c>
      <x:c r="E194" s="11" t="str"/>
      <x:c r="F194" s="11" t="str">
        <x:v>whole_income</x:v>
      </x:c>
      <x:c r="G194" s="11" t="str">
        <x:v>monthly</x:v>
      </x:c>
      <x:c r="H194" s="11" t="n">
        <x:v>1</x:v>
      </x:c>
      <x:c r="I194" s="11" t="str">
        <x:v>upper</x:v>
      </x:c>
      <x:c r="J194" s="11" t="str">
        <x:v>Payroll</x:v>
      </x:c>
      <x:c r="K194" s="11" t="str">
        <x:v>V10</x:v>
      </x:c>
      <x:c r="L194" s="11" t="str">
        <x:v>TER C band 1 upper</x:v>
      </x:c>
    </x:row>
    <x:row r="195">
      <x:c r="A195" s="11" t="str">
        <x:v>IDTERC</x:v>
      </x:c>
      <x:c r="B195" s="11" t="str">
        <x:v>ID</x:v>
      </x:c>
      <x:c r="C195" s="11" t="str">
        <x:v>2026-08</x:v>
      </x:c>
      <x:c r="D195" s="11" t="str">
        <x:v>2026-08-01</x:v>
      </x:c>
      <x:c r="E195" s="11" t="str"/>
      <x:c r="F195" s="11" t="str">
        <x:v>whole_income</x:v>
      </x:c>
      <x:c r="G195" s="11" t="str">
        <x:v>monthly</x:v>
      </x:c>
      <x:c r="H195" s="11" t="n">
        <x:v>1</x:v>
      </x:c>
      <x:c r="I195" s="11" t="str">
        <x:v>rate</x:v>
      </x:c>
      <x:c r="J195" s="11" t="str">
        <x:v>Payroll</x:v>
      </x:c>
      <x:c r="K195" s="11" t="str">
        <x:v>W10</x:v>
      </x:c>
      <x:c r="L195" s="11" t="str">
        <x:v>TER C band 1 rate</x:v>
      </x:c>
    </x:row>
    <x:row r="196">
      <x:c r="A196" s="11" t="str">
        <x:v>IDTERC</x:v>
      </x:c>
      <x:c r="B196" s="11" t="str">
        <x:v>ID</x:v>
      </x:c>
      <x:c r="C196" s="11" t="str">
        <x:v>2026-08</x:v>
      </x:c>
      <x:c r="D196" s="11" t="str">
        <x:v>2026-08-01</x:v>
      </x:c>
      <x:c r="E196" s="11" t="str"/>
      <x:c r="F196" s="11" t="str">
        <x:v>whole_income</x:v>
      </x:c>
      <x:c r="G196" s="11" t="str">
        <x:v>monthly</x:v>
      </x:c>
      <x:c r="H196" s="11" t="n">
        <x:v>2</x:v>
      </x:c>
      <x:c r="I196" s="11" t="str">
        <x:v>upper</x:v>
      </x:c>
      <x:c r="J196" s="11" t="str">
        <x:v>Payroll</x:v>
      </x:c>
      <x:c r="K196" s="11" t="str">
        <x:v>V11</x:v>
      </x:c>
      <x:c r="L196" s="11" t="str">
        <x:v>TER C band 2 upper</x:v>
      </x:c>
    </x:row>
    <x:row r="197">
      <x:c r="A197" s="11" t="str">
        <x:v>IDTERC</x:v>
      </x:c>
      <x:c r="B197" s="11" t="str">
        <x:v>ID</x:v>
      </x:c>
      <x:c r="C197" s="11" t="str">
        <x:v>2026-08</x:v>
      </x:c>
      <x:c r="D197" s="11" t="str">
        <x:v>2026-08-01</x:v>
      </x:c>
      <x:c r="E197" s="11" t="str"/>
      <x:c r="F197" s="11" t="str">
        <x:v>whole_income</x:v>
      </x:c>
      <x:c r="G197" s="11" t="str">
        <x:v>monthly</x:v>
      </x:c>
      <x:c r="H197" s="11" t="n">
        <x:v>2</x:v>
      </x:c>
      <x:c r="I197" s="11" t="str">
        <x:v>rate</x:v>
      </x:c>
      <x:c r="J197" s="11" t="str">
        <x:v>Payroll</x:v>
      </x:c>
      <x:c r="K197" s="11" t="str">
        <x:v>W11</x:v>
      </x:c>
      <x:c r="L197" s="11" t="str">
        <x:v>TER C band 2 rate</x:v>
      </x:c>
    </x:row>
    <x:row r="198">
      <x:c r="A198" s="11" t="str">
        <x:v>IDTERC</x:v>
      </x:c>
      <x:c r="B198" s="11" t="str">
        <x:v>ID</x:v>
      </x:c>
      <x:c r="C198" s="11" t="str">
        <x:v>2026-08</x:v>
      </x:c>
      <x:c r="D198" s="11" t="str">
        <x:v>2026-08-01</x:v>
      </x:c>
      <x:c r="E198" s="11" t="str"/>
      <x:c r="F198" s="11" t="str">
        <x:v>whole_income</x:v>
      </x:c>
      <x:c r="G198" s="11" t="str">
        <x:v>monthly</x:v>
      </x:c>
      <x:c r="H198" s="11" t="n">
        <x:v>3</x:v>
      </x:c>
      <x:c r="I198" s="11" t="str">
        <x:v>upper</x:v>
      </x:c>
      <x:c r="J198" s="11" t="str">
        <x:v>Payroll</x:v>
      </x:c>
      <x:c r="K198" s="11" t="str">
        <x:v>V12</x:v>
      </x:c>
      <x:c r="L198" s="11" t="str">
        <x:v>TER C band 3 upper</x:v>
      </x:c>
    </x:row>
    <x:row r="199">
      <x:c r="A199" s="11" t="str">
        <x:v>IDTERC</x:v>
      </x:c>
      <x:c r="B199" s="11" t="str">
        <x:v>ID</x:v>
      </x:c>
      <x:c r="C199" s="11" t="str">
        <x:v>2026-08</x:v>
      </x:c>
      <x:c r="D199" s="11" t="str">
        <x:v>2026-08-01</x:v>
      </x:c>
      <x:c r="E199" s="11" t="str"/>
      <x:c r="F199" s="11" t="str">
        <x:v>whole_income</x:v>
      </x:c>
      <x:c r="G199" s="11" t="str">
        <x:v>monthly</x:v>
      </x:c>
      <x:c r="H199" s="11" t="n">
        <x:v>3</x:v>
      </x:c>
      <x:c r="I199" s="11" t="str">
        <x:v>rate</x:v>
      </x:c>
      <x:c r="J199" s="11" t="str">
        <x:v>Payroll</x:v>
      </x:c>
      <x:c r="K199" s="11" t="str">
        <x:v>W12</x:v>
      </x:c>
      <x:c r="L199" s="11" t="str">
        <x:v>TER C band 3 rate</x:v>
      </x:c>
    </x:row>
    <x:row r="200">
      <x:c r="A200" s="11" t="str">
        <x:v>IDTERC</x:v>
      </x:c>
      <x:c r="B200" s="11" t="str">
        <x:v>ID</x:v>
      </x:c>
      <x:c r="C200" s="11" t="str">
        <x:v>2026-08</x:v>
      </x:c>
      <x:c r="D200" s="11" t="str">
        <x:v>2026-08-01</x:v>
      </x:c>
      <x:c r="E200" s="11" t="str"/>
      <x:c r="F200" s="11" t="str">
        <x:v>whole_income</x:v>
      </x:c>
      <x:c r="G200" s="11" t="str">
        <x:v>monthly</x:v>
      </x:c>
      <x:c r="H200" s="11" t="n">
        <x:v>4</x:v>
      </x:c>
      <x:c r="I200" s="11" t="str">
        <x:v>upper</x:v>
      </x:c>
      <x:c r="J200" s="11" t="str">
        <x:v>Payroll</x:v>
      </x:c>
      <x:c r="K200" s="11" t="str">
        <x:v>V13</x:v>
      </x:c>
      <x:c r="L200" s="11" t="str">
        <x:v>TER C band 4 upper</x:v>
      </x:c>
    </x:row>
    <x:row r="201">
      <x:c r="A201" s="11" t="str">
        <x:v>IDTERC</x:v>
      </x:c>
      <x:c r="B201" s="11" t="str">
        <x:v>ID</x:v>
      </x:c>
      <x:c r="C201" s="11" t="str">
        <x:v>2026-08</x:v>
      </x:c>
      <x:c r="D201" s="11" t="str">
        <x:v>2026-08-01</x:v>
      </x:c>
      <x:c r="E201" s="11" t="str"/>
      <x:c r="F201" s="11" t="str">
        <x:v>whole_income</x:v>
      </x:c>
      <x:c r="G201" s="11" t="str">
        <x:v>monthly</x:v>
      </x:c>
      <x:c r="H201" s="11" t="n">
        <x:v>4</x:v>
      </x:c>
      <x:c r="I201" s="11" t="str">
        <x:v>rate</x:v>
      </x:c>
      <x:c r="J201" s="11" t="str">
        <x:v>Payroll</x:v>
      </x:c>
      <x:c r="K201" s="11" t="str">
        <x:v>W13</x:v>
      </x:c>
      <x:c r="L201" s="11" t="str">
        <x:v>TER C band 4 rate</x:v>
      </x:c>
    </x:row>
    <x:row r="202">
      <x:c r="A202" s="11" t="str">
        <x:v>IDTERC</x:v>
      </x:c>
      <x:c r="B202" s="11" t="str">
        <x:v>ID</x:v>
      </x:c>
      <x:c r="C202" s="11" t="str">
        <x:v>2026-08</x:v>
      </x:c>
      <x:c r="D202" s="11" t="str">
        <x:v>2026-08-01</x:v>
      </x:c>
      <x:c r="E202" s="11" t="str"/>
      <x:c r="F202" s="11" t="str">
        <x:v>whole_income</x:v>
      </x:c>
      <x:c r="G202" s="11" t="str">
        <x:v>monthly</x:v>
      </x:c>
      <x:c r="H202" s="11" t="n">
        <x:v>5</x:v>
      </x:c>
      <x:c r="I202" s="11" t="str">
        <x:v>upper</x:v>
      </x:c>
      <x:c r="J202" s="11" t="str">
        <x:v>Payroll</x:v>
      </x:c>
      <x:c r="K202" s="11" t="str">
        <x:v>V14</x:v>
      </x:c>
      <x:c r="L202" s="11" t="str">
        <x:v>TER C band 5 upper</x:v>
      </x:c>
    </x:row>
    <x:row r="203">
      <x:c r="A203" s="11" t="str">
        <x:v>IDTERC</x:v>
      </x:c>
      <x:c r="B203" s="11" t="str">
        <x:v>ID</x:v>
      </x:c>
      <x:c r="C203" s="11" t="str">
        <x:v>2026-08</x:v>
      </x:c>
      <x:c r="D203" s="11" t="str">
        <x:v>2026-08-01</x:v>
      </x:c>
      <x:c r="E203" s="11" t="str"/>
      <x:c r="F203" s="11" t="str">
        <x:v>whole_income</x:v>
      </x:c>
      <x:c r="G203" s="11" t="str">
        <x:v>monthly</x:v>
      </x:c>
      <x:c r="H203" s="11" t="n">
        <x:v>5</x:v>
      </x:c>
      <x:c r="I203" s="11" t="str">
        <x:v>rate</x:v>
      </x:c>
      <x:c r="J203" s="11" t="str">
        <x:v>Payroll</x:v>
      </x:c>
      <x:c r="K203" s="11" t="str">
        <x:v>W14</x:v>
      </x:c>
      <x:c r="L203" s="11" t="str">
        <x:v>TER C band 5 rate</x:v>
      </x:c>
    </x:row>
    <x:row r="204">
      <x:c r="A204" s="11" t="str">
        <x:v>IDTERC</x:v>
      </x:c>
      <x:c r="B204" s="11" t="str">
        <x:v>ID</x:v>
      </x:c>
      <x:c r="C204" s="11" t="str">
        <x:v>2026-08</x:v>
      </x:c>
      <x:c r="D204" s="11" t="str">
        <x:v>2026-08-01</x:v>
      </x:c>
      <x:c r="E204" s="11" t="str"/>
      <x:c r="F204" s="11" t="str">
        <x:v>whole_income</x:v>
      </x:c>
      <x:c r="G204" s="11" t="str">
        <x:v>monthly</x:v>
      </x:c>
      <x:c r="H204" s="11" t="n">
        <x:v>6</x:v>
      </x:c>
      <x:c r="I204" s="11" t="str">
        <x:v>upper</x:v>
      </x:c>
      <x:c r="J204" s="11" t="str">
        <x:v>Payroll</x:v>
      </x:c>
      <x:c r="K204" s="11" t="str">
        <x:v>V15</x:v>
      </x:c>
      <x:c r="L204" s="11" t="str">
        <x:v>TER C band 6 upper</x:v>
      </x:c>
    </x:row>
    <x:row r="205">
      <x:c r="A205" s="11" t="str">
        <x:v>IDTERC</x:v>
      </x:c>
      <x:c r="B205" s="11" t="str">
        <x:v>ID</x:v>
      </x:c>
      <x:c r="C205" s="11" t="str">
        <x:v>2026-08</x:v>
      </x:c>
      <x:c r="D205" s="11" t="str">
        <x:v>2026-08-01</x:v>
      </x:c>
      <x:c r="E205" s="11" t="str"/>
      <x:c r="F205" s="11" t="str">
        <x:v>whole_income</x:v>
      </x:c>
      <x:c r="G205" s="11" t="str">
        <x:v>monthly</x:v>
      </x:c>
      <x:c r="H205" s="11" t="n">
        <x:v>6</x:v>
      </x:c>
      <x:c r="I205" s="11" t="str">
        <x:v>rate</x:v>
      </x:c>
      <x:c r="J205" s="11" t="str">
        <x:v>Payroll</x:v>
      </x:c>
      <x:c r="K205" s="11" t="str">
        <x:v>W15</x:v>
      </x:c>
      <x:c r="L205" s="11" t="str">
        <x:v>TER C band 6 rate</x:v>
      </x:c>
    </x:row>
    <x:row r="206">
      <x:c r="A206" s="11" t="str">
        <x:v>IDTERC</x:v>
      </x:c>
      <x:c r="B206" s="11" t="str">
        <x:v>ID</x:v>
      </x:c>
      <x:c r="C206" s="11" t="str">
        <x:v>2026-08</x:v>
      </x:c>
      <x:c r="D206" s="11" t="str">
        <x:v>2026-08-01</x:v>
      </x:c>
      <x:c r="E206" s="11" t="str"/>
      <x:c r="F206" s="11" t="str">
        <x:v>whole_income</x:v>
      </x:c>
      <x:c r="G206" s="11" t="str">
        <x:v>monthly</x:v>
      </x:c>
      <x:c r="H206" s="11" t="n">
        <x:v>7</x:v>
      </x:c>
      <x:c r="I206" s="11" t="str">
        <x:v>upper</x:v>
      </x:c>
      <x:c r="J206" s="11" t="str">
        <x:v>Payroll</x:v>
      </x:c>
      <x:c r="K206" s="11" t="str">
        <x:v>V16</x:v>
      </x:c>
      <x:c r="L206" s="11" t="str">
        <x:v>TER C band 7 upper</x:v>
      </x:c>
    </x:row>
    <x:row r="207">
      <x:c r="A207" s="11" t="str">
        <x:v>IDTERC</x:v>
      </x:c>
      <x:c r="B207" s="11" t="str">
        <x:v>ID</x:v>
      </x:c>
      <x:c r="C207" s="11" t="str">
        <x:v>2026-08</x:v>
      </x:c>
      <x:c r="D207" s="11" t="str">
        <x:v>2026-08-01</x:v>
      </x:c>
      <x:c r="E207" s="11" t="str"/>
      <x:c r="F207" s="11" t="str">
        <x:v>whole_income</x:v>
      </x:c>
      <x:c r="G207" s="11" t="str">
        <x:v>monthly</x:v>
      </x:c>
      <x:c r="H207" s="11" t="n">
        <x:v>7</x:v>
      </x:c>
      <x:c r="I207" s="11" t="str">
        <x:v>rate</x:v>
      </x:c>
      <x:c r="J207" s="11" t="str">
        <x:v>Payroll</x:v>
      </x:c>
      <x:c r="K207" s="11" t="str">
        <x:v>W16</x:v>
      </x:c>
      <x:c r="L207" s="11" t="str">
        <x:v>TER C band 7 rate</x:v>
      </x:c>
    </x:row>
    <x:row r="208">
      <x:c r="A208" s="11" t="str">
        <x:v>IDTERC</x:v>
      </x:c>
      <x:c r="B208" s="11" t="str">
        <x:v>ID</x:v>
      </x:c>
      <x:c r="C208" s="11" t="str">
        <x:v>2026-08</x:v>
      </x:c>
      <x:c r="D208" s="11" t="str">
        <x:v>2026-08-01</x:v>
      </x:c>
      <x:c r="E208" s="11" t="str"/>
      <x:c r="F208" s="11" t="str">
        <x:v>whole_income</x:v>
      </x:c>
      <x:c r="G208" s="11" t="str">
        <x:v>monthly</x:v>
      </x:c>
      <x:c r="H208" s="11" t="n">
        <x:v>8</x:v>
      </x:c>
      <x:c r="I208" s="11" t="str">
        <x:v>upper</x:v>
      </x:c>
      <x:c r="J208" s="11" t="str">
        <x:v>Payroll</x:v>
      </x:c>
      <x:c r="K208" s="11" t="str">
        <x:v>V17</x:v>
      </x:c>
      <x:c r="L208" s="11" t="str">
        <x:v>TER C band 8 upper</x:v>
      </x:c>
    </x:row>
    <x:row r="209">
      <x:c r="A209" s="11" t="str">
        <x:v>IDTERC</x:v>
      </x:c>
      <x:c r="B209" s="11" t="str">
        <x:v>ID</x:v>
      </x:c>
      <x:c r="C209" s="11" t="str">
        <x:v>2026-08</x:v>
      </x:c>
      <x:c r="D209" s="11" t="str">
        <x:v>2026-08-01</x:v>
      </x:c>
      <x:c r="E209" s="11" t="str"/>
      <x:c r="F209" s="11" t="str">
        <x:v>whole_income</x:v>
      </x:c>
      <x:c r="G209" s="11" t="str">
        <x:v>monthly</x:v>
      </x:c>
      <x:c r="H209" s="11" t="n">
        <x:v>8</x:v>
      </x:c>
      <x:c r="I209" s="11" t="str">
        <x:v>rate</x:v>
      </x:c>
      <x:c r="J209" s="11" t="str">
        <x:v>Payroll</x:v>
      </x:c>
      <x:c r="K209" s="11" t="str">
        <x:v>W17</x:v>
      </x:c>
      <x:c r="L209" s="11" t="str">
        <x:v>TER C band 8 rate</x:v>
      </x:c>
    </x:row>
    <x:row r="210">
      <x:c r="A210" s="11" t="str">
        <x:v>IDTERC</x:v>
      </x:c>
      <x:c r="B210" s="11" t="str">
        <x:v>ID</x:v>
      </x:c>
      <x:c r="C210" s="11" t="str">
        <x:v>2026-08</x:v>
      </x:c>
      <x:c r="D210" s="11" t="str">
        <x:v>2026-08-01</x:v>
      </x:c>
      <x:c r="E210" s="11" t="str"/>
      <x:c r="F210" s="11" t="str">
        <x:v>whole_income</x:v>
      </x:c>
      <x:c r="G210" s="11" t="str">
        <x:v>monthly</x:v>
      </x:c>
      <x:c r="H210" s="11" t="n">
        <x:v>9</x:v>
      </x:c>
      <x:c r="I210" s="11" t="str">
        <x:v>upper</x:v>
      </x:c>
      <x:c r="J210" s="11" t="str">
        <x:v>Payroll</x:v>
      </x:c>
      <x:c r="K210" s="11" t="str">
        <x:v>V18</x:v>
      </x:c>
      <x:c r="L210" s="11" t="str">
        <x:v>TER C band 9 upper</x:v>
      </x:c>
    </x:row>
    <x:row r="211">
      <x:c r="A211" s="11" t="str">
        <x:v>IDTERC</x:v>
      </x:c>
      <x:c r="B211" s="11" t="str">
        <x:v>ID</x:v>
      </x:c>
      <x:c r="C211" s="11" t="str">
        <x:v>2026-08</x:v>
      </x:c>
      <x:c r="D211" s="11" t="str">
        <x:v>2026-08-01</x:v>
      </x:c>
      <x:c r="E211" s="11" t="str"/>
      <x:c r="F211" s="11" t="str">
        <x:v>whole_income</x:v>
      </x:c>
      <x:c r="G211" s="11" t="str">
        <x:v>monthly</x:v>
      </x:c>
      <x:c r="H211" s="11" t="n">
        <x:v>9</x:v>
      </x:c>
      <x:c r="I211" s="11" t="str">
        <x:v>rate</x:v>
      </x:c>
      <x:c r="J211" s="11" t="str">
        <x:v>Payroll</x:v>
      </x:c>
      <x:c r="K211" s="11" t="str">
        <x:v>W18</x:v>
      </x:c>
      <x:c r="L211" s="11" t="str">
        <x:v>TER C band 9 rate</x:v>
      </x:c>
    </x:row>
    <x:row r="212">
      <x:c r="A212" s="11" t="str">
        <x:v>IDTERC</x:v>
      </x:c>
      <x:c r="B212" s="11" t="str">
        <x:v>ID</x:v>
      </x:c>
      <x:c r="C212" s="11" t="str">
        <x:v>2026-08</x:v>
      </x:c>
      <x:c r="D212" s="11" t="str">
        <x:v>2026-08-01</x:v>
      </x:c>
      <x:c r="E212" s="11" t="str"/>
      <x:c r="F212" s="11" t="str">
        <x:v>whole_income</x:v>
      </x:c>
      <x:c r="G212" s="11" t="str">
        <x:v>monthly</x:v>
      </x:c>
      <x:c r="H212" s="11" t="n">
        <x:v>10</x:v>
      </x:c>
      <x:c r="I212" s="11" t="str">
        <x:v>upper</x:v>
      </x:c>
      <x:c r="J212" s="11" t="str">
        <x:v>Payroll</x:v>
      </x:c>
      <x:c r="K212" s="11" t="str">
        <x:v>V19</x:v>
      </x:c>
      <x:c r="L212" s="11" t="str">
        <x:v>TER C band 10 upper</x:v>
      </x:c>
    </x:row>
    <x:row r="213">
      <x:c r="A213" s="11" t="str">
        <x:v>IDTERC</x:v>
      </x:c>
      <x:c r="B213" s="11" t="str">
        <x:v>ID</x:v>
      </x:c>
      <x:c r="C213" s="11" t="str">
        <x:v>2026-08</x:v>
      </x:c>
      <x:c r="D213" s="11" t="str">
        <x:v>2026-08-01</x:v>
      </x:c>
      <x:c r="E213" s="11" t="str"/>
      <x:c r="F213" s="11" t="str">
        <x:v>whole_income</x:v>
      </x:c>
      <x:c r="G213" s="11" t="str">
        <x:v>monthly</x:v>
      </x:c>
      <x:c r="H213" s="11" t="n">
        <x:v>10</x:v>
      </x:c>
      <x:c r="I213" s="11" t="str">
        <x:v>rate</x:v>
      </x:c>
      <x:c r="J213" s="11" t="str">
        <x:v>Payroll</x:v>
      </x:c>
      <x:c r="K213" s="11" t="str">
        <x:v>W19</x:v>
      </x:c>
      <x:c r="L213" s="11" t="str">
        <x:v>TER C band 10 rate</x:v>
      </x:c>
    </x:row>
    <x:row r="214">
      <x:c r="A214" s="11" t="str">
        <x:v>IDTERC</x:v>
      </x:c>
      <x:c r="B214" s="11" t="str">
        <x:v>ID</x:v>
      </x:c>
      <x:c r="C214" s="11" t="str">
        <x:v>2026-08</x:v>
      </x:c>
      <x:c r="D214" s="11" t="str">
        <x:v>2026-08-01</x:v>
      </x:c>
      <x:c r="E214" s="11" t="str"/>
      <x:c r="F214" s="11" t="str">
        <x:v>whole_income</x:v>
      </x:c>
      <x:c r="G214" s="11" t="str">
        <x:v>monthly</x:v>
      </x:c>
      <x:c r="H214" s="11" t="n">
        <x:v>11</x:v>
      </x:c>
      <x:c r="I214" s="11" t="str">
        <x:v>upper</x:v>
      </x:c>
      <x:c r="J214" s="11" t="str">
        <x:v>Payroll</x:v>
      </x:c>
      <x:c r="K214" s="11" t="str">
        <x:v>V20</x:v>
      </x:c>
      <x:c r="L214" s="11" t="str">
        <x:v>TER C band 11 upper</x:v>
      </x:c>
    </x:row>
    <x:row r="215">
      <x:c r="A215" s="11" t="str">
        <x:v>IDTERC</x:v>
      </x:c>
      <x:c r="B215" s="11" t="str">
        <x:v>ID</x:v>
      </x:c>
      <x:c r="C215" s="11" t="str">
        <x:v>2026-08</x:v>
      </x:c>
      <x:c r="D215" s="11" t="str">
        <x:v>2026-08-01</x:v>
      </x:c>
      <x:c r="E215" s="11" t="str"/>
      <x:c r="F215" s="11" t="str">
        <x:v>whole_income</x:v>
      </x:c>
      <x:c r="G215" s="11" t="str">
        <x:v>monthly</x:v>
      </x:c>
      <x:c r="H215" s="11" t="n">
        <x:v>11</x:v>
      </x:c>
      <x:c r="I215" s="11" t="str">
        <x:v>rate</x:v>
      </x:c>
      <x:c r="J215" s="11" t="str">
        <x:v>Payroll</x:v>
      </x:c>
      <x:c r="K215" s="11" t="str">
        <x:v>W20</x:v>
      </x:c>
      <x:c r="L215" s="11" t="str">
        <x:v>TER C band 11 rate</x:v>
      </x:c>
    </x:row>
    <x:row r="216">
      <x:c r="A216" s="11" t="str">
        <x:v>IDTERC</x:v>
      </x:c>
      <x:c r="B216" s="11" t="str">
        <x:v>ID</x:v>
      </x:c>
      <x:c r="C216" s="11" t="str">
        <x:v>2026-08</x:v>
      </x:c>
      <x:c r="D216" s="11" t="str">
        <x:v>2026-08-01</x:v>
      </x:c>
      <x:c r="E216" s="11" t="str"/>
      <x:c r="F216" s="11" t="str">
        <x:v>whole_income</x:v>
      </x:c>
      <x:c r="G216" s="11" t="str">
        <x:v>monthly</x:v>
      </x:c>
      <x:c r="H216" s="11" t="n">
        <x:v>12</x:v>
      </x:c>
      <x:c r="I216" s="11" t="str">
        <x:v>upper</x:v>
      </x:c>
      <x:c r="J216" s="11" t="str">
        <x:v>Payroll</x:v>
      </x:c>
      <x:c r="K216" s="11" t="str">
        <x:v>V21</x:v>
      </x:c>
      <x:c r="L216" s="11" t="str">
        <x:v>TER C band 12 upper</x:v>
      </x:c>
    </x:row>
    <x:row r="217">
      <x:c r="A217" s="11" t="str">
        <x:v>IDTERC</x:v>
      </x:c>
      <x:c r="B217" s="11" t="str">
        <x:v>ID</x:v>
      </x:c>
      <x:c r="C217" s="11" t="str">
        <x:v>2026-08</x:v>
      </x:c>
      <x:c r="D217" s="11" t="str">
        <x:v>2026-08-01</x:v>
      </x:c>
      <x:c r="E217" s="11" t="str"/>
      <x:c r="F217" s="11" t="str">
        <x:v>whole_income</x:v>
      </x:c>
      <x:c r="G217" s="11" t="str">
        <x:v>monthly</x:v>
      </x:c>
      <x:c r="H217" s="11" t="n">
        <x:v>12</x:v>
      </x:c>
      <x:c r="I217" s="11" t="str">
        <x:v>rate</x:v>
      </x:c>
      <x:c r="J217" s="11" t="str">
        <x:v>Payroll</x:v>
      </x:c>
      <x:c r="K217" s="11" t="str">
        <x:v>W21</x:v>
      </x:c>
      <x:c r="L217" s="11" t="str">
        <x:v>TER C band 12 rate</x:v>
      </x:c>
    </x:row>
    <x:row r="218">
      <x:c r="A218" s="11" t="str">
        <x:v>IDTERC</x:v>
      </x:c>
      <x:c r="B218" s="11" t="str">
        <x:v>ID</x:v>
      </x:c>
      <x:c r="C218" s="11" t="str">
        <x:v>2026-08</x:v>
      </x:c>
      <x:c r="D218" s="11" t="str">
        <x:v>2026-08-01</x:v>
      </x:c>
      <x:c r="E218" s="11" t="str"/>
      <x:c r="F218" s="11" t="str">
        <x:v>whole_income</x:v>
      </x:c>
      <x:c r="G218" s="11" t="str">
        <x:v>monthly</x:v>
      </x:c>
      <x:c r="H218" s="11" t="n">
        <x:v>13</x:v>
      </x:c>
      <x:c r="I218" s="11" t="str">
        <x:v>upper</x:v>
      </x:c>
      <x:c r="J218" s="11" t="str">
        <x:v>Payroll</x:v>
      </x:c>
      <x:c r="K218" s="11" t="str">
        <x:v>V22</x:v>
      </x:c>
      <x:c r="L218" s="11" t="str">
        <x:v>TER C band 13 upper</x:v>
      </x:c>
    </x:row>
    <x:row r="219">
      <x:c r="A219" s="11" t="str">
        <x:v>IDTERC</x:v>
      </x:c>
      <x:c r="B219" s="11" t="str">
        <x:v>ID</x:v>
      </x:c>
      <x:c r="C219" s="11" t="str">
        <x:v>2026-08</x:v>
      </x:c>
      <x:c r="D219" s="11" t="str">
        <x:v>2026-08-01</x:v>
      </x:c>
      <x:c r="E219" s="11" t="str"/>
      <x:c r="F219" s="11" t="str">
        <x:v>whole_income</x:v>
      </x:c>
      <x:c r="G219" s="11" t="str">
        <x:v>monthly</x:v>
      </x:c>
      <x:c r="H219" s="11" t="n">
        <x:v>13</x:v>
      </x:c>
      <x:c r="I219" s="11" t="str">
        <x:v>rate</x:v>
      </x:c>
      <x:c r="J219" s="11" t="str">
        <x:v>Payroll</x:v>
      </x:c>
      <x:c r="K219" s="11" t="str">
        <x:v>W22</x:v>
      </x:c>
      <x:c r="L219" s="11" t="str">
        <x:v>TER C band 13 rate</x:v>
      </x:c>
    </x:row>
    <x:row r="220">
      <x:c r="A220" s="11" t="str">
        <x:v>IDTERC</x:v>
      </x:c>
      <x:c r="B220" s="11" t="str">
        <x:v>ID</x:v>
      </x:c>
      <x:c r="C220" s="11" t="str">
        <x:v>2026-08</x:v>
      </x:c>
      <x:c r="D220" s="11" t="str">
        <x:v>2026-08-01</x:v>
      </x:c>
      <x:c r="E220" s="11" t="str"/>
      <x:c r="F220" s="11" t="str">
        <x:v>whole_income</x:v>
      </x:c>
      <x:c r="G220" s="11" t="str">
        <x:v>monthly</x:v>
      </x:c>
      <x:c r="H220" s="11" t="n">
        <x:v>14</x:v>
      </x:c>
      <x:c r="I220" s="11" t="str">
        <x:v>upper</x:v>
      </x:c>
      <x:c r="J220" s="11" t="str">
        <x:v>Payroll</x:v>
      </x:c>
      <x:c r="K220" s="11" t="str">
        <x:v>V23</x:v>
      </x:c>
      <x:c r="L220" s="11" t="str">
        <x:v>TER C band 14 upper</x:v>
      </x:c>
    </x:row>
    <x:row r="221">
      <x:c r="A221" s="11" t="str">
        <x:v>IDTERC</x:v>
      </x:c>
      <x:c r="B221" s="11" t="str">
        <x:v>ID</x:v>
      </x:c>
      <x:c r="C221" s="11" t="str">
        <x:v>2026-08</x:v>
      </x:c>
      <x:c r="D221" s="11" t="str">
        <x:v>2026-08-01</x:v>
      </x:c>
      <x:c r="E221" s="11" t="str"/>
      <x:c r="F221" s="11" t="str">
        <x:v>whole_income</x:v>
      </x:c>
      <x:c r="G221" s="11" t="str">
        <x:v>monthly</x:v>
      </x:c>
      <x:c r="H221" s="11" t="n">
        <x:v>14</x:v>
      </x:c>
      <x:c r="I221" s="11" t="str">
        <x:v>rate</x:v>
      </x:c>
      <x:c r="J221" s="11" t="str">
        <x:v>Payroll</x:v>
      </x:c>
      <x:c r="K221" s="11" t="str">
        <x:v>W23</x:v>
      </x:c>
      <x:c r="L221" s="11" t="str">
        <x:v>TER C band 14 rate</x:v>
      </x:c>
    </x:row>
    <x:row r="222">
      <x:c r="A222" s="11" t="str">
        <x:v>IDTERC</x:v>
      </x:c>
      <x:c r="B222" s="11" t="str">
        <x:v>ID</x:v>
      </x:c>
      <x:c r="C222" s="11" t="str">
        <x:v>2026-08</x:v>
      </x:c>
      <x:c r="D222" s="11" t="str">
        <x:v>2026-08-01</x:v>
      </x:c>
      <x:c r="E222" s="11" t="str"/>
      <x:c r="F222" s="11" t="str">
        <x:v>whole_income</x:v>
      </x:c>
      <x:c r="G222" s="11" t="str">
        <x:v>monthly</x:v>
      </x:c>
      <x:c r="H222" s="11" t="n">
        <x:v>15</x:v>
      </x:c>
      <x:c r="I222" s="11" t="str">
        <x:v>upper</x:v>
      </x:c>
      <x:c r="J222" s="11" t="str">
        <x:v>Payroll</x:v>
      </x:c>
      <x:c r="K222" s="11" t="str">
        <x:v>V24</x:v>
      </x:c>
      <x:c r="L222" s="11" t="str">
        <x:v>TER C band 15 upper</x:v>
      </x:c>
    </x:row>
    <x:row r="223">
      <x:c r="A223" s="11" t="str">
        <x:v>IDTERC</x:v>
      </x:c>
      <x:c r="B223" s="11" t="str">
        <x:v>ID</x:v>
      </x:c>
      <x:c r="C223" s="11" t="str">
        <x:v>2026-08</x:v>
      </x:c>
      <x:c r="D223" s="11" t="str">
        <x:v>2026-08-01</x:v>
      </x:c>
      <x:c r="E223" s="11" t="str"/>
      <x:c r="F223" s="11" t="str">
        <x:v>whole_income</x:v>
      </x:c>
      <x:c r="G223" s="11" t="str">
        <x:v>monthly</x:v>
      </x:c>
      <x:c r="H223" s="11" t="n">
        <x:v>15</x:v>
      </x:c>
      <x:c r="I223" s="11" t="str">
        <x:v>rate</x:v>
      </x:c>
      <x:c r="J223" s="11" t="str">
        <x:v>Payroll</x:v>
      </x:c>
      <x:c r="K223" s="11" t="str">
        <x:v>W24</x:v>
      </x:c>
      <x:c r="L223" s="11" t="str">
        <x:v>TER C band 15 rate</x:v>
      </x:c>
    </x:row>
    <x:row r="224">
      <x:c r="A224" s="11" t="str">
        <x:v>IDTERC</x:v>
      </x:c>
      <x:c r="B224" s="11" t="str">
        <x:v>ID</x:v>
      </x:c>
      <x:c r="C224" s="11" t="str">
        <x:v>2026-08</x:v>
      </x:c>
      <x:c r="D224" s="11" t="str">
        <x:v>2026-08-01</x:v>
      </x:c>
      <x:c r="E224" s="11" t="str"/>
      <x:c r="F224" s="11" t="str">
        <x:v>whole_income</x:v>
      </x:c>
      <x:c r="G224" s="11" t="str">
        <x:v>monthly</x:v>
      </x:c>
      <x:c r="H224" s="11" t="n">
        <x:v>16</x:v>
      </x:c>
      <x:c r="I224" s="11" t="str">
        <x:v>upper</x:v>
      </x:c>
      <x:c r="J224" s="11" t="str">
        <x:v>Payroll</x:v>
      </x:c>
      <x:c r="K224" s="11" t="str">
        <x:v>Y10</x:v>
      </x:c>
      <x:c r="L224" s="11" t="str">
        <x:v>TER C band 16 upper</x:v>
      </x:c>
    </x:row>
    <x:row r="225">
      <x:c r="A225" s="11" t="str">
        <x:v>IDTERC</x:v>
      </x:c>
      <x:c r="B225" s="11" t="str">
        <x:v>ID</x:v>
      </x:c>
      <x:c r="C225" s="11" t="str">
        <x:v>2026-08</x:v>
      </x:c>
      <x:c r="D225" s="11" t="str">
        <x:v>2026-08-01</x:v>
      </x:c>
      <x:c r="E225" s="11" t="str"/>
      <x:c r="F225" s="11" t="str">
        <x:v>whole_income</x:v>
      </x:c>
      <x:c r="G225" s="11" t="str">
        <x:v>monthly</x:v>
      </x:c>
      <x:c r="H225" s="11" t="n">
        <x:v>16</x:v>
      </x:c>
      <x:c r="I225" s="11" t="str">
        <x:v>rate</x:v>
      </x:c>
      <x:c r="J225" s="11" t="str">
        <x:v>Payroll</x:v>
      </x:c>
      <x:c r="K225" s="11" t="str">
        <x:v>Z10</x:v>
      </x:c>
      <x:c r="L225" s="11" t="str">
        <x:v>TER C band 16 rate</x:v>
      </x:c>
    </x:row>
    <x:row r="226">
      <x:c r="A226" s="11" t="str">
        <x:v>IDTERC</x:v>
      </x:c>
      <x:c r="B226" s="11" t="str">
        <x:v>ID</x:v>
      </x:c>
      <x:c r="C226" s="11" t="str">
        <x:v>2026-08</x:v>
      </x:c>
      <x:c r="D226" s="11" t="str">
        <x:v>2026-08-01</x:v>
      </x:c>
      <x:c r="E226" s="11" t="str"/>
      <x:c r="F226" s="11" t="str">
        <x:v>whole_income</x:v>
      </x:c>
      <x:c r="G226" s="11" t="str">
        <x:v>monthly</x:v>
      </x:c>
      <x:c r="H226" s="11" t="n">
        <x:v>17</x:v>
      </x:c>
      <x:c r="I226" s="11" t="str">
        <x:v>upper</x:v>
      </x:c>
      <x:c r="J226" s="11" t="str">
        <x:v>Payroll</x:v>
      </x:c>
      <x:c r="K226" s="11" t="str">
        <x:v>Y11</x:v>
      </x:c>
      <x:c r="L226" s="11" t="str">
        <x:v>TER C band 17 upper</x:v>
      </x:c>
    </x:row>
    <x:row r="227">
      <x:c r="A227" s="11" t="str">
        <x:v>IDTERC</x:v>
      </x:c>
      <x:c r="B227" s="11" t="str">
        <x:v>ID</x:v>
      </x:c>
      <x:c r="C227" s="11" t="str">
        <x:v>2026-08</x:v>
      </x:c>
      <x:c r="D227" s="11" t="str">
        <x:v>2026-08-01</x:v>
      </x:c>
      <x:c r="E227" s="11" t="str"/>
      <x:c r="F227" s="11" t="str">
        <x:v>whole_income</x:v>
      </x:c>
      <x:c r="G227" s="11" t="str">
        <x:v>monthly</x:v>
      </x:c>
      <x:c r="H227" s="11" t="n">
        <x:v>17</x:v>
      </x:c>
      <x:c r="I227" s="11" t="str">
        <x:v>rate</x:v>
      </x:c>
      <x:c r="J227" s="11" t="str">
        <x:v>Payroll</x:v>
      </x:c>
      <x:c r="K227" s="11" t="str">
        <x:v>Z11</x:v>
      </x:c>
      <x:c r="L227" s="11" t="str">
        <x:v>TER C band 17 rate</x:v>
      </x:c>
    </x:row>
    <x:row r="228">
      <x:c r="A228" s="11" t="str">
        <x:v>IDTERC</x:v>
      </x:c>
      <x:c r="B228" s="11" t="str">
        <x:v>ID</x:v>
      </x:c>
      <x:c r="C228" s="11" t="str">
        <x:v>2026-08</x:v>
      </x:c>
      <x:c r="D228" s="11" t="str">
        <x:v>2026-08-01</x:v>
      </x:c>
      <x:c r="E228" s="11" t="str"/>
      <x:c r="F228" s="11" t="str">
        <x:v>whole_income</x:v>
      </x:c>
      <x:c r="G228" s="11" t="str">
        <x:v>monthly</x:v>
      </x:c>
      <x:c r="H228" s="11" t="n">
        <x:v>18</x:v>
      </x:c>
      <x:c r="I228" s="11" t="str">
        <x:v>upper</x:v>
      </x:c>
      <x:c r="J228" s="11" t="str">
        <x:v>Payroll</x:v>
      </x:c>
      <x:c r="K228" s="11" t="str">
        <x:v>Y12</x:v>
      </x:c>
      <x:c r="L228" s="11" t="str">
        <x:v>TER C band 18 upper</x:v>
      </x:c>
    </x:row>
    <x:row r="229">
      <x:c r="A229" s="11" t="str">
        <x:v>IDTERC</x:v>
      </x:c>
      <x:c r="B229" s="11" t="str">
        <x:v>ID</x:v>
      </x:c>
      <x:c r="C229" s="11" t="str">
        <x:v>2026-08</x:v>
      </x:c>
      <x:c r="D229" s="11" t="str">
        <x:v>2026-08-01</x:v>
      </x:c>
      <x:c r="E229" s="11" t="str"/>
      <x:c r="F229" s="11" t="str">
        <x:v>whole_income</x:v>
      </x:c>
      <x:c r="G229" s="11" t="str">
        <x:v>monthly</x:v>
      </x:c>
      <x:c r="H229" s="11" t="n">
        <x:v>18</x:v>
      </x:c>
      <x:c r="I229" s="11" t="str">
        <x:v>rate</x:v>
      </x:c>
      <x:c r="J229" s="11" t="str">
        <x:v>Payroll</x:v>
      </x:c>
      <x:c r="K229" s="11" t="str">
        <x:v>Z12</x:v>
      </x:c>
      <x:c r="L229" s="11" t="str">
        <x:v>TER C band 18 rate</x:v>
      </x:c>
    </x:row>
    <x:row r="230">
      <x:c r="A230" s="11" t="str">
        <x:v>IDTERC</x:v>
      </x:c>
      <x:c r="B230" s="11" t="str">
        <x:v>ID</x:v>
      </x:c>
      <x:c r="C230" s="11" t="str">
        <x:v>2026-08</x:v>
      </x:c>
      <x:c r="D230" s="11" t="str">
        <x:v>2026-08-01</x:v>
      </x:c>
      <x:c r="E230" s="11" t="str"/>
      <x:c r="F230" s="11" t="str">
        <x:v>whole_income</x:v>
      </x:c>
      <x:c r="G230" s="11" t="str">
        <x:v>monthly</x:v>
      </x:c>
      <x:c r="H230" s="11" t="n">
        <x:v>19</x:v>
      </x:c>
      <x:c r="I230" s="11" t="str">
        <x:v>upper</x:v>
      </x:c>
      <x:c r="J230" s="11" t="str">
        <x:v>Payroll</x:v>
      </x:c>
      <x:c r="K230" s="11" t="str">
        <x:v>Y13</x:v>
      </x:c>
      <x:c r="L230" s="11" t="str">
        <x:v>TER C band 19 upper</x:v>
      </x:c>
    </x:row>
    <x:row r="231">
      <x:c r="A231" s="11" t="str">
        <x:v>IDTERC</x:v>
      </x:c>
      <x:c r="B231" s="11" t="str">
        <x:v>ID</x:v>
      </x:c>
      <x:c r="C231" s="11" t="str">
        <x:v>2026-08</x:v>
      </x:c>
      <x:c r="D231" s="11" t="str">
        <x:v>2026-08-01</x:v>
      </x:c>
      <x:c r="E231" s="11" t="str"/>
      <x:c r="F231" s="11" t="str">
        <x:v>whole_income</x:v>
      </x:c>
      <x:c r="G231" s="11" t="str">
        <x:v>monthly</x:v>
      </x:c>
      <x:c r="H231" s="11" t="n">
        <x:v>19</x:v>
      </x:c>
      <x:c r="I231" s="11" t="str">
        <x:v>rate</x:v>
      </x:c>
      <x:c r="J231" s="11" t="str">
        <x:v>Payroll</x:v>
      </x:c>
      <x:c r="K231" s="11" t="str">
        <x:v>Z13</x:v>
      </x:c>
      <x:c r="L231" s="11" t="str">
        <x:v>TER C band 19 rate</x:v>
      </x:c>
    </x:row>
    <x:row r="232">
      <x:c r="A232" s="11" t="str">
        <x:v>IDTERC</x:v>
      </x:c>
      <x:c r="B232" s="11" t="str">
        <x:v>ID</x:v>
      </x:c>
      <x:c r="C232" s="11" t="str">
        <x:v>2026-08</x:v>
      </x:c>
      <x:c r="D232" s="11" t="str">
        <x:v>2026-08-01</x:v>
      </x:c>
      <x:c r="E232" s="11" t="str"/>
      <x:c r="F232" s="11" t="str">
        <x:v>whole_income</x:v>
      </x:c>
      <x:c r="G232" s="11" t="str">
        <x:v>monthly</x:v>
      </x:c>
      <x:c r="H232" s="11" t="n">
        <x:v>20</x:v>
      </x:c>
      <x:c r="I232" s="11" t="str">
        <x:v>upper</x:v>
      </x:c>
      <x:c r="J232" s="11" t="str">
        <x:v>Payroll</x:v>
      </x:c>
      <x:c r="K232" s="11" t="str">
        <x:v>Y14</x:v>
      </x:c>
      <x:c r="L232" s="11" t="str">
        <x:v>TER C band 20 upper</x:v>
      </x:c>
    </x:row>
    <x:row r="233">
      <x:c r="A233" s="11" t="str">
        <x:v>IDTERC</x:v>
      </x:c>
      <x:c r="B233" s="11" t="str">
        <x:v>ID</x:v>
      </x:c>
      <x:c r="C233" s="11" t="str">
        <x:v>2026-08</x:v>
      </x:c>
      <x:c r="D233" s="11" t="str">
        <x:v>2026-08-01</x:v>
      </x:c>
      <x:c r="E233" s="11" t="str"/>
      <x:c r="F233" s="11" t="str">
        <x:v>whole_income</x:v>
      </x:c>
      <x:c r="G233" s="11" t="str">
        <x:v>monthly</x:v>
      </x:c>
      <x:c r="H233" s="11" t="n">
        <x:v>20</x:v>
      </x:c>
      <x:c r="I233" s="11" t="str">
        <x:v>rate</x:v>
      </x:c>
      <x:c r="J233" s="11" t="str">
        <x:v>Payroll</x:v>
      </x:c>
      <x:c r="K233" s="11" t="str">
        <x:v>Z14</x:v>
      </x:c>
      <x:c r="L233" s="11" t="str">
        <x:v>TER C band 20 rate</x:v>
      </x:c>
    </x:row>
    <x:row r="234">
      <x:c r="A234" s="11" t="str">
        <x:v>IDTERC</x:v>
      </x:c>
      <x:c r="B234" s="11" t="str">
        <x:v>ID</x:v>
      </x:c>
      <x:c r="C234" s="11" t="str">
        <x:v>2026-08</x:v>
      </x:c>
      <x:c r="D234" s="11" t="str">
        <x:v>2026-08-01</x:v>
      </x:c>
      <x:c r="E234" s="11" t="str"/>
      <x:c r="F234" s="11" t="str">
        <x:v>whole_income</x:v>
      </x:c>
      <x:c r="G234" s="11" t="str">
        <x:v>monthly</x:v>
      </x:c>
      <x:c r="H234" s="11" t="n">
        <x:v>21</x:v>
      </x:c>
      <x:c r="I234" s="11" t="str">
        <x:v>upper</x:v>
      </x:c>
      <x:c r="J234" s="11" t="str">
        <x:v>Payroll</x:v>
      </x:c>
      <x:c r="K234" s="11" t="str">
        <x:v>Y15</x:v>
      </x:c>
      <x:c r="L234" s="11" t="str">
        <x:v>TER C band 21 upper</x:v>
      </x:c>
    </x:row>
    <x:row r="235">
      <x:c r="A235" s="11" t="str">
        <x:v>IDTERC</x:v>
      </x:c>
      <x:c r="B235" s="11" t="str">
        <x:v>ID</x:v>
      </x:c>
      <x:c r="C235" s="11" t="str">
        <x:v>2026-08</x:v>
      </x:c>
      <x:c r="D235" s="11" t="str">
        <x:v>2026-08-01</x:v>
      </x:c>
      <x:c r="E235" s="11" t="str"/>
      <x:c r="F235" s="11" t="str">
        <x:v>whole_income</x:v>
      </x:c>
      <x:c r="G235" s="11" t="str">
        <x:v>monthly</x:v>
      </x:c>
      <x:c r="H235" s="11" t="n">
        <x:v>21</x:v>
      </x:c>
      <x:c r="I235" s="11" t="str">
        <x:v>rate</x:v>
      </x:c>
      <x:c r="J235" s="11" t="str">
        <x:v>Payroll</x:v>
      </x:c>
      <x:c r="K235" s="11" t="str">
        <x:v>Z15</x:v>
      </x:c>
      <x:c r="L235" s="11" t="str">
        <x:v>TER C band 21 rate</x:v>
      </x:c>
    </x:row>
    <x:row r="236">
      <x:c r="A236" s="11" t="str">
        <x:v>IDTERC</x:v>
      </x:c>
      <x:c r="B236" s="11" t="str">
        <x:v>ID</x:v>
      </x:c>
      <x:c r="C236" s="11" t="str">
        <x:v>2026-08</x:v>
      </x:c>
      <x:c r="D236" s="11" t="str">
        <x:v>2026-08-01</x:v>
      </x:c>
      <x:c r="E236" s="11" t="str"/>
      <x:c r="F236" s="11" t="str">
        <x:v>whole_income</x:v>
      </x:c>
      <x:c r="G236" s="11" t="str">
        <x:v>monthly</x:v>
      </x:c>
      <x:c r="H236" s="11" t="n">
        <x:v>22</x:v>
      </x:c>
      <x:c r="I236" s="11" t="str">
        <x:v>upper</x:v>
      </x:c>
      <x:c r="J236" s="11" t="str">
        <x:v>Payroll</x:v>
      </x:c>
      <x:c r="K236" s="11" t="str">
        <x:v>Y16</x:v>
      </x:c>
      <x:c r="L236" s="11" t="str">
        <x:v>TER C band 22 upper</x:v>
      </x:c>
    </x:row>
    <x:row r="237">
      <x:c r="A237" s="11" t="str">
        <x:v>IDTERC</x:v>
      </x:c>
      <x:c r="B237" s="11" t="str">
        <x:v>ID</x:v>
      </x:c>
      <x:c r="C237" s="11" t="str">
        <x:v>2026-08</x:v>
      </x:c>
      <x:c r="D237" s="11" t="str">
        <x:v>2026-08-01</x:v>
      </x:c>
      <x:c r="E237" s="11" t="str"/>
      <x:c r="F237" s="11" t="str">
        <x:v>whole_income</x:v>
      </x:c>
      <x:c r="G237" s="11" t="str">
        <x:v>monthly</x:v>
      </x:c>
      <x:c r="H237" s="11" t="n">
        <x:v>22</x:v>
      </x:c>
      <x:c r="I237" s="11" t="str">
        <x:v>rate</x:v>
      </x:c>
      <x:c r="J237" s="11" t="str">
        <x:v>Payroll</x:v>
      </x:c>
      <x:c r="K237" s="11" t="str">
        <x:v>Z16</x:v>
      </x:c>
      <x:c r="L237" s="11" t="str">
        <x:v>TER C band 22 rate</x:v>
      </x:c>
    </x:row>
    <x:row r="238">
      <x:c r="A238" s="11" t="str">
        <x:v>IDTERC</x:v>
      </x:c>
      <x:c r="B238" s="11" t="str">
        <x:v>ID</x:v>
      </x:c>
      <x:c r="C238" s="11" t="str">
        <x:v>2026-08</x:v>
      </x:c>
      <x:c r="D238" s="11" t="str">
        <x:v>2026-08-01</x:v>
      </x:c>
      <x:c r="E238" s="11" t="str"/>
      <x:c r="F238" s="11" t="str">
        <x:v>whole_income</x:v>
      </x:c>
      <x:c r="G238" s="11" t="str">
        <x:v>monthly</x:v>
      </x:c>
      <x:c r="H238" s="11" t="n">
        <x:v>23</x:v>
      </x:c>
      <x:c r="I238" s="11" t="str">
        <x:v>upper</x:v>
      </x:c>
      <x:c r="J238" s="11" t="str">
        <x:v>Payroll</x:v>
      </x:c>
      <x:c r="K238" s="11" t="str">
        <x:v>Y17</x:v>
      </x:c>
      <x:c r="L238" s="11" t="str">
        <x:v>TER C band 23 upper</x:v>
      </x:c>
    </x:row>
    <x:row r="239">
      <x:c r="A239" s="11" t="str">
        <x:v>IDTERC</x:v>
      </x:c>
      <x:c r="B239" s="11" t="str">
        <x:v>ID</x:v>
      </x:c>
      <x:c r="C239" s="11" t="str">
        <x:v>2026-08</x:v>
      </x:c>
      <x:c r="D239" s="11" t="str">
        <x:v>2026-08-01</x:v>
      </x:c>
      <x:c r="E239" s="11" t="str"/>
      <x:c r="F239" s="11" t="str">
        <x:v>whole_income</x:v>
      </x:c>
      <x:c r="G239" s="11" t="str">
        <x:v>monthly</x:v>
      </x:c>
      <x:c r="H239" s="11" t="n">
        <x:v>23</x:v>
      </x:c>
      <x:c r="I239" s="11" t="str">
        <x:v>rate</x:v>
      </x:c>
      <x:c r="J239" s="11" t="str">
        <x:v>Payroll</x:v>
      </x:c>
      <x:c r="K239" s="11" t="str">
        <x:v>Z17</x:v>
      </x:c>
      <x:c r="L239" s="11" t="str">
        <x:v>TER C band 23 rate</x:v>
      </x:c>
    </x:row>
    <x:row r="240">
      <x:c r="A240" s="11" t="str">
        <x:v>IDTERC</x:v>
      </x:c>
      <x:c r="B240" s="11" t="str">
        <x:v>ID</x:v>
      </x:c>
      <x:c r="C240" s="11" t="str">
        <x:v>2026-08</x:v>
      </x:c>
      <x:c r="D240" s="11" t="str">
        <x:v>2026-08-01</x:v>
      </x:c>
      <x:c r="E240" s="11" t="str"/>
      <x:c r="F240" s="11" t="str">
        <x:v>whole_income</x:v>
      </x:c>
      <x:c r="G240" s="11" t="str">
        <x:v>monthly</x:v>
      </x:c>
      <x:c r="H240" s="11" t="n">
        <x:v>24</x:v>
      </x:c>
      <x:c r="I240" s="11" t="str">
        <x:v>upper</x:v>
      </x:c>
      <x:c r="J240" s="11" t="str">
        <x:v>Payroll</x:v>
      </x:c>
      <x:c r="K240" s="11" t="str">
        <x:v>Y18</x:v>
      </x:c>
      <x:c r="L240" s="11" t="str">
        <x:v>TER C band 24 upper</x:v>
      </x:c>
    </x:row>
    <x:row r="241">
      <x:c r="A241" s="11" t="str">
        <x:v>IDTERC</x:v>
      </x:c>
      <x:c r="B241" s="11" t="str">
        <x:v>ID</x:v>
      </x:c>
      <x:c r="C241" s="11" t="str">
        <x:v>2026-08</x:v>
      </x:c>
      <x:c r="D241" s="11" t="str">
        <x:v>2026-08-01</x:v>
      </x:c>
      <x:c r="E241" s="11" t="str"/>
      <x:c r="F241" s="11" t="str">
        <x:v>whole_income</x:v>
      </x:c>
      <x:c r="G241" s="11" t="str">
        <x:v>monthly</x:v>
      </x:c>
      <x:c r="H241" s="11" t="n">
        <x:v>24</x:v>
      </x:c>
      <x:c r="I241" s="11" t="str">
        <x:v>rate</x:v>
      </x:c>
      <x:c r="J241" s="11" t="str">
        <x:v>Payroll</x:v>
      </x:c>
      <x:c r="K241" s="11" t="str">
        <x:v>Z18</x:v>
      </x:c>
      <x:c r="L241" s="11" t="str">
        <x:v>TER C band 24 rate</x:v>
      </x:c>
    </x:row>
    <x:row r="242">
      <x:c r="A242" s="11" t="str">
        <x:v>IDTERC</x:v>
      </x:c>
      <x:c r="B242" s="11" t="str">
        <x:v>ID</x:v>
      </x:c>
      <x:c r="C242" s="11" t="str">
        <x:v>2026-08</x:v>
      </x:c>
      <x:c r="D242" s="11" t="str">
        <x:v>2026-08-01</x:v>
      </x:c>
      <x:c r="E242" s="11" t="str"/>
      <x:c r="F242" s="11" t="str">
        <x:v>whole_income</x:v>
      </x:c>
      <x:c r="G242" s="11" t="str">
        <x:v>monthly</x:v>
      </x:c>
      <x:c r="H242" s="11" t="n">
        <x:v>25</x:v>
      </x:c>
      <x:c r="I242" s="11" t="str">
        <x:v>upper</x:v>
      </x:c>
      <x:c r="J242" s="11" t="str">
        <x:v>Payroll</x:v>
      </x:c>
      <x:c r="K242" s="11" t="str">
        <x:v>Y19</x:v>
      </x:c>
      <x:c r="L242" s="11" t="str">
        <x:v>TER C band 25 upper</x:v>
      </x:c>
    </x:row>
    <x:row r="243">
      <x:c r="A243" s="11" t="str">
        <x:v>IDTERC</x:v>
      </x:c>
      <x:c r="B243" s="11" t="str">
        <x:v>ID</x:v>
      </x:c>
      <x:c r="C243" s="11" t="str">
        <x:v>2026-08</x:v>
      </x:c>
      <x:c r="D243" s="11" t="str">
        <x:v>2026-08-01</x:v>
      </x:c>
      <x:c r="E243" s="11" t="str"/>
      <x:c r="F243" s="11" t="str">
        <x:v>whole_income</x:v>
      </x:c>
      <x:c r="G243" s="11" t="str">
        <x:v>monthly</x:v>
      </x:c>
      <x:c r="H243" s="11" t="n">
        <x:v>25</x:v>
      </x:c>
      <x:c r="I243" s="11" t="str">
        <x:v>rate</x:v>
      </x:c>
      <x:c r="J243" s="11" t="str">
        <x:v>Payroll</x:v>
      </x:c>
      <x:c r="K243" s="11" t="str">
        <x:v>Z19</x:v>
      </x:c>
      <x:c r="L243" s="11" t="str">
        <x:v>TER C band 25 rate</x:v>
      </x:c>
    </x:row>
    <x:row r="244">
      <x:c r="A244" s="11" t="str">
        <x:v>IDTERC</x:v>
      </x:c>
      <x:c r="B244" s="11" t="str">
        <x:v>ID</x:v>
      </x:c>
      <x:c r="C244" s="11" t="str">
        <x:v>2026-08</x:v>
      </x:c>
      <x:c r="D244" s="11" t="str">
        <x:v>2026-08-01</x:v>
      </x:c>
      <x:c r="E244" s="11" t="str"/>
      <x:c r="F244" s="11" t="str">
        <x:v>whole_income</x:v>
      </x:c>
      <x:c r="G244" s="11" t="str">
        <x:v>monthly</x:v>
      </x:c>
      <x:c r="H244" s="11" t="n">
        <x:v>26</x:v>
      </x:c>
      <x:c r="I244" s="11" t="str">
        <x:v>upper</x:v>
      </x:c>
      <x:c r="J244" s="11" t="str">
        <x:v>Payroll</x:v>
      </x:c>
      <x:c r="K244" s="11" t="str">
        <x:v>Y20</x:v>
      </x:c>
      <x:c r="L244" s="11" t="str">
        <x:v>TER C band 26 upper</x:v>
      </x:c>
    </x:row>
    <x:row r="245">
      <x:c r="A245" s="11" t="str">
        <x:v>IDTERC</x:v>
      </x:c>
      <x:c r="B245" s="11" t="str">
        <x:v>ID</x:v>
      </x:c>
      <x:c r="C245" s="11" t="str">
        <x:v>2026-08</x:v>
      </x:c>
      <x:c r="D245" s="11" t="str">
        <x:v>2026-08-01</x:v>
      </x:c>
      <x:c r="E245" s="11" t="str"/>
      <x:c r="F245" s="11" t="str">
        <x:v>whole_income</x:v>
      </x:c>
      <x:c r="G245" s="11" t="str">
        <x:v>monthly</x:v>
      </x:c>
      <x:c r="H245" s="11" t="n">
        <x:v>26</x:v>
      </x:c>
      <x:c r="I245" s="11" t="str">
        <x:v>rate</x:v>
      </x:c>
      <x:c r="J245" s="11" t="str">
        <x:v>Payroll</x:v>
      </x:c>
      <x:c r="K245" s="11" t="str">
        <x:v>Z20</x:v>
      </x:c>
      <x:c r="L245" s="11" t="str">
        <x:v>TER C band 26 rate</x:v>
      </x:c>
    </x:row>
    <x:row r="246">
      <x:c r="A246" s="11" t="str">
        <x:v>IDTERC</x:v>
      </x:c>
      <x:c r="B246" s="11" t="str">
        <x:v>ID</x:v>
      </x:c>
      <x:c r="C246" s="11" t="str">
        <x:v>2026-08</x:v>
      </x:c>
      <x:c r="D246" s="11" t="str">
        <x:v>2026-08-01</x:v>
      </x:c>
      <x:c r="E246" s="11" t="str"/>
      <x:c r="F246" s="11" t="str">
        <x:v>whole_income</x:v>
      </x:c>
      <x:c r="G246" s="11" t="str">
        <x:v>monthly</x:v>
      </x:c>
      <x:c r="H246" s="11" t="n">
        <x:v>27</x:v>
      </x:c>
      <x:c r="I246" s="11" t="str">
        <x:v>upper</x:v>
      </x:c>
      <x:c r="J246" s="11" t="str">
        <x:v>Payroll</x:v>
      </x:c>
      <x:c r="K246" s="11" t="str">
        <x:v>Y21</x:v>
      </x:c>
      <x:c r="L246" s="11" t="str">
        <x:v>TER C band 27 upper</x:v>
      </x:c>
    </x:row>
    <x:row r="247">
      <x:c r="A247" s="11" t="str">
        <x:v>IDTERC</x:v>
      </x:c>
      <x:c r="B247" s="11" t="str">
        <x:v>ID</x:v>
      </x:c>
      <x:c r="C247" s="11" t="str">
        <x:v>2026-08</x:v>
      </x:c>
      <x:c r="D247" s="11" t="str">
        <x:v>2026-08-01</x:v>
      </x:c>
      <x:c r="E247" s="11" t="str"/>
      <x:c r="F247" s="11" t="str">
        <x:v>whole_income</x:v>
      </x:c>
      <x:c r="G247" s="11" t="str">
        <x:v>monthly</x:v>
      </x:c>
      <x:c r="H247" s="11" t="n">
        <x:v>27</x:v>
      </x:c>
      <x:c r="I247" s="11" t="str">
        <x:v>rate</x:v>
      </x:c>
      <x:c r="J247" s="11" t="str">
        <x:v>Payroll</x:v>
      </x:c>
      <x:c r="K247" s="11" t="str">
        <x:v>Z21</x:v>
      </x:c>
      <x:c r="L247" s="11" t="str">
        <x:v>TER C band 27 rate</x:v>
      </x:c>
    </x:row>
    <x:row r="248">
      <x:c r="A248" s="11" t="str">
        <x:v>IDTERC</x:v>
      </x:c>
      <x:c r="B248" s="11" t="str">
        <x:v>ID</x:v>
      </x:c>
      <x:c r="C248" s="11" t="str">
        <x:v>2026-08</x:v>
      </x:c>
      <x:c r="D248" s="11" t="str">
        <x:v>2026-08-01</x:v>
      </x:c>
      <x:c r="E248" s="11" t="str"/>
      <x:c r="F248" s="11" t="str">
        <x:v>whole_income</x:v>
      </x:c>
      <x:c r="G248" s="11" t="str">
        <x:v>monthly</x:v>
      </x:c>
      <x:c r="H248" s="11" t="n">
        <x:v>28</x:v>
      </x:c>
      <x:c r="I248" s="11" t="str">
        <x:v>upper</x:v>
      </x:c>
      <x:c r="J248" s="11" t="str">
        <x:v>Payroll</x:v>
      </x:c>
      <x:c r="K248" s="11" t="str">
        <x:v>Y22</x:v>
      </x:c>
      <x:c r="L248" s="11" t="str">
        <x:v>TER C band 28 upper</x:v>
      </x:c>
    </x:row>
    <x:row r="249">
      <x:c r="A249" s="11" t="str">
        <x:v>IDTERC</x:v>
      </x:c>
      <x:c r="B249" s="11" t="str">
        <x:v>ID</x:v>
      </x:c>
      <x:c r="C249" s="11" t="str">
        <x:v>2026-08</x:v>
      </x:c>
      <x:c r="D249" s="11" t="str">
        <x:v>2026-08-01</x:v>
      </x:c>
      <x:c r="E249" s="11" t="str"/>
      <x:c r="F249" s="11" t="str">
        <x:v>whole_income</x:v>
      </x:c>
      <x:c r="G249" s="11" t="str">
        <x:v>monthly</x:v>
      </x:c>
      <x:c r="H249" s="11" t="n">
        <x:v>28</x:v>
      </x:c>
      <x:c r="I249" s="11" t="str">
        <x:v>rate</x:v>
      </x:c>
      <x:c r="J249" s="11" t="str">
        <x:v>Payroll</x:v>
      </x:c>
      <x:c r="K249" s="11" t="str">
        <x:v>Z22</x:v>
      </x:c>
      <x:c r="L249" s="11" t="str">
        <x:v>TER C band 28 rate</x:v>
      </x:c>
    </x:row>
    <x:row r="250">
      <x:c r="A250" s="11" t="str">
        <x:v>IDTERC</x:v>
      </x:c>
      <x:c r="B250" s="11" t="str">
        <x:v>ID</x:v>
      </x:c>
      <x:c r="C250" s="11" t="str">
        <x:v>2026-08</x:v>
      </x:c>
      <x:c r="D250" s="11" t="str">
        <x:v>2026-08-01</x:v>
      </x:c>
      <x:c r="E250" s="11" t="str"/>
      <x:c r="F250" s="11" t="str">
        <x:v>whole_income</x:v>
      </x:c>
      <x:c r="G250" s="11" t="str">
        <x:v>monthly</x:v>
      </x:c>
      <x:c r="H250" s="11" t="n">
        <x:v>29</x:v>
      </x:c>
      <x:c r="I250" s="11" t="str">
        <x:v>upper</x:v>
      </x:c>
      <x:c r="J250" s="11" t="str">
        <x:v>Payroll</x:v>
      </x:c>
      <x:c r="K250" s="11" t="str">
        <x:v>Y23</x:v>
      </x:c>
      <x:c r="L250" s="11" t="str">
        <x:v>TER C band 29 upper</x:v>
      </x:c>
    </x:row>
    <x:row r="251">
      <x:c r="A251" s="11" t="str">
        <x:v>IDTERC</x:v>
      </x:c>
      <x:c r="B251" s="11" t="str">
        <x:v>ID</x:v>
      </x:c>
      <x:c r="C251" s="11" t="str">
        <x:v>2026-08</x:v>
      </x:c>
      <x:c r="D251" s="11" t="str">
        <x:v>2026-08-01</x:v>
      </x:c>
      <x:c r="E251" s="11" t="str"/>
      <x:c r="F251" s="11" t="str">
        <x:v>whole_income</x:v>
      </x:c>
      <x:c r="G251" s="11" t="str">
        <x:v>monthly</x:v>
      </x:c>
      <x:c r="H251" s="11" t="n">
        <x:v>29</x:v>
      </x:c>
      <x:c r="I251" s="11" t="str">
        <x:v>rate</x:v>
      </x:c>
      <x:c r="J251" s="11" t="str">
        <x:v>Payroll</x:v>
      </x:c>
      <x:c r="K251" s="11" t="str">
        <x:v>Z23</x:v>
      </x:c>
      <x:c r="L251" s="11" t="str">
        <x:v>TER C band 29 rate</x:v>
      </x:c>
    </x:row>
    <x:row r="252">
      <x:c r="A252" s="11" t="str">
        <x:v>IDTERC</x:v>
      </x:c>
      <x:c r="B252" s="11" t="str">
        <x:v>ID</x:v>
      </x:c>
      <x:c r="C252" s="11" t="str">
        <x:v>2026-08</x:v>
      </x:c>
      <x:c r="D252" s="11" t="str">
        <x:v>2026-08-01</x:v>
      </x:c>
      <x:c r="E252" s="11" t="str"/>
      <x:c r="F252" s="11" t="str">
        <x:v>whole_income</x:v>
      </x:c>
      <x:c r="G252" s="11" t="str">
        <x:v>monthly</x:v>
      </x:c>
      <x:c r="H252" s="11" t="n">
        <x:v>30</x:v>
      </x:c>
      <x:c r="I252" s="11" t="str">
        <x:v>upper</x:v>
      </x:c>
      <x:c r="J252" s="11" t="str">
        <x:v>Payroll</x:v>
      </x:c>
      <x:c r="K252" s="11" t="str">
        <x:v>Y24</x:v>
      </x:c>
      <x:c r="L252" s="11" t="str">
        <x:v>TER C band 30 upper</x:v>
      </x:c>
    </x:row>
    <x:row r="253">
      <x:c r="A253" s="11" t="str">
        <x:v>IDTERC</x:v>
      </x:c>
      <x:c r="B253" s="11" t="str">
        <x:v>ID</x:v>
      </x:c>
      <x:c r="C253" s="11" t="str">
        <x:v>2026-08</x:v>
      </x:c>
      <x:c r="D253" s="11" t="str">
        <x:v>2026-08-01</x:v>
      </x:c>
      <x:c r="E253" s="11" t="str"/>
      <x:c r="F253" s="11" t="str">
        <x:v>whole_income</x:v>
      </x:c>
      <x:c r="G253" s="11" t="str">
        <x:v>monthly</x:v>
      </x:c>
      <x:c r="H253" s="11" t="n">
        <x:v>30</x:v>
      </x:c>
      <x:c r="I253" s="11" t="str">
        <x:v>rate</x:v>
      </x:c>
      <x:c r="J253" s="11" t="str">
        <x:v>Payroll</x:v>
      </x:c>
      <x:c r="K253" s="11" t="str">
        <x:v>Z24</x:v>
      </x:c>
      <x:c r="L253" s="11" t="str">
        <x:v>TER C band 30 rate</x:v>
      </x:c>
    </x:row>
    <x:row r="254">
      <x:c r="A254" s="11" t="str">
        <x:v>IDTERC</x:v>
      </x:c>
      <x:c r="B254" s="11" t="str">
        <x:v>ID</x:v>
      </x:c>
      <x:c r="C254" s="11" t="str">
        <x:v>2026-08</x:v>
      </x:c>
      <x:c r="D254" s="11" t="str">
        <x:v>2026-08-01</x:v>
      </x:c>
      <x:c r="E254" s="11" t="str"/>
      <x:c r="F254" s="11" t="str">
        <x:v>whole_income</x:v>
      </x:c>
      <x:c r="G254" s="11" t="str">
        <x:v>monthly</x:v>
      </x:c>
      <x:c r="H254" s="11" t="n">
        <x:v>31</x:v>
      </x:c>
      <x:c r="I254" s="11" t="str">
        <x:v>upper</x:v>
      </x:c>
      <x:c r="J254" s="11" t="str">
        <x:v>Payroll</x:v>
      </x:c>
      <x:c r="K254" s="11" t="str">
        <x:v>AB10</x:v>
      </x:c>
      <x:c r="L254" s="11" t="str">
        <x:v>TER C band 31 upper</x:v>
      </x:c>
    </x:row>
    <x:row r="255">
      <x:c r="A255" s="11" t="str">
        <x:v>IDTERC</x:v>
      </x:c>
      <x:c r="B255" s="11" t="str">
        <x:v>ID</x:v>
      </x:c>
      <x:c r="C255" s="11" t="str">
        <x:v>2026-08</x:v>
      </x:c>
      <x:c r="D255" s="11" t="str">
        <x:v>2026-08-01</x:v>
      </x:c>
      <x:c r="E255" s="11" t="str"/>
      <x:c r="F255" s="11" t="str">
        <x:v>whole_income</x:v>
      </x:c>
      <x:c r="G255" s="11" t="str">
        <x:v>monthly</x:v>
      </x:c>
      <x:c r="H255" s="11" t="n">
        <x:v>31</x:v>
      </x:c>
      <x:c r="I255" s="11" t="str">
        <x:v>rate</x:v>
      </x:c>
      <x:c r="J255" s="11" t="str">
        <x:v>Payroll</x:v>
      </x:c>
      <x:c r="K255" s="11" t="str">
        <x:v>AC10</x:v>
      </x:c>
      <x:c r="L255" s="11" t="str">
        <x:v>TER C band 31 rate</x:v>
      </x:c>
    </x:row>
    <x:row r="256">
      <x:c r="A256" s="11" t="str">
        <x:v>IDTERC</x:v>
      </x:c>
      <x:c r="B256" s="11" t="str">
        <x:v>ID</x:v>
      </x:c>
      <x:c r="C256" s="11" t="str">
        <x:v>2026-08</x:v>
      </x:c>
      <x:c r="D256" s="11" t="str">
        <x:v>2026-08-01</x:v>
      </x:c>
      <x:c r="E256" s="11" t="str"/>
      <x:c r="F256" s="11" t="str">
        <x:v>whole_income</x:v>
      </x:c>
      <x:c r="G256" s="11" t="str">
        <x:v>monthly</x:v>
      </x:c>
      <x:c r="H256" s="11" t="n">
        <x:v>32</x:v>
      </x:c>
      <x:c r="I256" s="11" t="str">
        <x:v>upper</x:v>
      </x:c>
      <x:c r="J256" s="11" t="str">
        <x:v>Payroll</x:v>
      </x:c>
      <x:c r="K256" s="11" t="str">
        <x:v>AB11</x:v>
      </x:c>
      <x:c r="L256" s="11" t="str">
        <x:v>TER C band 32 upper</x:v>
      </x:c>
    </x:row>
    <x:row r="257">
      <x:c r="A257" s="11" t="str">
        <x:v>IDTERC</x:v>
      </x:c>
      <x:c r="B257" s="11" t="str">
        <x:v>ID</x:v>
      </x:c>
      <x:c r="C257" s="11" t="str">
        <x:v>2026-08</x:v>
      </x:c>
      <x:c r="D257" s="11" t="str">
        <x:v>2026-08-01</x:v>
      </x:c>
      <x:c r="E257" s="11" t="str"/>
      <x:c r="F257" s="11" t="str">
        <x:v>whole_income</x:v>
      </x:c>
      <x:c r="G257" s="11" t="str">
        <x:v>monthly</x:v>
      </x:c>
      <x:c r="H257" s="11" t="n">
        <x:v>32</x:v>
      </x:c>
      <x:c r="I257" s="11" t="str">
        <x:v>rate</x:v>
      </x:c>
      <x:c r="J257" s="11" t="str">
        <x:v>Payroll</x:v>
      </x:c>
      <x:c r="K257" s="11" t="str">
        <x:v>AC11</x:v>
      </x:c>
      <x:c r="L257" s="11" t="str">
        <x:v>TER C band 32 rate</x:v>
      </x:c>
    </x:row>
    <x:row r="258">
      <x:c r="A258" s="11" t="str">
        <x:v>IDTERC</x:v>
      </x:c>
      <x:c r="B258" s="11" t="str">
        <x:v>ID</x:v>
      </x:c>
      <x:c r="C258" s="11" t="str">
        <x:v>2026-08</x:v>
      </x:c>
      <x:c r="D258" s="11" t="str">
        <x:v>2026-08-01</x:v>
      </x:c>
      <x:c r="E258" s="11" t="str"/>
      <x:c r="F258" s="11" t="str">
        <x:v>whole_income</x:v>
      </x:c>
      <x:c r="G258" s="11" t="str">
        <x:v>monthly</x:v>
      </x:c>
      <x:c r="H258" s="11" t="n">
        <x:v>33</x:v>
      </x:c>
      <x:c r="I258" s="11" t="str">
        <x:v>upper</x:v>
      </x:c>
      <x:c r="J258" s="11" t="str">
        <x:v>Payroll</x:v>
      </x:c>
      <x:c r="K258" s="11" t="str">
        <x:v>AB12</x:v>
      </x:c>
      <x:c r="L258" s="11" t="str">
        <x:v>TER C band 33 upper</x:v>
      </x:c>
    </x:row>
    <x:row r="259">
      <x:c r="A259" s="11" t="str">
        <x:v>IDTERC</x:v>
      </x:c>
      <x:c r="B259" s="11" t="str">
        <x:v>ID</x:v>
      </x:c>
      <x:c r="C259" s="11" t="str">
        <x:v>2026-08</x:v>
      </x:c>
      <x:c r="D259" s="11" t="str">
        <x:v>2026-08-01</x:v>
      </x:c>
      <x:c r="E259" s="11" t="str"/>
      <x:c r="F259" s="11" t="str">
        <x:v>whole_income</x:v>
      </x:c>
      <x:c r="G259" s="11" t="str">
        <x:v>monthly</x:v>
      </x:c>
      <x:c r="H259" s="11" t="n">
        <x:v>33</x:v>
      </x:c>
      <x:c r="I259" s="11" t="str">
        <x:v>rate</x:v>
      </x:c>
      <x:c r="J259" s="11" t="str">
        <x:v>Payroll</x:v>
      </x:c>
      <x:c r="K259" s="11" t="str">
        <x:v>AC12</x:v>
      </x:c>
      <x:c r="L259" s="11" t="str">
        <x:v>TER C band 33 rate</x:v>
      </x:c>
    </x:row>
    <x:row r="260">
      <x:c r="A260" s="11" t="str">
        <x:v>IDTERC</x:v>
      </x:c>
      <x:c r="B260" s="11" t="str">
        <x:v>ID</x:v>
      </x:c>
      <x:c r="C260" s="11" t="str">
        <x:v>2026-08</x:v>
      </x:c>
      <x:c r="D260" s="11" t="str">
        <x:v>2026-08-01</x:v>
      </x:c>
      <x:c r="E260" s="11" t="str"/>
      <x:c r="F260" s="11" t="str">
        <x:v>whole_income</x:v>
      </x:c>
      <x:c r="G260" s="11" t="str">
        <x:v>monthly</x:v>
      </x:c>
      <x:c r="H260" s="11" t="n">
        <x:v>34</x:v>
      </x:c>
      <x:c r="I260" s="11" t="str">
        <x:v>upper</x:v>
      </x:c>
      <x:c r="J260" s="11" t="str">
        <x:v>Payroll</x:v>
      </x:c>
      <x:c r="K260" s="11" t="str">
        <x:v>AB13</x:v>
      </x:c>
      <x:c r="L260" s="11" t="str">
        <x:v>TER C band 34 upper</x:v>
      </x:c>
    </x:row>
    <x:row r="261">
      <x:c r="A261" s="11" t="str">
        <x:v>IDTERC</x:v>
      </x:c>
      <x:c r="B261" s="11" t="str">
        <x:v>ID</x:v>
      </x:c>
      <x:c r="C261" s="11" t="str">
        <x:v>2026-08</x:v>
      </x:c>
      <x:c r="D261" s="11" t="str">
        <x:v>2026-08-01</x:v>
      </x:c>
      <x:c r="E261" s="11" t="str"/>
      <x:c r="F261" s="11" t="str">
        <x:v>whole_income</x:v>
      </x:c>
      <x:c r="G261" s="11" t="str">
        <x:v>monthly</x:v>
      </x:c>
      <x:c r="H261" s="11" t="n">
        <x:v>34</x:v>
      </x:c>
      <x:c r="I261" s="11" t="str">
        <x:v>rate</x:v>
      </x:c>
      <x:c r="J261" s="11" t="str">
        <x:v>Payroll</x:v>
      </x:c>
      <x:c r="K261" s="11" t="str">
        <x:v>AC13</x:v>
      </x:c>
      <x:c r="L261" s="11" t="str">
        <x:v>TER C band 34 rate</x:v>
      </x:c>
    </x:row>
    <x:row r="262">
      <x:c r="A262" s="11" t="str">
        <x:v>IDTERC</x:v>
      </x:c>
      <x:c r="B262" s="11" t="str">
        <x:v>ID</x:v>
      </x:c>
      <x:c r="C262" s="11" t="str">
        <x:v>2026-08</x:v>
      </x:c>
      <x:c r="D262" s="11" t="str">
        <x:v>2026-08-01</x:v>
      </x:c>
      <x:c r="E262" s="11" t="str"/>
      <x:c r="F262" s="11" t="str">
        <x:v>whole_income</x:v>
      </x:c>
      <x:c r="G262" s="11" t="str">
        <x:v>monthly</x:v>
      </x:c>
      <x:c r="H262" s="11" t="n">
        <x:v>35</x:v>
      </x:c>
      <x:c r="I262" s="11" t="str">
        <x:v>upper</x:v>
      </x:c>
      <x:c r="J262" s="11" t="str">
        <x:v>Payroll</x:v>
      </x:c>
      <x:c r="K262" s="11" t="str">
        <x:v>AB14</x:v>
      </x:c>
      <x:c r="L262" s="11" t="str">
        <x:v>TER C band 35 upper</x:v>
      </x:c>
    </x:row>
    <x:row r="263">
      <x:c r="A263" s="11" t="str">
        <x:v>IDTERC</x:v>
      </x:c>
      <x:c r="B263" s="11" t="str">
        <x:v>ID</x:v>
      </x:c>
      <x:c r="C263" s="11" t="str">
        <x:v>2026-08</x:v>
      </x:c>
      <x:c r="D263" s="11" t="str">
        <x:v>2026-08-01</x:v>
      </x:c>
      <x:c r="E263" s="11" t="str"/>
      <x:c r="F263" s="11" t="str">
        <x:v>whole_income</x:v>
      </x:c>
      <x:c r="G263" s="11" t="str">
        <x:v>monthly</x:v>
      </x:c>
      <x:c r="H263" s="11" t="n">
        <x:v>35</x:v>
      </x:c>
      <x:c r="I263" s="11" t="str">
        <x:v>rate</x:v>
      </x:c>
      <x:c r="J263" s="11" t="str">
        <x:v>Payroll</x:v>
      </x:c>
      <x:c r="K263" s="11" t="str">
        <x:v>AC14</x:v>
      </x:c>
      <x:c r="L263" s="11" t="str">
        <x:v>TER C band 35 rate</x:v>
      </x:c>
    </x:row>
    <x:row r="264">
      <x:c r="A264" s="11" t="str">
        <x:v>IDTERC</x:v>
      </x:c>
      <x:c r="B264" s="11" t="str">
        <x:v>ID</x:v>
      </x:c>
      <x:c r="C264" s="11" t="str">
        <x:v>2026-08</x:v>
      </x:c>
      <x:c r="D264" s="11" t="str">
        <x:v>2026-08-01</x:v>
      </x:c>
      <x:c r="E264" s="11" t="str"/>
      <x:c r="F264" s="11" t="str">
        <x:v>whole_income</x:v>
      </x:c>
      <x:c r="G264" s="11" t="str">
        <x:v>monthly</x:v>
      </x:c>
      <x:c r="H264" s="11" t="n">
        <x:v>36</x:v>
      </x:c>
      <x:c r="I264" s="11" t="str">
        <x:v>upper</x:v>
      </x:c>
      <x:c r="J264" s="11" t="str">
        <x:v>Payroll</x:v>
      </x:c>
      <x:c r="K264" s="11" t="str">
        <x:v>AB15</x:v>
      </x:c>
      <x:c r="L264" s="11" t="str">
        <x:v>TER C band 36 upper</x:v>
      </x:c>
    </x:row>
    <x:row r="265">
      <x:c r="A265" s="11" t="str">
        <x:v>IDTERC</x:v>
      </x:c>
      <x:c r="B265" s="11" t="str">
        <x:v>ID</x:v>
      </x:c>
      <x:c r="C265" s="11" t="str">
        <x:v>2026-08</x:v>
      </x:c>
      <x:c r="D265" s="11" t="str">
        <x:v>2026-08-01</x:v>
      </x:c>
      <x:c r="E265" s="11" t="str"/>
      <x:c r="F265" s="11" t="str">
        <x:v>whole_income</x:v>
      </x:c>
      <x:c r="G265" s="11" t="str">
        <x:v>monthly</x:v>
      </x:c>
      <x:c r="H265" s="11" t="n">
        <x:v>36</x:v>
      </x:c>
      <x:c r="I265" s="11" t="str">
        <x:v>rate</x:v>
      </x:c>
      <x:c r="J265" s="11" t="str">
        <x:v>Payroll</x:v>
      </x:c>
      <x:c r="K265" s="11" t="str">
        <x:v>AC15</x:v>
      </x:c>
      <x:c r="L265" s="11" t="str">
        <x:v>TER C band 36 rate</x:v>
      </x:c>
    </x:row>
    <x:row r="266">
      <x:c r="A266" s="11" t="str">
        <x:v>IDTERC</x:v>
      </x:c>
      <x:c r="B266" s="11" t="str">
        <x:v>ID</x:v>
      </x:c>
      <x:c r="C266" s="11" t="str">
        <x:v>2026-08</x:v>
      </x:c>
      <x:c r="D266" s="11" t="str">
        <x:v>2026-08-01</x:v>
      </x:c>
      <x:c r="E266" s="11" t="str"/>
      <x:c r="F266" s="11" t="str">
        <x:v>whole_income</x:v>
      </x:c>
      <x:c r="G266" s="11" t="str">
        <x:v>monthly</x:v>
      </x:c>
      <x:c r="H266" s="11" t="n">
        <x:v>37</x:v>
      </x:c>
      <x:c r="I266" s="11" t="str">
        <x:v>upper</x:v>
      </x:c>
      <x:c r="J266" s="11" t="str">
        <x:v>Payroll</x:v>
      </x:c>
      <x:c r="K266" s="11" t="str">
        <x:v>AB16</x:v>
      </x:c>
      <x:c r="L266" s="11" t="str">
        <x:v>TER C band 37 upper</x:v>
      </x:c>
    </x:row>
    <x:row r="267">
      <x:c r="A267" s="11" t="str">
        <x:v>IDTERC</x:v>
      </x:c>
      <x:c r="B267" s="11" t="str">
        <x:v>ID</x:v>
      </x:c>
      <x:c r="C267" s="11" t="str">
        <x:v>2026-08</x:v>
      </x:c>
      <x:c r="D267" s="11" t="str">
        <x:v>2026-08-01</x:v>
      </x:c>
      <x:c r="E267" s="11" t="str"/>
      <x:c r="F267" s="11" t="str">
        <x:v>whole_income</x:v>
      </x:c>
      <x:c r="G267" s="11" t="str">
        <x:v>monthly</x:v>
      </x:c>
      <x:c r="H267" s="11" t="n">
        <x:v>37</x:v>
      </x:c>
      <x:c r="I267" s="11" t="str">
        <x:v>rate</x:v>
      </x:c>
      <x:c r="J267" s="11" t="str">
        <x:v>Payroll</x:v>
      </x:c>
      <x:c r="K267" s="11" t="str">
        <x:v>AC16</x:v>
      </x:c>
      <x:c r="L267" s="11" t="str">
        <x:v>TER C band 37 rate</x:v>
      </x:c>
    </x:row>
    <x:row r="268">
      <x:c r="A268" s="11" t="str">
        <x:v>IDTERC</x:v>
      </x:c>
      <x:c r="B268" s="11" t="str">
        <x:v>ID</x:v>
      </x:c>
      <x:c r="C268" s="11" t="str">
        <x:v>2026-08</x:v>
      </x:c>
      <x:c r="D268" s="11" t="str">
        <x:v>2026-08-01</x:v>
      </x:c>
      <x:c r="E268" s="11" t="str"/>
      <x:c r="F268" s="11" t="str">
        <x:v>whole_income</x:v>
      </x:c>
      <x:c r="G268" s="11" t="str">
        <x:v>monthly</x:v>
      </x:c>
      <x:c r="H268" s="11" t="n">
        <x:v>38</x:v>
      </x:c>
      <x:c r="I268" s="11" t="str">
        <x:v>upper</x:v>
      </x:c>
      <x:c r="J268" s="11" t="str">
        <x:v>Payroll</x:v>
      </x:c>
      <x:c r="K268" s="11" t="str">
        <x:v>AB17</x:v>
      </x:c>
      <x:c r="L268" s="11" t="str">
        <x:v>TER C band 38 upper</x:v>
      </x:c>
    </x:row>
    <x:row r="269">
      <x:c r="A269" s="11" t="str">
        <x:v>IDTERC</x:v>
      </x:c>
      <x:c r="B269" s="11" t="str">
        <x:v>ID</x:v>
      </x:c>
      <x:c r="C269" s="11" t="str">
        <x:v>2026-08</x:v>
      </x:c>
      <x:c r="D269" s="11" t="str">
        <x:v>2026-08-01</x:v>
      </x:c>
      <x:c r="E269" s="11" t="str"/>
      <x:c r="F269" s="11" t="str">
        <x:v>whole_income</x:v>
      </x:c>
      <x:c r="G269" s="11" t="str">
        <x:v>monthly</x:v>
      </x:c>
      <x:c r="H269" s="11" t="n">
        <x:v>38</x:v>
      </x:c>
      <x:c r="I269" s="11" t="str">
        <x:v>rate</x:v>
      </x:c>
      <x:c r="J269" s="11" t="str">
        <x:v>Payroll</x:v>
      </x:c>
      <x:c r="K269" s="11" t="str">
        <x:v>AC17</x:v>
      </x:c>
      <x:c r="L269" s="11" t="str">
        <x:v>TER C band 38 rate</x:v>
      </x:c>
    </x:row>
    <x:row r="270">
      <x:c r="A270" s="11" t="str">
        <x:v>IDTERC</x:v>
      </x:c>
      <x:c r="B270" s="11" t="str">
        <x:v>ID</x:v>
      </x:c>
      <x:c r="C270" s="11" t="str">
        <x:v>2026-08</x:v>
      </x:c>
      <x:c r="D270" s="11" t="str">
        <x:v>2026-08-01</x:v>
      </x:c>
      <x:c r="E270" s="11" t="str"/>
      <x:c r="F270" s="11" t="str">
        <x:v>whole_income</x:v>
      </x:c>
      <x:c r="G270" s="11" t="str">
        <x:v>monthly</x:v>
      </x:c>
      <x:c r="H270" s="11" t="n">
        <x:v>39</x:v>
      </x:c>
      <x:c r="I270" s="11" t="str">
        <x:v>upper</x:v>
      </x:c>
      <x:c r="J270" s="11" t="str">
        <x:v>Payroll</x:v>
      </x:c>
      <x:c r="K270" s="11" t="str">
        <x:v>AB18</x:v>
      </x:c>
      <x:c r="L270" s="11" t="str">
        <x:v>TER C band 39 upper</x:v>
      </x:c>
    </x:row>
    <x:row r="271">
      <x:c r="A271" s="11" t="str">
        <x:v>IDTERC</x:v>
      </x:c>
      <x:c r="B271" s="11" t="str">
        <x:v>ID</x:v>
      </x:c>
      <x:c r="C271" s="11" t="str">
        <x:v>2026-08</x:v>
      </x:c>
      <x:c r="D271" s="11" t="str">
        <x:v>2026-08-01</x:v>
      </x:c>
      <x:c r="E271" s="11" t="str"/>
      <x:c r="F271" s="11" t="str">
        <x:v>whole_income</x:v>
      </x:c>
      <x:c r="G271" s="11" t="str">
        <x:v>monthly</x:v>
      </x:c>
      <x:c r="H271" s="11" t="n">
        <x:v>39</x:v>
      </x:c>
      <x:c r="I271" s="11" t="str">
        <x:v>rate</x:v>
      </x:c>
      <x:c r="J271" s="11" t="str">
        <x:v>Payroll</x:v>
      </x:c>
      <x:c r="K271" s="11" t="str">
        <x:v>AC18</x:v>
      </x:c>
      <x:c r="L271" s="11" t="str">
        <x:v>TER C band 39 rate</x:v>
      </x:c>
    </x:row>
    <x:row r="272">
      <x:c r="A272" s="11" t="str">
        <x:v>IDTERC</x:v>
      </x:c>
      <x:c r="B272" s="11" t="str">
        <x:v>ID</x:v>
      </x:c>
      <x:c r="C272" s="11" t="str">
        <x:v>2026-08</x:v>
      </x:c>
      <x:c r="D272" s="11" t="str">
        <x:v>2026-08-01</x:v>
      </x:c>
      <x:c r="E272" s="11" t="str"/>
      <x:c r="F272" s="11" t="str">
        <x:v>whole_income</x:v>
      </x:c>
      <x:c r="G272" s="11" t="str">
        <x:v>monthly</x:v>
      </x:c>
      <x:c r="H272" s="11" t="n">
        <x:v>40</x:v>
      </x:c>
      <x:c r="I272" s="11" t="str">
        <x:v>upper</x:v>
      </x:c>
      <x:c r="J272" s="11" t="str">
        <x:v>Payroll</x:v>
      </x:c>
      <x:c r="K272" s="11" t="str">
        <x:v>AB19</x:v>
      </x:c>
      <x:c r="L272" s="11" t="str">
        <x:v>TER C band 40 upper</x:v>
      </x:c>
    </x:row>
    <x:row r="273">
      <x:c r="A273" s="11" t="str">
        <x:v>IDTERC</x:v>
      </x:c>
      <x:c r="B273" s="11" t="str">
        <x:v>ID</x:v>
      </x:c>
      <x:c r="C273" s="11" t="str">
        <x:v>2026-08</x:v>
      </x:c>
      <x:c r="D273" s="11" t="str">
        <x:v>2026-08-01</x:v>
      </x:c>
      <x:c r="E273" s="11" t="str"/>
      <x:c r="F273" s="11" t="str">
        <x:v>whole_income</x:v>
      </x:c>
      <x:c r="G273" s="11" t="str">
        <x:v>monthly</x:v>
      </x:c>
      <x:c r="H273" s="11" t="n">
        <x:v>40</x:v>
      </x:c>
      <x:c r="I273" s="11" t="str">
        <x:v>rate</x:v>
      </x:c>
      <x:c r="J273" s="11" t="str">
        <x:v>Payroll</x:v>
      </x:c>
      <x:c r="K273" s="11" t="str">
        <x:v>AC19</x:v>
      </x:c>
      <x:c r="L273" s="11" t="str">
        <x:v>TER C band 40 rate</x:v>
      </x:c>
    </x:row>
    <x:row r="274">
      <x:c r="A274" s="11" t="str">
        <x:v>IDTERC</x:v>
      </x:c>
      <x:c r="B274" s="11" t="str">
        <x:v>ID</x:v>
      </x:c>
      <x:c r="C274" s="11" t="str">
        <x:v>2026-08</x:v>
      </x:c>
      <x:c r="D274" s="11" t="str">
        <x:v>2026-08-01</x:v>
      </x:c>
      <x:c r="E274" s="11" t="str"/>
      <x:c r="F274" s="11" t="str">
        <x:v>whole_income</x:v>
      </x:c>
      <x:c r="G274" s="11" t="str">
        <x:v>monthly</x:v>
      </x:c>
      <x:c r="H274" s="11" t="n">
        <x:v>41</x:v>
      </x:c>
      <x:c r="I274" s="11" t="str">
        <x:v>upper</x:v>
      </x:c>
      <x:c r="J274" s="11" t="str">
        <x:v>Payroll</x:v>
      </x:c>
      <x:c r="K274" s="11" t="str">
        <x:v>AB20</x:v>
      </x:c>
      <x:c r="L274" s="11" t="str">
        <x:v>TER C band 41 upper</x:v>
      </x:c>
    </x:row>
    <x:row r="275">
      <x:c r="A275" s="11" t="str">
        <x:v>IDTERC</x:v>
      </x:c>
      <x:c r="B275" s="11" t="str">
        <x:v>ID</x:v>
      </x:c>
      <x:c r="C275" s="11" t="str">
        <x:v>2026-08</x:v>
      </x:c>
      <x:c r="D275" s="11" t="str">
        <x:v>2026-08-01</x:v>
      </x:c>
      <x:c r="E275" s="11" t="str"/>
      <x:c r="F275" s="11" t="str">
        <x:v>whole_income</x:v>
      </x:c>
      <x:c r="G275" s="11" t="str">
        <x:v>monthly</x:v>
      </x:c>
      <x:c r="H275" s="11" t="n">
        <x:v>41</x:v>
      </x:c>
      <x:c r="I275" s="11" t="str">
        <x:v>rate</x:v>
      </x:c>
      <x:c r="J275" s="11" t="str">
        <x:v>Payroll</x:v>
      </x:c>
      <x:c r="K275" s="11" t="str">
        <x:v>AC20</x:v>
      </x:c>
      <x:c r="L275" s="11" t="str">
        <x:v>TER C band 41 rate</x:v>
      </x:c>
    </x:row>
    <x:row r="276">
      <x:c r="A276" s="11" t="str">
        <x:v>IDANNUAL</x:v>
      </x:c>
      <x:c r="B276" s="11" t="str">
        <x:v>ID</x:v>
      </x:c>
      <x:c r="C276" s="11" t="str">
        <x:v>2026-08</x:v>
      </x:c>
      <x:c r="D276" s="11" t="str">
        <x:v>2026-08-01</x:v>
      </x:c>
      <x:c r="E276" s="11" t="str"/>
      <x:c r="F276" s="11" t="str">
        <x:v>progressive</x:v>
      </x:c>
      <x:c r="G276" s="11" t="str">
        <x:v>annual</x:v>
      </x:c>
      <x:c r="H276" s="11" t="n">
        <x:v>1</x:v>
      </x:c>
      <x:c r="I276" s="11" t="str">
        <x:v>upper</x:v>
      </x:c>
      <x:c r="J276" s="11" t="str">
        <x:v>Payroll</x:v>
      </x:c>
      <x:c r="K276" s="11" t="str">
        <x:v>AG10</x:v>
      </x:c>
      <x:c r="L276" s="11" t="str">
        <x:v>Annual PPh21 band 1 upper</x:v>
      </x:c>
    </x:row>
    <x:row r="277">
      <x:c r="A277" s="11" t="str">
        <x:v>IDANNUAL</x:v>
      </x:c>
      <x:c r="B277" s="11" t="str">
        <x:v>ID</x:v>
      </x:c>
      <x:c r="C277" s="11" t="str">
        <x:v>2026-08</x:v>
      </x:c>
      <x:c r="D277" s="11" t="str">
        <x:v>2026-08-01</x:v>
      </x:c>
      <x:c r="E277" s="11" t="str"/>
      <x:c r="F277" s="11" t="str">
        <x:v>progressive</x:v>
      </x:c>
      <x:c r="G277" s="11" t="str">
        <x:v>annual</x:v>
      </x:c>
      <x:c r="H277" s="11" t="n">
        <x:v>1</x:v>
      </x:c>
      <x:c r="I277" s="11" t="str">
        <x:v>rate</x:v>
      </x:c>
      <x:c r="J277" s="11" t="str">
        <x:v>Payroll</x:v>
      </x:c>
      <x:c r="K277" s="11" t="str">
        <x:v>AH10</x:v>
      </x:c>
      <x:c r="L277" s="11" t="str">
        <x:v>Annual PPh21 band 1 rate</x:v>
      </x:c>
    </x:row>
    <x:row r="278">
      <x:c r="A278" s="11" t="str">
        <x:v>IDANNUAL</x:v>
      </x:c>
      <x:c r="B278" s="11" t="str">
        <x:v>ID</x:v>
      </x:c>
      <x:c r="C278" s="11" t="str">
        <x:v>2026-08</x:v>
      </x:c>
      <x:c r="D278" s="11" t="str">
        <x:v>2026-08-01</x:v>
      </x:c>
      <x:c r="E278" s="11" t="str"/>
      <x:c r="F278" s="11" t="str">
        <x:v>progressive</x:v>
      </x:c>
      <x:c r="G278" s="11" t="str">
        <x:v>annual</x:v>
      </x:c>
      <x:c r="H278" s="11" t="n">
        <x:v>2</x:v>
      </x:c>
      <x:c r="I278" s="11" t="str">
        <x:v>upper</x:v>
      </x:c>
      <x:c r="J278" s="11" t="str">
        <x:v>Payroll</x:v>
      </x:c>
      <x:c r="K278" s="11" t="str">
        <x:v>AG11</x:v>
      </x:c>
      <x:c r="L278" s="11" t="str">
        <x:v>Annual PPh21 band 2 upper</x:v>
      </x:c>
    </x:row>
    <x:row r="279">
      <x:c r="A279" s="11" t="str">
        <x:v>IDANNUAL</x:v>
      </x:c>
      <x:c r="B279" s="11" t="str">
        <x:v>ID</x:v>
      </x:c>
      <x:c r="C279" s="11" t="str">
        <x:v>2026-08</x:v>
      </x:c>
      <x:c r="D279" s="11" t="str">
        <x:v>2026-08-01</x:v>
      </x:c>
      <x:c r="E279" s="11" t="str"/>
      <x:c r="F279" s="11" t="str">
        <x:v>progressive</x:v>
      </x:c>
      <x:c r="G279" s="11" t="str">
        <x:v>annual</x:v>
      </x:c>
      <x:c r="H279" s="11" t="n">
        <x:v>2</x:v>
      </x:c>
      <x:c r="I279" s="11" t="str">
        <x:v>rate</x:v>
      </x:c>
      <x:c r="J279" s="11" t="str">
        <x:v>Payroll</x:v>
      </x:c>
      <x:c r="K279" s="11" t="str">
        <x:v>AH11</x:v>
      </x:c>
      <x:c r="L279" s="11" t="str">
        <x:v>Annual PPh21 band 2 rate</x:v>
      </x:c>
    </x:row>
    <x:row r="280">
      <x:c r="A280" s="11" t="str">
        <x:v>IDANNUAL</x:v>
      </x:c>
      <x:c r="B280" s="11" t="str">
        <x:v>ID</x:v>
      </x:c>
      <x:c r="C280" s="11" t="str">
        <x:v>2026-08</x:v>
      </x:c>
      <x:c r="D280" s="11" t="str">
        <x:v>2026-08-01</x:v>
      </x:c>
      <x:c r="E280" s="11" t="str"/>
      <x:c r="F280" s="11" t="str">
        <x:v>progressive</x:v>
      </x:c>
      <x:c r="G280" s="11" t="str">
        <x:v>annual</x:v>
      </x:c>
      <x:c r="H280" s="11" t="n">
        <x:v>3</x:v>
      </x:c>
      <x:c r="I280" s="11" t="str">
        <x:v>upper</x:v>
      </x:c>
      <x:c r="J280" s="11" t="str">
        <x:v>Payroll</x:v>
      </x:c>
      <x:c r="K280" s="11" t="str">
        <x:v>AG12</x:v>
      </x:c>
      <x:c r="L280" s="11" t="str">
        <x:v>Annual PPh21 band 3 upper</x:v>
      </x:c>
    </x:row>
    <x:row r="281">
      <x:c r="A281" s="11" t="str">
        <x:v>IDANNUAL</x:v>
      </x:c>
      <x:c r="B281" s="11" t="str">
        <x:v>ID</x:v>
      </x:c>
      <x:c r="C281" s="11" t="str">
        <x:v>2026-08</x:v>
      </x:c>
      <x:c r="D281" s="11" t="str">
        <x:v>2026-08-01</x:v>
      </x:c>
      <x:c r="E281" s="11" t="str"/>
      <x:c r="F281" s="11" t="str">
        <x:v>progressive</x:v>
      </x:c>
      <x:c r="G281" s="11" t="str">
        <x:v>annual</x:v>
      </x:c>
      <x:c r="H281" s="11" t="n">
        <x:v>3</x:v>
      </x:c>
      <x:c r="I281" s="11" t="str">
        <x:v>rate</x:v>
      </x:c>
      <x:c r="J281" s="11" t="str">
        <x:v>Payroll</x:v>
      </x:c>
      <x:c r="K281" s="11" t="str">
        <x:v>AH12</x:v>
      </x:c>
      <x:c r="L281" s="11" t="str">
        <x:v>Annual PPh21 band 3 rate</x:v>
      </x:c>
    </x:row>
    <x:row r="282">
      <x:c r="A282" s="11" t="str">
        <x:v>IDANNUAL</x:v>
      </x:c>
      <x:c r="B282" s="11" t="str">
        <x:v>ID</x:v>
      </x:c>
      <x:c r="C282" s="11" t="str">
        <x:v>2026-08</x:v>
      </x:c>
      <x:c r="D282" s="11" t="str">
        <x:v>2026-08-01</x:v>
      </x:c>
      <x:c r="E282" s="11" t="str"/>
      <x:c r="F282" s="11" t="str">
        <x:v>progressive</x:v>
      </x:c>
      <x:c r="G282" s="11" t="str">
        <x:v>annual</x:v>
      </x:c>
      <x:c r="H282" s="11" t="n">
        <x:v>4</x:v>
      </x:c>
      <x:c r="I282" s="11" t="str">
        <x:v>upper</x:v>
      </x:c>
      <x:c r="J282" s="11" t="str">
        <x:v>Payroll</x:v>
      </x:c>
      <x:c r="K282" s="11" t="str">
        <x:v>AG13</x:v>
      </x:c>
      <x:c r="L282" s="11" t="str">
        <x:v>Annual PPh21 band 4 upper</x:v>
      </x:c>
    </x:row>
    <x:row r="283">
      <x:c r="A283" s="11" t="str">
        <x:v>IDANNUAL</x:v>
      </x:c>
      <x:c r="B283" s="11" t="str">
        <x:v>ID</x:v>
      </x:c>
      <x:c r="C283" s="11" t="str">
        <x:v>2026-08</x:v>
      </x:c>
      <x:c r="D283" s="11" t="str">
        <x:v>2026-08-01</x:v>
      </x:c>
      <x:c r="E283" s="11" t="str"/>
      <x:c r="F283" s="11" t="str">
        <x:v>progressive</x:v>
      </x:c>
      <x:c r="G283" s="11" t="str">
        <x:v>annual</x:v>
      </x:c>
      <x:c r="H283" s="11" t="n">
        <x:v>4</x:v>
      </x:c>
      <x:c r="I283" s="11" t="str">
        <x:v>rate</x:v>
      </x:c>
      <x:c r="J283" s="11" t="str">
        <x:v>Payroll</x:v>
      </x:c>
      <x:c r="K283" s="11" t="str">
        <x:v>AH13</x:v>
      </x:c>
      <x:c r="L283" s="11" t="str">
        <x:v>Annual PPh21 band 4 rate</x:v>
      </x:c>
    </x:row>
    <x:row r="284">
      <x:c r="A284" s="11" t="str">
        <x:v>IDANNUAL</x:v>
      </x:c>
      <x:c r="B284" s="11" t="str">
        <x:v>ID</x:v>
      </x:c>
      <x:c r="C284" s="11" t="str">
        <x:v>2026-08</x:v>
      </x:c>
      <x:c r="D284" s="11" t="str">
        <x:v>2026-08-01</x:v>
      </x:c>
      <x:c r="E284" s="11" t="str"/>
      <x:c r="F284" s="11" t="str">
        <x:v>progressive</x:v>
      </x:c>
      <x:c r="G284" s="11" t="str">
        <x:v>annual</x:v>
      </x:c>
      <x:c r="H284" s="11" t="n">
        <x:v>5</x:v>
      </x:c>
      <x:c r="I284" s="11" t="str">
        <x:v>upper</x:v>
      </x:c>
      <x:c r="J284" s="11" t="str">
        <x:v>Payroll</x:v>
      </x:c>
      <x:c r="K284" s="11" t="str">
        <x:v>AG14</x:v>
      </x:c>
      <x:c r="L284" s="11" t="str">
        <x:v>Annual PPh21 band 5 upper</x:v>
      </x:c>
    </x:row>
    <x:row r="285">
      <x:c r="A285" s="11" t="str">
        <x:v>IDANNUAL</x:v>
      </x:c>
      <x:c r="B285" s="11" t="str">
        <x:v>ID</x:v>
      </x:c>
      <x:c r="C285" s="11" t="str">
        <x:v>2026-08</x:v>
      </x:c>
      <x:c r="D285" s="11" t="str">
        <x:v>2026-08-01</x:v>
      </x:c>
      <x:c r="E285" s="11" t="str"/>
      <x:c r="F285" s="11" t="str">
        <x:v>progressive</x:v>
      </x:c>
      <x:c r="G285" s="11" t="str">
        <x:v>annual</x:v>
      </x:c>
      <x:c r="H285" s="11" t="n">
        <x:v>5</x:v>
      </x:c>
      <x:c r="I285" s="11" t="str">
        <x:v>rate</x:v>
      </x:c>
      <x:c r="J285" s="11" t="str">
        <x:v>Payroll</x:v>
      </x:c>
      <x:c r="K285" s="11" t="str">
        <x:v>AH14</x:v>
      </x:c>
      <x:c r="L285" s="11" t="str">
        <x:v>Annual PPh21 band 5 rate</x:v>
      </x:c>
    </x:row>
    <x:row r="286">
      <x:c r="A286" s="11" t="str">
        <x:v>IDSEVERANCE</x:v>
      </x:c>
      <x:c r="B286" s="11" t="str">
        <x:v>ID</x:v>
      </x:c>
      <x:c r="C286" s="11" t="str">
        <x:v>2026-08</x:v>
      </x:c>
      <x:c r="D286" s="11" t="str">
        <x:v>2026-08-01</x:v>
      </x:c>
      <x:c r="E286" s="11" t="str"/>
      <x:c r="F286" s="11" t="str">
        <x:v>progressive</x:v>
      </x:c>
      <x:c r="G286" s="11" t="str">
        <x:v>annual</x:v>
      </x:c>
      <x:c r="H286" s="11" t="n">
        <x:v>1</x:v>
      </x:c>
      <x:c r="I286" s="11" t="str">
        <x:v>upper</x:v>
      </x:c>
      <x:c r="J286" s="11" t="str">
        <x:v>Payroll</x:v>
      </x:c>
      <x:c r="K286" s="11" t="str">
        <x:v>AK10</x:v>
      </x:c>
      <x:c r="L286" s="11" t="str">
        <x:v>Qualifying severance band 1 upper</x:v>
      </x:c>
    </x:row>
    <x:row r="287">
      <x:c r="A287" s="11" t="str">
        <x:v>IDSEVERANCE</x:v>
      </x:c>
      <x:c r="B287" s="11" t="str">
        <x:v>ID</x:v>
      </x:c>
      <x:c r="C287" s="11" t="str">
        <x:v>2026-08</x:v>
      </x:c>
      <x:c r="D287" s="11" t="str">
        <x:v>2026-08-01</x:v>
      </x:c>
      <x:c r="E287" s="11" t="str"/>
      <x:c r="F287" s="11" t="str">
        <x:v>progressive</x:v>
      </x:c>
      <x:c r="G287" s="11" t="str">
        <x:v>annual</x:v>
      </x:c>
      <x:c r="H287" s="11" t="n">
        <x:v>1</x:v>
      </x:c>
      <x:c r="I287" s="11" t="str">
        <x:v>rate</x:v>
      </x:c>
      <x:c r="J287" s="11" t="str">
        <x:v>Payroll</x:v>
      </x:c>
      <x:c r="K287" s="11" t="str">
        <x:v>AL10</x:v>
      </x:c>
      <x:c r="L287" s="11" t="str">
        <x:v>Qualifying severance band 1 rate</x:v>
      </x:c>
    </x:row>
    <x:row r="288">
      <x:c r="A288" s="11" t="str">
        <x:v>IDSEVERANCE</x:v>
      </x:c>
      <x:c r="B288" s="11" t="str">
        <x:v>ID</x:v>
      </x:c>
      <x:c r="C288" s="11" t="str">
        <x:v>2026-08</x:v>
      </x:c>
      <x:c r="D288" s="11" t="str">
        <x:v>2026-08-01</x:v>
      </x:c>
      <x:c r="E288" s="11" t="str"/>
      <x:c r="F288" s="11" t="str">
        <x:v>progressive</x:v>
      </x:c>
      <x:c r="G288" s="11" t="str">
        <x:v>annual</x:v>
      </x:c>
      <x:c r="H288" s="11" t="n">
        <x:v>2</x:v>
      </x:c>
      <x:c r="I288" s="11" t="str">
        <x:v>upper</x:v>
      </x:c>
      <x:c r="J288" s="11" t="str">
        <x:v>Payroll</x:v>
      </x:c>
      <x:c r="K288" s="11" t="str">
        <x:v>AK11</x:v>
      </x:c>
      <x:c r="L288" s="11" t="str">
        <x:v>Qualifying severance band 2 upper</x:v>
      </x:c>
    </x:row>
    <x:row r="289">
      <x:c r="A289" s="11" t="str">
        <x:v>IDSEVERANCE</x:v>
      </x:c>
      <x:c r="B289" s="11" t="str">
        <x:v>ID</x:v>
      </x:c>
      <x:c r="C289" s="11" t="str">
        <x:v>2026-08</x:v>
      </x:c>
      <x:c r="D289" s="11" t="str">
        <x:v>2026-08-01</x:v>
      </x:c>
      <x:c r="E289" s="11" t="str"/>
      <x:c r="F289" s="11" t="str">
        <x:v>progressive</x:v>
      </x:c>
      <x:c r="G289" s="11" t="str">
        <x:v>annual</x:v>
      </x:c>
      <x:c r="H289" s="11" t="n">
        <x:v>2</x:v>
      </x:c>
      <x:c r="I289" s="11" t="str">
        <x:v>rate</x:v>
      </x:c>
      <x:c r="J289" s="11" t="str">
        <x:v>Payroll</x:v>
      </x:c>
      <x:c r="K289" s="11" t="str">
        <x:v>AL11</x:v>
      </x:c>
      <x:c r="L289" s="11" t="str">
        <x:v>Qualifying severance band 2 rate</x:v>
      </x:c>
    </x:row>
    <x:row r="290">
      <x:c r="A290" s="11" t="str">
        <x:v>IDSEVERANCE</x:v>
      </x:c>
      <x:c r="B290" s="11" t="str">
        <x:v>ID</x:v>
      </x:c>
      <x:c r="C290" s="11" t="str">
        <x:v>2026-08</x:v>
      </x:c>
      <x:c r="D290" s="11" t="str">
        <x:v>2026-08-01</x:v>
      </x:c>
      <x:c r="E290" s="11" t="str"/>
      <x:c r="F290" s="11" t="str">
        <x:v>progressive</x:v>
      </x:c>
      <x:c r="G290" s="11" t="str">
        <x:v>annual</x:v>
      </x:c>
      <x:c r="H290" s="11" t="n">
        <x:v>3</x:v>
      </x:c>
      <x:c r="I290" s="11" t="str">
        <x:v>upper</x:v>
      </x:c>
      <x:c r="J290" s="11" t="str">
        <x:v>Payroll</x:v>
      </x:c>
      <x:c r="K290" s="11" t="str">
        <x:v>AK12</x:v>
      </x:c>
      <x:c r="L290" s="11" t="str">
        <x:v>Qualifying severance band 3 upper</x:v>
      </x:c>
    </x:row>
    <x:row r="291">
      <x:c r="A291" s="11" t="str">
        <x:v>IDSEVERANCE</x:v>
      </x:c>
      <x:c r="B291" s="11" t="str">
        <x:v>ID</x:v>
      </x:c>
      <x:c r="C291" s="11" t="str">
        <x:v>2026-08</x:v>
      </x:c>
      <x:c r="D291" s="11" t="str">
        <x:v>2026-08-01</x:v>
      </x:c>
      <x:c r="E291" s="11" t="str"/>
      <x:c r="F291" s="11" t="str">
        <x:v>progressive</x:v>
      </x:c>
      <x:c r="G291" s="11" t="str">
        <x:v>annual</x:v>
      </x:c>
      <x:c r="H291" s="11" t="n">
        <x:v>3</x:v>
      </x:c>
      <x:c r="I291" s="11" t="str">
        <x:v>rate</x:v>
      </x:c>
      <x:c r="J291" s="11" t="str">
        <x:v>Payroll</x:v>
      </x:c>
      <x:c r="K291" s="11" t="str">
        <x:v>AL12</x:v>
      </x:c>
      <x:c r="L291" s="11" t="str">
        <x:v>Qualifying severance band 3 rate</x:v>
      </x:c>
    </x:row>
    <x:row r="292">
      <x:c r="A292" s="11" t="str">
        <x:v>IDSEVERANCE</x:v>
      </x:c>
      <x:c r="B292" s="11" t="str">
        <x:v>ID</x:v>
      </x:c>
      <x:c r="C292" s="11" t="str">
        <x:v>2026-08</x:v>
      </x:c>
      <x:c r="D292" s="11" t="str">
        <x:v>2026-08-01</x:v>
      </x:c>
      <x:c r="E292" s="11" t="str"/>
      <x:c r="F292" s="11" t="str">
        <x:v>progressive</x:v>
      </x:c>
      <x:c r="G292" s="11" t="str">
        <x:v>annual</x:v>
      </x:c>
      <x:c r="H292" s="11" t="n">
        <x:v>4</x:v>
      </x:c>
      <x:c r="I292" s="11" t="str">
        <x:v>upper</x:v>
      </x:c>
      <x:c r="J292" s="11" t="str">
        <x:v>Payroll</x:v>
      </x:c>
      <x:c r="K292" s="11" t="str">
        <x:v>AK13</x:v>
      </x:c>
      <x:c r="L292" s="11" t="str">
        <x:v>Qualifying severance band 4 upper</x:v>
      </x:c>
    </x:row>
    <x:row r="293">
      <x:c r="A293" s="11" t="str">
        <x:v>IDSEVERANCE</x:v>
      </x:c>
      <x:c r="B293" s="11" t="str">
        <x:v>ID</x:v>
      </x:c>
      <x:c r="C293" s="11" t="str">
        <x:v>2026-08</x:v>
      </x:c>
      <x:c r="D293" s="11" t="str">
        <x:v>2026-08-01</x:v>
      </x:c>
      <x:c r="E293" s="11" t="str"/>
      <x:c r="F293" s="11" t="str">
        <x:v>progressive</x:v>
      </x:c>
      <x:c r="G293" s="11" t="str">
        <x:v>annual</x:v>
      </x:c>
      <x:c r="H293" s="11" t="n">
        <x:v>4</x:v>
      </x:c>
      <x:c r="I293" s="11" t="str">
        <x:v>rate</x:v>
      </x:c>
      <x:c r="J293" s="11" t="str">
        <x:v>Payroll</x:v>
      </x:c>
      <x:c r="K293" s="11" t="str">
        <x:v>AL13</x:v>
      </x:c>
      <x:c r="L293" s="11" t="str">
        <x:v>Qualifying severance band 4 rate</x:v>
      </x:c>
    </x:row>
  </x:sheetData>
  <x:pageMargins left="0.7" right="0.7" top="0.75" bottom="0.75" header="0.3" footer="0.3"/>
</x:worksheet>
</file>