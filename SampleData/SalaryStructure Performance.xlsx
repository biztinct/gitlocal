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7F042ED8-8253-7D4A-AC53-2B4E02F40E17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" i="1" l="1"/>
  <c r="BH2" i="1"/>
  <c r="BG2" i="1"/>
  <c r="BA2" i="1"/>
  <c r="AZ2" i="1"/>
  <c r="AX2" i="1"/>
  <c r="AW2" i="1"/>
  <c r="AV2" i="1"/>
  <c r="AU2" i="1"/>
  <c r="AT2" i="1"/>
  <c r="AS2" i="1"/>
  <c r="AR2" i="1"/>
  <c r="W2" i="1"/>
  <c r="V2" i="1"/>
  <c r="U2" i="1"/>
  <c r="T2" i="1"/>
  <c r="BP2" i="1"/>
  <c r="BD2" i="1"/>
  <c r="BT2" i="1" s="1"/>
  <c r="BC2" i="1"/>
  <c r="BV2" i="1" s="1"/>
  <c r="S2" i="1"/>
  <c r="R2" i="1"/>
  <c r="Q2" i="1"/>
  <c r="AY2" i="1" l="1"/>
  <c r="BB2" i="1"/>
  <c r="BL2" i="1" s="1"/>
  <c r="BM2" i="1" s="1"/>
  <c r="BR2" i="1"/>
  <c r="BE2" i="1"/>
  <c r="BF2" i="1"/>
  <c r="BS2" i="1"/>
  <c r="BU2" i="1" s="1"/>
  <c r="BQ2" i="1" l="1"/>
  <c r="BW2" i="1" s="1"/>
</calcChain>
</file>

<file path=xl/sharedStrings.xml><?xml version="1.0" encoding="utf-8"?>
<sst xmlns="http://schemas.openxmlformats.org/spreadsheetml/2006/main" count="82" uniqueCount="80">
  <si>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</si>
  <si>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</si>
  <si>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</si>
  <si>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</si>
  <si>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</si>
  <si>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</si>
  <si>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</si>
  <si>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</si>
  <si>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</si>
  <si>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</si>
  <si>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</si>
  <si>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</si>
  <si>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</si>
  <si>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Actual basic salary</t>
  </si>
  <si>
    <t>Actual gas allowance</t>
  </si>
  <si>
    <t>Actual phone</t>
  </si>
  <si>
    <t>Actual meal</t>
  </si>
  <si>
    <t>Actual responsibility</t>
  </si>
  <si>
    <t>Actual parking</t>
  </si>
  <si>
    <t>Actual taxi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</si>
  <si>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</si>
  <si>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</si>
  <si>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</si>
  <si>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</si>
  <si>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</si>
  <si>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</si>
  <si>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</si>
  <si>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</si>
  <si>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</si>
  <si>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Sales Incentive</t>
  </si>
  <si>
    <t>Thirteenth month salary</t>
  </si>
  <si>
    <t>Severance Allowance</t>
  </si>
  <si>
    <t>Reimbursement Payment</t>
  </si>
  <si>
    <t>Overtime Normal (150%) Hours</t>
  </si>
  <si>
    <t>Overtime Weekend (200%) Hours</t>
  </si>
  <si>
    <t>Overtime Weekend (300%) Hours</t>
  </si>
  <si>
    <t>Night shift hour</t>
  </si>
  <si>
    <t>Overtime Nightshift Normal (210%) Hours</t>
  </si>
  <si>
    <t>Overtime Nightshift Weeekend (270%) Hours</t>
  </si>
  <si>
    <t>Overtime Nightshift Holiday (390%) Hours</t>
  </si>
  <si>
    <t>OT 1.5 amount</t>
  </si>
  <si>
    <t>OT 2 amount</t>
  </si>
  <si>
    <t>OT 3 amount</t>
  </si>
  <si>
    <t>Night shift amount</t>
  </si>
  <si>
    <t>OT night shift weekday amount</t>
  </si>
  <si>
    <t>OT night shift offday amount</t>
  </si>
  <si>
    <t>OT night shift holiday amount</t>
  </si>
  <si>
    <t>Total overtime amount</t>
  </si>
  <si>
    <t>OT nontaxable</t>
  </si>
  <si>
    <t>OT taxable</t>
  </si>
  <si>
    <t>Actual total income</t>
  </si>
  <si>
    <t>Salary for SI</t>
  </si>
  <si>
    <t>Salary for UI</t>
  </si>
  <si>
    <t>Social insurance 8%</t>
  </si>
  <si>
    <t>Medical insurance 1.5%</t>
  </si>
  <si>
    <t>Unemployment insurance 1%</t>
  </si>
  <si>
    <t>SI-HI-UI total 10.5%</t>
  </si>
  <si>
    <t>Employee Trade Union</t>
  </si>
  <si>
    <t>Number of Dependents</t>
  </si>
  <si>
    <t>Dependent amount</t>
  </si>
  <si>
    <t>Taxable income</t>
  </si>
  <si>
    <t>Taxable income after deduction</t>
  </si>
  <si>
    <t>Monthly PIT</t>
  </si>
  <si>
    <t>Other deduction/addition not counted</t>
  </si>
  <si>
    <t>Total deductions</t>
  </si>
  <si>
    <t>Net pay</t>
  </si>
  <si>
    <t>Social insurance 17.5%</t>
  </si>
  <si>
    <t>Medical insurance 3%</t>
  </si>
  <si>
    <t>SI-HI-UI total 21.5%</t>
  </si>
  <si>
    <t>Trade union ER 2%</t>
  </si>
  <si>
    <t>Total cost to employer</t>
  </si>
  <si>
    <t>Cost Center</t>
  </si>
  <si>
    <t>E11001</t>
  </si>
  <si>
    <t>Trần Văn Yến</t>
  </si>
  <si>
    <t>Active</t>
  </si>
  <si>
    <t>Ho Chi Minh City</t>
  </si>
  <si>
    <t>YES</t>
  </si>
  <si>
    <t>Standard Output</t>
  </si>
  <si>
    <t>Actual Output</t>
  </si>
  <si>
    <t>Actual Output (Adjusted)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</si>
</sst>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3DA4A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BX2"/>
  <sheetViews>
    <sheetView tabSelected="1" topLeftCell="C1" workbookViewId="0">
      <selection activeCell="O1" sqref="O1:P1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3.33203125" bestFit="1" customWidth="1"/>
    <col min="4" max="4" width="14.83203125" bestFit="1" customWidth="1"/>
    <col min="5" max="5" width="15.33203125" bestFit="1" customWidth="1"/>
    <col min="6" max="6" width="14.5" bestFit="1" customWidth="1"/>
    <col min="7" max="7" width="10.6640625" bestFit="1" customWidth="1"/>
    <col min="8" max="8" width="13.33203125" bestFit="1" customWidth="1"/>
    <col min="9" max="9" width="15.1640625" bestFit="1" customWidth="1"/>
    <col min="10" max="10" width="14.33203125" bestFit="1" customWidth="1"/>
    <col min="11" max="11" width="21.83203125" bestFit="1" customWidth="1"/>
    <col min="12" max="12" width="16.33203125" bestFit="1" customWidth="1"/>
    <col min="13" max="13" width="13.5" bestFit="1" customWidth="1"/>
    <col min="14" max="14" width="21.1640625" bestFit="1" customWidth="1"/>
    <col min="15" max="15" width="33.83203125" bestFit="1" customWidth="1"/>
    <col min="16" max="16" width="34.1640625" bestFit="1" customWidth="1"/>
    <col min="17" max="17" width="16.5" bestFit="1" customWidth="1"/>
    <col min="18" max="18" width="18.6640625" bestFit="1" customWidth="1"/>
    <col min="19" max="19" width="11.83203125" bestFit="1" customWidth="1"/>
    <col min="20" max="20" width="11" bestFit="1" customWidth="1"/>
    <col min="21" max="21" width="17.83203125" bestFit="1" customWidth="1"/>
    <col min="22" max="22" width="12.83203125" bestFit="1" customWidth="1"/>
    <col min="23" max="23" width="9.83203125" bestFit="1" customWidth="1"/>
    <col min="24" max="24" width="16.5" bestFit="1" customWidth="1"/>
    <col min="25" max="25" width="12.33203125" bestFit="1" customWidth="1"/>
    <col min="26" max="26" width="15.83203125" bestFit="1" customWidth="1"/>
    <col min="27" max="27" width="11.1640625" bestFit="1" customWidth="1"/>
    <col min="28" max="28" width="11.33203125" bestFit="1" customWidth="1"/>
    <col min="29" max="29" width="29.1640625" bestFit="1" customWidth="1"/>
    <col min="30" max="30" width="10.6640625" bestFit="1" customWidth="1"/>
    <col min="31" max="31" width="16" bestFit="1" customWidth="1"/>
    <col min="32" max="32" width="14.33203125" bestFit="1" customWidth="1"/>
    <col min="33" max="33" width="13.33203125" bestFit="1" customWidth="1"/>
    <col min="34" max="34" width="21" bestFit="1" customWidth="1"/>
    <col min="35" max="35" width="18.6640625" bestFit="1" customWidth="1"/>
    <col min="36" max="36" width="22.33203125" bestFit="1" customWidth="1"/>
    <col min="37" max="37" width="27.5" bestFit="1" customWidth="1"/>
    <col min="38" max="39" width="29" bestFit="1" customWidth="1"/>
    <col min="40" max="40" width="14" bestFit="1" customWidth="1"/>
    <col min="41" max="41" width="36.33203125" bestFit="1" customWidth="1"/>
    <col min="42" max="42" width="39" bestFit="1" customWidth="1"/>
    <col min="43" max="43" width="36.1640625" bestFit="1" customWidth="1"/>
    <col min="44" max="44" width="13.33203125" bestFit="1" customWidth="1"/>
    <col min="45" max="46" width="11.83203125" bestFit="1" customWidth="1"/>
    <col min="47" max="47" width="16.83203125" bestFit="1" customWidth="1"/>
    <col min="48" max="48" width="27.33203125" bestFit="1" customWidth="1"/>
    <col min="49" max="49" width="25.1640625" bestFit="1" customWidth="1"/>
    <col min="50" max="50" width="25.83203125" bestFit="1" customWidth="1"/>
    <col min="51" max="51" width="20.1640625" bestFit="1" customWidth="1"/>
    <col min="52" max="52" width="13" bestFit="1" customWidth="1"/>
    <col min="53" max="53" width="10" bestFit="1" customWidth="1"/>
    <col min="54" max="54" width="17.33203125" bestFit="1" customWidth="1"/>
    <col min="55" max="55" width="11" bestFit="1" customWidth="1"/>
    <col min="56" max="56" width="11.33203125" bestFit="1" customWidth="1"/>
    <col min="57" max="57" width="17.5" bestFit="1" customWidth="1"/>
    <col min="58" max="58" width="20.6640625" bestFit="1" customWidth="1"/>
    <col min="59" max="59" width="25.5" bestFit="1" customWidth="1"/>
    <col min="60" max="60" width="17.5" bestFit="1" customWidth="1"/>
    <col min="61" max="61" width="19.83203125" bestFit="1" customWidth="1"/>
    <col min="62" max="62" width="20.33203125" bestFit="1" customWidth="1"/>
    <col min="63" max="63" width="17" bestFit="1" customWidth="1"/>
    <col min="64" max="64" width="14" bestFit="1" customWidth="1"/>
    <col min="65" max="65" width="27.5" bestFit="1" customWidth="1"/>
    <col min="67" max="67" width="32.6640625" bestFit="1" customWidth="1"/>
    <col min="68" max="68" width="14.6640625" bestFit="1" customWidth="1"/>
    <col min="69" max="69" width="7.5" bestFit="1" customWidth="1"/>
    <col min="70" max="70" width="20" bestFit="1" customWidth="1"/>
    <col min="71" max="71" width="19.1640625" bestFit="1" customWidth="1"/>
    <col min="72" max="72" width="25.5" bestFit="1" customWidth="1"/>
    <col min="73" max="73" width="17.5" bestFit="1" customWidth="1"/>
    <col min="74" max="74" width="16.6640625" bestFit="1" customWidth="1"/>
    <col min="75" max="75" width="19.6640625" bestFit="1" customWidth="1"/>
    <col min="76" max="76" width="10.5" bestFit="1" customWidth="1"/>
  </cols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77</v>
      </c>
      <c r="O1" t="s">
        <v>78</v>
      </c>
      <c r="P1" t="s">
        <v>79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55</v>
      </c>
      <c r="BU1" t="s">
        <v>68</v>
      </c>
      <c r="BV1" t="s">
        <v>69</v>
      </c>
      <c r="BW1" t="s">
        <v>70</v>
      </c>
      <c r="BX1" t="s">
        <v>71</v>
      </c>
    </row>
    <row r="2" spans="1:76" ht="17" x14ac:dyDescent="0.2">
      <c r="A2" t="s">
        <v>72</v>
      </c>
      <c r="B2" t="s">
        <v>73</v>
      </c>
      <c r="C2" s="1">
        <v>44071</v>
      </c>
      <c r="D2" t="s">
        <v>74</v>
      </c>
      <c r="F2" t="s">
        <v>75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50</v>
      </c>
      <c r="O2">
        <v>45</v>
      </c>
      <c r="P2">
        <v>45</v>
      </c>
      <c r="Q2">
        <f>ROUND(G2/N2*O2,0)</f>
        <v>900</v>
      </c>
      <c r="R2">
        <f>H2/N2*P2</f>
        <v>1800</v>
      </c>
      <c r="S2">
        <f>IF(ISBLANK(E2),I2,I2/N2*O2)</f>
        <v>3000</v>
      </c>
      <c r="T2">
        <f>IF(F2="La Nga",0,(J2/N2*P2))</f>
        <v>3600</v>
      </c>
      <c r="U2" s="2">
        <f>IF(ISBLANK(E2),K2,IF(AE2="YES",K2/N2*P2,0))</f>
        <v>5000</v>
      </c>
      <c r="V2">
        <f>L2/N2*P2</f>
        <v>5400</v>
      </c>
      <c r="W2">
        <f>IF(ISBLANK(E2),M2,M2/N2*O2)</f>
        <v>7000</v>
      </c>
      <c r="X2">
        <v>1000</v>
      </c>
      <c r="Y2">
        <v>2000</v>
      </c>
      <c r="Z2">
        <v>3000</v>
      </c>
      <c r="AA2">
        <v>4000</v>
      </c>
      <c r="AB2">
        <v>5000</v>
      </c>
      <c r="AC2">
        <v>6000</v>
      </c>
      <c r="AD2">
        <v>7000</v>
      </c>
      <c r="AE2" t="s">
        <v>76</v>
      </c>
      <c r="AF2" t="s">
        <v>76</v>
      </c>
      <c r="AG2">
        <v>8000</v>
      </c>
      <c r="AH2">
        <v>9000</v>
      </c>
      <c r="AI2">
        <v>1000</v>
      </c>
      <c r="AJ2">
        <v>2000</v>
      </c>
      <c r="AR2" s="2">
        <f>IF(O2=0,0,($G2/$N2*AK2*150%))</f>
        <v>0</v>
      </c>
      <c r="AS2" s="2">
        <f>IF(O2=0,0,($G2/$N2*AL2*200%))</f>
        <v>0</v>
      </c>
      <c r="AT2">
        <f>IF(O2=0,0,($G2/$N2*AM2*300%))</f>
        <v>0</v>
      </c>
      <c r="AU2">
        <f>IF(O2=0,0,($G2/$N2*AN2*30%))</f>
        <v>0</v>
      </c>
      <c r="AV2" s="2">
        <f>IF(O2=0,0,($G2/$N2*AO2*210%))</f>
        <v>0</v>
      </c>
      <c r="AW2">
        <f>IF(O2=0,0,($G2/$N2*AP2*270%))</f>
        <v>0</v>
      </c>
      <c r="AX2" s="2">
        <f>IF(O2=0,0,($G2/$N2*AQ2*390%))</f>
        <v>0</v>
      </c>
      <c r="AY2">
        <f>IF(O2=0,0,(ROUND(SUM(AR2:AX2),0)))</f>
        <v>0</v>
      </c>
      <c r="AZ2">
        <f>ROUND(G2/N2*(AK2*0.5+AL2+AM2*2+AN2*0.3+AO2*1.1+AP2*1.7+AQ2*2.9),0)</f>
        <v>0</v>
      </c>
      <c r="BA2">
        <f>ROUND(G2/N2*SUM(AK2:AM2)+G2/N2*SUM(AO2:AQ2),0)</f>
        <v>0</v>
      </c>
      <c r="BB2">
        <f>SUM(Q2:AJ2)+AY2</f>
        <v>74700</v>
      </c>
      <c r="BC2">
        <f>IF(G2+K2&gt;46800000,46800000,G2+K2)</f>
        <v>6000</v>
      </c>
      <c r="BD2">
        <f>IF(G2+K2&gt;88200000,88200000,G2+K2)</f>
        <v>6000</v>
      </c>
      <c r="BE2">
        <f>IF($AE2="YES",$BC2*8%,0)</f>
        <v>480</v>
      </c>
      <c r="BF2">
        <f>IF($AE2="YES",$BC2*1.5%,0)</f>
        <v>90</v>
      </c>
      <c r="BG2">
        <f>IF($AE2="YES",$BD2*1%,0)</f>
        <v>60</v>
      </c>
      <c r="BH2">
        <f>SUM(BE2:BG2)</f>
        <v>630</v>
      </c>
      <c r="BI2">
        <v>0</v>
      </c>
      <c r="BK2" s="2">
        <f>11000000+4400000*BJ2</f>
        <v>11000000</v>
      </c>
      <c r="BL2" s="2">
        <f>BB2-S2-T2-AC2-AI2-AZ2</f>
        <v>61100</v>
      </c>
      <c r="BM2" s="2">
        <f>IF(BL2-BH2-BK2&lt;=0,0,BL2-BH2-BK2)</f>
        <v>0</v>
      </c>
      <c r="BN2">
        <v>0</v>
      </c>
      <c r="BP2">
        <f>BH2+BI2+BN2</f>
        <v>630</v>
      </c>
      <c r="BQ2">
        <f>BB2-BP2+BO2</f>
        <v>74070</v>
      </c>
      <c r="BR2">
        <f>IF($AE2="YES",$BC2*17.5%,0)</f>
        <v>1050</v>
      </c>
      <c r="BS2">
        <f>IF($AE2="YES",$BC2*3%,0)</f>
        <v>180</v>
      </c>
      <c r="BT2">
        <f>IF($AE2="YES",$BD2*1%,0)</f>
        <v>60</v>
      </c>
      <c r="BU2">
        <f>SUM(BR2:BT2)</f>
        <v>1290</v>
      </c>
      <c r="BV2">
        <f>BC2*2%</f>
        <v>120</v>
      </c>
      <c r="BW2">
        <f>BQ2+BU2+BV2</f>
        <v>75480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2025-12-23T05:47:26Z</dcterms:modified>
</cp:coreProperties>
</file>