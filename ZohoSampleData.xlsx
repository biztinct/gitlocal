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C182013D-7516-CF48-A28A-A190065915EE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3" i="1" l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" i="1"/>
</calcChain>
</file>

<file path=xl/sharedStrings.xml><?xml version="1.0" encoding="utf-8"?>
<sst xmlns="http://schemas.openxmlformats.org/spreadsheetml/2006/main" count="226" uniqueCount="132">
  <si>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</si>
  <si>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</si>
  <si>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</si>
  <si>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</si>
  <si>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</si>
  <si>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</si>
  <si>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</si>
  <si>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</si>
  <si>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</si>
  <si>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</si>
  <si>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</si>
  <si>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</si>
  <si>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</si>
  <si>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</si>
  <si>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Working Hours (incl. Paid Leave)</t>
  </si>
  <si>
    <t>Actual Working Hours (excl. Paid Leave)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</si>
  <si>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</si>
  <si>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</si>
  <si>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</si>
  <si>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</si>
  <si>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</si>
  <si>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</si>
  <si>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</si>
  <si>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</si>
  <si>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</si>
  <si>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</si>
  <si>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</si>
  <si>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</si>
  <si>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</si>
  <si>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</si>
  <si>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</si>
  <si>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</si>
  <si>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</si>
  <si>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</si>
  <si>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</si>
  <si>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</si>
  <si>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</si>
  <si>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</si>
  <si>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</si>
  <si>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</si>
  <si>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</si>
  <si>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</si>
  <si>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</si>
  <si>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</si>
  <si>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</si>
  <si>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</si>
  <si>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</si>
  <si>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</si>
  <si>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</si>
  <si>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</si>
  <si>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</si>
  <si>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</si>
  <si>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</si>
  <si>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</si>
  <si>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</si>
  <si>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</si>
  <si>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</si>
  <si>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</si>
  <si>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</si>
  <si>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</si>
  <si>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</si>
  <si>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</si>
  <si>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</si>
  <si>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</si>
  <si>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</si>
  <si>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</si>
  <si>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</si>
  <si>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</si>
  <si>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</si>
  <si>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</si>
  <si>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</si>
  <si>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</si>
  <si>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</si>
  <si>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</si>
  <si>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</si>
  <si>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</si>
  <si>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</si>
  <si>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</si>
  <si>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</si>
  <si>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</si>
  <si>
    <t>E11002</t>
  </si>
  <si>
    <t>Phạm Thị Long</t>
  </si>
  <si>
    <t>E11003</t>
  </si>
  <si>
    <t>Phạm Văn Tuấn</t>
  </si>
  <si>
    <t>Hanoi</t>
  </si>
  <si>
    <t>E11004</t>
  </si>
  <si>
    <t>Đặng Văn Mai</t>
  </si>
  <si>
    <t>E11005</t>
  </si>
  <si>
    <t>Phạm Văn Phương</t>
  </si>
  <si>
    <t>E11006</t>
  </si>
  <si>
    <t>Lê Thị Nam</t>
  </si>
  <si>
    <t>Da Nang</t>
  </si>
  <si>
    <t>E11007</t>
  </si>
  <si>
    <t>Trần Văn Hải</t>
  </si>
  <si>
    <t>E11008</t>
  </si>
  <si>
    <t>Phạm Thị Lan</t>
  </si>
  <si>
    <t>Hai Phong</t>
  </si>
  <si>
    <t>E11009</t>
  </si>
  <si>
    <t>Nguyễn Thị Dũng</t>
  </si>
  <si>
    <t>E11010</t>
  </si>
  <si>
    <t>Nguyễn Thị Nam</t>
  </si>
  <si>
    <t>E11011</t>
  </si>
  <si>
    <t>Võ Thị Yến</t>
  </si>
  <si>
    <t>Can Tho</t>
  </si>
  <si>
    <t>E11012</t>
  </si>
  <si>
    <t>Lý Văn Hùng</t>
  </si>
  <si>
    <t>E11013</t>
  </si>
  <si>
    <t>Lý Văn Đức</t>
  </si>
  <si>
    <t>E11014</t>
  </si>
  <si>
    <t>Phạm Văn Thành</t>
  </si>
  <si>
    <t>E11015</t>
  </si>
  <si>
    <t>Nguyễn Thị Quang</t>
  </si>
  <si>
    <t>E11016</t>
  </si>
  <si>
    <t>Huỳnh Thị Long</t>
  </si>
  <si>
    <t>E11017</t>
  </si>
  <si>
    <t>Dương Thị Yến</t>
  </si>
  <si>
    <t>E11018</t>
  </si>
  <si>
    <t>Hoàng Văn Cường</t>
  </si>
  <si>
    <t>E11019</t>
  </si>
  <si>
    <t>Vũ Thị Trang</t>
  </si>
  <si>
    <t>E11020</t>
  </si>
  <si>
    <t>Huỳnh Văn Yến</t>
  </si>
  <si>
    <t>E11021</t>
  </si>
  <si>
    <t>Lê Thị Khôi</t>
  </si>
  <si>
    <t>E11022</t>
  </si>
  <si>
    <t>Hoàng Văn Khôi</t>
  </si>
  <si>
    <t>E11023</t>
  </si>
  <si>
    <t>Nguyễn Văn Cường</t>
  </si>
  <si>
    <t>E11024</t>
  </si>
  <si>
    <t>Lê Văn Trang</t>
  </si>
  <si>
    <t>E11025</t>
  </si>
  <si>
    <t>Nguyễn Văn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</si>
</sst>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6"/>
  <sheetViews>
    <sheetView tabSelected="1" workbookViewId="0">
      <selection activeCell="BO6" sqref="BO6"/>
    </sheetView>
  </sheetViews>
  <sheetFormatPr baseColWidth="10" defaultRowHeight="16" x14ac:dyDescent="0.2"/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58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">
      <c r="A2" t="s">
        <v>75</v>
      </c>
      <c r="B2" t="s">
        <v>76</v>
      </c>
      <c r="C2" s="1">
        <v>44071</v>
      </c>
      <c r="D2" t="s">
        <v>77</v>
      </c>
      <c r="F2" t="s">
        <v>78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f>ROUND(G2/N2*O2,0)</f>
        <v>1000</v>
      </c>
      <c r="R2">
        <f>H2/N2*P2</f>
        <v>0</v>
      </c>
      <c r="S2">
        <f>IF(ISBLANK(E2),I2,I2/N2*O2)</f>
        <v>3000</v>
      </c>
      <c r="T2">
        <v>0</v>
      </c>
      <c r="U2">
        <v>0</v>
      </c>
      <c r="V2">
        <v>0</v>
      </c>
      <c r="W2">
        <v>6930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79</v>
      </c>
      <c r="AF2" t="s">
        <v>79</v>
      </c>
      <c r="AG2">
        <v>8000</v>
      </c>
      <c r="AH2">
        <v>9000</v>
      </c>
      <c r="AI2">
        <v>1000</v>
      </c>
      <c r="AJ2">
        <v>2000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f>SUM(Q2:AJ2)+AY2</f>
        <v>58930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v>60</v>
      </c>
      <c r="BH2">
        <v>630</v>
      </c>
      <c r="BI2">
        <v>0</v>
      </c>
      <c r="BK2">
        <v>11000000</v>
      </c>
      <c r="BL2">
        <f>BB2-S2-T2-AC2-AI2-AZ2</f>
        <v>48930</v>
      </c>
      <c r="BM2">
        <v>0</v>
      </c>
      <c r="BN2">
        <v>0</v>
      </c>
      <c r="BP2">
        <f>BH2+BI2+BN2</f>
        <v>630</v>
      </c>
      <c r="BQ2">
        <f>BB2-BP2+BO2</f>
        <v>58300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59710</v>
      </c>
    </row>
    <row r="3" spans="1:76" x14ac:dyDescent="0.2">
      <c r="A3" t="s">
        <v>80</v>
      </c>
      <c r="B3" t="s">
        <v>81</v>
      </c>
      <c r="C3" s="1">
        <v>44413</v>
      </c>
      <c r="D3" t="s">
        <v>77</v>
      </c>
      <c r="F3" t="s">
        <v>78</v>
      </c>
      <c r="G3">
        <v>100000</v>
      </c>
      <c r="H3">
        <v>2000</v>
      </c>
      <c r="I3">
        <v>3000</v>
      </c>
      <c r="J3">
        <v>4000</v>
      </c>
      <c r="K3">
        <v>5000</v>
      </c>
      <c r="L3">
        <v>6000</v>
      </c>
      <c r="M3">
        <v>7000</v>
      </c>
      <c r="N3">
        <v>40</v>
      </c>
      <c r="O3">
        <v>36</v>
      </c>
      <c r="Q3">
        <f t="shared" ref="Q3:Q26" si="0">ROUND(G3/N3*O3,0)</f>
        <v>90000</v>
      </c>
      <c r="R3">
        <f t="shared" ref="R3:R26" si="1">H3/N3*P3</f>
        <v>0</v>
      </c>
      <c r="S3">
        <f t="shared" ref="S3:S26" si="2">IF(ISBLANK(E3),I3,I3/N3*O3)</f>
        <v>3000</v>
      </c>
      <c r="T3">
        <v>0</v>
      </c>
      <c r="U3">
        <v>0</v>
      </c>
      <c r="V3">
        <v>0</v>
      </c>
      <c r="W3">
        <v>6272</v>
      </c>
      <c r="X3">
        <v>5000</v>
      </c>
      <c r="Y3">
        <v>6000</v>
      </c>
      <c r="Z3">
        <v>7000</v>
      </c>
      <c r="AA3">
        <v>539</v>
      </c>
      <c r="AE3" t="s">
        <v>79</v>
      </c>
      <c r="AF3" t="s">
        <v>79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f t="shared" ref="BB3:BB26" si="3">SUM(Q3:AJ3)+AY3</f>
        <v>117811</v>
      </c>
      <c r="BC3">
        <f t="shared" ref="BC3:BC26" si="4">IF(G3+K3&gt;46800000,46800000,G3+K3)</f>
        <v>105000</v>
      </c>
      <c r="BD3">
        <f t="shared" ref="BD3:BD26" si="5">IF(G3+K3&gt;88200000,88200000,G3+K3)</f>
        <v>105000</v>
      </c>
      <c r="BE3">
        <f t="shared" ref="BE3:BE25" si="6">IF($AE3="YES",$BC3*8%,0)</f>
        <v>8400</v>
      </c>
      <c r="BF3">
        <f t="shared" ref="BF3:BF26" si="7">IF($AE3="YES",$BC3*1.5%,0)</f>
        <v>1575</v>
      </c>
      <c r="BG3">
        <v>1050</v>
      </c>
      <c r="BH3">
        <v>11025</v>
      </c>
      <c r="BI3">
        <v>0</v>
      </c>
      <c r="BK3">
        <v>11000000</v>
      </c>
      <c r="BL3">
        <f t="shared" ref="BL3:BL26" si="8">BB3-S3-T3-AC3-AI3-AZ3</f>
        <v>114811</v>
      </c>
      <c r="BM3">
        <v>0</v>
      </c>
      <c r="BN3">
        <v>0</v>
      </c>
      <c r="BP3">
        <f t="shared" ref="BP3:BP26" si="9">BH3+BI3+BN3</f>
        <v>11025</v>
      </c>
      <c r="BQ3">
        <f t="shared" ref="BQ3:BQ26" si="10">BB3-BP3+BO3</f>
        <v>106786</v>
      </c>
      <c r="BR3">
        <f t="shared" ref="BR3:BR26" si="11">IF($AE3="YES",$BC3*17.5%,0)</f>
        <v>18375</v>
      </c>
      <c r="BS3">
        <f t="shared" ref="BS3:BS26" si="12">IF($AE3="YES",$BC3*3%,0)</f>
        <v>3150</v>
      </c>
      <c r="BT3">
        <f t="shared" ref="BT3:BT26" si="13">IF($AE3="YES",$BD3*1%,0)</f>
        <v>1050</v>
      </c>
      <c r="BU3">
        <f t="shared" ref="BU3:BU26" si="14">SUM(BR3:BT3)</f>
        <v>22575</v>
      </c>
      <c r="BV3">
        <f t="shared" ref="BV3:BV26" si="15">BC3*2%</f>
        <v>2100</v>
      </c>
      <c r="BW3">
        <f t="shared" ref="BW3:BW26" si="16">BQ3+BU3+BV3</f>
        <v>131461</v>
      </c>
    </row>
    <row r="4" spans="1:76" x14ac:dyDescent="0.2">
      <c r="A4" t="s">
        <v>82</v>
      </c>
      <c r="B4" t="s">
        <v>83</v>
      </c>
      <c r="C4" s="1">
        <v>44892</v>
      </c>
      <c r="D4" t="s">
        <v>77</v>
      </c>
      <c r="F4" t="s">
        <v>84</v>
      </c>
      <c r="G4">
        <v>200000</v>
      </c>
      <c r="H4">
        <v>2000</v>
      </c>
      <c r="I4">
        <v>3000</v>
      </c>
      <c r="J4">
        <v>4000</v>
      </c>
      <c r="K4">
        <v>5000</v>
      </c>
      <c r="L4">
        <v>6000</v>
      </c>
      <c r="M4">
        <v>7000</v>
      </c>
      <c r="N4">
        <v>40</v>
      </c>
      <c r="O4">
        <v>39</v>
      </c>
      <c r="Q4">
        <f t="shared" si="0"/>
        <v>195000</v>
      </c>
      <c r="R4">
        <f t="shared" si="1"/>
        <v>0</v>
      </c>
      <c r="S4">
        <f t="shared" si="2"/>
        <v>3000</v>
      </c>
      <c r="T4">
        <v>0</v>
      </c>
      <c r="U4">
        <v>0</v>
      </c>
      <c r="V4">
        <v>0</v>
      </c>
      <c r="W4">
        <v>6824</v>
      </c>
      <c r="X4">
        <v>5000</v>
      </c>
      <c r="Y4">
        <v>6000</v>
      </c>
      <c r="Z4">
        <v>7000</v>
      </c>
      <c r="AE4" t="s">
        <v>79</v>
      </c>
      <c r="AF4" t="s">
        <v>79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f t="shared" si="3"/>
        <v>222824</v>
      </c>
      <c r="BC4">
        <f t="shared" si="4"/>
        <v>205000</v>
      </c>
      <c r="BD4">
        <f t="shared" si="5"/>
        <v>205000</v>
      </c>
      <c r="BE4">
        <f t="shared" si="6"/>
        <v>16400</v>
      </c>
      <c r="BF4">
        <f t="shared" si="7"/>
        <v>3075</v>
      </c>
      <c r="BG4">
        <v>2050</v>
      </c>
      <c r="BH4">
        <v>21525</v>
      </c>
      <c r="BI4">
        <v>0</v>
      </c>
      <c r="BK4">
        <v>11000000</v>
      </c>
      <c r="BL4">
        <f t="shared" si="8"/>
        <v>219824</v>
      </c>
      <c r="BM4">
        <v>0</v>
      </c>
      <c r="BN4">
        <v>0</v>
      </c>
      <c r="BP4">
        <f t="shared" si="9"/>
        <v>21525</v>
      </c>
      <c r="BQ4">
        <f t="shared" si="10"/>
        <v>201299</v>
      </c>
      <c r="BR4">
        <f t="shared" si="11"/>
        <v>35875</v>
      </c>
      <c r="BS4">
        <f t="shared" si="12"/>
        <v>6150</v>
      </c>
      <c r="BT4">
        <f t="shared" si="13"/>
        <v>2050</v>
      </c>
      <c r="BU4">
        <f t="shared" si="14"/>
        <v>44075</v>
      </c>
      <c r="BV4">
        <f t="shared" si="15"/>
        <v>4100</v>
      </c>
      <c r="BW4">
        <f t="shared" si="16"/>
        <v>249474</v>
      </c>
    </row>
    <row r="5" spans="1:76" x14ac:dyDescent="0.2">
      <c r="A5" t="s">
        <v>85</v>
      </c>
      <c r="B5" t="s">
        <v>86</v>
      </c>
      <c r="C5" s="1">
        <v>45385</v>
      </c>
      <c r="D5" t="s">
        <v>77</v>
      </c>
      <c r="F5" t="s">
        <v>84</v>
      </c>
      <c r="G5">
        <v>300000</v>
      </c>
      <c r="H5">
        <v>2000</v>
      </c>
      <c r="I5">
        <v>3000</v>
      </c>
      <c r="J5">
        <v>4000</v>
      </c>
      <c r="K5">
        <v>5000</v>
      </c>
      <c r="L5">
        <v>6000</v>
      </c>
      <c r="M5">
        <v>7000</v>
      </c>
      <c r="N5">
        <v>40</v>
      </c>
      <c r="O5">
        <v>38</v>
      </c>
      <c r="Q5">
        <f t="shared" si="0"/>
        <v>285000</v>
      </c>
      <c r="R5">
        <f t="shared" si="1"/>
        <v>0</v>
      </c>
      <c r="S5">
        <f t="shared" si="2"/>
        <v>3000</v>
      </c>
      <c r="T5">
        <v>0</v>
      </c>
      <c r="U5">
        <v>0</v>
      </c>
      <c r="V5">
        <v>0</v>
      </c>
      <c r="W5">
        <v>6646</v>
      </c>
      <c r="X5">
        <v>5000</v>
      </c>
      <c r="Y5">
        <v>6000</v>
      </c>
      <c r="Z5">
        <v>7000</v>
      </c>
      <c r="AE5" t="s">
        <v>79</v>
      </c>
      <c r="AF5" t="s">
        <v>79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f t="shared" si="3"/>
        <v>312646</v>
      </c>
      <c r="BC5">
        <f t="shared" si="4"/>
        <v>305000</v>
      </c>
      <c r="BD5">
        <f t="shared" si="5"/>
        <v>305000</v>
      </c>
      <c r="BE5">
        <f t="shared" si="6"/>
        <v>24400</v>
      </c>
      <c r="BF5">
        <f t="shared" si="7"/>
        <v>4575</v>
      </c>
      <c r="BG5">
        <v>3050</v>
      </c>
      <c r="BH5">
        <v>32025</v>
      </c>
      <c r="BI5">
        <v>0</v>
      </c>
      <c r="BK5">
        <v>11000000</v>
      </c>
      <c r="BL5">
        <f t="shared" si="8"/>
        <v>309646</v>
      </c>
      <c r="BM5">
        <v>0</v>
      </c>
      <c r="BN5">
        <v>0</v>
      </c>
      <c r="BP5">
        <f t="shared" si="9"/>
        <v>32025</v>
      </c>
      <c r="BQ5">
        <f t="shared" si="10"/>
        <v>280621</v>
      </c>
      <c r="BR5">
        <f t="shared" si="11"/>
        <v>53375</v>
      </c>
      <c r="BS5">
        <f t="shared" si="12"/>
        <v>9150</v>
      </c>
      <c r="BT5">
        <f t="shared" si="13"/>
        <v>3050</v>
      </c>
      <c r="BU5">
        <f t="shared" si="14"/>
        <v>65575</v>
      </c>
      <c r="BV5">
        <f t="shared" si="15"/>
        <v>6100</v>
      </c>
      <c r="BW5">
        <f t="shared" si="16"/>
        <v>352296</v>
      </c>
    </row>
    <row r="6" spans="1:76" x14ac:dyDescent="0.2">
      <c r="A6" t="s">
        <v>87</v>
      </c>
      <c r="B6" t="s">
        <v>88</v>
      </c>
      <c r="C6" s="1">
        <v>44805</v>
      </c>
      <c r="D6" t="s">
        <v>77</v>
      </c>
      <c r="F6" t="s">
        <v>78</v>
      </c>
      <c r="G6">
        <v>400000</v>
      </c>
      <c r="H6">
        <v>2000</v>
      </c>
      <c r="I6">
        <v>3000</v>
      </c>
      <c r="J6">
        <v>4000</v>
      </c>
      <c r="K6">
        <v>5000</v>
      </c>
      <c r="L6">
        <v>6000</v>
      </c>
      <c r="M6">
        <v>7000</v>
      </c>
      <c r="N6">
        <v>40</v>
      </c>
      <c r="O6">
        <v>40</v>
      </c>
      <c r="Q6">
        <f t="shared" si="0"/>
        <v>400000</v>
      </c>
      <c r="R6">
        <f t="shared" si="1"/>
        <v>0</v>
      </c>
      <c r="S6">
        <f t="shared" si="2"/>
        <v>3000</v>
      </c>
      <c r="T6">
        <v>0</v>
      </c>
      <c r="U6">
        <v>0</v>
      </c>
      <c r="V6">
        <v>0</v>
      </c>
      <c r="W6">
        <v>6988</v>
      </c>
      <c r="X6">
        <v>5000</v>
      </c>
      <c r="Y6">
        <v>6000</v>
      </c>
      <c r="Z6">
        <v>7000</v>
      </c>
      <c r="AE6" t="s">
        <v>79</v>
      </c>
      <c r="AF6" t="s">
        <v>79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f t="shared" si="3"/>
        <v>427988</v>
      </c>
      <c r="BC6">
        <f t="shared" si="4"/>
        <v>405000</v>
      </c>
      <c r="BD6">
        <f t="shared" si="5"/>
        <v>405000</v>
      </c>
      <c r="BE6">
        <f t="shared" si="6"/>
        <v>32400</v>
      </c>
      <c r="BF6">
        <f t="shared" si="7"/>
        <v>6075</v>
      </c>
      <c r="BG6">
        <v>4050</v>
      </c>
      <c r="BH6">
        <v>42525</v>
      </c>
      <c r="BI6">
        <v>0</v>
      </c>
      <c r="BK6">
        <v>11000000</v>
      </c>
      <c r="BL6">
        <f t="shared" si="8"/>
        <v>424988</v>
      </c>
      <c r="BM6">
        <v>0</v>
      </c>
      <c r="BN6">
        <v>0</v>
      </c>
      <c r="BP6">
        <f t="shared" si="9"/>
        <v>42525</v>
      </c>
      <c r="BQ6">
        <f t="shared" si="10"/>
        <v>385463</v>
      </c>
      <c r="BR6">
        <f t="shared" si="11"/>
        <v>70875</v>
      </c>
      <c r="BS6">
        <f t="shared" si="12"/>
        <v>12150</v>
      </c>
      <c r="BT6">
        <f t="shared" si="13"/>
        <v>4050</v>
      </c>
      <c r="BU6">
        <f t="shared" si="14"/>
        <v>87075</v>
      </c>
      <c r="BV6">
        <f t="shared" si="15"/>
        <v>8100</v>
      </c>
      <c r="BW6">
        <f t="shared" si="16"/>
        <v>480638</v>
      </c>
    </row>
    <row r="7" spans="1:76" x14ac:dyDescent="0.2">
      <c r="A7" t="s">
        <v>89</v>
      </c>
      <c r="B7" t="s">
        <v>90</v>
      </c>
      <c r="C7" s="1">
        <v>45215</v>
      </c>
      <c r="D7" t="s">
        <v>77</v>
      </c>
      <c r="F7" t="s">
        <v>91</v>
      </c>
      <c r="G7">
        <v>500000</v>
      </c>
      <c r="H7">
        <v>2000</v>
      </c>
      <c r="I7">
        <v>3000</v>
      </c>
      <c r="J7">
        <v>4000</v>
      </c>
      <c r="K7">
        <v>5000</v>
      </c>
      <c r="L7">
        <v>6000</v>
      </c>
      <c r="M7">
        <v>7000</v>
      </c>
      <c r="N7">
        <v>40</v>
      </c>
      <c r="O7">
        <v>38</v>
      </c>
      <c r="Q7">
        <f t="shared" si="0"/>
        <v>475000</v>
      </c>
      <c r="R7">
        <f t="shared" si="1"/>
        <v>0</v>
      </c>
      <c r="S7">
        <f t="shared" si="2"/>
        <v>3000</v>
      </c>
      <c r="T7">
        <v>0</v>
      </c>
      <c r="U7">
        <v>0</v>
      </c>
      <c r="V7">
        <v>0</v>
      </c>
      <c r="W7">
        <v>6564</v>
      </c>
      <c r="X7">
        <v>5000</v>
      </c>
      <c r="Y7">
        <v>6000</v>
      </c>
      <c r="Z7">
        <v>7000</v>
      </c>
      <c r="AE7" t="s">
        <v>79</v>
      </c>
      <c r="AF7" t="s">
        <v>79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f t="shared" si="3"/>
        <v>502564</v>
      </c>
      <c r="BC7">
        <f t="shared" si="4"/>
        <v>505000</v>
      </c>
      <c r="BD7">
        <f t="shared" si="5"/>
        <v>505000</v>
      </c>
      <c r="BE7">
        <f t="shared" si="6"/>
        <v>40400</v>
      </c>
      <c r="BF7">
        <f t="shared" si="7"/>
        <v>7575</v>
      </c>
      <c r="BG7">
        <v>5050</v>
      </c>
      <c r="BH7">
        <v>53025</v>
      </c>
      <c r="BI7">
        <v>0</v>
      </c>
      <c r="BK7">
        <v>11000000</v>
      </c>
      <c r="BL7">
        <f t="shared" si="8"/>
        <v>499564</v>
      </c>
      <c r="BM7">
        <v>0</v>
      </c>
      <c r="BN7">
        <v>0</v>
      </c>
      <c r="BP7">
        <f t="shared" si="9"/>
        <v>53025</v>
      </c>
      <c r="BQ7">
        <f t="shared" si="10"/>
        <v>449539</v>
      </c>
      <c r="BR7">
        <f t="shared" si="11"/>
        <v>88375</v>
      </c>
      <c r="BS7">
        <f t="shared" si="12"/>
        <v>15150</v>
      </c>
      <c r="BT7">
        <f t="shared" si="13"/>
        <v>5050</v>
      </c>
      <c r="BU7">
        <f t="shared" si="14"/>
        <v>108575</v>
      </c>
      <c r="BV7">
        <f t="shared" si="15"/>
        <v>10100</v>
      </c>
      <c r="BW7">
        <f t="shared" si="16"/>
        <v>568214</v>
      </c>
    </row>
    <row r="8" spans="1:76" x14ac:dyDescent="0.2">
      <c r="A8" t="s">
        <v>92</v>
      </c>
      <c r="B8" t="s">
        <v>93</v>
      </c>
      <c r="C8" s="1">
        <v>44821</v>
      </c>
      <c r="D8" t="s">
        <v>77</v>
      </c>
      <c r="F8" t="s">
        <v>91</v>
      </c>
      <c r="G8">
        <v>600000</v>
      </c>
      <c r="H8">
        <v>2000</v>
      </c>
      <c r="I8">
        <v>3000</v>
      </c>
      <c r="J8">
        <v>4000</v>
      </c>
      <c r="K8">
        <v>5000</v>
      </c>
      <c r="L8">
        <v>6000</v>
      </c>
      <c r="M8">
        <v>7000</v>
      </c>
      <c r="N8">
        <v>40</v>
      </c>
      <c r="O8">
        <v>36</v>
      </c>
      <c r="Q8">
        <f t="shared" si="0"/>
        <v>540000</v>
      </c>
      <c r="R8">
        <f t="shared" si="1"/>
        <v>0</v>
      </c>
      <c r="S8">
        <f t="shared" si="2"/>
        <v>3000</v>
      </c>
      <c r="T8">
        <v>0</v>
      </c>
      <c r="U8">
        <v>0</v>
      </c>
      <c r="V8">
        <v>0</v>
      </c>
      <c r="W8">
        <v>6369</v>
      </c>
      <c r="X8">
        <v>5000</v>
      </c>
      <c r="Y8">
        <v>6000</v>
      </c>
      <c r="Z8">
        <v>7000</v>
      </c>
      <c r="AE8" t="s">
        <v>79</v>
      </c>
      <c r="AF8" t="s">
        <v>79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 t="shared" si="3"/>
        <v>567369</v>
      </c>
      <c r="BC8">
        <f t="shared" si="4"/>
        <v>605000</v>
      </c>
      <c r="BD8">
        <f t="shared" si="5"/>
        <v>605000</v>
      </c>
      <c r="BE8">
        <f t="shared" si="6"/>
        <v>48400</v>
      </c>
      <c r="BF8">
        <f t="shared" si="7"/>
        <v>9075</v>
      </c>
      <c r="BG8">
        <v>6050</v>
      </c>
      <c r="BH8">
        <v>63525</v>
      </c>
      <c r="BI8">
        <v>0</v>
      </c>
      <c r="BK8">
        <v>11000000</v>
      </c>
      <c r="BL8">
        <f t="shared" si="8"/>
        <v>564369</v>
      </c>
      <c r="BM8">
        <v>0</v>
      </c>
      <c r="BN8">
        <v>0</v>
      </c>
      <c r="BP8">
        <f t="shared" si="9"/>
        <v>63525</v>
      </c>
      <c r="BQ8">
        <f t="shared" si="10"/>
        <v>503844</v>
      </c>
      <c r="BR8">
        <f t="shared" si="11"/>
        <v>105875</v>
      </c>
      <c r="BS8">
        <f t="shared" si="12"/>
        <v>18150</v>
      </c>
      <c r="BT8">
        <f t="shared" si="13"/>
        <v>6050</v>
      </c>
      <c r="BU8">
        <f t="shared" si="14"/>
        <v>130075</v>
      </c>
      <c r="BV8">
        <f t="shared" si="15"/>
        <v>12100</v>
      </c>
      <c r="BW8">
        <f t="shared" si="16"/>
        <v>646019</v>
      </c>
    </row>
    <row r="9" spans="1:76" x14ac:dyDescent="0.2">
      <c r="A9" t="s">
        <v>94</v>
      </c>
      <c r="B9" t="s">
        <v>95</v>
      </c>
      <c r="C9" s="1">
        <v>45010</v>
      </c>
      <c r="D9" t="s">
        <v>77</v>
      </c>
      <c r="F9" t="s">
        <v>96</v>
      </c>
      <c r="G9">
        <v>700000</v>
      </c>
      <c r="H9">
        <v>2000</v>
      </c>
      <c r="I9">
        <v>3000</v>
      </c>
      <c r="J9">
        <v>4000</v>
      </c>
      <c r="K9">
        <v>5000</v>
      </c>
      <c r="L9">
        <v>6000</v>
      </c>
      <c r="M9">
        <v>7000</v>
      </c>
      <c r="N9">
        <v>40</v>
      </c>
      <c r="O9">
        <v>39</v>
      </c>
      <c r="Q9">
        <f t="shared" si="0"/>
        <v>682500</v>
      </c>
      <c r="R9">
        <f t="shared" si="1"/>
        <v>0</v>
      </c>
      <c r="S9">
        <f t="shared" si="2"/>
        <v>3000</v>
      </c>
      <c r="T9">
        <v>0</v>
      </c>
      <c r="U9">
        <v>0</v>
      </c>
      <c r="V9">
        <v>0</v>
      </c>
      <c r="W9">
        <v>6756</v>
      </c>
      <c r="X9">
        <v>5000</v>
      </c>
      <c r="Y9">
        <v>6000</v>
      </c>
      <c r="Z9">
        <v>7000</v>
      </c>
      <c r="AE9" t="s">
        <v>79</v>
      </c>
      <c r="AF9" t="s">
        <v>79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f t="shared" si="3"/>
        <v>710256</v>
      </c>
      <c r="BC9">
        <f t="shared" si="4"/>
        <v>705000</v>
      </c>
      <c r="BD9">
        <f t="shared" si="5"/>
        <v>705000</v>
      </c>
      <c r="BE9">
        <f t="shared" si="6"/>
        <v>56400</v>
      </c>
      <c r="BF9">
        <f t="shared" si="7"/>
        <v>10575</v>
      </c>
      <c r="BG9">
        <v>7050</v>
      </c>
      <c r="BH9">
        <v>74025</v>
      </c>
      <c r="BI9">
        <v>0</v>
      </c>
      <c r="BK9">
        <v>11000000</v>
      </c>
      <c r="BL9">
        <f t="shared" si="8"/>
        <v>707256</v>
      </c>
      <c r="BM9">
        <v>0</v>
      </c>
      <c r="BN9">
        <v>0</v>
      </c>
      <c r="BP9">
        <f t="shared" si="9"/>
        <v>74025</v>
      </c>
      <c r="BQ9">
        <f t="shared" si="10"/>
        <v>636231</v>
      </c>
      <c r="BR9">
        <f t="shared" si="11"/>
        <v>123374.99999999999</v>
      </c>
      <c r="BS9">
        <f t="shared" si="12"/>
        <v>21150</v>
      </c>
      <c r="BT9">
        <f t="shared" si="13"/>
        <v>7050</v>
      </c>
      <c r="BU9">
        <f t="shared" si="14"/>
        <v>151575</v>
      </c>
      <c r="BV9">
        <f t="shared" si="15"/>
        <v>14100</v>
      </c>
      <c r="BW9">
        <f t="shared" si="16"/>
        <v>801906</v>
      </c>
    </row>
    <row r="10" spans="1:76" x14ac:dyDescent="0.2">
      <c r="A10" t="s">
        <v>97</v>
      </c>
      <c r="B10" t="s">
        <v>98</v>
      </c>
      <c r="C10" s="1">
        <v>44605</v>
      </c>
      <c r="D10" t="s">
        <v>77</v>
      </c>
      <c r="F10" t="s">
        <v>78</v>
      </c>
      <c r="G10">
        <v>800000</v>
      </c>
      <c r="H10">
        <v>2000</v>
      </c>
      <c r="I10">
        <v>3000</v>
      </c>
      <c r="J10">
        <v>4000</v>
      </c>
      <c r="K10">
        <v>5000</v>
      </c>
      <c r="L10">
        <v>6000</v>
      </c>
      <c r="M10">
        <v>7000</v>
      </c>
      <c r="N10">
        <v>40</v>
      </c>
      <c r="O10">
        <v>40</v>
      </c>
      <c r="Q10">
        <f t="shared" si="0"/>
        <v>800000</v>
      </c>
      <c r="R10">
        <f t="shared" si="1"/>
        <v>0</v>
      </c>
      <c r="S10">
        <f t="shared" si="2"/>
        <v>3000</v>
      </c>
      <c r="T10">
        <v>0</v>
      </c>
      <c r="U10">
        <v>0</v>
      </c>
      <c r="V10">
        <v>0</v>
      </c>
      <c r="W10">
        <v>6961</v>
      </c>
      <c r="X10">
        <v>5000</v>
      </c>
      <c r="Y10">
        <v>6000</v>
      </c>
      <c r="Z10">
        <v>7000</v>
      </c>
      <c r="AE10" t="s">
        <v>79</v>
      </c>
      <c r="AF10" t="s">
        <v>79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f t="shared" si="3"/>
        <v>827961</v>
      </c>
      <c r="BC10">
        <f t="shared" si="4"/>
        <v>805000</v>
      </c>
      <c r="BD10">
        <f t="shared" si="5"/>
        <v>805000</v>
      </c>
      <c r="BE10">
        <f t="shared" si="6"/>
        <v>64400</v>
      </c>
      <c r="BF10">
        <f t="shared" si="7"/>
        <v>12075</v>
      </c>
      <c r="BG10">
        <v>8050</v>
      </c>
      <c r="BH10">
        <v>84525</v>
      </c>
      <c r="BI10">
        <v>0</v>
      </c>
      <c r="BK10">
        <v>11000000</v>
      </c>
      <c r="BL10">
        <f t="shared" si="8"/>
        <v>824961</v>
      </c>
      <c r="BM10">
        <v>0</v>
      </c>
      <c r="BN10">
        <v>0</v>
      </c>
      <c r="BP10">
        <f t="shared" si="9"/>
        <v>84525</v>
      </c>
      <c r="BQ10">
        <f t="shared" si="10"/>
        <v>743436</v>
      </c>
      <c r="BR10">
        <f t="shared" si="11"/>
        <v>140875</v>
      </c>
      <c r="BS10">
        <f t="shared" si="12"/>
        <v>24150</v>
      </c>
      <c r="BT10">
        <f t="shared" si="13"/>
        <v>8050</v>
      </c>
      <c r="BU10">
        <f t="shared" si="14"/>
        <v>173075</v>
      </c>
      <c r="BV10">
        <f t="shared" si="15"/>
        <v>16100</v>
      </c>
      <c r="BW10">
        <f t="shared" si="16"/>
        <v>932611</v>
      </c>
    </row>
    <row r="11" spans="1:76" x14ac:dyDescent="0.2">
      <c r="A11" t="s">
        <v>99</v>
      </c>
      <c r="B11" t="s">
        <v>100</v>
      </c>
      <c r="C11" s="1">
        <v>45552</v>
      </c>
      <c r="D11" t="s">
        <v>77</v>
      </c>
      <c r="F11" t="s">
        <v>96</v>
      </c>
      <c r="G11">
        <v>900000</v>
      </c>
      <c r="H11">
        <v>2000</v>
      </c>
      <c r="I11">
        <v>3000</v>
      </c>
      <c r="J11">
        <v>4000</v>
      </c>
      <c r="K11">
        <v>5000</v>
      </c>
      <c r="L11">
        <v>6000</v>
      </c>
      <c r="M11">
        <v>7000</v>
      </c>
      <c r="N11">
        <v>40</v>
      </c>
      <c r="O11">
        <v>35</v>
      </c>
      <c r="Q11">
        <f t="shared" si="0"/>
        <v>787500</v>
      </c>
      <c r="R11">
        <f t="shared" si="1"/>
        <v>0</v>
      </c>
      <c r="S11">
        <f t="shared" si="2"/>
        <v>3000</v>
      </c>
      <c r="T11">
        <v>0</v>
      </c>
      <c r="U11">
        <v>0</v>
      </c>
      <c r="V11">
        <v>0</v>
      </c>
      <c r="W11">
        <v>6164</v>
      </c>
      <c r="X11">
        <v>5000</v>
      </c>
      <c r="Y11">
        <v>6000</v>
      </c>
      <c r="Z11">
        <v>7000</v>
      </c>
      <c r="AE11" t="s">
        <v>79</v>
      </c>
      <c r="AF11" t="s">
        <v>79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f t="shared" si="3"/>
        <v>814664</v>
      </c>
      <c r="BC11">
        <f t="shared" si="4"/>
        <v>905000</v>
      </c>
      <c r="BD11">
        <f t="shared" si="5"/>
        <v>905000</v>
      </c>
      <c r="BE11">
        <f t="shared" si="6"/>
        <v>72400</v>
      </c>
      <c r="BF11">
        <f t="shared" si="7"/>
        <v>13575</v>
      </c>
      <c r="BG11">
        <v>9050</v>
      </c>
      <c r="BH11">
        <v>95025</v>
      </c>
      <c r="BI11">
        <v>0</v>
      </c>
      <c r="BK11">
        <v>11000000</v>
      </c>
      <c r="BL11">
        <f t="shared" si="8"/>
        <v>811664</v>
      </c>
      <c r="BM11">
        <v>0</v>
      </c>
      <c r="BN11">
        <v>0</v>
      </c>
      <c r="BP11">
        <f t="shared" si="9"/>
        <v>95025</v>
      </c>
      <c r="BQ11">
        <f t="shared" si="10"/>
        <v>719639</v>
      </c>
      <c r="BR11">
        <f t="shared" si="11"/>
        <v>158375</v>
      </c>
      <c r="BS11">
        <f t="shared" si="12"/>
        <v>27150</v>
      </c>
      <c r="BT11">
        <f t="shared" si="13"/>
        <v>9050</v>
      </c>
      <c r="BU11">
        <f t="shared" si="14"/>
        <v>194575</v>
      </c>
      <c r="BV11">
        <f t="shared" si="15"/>
        <v>18100</v>
      </c>
      <c r="BW11">
        <f t="shared" si="16"/>
        <v>932314</v>
      </c>
    </row>
    <row r="12" spans="1:76" x14ac:dyDescent="0.2">
      <c r="A12" t="s">
        <v>101</v>
      </c>
      <c r="B12" t="s">
        <v>102</v>
      </c>
      <c r="C12" s="1">
        <v>44093</v>
      </c>
      <c r="D12" t="s">
        <v>77</v>
      </c>
      <c r="F12" t="s">
        <v>103</v>
      </c>
      <c r="G12">
        <v>1000000</v>
      </c>
      <c r="H12">
        <v>2000</v>
      </c>
      <c r="I12">
        <v>3000</v>
      </c>
      <c r="J12">
        <v>4000</v>
      </c>
      <c r="K12">
        <v>5000</v>
      </c>
      <c r="L12">
        <v>6000</v>
      </c>
      <c r="M12">
        <v>7000</v>
      </c>
      <c r="N12">
        <v>40</v>
      </c>
      <c r="O12">
        <v>40</v>
      </c>
      <c r="Q12">
        <f t="shared" si="0"/>
        <v>1000000</v>
      </c>
      <c r="R12">
        <f t="shared" si="1"/>
        <v>0</v>
      </c>
      <c r="S12">
        <f t="shared" si="2"/>
        <v>3000</v>
      </c>
      <c r="T12">
        <v>0</v>
      </c>
      <c r="U12">
        <v>0</v>
      </c>
      <c r="V12">
        <v>0</v>
      </c>
      <c r="W12">
        <v>6983</v>
      </c>
      <c r="X12">
        <v>5000</v>
      </c>
      <c r="Y12">
        <v>6000</v>
      </c>
      <c r="Z12">
        <v>7000</v>
      </c>
      <c r="AE12" t="s">
        <v>79</v>
      </c>
      <c r="AF12" t="s">
        <v>79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f t="shared" si="3"/>
        <v>1027983</v>
      </c>
      <c r="BC12">
        <f t="shared" si="4"/>
        <v>1005000</v>
      </c>
      <c r="BD12">
        <f t="shared" si="5"/>
        <v>1005000</v>
      </c>
      <c r="BE12">
        <f t="shared" si="6"/>
        <v>80400</v>
      </c>
      <c r="BF12">
        <f t="shared" si="7"/>
        <v>15075</v>
      </c>
      <c r="BG12">
        <v>10050</v>
      </c>
      <c r="BH12">
        <v>105525</v>
      </c>
      <c r="BI12">
        <v>0</v>
      </c>
      <c r="BK12">
        <v>11000000</v>
      </c>
      <c r="BL12">
        <f t="shared" si="8"/>
        <v>1024983</v>
      </c>
      <c r="BM12">
        <v>0</v>
      </c>
      <c r="BN12">
        <v>0</v>
      </c>
      <c r="BP12">
        <f t="shared" si="9"/>
        <v>105525</v>
      </c>
      <c r="BQ12">
        <f t="shared" si="10"/>
        <v>922458</v>
      </c>
      <c r="BR12">
        <f t="shared" si="11"/>
        <v>175875</v>
      </c>
      <c r="BS12">
        <f t="shared" si="12"/>
        <v>30150</v>
      </c>
      <c r="BT12">
        <f t="shared" si="13"/>
        <v>10050</v>
      </c>
      <c r="BU12">
        <f t="shared" si="14"/>
        <v>216075</v>
      </c>
      <c r="BV12">
        <f t="shared" si="15"/>
        <v>20100</v>
      </c>
      <c r="BW12">
        <f t="shared" si="16"/>
        <v>1158633</v>
      </c>
    </row>
    <row r="13" spans="1:76" x14ac:dyDescent="0.2">
      <c r="A13" t="s">
        <v>104</v>
      </c>
      <c r="B13" t="s">
        <v>105</v>
      </c>
      <c r="C13" s="1">
        <v>45025</v>
      </c>
      <c r="D13" t="s">
        <v>77</v>
      </c>
      <c r="F13" t="s">
        <v>91</v>
      </c>
      <c r="G13">
        <v>1100000</v>
      </c>
      <c r="H13">
        <v>2000</v>
      </c>
      <c r="I13">
        <v>3000</v>
      </c>
      <c r="J13">
        <v>4000</v>
      </c>
      <c r="K13">
        <v>5000</v>
      </c>
      <c r="L13">
        <v>6000</v>
      </c>
      <c r="M13">
        <v>7000</v>
      </c>
      <c r="N13">
        <v>40</v>
      </c>
      <c r="O13">
        <v>39</v>
      </c>
      <c r="Q13">
        <f t="shared" si="0"/>
        <v>1072500</v>
      </c>
      <c r="R13">
        <f t="shared" si="1"/>
        <v>0</v>
      </c>
      <c r="S13">
        <f t="shared" si="2"/>
        <v>3000</v>
      </c>
      <c r="T13">
        <v>0</v>
      </c>
      <c r="U13">
        <v>0</v>
      </c>
      <c r="V13">
        <v>0</v>
      </c>
      <c r="W13">
        <v>6866</v>
      </c>
      <c r="X13">
        <v>5000</v>
      </c>
      <c r="Y13">
        <v>6000</v>
      </c>
      <c r="Z13">
        <v>7000</v>
      </c>
      <c r="AE13" t="s">
        <v>79</v>
      </c>
      <c r="AF13" t="s">
        <v>79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f t="shared" si="3"/>
        <v>1100366</v>
      </c>
      <c r="BC13">
        <f t="shared" si="4"/>
        <v>1105000</v>
      </c>
      <c r="BD13">
        <f t="shared" si="5"/>
        <v>1105000</v>
      </c>
      <c r="BE13">
        <f t="shared" si="6"/>
        <v>88400</v>
      </c>
      <c r="BF13">
        <f t="shared" si="7"/>
        <v>16575</v>
      </c>
      <c r="BG13">
        <v>11050</v>
      </c>
      <c r="BH13">
        <v>116025</v>
      </c>
      <c r="BI13">
        <v>0</v>
      </c>
      <c r="BK13">
        <v>11000000</v>
      </c>
      <c r="BL13">
        <f t="shared" si="8"/>
        <v>1097366</v>
      </c>
      <c r="BM13">
        <v>0</v>
      </c>
      <c r="BN13">
        <v>0</v>
      </c>
      <c r="BP13">
        <f t="shared" si="9"/>
        <v>116025</v>
      </c>
      <c r="BQ13">
        <f t="shared" si="10"/>
        <v>984341</v>
      </c>
      <c r="BR13">
        <f t="shared" si="11"/>
        <v>193375</v>
      </c>
      <c r="BS13">
        <f t="shared" si="12"/>
        <v>33150</v>
      </c>
      <c r="BT13">
        <f t="shared" si="13"/>
        <v>11050</v>
      </c>
      <c r="BU13">
        <f t="shared" si="14"/>
        <v>237575</v>
      </c>
      <c r="BV13">
        <f t="shared" si="15"/>
        <v>22100</v>
      </c>
      <c r="BW13">
        <f t="shared" si="16"/>
        <v>1244016</v>
      </c>
    </row>
    <row r="14" spans="1:76" x14ac:dyDescent="0.2">
      <c r="A14" t="s">
        <v>106</v>
      </c>
      <c r="B14" t="s">
        <v>107</v>
      </c>
      <c r="C14" s="1">
        <v>45254</v>
      </c>
      <c r="D14" t="s">
        <v>77</v>
      </c>
      <c r="F14" t="s">
        <v>84</v>
      </c>
      <c r="G14">
        <v>1200000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40</v>
      </c>
      <c r="O14">
        <v>36</v>
      </c>
      <c r="Q14">
        <f t="shared" si="0"/>
        <v>1080000</v>
      </c>
      <c r="R14">
        <f t="shared" si="1"/>
        <v>0</v>
      </c>
      <c r="S14">
        <f t="shared" si="2"/>
        <v>3000</v>
      </c>
      <c r="T14">
        <v>0</v>
      </c>
      <c r="U14">
        <v>0</v>
      </c>
      <c r="V14">
        <v>0</v>
      </c>
      <c r="W14">
        <v>6279</v>
      </c>
      <c r="X14">
        <v>5000</v>
      </c>
      <c r="Y14">
        <v>6000</v>
      </c>
      <c r="Z14">
        <v>7000</v>
      </c>
      <c r="AE14" t="s">
        <v>79</v>
      </c>
      <c r="AF14" t="s">
        <v>79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f t="shared" si="3"/>
        <v>1107279</v>
      </c>
      <c r="BC14">
        <f t="shared" si="4"/>
        <v>1205000</v>
      </c>
      <c r="BD14">
        <f t="shared" si="5"/>
        <v>1205000</v>
      </c>
      <c r="BE14">
        <f t="shared" si="6"/>
        <v>96400</v>
      </c>
      <c r="BF14">
        <f t="shared" si="7"/>
        <v>18075</v>
      </c>
      <c r="BG14">
        <v>12050</v>
      </c>
      <c r="BH14">
        <v>126525</v>
      </c>
      <c r="BI14">
        <v>0</v>
      </c>
      <c r="BK14">
        <v>11000000</v>
      </c>
      <c r="BL14">
        <f t="shared" si="8"/>
        <v>1104279</v>
      </c>
      <c r="BM14">
        <v>0</v>
      </c>
      <c r="BN14">
        <v>0</v>
      </c>
      <c r="BP14">
        <f t="shared" si="9"/>
        <v>126525</v>
      </c>
      <c r="BQ14">
        <f t="shared" si="10"/>
        <v>980754</v>
      </c>
      <c r="BR14">
        <f t="shared" si="11"/>
        <v>210875</v>
      </c>
      <c r="BS14">
        <f t="shared" si="12"/>
        <v>36150</v>
      </c>
      <c r="BT14">
        <f t="shared" si="13"/>
        <v>12050</v>
      </c>
      <c r="BU14">
        <f t="shared" si="14"/>
        <v>259075</v>
      </c>
      <c r="BV14">
        <f t="shared" si="15"/>
        <v>24100</v>
      </c>
      <c r="BW14">
        <f t="shared" si="16"/>
        <v>1263929</v>
      </c>
    </row>
    <row r="15" spans="1:76" x14ac:dyDescent="0.2">
      <c r="A15" t="s">
        <v>108</v>
      </c>
      <c r="B15" t="s">
        <v>109</v>
      </c>
      <c r="C15" s="1">
        <v>44259</v>
      </c>
      <c r="D15" t="s">
        <v>77</v>
      </c>
      <c r="F15" t="s">
        <v>96</v>
      </c>
      <c r="G15">
        <v>1300000</v>
      </c>
      <c r="H15">
        <v>2000</v>
      </c>
      <c r="I15">
        <v>3000</v>
      </c>
      <c r="J15">
        <v>4000</v>
      </c>
      <c r="K15">
        <v>5000</v>
      </c>
      <c r="L15">
        <v>6000</v>
      </c>
      <c r="M15">
        <v>7000</v>
      </c>
      <c r="N15">
        <v>40</v>
      </c>
      <c r="O15">
        <v>37</v>
      </c>
      <c r="Q15">
        <f t="shared" si="0"/>
        <v>1202500</v>
      </c>
      <c r="R15">
        <f t="shared" si="1"/>
        <v>0</v>
      </c>
      <c r="S15">
        <f t="shared" si="2"/>
        <v>3000</v>
      </c>
      <c r="T15">
        <v>0</v>
      </c>
      <c r="U15">
        <v>0</v>
      </c>
      <c r="V15">
        <v>0</v>
      </c>
      <c r="W15">
        <v>6472</v>
      </c>
      <c r="X15">
        <v>5000</v>
      </c>
      <c r="Y15">
        <v>6000</v>
      </c>
      <c r="Z15">
        <v>7000</v>
      </c>
      <c r="AE15" t="s">
        <v>79</v>
      </c>
      <c r="AF15" t="s">
        <v>79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f t="shared" si="3"/>
        <v>1229972</v>
      </c>
      <c r="BC15">
        <f t="shared" si="4"/>
        <v>1305000</v>
      </c>
      <c r="BD15">
        <f t="shared" si="5"/>
        <v>1305000</v>
      </c>
      <c r="BE15">
        <f t="shared" si="6"/>
        <v>104400</v>
      </c>
      <c r="BF15">
        <f t="shared" si="7"/>
        <v>19575</v>
      </c>
      <c r="BG15">
        <v>13050</v>
      </c>
      <c r="BH15">
        <v>137025</v>
      </c>
      <c r="BI15">
        <v>0</v>
      </c>
      <c r="BK15">
        <v>11000000</v>
      </c>
      <c r="BL15">
        <f t="shared" si="8"/>
        <v>1226972</v>
      </c>
      <c r="BM15">
        <v>0</v>
      </c>
      <c r="BN15">
        <v>0</v>
      </c>
      <c r="BP15">
        <f t="shared" si="9"/>
        <v>137025</v>
      </c>
      <c r="BQ15">
        <f t="shared" si="10"/>
        <v>1092947</v>
      </c>
      <c r="BR15">
        <f t="shared" si="11"/>
        <v>228375</v>
      </c>
      <c r="BS15">
        <f t="shared" si="12"/>
        <v>39150</v>
      </c>
      <c r="BT15">
        <f t="shared" si="13"/>
        <v>13050</v>
      </c>
      <c r="BU15">
        <f t="shared" si="14"/>
        <v>280575</v>
      </c>
      <c r="BV15">
        <f t="shared" si="15"/>
        <v>26100</v>
      </c>
      <c r="BW15">
        <f t="shared" si="16"/>
        <v>1399622</v>
      </c>
    </row>
    <row r="16" spans="1:76" x14ac:dyDescent="0.2">
      <c r="A16" t="s">
        <v>110</v>
      </c>
      <c r="B16" t="s">
        <v>111</v>
      </c>
      <c r="C16" s="1">
        <v>45029</v>
      </c>
      <c r="D16" t="s">
        <v>77</v>
      </c>
      <c r="F16" t="s">
        <v>84</v>
      </c>
      <c r="G16">
        <v>1400000</v>
      </c>
      <c r="H16">
        <v>2000</v>
      </c>
      <c r="I16">
        <v>3000</v>
      </c>
      <c r="J16">
        <v>4000</v>
      </c>
      <c r="K16">
        <v>5000</v>
      </c>
      <c r="L16">
        <v>6000</v>
      </c>
      <c r="M16">
        <v>7000</v>
      </c>
      <c r="N16">
        <v>40</v>
      </c>
      <c r="O16">
        <v>37</v>
      </c>
      <c r="Q16">
        <f t="shared" si="0"/>
        <v>1295000</v>
      </c>
      <c r="R16">
        <f t="shared" si="1"/>
        <v>0</v>
      </c>
      <c r="S16">
        <f t="shared" si="2"/>
        <v>3000</v>
      </c>
      <c r="T16">
        <v>0</v>
      </c>
      <c r="U16">
        <v>0</v>
      </c>
      <c r="V16">
        <v>0</v>
      </c>
      <c r="W16">
        <v>6529</v>
      </c>
      <c r="X16">
        <v>5000</v>
      </c>
      <c r="Y16">
        <v>6000</v>
      </c>
      <c r="Z16">
        <v>7000</v>
      </c>
      <c r="AE16" t="s">
        <v>79</v>
      </c>
      <c r="AF16" t="s">
        <v>79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f t="shared" si="3"/>
        <v>1322529</v>
      </c>
      <c r="BC16">
        <f t="shared" si="4"/>
        <v>1405000</v>
      </c>
      <c r="BD16">
        <f t="shared" si="5"/>
        <v>1405000</v>
      </c>
      <c r="BE16">
        <f t="shared" si="6"/>
        <v>112400</v>
      </c>
      <c r="BF16">
        <f t="shared" si="7"/>
        <v>21075</v>
      </c>
      <c r="BG16">
        <v>14050</v>
      </c>
      <c r="BH16">
        <v>147525</v>
      </c>
      <c r="BI16">
        <v>0</v>
      </c>
      <c r="BK16">
        <v>11000000</v>
      </c>
      <c r="BL16">
        <f t="shared" si="8"/>
        <v>1319529</v>
      </c>
      <c r="BM16">
        <v>0</v>
      </c>
      <c r="BN16">
        <v>0</v>
      </c>
      <c r="BP16">
        <f t="shared" si="9"/>
        <v>147525</v>
      </c>
      <c r="BQ16">
        <f t="shared" si="10"/>
        <v>1175004</v>
      </c>
      <c r="BR16">
        <f t="shared" si="11"/>
        <v>245874.99999999997</v>
      </c>
      <c r="BS16">
        <f t="shared" si="12"/>
        <v>42150</v>
      </c>
      <c r="BT16">
        <f t="shared" si="13"/>
        <v>14050</v>
      </c>
      <c r="BU16">
        <f t="shared" si="14"/>
        <v>302075</v>
      </c>
      <c r="BV16">
        <f t="shared" si="15"/>
        <v>28100</v>
      </c>
      <c r="BW16">
        <f t="shared" si="16"/>
        <v>1505179</v>
      </c>
    </row>
    <row r="17" spans="1:75" x14ac:dyDescent="0.2">
      <c r="A17" t="s">
        <v>112</v>
      </c>
      <c r="B17" t="s">
        <v>113</v>
      </c>
      <c r="C17" s="1">
        <v>44991</v>
      </c>
      <c r="D17" t="s">
        <v>77</v>
      </c>
      <c r="F17" t="s">
        <v>96</v>
      </c>
      <c r="G17">
        <v>1500000</v>
      </c>
      <c r="H17">
        <v>2000</v>
      </c>
      <c r="I17">
        <v>3000</v>
      </c>
      <c r="J17">
        <v>4000</v>
      </c>
      <c r="K17">
        <v>5000</v>
      </c>
      <c r="L17">
        <v>6000</v>
      </c>
      <c r="M17">
        <v>7000</v>
      </c>
      <c r="N17">
        <v>40</v>
      </c>
      <c r="O17">
        <v>39</v>
      </c>
      <c r="Q17">
        <f t="shared" si="0"/>
        <v>1462500</v>
      </c>
      <c r="R17">
        <f t="shared" si="1"/>
        <v>0</v>
      </c>
      <c r="S17">
        <f t="shared" si="2"/>
        <v>3000</v>
      </c>
      <c r="T17">
        <v>0</v>
      </c>
      <c r="U17">
        <v>0</v>
      </c>
      <c r="V17">
        <v>0</v>
      </c>
      <c r="W17">
        <v>6802</v>
      </c>
      <c r="X17">
        <v>5000</v>
      </c>
      <c r="Y17">
        <v>6000</v>
      </c>
      <c r="Z17">
        <v>7000</v>
      </c>
      <c r="AE17" t="s">
        <v>79</v>
      </c>
      <c r="AF17" t="s">
        <v>79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f t="shared" si="3"/>
        <v>1490302</v>
      </c>
      <c r="BC17">
        <f t="shared" si="4"/>
        <v>1505000</v>
      </c>
      <c r="BD17">
        <f t="shared" si="5"/>
        <v>1505000</v>
      </c>
      <c r="BE17">
        <f t="shared" si="6"/>
        <v>120400</v>
      </c>
      <c r="BF17">
        <f t="shared" si="7"/>
        <v>22575</v>
      </c>
      <c r="BG17">
        <v>15050</v>
      </c>
      <c r="BH17">
        <v>158025</v>
      </c>
      <c r="BI17">
        <v>0</v>
      </c>
      <c r="BK17">
        <v>11000000</v>
      </c>
      <c r="BL17">
        <f t="shared" si="8"/>
        <v>1487302</v>
      </c>
      <c r="BM17">
        <v>0</v>
      </c>
      <c r="BN17">
        <v>0</v>
      </c>
      <c r="BP17">
        <f t="shared" si="9"/>
        <v>158025</v>
      </c>
      <c r="BQ17">
        <f t="shared" si="10"/>
        <v>1332277</v>
      </c>
      <c r="BR17">
        <f t="shared" si="11"/>
        <v>263375</v>
      </c>
      <c r="BS17">
        <f t="shared" si="12"/>
        <v>45150</v>
      </c>
      <c r="BT17">
        <f t="shared" si="13"/>
        <v>15050</v>
      </c>
      <c r="BU17">
        <f t="shared" si="14"/>
        <v>323575</v>
      </c>
      <c r="BV17">
        <f t="shared" si="15"/>
        <v>30100</v>
      </c>
      <c r="BW17">
        <f t="shared" si="16"/>
        <v>1685952</v>
      </c>
    </row>
    <row r="18" spans="1:75" x14ac:dyDescent="0.2">
      <c r="A18" t="s">
        <v>114</v>
      </c>
      <c r="B18" t="s">
        <v>115</v>
      </c>
      <c r="C18" s="1">
        <v>44025</v>
      </c>
      <c r="D18" t="s">
        <v>77</v>
      </c>
      <c r="F18" t="s">
        <v>78</v>
      </c>
      <c r="G18">
        <v>1000000</v>
      </c>
      <c r="H18">
        <v>2000</v>
      </c>
      <c r="I18">
        <v>3000</v>
      </c>
      <c r="J18">
        <v>4000</v>
      </c>
      <c r="K18">
        <v>5000</v>
      </c>
      <c r="L18">
        <v>6000</v>
      </c>
      <c r="M18">
        <v>7000</v>
      </c>
      <c r="N18">
        <v>40</v>
      </c>
      <c r="O18">
        <v>37</v>
      </c>
      <c r="Q18">
        <f t="shared" si="0"/>
        <v>925000</v>
      </c>
      <c r="R18">
        <f t="shared" si="1"/>
        <v>0</v>
      </c>
      <c r="S18">
        <f t="shared" si="2"/>
        <v>3000</v>
      </c>
      <c r="T18">
        <v>0</v>
      </c>
      <c r="U18">
        <v>0</v>
      </c>
      <c r="V18">
        <v>0</v>
      </c>
      <c r="W18">
        <v>6496</v>
      </c>
      <c r="X18">
        <v>5000</v>
      </c>
      <c r="Y18">
        <v>6000</v>
      </c>
      <c r="Z18">
        <v>7000</v>
      </c>
      <c r="AE18" t="s">
        <v>79</v>
      </c>
      <c r="AF18" t="s">
        <v>79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f t="shared" si="3"/>
        <v>952496</v>
      </c>
      <c r="BC18">
        <f t="shared" si="4"/>
        <v>1005000</v>
      </c>
      <c r="BD18">
        <f t="shared" si="5"/>
        <v>1005000</v>
      </c>
      <c r="BE18">
        <f t="shared" si="6"/>
        <v>80400</v>
      </c>
      <c r="BF18">
        <f t="shared" si="7"/>
        <v>15075</v>
      </c>
      <c r="BG18">
        <v>10050</v>
      </c>
      <c r="BH18">
        <v>105525</v>
      </c>
      <c r="BI18">
        <v>0</v>
      </c>
      <c r="BK18">
        <v>11000000</v>
      </c>
      <c r="BL18">
        <f t="shared" si="8"/>
        <v>949496</v>
      </c>
      <c r="BM18">
        <v>0</v>
      </c>
      <c r="BN18">
        <v>0</v>
      </c>
      <c r="BP18">
        <f t="shared" si="9"/>
        <v>105525</v>
      </c>
      <c r="BQ18">
        <f t="shared" si="10"/>
        <v>846971</v>
      </c>
      <c r="BR18">
        <f t="shared" si="11"/>
        <v>175875</v>
      </c>
      <c r="BS18">
        <f t="shared" si="12"/>
        <v>30150</v>
      </c>
      <c r="BT18">
        <f t="shared" si="13"/>
        <v>10050</v>
      </c>
      <c r="BU18">
        <f t="shared" si="14"/>
        <v>216075</v>
      </c>
      <c r="BV18">
        <f t="shared" si="15"/>
        <v>20100</v>
      </c>
      <c r="BW18">
        <f t="shared" si="16"/>
        <v>1083146</v>
      </c>
    </row>
    <row r="19" spans="1:75" x14ac:dyDescent="0.2">
      <c r="A19" t="s">
        <v>116</v>
      </c>
      <c r="B19" t="s">
        <v>117</v>
      </c>
      <c r="C19" s="1">
        <v>44503</v>
      </c>
      <c r="D19" t="s">
        <v>77</v>
      </c>
      <c r="F19" t="s">
        <v>78</v>
      </c>
      <c r="G19">
        <v>1100000</v>
      </c>
      <c r="H19">
        <v>2000</v>
      </c>
      <c r="I19">
        <v>3000</v>
      </c>
      <c r="J19">
        <v>4000</v>
      </c>
      <c r="K19">
        <v>5000</v>
      </c>
      <c r="L19">
        <v>6000</v>
      </c>
      <c r="M19">
        <v>7000</v>
      </c>
      <c r="N19">
        <v>40</v>
      </c>
      <c r="O19">
        <v>38</v>
      </c>
      <c r="Q19">
        <f t="shared" si="0"/>
        <v>1045000</v>
      </c>
      <c r="R19">
        <f t="shared" si="1"/>
        <v>0</v>
      </c>
      <c r="S19">
        <f t="shared" si="2"/>
        <v>3000</v>
      </c>
      <c r="T19">
        <v>0</v>
      </c>
      <c r="U19">
        <v>0</v>
      </c>
      <c r="V19">
        <v>0</v>
      </c>
      <c r="W19">
        <v>6627</v>
      </c>
      <c r="X19">
        <v>5000</v>
      </c>
      <c r="Y19">
        <v>6000</v>
      </c>
      <c r="Z19">
        <v>7000</v>
      </c>
      <c r="AE19" t="s">
        <v>79</v>
      </c>
      <c r="AF19" t="s">
        <v>79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f t="shared" si="3"/>
        <v>1072627</v>
      </c>
      <c r="BC19">
        <f t="shared" si="4"/>
        <v>1105000</v>
      </c>
      <c r="BD19">
        <f t="shared" si="5"/>
        <v>1105000</v>
      </c>
      <c r="BE19">
        <f t="shared" si="6"/>
        <v>88400</v>
      </c>
      <c r="BF19">
        <f t="shared" si="7"/>
        <v>16575</v>
      </c>
      <c r="BG19">
        <v>11050</v>
      </c>
      <c r="BH19">
        <v>116025</v>
      </c>
      <c r="BI19">
        <v>0</v>
      </c>
      <c r="BK19">
        <v>11000000</v>
      </c>
      <c r="BL19">
        <f t="shared" si="8"/>
        <v>1069627</v>
      </c>
      <c r="BM19">
        <v>0</v>
      </c>
      <c r="BN19">
        <v>0</v>
      </c>
      <c r="BP19">
        <f t="shared" si="9"/>
        <v>116025</v>
      </c>
      <c r="BQ19">
        <f t="shared" si="10"/>
        <v>956602</v>
      </c>
      <c r="BR19">
        <f t="shared" si="11"/>
        <v>193375</v>
      </c>
      <c r="BS19">
        <f t="shared" si="12"/>
        <v>33150</v>
      </c>
      <c r="BT19">
        <f t="shared" si="13"/>
        <v>11050</v>
      </c>
      <c r="BU19">
        <f t="shared" si="14"/>
        <v>237575</v>
      </c>
      <c r="BV19">
        <f t="shared" si="15"/>
        <v>22100</v>
      </c>
      <c r="BW19">
        <f t="shared" si="16"/>
        <v>1216277</v>
      </c>
    </row>
    <row r="20" spans="1:75" x14ac:dyDescent="0.2">
      <c r="A20" t="s">
        <v>118</v>
      </c>
      <c r="B20" t="s">
        <v>119</v>
      </c>
      <c r="C20" s="1">
        <v>44459</v>
      </c>
      <c r="D20" t="s">
        <v>77</v>
      </c>
      <c r="F20" t="s">
        <v>78</v>
      </c>
      <c r="G20">
        <v>1200000</v>
      </c>
      <c r="H20">
        <v>2000</v>
      </c>
      <c r="I20">
        <v>3000</v>
      </c>
      <c r="J20">
        <v>4000</v>
      </c>
      <c r="K20">
        <v>5000</v>
      </c>
      <c r="L20">
        <v>6000</v>
      </c>
      <c r="M20">
        <v>7000</v>
      </c>
      <c r="N20">
        <v>40</v>
      </c>
      <c r="O20">
        <v>39</v>
      </c>
      <c r="Q20">
        <f t="shared" si="0"/>
        <v>1170000</v>
      </c>
      <c r="R20">
        <f t="shared" si="1"/>
        <v>0</v>
      </c>
      <c r="S20">
        <f t="shared" si="2"/>
        <v>3000</v>
      </c>
      <c r="T20">
        <v>0</v>
      </c>
      <c r="U20">
        <v>0</v>
      </c>
      <c r="V20">
        <v>0</v>
      </c>
      <c r="W20">
        <v>6836</v>
      </c>
      <c r="X20">
        <v>5000</v>
      </c>
      <c r="Y20">
        <v>6000</v>
      </c>
      <c r="Z20">
        <v>7000</v>
      </c>
      <c r="AE20" t="s">
        <v>79</v>
      </c>
      <c r="AF20" t="s">
        <v>79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f t="shared" si="3"/>
        <v>1197836</v>
      </c>
      <c r="BC20">
        <f t="shared" si="4"/>
        <v>1205000</v>
      </c>
      <c r="BD20">
        <f t="shared" si="5"/>
        <v>1205000</v>
      </c>
      <c r="BE20">
        <f t="shared" si="6"/>
        <v>96400</v>
      </c>
      <c r="BF20">
        <f t="shared" si="7"/>
        <v>18075</v>
      </c>
      <c r="BG20">
        <v>12050</v>
      </c>
      <c r="BH20">
        <v>126525</v>
      </c>
      <c r="BI20">
        <v>0</v>
      </c>
      <c r="BK20">
        <v>11000000</v>
      </c>
      <c r="BL20">
        <f t="shared" si="8"/>
        <v>1194836</v>
      </c>
      <c r="BM20">
        <v>0</v>
      </c>
      <c r="BN20">
        <v>0</v>
      </c>
      <c r="BP20">
        <f t="shared" si="9"/>
        <v>126525</v>
      </c>
      <c r="BQ20">
        <f t="shared" si="10"/>
        <v>1071311</v>
      </c>
      <c r="BR20">
        <f t="shared" si="11"/>
        <v>210875</v>
      </c>
      <c r="BS20">
        <f t="shared" si="12"/>
        <v>36150</v>
      </c>
      <c r="BT20">
        <f t="shared" si="13"/>
        <v>12050</v>
      </c>
      <c r="BU20">
        <f t="shared" si="14"/>
        <v>259075</v>
      </c>
      <c r="BV20">
        <f t="shared" si="15"/>
        <v>24100</v>
      </c>
      <c r="BW20">
        <f t="shared" si="16"/>
        <v>1354486</v>
      </c>
    </row>
    <row r="21" spans="1:75" x14ac:dyDescent="0.2">
      <c r="A21" t="s">
        <v>120</v>
      </c>
      <c r="B21" t="s">
        <v>121</v>
      </c>
      <c r="C21" s="1">
        <v>45008</v>
      </c>
      <c r="D21" t="s">
        <v>77</v>
      </c>
      <c r="F21" t="s">
        <v>91</v>
      </c>
      <c r="G21">
        <v>1300000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40</v>
      </c>
      <c r="O21">
        <v>40</v>
      </c>
      <c r="Q21">
        <f t="shared" si="0"/>
        <v>1300000</v>
      </c>
      <c r="R21">
        <f t="shared" si="1"/>
        <v>0</v>
      </c>
      <c r="S21">
        <f t="shared" si="2"/>
        <v>3000</v>
      </c>
      <c r="T21">
        <v>0</v>
      </c>
      <c r="U21">
        <v>0</v>
      </c>
      <c r="V21">
        <v>0</v>
      </c>
      <c r="W21">
        <v>6969</v>
      </c>
      <c r="X21">
        <v>5000</v>
      </c>
      <c r="Y21">
        <v>6000</v>
      </c>
      <c r="Z21">
        <v>7000</v>
      </c>
      <c r="AE21" t="s">
        <v>79</v>
      </c>
      <c r="AF21" t="s">
        <v>79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f t="shared" si="3"/>
        <v>1327969</v>
      </c>
      <c r="BC21">
        <f t="shared" si="4"/>
        <v>1305000</v>
      </c>
      <c r="BD21">
        <f t="shared" si="5"/>
        <v>1305000</v>
      </c>
      <c r="BE21">
        <f t="shared" si="6"/>
        <v>104400</v>
      </c>
      <c r="BF21">
        <f t="shared" si="7"/>
        <v>19575</v>
      </c>
      <c r="BG21">
        <v>13050</v>
      </c>
      <c r="BH21">
        <v>137025</v>
      </c>
      <c r="BI21">
        <v>0</v>
      </c>
      <c r="BK21">
        <v>11000000</v>
      </c>
      <c r="BL21">
        <f t="shared" si="8"/>
        <v>1324969</v>
      </c>
      <c r="BM21">
        <v>0</v>
      </c>
      <c r="BN21">
        <v>0</v>
      </c>
      <c r="BP21">
        <f t="shared" si="9"/>
        <v>137025</v>
      </c>
      <c r="BQ21">
        <f t="shared" si="10"/>
        <v>1190944</v>
      </c>
      <c r="BR21">
        <f t="shared" si="11"/>
        <v>228375</v>
      </c>
      <c r="BS21">
        <f t="shared" si="12"/>
        <v>39150</v>
      </c>
      <c r="BT21">
        <f t="shared" si="13"/>
        <v>13050</v>
      </c>
      <c r="BU21">
        <f t="shared" si="14"/>
        <v>280575</v>
      </c>
      <c r="BV21">
        <f t="shared" si="15"/>
        <v>26100</v>
      </c>
      <c r="BW21">
        <f t="shared" si="16"/>
        <v>1497619</v>
      </c>
    </row>
    <row r="22" spans="1:75" x14ac:dyDescent="0.2">
      <c r="A22" t="s">
        <v>122</v>
      </c>
      <c r="B22" t="s">
        <v>123</v>
      </c>
      <c r="C22" s="1">
        <v>44319</v>
      </c>
      <c r="D22" t="s">
        <v>77</v>
      </c>
      <c r="F22" t="s">
        <v>96</v>
      </c>
      <c r="G22">
        <v>1400000</v>
      </c>
      <c r="H22">
        <v>2000</v>
      </c>
      <c r="I22">
        <v>3000</v>
      </c>
      <c r="J22">
        <v>4000</v>
      </c>
      <c r="K22">
        <v>5000</v>
      </c>
      <c r="L22">
        <v>6000</v>
      </c>
      <c r="M22">
        <v>7000</v>
      </c>
      <c r="N22">
        <v>40</v>
      </c>
      <c r="O22">
        <v>40</v>
      </c>
      <c r="Q22">
        <f t="shared" si="0"/>
        <v>1400000</v>
      </c>
      <c r="R22">
        <f t="shared" si="1"/>
        <v>0</v>
      </c>
      <c r="S22">
        <f t="shared" si="2"/>
        <v>3000</v>
      </c>
      <c r="T22">
        <v>0</v>
      </c>
      <c r="U22">
        <v>0</v>
      </c>
      <c r="V22">
        <v>0</v>
      </c>
      <c r="W22">
        <v>6942</v>
      </c>
      <c r="X22">
        <v>5000</v>
      </c>
      <c r="Y22">
        <v>6000</v>
      </c>
      <c r="Z22">
        <v>7000</v>
      </c>
      <c r="AE22" t="s">
        <v>79</v>
      </c>
      <c r="AF22" t="s">
        <v>79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f t="shared" si="3"/>
        <v>1427942</v>
      </c>
      <c r="BC22">
        <f t="shared" si="4"/>
        <v>1405000</v>
      </c>
      <c r="BD22">
        <f t="shared" si="5"/>
        <v>1405000</v>
      </c>
      <c r="BE22">
        <f t="shared" si="6"/>
        <v>112400</v>
      </c>
      <c r="BF22">
        <f t="shared" si="7"/>
        <v>21075</v>
      </c>
      <c r="BG22">
        <v>14050</v>
      </c>
      <c r="BH22">
        <v>147525</v>
      </c>
      <c r="BI22">
        <v>0</v>
      </c>
      <c r="BK22">
        <v>11000000</v>
      </c>
      <c r="BL22">
        <f t="shared" si="8"/>
        <v>1424942</v>
      </c>
      <c r="BM22">
        <v>0</v>
      </c>
      <c r="BN22">
        <v>0</v>
      </c>
      <c r="BP22">
        <f t="shared" si="9"/>
        <v>147525</v>
      </c>
      <c r="BQ22">
        <f t="shared" si="10"/>
        <v>1280417</v>
      </c>
      <c r="BR22">
        <f t="shared" si="11"/>
        <v>245874.99999999997</v>
      </c>
      <c r="BS22">
        <f t="shared" si="12"/>
        <v>42150</v>
      </c>
      <c r="BT22">
        <f t="shared" si="13"/>
        <v>14050</v>
      </c>
      <c r="BU22">
        <f t="shared" si="14"/>
        <v>302075</v>
      </c>
      <c r="BV22">
        <f t="shared" si="15"/>
        <v>28100</v>
      </c>
      <c r="BW22">
        <f t="shared" si="16"/>
        <v>1610592</v>
      </c>
    </row>
    <row r="23" spans="1:75" x14ac:dyDescent="0.2">
      <c r="A23" t="s">
        <v>124</v>
      </c>
      <c r="B23" t="s">
        <v>125</v>
      </c>
      <c r="C23" s="1">
        <v>44212</v>
      </c>
      <c r="D23" t="s">
        <v>77</v>
      </c>
      <c r="F23" t="s">
        <v>84</v>
      </c>
      <c r="G23">
        <v>1500000</v>
      </c>
      <c r="H23">
        <v>2000</v>
      </c>
      <c r="I23">
        <v>3000</v>
      </c>
      <c r="J23">
        <v>4000</v>
      </c>
      <c r="K23">
        <v>5000</v>
      </c>
      <c r="L23">
        <v>6000</v>
      </c>
      <c r="M23">
        <v>7000</v>
      </c>
      <c r="N23">
        <v>40</v>
      </c>
      <c r="O23">
        <v>39</v>
      </c>
      <c r="Q23">
        <f t="shared" si="0"/>
        <v>1462500</v>
      </c>
      <c r="R23">
        <f t="shared" si="1"/>
        <v>0</v>
      </c>
      <c r="S23">
        <f t="shared" si="2"/>
        <v>3000</v>
      </c>
      <c r="T23">
        <v>0</v>
      </c>
      <c r="U23">
        <v>0</v>
      </c>
      <c r="V23">
        <v>0</v>
      </c>
      <c r="W23">
        <v>6885</v>
      </c>
      <c r="X23">
        <v>5000</v>
      </c>
      <c r="Y23">
        <v>6000</v>
      </c>
      <c r="Z23">
        <v>7000</v>
      </c>
      <c r="AE23" t="s">
        <v>79</v>
      </c>
      <c r="AF23" t="s">
        <v>79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f t="shared" si="3"/>
        <v>1490385</v>
      </c>
      <c r="BC23">
        <f t="shared" si="4"/>
        <v>1505000</v>
      </c>
      <c r="BD23">
        <f t="shared" si="5"/>
        <v>1505000</v>
      </c>
      <c r="BE23">
        <f t="shared" si="6"/>
        <v>120400</v>
      </c>
      <c r="BF23">
        <f t="shared" si="7"/>
        <v>22575</v>
      </c>
      <c r="BG23">
        <v>15050</v>
      </c>
      <c r="BH23">
        <v>158025</v>
      </c>
      <c r="BI23">
        <v>0</v>
      </c>
      <c r="BK23">
        <v>11000000</v>
      </c>
      <c r="BL23">
        <f t="shared" si="8"/>
        <v>1487385</v>
      </c>
      <c r="BM23">
        <v>0</v>
      </c>
      <c r="BN23">
        <v>0</v>
      </c>
      <c r="BP23">
        <f t="shared" si="9"/>
        <v>158025</v>
      </c>
      <c r="BQ23">
        <f t="shared" si="10"/>
        <v>1332360</v>
      </c>
      <c r="BR23">
        <f t="shared" si="11"/>
        <v>263375</v>
      </c>
      <c r="BS23">
        <f t="shared" si="12"/>
        <v>45150</v>
      </c>
      <c r="BT23">
        <f t="shared" si="13"/>
        <v>15050</v>
      </c>
      <c r="BU23">
        <f t="shared" si="14"/>
        <v>323575</v>
      </c>
      <c r="BV23">
        <f t="shared" si="15"/>
        <v>30100</v>
      </c>
      <c r="BW23">
        <f t="shared" si="16"/>
        <v>1686035</v>
      </c>
    </row>
    <row r="24" spans="1:75" x14ac:dyDescent="0.2">
      <c r="A24" t="s">
        <v>126</v>
      </c>
      <c r="B24" t="s">
        <v>127</v>
      </c>
      <c r="C24" s="1">
        <v>44328</v>
      </c>
      <c r="D24" t="s">
        <v>77</v>
      </c>
      <c r="F24" t="s">
        <v>103</v>
      </c>
      <c r="G24">
        <v>300000</v>
      </c>
      <c r="H24">
        <v>2000</v>
      </c>
      <c r="I24">
        <v>3000</v>
      </c>
      <c r="J24">
        <v>4000</v>
      </c>
      <c r="K24">
        <v>5000</v>
      </c>
      <c r="L24">
        <v>6000</v>
      </c>
      <c r="M24">
        <v>7000</v>
      </c>
      <c r="N24">
        <v>40</v>
      </c>
      <c r="O24">
        <v>40</v>
      </c>
      <c r="Q24">
        <f t="shared" si="0"/>
        <v>300000</v>
      </c>
      <c r="R24">
        <f t="shared" si="1"/>
        <v>0</v>
      </c>
      <c r="S24">
        <f t="shared" si="2"/>
        <v>3000</v>
      </c>
      <c r="T24">
        <v>0</v>
      </c>
      <c r="U24">
        <v>0</v>
      </c>
      <c r="V24">
        <v>0</v>
      </c>
      <c r="W24">
        <v>6942</v>
      </c>
      <c r="X24">
        <v>5000</v>
      </c>
      <c r="Y24">
        <v>6000</v>
      </c>
      <c r="Z24">
        <v>7000</v>
      </c>
      <c r="AE24" t="s">
        <v>79</v>
      </c>
      <c r="AF24" t="s">
        <v>79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f t="shared" si="3"/>
        <v>327942</v>
      </c>
      <c r="BC24">
        <f t="shared" si="4"/>
        <v>305000</v>
      </c>
      <c r="BD24">
        <f t="shared" si="5"/>
        <v>305000</v>
      </c>
      <c r="BE24">
        <f t="shared" si="6"/>
        <v>24400</v>
      </c>
      <c r="BF24">
        <f t="shared" si="7"/>
        <v>4575</v>
      </c>
      <c r="BG24">
        <v>3050</v>
      </c>
      <c r="BH24">
        <v>32025</v>
      </c>
      <c r="BI24">
        <v>0</v>
      </c>
      <c r="BK24">
        <v>11000000</v>
      </c>
      <c r="BL24">
        <f t="shared" si="8"/>
        <v>324942</v>
      </c>
      <c r="BM24">
        <v>0</v>
      </c>
      <c r="BN24">
        <v>0</v>
      </c>
      <c r="BP24">
        <f t="shared" si="9"/>
        <v>32025</v>
      </c>
      <c r="BQ24">
        <f t="shared" si="10"/>
        <v>295917</v>
      </c>
      <c r="BR24">
        <f t="shared" si="11"/>
        <v>53375</v>
      </c>
      <c r="BS24">
        <f t="shared" si="12"/>
        <v>9150</v>
      </c>
      <c r="BT24">
        <f t="shared" si="13"/>
        <v>3050</v>
      </c>
      <c r="BU24">
        <f t="shared" si="14"/>
        <v>65575</v>
      </c>
      <c r="BV24">
        <f t="shared" si="15"/>
        <v>6100</v>
      </c>
      <c r="BW24">
        <f t="shared" si="16"/>
        <v>367592</v>
      </c>
    </row>
    <row r="25" spans="1:75" x14ac:dyDescent="0.2">
      <c r="A25" t="s">
        <v>128</v>
      </c>
      <c r="B25" t="s">
        <v>129</v>
      </c>
      <c r="C25" s="1">
        <v>44216</v>
      </c>
      <c r="D25" t="s">
        <v>77</v>
      </c>
      <c r="F25" t="s">
        <v>78</v>
      </c>
      <c r="G25">
        <v>400000</v>
      </c>
      <c r="H25">
        <v>2000</v>
      </c>
      <c r="I25">
        <v>3000</v>
      </c>
      <c r="J25">
        <v>4000</v>
      </c>
      <c r="K25">
        <v>5000</v>
      </c>
      <c r="L25">
        <v>6000</v>
      </c>
      <c r="M25">
        <v>7000</v>
      </c>
      <c r="N25">
        <v>40</v>
      </c>
      <c r="O25">
        <v>35</v>
      </c>
      <c r="Q25">
        <f t="shared" si="0"/>
        <v>350000</v>
      </c>
      <c r="R25">
        <f t="shared" si="1"/>
        <v>0</v>
      </c>
      <c r="S25">
        <f t="shared" si="2"/>
        <v>3000</v>
      </c>
      <c r="T25">
        <v>0</v>
      </c>
      <c r="U25">
        <v>0</v>
      </c>
      <c r="V25">
        <v>0</v>
      </c>
      <c r="W25">
        <v>6192</v>
      </c>
      <c r="X25">
        <v>5000</v>
      </c>
      <c r="Y25">
        <v>6000</v>
      </c>
      <c r="Z25">
        <v>7000</v>
      </c>
      <c r="AE25" t="s">
        <v>79</v>
      </c>
      <c r="AF25" t="s">
        <v>79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f t="shared" si="3"/>
        <v>377192</v>
      </c>
      <c r="BC25">
        <f t="shared" si="4"/>
        <v>405000</v>
      </c>
      <c r="BD25">
        <f t="shared" si="5"/>
        <v>405000</v>
      </c>
      <c r="BE25">
        <f t="shared" si="6"/>
        <v>32400</v>
      </c>
      <c r="BF25">
        <f t="shared" si="7"/>
        <v>6075</v>
      </c>
      <c r="BG25">
        <v>4050</v>
      </c>
      <c r="BH25">
        <v>42525</v>
      </c>
      <c r="BI25">
        <v>0</v>
      </c>
      <c r="BK25">
        <v>11000000</v>
      </c>
      <c r="BL25">
        <f t="shared" si="8"/>
        <v>374192</v>
      </c>
      <c r="BM25">
        <v>0</v>
      </c>
      <c r="BN25">
        <v>0</v>
      </c>
      <c r="BP25">
        <f t="shared" si="9"/>
        <v>42525</v>
      </c>
      <c r="BQ25">
        <f t="shared" si="10"/>
        <v>334667</v>
      </c>
      <c r="BR25">
        <f t="shared" si="11"/>
        <v>70875</v>
      </c>
      <c r="BS25">
        <f t="shared" si="12"/>
        <v>12150</v>
      </c>
      <c r="BT25">
        <f t="shared" si="13"/>
        <v>4050</v>
      </c>
      <c r="BU25">
        <f t="shared" si="14"/>
        <v>87075</v>
      </c>
      <c r="BV25">
        <f t="shared" si="15"/>
        <v>8100</v>
      </c>
      <c r="BW25">
        <f t="shared" si="16"/>
        <v>429842</v>
      </c>
    </row>
    <row r="26" spans="1:75" x14ac:dyDescent="0.2">
      <c r="A26" t="s">
        <v>130</v>
      </c>
      <c r="B26" t="s">
        <v>131</v>
      </c>
      <c r="C26" s="1">
        <v>45234</v>
      </c>
      <c r="D26" t="s">
        <v>77</v>
      </c>
      <c r="F26" t="s">
        <v>84</v>
      </c>
      <c r="G26">
        <v>500000</v>
      </c>
      <c r="H26">
        <v>2000</v>
      </c>
      <c r="I26">
        <v>3000</v>
      </c>
      <c r="J26">
        <v>4000</v>
      </c>
      <c r="K26">
        <v>5000</v>
      </c>
      <c r="L26">
        <v>6000</v>
      </c>
      <c r="M26">
        <v>7000</v>
      </c>
      <c r="N26">
        <v>40</v>
      </c>
      <c r="O26">
        <v>38</v>
      </c>
      <c r="Q26">
        <f t="shared" si="0"/>
        <v>475000</v>
      </c>
      <c r="R26">
        <f t="shared" si="1"/>
        <v>0</v>
      </c>
      <c r="S26">
        <f t="shared" si="2"/>
        <v>3000</v>
      </c>
      <c r="T26">
        <v>0</v>
      </c>
      <c r="U26">
        <v>0</v>
      </c>
      <c r="V26">
        <v>0</v>
      </c>
      <c r="W26">
        <v>6726</v>
      </c>
      <c r="X26">
        <v>5000</v>
      </c>
      <c r="Y26">
        <v>6000</v>
      </c>
      <c r="Z26">
        <v>7000</v>
      </c>
      <c r="AE26" t="s">
        <v>79</v>
      </c>
      <c r="AF26" t="s">
        <v>79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f t="shared" si="3"/>
        <v>502726</v>
      </c>
      <c r="BC26">
        <f t="shared" si="4"/>
        <v>505000</v>
      </c>
      <c r="BD26">
        <f t="shared" si="5"/>
        <v>505000</v>
      </c>
      <c r="BE26">
        <v>40400</v>
      </c>
      <c r="BF26">
        <f t="shared" si="7"/>
        <v>7575</v>
      </c>
      <c r="BG26">
        <v>5050</v>
      </c>
      <c r="BH26">
        <v>53025</v>
      </c>
      <c r="BI26">
        <v>0</v>
      </c>
      <c r="BK26">
        <v>11000000</v>
      </c>
      <c r="BL26">
        <f t="shared" si="8"/>
        <v>499726</v>
      </c>
      <c r="BM26">
        <v>0</v>
      </c>
      <c r="BN26">
        <v>0</v>
      </c>
      <c r="BP26">
        <f t="shared" si="9"/>
        <v>53025</v>
      </c>
      <c r="BQ26">
        <f t="shared" si="10"/>
        <v>449701</v>
      </c>
      <c r="BR26">
        <f t="shared" si="11"/>
        <v>88375</v>
      </c>
      <c r="BS26">
        <f t="shared" si="12"/>
        <v>15150</v>
      </c>
      <c r="BT26">
        <f t="shared" si="13"/>
        <v>5050</v>
      </c>
      <c r="BU26">
        <f t="shared" si="14"/>
        <v>108575</v>
      </c>
      <c r="BV26">
        <f t="shared" si="15"/>
        <v>10100</v>
      </c>
      <c r="BW26">
        <f t="shared" si="16"/>
        <v>568376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2025-12-10T00:37:31Z</dcterms:modified>
</cp:coreProperties>
</file>